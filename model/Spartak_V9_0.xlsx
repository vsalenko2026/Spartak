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Дашборд" sheetId="1" state="visible" r:id="rId1"/>
    <sheet name="01_Вводные" sheetId="2" state="visible" r:id="rId2"/>
    <sheet name="02_Результат" sheetId="3" state="visible" r:id="rId3"/>
    <sheet name="03_Сеть" sheetId="4" state="visible" r:id="rId4"/>
    <sheet name="04_Доходы" sheetId="5" state="visible" r:id="rId5"/>
    <sheet name="05_Расходы" sheetId="6" state="visible" r:id="rId6"/>
    <sheet name="06_Деньги" sheetId="7" state="visible" r:id="rId7"/>
    <sheet name="07_Тарифы" sheetId="8" state="visible" r:id="rId8"/>
    <sheet name="08_Проверки" sheetId="9" state="visible" r:id="rId9"/>
    <sheet name="09_Инструкция" sheetId="10" state="visible" r:id="rId10"/>
    <sheet name="10_История" sheetId="11" state="visible" r:id="rId11"/>
  </sheets>
  <definedNames>
    <definedName name="RevenueAge01">'07_Тарифы'!$B$24:$U$24</definedName>
    <definedName name="MinimumAge01">'07_Тарифы'!$B$54:$U$54</definedName>
    <definedName name="CapacityAge01">'07_Тарифы'!$W$24</definedName>
    <definedName name="MeanMinAge01">'07_Тарифы'!$X$24</definedName>
    <definedName name="RevenueAge02">'07_Тарифы'!$B$25:$U$25</definedName>
    <definedName name="MinimumAge02">'07_Тарифы'!$B$55:$U$55</definedName>
    <definedName name="CapacityAge02">'07_Тарифы'!$W$25</definedName>
    <definedName name="MeanMinAge02">'07_Тарифы'!$X$25</definedName>
    <definedName name="RevenueAge03">'07_Тарифы'!$B$26:$U$26</definedName>
    <definedName name="MinimumAge03">'07_Тарифы'!$B$56:$U$56</definedName>
    <definedName name="CapacityAge03">'07_Тарифы'!$W$26</definedName>
    <definedName name="MeanMinAge03">'07_Тарифы'!$X$26</definedName>
    <definedName name="RevenueAge04">'07_Тарифы'!$B$27:$U$27</definedName>
    <definedName name="MinimumAge04">'07_Тарифы'!$B$57:$U$57</definedName>
    <definedName name="CapacityAge04">'07_Тарифы'!$W$27</definedName>
    <definedName name="MeanMinAge04">'07_Тарифы'!$X$27</definedName>
    <definedName name="RevenueAge05">'07_Тарифы'!$B$28:$U$28</definedName>
    <definedName name="MinimumAge05">'07_Тарифы'!$B$58:$U$58</definedName>
    <definedName name="CapacityAge05">'07_Тарифы'!$W$28</definedName>
    <definedName name="MeanMinAge05">'07_Тарифы'!$X$28</definedName>
    <definedName name="RevenueAge06">'07_Тарифы'!$B$29:$U$29</definedName>
    <definedName name="MinimumAge06">'07_Тарифы'!$B$59:$U$59</definedName>
    <definedName name="CapacityAge06">'07_Тарифы'!$W$29</definedName>
    <definedName name="MeanMinAge06">'07_Тарифы'!$X$29</definedName>
    <definedName name="RevenueAge07">'07_Тарифы'!$B$30:$U$30</definedName>
    <definedName name="MinimumAge07">'07_Тарифы'!$B$60:$U$60</definedName>
    <definedName name="CapacityAge07">'07_Тарифы'!$W$30</definedName>
    <definedName name="MeanMinAge07">'07_Тарифы'!$X$30</definedName>
    <definedName name="RevenueAge08">'07_Тарифы'!$B$31:$U$31</definedName>
    <definedName name="MinimumAge08">'07_Тарифы'!$B$61:$U$61</definedName>
    <definedName name="CapacityAge08">'07_Тарифы'!$W$31</definedName>
    <definedName name="MeanMinAge08">'07_Тарифы'!$X$31</definedName>
    <definedName name="RevenueAge09">'07_Тарифы'!$B$32:$U$32</definedName>
    <definedName name="MinimumAge09">'07_Тарифы'!$B$62:$U$62</definedName>
    <definedName name="CapacityAge09">'07_Тарифы'!$W$32</definedName>
    <definedName name="MeanMinAge09">'07_Тарифы'!$X$32</definedName>
    <definedName name="RevenueAge10">'07_Тарифы'!$B$33:$U$33</definedName>
    <definedName name="MinimumAge10">'07_Тарифы'!$B$63:$U$63</definedName>
    <definedName name="CapacityAge10">'07_Тарифы'!$W$33</definedName>
    <definedName name="MeanMinAge10">'07_Тарифы'!$X$33</definedName>
    <definedName name="RevenueAge11">'07_Тарифы'!$B$34:$U$34</definedName>
    <definedName name="MinimumAge11">'07_Тарифы'!$B$64:$U$64</definedName>
    <definedName name="CapacityAge11">'07_Тарифы'!$W$34</definedName>
    <definedName name="MeanMinAge11">'07_Тарифы'!$X$34</definedName>
    <definedName name="RevenueAge12">'07_Тарифы'!$B$35:$U$35</definedName>
    <definedName name="MinimumAge12">'07_Тарифы'!$B$65:$U$65</definedName>
    <definedName name="CapacityAge12">'07_Тарифы'!$W$35</definedName>
    <definedName name="MeanMinAge12">'07_Тарифы'!$X$35</definedName>
    <definedName name="RevenueAge13">'07_Тарифы'!$B$36:$U$36</definedName>
    <definedName name="MinimumAge13">'07_Тарифы'!$B$66:$U$66</definedName>
    <definedName name="CapacityAge13">'07_Тарифы'!$W$36</definedName>
    <definedName name="MeanMinAge13">'07_Тарифы'!$X$36</definedName>
    <definedName name="RevenueAge14">'07_Тарифы'!$B$37:$U$37</definedName>
    <definedName name="MinimumAge14">'07_Тарифы'!$B$67:$U$67</definedName>
    <definedName name="CapacityAge14">'07_Тарифы'!$W$37</definedName>
    <definedName name="MeanMinAge14">'07_Тарифы'!$X$37</definedName>
    <definedName name="RevenueAge15">'07_Тарифы'!$B$38:$U$38</definedName>
    <definedName name="MinimumAge15">'07_Тарифы'!$B$68:$U$68</definedName>
    <definedName name="CapacityAge15">'07_Тарифы'!$W$38</definedName>
    <definedName name="MeanMinAge15">'07_Тарифы'!$X$38</definedName>
    <definedName name="RevenueAge16">'07_Тарифы'!$B$39:$U$39</definedName>
    <definedName name="MinimumAge16">'07_Тарифы'!$B$69:$U$69</definedName>
    <definedName name="CapacityAge16">'07_Тарифы'!$W$39</definedName>
    <definedName name="MeanMinAge16">'07_Тарифы'!$X$39</definedName>
    <definedName name="RevenueAge17">'07_Тарифы'!$B$40:$U$40</definedName>
    <definedName name="MinimumAge17">'07_Тарифы'!$B$70:$U$70</definedName>
    <definedName name="CapacityAge17">'07_Тарифы'!$W$40</definedName>
    <definedName name="MeanMinAge17">'07_Тарифы'!$X$40</definedName>
    <definedName name="RevenueAge18">'07_Тарифы'!$B$41:$U$41</definedName>
    <definedName name="MinimumAge18">'07_Тарифы'!$B$71:$U$71</definedName>
    <definedName name="CapacityAge18">'07_Тарифы'!$W$41</definedName>
    <definedName name="MeanMinAge18">'07_Тарифы'!$X$41</definedName>
    <definedName name="RevenueAge19">'07_Тарифы'!$B$42:$U$42</definedName>
    <definedName name="MinimumAge19">'07_Тарифы'!$B$72:$U$72</definedName>
    <definedName name="CapacityAge19">'07_Тарифы'!$W$42</definedName>
    <definedName name="MeanMinAge19">'07_Тарифы'!$X$42</definedName>
    <definedName name="RevenueAge20">'07_Тарифы'!$B$43:$U$43</definedName>
    <definedName name="MinimumAge20">'07_Тарифы'!$B$73:$U$73</definedName>
    <definedName name="CapacityAge20">'07_Тарифы'!$W$43</definedName>
    <definedName name="MeanMinAge20">'07_Тарифы'!$X$43</definedName>
    <definedName name="RevenueAge21">'07_Тарифы'!$B$44:$U$44</definedName>
    <definedName name="MinimumAge21">'07_Тарифы'!$B$74:$U$74</definedName>
    <definedName name="CapacityAge21">'07_Тарифы'!$W$44</definedName>
    <definedName name="MeanMinAge21">'07_Тарифы'!$X$44</definedName>
    <definedName name="RevenueAge22">'07_Тарифы'!$B$45:$U$45</definedName>
    <definedName name="MinimumAge22">'07_Тарифы'!$B$75:$U$75</definedName>
    <definedName name="CapacityAge22">'07_Тарифы'!$W$45</definedName>
    <definedName name="MeanMinAge22">'07_Тарифы'!$X$45</definedName>
    <definedName name="RevenueAge23">'07_Тарифы'!$B$46:$U$46</definedName>
    <definedName name="MinimumAge23">'07_Тарифы'!$B$76:$U$76</definedName>
    <definedName name="CapacityAge23">'07_Тарифы'!$W$46</definedName>
    <definedName name="MeanMinAge23">'07_Тарифы'!$X$46</definedName>
    <definedName name="RevenueAge24">'07_Тарифы'!$B$47:$U$47</definedName>
    <definedName name="MinimumAge24">'07_Тарифы'!$B$77:$U$77</definedName>
    <definedName name="CapacityAge24">'07_Тарифы'!$W$47</definedName>
    <definedName name="MeanMinAge24">'07_Тарифы'!$X$47</definedName>
    <definedName name="RevenueAge25">'07_Тарифы'!$B$48:$U$48</definedName>
    <definedName name="MinimumAge25">'07_Тарифы'!$B$78:$U$78</definedName>
    <definedName name="CapacityAge25">'07_Тарифы'!$W$48</definedName>
    <definedName name="MeanMinAge25">'07_Тарифы'!$X$48</definedName>
    <definedName name="TariffWeights">'07_Тарифы'!$B$22:$U$22</definedName>
    <definedName name="CapacityYear1">'07_Тарифы'!$W$24:$W$35</definedName>
    <definedName name="CapacityYear2">'07_Тарифы'!$W$36:$W$47</definedName>
    <definedName name="ThresholdAge01">'07_Тарифы'!$B$114:$U$114</definedName>
    <definedName name="WeightedRevAge01">'07_Тарифы'!$B$144:$U$144</definedName>
    <definedName name="WeightedMinAge01">'07_Тарифы'!$B$174:$U$174</definedName>
    <definedName name="ThresholdAge02">'07_Тарифы'!$B$115:$U$115</definedName>
    <definedName name="WeightedRevAge02">'07_Тарифы'!$B$145:$U$145</definedName>
    <definedName name="WeightedMinAge02">'07_Тарифы'!$B$175:$U$175</definedName>
    <definedName name="ThresholdAge03">'07_Тарифы'!$B$116:$U$116</definedName>
    <definedName name="WeightedRevAge03">'07_Тарифы'!$B$146:$U$146</definedName>
    <definedName name="WeightedMinAge03">'07_Тарифы'!$B$176:$U$176</definedName>
    <definedName name="ThresholdAge04">'07_Тарифы'!$B$117:$U$117</definedName>
    <definedName name="WeightedRevAge04">'07_Тарифы'!$B$147:$U$147</definedName>
    <definedName name="WeightedMinAge04">'07_Тарифы'!$B$177:$U$177</definedName>
    <definedName name="ThresholdAge05">'07_Тарифы'!$B$118:$U$118</definedName>
    <definedName name="WeightedRevAge05">'07_Тарифы'!$B$148:$U$148</definedName>
    <definedName name="WeightedMinAge05">'07_Тарифы'!$B$178:$U$178</definedName>
    <definedName name="ThresholdAge06">'07_Тарифы'!$B$119:$U$119</definedName>
    <definedName name="WeightedRevAge06">'07_Тарифы'!$B$149:$U$149</definedName>
    <definedName name="WeightedMinAge06">'07_Тарифы'!$B$179:$U$179</definedName>
    <definedName name="ThresholdAge07">'07_Тарифы'!$B$120:$U$120</definedName>
    <definedName name="WeightedRevAge07">'07_Тарифы'!$B$150:$U$150</definedName>
    <definedName name="WeightedMinAge07">'07_Тарифы'!$B$180:$U$180</definedName>
    <definedName name="ThresholdAge08">'07_Тарифы'!$B$121:$U$121</definedName>
    <definedName name="WeightedRevAge08">'07_Тарифы'!$B$151:$U$151</definedName>
    <definedName name="WeightedMinAge08">'07_Тарифы'!$B$181:$U$181</definedName>
    <definedName name="ThresholdAge09">'07_Тарифы'!$B$122:$U$122</definedName>
    <definedName name="WeightedRevAge09">'07_Тарифы'!$B$152:$U$152</definedName>
    <definedName name="WeightedMinAge09">'07_Тарифы'!$B$182:$U$182</definedName>
    <definedName name="ThresholdAge10">'07_Тарифы'!$B$123:$U$123</definedName>
    <definedName name="WeightedRevAge10">'07_Тарифы'!$B$153:$U$153</definedName>
    <definedName name="WeightedMinAge10">'07_Тарифы'!$B$183:$U$183</definedName>
    <definedName name="ThresholdAge11">'07_Тарифы'!$B$124:$U$124</definedName>
    <definedName name="WeightedRevAge11">'07_Тарифы'!$B$154:$U$154</definedName>
    <definedName name="WeightedMinAge11">'07_Тарифы'!$B$184:$U$184</definedName>
    <definedName name="ThresholdAge12">'07_Тарифы'!$B$125:$U$125</definedName>
    <definedName name="WeightedRevAge12">'07_Тарифы'!$B$155:$U$155</definedName>
    <definedName name="WeightedMinAge12">'07_Тарифы'!$B$185:$U$185</definedName>
    <definedName name="ThresholdAge13">'07_Тарифы'!$B$126:$U$126</definedName>
    <definedName name="WeightedRevAge13">'07_Тарифы'!$B$156:$U$156</definedName>
    <definedName name="WeightedMinAge13">'07_Тарифы'!$B$186:$U$186</definedName>
    <definedName name="ThresholdAge14">'07_Тарифы'!$B$127:$U$127</definedName>
    <definedName name="WeightedRevAge14">'07_Тарифы'!$B$157:$U$157</definedName>
    <definedName name="WeightedMinAge14">'07_Тарифы'!$B$187:$U$187</definedName>
    <definedName name="ThresholdAge15">'07_Тарифы'!$B$128:$U$128</definedName>
    <definedName name="WeightedRevAge15">'07_Тарифы'!$B$158:$U$158</definedName>
    <definedName name="WeightedMinAge15">'07_Тарифы'!$B$188:$U$188</definedName>
    <definedName name="ThresholdAge16">'07_Тарифы'!$B$129:$U$129</definedName>
    <definedName name="WeightedRevAge16">'07_Тарифы'!$B$159:$U$159</definedName>
    <definedName name="WeightedMinAge16">'07_Тарифы'!$B$189:$U$189</definedName>
    <definedName name="ThresholdAge17">'07_Тарифы'!$B$130:$U$130</definedName>
    <definedName name="WeightedRevAge17">'07_Тарифы'!$B$160:$U$160</definedName>
    <definedName name="WeightedMinAge17">'07_Тарифы'!$B$190:$U$190</definedName>
    <definedName name="ThresholdAge18">'07_Тарифы'!$B$131:$U$131</definedName>
    <definedName name="WeightedRevAge18">'07_Тарифы'!$B$161:$U$161</definedName>
    <definedName name="WeightedMinAge18">'07_Тарифы'!$B$191:$U$191</definedName>
    <definedName name="ThresholdAge19">'07_Тарифы'!$B$132:$U$132</definedName>
    <definedName name="WeightedRevAge19">'07_Тарифы'!$B$162:$U$162</definedName>
    <definedName name="WeightedMinAge19">'07_Тарифы'!$B$192:$U$192</definedName>
    <definedName name="ThresholdAge20">'07_Тарифы'!$B$133:$U$133</definedName>
    <definedName name="WeightedRevAge20">'07_Тарифы'!$B$163:$U$163</definedName>
    <definedName name="WeightedMinAge20">'07_Тарифы'!$B$193:$U$193</definedName>
    <definedName name="ThresholdAge21">'07_Тарифы'!$B$134:$U$134</definedName>
    <definedName name="WeightedRevAge21">'07_Тарифы'!$B$164:$U$164</definedName>
    <definedName name="WeightedMinAge21">'07_Тарифы'!$B$194:$U$194</definedName>
    <definedName name="ThresholdAge22">'07_Тарифы'!$B$135:$U$135</definedName>
    <definedName name="WeightedRevAge22">'07_Тарифы'!$B$165:$U$165</definedName>
    <definedName name="WeightedMinAge22">'07_Тарифы'!$B$195:$U$195</definedName>
    <definedName name="ThresholdAge23">'07_Тарифы'!$B$136:$U$136</definedName>
    <definedName name="WeightedRevAge23">'07_Тарифы'!$B$166:$U$166</definedName>
    <definedName name="WeightedMinAge23">'07_Тарифы'!$B$196:$U$196</definedName>
    <definedName name="ThresholdAge24">'07_Тарифы'!$B$137:$U$137</definedName>
    <definedName name="WeightedRevAge24">'07_Тарифы'!$B$167:$U$167</definedName>
    <definedName name="WeightedMinAge24">'07_Тарифы'!$B$197:$U$197</definedName>
    <definedName name="ThresholdAge25">'07_Тарифы'!$B$138:$U$138</definedName>
    <definedName name="WeightedRevAge25">'07_Тарифы'!$B$168:$U$168</definedName>
    <definedName name="WeightedMinAge25">'07_Тарифы'!$B$198:$U$198</definedName>
    <definedName name="СтартМодели">'01_Вводные'!$B$7</definedName>
    <definedName name="ГоризонтМес">'01_Вводные'!$B$8</definedName>
    <definedName name="ШколыСтарт">'01_Вводные'!$B$9</definedName>
    <definedName name="ЮрлицаСтарт">'01_Вводные'!$B$10</definedName>
    <definedName name="ДетиСтарт">'01_Вводные'!$B$11</definedName>
    <definedName name="РостДетей">'01_Вводные'!$B$12</definedName>
    <definedName name="ЗакрытиеГод">'01_Вводные'!$B$13</definedName>
    <definedName name="КоэффСохранения">'01_Вводные'!$B$14</definedName>
    <definedName name="ЛагОткрытия">'01_Вводные'!$B$15</definedName>
    <definedName name="ЛагСледующихШкол">'01_Вводные'!$B$311</definedName>
    <definedName name="ЮрлицНаПродажу">'01_Вводные'!$B$16</definedName>
    <definedName name="ШколНаПродажу">'01_Вводные'!$B$22</definedName>
    <definedName name="ДеньгиСтарт">'01_Вводные'!$B$17</definedName>
    <definedName name="ДоляПоступлТек">'01_Вводные'!$B$20</definedName>
    <definedName name="ДоляОплатыТек">'01_Вводные'!$B$21</definedName>
    <definedName name="КонверсияОткрытия">'01_Вводные'!$B$298</definedName>
    <definedName name="МножительДетей">'01_Вводные'!$F$199</definedName>
    <definedName name="МножительЦен">'01_Вводные'!$F$200</definedName>
    <definedName name="АбонементДейств">'01_Вводные'!$B$51</definedName>
    <definedName name="АбонементНовых">'01_Вводные'!$B$218</definedName>
    <definedName name="СтавкаРоялтиНовых">'01_Вводные'!$B$56</definedName>
    <definedName name="РоялтиПоГруппам">'01_Вводные'!$B$239</definedName>
    <definedName name="ПервичнаяМес1">'01_Вводные'!$B$87</definedName>
    <definedName name="ПервичнаяМес2">'01_Вводные'!$B$88</definedName>
    <definedName name="ПервичнаяМес3">'01_Вводные'!$B$89</definedName>
    <definedName name="ДетиК12Мес">'01_Вводные'!$B$46</definedName>
    <definedName name="ПравилоПовтора">'01_Вводные'!$B$296</definedName>
    <definedName name="ERPБаза">'01_Вводные'!$B$105</definedName>
    <definedName name="ERPШколВБазе">'01_Вводные'!$B$106</definedName>
    <definedName name="ERPНаШколу">'01_Вводные'!$B$107</definedName>
    <definedName name="Офис">'01_Вводные'!$B$108</definedName>
    <definedName name="Юристы">'01_Вводные'!$B$109</definedName>
    <definedName name="ПрочиеIT">'01_Вводные'!$B$110</definedName>
    <definedName name="ФОТЯдра">'01_Вводные'!$B$151</definedName>
    <definedName name="БазаКвартальной">'01_Вводные'!$B$152</definedName>
    <definedName name="ИнфляцияЗарплат">'01_Вводные'!$B$116</definedName>
    <definedName name="ЮрлицНаМенеджера">'01_Вводные'!$B$117</definedName>
    <definedName name="БазовыхМенеджеров">'01_Вводные'!$B$118</definedName>
    <definedName name="ОкладМенеджера">'01_Вводные'!$B$119</definedName>
    <definedName name="КомиссияАгентства">'01_Вводные'!$B$120</definedName>
    <definedName name="ЗаменаДиректора">'01_Вводные'!$B$121</definedName>
    <definedName name="РезервРотации">'01_Вводные'!$B$122</definedName>
    <definedName name="ПремияРазвитияДо">'01_Вводные'!$B$123</definedName>
    <definedName name="ПремияРазвитияС">'01_Вводные'!$B$124</definedName>
    <definedName name="ПремияЕвгения">'01_Вводные'!$B$125</definedName>
    <definedName name="ТриггерПродавца">'01_Вводные'!$B$126</definedName>
    <definedName name="ПродавецФикс">'01_Вводные'!$B$127</definedName>
    <definedName name="ПродавецБонус">'01_Вводные'!$B$128</definedName>
    <definedName name="СтатусПродавца">'01_Вводные'!$B$129</definedName>
    <definedName name="КвартальнаяПремия">'01_Вводные'!$B$130</definedName>
    <definedName name="NetGross">'01_Вводные'!$B$132</definedName>
    <definedName name="ОфисМенеджерNet">'01_Вводные'!$B$133</definedName>
    <definedName name="SMMNet">'01_Вводные'!$B$134</definedName>
    <definedName name="ДатаКвартальных">'01_Вводные'!$B$246</definedName>
    <definedName name="ДатаОфисМенеджера">'01_Вводные'!$B$247</definedName>
    <definedName name="ДатаSMM">'01_Вводные'!$B$248</definedName>
    <definedName name="ДатаПремииРазвития">'01_Вводные'!$B$250</definedName>
    <definedName name="ДатаИндексацииЗП">'01_Вводные'!$B$251</definedName>
    <definedName name="ДатаЗаменыДиректора">'01_Вводные'!$B$255</definedName>
    <definedName name="МесяцРезерва">'01_Вводные'!$B$256</definedName>
    <definedName name="ЛагERP">'01_Вводные'!$B$235</definedName>
    <definedName name="ПремияГДвБазе">'01_Вводные'!$D$138</definedName>
    <definedName name="ПовышениеГД">'01_Вводные'!$B$135</definedName>
    <definedName name="ДатаПовышенияГД">'01_Вводные'!$B$249</definedName>
    <definedName name="ЛагТаргета">'01_Вводные'!$B$27</definedName>
    <definedName name="ДатаОсобогоЛага">'01_Вводные'!$B$242</definedName>
    <definedName name="ОсобыйЛаг">'01_Вводные'!$B$243</definedName>
    <definedName name="СуммаБИБОСС">'01_Вводные'!$B$28</definedName>
    <definedName name="МесяцБИБОСС">'01_Вводные'!$B$29</definedName>
    <definedName name="СуммаTopFranchise">'01_Вводные'!$B$30</definedName>
    <definedName name="МесяцTopFranchise">'01_Вводные'!$B$31</definedName>
    <definedName name="СуммаForbes">'01_Вводные'!$B$32</definedName>
    <definedName name="МесяцForbes">'01_Вводные'!$B$33</definedName>
    <definedName name="ДоляФКПаушальные">'01_Вводные'!$B$59</definedName>
    <definedName name="ДоляФКРоялти">'01_Вводные'!$B$60</definedName>
    <definedName name="МинОстатокДляЗайма">'01_Вводные'!$B$237</definedName>
    <definedName name="ОграничитьЗайм">'01_Вводные'!$B$238</definedName>
    <definedName name="ЗапасДляЗайма">'01_Вводные'!$B$310</definedName>
    <definedName name="СтавкаУСН">'01_Вводные'!$B$156</definedName>
    <definedName name="МинНалог">'01_Вводные'!$B$157</definedName>
    <definedName name="CAPEXВключён">'01_Вводные'!$B$290</definedName>
    <definedName name="CAPEXДоля">'01_Вводные'!$B$286</definedName>
    <definedName name="CAPEXРазовый">'01_Вводные'!$B$287</definedName>
    <definedName name="CAPEXДата">'01_Вводные'!$B$289</definedName>
    <definedName name="CAPEXБаза">'01_Вводные'!$B$288</definedName>
    <definedName name="КаникулыРоялти">'01_Вводные'!$B$297</definedName>
    <definedName name="УчитыватьИсторию">'01_Вводные'!$B$322</definedName>
    <definedName name="СреднийФиксТочки">'01_Вводные'!$B$52</definedName>
    <definedName name="СтавкаРоялтиСтарых">'01_Вводные'!$B$55</definedName>
    <definedName name="СтавкаРоялтиВсех">'01_Вводные'!$B$57</definedName>
    <definedName name="ДатаПереходаСтавки">'01_Вводные'!$B$245</definedName>
    <definedName name="ДатаLegacy">'01_Вводные'!$B$244</definedName>
    <definedName name="НДС">'01_Вводные'!$B$58</definedName>
    <definedName name="СебестКомплекта">'01_Вводные'!$B$71</definedName>
    <definedName name="НаценкаМерча">'01_Вводные'!$B$72</definedName>
    <definedName name="КоэффМерча">'01_Вводные'!$B$74</definedName>
    <definedName name="ЛогистикаМерча">'01_Вводные'!$B$75</definedName>
    <definedName name="ДоляФКМерч">'01_Вводные'!$B$76</definedName>
    <definedName name="СкладСтарт">'01_Вводные'!$B$77</definedName>
    <definedName name="ЗаймСтарт">'01_Вводные'!$B$78</definedName>
    <definedName name="ДоляCOGSНаЗайм">'01_Вводные'!$B$79</definedName>
    <definedName name="ЗапасМес">'01_Вводные'!$B$80</definedName>
    <definedName name="СтартПополнения">'01_Вводные'!$B$81</definedName>
    <definedName name="МесяцЗакупки1">'01_Вводные'!$B$82</definedName>
    <definedName name="МесяцЗакупки2">'01_Вводные'!$B$83</definedName>
    <definedName name="МесяцЗакупки3">'01_Вводные'!$B$84</definedName>
    <definedName name="МесяцЗакупки4">'01_Вводные'!$B$85</definedName>
    <definedName name="СтраховыеВзносы">'01_Вводные'!$B$131</definedName>
    <definedName name="ЛагеряВключены">'01_Вводные'!$B$241</definedName>
    <definedName name="СценарийТекст">'01_Вводные'!$B$192</definedName>
    <definedName name="НомерСценария">'01_Вводные'!$B$194</definedName>
    <definedName name="ГруппыТочек">'01_Вводные'!$B$314:$B$318</definedName>
    <definedName name="ГруппыДоля">'01_Вводные'!$C$314:$C$318</definedName>
    <definedName name="ГруппыФикс">'01_Вводные'!$D$314:$D$318</definedName>
    <definedName name="ГруппыСтавка">'01_Вводные'!$E$314:$E$318</definedName>
    <definedName name="_xlnm.Print_Titles" localSheetId="0">'00_Дашборд'!$B:$B</definedName>
    <definedName name="_xlnm.Print_Area" localSheetId="0">'00_Дашборд'!$B$2:$J$29</definedName>
    <definedName name="_xlnm.Print_Titles" localSheetId="1">'01_Вводные'!$4:$5,'01_Вводные'!$B:$B</definedName>
    <definedName name="_xlnm.Print_Titles" localSheetId="2">'02_Результат'!$4:$5,'02_Результат'!$B:$B</definedName>
    <definedName name="_xlnm.Print_Titles" localSheetId="3">'03_Сеть'!$4:$5,'03_Сеть'!$B:$B</definedName>
    <definedName name="_xlnm.Print_Titles" localSheetId="4">'04_Доходы'!$4:$5,'04_Доходы'!$B:$B</definedName>
    <definedName name="_xlnm.Print_Titles" localSheetId="5">'05_Расходы'!$4:$5,'05_Расходы'!$B:$B</definedName>
    <definedName name="_xlnm.Print_Titles" localSheetId="6">'06_Деньги'!$4:$5,'06_Деньги'!$B:$B</definedName>
    <definedName name="_xlnm.Print_Titles" localSheetId="7">'07_Тарифы'!$4:$5,'07_Тарифы'!$B:$B</definedName>
    <definedName name="_xlnm.Print_Titles" localSheetId="8">'08_Проверки'!$4:$5,'08_Проверки'!$B:$B</definedName>
    <definedName name="_xlnm.Print_Titles" localSheetId="9">'09_Инструкция'!$B:$B</definedName>
    <definedName name="_xlnm.Print_Titles" localSheetId="10">'10_История'!$B:$B</definedName>
  </definedNames>
  <calcPr calcId="124519" fullCalcOnLoad="1"/>
</workbook>
</file>

<file path=xl/styles.xml><?xml version="1.0" encoding="utf-8"?>
<styleSheet xmlns="http://schemas.openxmlformats.org/spreadsheetml/2006/main">
  <numFmts count="31">
    <numFmt numFmtId="164" formatCode="yyyy-mm-dd h:mm:ss"/>
    <numFmt numFmtId="165" formatCode="dd.mm.yyyy"/>
    <numFmt numFmtId="166" formatCode="0&quot; мес.&quot;"/>
    <numFmt numFmtId="167" formatCode="#,##0&quot; шт.&quot;"/>
    <numFmt numFmtId="168" formatCode="#,##0&quot; чел.&quot;"/>
    <numFmt numFmtId="169" formatCode="0.0%;[Red](0.0%);-"/>
    <numFmt numFmtId="170" formatCode="0.0000x"/>
    <numFmt numFmtId="171" formatCode="0.00&quot; юрл./прод.&quot;"/>
    <numFmt numFmtId="172" formatCode="#,##0;[Red](#,##0);-"/>
    <numFmt numFmtId="173" formatCode="0&quot; дн.&quot;"/>
    <numFmt numFmtId="174" formatCode="0.00&quot; школ/прод.&quot;"/>
    <numFmt numFmtId="175" formatCode="0&quot; (№ мес.)&quot;"/>
    <numFmt numFmtId="176" formatCode="#,##0.0;[Red](#,##0.0);-"/>
    <numFmt numFmtId="177" formatCode="0.00&quot; компл.&quot;"/>
    <numFmt numFmtId="178" formatCode="0&quot; юрлиц&quot;"/>
    <numFmt numFmtId="179" formatCode="0&quot; чел.&quot;"/>
    <numFmt numFmtId="180" formatCode="0.00&quot;×&quot;"/>
    <numFmt numFmtId="181" formatCode="0&quot; прод./мес.&quot;"/>
    <numFmt numFmtId="182" formatCode="#,##0&quot; чел./шт.&quot;"/>
    <numFmt numFmtId="183" formatCode="#,##0;[Red](#,##0);&quot;-&quot;"/>
    <numFmt numFmtId="184" formatCode="0.00&quot;x&quot;"/>
    <numFmt numFmtId="185" formatCode="0.0%;[Red](0.0%);&quot;-&quot;"/>
    <numFmt numFmtId="186" formatCode="0.0%"/>
    <numFmt numFmtId="187" formatCode="#,##0.0;[Red](#,##0.0);&quot;-&quot;"/>
    <numFmt numFmtId="188" formatCode="dd/mm/yyyy"/>
    <numFmt numFmtId="189" formatCode="mmm yyyy"/>
    <numFmt numFmtId="190" formatCode="0.0%;[Red]-0.0%;-"/>
    <numFmt numFmtId="191" formatCode="#,##0.0;[Red]-#,##0.0;-"/>
    <numFmt numFmtId="192" formatCode="#,##0;[Red]-#,##0;-"/>
    <numFmt numFmtId="193" formatCode="0.000"/>
    <numFmt numFmtId="194" formatCode="0.0000"/>
  </numFmts>
  <fonts count="42">
    <font>
      <name val="Calibri"/>
      <family val="2"/>
      <color theme="1"/>
      <sz val="11"/>
      <scheme val="minor"/>
    </font>
    <font>
      <b val="1"/>
      <color rgb="FFFFFFFF"/>
      <sz val="14"/>
    </font>
    <font>
      <b val="1"/>
      <sz val="10"/>
    </font>
    <font>
      <sz val="10"/>
    </font>
    <font>
      <i val="1"/>
      <color rgb="00404040"/>
      <sz val="10"/>
    </font>
    <font>
      <b val="1"/>
      <color rgb="000563C1"/>
      <sz val="9"/>
      <u val="single"/>
    </font>
    <font>
      <b val="1"/>
      <color rgb="FF8A0000"/>
    </font>
    <font>
      <color rgb="000563C1"/>
      <sz val="9"/>
      <u val="single"/>
    </font>
    <font>
      <b val="1"/>
      <color rgb="00FFFFFF"/>
      <sz val="12"/>
    </font>
    <font>
      <b val="1"/>
      <color rgb="FFFFFFFF"/>
    </font>
    <font>
      <color rgb="FF0000FF"/>
    </font>
    <font>
      <name val="Calibri"/>
      <color rgb="FF6B7280"/>
    </font>
    <font>
      <color rgb="FF003FA5"/>
    </font>
    <font>
      <name val="Calibri"/>
      <i val="1"/>
      <color rgb="00404040"/>
      <sz val="11"/>
    </font>
    <font>
      <i val="1"/>
      <color rgb="00808080"/>
      <sz val="9"/>
    </font>
    <font>
      <b val="1"/>
      <color rgb="FFFFFFFF"/>
      <sz val="11"/>
    </font>
    <font>
      <color rgb="FF666666"/>
    </font>
    <font>
      <color rgb="00606060"/>
      <sz val="10"/>
    </font>
    <font>
      <name val="Calibri"/>
      <color rgb="FF000000"/>
      <sz val="11"/>
    </font>
    <font>
      <name val="Calibri"/>
      <color rgb="FF0000FF"/>
      <sz val="11"/>
    </font>
    <font>
      <name val="Calibri"/>
      <color rgb="FF222222"/>
      <sz val="11"/>
    </font>
    <font>
      <name val="Calibri"/>
      <b val="1"/>
      <color rgb="FF222222"/>
      <sz val="11"/>
    </font>
    <font>
      <name val="Calibri"/>
      <color rgb="000563C1"/>
      <sz val="11"/>
      <u val="single"/>
    </font>
    <font>
      <name val="Calibri"/>
      <b val="1"/>
      <color rgb="FFFFFFFF"/>
      <sz val="11"/>
    </font>
    <font>
      <name val="Calibri"/>
      <color rgb="FF666666"/>
      <sz val="11"/>
    </font>
    <font>
      <name val="Calibri"/>
      <b val="1"/>
      <color rgb="FFFFFFFF"/>
      <sz val="12"/>
    </font>
    <font>
      <name val="Calibri"/>
      <color rgb="FF008000"/>
      <sz val="11"/>
    </font>
    <font>
      <name val="Arial"/>
      <color rgb="FF0000FF"/>
      <sz val="10"/>
    </font>
    <font>
      <b val="1"/>
      <color rgb="009E1B31"/>
      <sz val="11"/>
    </font>
    <font>
      <name val="Arial"/>
      <color rgb="FF000000"/>
      <sz val="10"/>
    </font>
    <font>
      <name val="Arial"/>
      <color rgb="FF008000"/>
      <sz val="10"/>
    </font>
    <font>
      <b val="1"/>
      <color rgb="009E1B31"/>
      <sz val="14"/>
    </font>
    <font>
      <i val="1"/>
      <color rgb="00595959"/>
      <sz val="10"/>
    </font>
    <font>
      <b val="1"/>
      <color rgb="00FFFFFF"/>
      <sz val="10"/>
    </font>
    <font>
      <i val="1"/>
      <color rgb="00595959"/>
      <sz val="9"/>
    </font>
    <font>
      <b val="1"/>
    </font>
    <font>
      <b val="1"/>
      <color rgb="009E1B31"/>
      <sz val="16"/>
    </font>
    <font>
      <b val="1"/>
      <color rgb="00FFFFFF"/>
      <sz val="11"/>
    </font>
    <font>
      <b val="1"/>
      <color rgb="009E1B31"/>
    </font>
    <font>
      <b val="1"/>
      <color rgb="009E1B31"/>
      <sz val="12"/>
    </font>
    <font>
      <b val="1"/>
      <color rgb="00FFFFFF"/>
    </font>
    <font>
      <color rgb="00595959"/>
      <sz val="9"/>
    </font>
  </fonts>
  <fills count="20">
    <fill>
      <patternFill/>
    </fill>
    <fill>
      <patternFill patternType="gray125"/>
    </fill>
    <fill>
      <patternFill patternType="solid">
        <fgColor rgb="FF8A0000"/>
        <bgColor rgb="FF000000"/>
      </patternFill>
    </fill>
    <fill>
      <patternFill patternType="solid">
        <fgColor rgb="00FFF299"/>
      </patternFill>
    </fill>
    <fill>
      <patternFill patternType="solid">
        <fgColor rgb="00FFF2A5"/>
      </patternFill>
    </fill>
    <fill>
      <patternFill patternType="solid">
        <fgColor rgb="00FFF2A0"/>
      </patternFill>
    </fill>
    <fill>
      <patternFill patternType="solid">
        <fgColor rgb="00FFF2CC"/>
      </patternFill>
    </fill>
    <fill>
      <patternFill patternType="solid">
        <fgColor rgb="00F2F2F2"/>
      </patternFill>
    </fill>
    <fill>
      <patternFill patternType="solid">
        <fgColor rgb="00DDEBF7"/>
      </patternFill>
    </fill>
    <fill>
      <patternFill patternType="solid">
        <fgColor rgb="FFF4E5E8"/>
        <bgColor rgb="FF000000"/>
      </patternFill>
    </fill>
    <fill>
      <patternFill patternType="solid">
        <fgColor rgb="009E1B31"/>
      </patternFill>
    </fill>
    <fill>
      <patternFill patternType="solid">
        <fgColor rgb="FF9E1B31"/>
        <bgColor rgb="FF000000"/>
      </patternFill>
    </fill>
    <fill>
      <patternFill patternType="solid">
        <fgColor rgb="FFFFF299"/>
        <bgColor rgb="FF000000"/>
      </patternFill>
    </fill>
    <fill>
      <patternFill patternType="solid">
        <fgColor rgb="FFFFF2A5"/>
        <bgColor rgb="FF000000"/>
      </patternFill>
    </fill>
    <fill>
      <patternFill patternType="solid">
        <fgColor rgb="FFF2F2F2"/>
        <bgColor rgb="FF000000"/>
      </patternFill>
    </fill>
    <fill>
      <patternFill patternType="solid">
        <fgColor rgb="FFB21E1E"/>
        <bgColor rgb="FF000000"/>
      </patternFill>
    </fill>
    <fill>
      <patternFill patternType="solid">
        <fgColor rgb="FFE2F0D9"/>
        <bgColor rgb="FF000000"/>
      </patternFill>
    </fill>
    <fill>
      <patternFill patternType="solid">
        <fgColor rgb="FFFFF2A0"/>
        <bgColor rgb="FF000000"/>
      </patternFill>
    </fill>
    <fill>
      <patternFill patternType="solid">
        <fgColor rgb="FFFFF2CC"/>
        <bgColor rgb="FF000000"/>
      </patternFill>
    </fill>
    <fill>
      <patternFill patternType="solid">
        <fgColor rgb="00E2F0D9"/>
      </patternFill>
    </fill>
  </fills>
  <borders count="3">
    <border>
      <left/>
      <right/>
      <top/>
      <bottom/>
      <diagonal/>
    </border>
    <border>
      <left style="thin">
        <color rgb="00BFBFBF"/>
      </left>
      <right style="thin">
        <color rgb="00BFBFBF"/>
      </right>
      <top style="thin">
        <color rgb="00BFBFBF"/>
      </top>
      <bottom style="thin">
        <color rgb="00BFBFBF"/>
      </bottom>
    </border>
    <border>
      <top style="thin">
        <color rgb="009E1B31"/>
      </top>
    </border>
  </borders>
  <cellStyleXfs count="1">
    <xf numFmtId="0" fontId="0" fillId="0" borderId="0"/>
  </cellStyleXfs>
  <cellXfs count="164">
    <xf numFmtId="0" fontId="0" fillId="0" borderId="0" pivotButton="0" quotePrefix="0" xfId="0"/>
    <xf numFmtId="0" fontId="36" fillId="0" borderId="0" pivotButton="0" quotePrefix="0" xfId="0"/>
    <xf numFmtId="0" fontId="32" fillId="0" borderId="0" pivotButton="0" quotePrefix="0" xfId="0"/>
    <xf numFmtId="0" fontId="37" fillId="10" borderId="0" applyAlignment="1" pivotButton="0" quotePrefix="0" xfId="0">
      <alignment horizontal="center" wrapText="1"/>
    </xf>
    <xf numFmtId="192" fontId="0" fillId="19" borderId="0" pivotButton="0" quotePrefix="0" xfId="0"/>
    <xf numFmtId="192" fontId="0" fillId="0" borderId="0" pivotButton="0" quotePrefix="0" xfId="0"/>
    <xf numFmtId="192" fontId="0" fillId="8" borderId="0" pivotButton="0" quotePrefix="0" xfId="0"/>
    <xf numFmtId="0" fontId="35" fillId="0" borderId="0" pivotButton="0" quotePrefix="0" xfId="0"/>
    <xf numFmtId="192" fontId="35" fillId="19" borderId="0" pivotButton="0" quotePrefix="0" xfId="0"/>
    <xf numFmtId="192" fontId="35" fillId="0" borderId="0" pivotButton="0" quotePrefix="0" xfId="0"/>
    <xf numFmtId="192" fontId="35" fillId="8" borderId="0" pivotButton="0" quotePrefix="0" xfId="0"/>
    <xf numFmtId="191" fontId="0" fillId="19" borderId="0" pivotButton="0" quotePrefix="0" xfId="0"/>
    <xf numFmtId="191" fontId="0" fillId="0" borderId="0" pivotButton="0" quotePrefix="0" xfId="0"/>
    <xf numFmtId="191" fontId="0" fillId="8" borderId="0" pivotButton="0" quotePrefix="0" xfId="0"/>
    <xf numFmtId="0" fontId="38" fillId="0" borderId="0" pivotButton="0" quotePrefix="0" xfId="0"/>
    <xf numFmtId="190" fontId="0" fillId="0" borderId="0" pivotButton="0" quotePrefix="0" xfId="0"/>
    <xf numFmtId="0" fontId="39" fillId="0" borderId="0" pivotButton="0" quotePrefix="0" xfId="0"/>
    <xf numFmtId="0" fontId="34" fillId="0" borderId="0" pivotButton="0" quotePrefix="0" xfId="0"/>
    <xf numFmtId="0" fontId="2" fillId="0" borderId="0" pivotButton="0" quotePrefix="0" xfId="0"/>
    <xf numFmtId="0" fontId="1" fillId="2" borderId="0" applyAlignment="1" pivotButton="0" quotePrefix="0" xfId="0">
      <alignment horizontal="left" vertical="center"/>
    </xf>
    <xf numFmtId="0" fontId="3" fillId="3" borderId="1" applyAlignment="1" pivotButton="0" quotePrefix="0" xfId="0">
      <alignment horizontal="center"/>
    </xf>
    <xf numFmtId="0" fontId="3" fillId="4" borderId="1" applyAlignment="1" pivotButton="0" quotePrefix="0" xfId="0">
      <alignment horizontal="center"/>
    </xf>
    <xf numFmtId="0" fontId="3" fillId="5" borderId="1" applyAlignment="1" pivotButton="0" quotePrefix="0" xfId="0">
      <alignment horizontal="center"/>
    </xf>
    <xf numFmtId="0" fontId="3" fillId="6" borderId="1" applyAlignment="1" pivotButton="0" quotePrefix="0" xfId="0">
      <alignment horizontal="center"/>
    </xf>
    <xf numFmtId="0" fontId="4" fillId="7" borderId="1" applyAlignment="1" pivotButton="0" quotePrefix="0" xfId="0">
      <alignment horizontal="center"/>
    </xf>
    <xf numFmtId="0" fontId="5" fillId="8" borderId="1" pivotButton="0" quotePrefix="0" xfId="0"/>
    <xf numFmtId="0" fontId="0" fillId="0" borderId="0" applyAlignment="1" pivotButton="0" quotePrefix="0" xfId="0">
      <alignment horizontal="left" vertical="center" wrapText="1"/>
    </xf>
    <xf numFmtId="0" fontId="6" fillId="9" borderId="0" applyAlignment="1" pivotButton="0" quotePrefix="0" xfId="0">
      <alignment vertical="center" wrapText="1"/>
    </xf>
    <xf numFmtId="0" fontId="7" fillId="8" borderId="1" pivotButton="0" quotePrefix="0" xfId="0"/>
    <xf numFmtId="0" fontId="8" fillId="10" borderId="0" applyAlignment="1" pivotButton="0" quotePrefix="0" xfId="0">
      <alignment horizontal="left" vertical="center"/>
    </xf>
    <xf numFmtId="0" fontId="9" fillId="11" borderId="0" applyAlignment="1" pivotButton="0" quotePrefix="0" xfId="0">
      <alignment horizontal="center" vertical="center" wrapText="1"/>
    </xf>
    <xf numFmtId="165" fontId="10" fillId="12" borderId="0" applyAlignment="1" pivotButton="0" quotePrefix="0" xfId="0">
      <alignment vertical="center"/>
    </xf>
    <xf numFmtId="0" fontId="0" fillId="0" borderId="0" applyAlignment="1" pivotButton="0" quotePrefix="0" xfId="0">
      <alignment vertical="center"/>
    </xf>
    <xf numFmtId="0" fontId="0" fillId="0" borderId="0" applyAlignment="1" pivotButton="0" quotePrefix="0" xfId="0">
      <alignment vertical="center" wrapText="1"/>
    </xf>
    <xf numFmtId="166" fontId="11" fillId="0" borderId="0" applyAlignment="1" pivotButton="0" quotePrefix="0" xfId="0">
      <alignment vertical="center"/>
    </xf>
    <xf numFmtId="167" fontId="12" fillId="13" borderId="0" applyAlignment="1" pivotButton="0" quotePrefix="0" xfId="0">
      <alignment vertical="center"/>
    </xf>
    <xf numFmtId="167" fontId="10" fillId="12" borderId="0" applyAlignment="1" pivotButton="0" quotePrefix="0" xfId="0">
      <alignment vertical="center"/>
    </xf>
    <xf numFmtId="168" fontId="10" fillId="12" borderId="0" applyAlignment="1" pivotButton="0" quotePrefix="0" xfId="0">
      <alignment vertical="center"/>
    </xf>
    <xf numFmtId="169" fontId="10" fillId="12" borderId="0" applyAlignment="1" pivotButton="0" quotePrefix="0" xfId="0">
      <alignment vertical="center"/>
    </xf>
    <xf numFmtId="169" fontId="12" fillId="13" borderId="0" applyAlignment="1" pivotButton="0" quotePrefix="0" xfId="0">
      <alignment vertical="center"/>
    </xf>
    <xf numFmtId="170" fontId="13" fillId="14" borderId="0" applyAlignment="1" pivotButton="0" quotePrefix="0" xfId="0">
      <alignment vertical="center"/>
    </xf>
    <xf numFmtId="166" fontId="10" fillId="12" borderId="0" applyAlignment="1" pivotButton="0" quotePrefix="0" xfId="0">
      <alignment vertical="center"/>
    </xf>
    <xf numFmtId="171" fontId="12" fillId="13" borderId="0" applyAlignment="1" pivotButton="0" quotePrefix="0" xfId="0">
      <alignment vertical="center"/>
    </xf>
    <xf numFmtId="172" fontId="12" fillId="13" borderId="0" applyAlignment="1" pivotButton="0" quotePrefix="0" xfId="0">
      <alignment vertical="center"/>
    </xf>
    <xf numFmtId="173" fontId="13" fillId="7" borderId="0" applyAlignment="1" pivotButton="0" quotePrefix="0" xfId="0">
      <alignment horizontal="right" vertical="center" wrapText="1"/>
    </xf>
    <xf numFmtId="0" fontId="14" fillId="0" borderId="0" pivotButton="0" quotePrefix="0" xfId="0"/>
    <xf numFmtId="173" fontId="10" fillId="12" borderId="0" applyAlignment="1" pivotButton="0" quotePrefix="0" xfId="0">
      <alignment vertical="center"/>
    </xf>
    <xf numFmtId="169" fontId="13" fillId="14" borderId="0" applyAlignment="1" pivotButton="0" quotePrefix="0" xfId="0">
      <alignment vertical="center"/>
    </xf>
    <xf numFmtId="174" fontId="12" fillId="13" borderId="0" applyAlignment="1" pivotButton="0" quotePrefix="0" xfId="0">
      <alignment vertical="center"/>
    </xf>
    <xf numFmtId="172" fontId="13" fillId="7" borderId="0" applyAlignment="1" pivotButton="0" quotePrefix="0" xfId="0">
      <alignment horizontal="right" vertical="center" wrapText="1"/>
    </xf>
    <xf numFmtId="172" fontId="10" fillId="12" borderId="0" applyAlignment="1" pivotButton="0" quotePrefix="0" xfId="0">
      <alignment vertical="center"/>
    </xf>
    <xf numFmtId="175" fontId="10" fillId="12" borderId="0" applyAlignment="1" pivotButton="0" quotePrefix="0" xfId="0">
      <alignment vertical="center"/>
    </xf>
    <xf numFmtId="0" fontId="15" fillId="15" borderId="0" applyAlignment="1" pivotButton="0" quotePrefix="0" xfId="0">
      <alignment horizontal="left" vertical="center"/>
    </xf>
    <xf numFmtId="0" fontId="16" fillId="0" borderId="0" applyAlignment="1" pivotButton="0" quotePrefix="0" xfId="0">
      <alignment vertical="center"/>
    </xf>
    <xf numFmtId="0" fontId="0" fillId="16" borderId="0" applyAlignment="1" pivotButton="0" quotePrefix="0" xfId="0">
      <alignment horizontal="left" vertical="center" wrapText="1"/>
    </xf>
    <xf numFmtId="176" fontId="13" fillId="7" borderId="0" applyAlignment="1" pivotButton="0" quotePrefix="0" xfId="0">
      <alignment horizontal="right" vertical="center" wrapText="1"/>
    </xf>
    <xf numFmtId="0" fontId="0" fillId="16" borderId="0" applyAlignment="1" pivotButton="0" quotePrefix="0" xfId="0">
      <alignment vertical="center" wrapText="1"/>
    </xf>
    <xf numFmtId="172" fontId="13" fillId="7" borderId="0" applyAlignment="1" pivotButton="0" quotePrefix="0" xfId="0">
      <alignment vertical="center"/>
    </xf>
    <xf numFmtId="0" fontId="17" fillId="0" borderId="0" applyAlignment="1" pivotButton="0" quotePrefix="0" xfId="0">
      <alignment vertical="center" wrapText="1"/>
    </xf>
    <xf numFmtId="0" fontId="14" fillId="0" borderId="0" applyAlignment="1" pivotButton="0" quotePrefix="0" xfId="0">
      <alignment vertical="top" wrapText="1"/>
    </xf>
    <xf numFmtId="172" fontId="13" fillId="14" borderId="0" applyAlignment="1" pivotButton="0" quotePrefix="0" xfId="0">
      <alignment vertical="center"/>
    </xf>
    <xf numFmtId="177" fontId="13" fillId="7" borderId="0" applyAlignment="1" pivotButton="0" quotePrefix="0" xfId="0">
      <alignment horizontal="right" vertical="center" wrapText="1"/>
    </xf>
    <xf numFmtId="175" fontId="12" fillId="13" borderId="0" applyAlignment="1" pivotButton="0" quotePrefix="0" xfId="0">
      <alignment vertical="center"/>
    </xf>
    <xf numFmtId="17" fontId="9" fillId="11" borderId="0" applyAlignment="1" pivotButton="0" quotePrefix="0" xfId="0">
      <alignment horizontal="center" vertical="center" wrapText="1"/>
    </xf>
    <xf numFmtId="178" fontId="10" fillId="12" borderId="0" applyAlignment="1" pivotButton="0" quotePrefix="0" xfId="0">
      <alignment vertical="center"/>
    </xf>
    <xf numFmtId="179" fontId="10" fillId="12" borderId="0" applyAlignment="1" pivotButton="0" quotePrefix="0" xfId="0">
      <alignment vertical="center"/>
    </xf>
    <xf numFmtId="180" fontId="10" fillId="12" borderId="0" applyAlignment="1" pivotButton="0" quotePrefix="0" xfId="0">
      <alignment vertical="center"/>
    </xf>
    <xf numFmtId="181" fontId="10" fillId="12" borderId="0" applyAlignment="1" pivotButton="0" quotePrefix="0" xfId="0">
      <alignment vertical="center"/>
    </xf>
    <xf numFmtId="49" fontId="12" fillId="17" borderId="0" applyAlignment="1" pivotButton="0" quotePrefix="0" xfId="0">
      <alignment vertical="center"/>
    </xf>
    <xf numFmtId="2" fontId="10" fillId="12" borderId="0" applyAlignment="1" pivotButton="0" quotePrefix="0" xfId="0">
      <alignment vertical="center"/>
    </xf>
    <xf numFmtId="0" fontId="10" fillId="12" borderId="0" applyAlignment="1" pivotButton="0" quotePrefix="0" xfId="0">
      <alignment horizontal="left" vertical="center" wrapText="1"/>
    </xf>
    <xf numFmtId="0" fontId="10" fillId="12" borderId="0" applyAlignment="1" pivotButton="0" quotePrefix="0" xfId="0">
      <alignment vertical="center"/>
    </xf>
    <xf numFmtId="0" fontId="10" fillId="17" borderId="0" applyAlignment="1" pivotButton="0" quotePrefix="0" xfId="0">
      <alignment vertical="center"/>
    </xf>
    <xf numFmtId="182" fontId="10" fillId="12" borderId="0" applyAlignment="1" pivotButton="0" quotePrefix="0" xfId="0">
      <alignment vertical="center"/>
    </xf>
    <xf numFmtId="169" fontId="18" fillId="12" borderId="0" applyAlignment="1" pivotButton="0" quotePrefix="0" xfId="0">
      <alignment vertical="center"/>
    </xf>
    <xf numFmtId="165" fontId="9" fillId="11" borderId="0" applyAlignment="1" pivotButton="0" quotePrefix="0" xfId="0">
      <alignment horizontal="center" vertical="center" wrapText="1"/>
    </xf>
    <xf numFmtId="0" fontId="12" fillId="13" borderId="0" pivotButton="0" quotePrefix="0" xfId="0"/>
    <xf numFmtId="49" fontId="19" fillId="17" borderId="0" applyAlignment="1" pivotButton="0" quotePrefix="0" xfId="0">
      <alignment horizontal="right" vertical="center" wrapText="1"/>
    </xf>
    <xf numFmtId="0" fontId="8" fillId="10" borderId="0" applyAlignment="1" pivotButton="0" quotePrefix="0" xfId="0">
      <alignment vertical="center" wrapText="1"/>
    </xf>
    <xf numFmtId="0" fontId="20" fillId="0" borderId="0" applyAlignment="1" pivotButton="0" quotePrefix="0" xfId="0">
      <alignment vertical="center" wrapText="1"/>
    </xf>
    <xf numFmtId="0" fontId="21" fillId="0" borderId="0" applyAlignment="1" pivotButton="0" quotePrefix="0" xfId="0">
      <alignment vertical="center" wrapText="1"/>
    </xf>
    <xf numFmtId="0" fontId="22" fillId="0" borderId="0" applyAlignment="1" pivotButton="0" quotePrefix="0" xfId="0">
      <alignment vertical="center" wrapText="1"/>
    </xf>
    <xf numFmtId="183" fontId="13" fillId="7" borderId="0" applyAlignment="1" pivotButton="0" quotePrefix="0" xfId="0">
      <alignment horizontal="right" vertical="center" wrapText="1"/>
    </xf>
    <xf numFmtId="0" fontId="23" fillId="11" borderId="0" applyAlignment="1" pivotButton="0" quotePrefix="0" xfId="0">
      <alignment horizontal="center" vertical="center" wrapText="1"/>
    </xf>
    <xf numFmtId="184" fontId="19" fillId="12" borderId="0" applyAlignment="1" pivotButton="0" quotePrefix="0" xfId="0">
      <alignment horizontal="right" vertical="center" wrapText="1"/>
    </xf>
    <xf numFmtId="184" fontId="24" fillId="0" borderId="0" pivotButton="0" quotePrefix="0" xfId="0"/>
    <xf numFmtId="184" fontId="13" fillId="7" borderId="0" applyAlignment="1" pivotButton="0" quotePrefix="0" xfId="0">
      <alignment horizontal="right" vertical="center" wrapText="1"/>
    </xf>
    <xf numFmtId="185" fontId="19" fillId="12" borderId="0" applyAlignment="1" pivotButton="0" quotePrefix="0" xfId="0">
      <alignment horizontal="right" vertical="center" wrapText="1"/>
    </xf>
    <xf numFmtId="0" fontId="25" fillId="11" borderId="0" applyAlignment="1" pivotButton="0" quotePrefix="0" xfId="0">
      <alignment vertical="center" wrapText="1"/>
    </xf>
    <xf numFmtId="172" fontId="19" fillId="12" borderId="0" applyAlignment="1" pivotButton="0" quotePrefix="0" xfId="0">
      <alignment horizontal="right" vertical="center" wrapText="1"/>
    </xf>
    <xf numFmtId="0" fontId="20" fillId="16" borderId="0" applyAlignment="1" pivotButton="0" quotePrefix="0" xfId="0">
      <alignment vertical="center" wrapText="1"/>
    </xf>
    <xf numFmtId="177" fontId="19" fillId="12" borderId="0" applyAlignment="1" pivotButton="0" quotePrefix="0" xfId="0">
      <alignment horizontal="right" vertical="center" wrapText="1"/>
    </xf>
    <xf numFmtId="173" fontId="19" fillId="12" borderId="0" applyAlignment="1" pivotButton="0" quotePrefix="0" xfId="0">
      <alignment horizontal="right" vertical="center" wrapText="1"/>
    </xf>
    <xf numFmtId="0" fontId="13" fillId="7" borderId="0" applyAlignment="1" pivotButton="0" quotePrefix="0" xfId="0">
      <alignment horizontal="right" vertical="center" wrapText="1"/>
    </xf>
    <xf numFmtId="0" fontId="8" fillId="10" borderId="0" pivotButton="0" quotePrefix="0" xfId="0"/>
    <xf numFmtId="49" fontId="19" fillId="17" borderId="0" applyAlignment="1" pivotButton="0" quotePrefix="0" xfId="0">
      <alignment vertical="center"/>
    </xf>
    <xf numFmtId="166" fontId="19" fillId="17" borderId="0" applyAlignment="1" pivotButton="0" quotePrefix="0" xfId="0">
      <alignment vertical="center"/>
    </xf>
    <xf numFmtId="176" fontId="13" fillId="7" borderId="0" applyAlignment="1" pivotButton="0" quotePrefix="0" xfId="0">
      <alignment vertical="center"/>
    </xf>
    <xf numFmtId="172" fontId="19" fillId="17" borderId="0" applyAlignment="1" pivotButton="0" quotePrefix="0" xfId="0">
      <alignment vertical="center"/>
    </xf>
    <xf numFmtId="186" fontId="19" fillId="17" borderId="0" applyAlignment="1" pivotButton="0" quotePrefix="0" xfId="0">
      <alignment vertical="center"/>
    </xf>
    <xf numFmtId="165" fontId="19" fillId="17" borderId="0" applyAlignment="1" pivotButton="0" quotePrefix="0" xfId="0">
      <alignment vertical="center"/>
    </xf>
    <xf numFmtId="175" fontId="19" fillId="17" borderId="0" applyAlignment="1" pivotButton="0" quotePrefix="0" xfId="0">
      <alignment vertical="center"/>
    </xf>
    <xf numFmtId="0" fontId="13" fillId="7" borderId="0" pivotButton="0" quotePrefix="0" xfId="0"/>
    <xf numFmtId="185" fontId="13" fillId="7" borderId="0" pivotButton="0" quotePrefix="0" xfId="0"/>
    <xf numFmtId="0" fontId="23" fillId="11" borderId="0" applyAlignment="1" pivotButton="0" quotePrefix="0" xfId="0">
      <alignment vertical="center" wrapText="1"/>
    </xf>
    <xf numFmtId="185" fontId="19" fillId="17" borderId="0" applyAlignment="1" pivotButton="0" quotePrefix="0" xfId="0">
      <alignment vertical="center" wrapText="1"/>
    </xf>
    <xf numFmtId="183" fontId="19" fillId="17" borderId="0" applyAlignment="1" pivotButton="0" quotePrefix="0" xfId="0">
      <alignment vertical="center" wrapText="1"/>
    </xf>
    <xf numFmtId="187" fontId="19" fillId="17" borderId="0" applyAlignment="1" pivotButton="0" quotePrefix="0" xfId="0">
      <alignment vertical="center" wrapText="1"/>
    </xf>
    <xf numFmtId="186" fontId="19" fillId="18" borderId="0" applyAlignment="1" pivotButton="0" quotePrefix="0" xfId="0">
      <alignment vertical="center"/>
    </xf>
    <xf numFmtId="183" fontId="19" fillId="18" borderId="0" applyAlignment="1" pivotButton="0" quotePrefix="0" xfId="0">
      <alignment vertical="center"/>
    </xf>
    <xf numFmtId="49" fontId="19" fillId="18" borderId="0" applyAlignment="1" pivotButton="0" quotePrefix="0" xfId="0">
      <alignment vertical="center"/>
    </xf>
    <xf numFmtId="165" fontId="26" fillId="18" borderId="0" applyAlignment="1" pivotButton="0" quotePrefix="0" xfId="0">
      <alignment vertical="center"/>
    </xf>
    <xf numFmtId="188" fontId="27" fillId="18" borderId="0" applyAlignment="1" pivotButton="0" quotePrefix="0" xfId="0">
      <alignment vertical="center" wrapText="1"/>
    </xf>
    <xf numFmtId="49" fontId="27" fillId="18" borderId="0" applyAlignment="1" pivotButton="0" quotePrefix="0" xfId="0">
      <alignment vertical="center" wrapText="1"/>
    </xf>
    <xf numFmtId="166" fontId="27" fillId="18" borderId="0" applyAlignment="1" pivotButton="0" quotePrefix="0" xfId="0">
      <alignment vertical="center" wrapText="1"/>
    </xf>
    <xf numFmtId="169" fontId="27" fillId="18" borderId="0" applyAlignment="1" pivotButton="0" quotePrefix="0" xfId="0">
      <alignment vertical="center" wrapText="1"/>
    </xf>
    <xf numFmtId="186" fontId="27" fillId="18" borderId="0" pivotButton="0" quotePrefix="0" xfId="0"/>
    <xf numFmtId="0" fontId="28" fillId="0" borderId="0" pivotButton="0" quotePrefix="0" xfId="0"/>
    <xf numFmtId="0" fontId="0" fillId="3" borderId="1" pivotButton="0" quotePrefix="0" xfId="0"/>
    <xf numFmtId="10" fontId="0" fillId="0" borderId="0" pivotButton="0" quotePrefix="0" xfId="0"/>
    <xf numFmtId="3" fontId="0" fillId="0" borderId="0" pivotButton="0" quotePrefix="0" xfId="0"/>
    <xf numFmtId="17" fontId="0" fillId="0" borderId="0" pivotButton="0" quotePrefix="0" xfId="0"/>
    <xf numFmtId="0" fontId="31" fillId="0" borderId="0" pivotButton="0" quotePrefix="0" xfId="0"/>
    <xf numFmtId="0" fontId="33" fillId="10" borderId="0" applyAlignment="1" pivotButton="0" quotePrefix="0" xfId="0">
      <alignment horizontal="center" vertical="center" wrapText="1"/>
    </xf>
    <xf numFmtId="189" fontId="33" fillId="10" borderId="0" applyAlignment="1" pivotButton="0" quotePrefix="0" xfId="0">
      <alignment horizontal="center" vertical="center" wrapText="1"/>
    </xf>
    <xf numFmtId="0" fontId="28" fillId="6" borderId="0" pivotButton="0" quotePrefix="0" xfId="0"/>
    <xf numFmtId="0" fontId="0" fillId="6" borderId="0" pivotButton="0" quotePrefix="0" xfId="0"/>
    <xf numFmtId="0" fontId="34" fillId="0" borderId="0" applyAlignment="1" pivotButton="0" quotePrefix="0" xfId="0">
      <alignment vertical="top" wrapText="1"/>
    </xf>
    <xf numFmtId="191" fontId="0" fillId="7" borderId="0" pivotButton="0" quotePrefix="0" xfId="0"/>
    <xf numFmtId="192" fontId="0" fillId="7" borderId="0" pivotButton="0" quotePrefix="0" xfId="0"/>
    <xf numFmtId="0" fontId="35" fillId="0" borderId="0" applyAlignment="1" pivotButton="0" quotePrefix="0" xfId="0">
      <alignment vertical="top" wrapText="1"/>
    </xf>
    <xf numFmtId="192" fontId="35" fillId="7" borderId="0" pivotButton="0" quotePrefix="0" xfId="0"/>
    <xf numFmtId="190" fontId="0" fillId="7" borderId="0" pivotButton="0" quotePrefix="0" xfId="0"/>
    <xf numFmtId="190" fontId="0" fillId="8" borderId="0" pivotButton="0" quotePrefix="0" xfId="0"/>
    <xf numFmtId="189" fontId="0" fillId="7" borderId="0" pivotButton="0" quotePrefix="0" xfId="0"/>
    <xf numFmtId="189" fontId="0" fillId="8" borderId="0" pivotButton="0" quotePrefix="0" xfId="0"/>
    <xf numFmtId="189" fontId="0" fillId="0" borderId="0" pivotButton="0" quotePrefix="0" xfId="0"/>
    <xf numFmtId="1" fontId="0" fillId="7" borderId="0" pivotButton="0" quotePrefix="0" xfId="0"/>
    <xf numFmtId="1" fontId="0" fillId="8" borderId="0" pivotButton="0" quotePrefix="0" xfId="0"/>
    <xf numFmtId="1" fontId="0" fillId="0" borderId="0" pivotButton="0" quotePrefix="0" xfId="0"/>
    <xf numFmtId="0" fontId="0" fillId="7" borderId="0" pivotButton="0" quotePrefix="0" xfId="0"/>
    <xf numFmtId="191" fontId="35" fillId="7" borderId="0" pivotButton="0" quotePrefix="0" xfId="0"/>
    <xf numFmtId="191" fontId="35" fillId="8" borderId="0" pivotButton="0" quotePrefix="0" xfId="0"/>
    <xf numFmtId="191" fontId="35" fillId="0" borderId="0" pivotButton="0" quotePrefix="0" xfId="0"/>
    <xf numFmtId="193" fontId="0" fillId="7" borderId="0" pivotButton="0" quotePrefix="0" xfId="0"/>
    <xf numFmtId="193" fontId="0" fillId="8" borderId="0" pivotButton="0" quotePrefix="0" xfId="0"/>
    <xf numFmtId="193" fontId="0" fillId="0" borderId="0" pivotButton="0" quotePrefix="0" xfId="0"/>
    <xf numFmtId="194" fontId="0" fillId="7" borderId="0" pivotButton="0" quotePrefix="0" xfId="0"/>
    <xf numFmtId="194" fontId="0" fillId="8" borderId="0" pivotButton="0" quotePrefix="0" xfId="0"/>
    <xf numFmtId="194" fontId="0" fillId="0" borderId="0" pivotButton="0" quotePrefix="0" xfId="0"/>
    <xf numFmtId="0" fontId="29" fillId="0" borderId="0" applyAlignment="1" pivotButton="0" quotePrefix="0" xfId="0">
      <alignment vertical="center"/>
    </xf>
    <xf numFmtId="17" fontId="30" fillId="0" borderId="0" applyAlignment="1" pivotButton="0" quotePrefix="0" xfId="0">
      <alignment vertical="center"/>
    </xf>
    <xf numFmtId="183" fontId="30" fillId="0" borderId="0" applyAlignment="1" pivotButton="0" quotePrefix="0" xfId="0">
      <alignment vertical="center"/>
    </xf>
    <xf numFmtId="183" fontId="0" fillId="0" borderId="0" pivotButton="0" quotePrefix="0" xfId="0"/>
    <xf numFmtId="183" fontId="29" fillId="0" borderId="0" applyAlignment="1" pivotButton="0" quotePrefix="0" xfId="0">
      <alignment vertical="center"/>
    </xf>
    <xf numFmtId="0" fontId="40" fillId="10" borderId="0" pivotButton="0" quotePrefix="0" xfId="0"/>
    <xf numFmtId="4" fontId="0" fillId="0" borderId="0" pivotButton="0" quotePrefix="0" xfId="0"/>
    <xf numFmtId="0" fontId="39" fillId="6"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3" fillId="10" borderId="0" applyAlignment="1" pivotButton="0" quotePrefix="0" xfId="0">
      <alignment horizontal="center" wrapText="1"/>
    </xf>
    <xf numFmtId="0" fontId="41" fillId="0" borderId="0" pivotButton="0" quotePrefix="0" xfId="0"/>
    <xf numFmtId="0" fontId="35" fillId="0" borderId="2" pivotButton="0" quotePrefix="0" xfId="0"/>
    <xf numFmtId="190" fontId="35" fillId="0" borderId="0" pivotButton="0" quotePrefix="0" xfId="0"/>
  </cellXfs>
  <cellStyles count="1">
    <cellStyle name="Normal" xfId="0" builtinId="0" hidden="0"/>
  </cellStyles>
  <dxfs count="2">
    <dxf>
      <fill>
        <patternFill patternType="solid">
          <fgColor rgb="00E2F0D9"/>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style val="2"/>
  <chart>
    <title>
      <tx>
        <rich>
          <a:bodyPr/>
          <a:p>
            <a:pPr>
              <a:defRPr/>
            </a:pPr>
            <a:r>
              <a:t>Сеть: школы и дети</a:t>
            </a:r>
          </a:p>
        </rich>
      </tx>
    </title>
    <plotArea>
      <lineChart>
        <grouping val="standard"/>
        <ser>
          <idx val="0"/>
          <order val="0"/>
          <tx>
            <v>Школы, шт.</v>
          </tx>
          <spPr>
            <a:ln>
              <a:prstDash val="solid"/>
            </a:ln>
          </spPr>
          <marker>
            <symbol val="none"/>
            <spPr>
              <a:ln>
                <a:prstDash val="solid"/>
              </a:ln>
            </spPr>
          </marker>
          <cat>
            <numRef>
              <f>'03_Сеть'!$L$5:$BS$5</f>
            </numRef>
          </cat>
          <val>
            <numRef>
              <f>'03_Сеть'!$L$60:$BS$60</f>
            </numRef>
          </val>
        </ser>
        <axId val="10"/>
        <axId val="100"/>
      </lineChart>
      <lineChart>
        <grouping val="standard"/>
        <ser>
          <idx val="1"/>
          <order val="1"/>
          <tx>
            <v>Дети, чел.</v>
          </tx>
          <spPr>
            <a:ln>
              <a:prstDash val="solid"/>
            </a:ln>
          </spPr>
          <marker>
            <symbol val="none"/>
            <spPr>
              <a:ln>
                <a:prstDash val="solid"/>
              </a:ln>
            </spPr>
          </marker>
          <cat>
            <numRef>
              <f>'03_Сеть'!$L$5:$BS$5</f>
            </numRef>
          </cat>
          <val>
            <numRef>
              <f>'03_Сеть'!$L$62:$BS$62</f>
            </numRef>
          </val>
        </ser>
        <axId val="10"/>
        <axId val="200"/>
      </lineChart>
      <catAx>
        <axId val="10"/>
        <scaling>
          <orientation val="minMax"/>
        </scaling>
        <axPos val="l"/>
        <numFmt formatCode="mmm yyyy" sourceLinked="0"/>
        <majorTickMark val="none"/>
        <minorTickMark val="none"/>
        <crossAx val="100"/>
        <lblOffset val="100"/>
        <tickLblSkip val="6"/>
        <tickMarkSkip val="6"/>
      </catAx>
      <valAx>
        <axId val="100"/>
        <scaling>
          <orientation val="minMax"/>
        </scaling>
        <axPos val="l"/>
        <majorGridlines/>
        <numFmt formatCode="#,##0" sourceLinked="0"/>
        <majorTickMark val="none"/>
        <minorTickMark val="none"/>
        <crossAx val="10"/>
      </valAx>
      <valAx>
        <axId val="200"/>
        <scaling>
          <orientation val="minMax"/>
        </scaling>
        <axPos val="l"/>
        <majorGridlines/>
        <numFmt formatCode="#,##0" sourceLinked="0"/>
        <majorTickMark val="none"/>
        <minorTickMark val="none"/>
        <crossAx val="10"/>
        <crosses val="max"/>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Продажи франшиз и открытия школ</a:t>
            </a:r>
          </a:p>
        </rich>
      </tx>
    </title>
    <plotArea>
      <barChart>
        <barDir val="col"/>
        <grouping val="clustered"/>
        <ser>
          <idx val="0"/>
          <order val="0"/>
          <tx>
            <v>Продано франшиз</v>
          </tx>
          <spPr>
            <a:ln>
              <a:prstDash val="solid"/>
            </a:ln>
          </spPr>
          <cat>
            <numRef>
              <f>'03_Сеть'!$L$5:$BS$5</f>
            </numRef>
          </cat>
          <val>
            <numRef>
              <f>'03_Сеть'!$L$13:$BS$13</f>
            </numRef>
          </val>
        </ser>
        <ser>
          <idx val="1"/>
          <order val="1"/>
          <tx>
            <v>Открыто школ</v>
          </tx>
          <spPr>
            <a:ln>
              <a:prstDash val="solid"/>
            </a:ln>
          </spPr>
          <cat>
            <numRef>
              <f>'03_Сеть'!$L$5:$BS$5</f>
            </numRef>
          </cat>
          <val>
            <numRef>
              <f>'03_Сеть'!$L$14:$BS$14</f>
            </numRef>
          </val>
        </ser>
        <gapWidth val="30"/>
        <overlap val="100"/>
        <axId val="10"/>
        <axId val="100"/>
      </barChart>
      <catAx>
        <axId val="10"/>
        <scaling>
          <orientation val="minMax"/>
        </scaling>
        <axPos val="l"/>
        <numFmt formatCode="mmm yyyy" sourceLinked="0"/>
        <majorTickMark val="none"/>
        <minorTickMark val="none"/>
        <crossAx val="100"/>
        <lblOffset val="100"/>
        <tickLblSkip val="6"/>
        <tickMarkSkip val="6"/>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Выручка и EBITDA</a:t>
            </a:r>
          </a:p>
        </rich>
      </tx>
    </title>
    <plotArea>
      <lineChart>
        <grouping val="standard"/>
        <ser>
          <idx val="0"/>
          <order val="0"/>
          <tx>
            <v>Выручка без НДС</v>
          </tx>
          <spPr>
            <a:ln>
              <a:prstDash val="solid"/>
            </a:ln>
          </spPr>
          <marker>
            <symbol val="none"/>
            <spPr>
              <a:ln>
                <a:prstDash val="solid"/>
              </a:ln>
            </spPr>
          </marker>
          <cat>
            <numRef>
              <f>'02_Результат'!$L$5:$BS$5</f>
            </numRef>
          </cat>
          <val>
            <numRef>
              <f>'02_Результат'!$L$16:$BS$16</f>
            </numRef>
          </val>
        </ser>
        <ser>
          <idx val="1"/>
          <order val="1"/>
          <tx>
            <v>EBITDA</v>
          </tx>
          <spPr>
            <a:ln>
              <a:prstDash val="solid"/>
            </a:ln>
          </spPr>
          <marker>
            <symbol val="none"/>
            <spPr>
              <a:ln>
                <a:prstDash val="solid"/>
              </a:ln>
            </spPr>
          </marker>
          <cat>
            <numRef>
              <f>'02_Результат'!$L$5:$BS$5</f>
            </numRef>
          </cat>
          <val>
            <numRef>
              <f>'02_Результат'!$L$33:$BS$33</f>
            </numRef>
          </val>
        </ser>
        <axId val="10"/>
        <axId val="100"/>
      </lineChart>
      <catAx>
        <axId val="10"/>
        <scaling>
          <orientation val="minMax"/>
        </scaling>
        <axPos val="l"/>
        <numFmt formatCode="mmm yyyy" sourceLinked="0"/>
        <majorTickMark val="none"/>
        <minorTickMark val="none"/>
        <crossAx val="100"/>
        <lblOffset val="100"/>
        <tickLblSkip val="6"/>
        <tickMarkSkip val="6"/>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Роялти: откуда он берётся</a:t>
            </a:r>
          </a:p>
        </rich>
      </tx>
    </title>
    <plotArea>
      <lineChart>
        <grouping val="standard"/>
        <ser>
          <idx val="0"/>
          <order val="0"/>
          <tx>
            <v>Действующая сеть</v>
          </tx>
          <spPr>
            <a:ln>
              <a:prstDash val="solid"/>
            </a:ln>
          </spPr>
          <marker>
            <symbol val="none"/>
            <spPr>
              <a:ln>
                <a:prstDash val="solid"/>
              </a:ln>
            </spPr>
          </marker>
          <cat>
            <numRef>
              <f>'04_Доходы'!$L$5:$BS$5</f>
            </numRef>
          </cat>
          <val>
            <numRef>
              <f>'04_Доходы'!$L$17:$BS$17</f>
            </numRef>
          </val>
        </ser>
        <ser>
          <idx val="1"/>
          <order val="1"/>
          <tx>
            <v>Новые школы</v>
          </tx>
          <spPr>
            <a:ln>
              <a:prstDash val="solid"/>
            </a:ln>
          </spPr>
          <marker>
            <symbol val="none"/>
            <spPr>
              <a:ln>
                <a:prstDash val="solid"/>
              </a:ln>
            </spPr>
          </marker>
          <cat>
            <numRef>
              <f>'04_Доходы'!$L$5:$BS$5</f>
            </numRef>
          </cat>
          <val>
            <numRef>
              <f>'04_Доходы'!$L$102:$BS$102</f>
            </numRef>
          </val>
        </ser>
        <axId val="10"/>
        <axId val="100"/>
      </lineChart>
      <catAx>
        <axId val="10"/>
        <scaling>
          <orientation val="minMax"/>
        </scaling>
        <axPos val="l"/>
        <numFmt formatCode="mmm yyyy" sourceLinked="0"/>
        <majorTickMark val="none"/>
        <minorTickMark val="none"/>
        <crossAx val="100"/>
        <lblOffset val="100"/>
        <tickLblSkip val="6"/>
        <tickMarkSkip val="6"/>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Форма: выручка и прибыль</a:t>
            </a:r>
          </a:p>
        </rich>
      </tx>
    </title>
    <plotArea>
      <barChart>
        <barDir val="col"/>
        <grouping val="clustered"/>
        <ser>
          <idx val="0"/>
          <order val="0"/>
          <tx>
            <v>Выручка с НДС</v>
          </tx>
          <spPr>
            <a:ln>
              <a:prstDash val="solid"/>
            </a:ln>
          </spPr>
          <cat>
            <numRef>
              <f>'04_Доходы'!$L$5:$BS$5</f>
            </numRef>
          </cat>
          <val>
            <numRef>
              <f>'04_Доходы'!$L$131:$BS$131</f>
            </numRef>
          </val>
        </ser>
        <ser>
          <idx val="1"/>
          <order val="1"/>
          <tx>
            <v>Прибыль до доли клуба</v>
          </tx>
          <spPr>
            <a:ln>
              <a:prstDash val="solid"/>
            </a:ln>
          </spPr>
          <cat>
            <numRef>
              <f>'04_Доходы'!$L$5:$BS$5</f>
            </numRef>
          </cat>
          <val>
            <numRef>
              <f>'04_Доходы'!$L$135:$BS$135</f>
            </numRef>
          </val>
        </ser>
        <gapWidth val="30"/>
        <overlap val="100"/>
        <axId val="10"/>
        <axId val="100"/>
      </barChart>
      <catAx>
        <axId val="10"/>
        <scaling>
          <orientation val="minMax"/>
        </scaling>
        <axPos val="l"/>
        <numFmt formatCode="mmm yyyy" sourceLinked="0"/>
        <majorTickMark val="none"/>
        <minorTickMark val="none"/>
        <crossAx val="100"/>
        <lblOffset val="100"/>
        <tickLblSkip val="6"/>
        <tickMarkSkip val="6"/>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Займ клубу: сколько гасим и сколько осталось</a:t>
            </a:r>
          </a:p>
        </rich>
      </tx>
    </title>
    <plotArea>
      <barChart>
        <barDir val="col"/>
        <grouping val="clustered"/>
        <ser>
          <idx val="0"/>
          <order val="0"/>
          <tx>
            <v>Погашение за месяц</v>
          </tx>
          <spPr>
            <a:ln>
              <a:prstDash val="solid"/>
            </a:ln>
          </spPr>
          <cat>
            <numRef>
              <f>'02_Результат'!$L$5:$BS$5</f>
            </numRef>
          </cat>
          <val>
            <numRef>
              <f>'02_Результат'!$L$57:$BS$57</f>
            </numRef>
          </val>
        </ser>
        <gapWidth val="30"/>
        <overlap val="100"/>
        <axId val="10"/>
        <axId val="100"/>
      </barChart>
      <lineChart>
        <grouping val="standard"/>
        <ser>
          <idx val="1"/>
          <order val="1"/>
          <tx>
            <v>Остаток долга</v>
          </tx>
          <spPr>
            <a:ln>
              <a:prstDash val="solid"/>
            </a:ln>
          </spPr>
          <marker>
            <symbol val="none"/>
            <spPr>
              <a:ln>
                <a:prstDash val="solid"/>
              </a:ln>
            </spPr>
          </marker>
          <cat>
            <numRef>
              <f>'06_Деньги'!$L$5:$BS$5</f>
            </numRef>
          </cat>
          <val>
            <numRef>
              <f>'06_Деньги'!$L$18:$BS$18</f>
            </numRef>
          </val>
        </ser>
        <axId val="10"/>
        <axId val="200"/>
      </lineChart>
      <catAx>
        <axId val="10"/>
        <scaling>
          <orientation val="minMax"/>
        </scaling>
        <axPos val="l"/>
        <numFmt formatCode="mmm yyyy" sourceLinked="0"/>
        <majorTickMark val="none"/>
        <minorTickMark val="none"/>
        <crossAx val="100"/>
        <lblOffset val="100"/>
        <tickLblSkip val="6"/>
        <tickMarkSkip val="6"/>
      </catAx>
      <valAx>
        <axId val="100"/>
        <scaling>
          <orientation val="minMax"/>
        </scaling>
        <axPos val="l"/>
        <majorGridlines/>
        <numFmt formatCode="#,##0" sourceLinked="0"/>
        <majorTickMark val="none"/>
        <minorTickMark val="none"/>
        <crossAx val="10"/>
      </valAx>
      <valAx>
        <axId val="200"/>
        <scaling>
          <orientation val="minMax"/>
        </scaling>
        <axPos val="l"/>
        <majorGridlines/>
        <numFmt formatCode="#,##0" sourceLinked="0"/>
        <majorTickMark val="none"/>
        <minorTickMark val="none"/>
        <crossAx val="10"/>
        <crosses val="max"/>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Деньги на конец месяца</a:t>
            </a:r>
          </a:p>
        </rich>
      </tx>
    </title>
    <plotArea>
      <lineChart>
        <grouping val="standard"/>
        <ser>
          <idx val="0"/>
          <order val="0"/>
          <tx>
            <v>Остаток</v>
          </tx>
          <spPr>
            <a:ln>
              <a:prstDash val="solid"/>
            </a:ln>
          </spPr>
          <marker>
            <symbol val="none"/>
            <spPr>
              <a:ln>
                <a:prstDash val="solid"/>
              </a:ln>
            </spPr>
          </marker>
          <cat>
            <numRef>
              <f>'02_Результат'!$L$5:$BS$5</f>
            </numRef>
          </cat>
          <val>
            <numRef>
              <f>'02_Результат'!$L$59:$BS$59</f>
            </numRef>
          </val>
        </ser>
        <axId val="10"/>
        <axId val="100"/>
      </lineChart>
      <catAx>
        <axId val="10"/>
        <scaling>
          <orientation val="minMax"/>
        </scaling>
        <axPos val="l"/>
        <numFmt formatCode="mmm yyyy" sourceLinked="0"/>
        <majorTickMark val="none"/>
        <minorTickMark val="none"/>
        <crossAx val="100"/>
        <lblOffset val="100"/>
        <tickLblSkip val="6"/>
        <tickMarkSkip val="6"/>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Склад формы</a:t>
            </a:r>
          </a:p>
        </rich>
      </tx>
    </title>
    <plotArea>
      <lineChart>
        <grouping val="standard"/>
        <ser>
          <idx val="0"/>
          <order val="0"/>
          <tx>
            <v>Склад на конец, ₽</v>
          </tx>
          <spPr>
            <a:ln>
              <a:prstDash val="solid"/>
            </a:ln>
          </spPr>
          <marker>
            <symbol val="none"/>
            <spPr>
              <a:ln>
                <a:prstDash val="solid"/>
              </a:ln>
            </spPr>
          </marker>
          <cat>
            <numRef>
              <f>'06_Деньги'!$L$5:$BS$5</f>
            </numRef>
          </cat>
          <val>
            <numRef>
              <f>'06_Деньги'!$L$11:$BS$11</f>
            </numRef>
          </val>
        </ser>
        <axId val="10"/>
        <axId val="100"/>
      </lineChart>
      <lineChart>
        <grouping val="standard"/>
        <ser>
          <idx val="1"/>
          <order val="1"/>
          <tx>
            <v>Целевой запас, ₽</v>
          </tx>
          <spPr>
            <a:ln>
              <a:prstDash val="solid"/>
            </a:ln>
          </spPr>
          <marker>
            <symbol val="none"/>
            <spPr>
              <a:ln>
                <a:prstDash val="solid"/>
              </a:ln>
            </spPr>
          </marker>
          <cat>
            <numRef>
              <f>'06_Деньги'!$L$5:$BS$5</f>
            </numRef>
          </cat>
          <val>
            <numRef>
              <f>'06_Деньги'!$L$9:$BS$9</f>
            </numRef>
          </val>
        </ser>
        <axId val="10"/>
        <axId val="200"/>
      </lineChart>
      <catAx>
        <axId val="10"/>
        <scaling>
          <orientation val="minMax"/>
        </scaling>
        <axPos val="l"/>
        <numFmt formatCode="mmm yyyy" sourceLinked="0"/>
        <majorTickMark val="none"/>
        <minorTickMark val="none"/>
        <crossAx val="100"/>
        <lblOffset val="100"/>
        <tickLblSkip val="6"/>
        <tickMarkSkip val="6"/>
      </catAx>
      <valAx>
        <axId val="100"/>
        <scaling>
          <orientation val="minMax"/>
        </scaling>
        <axPos val="l"/>
        <majorGridlines/>
        <numFmt formatCode="#,##0" sourceLinked="0"/>
        <majorTickMark val="none"/>
        <minorTickMark val="none"/>
        <crossAx val="10"/>
      </valAx>
      <valAx>
        <axId val="200"/>
        <scaling>
          <orientation val="minMax"/>
        </scaling>
        <axPos val="l"/>
        <majorGridlines/>
        <numFmt formatCode="#,##0" sourceLinked="0"/>
        <majorTickMark val="none"/>
        <minorTickMark val="none"/>
        <crossAx val="10"/>
        <crosses val="max"/>
      </valAx>
    </plotArea>
    <legend>
      <legendPos val="r"/>
    </legend>
    <plotVisOnly val="1"/>
    <dispBlanksAs val="gap"/>
  </chart>
</chartSpace>
</file>

<file path=xl/comments/comment1.xml><?xml version="1.0" encoding="utf-8"?>
<comments xmlns="http://schemas.openxmlformats.org/spreadsheetml/2006/main">
  <authors>
    <author>Финмодель</author>
  </authors>
  <commentList>
    <comment ref="B7" authorId="0" shapeId="0">
      <text>
        <t>Дата старта модели
Дата старта модели. Отсюда строится весь календарь: имя СтартМодели в формулах — это ссылка на эту ячейку.
Месяц любой, число только первое. Сезон модели — 12 месяцев от старта; сезонность посещаемости, веса плана продаж и согласованный мерч 2026 привязаны к календарю и от месяца старта не зависят.</t>
      </text>
    </comment>
    <comment ref="B8" authorId="0" shapeId="0">
      <text>
        <t>Горизонт прогноза
Горизонт 60 месяцев. Ширина всех листов свёрстана под него, менять нельзя.</t>
      </text>
    </comment>
    <comment ref="B9" authorId="0" shapeId="0">
      <text>
        <t>Фактическая база на 09.09.2026: 51 действующий партнёр, 104 действующие школы. Рост числа школ относительно прежнего реестра связан с уточнением учёта филиалов, а не с новыми открытиями.</t>
      </text>
    </comment>
    <comment ref="B10" authorId="0" shapeId="0">
      <text>
        <t>Фактическая база на 09.09.2026: 51 действующий партнёр. Один партнёр может владеть несколькими школами.</t>
      </text>
    </comment>
    <comment ref="B13" authorId="0" shapeId="0">
      <text>
        <t>Закрытие школ / юрлиц
Закрытие школ и юрлиц, % в год. Месячный коэффициент сохранения B14 считается из него сам.</t>
      </text>
    </comment>
    <comment ref="B14" authorId="0" shapeId="0">
      <text>
        <t>РАСЧЁТ, НЕ ВВОДИТЬ.
Эта ячейка считается формулой. Если вписать сюда число, связь со сценариями и тарифным миксом пропадёт.</t>
      </text>
    </comment>
    <comment ref="B16" authorId="0" shapeId="0">
      <text>
        <t>Завтра уточнить: одна продажа франшизы = одно новое юрлицо? Пока коэффициент 1,0.</t>
      </text>
    </comment>
    <comment ref="B17" authorId="0" shapeId="0">
      <text>
        <t>Источник: «Анализ движений денежных средств по периодам за 01.01.2026 - 02.07.2026». Остаток на 02.07.2026 = 187 878 ₽.</t>
      </text>
    </comment>
    <comment ref="B18" authorId="0" shapeId="0">
      <text>
        <t>РАСЧЁТ, НЕ ВВОДИТЬ — «Дебиторка».
Менять базу здесь: 01_Вводные!B225.
Множитель активного сценария: F203 (строка сценариев 197–203).
Жёлтая ячейка = ввод. Серая курсивная = формула.</t>
      </text>
    </comment>
    <comment ref="B20" authorId="0" shapeId="0">
      <text>
        <t>РАСЧЁТ, НЕ ВВОДИТЬ.
Эта ячейка считается формулой. Если вписать сюда число, связь со сценариями и тарифным миксом пропадёт.</t>
      </text>
    </comment>
    <comment ref="B21" authorId="0" shapeId="0">
      <text>
        <t>РАСЧЁТ, НЕ ВВОДИТЬ.
Эта ячейка считается формулой. Если вписать сюда число, связь со сценариями и тарифным миксом пропадёт.</t>
      </text>
    </comment>
    <comment ref="B22" authorId="0" shapeId="0">
      <text>
        <t>Новых школ на 1 продажу / нового партнёра
Сколько школ открывает новый партнёр. Не путать с B16 — сколько юрлиц даёт одна продажа.</t>
      </text>
    </comment>
    <comment ref="B26" authorId="0" shapeId="0">
      <text>
        <t>РАСЧЁТ, НЕ ВВОДИТЬ — «Таргет на будущую продажу».
Менять базу здесь: 01_Вводные!B224.
Множитель активного сценария: F202 (строка сценариев 197–203).
Жёлтая ячейка = ввод. Серая курсивная = формула.</t>
      </text>
    </comment>
    <comment ref="B36" authorId="0" shapeId="0">
      <text>
        <t>РАСЧЁТ, НЕ ВВОДИТЬ — «План продаж, сезон 1».
Менять базу здесь: 01_Вводные!B210.
Множитель активного сценария: F198 (строка сценариев 197–203).
Жёлтая ячейка = ввод. Серая курсивная = формула.</t>
      </text>
    </comment>
    <comment ref="O36" authorId="0" shapeId="0">
      <text>
        <t>РАСЧЁТ, НЕ ВВОДИТЬ.
Эта ячейка считается формулой. Если вписать сюда число, связь со сценариями и тарифным миксом пропадёт.</t>
      </text>
    </comment>
    <comment ref="B37" authorId="0" shapeId="0">
      <text>
        <t>РАСЧЁТ, НЕ ВВОДИТЬ — «План продаж, сезон 2».
Менять базу здесь: 01_Вводные!B211.
Множитель активного сценария: F198 (строка сценариев 197–203).
Жёлтая ячейка = ввод. Серая курсивная = формула.</t>
      </text>
    </comment>
    <comment ref="O37" authorId="0" shapeId="0">
      <text>
        <t>РАСЧЁТ, НЕ ВВОДИТЬ.
Эта ячейка считается формулой. Если вписать сюда число, связь со сценариями и тарифным миксом пропадёт.</t>
      </text>
    </comment>
    <comment ref="B38" authorId="0" shapeId="0">
      <text>
        <t>РАСЧЁТ, НЕ ВВОДИТЬ — «План продаж, сезон 3».
Менять базу здесь: 01_Вводные!B212.
Множитель активного сценария: F198 (строка сценариев 197–203).
Жёлтая ячейка = ввод. Серая курсивная = формула.</t>
      </text>
    </comment>
    <comment ref="O38" authorId="0" shapeId="0">
      <text>
        <t>РАСЧЁТ, НЕ ВВОДИТЬ.
Эта ячейка считается формулой. Если вписать сюда число, связь со сценариями и тарифным миксом пропадёт.</t>
      </text>
    </comment>
    <comment ref="B39" authorId="0" shapeId="0">
      <text>
        <t>РАСЧЁТ, НЕ ВВОДИТЬ — «План продаж, сезон 4».
Менять базу здесь: 01_Вводные!B213.
Множитель активного сценария: F198 (строка сценариев 197–203).
Жёлтая ячейка = ввод. Серая курсивная = формула.</t>
      </text>
    </comment>
    <comment ref="O39" authorId="0" shapeId="0">
      <text>
        <t>РАСЧЁТ, НЕ ВВОДИТЬ.
Эта ячейка считается формулой. Если вписать сюда число, связь со сценариями и тарифным миксом пропадёт.</t>
      </text>
    </comment>
    <comment ref="B40" authorId="0" shapeId="0">
      <text>
        <t>РАСЧЁТ, НЕ ВВОДИТЬ — «План продаж, сезон 5».
Менять базу здесь: 01_Вводные!B214.
Множитель активного сценария: F198 (строка сценариев 197–203).
Жёлтая ячейка = ввод. Серая курсивная = формула.</t>
      </text>
    </comment>
    <comment ref="O40" authorId="0" shapeId="0">
      <text>
        <t>РАСЧЁТ, НЕ ВВОДИТЬ.
Эта ячейка считается формулой. Если вписать сюда число, связь со сценариями и тарифным миксом пропадёт.</t>
      </text>
    </comment>
    <comment ref="B46" authorId="0" shapeId="0">
      <text>
        <t>РАСЧЁТ, НЕ ВВОДИТЬ — «Дети к концу 12-го месяца».
Менять базу здесь: 01_Вводные!B215.
Множитель активного сценария: F199 (строка сценариев 197–203).
Жёлтая ячейка = ввод. Серая курсивная = формула.</t>
      </text>
    </comment>
    <comment ref="B47" authorId="0" shapeId="0">
      <text>
        <t>РАСЧЁТ, НЕ ВВОДИТЬ — «Дети к концу 24-го месяца».
Менять базу здесь: 01_Вводные!B216.
Множитель активного сценария: F199 (строка сценариев 197–203).
Жёлтая ячейка = ввод. Серая курсивная = формула.</t>
      </text>
    </comment>
    <comment ref="B51" authorId="0" shapeId="0">
      <text>
        <t>РАСЧЁТ, НЕ ВВОДИТЬ — «Абонемент действующей сети».
Менять базу здесь: 01_Вводные!B217.
Множитель активного сценария: F200 (строка сценариев 197–203).
Жёлтая ячейка = ввод. Серая курсивная = формула.</t>
      </text>
    </comment>
    <comment ref="B53" authorId="0" shapeId="0">
      <text>
        <t>РАСЧЁТ, НЕ ВВОДИТЬ — «Мин. роялти новой школы, 1-й год».
Менять базу здесь: 01_Вводные!I263:I282.
Значение — взвешенное среднее по тарифным группам (блок 13, строки 263–282): вес × показатель.
Жёлтая ячейка = ввод. Серая курсивная = формула.</t>
      </text>
    </comment>
    <comment ref="B54" authorId="0" shapeId="0">
      <text>
        <t>РАСЧЁТ, НЕ ВВОДИТЬ — «Мин. роялти новой школы, 2-й год+».
Менять базу здесь: 01_Вводные!J263:J282.
Значение — взвешенное среднее по тарифным группам (блок 13, строки 263–282): вес × показатель.
Жёлтая ячейка = ввод. Серая курсивная = формула.</t>
      </text>
    </comment>
    <comment ref="B63" authorId="0" shapeId="0">
      <text>
        <t>РАСЧЁТ, НЕ ВВОДИТЬ — «Средний паушальный, сезон 1».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3" authorId="0" shapeId="0">
      <text>
        <t>РАСЧЁТ, НЕ ВВОДИТЬ.
База для правки: 01_Вводные!B218.
Множитель активного сценария: F200.
Менять можно только жёлтые ячейки этого листа.</t>
      </text>
    </comment>
    <comment ref="B64" authorId="0" shapeId="0">
      <text>
        <t>РАСЧЁТ, НЕ ВВОДИТЬ — «Средний паушальный, сезон 2».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4" authorId="0" shapeId="0">
      <text>
        <t>РАСЧЁТ, НЕ ВВОДИТЬ.
База для правки: 01_Вводные!B219.
Множитель активного сценария: F200.
Менять можно только жёлтые ячейки этого листа.</t>
      </text>
    </comment>
    <comment ref="B65" authorId="0" shapeId="0">
      <text>
        <t>РАСЧЁТ, НЕ ВВОДИТЬ — «Средний паушальный, сезон 3».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5" authorId="0" shapeId="0">
      <text>
        <t>РАСЧЁТ, НЕ ВВОДИТЬ.
База для правки: 01_Вводные!B220.
Множитель активного сценария: F200.
Менять можно только жёлтые ячейки этого листа.</t>
      </text>
    </comment>
    <comment ref="B66" authorId="0" shapeId="0">
      <text>
        <t>РАСЧЁТ, НЕ ВВОДИТЬ — «Средний паушальный, сезон 4».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6" authorId="0" shapeId="0">
      <text>
        <t>РАСЧЁТ, НЕ ВВОДИТЬ.
База для правки: 01_Вводные!B221.
Множитель активного сценария: F200.
Менять можно только жёлтые ячейки этого листа.</t>
      </text>
    </comment>
    <comment ref="B67" authorId="0" shapeId="0">
      <text>
        <t>РАСЧЁТ, НЕ ВВОДИТЬ — «Средний паушальный, сезон 5».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7" authorId="0" shapeId="0">
      <text>
        <t>РАСЧЁТ, НЕ ВВОДИТЬ.
База для правки: 01_Вводные!B222.
Множитель активного сценария: F200.
Менять можно только жёлтые ячейки этого листа.</t>
      </text>
    </comment>
    <comment ref="B73" authorId="0" shapeId="0">
      <text>
        <t>РАСЧЁТ, НЕ ВВОДИТЬ.
Эта ячейка считается формулой. Если вписать сюда число, связь со сценариями и тарифным миксом пропадёт.</t>
      </text>
    </comment>
    <comment ref="B74" authorId="0" shapeId="0">
      <text>
        <t>РАСЧЁТ, НЕ ВВОДИТЬ — «Коэффициент мерча».
Менять базу здесь: 01_Вводные!B223.
Множитель активного сценария: F201 (строка сценариев 197–203).
Жёлтая ячейка = ввод. Серая курсивная = формула.</t>
      </text>
    </comment>
    <comment ref="B90" authorId="0" shapeId="0">
      <text>
        <t>РАСЧЁТ, НЕ ВВОДИТЬ.
Эта ячейка считается формулой. Если вписать сюда число, связь со сценариями и тарифным миксом пропадёт.</t>
      </text>
    </comment>
    <comment ref="B95" authorId="0" shapeId="0">
      <text>
        <t>РАСЧЁТ, НЕ ВВОДИТЬ.
Эта ячейка считается формулой. Если вписать сюда число, связь со сценариями и тарифным миксом пропадёт.</t>
      </text>
    </comment>
    <comment ref="B99" authorId="0" shapeId="0">
      <text>
        <t>Источник: «Экипировка Спартак.xlsx», лист «Прогнозы».</t>
      </text>
    </comment>
    <comment ref="C99" authorId="0" shapeId="0">
      <text>
        <t>Источник: «Экипировка Спартак.xlsx», лист «Прогнозы».</t>
      </text>
    </comment>
    <comment ref="D99" authorId="0" shapeId="0">
      <text>
        <t>Источник: «Экипировка Спартак.xlsx», лист «Прогнозы».</t>
      </text>
    </comment>
    <comment ref="E99" authorId="0" shapeId="0">
      <text>
        <t>Источник: «Экипировка Спартак.xlsx», лист «Прогнозы».</t>
      </text>
    </comment>
    <comment ref="B100" authorId="0" shapeId="0">
      <text>
        <t>Источник: «Экипировка Спартак.xlsx», лист «Прогнозы».</t>
      </text>
    </comment>
    <comment ref="C100" authorId="0" shapeId="0">
      <text>
        <t>Источник: «Экипировка Спартак.xlsx», лист «Прогнозы».</t>
      </text>
    </comment>
    <comment ref="D100" authorId="0" shapeId="0">
      <text>
        <t>Источник: «Экипировка Спартак.xlsx», лист «Прогнозы».</t>
      </text>
    </comment>
    <comment ref="E100" authorId="0" shapeId="0">
      <text>
        <t>Источник: «Экипировка Спартак.xlsx», лист «Прогнозы».</t>
      </text>
    </comment>
    <comment ref="B101" authorId="0" shapeId="0">
      <text>
        <t>Источник: «Экипировка Спартак.xlsx», лист «Прогнозы».</t>
      </text>
    </comment>
    <comment ref="C101" authorId="0" shapeId="0">
      <text>
        <t>Источник: «Экипировка Спартак.xlsx», лист «Прогнозы».</t>
      </text>
    </comment>
    <comment ref="D101" authorId="0" shapeId="0">
      <text>
        <t>Источник: «Экипировка Спартак.xlsx», лист «Прогнозы».</t>
      </text>
    </comment>
    <comment ref="E101" authorId="0" shapeId="0">
      <text>
        <t>Источник: «Экипировка Спартак.xlsx», лист «Прогнозы».</t>
      </text>
    </comment>
    <comment ref="B106" authorId="0" shapeId="0">
      <text>
        <t>Обновлено вместе со стартовым количеством действующих школ: 104.</t>
      </text>
    </comment>
    <comment ref="B129" authorId="0" shapeId="0">
      <text>
        <t>Пока считаем временного продавца как ИП: 80 тыс. + 5% без payroll-налогов. Статус и налоговую механику уточнить.</t>
      </text>
    </comment>
    <comment ref="B151" authorId="0" shapeId="0">
      <text>
        <t>РАСЧЁТ, НЕ ВВОДИТЬ.
Эта ячейка считается формулой. Если вписать сюда число, связь со сценариями и тарифным миксом пропадёт.</t>
      </text>
    </comment>
    <comment ref="B152" authorId="0" shapeId="0">
      <text>
        <t>РАСЧЁТ, НЕ ВВОДИТЬ.
Эта ячейка считается формулой. Если вписать сюда число, связь со сценариями и тарифным миксом пропадёт.</t>
      </text>
    </comment>
    <comment ref="B166" authorId="0" shapeId="0">
      <text>
        <t>Выручка смены = участники × соответствующие цены, вместо неработающих ценовых вводных.</t>
      </text>
    </comment>
    <comment ref="B167" authorId="0" shapeId="0">
      <text>
        <t>Источник: «Лагеря Спартак Будущее .xlsx», лист «Сокольники ».</t>
      </text>
    </comment>
    <comment ref="B168" authorId="0" shapeId="0">
      <text>
        <t>ФОРМУЛА ПО УМОЛЧАНИЮ.
По умолчанию = ставка из блока ревизии (B240). Можно вписать свою.</t>
      </text>
    </comment>
    <comment ref="B169" authorId="0" shapeId="0">
      <text>
        <t>Источник: «Лагеря Спартак Будущее .xlsx», лист «Сокольники ».</t>
      </text>
    </comment>
    <comment ref="B170" authorId="0" shapeId="0">
      <text>
        <t>Источник: «Лагеря Спартак Будущее .xlsx», лист «Сокольники ».</t>
      </text>
    </comment>
    <comment ref="L181" authorId="0" shapeId="0">
      <text>
        <t>Источник: Отчет о финансовых результатах, июль 2026 (файл пользователя / предоставленный скриншот).</t>
      </text>
    </comment>
    <comment ref="N181" authorId="0" shapeId="0">
      <text>
        <t>РАСЧЁТ, НЕ ВВОДИТЬ.
Эта ячейка считается формулой. Если вписать сюда число, связь со сценариями и тарифным миксом пропадёт.</t>
      </text>
    </comment>
    <comment ref="L182" authorId="0" shapeId="0">
      <text>
        <t>Источник: Отчет о финансовых результатах, июль 2026 (файл пользователя / предоставленный скриншот).</t>
      </text>
    </comment>
    <comment ref="N182" authorId="0" shapeId="0">
      <text>
        <t>РАСЧЁТ, НЕ ВВОДИТЬ.
Эта ячейка считается формулой. Если вписать сюда число, связь со сценариями и тарифным миксом пропадёт.</t>
      </text>
    </comment>
    <comment ref="L183" authorId="0" shapeId="0">
      <text>
        <t>Источник: Отчет о финансовых результатах, июль 2026 (файл пользователя / предоставленный скриншот).</t>
      </text>
    </comment>
    <comment ref="N183" authorId="0" shapeId="0">
      <text>
        <t>РАСЧЁТ, НЕ ВВОДИТЬ.
Эта ячейка считается формулой. Если вписать сюда число, связь со сценариями и тарифным миксом пропадёт.</t>
      </text>
    </comment>
    <comment ref="L184" authorId="0" shapeId="0">
      <text>
        <t>Источник: Отчет о финансовых результатах, июль 2026 (файл пользователя / предоставленный скриншот).</t>
      </text>
    </comment>
    <comment ref="N184" authorId="0" shapeId="0">
      <text>
        <t>РАСЧЁТ, НЕ ВВОДИТЬ.
Эта ячейка считается формулой. Если вписать сюда число, связь со сценариями и тарифным миксом пропадёт.</t>
      </text>
    </comment>
    <comment ref="L185" authorId="0" shapeId="0">
      <text>
        <t>Источник: Отчет о финансовых результатах, июль 2026 (файл пользователя / предоставленный скриншот).</t>
      </text>
    </comment>
    <comment ref="N185" authorId="0" shapeId="0">
      <text>
        <t>РАСЧЁТ, НЕ ВВОДИТЬ.
Эта ячейка считается формулой. Если вписать сюда число, связь со сценариями и тарифным миксом пропадёт.</t>
      </text>
    </comment>
    <comment ref="L186" authorId="0" shapeId="0">
      <text>
        <t>Источник: Отчет о финансовых результатах, июль 2026 (файл пользователя / предоставленный скриншот).</t>
      </text>
    </comment>
    <comment ref="N186" authorId="0" shapeId="0">
      <text>
        <t>РАСЧЁТ, НЕ ВВОДИТЬ.
Эта ячейка считается формулой. Если вписать сюда число, связь со сценариями и тарифным миксом пропадёт.</t>
      </text>
    </comment>
    <comment ref="F187" authorId="0" shapeId="0">
      <text>
        <t>Источник: «Анализ движений денежных средств по периодам за 01.01.2026 - 02.07.2026».</t>
      </text>
    </comment>
    <comment ref="L187" authorId="0" shapeId="0">
      <text>
        <t>Источник: Анализ движений денежных средств за 01.01.2026–02.07.2026; июльский чистый денежный поток = 6 862 ₽.</t>
      </text>
    </comment>
    <comment ref="N187" authorId="0" shapeId="0">
      <text>
        <t>РАСЧЁТ, НЕ ВВОДИТЬ.
Эта ячейка считается формулой. Если вписать сюда число, связь со сценариями и тарифным миксом пропадёт.</t>
      </text>
    </comment>
    <comment ref="B192" authorId="0" shapeId="0">
      <text>
        <t>Три сценария сохранены по требованию ТЗ, добавлена чувствительность.
По умолчанию выбран «Базовый» — это неизменённая база V8.</t>
      </text>
    </comment>
    <comment ref="B194" authorId="0" shapeId="0">
      <text>
        <t>РАСЧЁТ, НЕ ВВОДИТЬ.
Эта ячейка считается формулой. Если вписать сюда число, связь со сценариями и тарифным миксом пропадёт.</t>
      </text>
    </comment>
    <comment ref="C198" authorId="0" shapeId="0">
      <text>
        <t>Предварительный стресс-тест, не утвержденный прогноз. Analyst-defined starting stress; edit after approval.</t>
      </text>
    </comment>
    <comment ref="E198" authorId="0" shapeId="0">
      <text>
        <t>Предварительный стресс-тест, не утвержденный прогноз. Analyst-defined starting stress; edit after approval.</t>
      </text>
    </comment>
    <comment ref="F198" authorId="0" shapeId="0">
      <text>
        <t>РАСЧЁТ, НЕ ВВОДИТЬ.
Эта ячейка считается формулой. Если вписать сюда число, связь со сценариями и тарифным миксом пропадёт.</t>
      </text>
    </comment>
    <comment ref="G198" authorId="0" shapeId="0">
      <text>
        <t>Шаг однофакторной чувствительности от неизменённой базы.
По умолчанию ±10%, значение можно менять.</t>
      </text>
    </comment>
    <comment ref="C199" authorId="0" shapeId="0">
      <text>
        <t>Предварительный стресс-тест, не утвержденный прогноз. Analyst-defined starting stress; edit after approval.</t>
      </text>
    </comment>
    <comment ref="E199" authorId="0" shapeId="0">
      <text>
        <t>Предварительный стресс-тест, не утвержденный прогноз. Analyst-defined starting stress; edit after approval.</t>
      </text>
    </comment>
    <comment ref="F199" authorId="0" shapeId="0">
      <text>
        <t>РАСЧЁТ, НЕ ВВОДИТЬ.
Эта ячейка считается формулой. Если вписать сюда число, связь со сценариями и тарифным миксом пропадёт.</t>
      </text>
    </comment>
    <comment ref="G199" authorId="0" shapeId="0">
      <text>
        <t>Шаг однофакторной чувствительности от неизменённой базы.
По умолчанию ±10%, значение можно менять.</t>
      </text>
    </comment>
    <comment ref="C200" authorId="0" shapeId="0">
      <text>
        <t>Предварительный стресс-тест, не утвержденный прогноз. Analyst-defined starting stress; edit after approval.</t>
      </text>
    </comment>
    <comment ref="E200" authorId="0" shapeId="0">
      <text>
        <t>Предварительный стресс-тест, не утвержденный прогноз. Analyst-defined starting stress; edit after approval.</t>
      </text>
    </comment>
    <comment ref="F200" authorId="0" shapeId="0">
      <text>
        <t>РАСЧЁТ, НЕ ВВОДИТЬ.
Эта ячейка считается формулой. Если вписать сюда число, связь со сценариями и тарифным миксом пропадёт.</t>
      </text>
    </comment>
    <comment ref="G200" authorId="0" shapeId="0">
      <text>
        <t>Шаг однофакторной чувствительности от неизменённой базы.
По умолчанию ±10%, значение можно менять.</t>
      </text>
    </comment>
    <comment ref="C201" authorId="0" shapeId="0">
      <text>
        <t>Предварительный стресс-тест, не утвержденный прогноз. Analyst-defined starting stress; edit after approval.</t>
      </text>
    </comment>
    <comment ref="E201" authorId="0" shapeId="0">
      <text>
        <t>Предварительный стресс-тест, не утвержденный прогноз. Analyst-defined starting stress; edit after approval.</t>
      </text>
    </comment>
    <comment ref="F201" authorId="0" shapeId="0">
      <text>
        <t>РАСЧЁТ, НЕ ВВОДИТЬ.
Эта ячейка считается формулой. Если вписать сюда число, связь со сценариями и тарифным миксом пропадёт.</t>
      </text>
    </comment>
    <comment ref="G201" authorId="0" shapeId="0">
      <text>
        <t>Шаг однофакторной чувствительности от неизменённой базы.
По умолчанию ±10%, значение можно менять.</t>
      </text>
    </comment>
    <comment ref="C202" authorId="0" shapeId="0">
      <text>
        <t>Предварительный стресс-тест, не утвержденный прогноз. Analyst-defined starting stress; edit after approval.</t>
      </text>
    </comment>
    <comment ref="E202" authorId="0" shapeId="0">
      <text>
        <t>Предварительный стресс-тест, не утвержденный прогноз. Analyst-defined starting stress; edit after approval.</t>
      </text>
    </comment>
    <comment ref="F202" authorId="0" shapeId="0">
      <text>
        <t>РАСЧЁТ, НЕ ВВОДИТЬ.
Эта ячейка считается формулой. Если вписать сюда число, связь со сценариями и тарифным миксом пропадёт.</t>
      </text>
    </comment>
    <comment ref="G202" authorId="0" shapeId="0">
      <text>
        <t>Шаг однофакторной чувствительности от неизменённой базы.
По умолчанию ±10%, значение можно менять.</t>
      </text>
    </comment>
    <comment ref="C203" authorId="0" shapeId="0">
      <text>
        <t>Предварительный стресс-тест, не утвержденный прогноз. Analyst-defined starting stress; edit after approval.</t>
      </text>
    </comment>
    <comment ref="E203" authorId="0" shapeId="0">
      <text>
        <t>Предварительный стресс-тест, не утвержденный прогноз. Analyst-defined starting stress; edit after approval.</t>
      </text>
    </comment>
    <comment ref="F203" authorId="0" shapeId="0">
      <text>
        <t>РАСЧЁТ, НЕ ВВОДИТЬ.
Эта ячейка считается формулой. Если вписать сюда число, связь со сценариями и тарифным миксом пропадёт.</t>
      </text>
    </comment>
    <comment ref="G203" authorId="0" shapeId="0">
      <text>
        <t>Шаг однофакторной чувствительности от неизменённой базы.
По умолчанию ±10%, значение можно менять.</t>
      </text>
    </comment>
    <comment ref="B210" authorId="0" shapeId="0">
      <text>
        <t>Финмодель_Спартак_V8_чистая_единые_вводные_09.09.2026.xlsx | 01_Вводные!B36; original base input, unchanged.</t>
      </text>
    </comment>
    <comment ref="B211" authorId="0" shapeId="0">
      <text>
        <t>Финмодель_Спартак_V8_чистая_единые_вводные_09.09.2026.xlsx | 01_Вводные!B37; original base input, unchanged.</t>
      </text>
    </comment>
    <comment ref="B212" authorId="0" shapeId="0">
      <text>
        <t>Финмодель_Спартак_V8_чистая_единые_вводные_09.09.2026.xlsx | 01_Вводные!B38; original base input, unchanged.</t>
      </text>
    </comment>
    <comment ref="B213" authorId="0" shapeId="0">
      <text>
        <t>Финмодель_Спартак_V8_чистая_единые_вводные_09.09.2026.xlsx | 01_Вводные!B39; original base input, unchanged.</t>
      </text>
    </comment>
    <comment ref="B214" authorId="0" shapeId="0">
      <text>
        <t>Финмодель_Спартак_V8_чистая_единые_вводные_09.09.2026.xlsx | 01_Вводные!B40; original base input, unchanged.</t>
      </text>
    </comment>
    <comment ref="B215" authorId="0" shapeId="0">
      <text>
        <t>РАСЧЁТ, НЕ ВВОДИТЬ — «Мощность новой школы, 12-й месяц».
Менять базу здесь: 01_Вводные!E263:E282.
Значение — взвешенное среднее по тарифным группам (блок 13, строки 263–282): вес × показатель.
Жёлтая ячейка = ввод. Серая курсивная = формула.</t>
      </text>
    </comment>
    <comment ref="B216" authorId="0" shapeId="0">
      <text>
        <t>РАСЧЁТ, НЕ ВВОДИТЬ — «Мощность новой школы, 24-й месяц».
Менять базу здесь: 01_Вводные!F263:F282.
Значение — взвешенное среднее по тарифным группам (блок 13, строки 263–282): вес × показатель.
Жёлтая ячейка = ввод. Серая курсивная = формула.</t>
      </text>
    </comment>
    <comment ref="B217" authorId="0" shapeId="0">
      <text>
        <t>Финмодель_Спартак_V8_чистая_единые_вводные_09.09.2026.xlsx | 01_Вводные!B51; original base input, unchanged.</t>
      </text>
    </comment>
    <comment ref="B218" authorId="0" shapeId="0">
      <text>
        <t>РАСЧЁТ, НЕ ВВОДИТЬ — «Абонемент новых школ, сезон 1».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19" authorId="0" shapeId="0">
      <text>
        <t>РАСЧЁТ, НЕ ВВОДИТЬ — «Абонемент новых школ, сезон 2».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0" authorId="0" shapeId="0">
      <text>
        <t>РАСЧЁТ, НЕ ВВОДИТЬ — «Абонемент новых школ, сезон 3».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1" authorId="0" shapeId="0">
      <text>
        <t>РАСЧЁТ, НЕ ВВОДИТЬ — «Абонемент новых школ, сезон 4».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2" authorId="0" shapeId="0">
      <text>
        <t>РАСЧЁТ, НЕ ВВОДИТЬ — «Абонемент новых школ, сезон 5».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3" authorId="0" shapeId="0">
      <text>
        <t>Финмодель_Спартак_V8_чистая_единые_вводные_09.09.2026.xlsx | 01_Вводные!B74; original base input, unchanged.</t>
      </text>
    </comment>
    <comment ref="B224" authorId="0" shapeId="0">
      <text>
        <t>Финмодель_Спартак_V8_чистая_единые_вводные_09.09.2026.xlsx | 01_Вводные!B26; original base input, unchanged.</t>
      </text>
    </comment>
    <comment ref="B225" authorId="0" shapeId="0">
      <text>
        <t>Финмодель_Спартак_V8_чистая_единые_вводные_09.09.2026.xlsx | 01_Вводные!B18; original base input, unchanged.</t>
      </text>
    </comment>
    <comment ref="B227" authorId="0" shapeId="0">
      <text>
        <t>РАСЧЁТ, НЕ ВВОДИТЬ.
Эта ячейка считается формулой. Если вписать сюда число, связь со сценариями и тарифным миксом пропадёт.</t>
      </text>
    </comment>
    <comment ref="B228" authorId="0" shapeId="0">
      <text>
        <t>РАСЧЁТ, НЕ ВВОДИТЬ.
Эта ячейка считается формулой. Если вписать сюда число, связь со сценариями и тарифным миксом пропадёт.</t>
      </text>
    </comment>
    <comment ref="B233" authorId="0" shapeId="0">
      <text>
        <t>Источник: ТЗ пользователя и ревизия 09.09.2026. Один драйвер за раз; все шесть сохранены в списке.</t>
      </text>
    </comment>
    <comment ref="B234" authorId="0" shapeId="0">
      <text>
        <t>Источник: ТЗ пользователя и ревизия 09.09.2026. При Нет два дополнительных расчёта не выполняются.</t>
      </text>
    </comment>
    <comment ref="B235" authorId="0" shapeId="0">
      <text>
        <t>Источник: ТЗ пользователя и ревизия 09.09.2026. Отдельное событие; до подтверждения подключение в месяц открытия.</t>
      </text>
    </comment>
    <comment ref="B236" authorId="0" shapeId="0">
      <text>
        <t>РАСЧЁТ, НЕ ВВОДИТЬ — «Дети зрелой школы».
Менять базу здесь: 01_Вводные!G263:G282.
Значение — взвешенное среднее по тарифным группам (блок 13, строки 263–282): вес × показатель.
Жёлтая ячейка = ввод. Серая курсивная = формула.</t>
      </text>
    </comment>
    <comment ref="B237" authorId="0" shapeId="0">
      <text>
        <t>Источник: ТЗ пользователя и ревизия 09.09.2026. Рабочее значение 0; можно задать резерв ликвидности.</t>
      </text>
    </comment>
    <comment ref="B238" authorId="0" shapeId="0">
      <text>
        <t>Источник: ТЗ пользователя и ревизия 09.09.2026. По п.27 ТЗ: возврат только при остатке товара не ниже цели будущих месяцев.</t>
      </text>
    </comment>
    <comment ref="B239" authorId="0" shapeId="0">
      <text>
        <t>Источник: ТЗ пользователя и ревизия 09.09.2026. Да — отдельно по 20 форматам/территориям; Нет — прежнее усреднение для сверки.</t>
      </text>
    </comment>
    <comment ref="B240" authorId="0" shapeId="0">
      <text>
        <t>Источник: ТЗ пользователя и ревизия 09.09.2026. Сохранён резерв 10% от оборота из Сокольники!C36. Это не подтверждение ставки/методики НДС.</t>
      </text>
    </comment>
    <comment ref="B241" authorId="0" shapeId="0">
      <text>
        <t>Источник: ТЗ пользователя и ревизия 09.09.2026. Отключение лагеря обнуляет продажи, начисления и оплаты.</t>
      </text>
    </comment>
    <comment ref="B242" authorId="0" shapeId="0">
      <text>
        <t>Источник: ТЗ пользователя и ревизия 09.09.2026. Только октябрь 2026 оплачивается за 1 месяц.</t>
      </text>
    </comment>
    <comment ref="B243" authorId="0" shapeId="0">
      <text>
        <t>Источник: ТЗ пользователя и ревизия 09.09.2026. Для октября 2026; далее обычный лаг B27.</t>
      </text>
    </comment>
    <comment ref="B244" authorId="0" shapeId="0">
      <text>
        <t>Источник: ТЗ пользователя и ревизия 09.09.2026. 6,5% по договорам до этой даты.</t>
      </text>
    </comment>
    <comment ref="B245" authorId="0" shapeId="0">
      <text>
        <t>Источник: ТЗ пользователя и ревизия 09.09.2026. С этой даты применяется B57 ко всем.</t>
      </text>
    </comment>
    <comment ref="B246" authorId="0" shapeId="0">
      <text>
        <t>Источник: ТЗ пользователя и ревизия 09.09.2026. За IV квартал 2027; далее март/июнь/сентябрь/декабрь.</t>
      </text>
    </comment>
    <comment ref="B247" authorId="0" shapeId="0">
      <text>
        <t>Источник: ТЗ пользователя и ревизия 09.09.2026. 70 тыс. net по B133.</t>
      </text>
    </comment>
    <comment ref="B248" authorId="0" shapeId="0">
      <text>
        <t>Источник: ТЗ пользователя и ревизия 09.09.2026. 100 тыс. net по B134.</t>
      </text>
    </comment>
    <comment ref="B249" authorId="0" shapeId="0">
      <text>
        <t>Источник: ТЗ пользователя и ревизия 09.09.2026. Повышение участвует в премии при Да у ГД.</t>
      </text>
    </comment>
    <comment ref="B250" authorId="0" shapeId="0">
      <text>
        <t>Источник: ТЗ пользователя и ревизия 09.09.2026. С B123 на B124.</t>
      </text>
    </comment>
    <comment ref="B251" authorId="0" shapeId="0">
      <text>
        <t>Источник: ТЗ пользователя и ревизия 09.09.2026. Далее каждый сентябрь.</t>
      </text>
    </comment>
    <comment ref="B252" authorId="0" shapeId="0">
      <text>
        <t>Источник: ТЗ пользователя и ревизия 09.09.2026. Июнь по ТЗ.</t>
      </text>
    </comment>
    <comment ref="B253" authorId="0" shapeId="0">
      <text>
        <t>Источник: ТЗ пользователя и ревизия 09.09.2026. Февраль; равномерно до B254.</t>
      </text>
    </comment>
    <comment ref="B254" authorId="0" shapeId="0">
      <text>
        <t>Источник: ТЗ пользователя и ревизия 09.09.2026. Май включительно.</t>
      </text>
    </comment>
    <comment ref="B255" authorId="0" shapeId="0">
      <text>
        <t>Источник: ТЗ пользователя и ревизия 09.09.2026. Разовая комиссия B121.</t>
      </text>
    </comment>
    <comment ref="B256" authorId="0" shapeId="0">
      <text>
        <t>Источник: ТЗ пользователя и ревизия 09.09.2026. Раз в год; сумма B122.</t>
      </text>
    </comment>
    <comment ref="B257" authorId="0" shapeId="0">
      <text>
        <t>РАСЧЁТ, НЕ ВВОДИТЬ.
Эта ячейка считается формулой. Если вписать сюда число, связь со сценариями и тарифным миксом пропадёт.</t>
      </text>
    </comment>
    <comment ref="B258" authorId="0" shapeId="0">
      <text>
        <t>РАСЧЁТ, НЕ ВВОДИТЬ.
Эта ячейка считается формулой. Если вписать сюда число, связь со сценариями и тарифным миксом пропадёт.</t>
      </text>
    </comment>
    <comment ref="A263" authorId="0" shapeId="0">
      <text>
        <t>V5.1: Типы_продукта!A14:M14; Микс_продаж!B5; B14</t>
      </text>
    </comment>
    <comment ref="B263" authorId="0" shapeId="0">
      <text>
        <t>V5.1: Типы_продукта!A14:M14; Микс_продаж!B5; B14</t>
      </text>
    </comment>
    <comment ref="C263" authorId="0" shapeId="0">
      <text>
        <t>V5.1: Типы_продукта!A14:M14; Микс_продаж!B5; B14</t>
      </text>
    </comment>
    <comment ref="D263" authorId="0" shapeId="0">
      <text>
        <t>V5.1: Типы_продукта!A14:M14; Микс_продаж!B5; B14</t>
      </text>
    </comment>
    <comment ref="E263" authorId="0" shapeId="0">
      <text>
        <t>V5.1: Типы_продукта!A14:M14; Микс_продаж!B5; B14</t>
      </text>
    </comment>
    <comment ref="F263" authorId="0" shapeId="0">
      <text>
        <t>V5.1: Типы_продукта!A14:M14; Микс_продаж!B5; B14</t>
      </text>
    </comment>
    <comment ref="G263" authorId="0" shapeId="0">
      <text>
        <t>V5.1: Типы_продукта!A14:M14; Микс_продаж!B5; B14</t>
      </text>
    </comment>
    <comment ref="H263" authorId="0" shapeId="0">
      <text>
        <t>V5.1: Типы_продукта!A14:M14; Микс_продаж!B5; B14</t>
      </text>
    </comment>
    <comment ref="I263" authorId="0" shapeId="0">
      <text>
        <t>V5.1: Типы_продукта!A14:M14; Микс_продаж!B5; B14</t>
      </text>
    </comment>
    <comment ref="J263" authorId="0" shapeId="0">
      <text>
        <t>V5.1: Типы_продукта!A14:M14; Микс_продаж!B5; B14</t>
      </text>
    </comment>
    <comment ref="K263" authorId="0" shapeId="0">
      <text>
        <t>V5.1: Типы_продукта!A14:M14; Микс_продаж!B5; B14</t>
      </text>
    </comment>
    <comment ref="A264" authorId="0" shapeId="0">
      <text>
        <t>V5.1: Типы_продукта!A15:M15; Микс_продаж!B5; C14</t>
      </text>
    </comment>
    <comment ref="B264" authorId="0" shapeId="0">
      <text>
        <t>V5.1: Типы_продукта!A15:M15; Микс_продаж!B5; C14</t>
      </text>
    </comment>
    <comment ref="C264" authorId="0" shapeId="0">
      <text>
        <t>V5.1: Типы_продукта!A15:M15; Микс_продаж!B5; C14</t>
      </text>
    </comment>
    <comment ref="D264" authorId="0" shapeId="0">
      <text>
        <t>V5.1: Типы_продукта!A15:M15; Микс_продаж!B5; C14</t>
      </text>
    </comment>
    <comment ref="E264" authorId="0" shapeId="0">
      <text>
        <t>V5.1: Типы_продукта!A15:M15; Микс_продаж!B5; C14</t>
      </text>
    </comment>
    <comment ref="F264" authorId="0" shapeId="0">
      <text>
        <t>V5.1: Типы_продукта!A15:M15; Микс_продаж!B5; C14</t>
      </text>
    </comment>
    <comment ref="G264" authorId="0" shapeId="0">
      <text>
        <t>V5.1: Типы_продукта!A15:M15; Микс_продаж!B5; C14</t>
      </text>
    </comment>
    <comment ref="H264" authorId="0" shapeId="0">
      <text>
        <t>V5.1: Типы_продукта!A15:M15; Микс_продаж!B5; C14</t>
      </text>
    </comment>
    <comment ref="I264" authorId="0" shapeId="0">
      <text>
        <t>V5.1: Типы_продукта!A15:M15; Микс_продаж!B5; C14</t>
      </text>
    </comment>
    <comment ref="J264" authorId="0" shapeId="0">
      <text>
        <t>V5.1: Типы_продукта!A15:M15; Микс_продаж!B5; C14</t>
      </text>
    </comment>
    <comment ref="K264" authorId="0" shapeId="0">
      <text>
        <t>V5.1: Типы_продукта!A15:M15; Микс_продаж!B5; C14</t>
      </text>
    </comment>
    <comment ref="A265" authorId="0" shapeId="0">
      <text>
        <t>V5.1: Типы_продукта!A16:M16; Микс_продаж!B5; D14</t>
      </text>
    </comment>
    <comment ref="B265" authorId="0" shapeId="0">
      <text>
        <t>V5.1: Типы_продукта!A16:M16; Микс_продаж!B5; D14</t>
      </text>
    </comment>
    <comment ref="C265" authorId="0" shapeId="0">
      <text>
        <t>V5.1: Типы_продукта!A16:M16; Микс_продаж!B5; D14</t>
      </text>
    </comment>
    <comment ref="D265" authorId="0" shapeId="0">
      <text>
        <t>V5.1: Типы_продукта!A16:M16; Микс_продаж!B5; D14</t>
      </text>
    </comment>
    <comment ref="E265" authorId="0" shapeId="0">
      <text>
        <t>V5.1: Типы_продукта!A16:M16; Микс_продаж!B5; D14</t>
      </text>
    </comment>
    <comment ref="F265" authorId="0" shapeId="0">
      <text>
        <t>V5.1: Типы_продукта!A16:M16; Микс_продаж!B5; D14</t>
      </text>
    </comment>
    <comment ref="G265" authorId="0" shapeId="0">
      <text>
        <t>V5.1: Типы_продукта!A16:M16; Микс_продаж!B5; D14</t>
      </text>
    </comment>
    <comment ref="H265" authorId="0" shapeId="0">
      <text>
        <t>V5.1: Типы_продукта!A16:M16; Микс_продаж!B5; D14</t>
      </text>
    </comment>
    <comment ref="I265" authorId="0" shapeId="0">
      <text>
        <t>V5.1: Типы_продукта!A16:M16; Микс_продаж!B5; D14</t>
      </text>
    </comment>
    <comment ref="J265" authorId="0" shapeId="0">
      <text>
        <t>V5.1: Типы_продукта!A16:M16; Микс_продаж!B5; D14</t>
      </text>
    </comment>
    <comment ref="K265" authorId="0" shapeId="0">
      <text>
        <t>V5.1: Типы_продукта!A16:M16; Микс_продаж!B5; D14</t>
      </text>
    </comment>
    <comment ref="A266" authorId="0" shapeId="0">
      <text>
        <t>V5.1: Типы_продукта!A17:M17; Микс_продаж!B5; E14</t>
      </text>
    </comment>
    <comment ref="B266" authorId="0" shapeId="0">
      <text>
        <t>V5.1: Типы_продукта!A17:M17; Микс_продаж!B5; E14</t>
      </text>
    </comment>
    <comment ref="C266" authorId="0" shapeId="0">
      <text>
        <t>V5.1: Типы_продукта!A17:M17; Микс_продаж!B5; E14</t>
      </text>
    </comment>
    <comment ref="D266" authorId="0" shapeId="0">
      <text>
        <t>V5.1: Типы_продукта!A17:M17; Микс_продаж!B5; E14</t>
      </text>
    </comment>
    <comment ref="E266" authorId="0" shapeId="0">
      <text>
        <t>V5.1: Типы_продукта!A17:M17; Микс_продаж!B5; E14</t>
      </text>
    </comment>
    <comment ref="F266" authorId="0" shapeId="0">
      <text>
        <t>V5.1: Типы_продукта!A17:M17; Микс_продаж!B5; E14</t>
      </text>
    </comment>
    <comment ref="G266" authorId="0" shapeId="0">
      <text>
        <t>V5.1: Типы_продукта!A17:M17; Микс_продаж!B5; E14</t>
      </text>
    </comment>
    <comment ref="H266" authorId="0" shapeId="0">
      <text>
        <t>V5.1: Типы_продукта!A17:M17; Микс_продаж!B5; E14</t>
      </text>
    </comment>
    <comment ref="I266" authorId="0" shapeId="0">
      <text>
        <t>V5.1: Типы_продукта!A17:M17; Микс_продаж!B5; E14</t>
      </text>
    </comment>
    <comment ref="J266" authorId="0" shapeId="0">
      <text>
        <t>V5.1: Типы_продукта!A17:M17; Микс_продаж!B5; E14</t>
      </text>
    </comment>
    <comment ref="K266" authorId="0" shapeId="0">
      <text>
        <t>V5.1: Типы_продукта!A17:M17; Микс_продаж!B5; E14</t>
      </text>
    </comment>
    <comment ref="A267" authorId="0" shapeId="0">
      <text>
        <t>V5.1: Типы_продукта!A18:M18; Микс_продаж!B6; B15</t>
      </text>
    </comment>
    <comment ref="B267" authorId="0" shapeId="0">
      <text>
        <t>V5.1: Типы_продукта!A18:M18; Микс_продаж!B6; B15</t>
      </text>
    </comment>
    <comment ref="C267" authorId="0" shapeId="0">
      <text>
        <t>V5.1: Типы_продукта!A18:M18; Микс_продаж!B6; B15</t>
      </text>
    </comment>
    <comment ref="D267" authorId="0" shapeId="0">
      <text>
        <t>V5.1: Типы_продукта!A18:M18; Микс_продаж!B6; B15</t>
      </text>
    </comment>
    <comment ref="E267" authorId="0" shapeId="0">
      <text>
        <t>V5.1: Типы_продукта!A18:M18; Микс_продаж!B6; B15</t>
      </text>
    </comment>
    <comment ref="F267" authorId="0" shapeId="0">
      <text>
        <t>V5.1: Типы_продукта!A18:M18; Микс_продаж!B6; B15</t>
      </text>
    </comment>
    <comment ref="G267" authorId="0" shapeId="0">
      <text>
        <t>V5.1: Типы_продукта!A18:M18; Микс_продаж!B6; B15</t>
      </text>
    </comment>
    <comment ref="H267" authorId="0" shapeId="0">
      <text>
        <t>V5.1: Типы_продукта!A18:M18; Микс_продаж!B6; B15</t>
      </text>
    </comment>
    <comment ref="I267" authorId="0" shapeId="0">
      <text>
        <t>V5.1: Типы_продукта!A18:M18; Микс_продаж!B6; B15</t>
      </text>
    </comment>
    <comment ref="J267" authorId="0" shapeId="0">
      <text>
        <t>V5.1: Типы_продукта!A18:M18; Микс_продаж!B6; B15</t>
      </text>
    </comment>
    <comment ref="K267" authorId="0" shapeId="0">
      <text>
        <t>V5.1: Типы_продукта!A18:M18; Микс_продаж!B6; B15</t>
      </text>
    </comment>
    <comment ref="A268" authorId="0" shapeId="0">
      <text>
        <t>V5.1: Типы_продукта!A19:M19; Микс_продаж!B6; C15</t>
      </text>
    </comment>
    <comment ref="B268" authorId="0" shapeId="0">
      <text>
        <t>V5.1: Типы_продукта!A19:M19; Микс_продаж!B6; C15</t>
      </text>
    </comment>
    <comment ref="C268" authorId="0" shapeId="0">
      <text>
        <t>V5.1: Типы_продукта!A19:M19; Микс_продаж!B6; C15</t>
      </text>
    </comment>
    <comment ref="D268" authorId="0" shapeId="0">
      <text>
        <t>V5.1: Типы_продукта!A19:M19; Микс_продаж!B6; C15</t>
      </text>
    </comment>
    <comment ref="E268" authorId="0" shapeId="0">
      <text>
        <t>V5.1: Типы_продукта!A19:M19; Микс_продаж!B6; C15</t>
      </text>
    </comment>
    <comment ref="F268" authorId="0" shapeId="0">
      <text>
        <t>V5.1: Типы_продукта!A19:M19; Микс_продаж!B6; C15</t>
      </text>
    </comment>
    <comment ref="G268" authorId="0" shapeId="0">
      <text>
        <t>V5.1: Типы_продукта!A19:M19; Микс_продаж!B6; C15</t>
      </text>
    </comment>
    <comment ref="H268" authorId="0" shapeId="0">
      <text>
        <t>V5.1: Типы_продукта!A19:M19; Микс_продаж!B6; C15</t>
      </text>
    </comment>
    <comment ref="I268" authorId="0" shapeId="0">
      <text>
        <t>V5.1: Типы_продукта!A19:M19; Микс_продаж!B6; C15</t>
      </text>
    </comment>
    <comment ref="J268" authorId="0" shapeId="0">
      <text>
        <t>V5.1: Типы_продукта!A19:M19; Микс_продаж!B6; C15</t>
      </text>
    </comment>
    <comment ref="K268" authorId="0" shapeId="0">
      <text>
        <t>V5.1: Типы_продукта!A19:M19; Микс_продаж!B6; C15</t>
      </text>
    </comment>
    <comment ref="A269" authorId="0" shapeId="0">
      <text>
        <t>V5.1: Типы_продукта!A20:M20; Микс_продаж!B6; D15</t>
      </text>
    </comment>
    <comment ref="B269" authorId="0" shapeId="0">
      <text>
        <t>V5.1: Типы_продукта!A20:M20; Микс_продаж!B6; D15</t>
      </text>
    </comment>
    <comment ref="C269" authorId="0" shapeId="0">
      <text>
        <t>V5.1: Типы_продукта!A20:M20; Микс_продаж!B6; D15</t>
      </text>
    </comment>
    <comment ref="D269" authorId="0" shapeId="0">
      <text>
        <t>V5.1: Типы_продукта!A20:M20; Микс_продаж!B6; D15</t>
      </text>
    </comment>
    <comment ref="E269" authorId="0" shapeId="0">
      <text>
        <t>V5.1: Типы_продукта!A20:M20; Микс_продаж!B6; D15</t>
      </text>
    </comment>
    <comment ref="F269" authorId="0" shapeId="0">
      <text>
        <t>V5.1: Типы_продукта!A20:M20; Микс_продаж!B6; D15</t>
      </text>
    </comment>
    <comment ref="G269" authorId="0" shapeId="0">
      <text>
        <t>V5.1: Типы_продукта!A20:M20; Микс_продаж!B6; D15</t>
      </text>
    </comment>
    <comment ref="H269" authorId="0" shapeId="0">
      <text>
        <t>V5.1: Типы_продукта!A20:M20; Микс_продаж!B6; D15</t>
      </text>
    </comment>
    <comment ref="I269" authorId="0" shapeId="0">
      <text>
        <t>V5.1: Типы_продукта!A20:M20; Микс_продаж!B6; D15</t>
      </text>
    </comment>
    <comment ref="J269" authorId="0" shapeId="0">
      <text>
        <t>V5.1: Типы_продукта!A20:M20; Микс_продаж!B6; D15</t>
      </text>
    </comment>
    <comment ref="K269" authorId="0" shapeId="0">
      <text>
        <t>V5.1: Типы_продукта!A20:M20; Микс_продаж!B6; D15</t>
      </text>
    </comment>
    <comment ref="A270" authorId="0" shapeId="0">
      <text>
        <t>V5.1: Типы_продукта!A21:M21; Микс_продаж!B6; E15</t>
      </text>
    </comment>
    <comment ref="B270" authorId="0" shapeId="0">
      <text>
        <t>V5.1: Типы_продукта!A21:M21; Микс_продаж!B6; E15</t>
      </text>
    </comment>
    <comment ref="C270" authorId="0" shapeId="0">
      <text>
        <t>V5.1: Типы_продукта!A21:M21; Микс_продаж!B6; E15</t>
      </text>
    </comment>
    <comment ref="D270" authorId="0" shapeId="0">
      <text>
        <t>V5.1: Типы_продукта!A21:M21; Микс_продаж!B6; E15</t>
      </text>
    </comment>
    <comment ref="E270" authorId="0" shapeId="0">
      <text>
        <t>V5.1: Типы_продукта!A21:M21; Микс_продаж!B6; E15</t>
      </text>
    </comment>
    <comment ref="F270" authorId="0" shapeId="0">
      <text>
        <t>V5.1: Типы_продукта!A21:M21; Микс_продаж!B6; E15</t>
      </text>
    </comment>
    <comment ref="G270" authorId="0" shapeId="0">
      <text>
        <t>V5.1: Типы_продукта!A21:M21; Микс_продаж!B6; E15</t>
      </text>
    </comment>
    <comment ref="H270" authorId="0" shapeId="0">
      <text>
        <t>V5.1: Типы_продукта!A21:M21; Микс_продаж!B6; E15</t>
      </text>
    </comment>
    <comment ref="I270" authorId="0" shapeId="0">
      <text>
        <t>V5.1: Типы_продукта!A21:M21; Микс_продаж!B6; E15</t>
      </text>
    </comment>
    <comment ref="J270" authorId="0" shapeId="0">
      <text>
        <t>V5.1: Типы_продукта!A21:M21; Микс_продаж!B6; E15</t>
      </text>
    </comment>
    <comment ref="K270" authorId="0" shapeId="0">
      <text>
        <t>V5.1: Типы_продукта!A21:M21; Микс_продаж!B6; E15</t>
      </text>
    </comment>
    <comment ref="A271" authorId="0" shapeId="0">
      <text>
        <t>V5.1: Типы_продукта!A22:M22; Микс_продаж!B7; B16</t>
      </text>
    </comment>
    <comment ref="B271" authorId="0" shapeId="0">
      <text>
        <t>V5.1: Типы_продукта!A22:M22; Микс_продаж!B7; B16</t>
      </text>
    </comment>
    <comment ref="C271" authorId="0" shapeId="0">
      <text>
        <t>V5.1: Типы_продукта!A22:M22; Микс_продаж!B7; B16</t>
      </text>
    </comment>
    <comment ref="D271" authorId="0" shapeId="0">
      <text>
        <t>V5.1: Типы_продукта!A22:M22; Микс_продаж!B7; B16</t>
      </text>
    </comment>
    <comment ref="E271" authorId="0" shapeId="0">
      <text>
        <t>V5.1: Типы_продукта!A22:M22; Микс_продаж!B7; B16</t>
      </text>
    </comment>
    <comment ref="F271" authorId="0" shapeId="0">
      <text>
        <t>V5.1: Типы_продукта!A22:M22; Микс_продаж!B7; B16</t>
      </text>
    </comment>
    <comment ref="G271" authorId="0" shapeId="0">
      <text>
        <t>V5.1: Типы_продукта!A22:M22; Микс_продаж!B7; B16</t>
      </text>
    </comment>
    <comment ref="H271" authorId="0" shapeId="0">
      <text>
        <t>V5.1: Типы_продукта!A22:M22; Микс_продаж!B7; B16</t>
      </text>
    </comment>
    <comment ref="I271" authorId="0" shapeId="0">
      <text>
        <t>V5.1: Типы_продукта!A22:M22; Микс_продаж!B7; B16</t>
      </text>
    </comment>
    <comment ref="J271" authorId="0" shapeId="0">
      <text>
        <t>V5.1: Типы_продукта!A22:M22; Микс_продаж!B7; B16</t>
      </text>
    </comment>
    <comment ref="K271" authorId="0" shapeId="0">
      <text>
        <t>V5.1: Типы_продукта!A22:M22; Микс_продаж!B7; B16</t>
      </text>
    </comment>
    <comment ref="A272" authorId="0" shapeId="0">
      <text>
        <t>V5.1: Типы_продукта!A23:M23; Микс_продаж!B7; C16</t>
      </text>
    </comment>
    <comment ref="B272" authorId="0" shapeId="0">
      <text>
        <t>V5.1: Типы_продукта!A23:M23; Микс_продаж!B7; C16</t>
      </text>
    </comment>
    <comment ref="C272" authorId="0" shapeId="0">
      <text>
        <t>V5.1: Типы_продукта!A23:M23; Микс_продаж!B7; C16</t>
      </text>
    </comment>
    <comment ref="D272" authorId="0" shapeId="0">
      <text>
        <t>V5.1: Типы_продукта!A23:M23; Микс_продаж!B7; C16</t>
      </text>
    </comment>
    <comment ref="E272" authorId="0" shapeId="0">
      <text>
        <t>V5.1: Типы_продукта!A23:M23; Микс_продаж!B7; C16</t>
      </text>
    </comment>
    <comment ref="F272" authorId="0" shapeId="0">
      <text>
        <t>V5.1: Типы_продукта!A23:M23; Микс_продаж!B7; C16</t>
      </text>
    </comment>
    <comment ref="G272" authorId="0" shapeId="0">
      <text>
        <t>V5.1: Типы_продукта!A23:M23; Микс_продаж!B7; C16</t>
      </text>
    </comment>
    <comment ref="H272" authorId="0" shapeId="0">
      <text>
        <t>V5.1: Типы_продукта!A23:M23; Микс_продаж!B7; C16</t>
      </text>
    </comment>
    <comment ref="I272" authorId="0" shapeId="0">
      <text>
        <t>V5.1: Типы_продукта!A23:M23; Микс_продаж!B7; C16</t>
      </text>
    </comment>
    <comment ref="J272" authorId="0" shapeId="0">
      <text>
        <t>V5.1: Типы_продукта!A23:M23; Микс_продаж!B7; C16</t>
      </text>
    </comment>
    <comment ref="K272" authorId="0" shapeId="0">
      <text>
        <t>V5.1: Типы_продукта!A23:M23; Микс_продаж!B7; C16</t>
      </text>
    </comment>
    <comment ref="A273" authorId="0" shapeId="0">
      <text>
        <t>V5.1: Типы_продукта!A24:M24; Микс_продаж!B7; D16</t>
      </text>
    </comment>
    <comment ref="B273" authorId="0" shapeId="0">
      <text>
        <t>V5.1: Типы_продукта!A24:M24; Микс_продаж!B7; D16</t>
      </text>
    </comment>
    <comment ref="C273" authorId="0" shapeId="0">
      <text>
        <t>V5.1: Типы_продукта!A24:M24; Микс_продаж!B7; D16</t>
      </text>
    </comment>
    <comment ref="D273" authorId="0" shapeId="0">
      <text>
        <t>V5.1: Типы_продукта!A24:M24; Микс_продаж!B7; D16</t>
      </text>
    </comment>
    <comment ref="E273" authorId="0" shapeId="0">
      <text>
        <t>V5.1: Типы_продукта!A24:M24; Микс_продаж!B7; D16</t>
      </text>
    </comment>
    <comment ref="F273" authorId="0" shapeId="0">
      <text>
        <t>V5.1: Типы_продукта!A24:M24; Микс_продаж!B7; D16</t>
      </text>
    </comment>
    <comment ref="G273" authorId="0" shapeId="0">
      <text>
        <t>V5.1: Типы_продукта!A24:M24; Микс_продаж!B7; D16</t>
      </text>
    </comment>
    <comment ref="H273" authorId="0" shapeId="0">
      <text>
        <t>V5.1: Типы_продукта!A24:M24; Микс_продаж!B7; D16</t>
      </text>
    </comment>
    <comment ref="I273" authorId="0" shapeId="0">
      <text>
        <t>V5.1: Типы_продукта!A24:M24; Микс_продаж!B7; D16</t>
      </text>
    </comment>
    <comment ref="J273" authorId="0" shapeId="0">
      <text>
        <t>V5.1: Типы_продукта!A24:M24; Микс_продаж!B7; D16</t>
      </text>
    </comment>
    <comment ref="K273" authorId="0" shapeId="0">
      <text>
        <t>V5.1: Типы_продукта!A24:M24; Микс_продаж!B7; D16</t>
      </text>
    </comment>
    <comment ref="A274" authorId="0" shapeId="0">
      <text>
        <t>V5.1: Типы_продукта!A25:M25; Микс_продаж!B7; E16</t>
      </text>
    </comment>
    <comment ref="B274" authorId="0" shapeId="0">
      <text>
        <t>V5.1: Типы_продукта!A25:M25; Микс_продаж!B7; E16</t>
      </text>
    </comment>
    <comment ref="C274" authorId="0" shapeId="0">
      <text>
        <t>V5.1: Типы_продукта!A25:M25; Микс_продаж!B7; E16</t>
      </text>
    </comment>
    <comment ref="D274" authorId="0" shapeId="0">
      <text>
        <t>V5.1: Типы_продукта!A25:M25; Микс_продаж!B7; E16</t>
      </text>
    </comment>
    <comment ref="E274" authorId="0" shapeId="0">
      <text>
        <t>V5.1: Типы_продукта!A25:M25; Микс_продаж!B7; E16</t>
      </text>
    </comment>
    <comment ref="F274" authorId="0" shapeId="0">
      <text>
        <t>V5.1: Типы_продукта!A25:M25; Микс_продаж!B7; E16</t>
      </text>
    </comment>
    <comment ref="G274" authorId="0" shapeId="0">
      <text>
        <t>V5.1: Типы_продукта!A25:M25; Микс_продаж!B7; E16</t>
      </text>
    </comment>
    <comment ref="H274" authorId="0" shapeId="0">
      <text>
        <t>V5.1: Типы_продукта!A25:M25; Микс_продаж!B7; E16</t>
      </text>
    </comment>
    <comment ref="I274" authorId="0" shapeId="0">
      <text>
        <t>V5.1: Типы_продукта!A25:M25; Микс_продаж!B7; E16</t>
      </text>
    </comment>
    <comment ref="J274" authorId="0" shapeId="0">
      <text>
        <t>V5.1: Типы_продукта!A25:M25; Микс_продаж!B7; E16</t>
      </text>
    </comment>
    <comment ref="K274" authorId="0" shapeId="0">
      <text>
        <t>V5.1: Типы_продукта!A25:M25; Микс_продаж!B7; E16</t>
      </text>
    </comment>
    <comment ref="A275" authorId="0" shapeId="0">
      <text>
        <t>V5.1: Типы_продукта!A26:M26; Микс_продаж!B8; B17</t>
      </text>
    </comment>
    <comment ref="B275" authorId="0" shapeId="0">
      <text>
        <t>V5.1: Типы_продукта!A26:M26; Микс_продаж!B8; B17</t>
      </text>
    </comment>
    <comment ref="C275" authorId="0" shapeId="0">
      <text>
        <t>V5.1: Типы_продукта!A26:M26; Микс_продаж!B8; B17</t>
      </text>
    </comment>
    <comment ref="D275" authorId="0" shapeId="0">
      <text>
        <t>V5.1: Типы_продукта!A26:M26; Микс_продаж!B8; B17</t>
      </text>
    </comment>
    <comment ref="E275" authorId="0" shapeId="0">
      <text>
        <t>V5.1: Типы_продукта!A26:M26; Микс_продаж!B8; B17</t>
      </text>
    </comment>
    <comment ref="F275" authorId="0" shapeId="0">
      <text>
        <t>V5.1: Типы_продукта!A26:M26; Микс_продаж!B8; B17</t>
      </text>
    </comment>
    <comment ref="G275" authorId="0" shapeId="0">
      <text>
        <t>V5.1: Типы_продукта!A26:M26; Микс_продаж!B8; B17</t>
      </text>
    </comment>
    <comment ref="H275" authorId="0" shapeId="0">
      <text>
        <t>V5.1: Типы_продукта!A26:M26; Микс_продаж!B8; B17</t>
      </text>
    </comment>
    <comment ref="I275" authorId="0" shapeId="0">
      <text>
        <t>V5.1: Типы_продукта!A26:M26; Микс_продаж!B8; B17</t>
      </text>
    </comment>
    <comment ref="J275" authorId="0" shapeId="0">
      <text>
        <t>V5.1: Типы_продукта!A26:M26; Микс_продаж!B8; B17</t>
      </text>
    </comment>
    <comment ref="K275" authorId="0" shapeId="0">
      <text>
        <t>V5.1: Типы_продукта!A26:M26; Микс_продаж!B8; B17</t>
      </text>
    </comment>
    <comment ref="A276" authorId="0" shapeId="0">
      <text>
        <t>V5.1: Типы_продукта!A27:M27; Микс_продаж!B8; C17</t>
      </text>
    </comment>
    <comment ref="B276" authorId="0" shapeId="0">
      <text>
        <t>V5.1: Типы_продукта!A27:M27; Микс_продаж!B8; C17</t>
      </text>
    </comment>
    <comment ref="C276" authorId="0" shapeId="0">
      <text>
        <t>V5.1: Типы_продукта!A27:M27; Микс_продаж!B8; C17</t>
      </text>
    </comment>
    <comment ref="D276" authorId="0" shapeId="0">
      <text>
        <t>V5.1: Типы_продукта!A27:M27; Микс_продаж!B8; C17</t>
      </text>
    </comment>
    <comment ref="E276" authorId="0" shapeId="0">
      <text>
        <t>V5.1: Типы_продукта!A27:M27; Микс_продаж!B8; C17</t>
      </text>
    </comment>
    <comment ref="F276" authorId="0" shapeId="0">
      <text>
        <t>V5.1: Типы_продукта!A27:M27; Микс_продаж!B8; C17</t>
      </text>
    </comment>
    <comment ref="G276" authorId="0" shapeId="0">
      <text>
        <t>V5.1: Типы_продукта!A27:M27; Микс_продаж!B8; C17</t>
      </text>
    </comment>
    <comment ref="H276" authorId="0" shapeId="0">
      <text>
        <t>V5.1: Типы_продукта!A27:M27; Микс_продаж!B8; C17</t>
      </text>
    </comment>
    <comment ref="I276" authorId="0" shapeId="0">
      <text>
        <t>V5.1: Типы_продукта!A27:M27; Микс_продаж!B8; C17</t>
      </text>
    </comment>
    <comment ref="J276" authorId="0" shapeId="0">
      <text>
        <t>V5.1: Типы_продукта!A27:M27; Микс_продаж!B8; C17</t>
      </text>
    </comment>
    <comment ref="K276" authorId="0" shapeId="0">
      <text>
        <t>V5.1: Типы_продукта!A27:M27; Микс_продаж!B8; C17</t>
      </text>
    </comment>
    <comment ref="A277" authorId="0" shapeId="0">
      <text>
        <t>V5.1: Типы_продукта!A28:M28; Микс_продаж!B8; D17</t>
      </text>
    </comment>
    <comment ref="B277" authorId="0" shapeId="0">
      <text>
        <t>V5.1: Типы_продукта!A28:M28; Микс_продаж!B8; D17</t>
      </text>
    </comment>
    <comment ref="C277" authorId="0" shapeId="0">
      <text>
        <t>V5.1: Типы_продукта!A28:M28; Микс_продаж!B8; D17</t>
      </text>
    </comment>
    <comment ref="D277" authorId="0" shapeId="0">
      <text>
        <t>V5.1: Типы_продукта!A28:M28; Микс_продаж!B8; D17</t>
      </text>
    </comment>
    <comment ref="E277" authorId="0" shapeId="0">
      <text>
        <t>V5.1: Типы_продукта!A28:M28; Микс_продаж!B8; D17</t>
      </text>
    </comment>
    <comment ref="F277" authorId="0" shapeId="0">
      <text>
        <t>V5.1: Типы_продукта!A28:M28; Микс_продаж!B8; D17</t>
      </text>
    </comment>
    <comment ref="G277" authorId="0" shapeId="0">
      <text>
        <t>V5.1: Типы_продукта!A28:M28; Микс_продаж!B8; D17</t>
      </text>
    </comment>
    <comment ref="H277" authorId="0" shapeId="0">
      <text>
        <t>V5.1: Типы_продукта!A28:M28; Микс_продаж!B8; D17</t>
      </text>
    </comment>
    <comment ref="I277" authorId="0" shapeId="0">
      <text>
        <t>V5.1: Типы_продукта!A28:M28; Микс_продаж!B8; D17</t>
      </text>
    </comment>
    <comment ref="J277" authorId="0" shapeId="0">
      <text>
        <t>V5.1: Типы_продукта!A28:M28; Микс_продаж!B8; D17</t>
      </text>
    </comment>
    <comment ref="K277" authorId="0" shapeId="0">
      <text>
        <t>V5.1: Типы_продукта!A28:M28; Микс_продаж!B8; D17</t>
      </text>
    </comment>
    <comment ref="A278" authorId="0" shapeId="0">
      <text>
        <t>V5.1: Типы_продукта!A29:M29; Микс_продаж!B8; E17</t>
      </text>
    </comment>
    <comment ref="B278" authorId="0" shapeId="0">
      <text>
        <t>V5.1: Типы_продукта!A29:M29; Микс_продаж!B8; E17</t>
      </text>
    </comment>
    <comment ref="C278" authorId="0" shapeId="0">
      <text>
        <t>V5.1: Типы_продукта!A29:M29; Микс_продаж!B8; E17</t>
      </text>
    </comment>
    <comment ref="D278" authorId="0" shapeId="0">
      <text>
        <t>V5.1: Типы_продукта!A29:M29; Микс_продаж!B8; E17</t>
      </text>
    </comment>
    <comment ref="E278" authorId="0" shapeId="0">
      <text>
        <t>V5.1: Типы_продукта!A29:M29; Микс_продаж!B8; E17</t>
      </text>
    </comment>
    <comment ref="F278" authorId="0" shapeId="0">
      <text>
        <t>V5.1: Типы_продукта!A29:M29; Микс_продаж!B8; E17</t>
      </text>
    </comment>
    <comment ref="G278" authorId="0" shapeId="0">
      <text>
        <t>V5.1: Типы_продукта!A29:M29; Микс_продаж!B8; E17</t>
      </text>
    </comment>
    <comment ref="H278" authorId="0" shapeId="0">
      <text>
        <t>V5.1: Типы_продукта!A29:M29; Микс_продаж!B8; E17</t>
      </text>
    </comment>
    <comment ref="I278" authorId="0" shapeId="0">
      <text>
        <t>V5.1: Типы_продукта!A29:M29; Микс_продаж!B8; E17</t>
      </text>
    </comment>
    <comment ref="J278" authorId="0" shapeId="0">
      <text>
        <t>V5.1: Типы_продукта!A29:M29; Микс_продаж!B8; E17</t>
      </text>
    </comment>
    <comment ref="K278" authorId="0" shapeId="0">
      <text>
        <t>V5.1: Типы_продукта!A29:M29; Микс_продаж!B8; E17</t>
      </text>
    </comment>
    <comment ref="A279" authorId="0" shapeId="0">
      <text>
        <t>V5.1: Типы_продукта!A30:M30; Микс_продаж!B9; B18</t>
      </text>
    </comment>
    <comment ref="B279" authorId="0" shapeId="0">
      <text>
        <t>V5.1: Типы_продукта!A30:M30; Микс_продаж!B9; B18</t>
      </text>
    </comment>
    <comment ref="C279" authorId="0" shapeId="0">
      <text>
        <t>V5.1: Типы_продукта!A30:M30; Микс_продаж!B9; B18</t>
      </text>
    </comment>
    <comment ref="D279" authorId="0" shapeId="0">
      <text>
        <t>V5.1: Типы_продукта!A30:M30; Микс_продаж!B9; B18</t>
      </text>
    </comment>
    <comment ref="E279" authorId="0" shapeId="0">
      <text>
        <t>V5.1: Типы_продукта!A30:M30; Микс_продаж!B9; B18</t>
      </text>
    </comment>
    <comment ref="F279" authorId="0" shapeId="0">
      <text>
        <t>V5.1: Типы_продукта!A30:M30; Микс_продаж!B9; B18</t>
      </text>
    </comment>
    <comment ref="G279" authorId="0" shapeId="0">
      <text>
        <t>V5.1: Типы_продукта!A30:M30; Микс_продаж!B9; B18</t>
      </text>
    </comment>
    <comment ref="H279" authorId="0" shapeId="0">
      <text>
        <t>V5.1: Типы_продукта!A30:M30; Микс_продаж!B9; B18</t>
      </text>
    </comment>
    <comment ref="I279" authorId="0" shapeId="0">
      <text>
        <t>V5.1: Типы_продукта!A30:M30; Микс_продаж!B9; B18</t>
      </text>
    </comment>
    <comment ref="J279" authorId="0" shapeId="0">
      <text>
        <t>V5.1: Типы_продукта!A30:M30; Микс_продаж!B9; B18</t>
      </text>
    </comment>
    <comment ref="K279" authorId="0" shapeId="0">
      <text>
        <t>V5.1: Типы_продукта!A30:M30; Микс_продаж!B9; B18</t>
      </text>
    </comment>
    <comment ref="A280" authorId="0" shapeId="0">
      <text>
        <t>V5.1: Типы_продукта!A31:M31; Микс_продаж!B9; C18</t>
      </text>
    </comment>
    <comment ref="B280" authorId="0" shapeId="0">
      <text>
        <t>V5.1: Типы_продукта!A31:M31; Микс_продаж!B9; C18</t>
      </text>
    </comment>
    <comment ref="C280" authorId="0" shapeId="0">
      <text>
        <t>V5.1: Типы_продукта!A31:M31; Микс_продаж!B9; C18</t>
      </text>
    </comment>
    <comment ref="D280" authorId="0" shapeId="0">
      <text>
        <t>V5.1: Типы_продукта!A31:M31; Микс_продаж!B9; C18</t>
      </text>
    </comment>
    <comment ref="E280" authorId="0" shapeId="0">
      <text>
        <t>V5.1: Типы_продукта!A31:M31; Микс_продаж!B9; C18</t>
      </text>
    </comment>
    <comment ref="F280" authorId="0" shapeId="0">
      <text>
        <t>V5.1: Типы_продукта!A31:M31; Микс_продаж!B9; C18</t>
      </text>
    </comment>
    <comment ref="G280" authorId="0" shapeId="0">
      <text>
        <t>V5.1: Типы_продукта!A31:M31; Микс_продаж!B9; C18</t>
      </text>
    </comment>
    <comment ref="H280" authorId="0" shapeId="0">
      <text>
        <t>V5.1: Типы_продукта!A31:M31; Микс_продаж!B9; C18</t>
      </text>
    </comment>
    <comment ref="I280" authorId="0" shapeId="0">
      <text>
        <t>V5.1: Типы_продукта!A31:M31; Микс_продаж!B9; C18</t>
      </text>
    </comment>
    <comment ref="J280" authorId="0" shapeId="0">
      <text>
        <t>V5.1: Типы_продукта!A31:M31; Микс_продаж!B9; C18</t>
      </text>
    </comment>
    <comment ref="K280" authorId="0" shapeId="0">
      <text>
        <t>V5.1: Типы_продукта!A31:M31; Микс_продаж!B9; C18</t>
      </text>
    </comment>
    <comment ref="A281" authorId="0" shapeId="0">
      <text>
        <t>V5.1: Типы_продукта!A32:M32; Микс_продаж!B9; D18</t>
      </text>
    </comment>
    <comment ref="B281" authorId="0" shapeId="0">
      <text>
        <t>V5.1: Типы_продукта!A32:M32; Микс_продаж!B9; D18</t>
      </text>
    </comment>
    <comment ref="C281" authorId="0" shapeId="0">
      <text>
        <t>V5.1: Типы_продукта!A32:M32; Микс_продаж!B9; D18</t>
      </text>
    </comment>
    <comment ref="D281" authorId="0" shapeId="0">
      <text>
        <t>V5.1: Типы_продукта!A32:M32; Микс_продаж!B9; D18</t>
      </text>
    </comment>
    <comment ref="E281" authorId="0" shapeId="0">
      <text>
        <t>V5.1: Типы_продукта!A32:M32; Микс_продаж!B9; D18</t>
      </text>
    </comment>
    <comment ref="F281" authorId="0" shapeId="0">
      <text>
        <t>V5.1: Типы_продукта!A32:M32; Микс_продаж!B9; D18</t>
      </text>
    </comment>
    <comment ref="G281" authorId="0" shapeId="0">
      <text>
        <t>V5.1: Типы_продукта!A32:M32; Микс_продаж!B9; D18</t>
      </text>
    </comment>
    <comment ref="H281" authorId="0" shapeId="0">
      <text>
        <t>V5.1: Типы_продукта!A32:M32; Микс_продаж!B9; D18</t>
      </text>
    </comment>
    <comment ref="I281" authorId="0" shapeId="0">
      <text>
        <t>V5.1: Типы_продукта!A32:M32; Микс_продаж!B9; D18</t>
      </text>
    </comment>
    <comment ref="J281" authorId="0" shapeId="0">
      <text>
        <t>V5.1: Типы_продукта!A32:M32; Микс_продаж!B9; D18</t>
      </text>
    </comment>
    <comment ref="K281" authorId="0" shapeId="0">
      <text>
        <t>V5.1: Типы_продукта!A32:M32; Микс_продаж!B9; D18</t>
      </text>
    </comment>
    <comment ref="A282" authorId="0" shapeId="0">
      <text>
        <t>V5.1: Типы_продукта!A33:M33; Микс_продаж!B9; E18</t>
      </text>
    </comment>
    <comment ref="B282" authorId="0" shapeId="0">
      <text>
        <t>V5.1: Типы_продукта!A33:M33; Микс_продаж!B9; E18</t>
      </text>
    </comment>
    <comment ref="C282" authorId="0" shapeId="0">
      <text>
        <t>V5.1: Типы_продукта!A33:M33; Микс_продаж!B9; E18</t>
      </text>
    </comment>
    <comment ref="D282" authorId="0" shapeId="0">
      <text>
        <t>V5.1: Типы_продукта!A33:M33; Микс_продаж!B9; E18</t>
      </text>
    </comment>
    <comment ref="E282" authorId="0" shapeId="0">
      <text>
        <t>V5.1: Типы_продукта!A33:M33; Микс_продаж!B9; E18</t>
      </text>
    </comment>
    <comment ref="F282" authorId="0" shapeId="0">
      <text>
        <t>V5.1: Типы_продукта!A33:M33; Микс_продаж!B9; E18</t>
      </text>
    </comment>
    <comment ref="G282" authorId="0" shapeId="0">
      <text>
        <t>V5.1: Типы_продукта!A33:M33; Микс_продаж!B9; E18</t>
      </text>
    </comment>
    <comment ref="H282" authorId="0" shapeId="0">
      <text>
        <t>V5.1: Типы_продукта!A33:M33; Микс_продаж!B9; E18</t>
      </text>
    </comment>
    <comment ref="I282" authorId="0" shapeId="0">
      <text>
        <t>V5.1: Типы_продукта!A33:M33; Микс_продаж!B9; E18</t>
      </text>
    </comment>
    <comment ref="J282" authorId="0" shapeId="0">
      <text>
        <t>V5.1: Типы_продукта!A33:M33; Микс_продаж!B9; E18</t>
      </text>
    </comment>
    <comment ref="K282" authorId="0" shapeId="0">
      <text>
        <t>V5.1: Типы_продукта!A33:M33; Микс_продаж!B9; E18</t>
      </text>
    </comment>
    <comment ref="C283" authorId="0" shapeId="0">
      <text>
        <t>РАСЧЁТ, НЕ ВВОДИТЬ.
Эта ячейка считается формулой. Если вписать сюда число, связь со сценариями и тарифным миксом пропадёт.</t>
      </text>
    </comment>
    <comment ref="B286" authorId="0" shapeId="0">
      <text>
        <t>Финмодель франшизы Спартак — чистовая версия v4.0(1).xlsx; Допущения!B42; 1% выручки с НДС — сохранено правило v4; база не заменена молча на чистую выручку.</t>
      </text>
    </comment>
    <comment ref="B287" authorId="0" shapeId="0">
      <text>
        <t>Финмодель франшизы Спартак — чистовая версия v4.0(1).xlsx; Допущения!B41; В приложенной v4 указано именно 1 000 ₽. Восстановлено без изменения суммы.</t>
      </text>
    </comment>
    <comment ref="B288" authorId="0" shapeId="0">
      <text>
        <t>Финмодель франшизы Спартак — чистовая версия v4.0(1).xlsx; Допущения!B41:B42; По умолчанию С НДС, как в v4. Начисленная выручка всех направлений, не авансы.</t>
      </text>
    </comment>
    <comment ref="B289" authorId="0" shapeId="0">
      <text>
        <t>ФОРМУЛА ПО УМОЛЧАНИЮ.
По умолчанию = дата старта модели (B7). Можно вписать свою дату.</t>
      </text>
    </comment>
    <comment ref="B290" authorId="0" shapeId="0">
      <text>
        <t>Финмодель франшизы Спартак — чистовая версия v4.0(1).xlsx; Допущения!B41:B42; Да — CAPEX вычитается до возврата займа. Нет — контрольное воспроизведение V8.2.</t>
      </text>
    </comment>
    <comment ref="B293" authorId="0" shapeId="0">
      <text>
        <t>Источник: подтверждение пользователя 09.09.2026; допущения v4 и формула постепенного набора.
Ежегодно в июне, как в v4; зарплаты отдельно в сентябре.</t>
      </text>
    </comment>
    <comment ref="B294" authorId="0" shapeId="0">
      <text>
        <t>Источник: подтверждение пользователя 09.09.2026; допущения v4 и формула постепенного набора.
Абонемент, паушальный, форма, ERP, IT, юристы, реклама, SMM-подрядчики, резерв ротации. Офис, мин. роялти, лагеря не меняются.</t>
      </text>
    </comment>
    <comment ref="B295" authorId="0" shapeId="0">
      <text>
        <t>Источник: подтверждение пользователя 09.09.2026; допущения v4 и формула постепенного набора.
Месяцы 1-12: 1/12...12/12 плана 1-го года; 13-24: плавный переход к плану 2-го. Нет - только для сверки с V8.3.</t>
      </text>
    </comment>
    <comment ref="B296" authorId="0" shapeId="0">
      <text>
        <t>Источник: подтверждение пользователя 09.09.2026; допущения v4 и формула постепенного набора.
С следующего сентября, но не раньше завершения трех первичных поставок. Без ожидания 12 месяцев.</t>
      </text>
    </comment>
    <comment ref="B297" authorId="0" shapeId="0">
      <text>
        <t>Источник: подтверждение пользователя 09.09.2026; допущения v4 и формула постепенного набора.
В V8.3 было 0; в v4 - 2. Не изменено без отдельного подтверждения.</t>
      </text>
    </comment>
    <comment ref="B298" authorId="0" shapeId="0">
      <text>
        <t>Источник: подтверждение пользователя 09.09.2026; допущения v4 и формула постепенного набора.
В V8.3 - 100%; база v4 - 95%. Закрытия отдельно в B13 (пока 0%).</t>
      </text>
    </comment>
    <comment ref="B301" authorId="0" shapeId="0">
      <text>
        <t>Источник: v4, таблица допущений по инфляции; 7% в год.
2032 год продлевает технический запас прогноза с тем же плановым допущением.</t>
      </text>
    </comment>
    <comment ref="B302" authorId="0" shapeId="0">
      <text>
        <t>Источник: v4, таблица допущений по инфляции; 7% в год.
2032 год продлевает технический запас прогноза с тем же плановым допущением.</t>
      </text>
    </comment>
    <comment ref="B303" authorId="0" shapeId="0">
      <text>
        <t>Источник: v4, таблица допущений по инфляции; 7% в год.
2032 год продлевает технический запас прогноза с тем же плановым допущением.</t>
      </text>
    </comment>
    <comment ref="B304" authorId="0" shapeId="0">
      <text>
        <t>Источник: v4, таблица допущений по инфляции; 7% в год.
2032 год продлевает технический запас прогноза с тем же плановым допущением.</t>
      </text>
    </comment>
    <comment ref="B305" authorId="0" shapeId="0">
      <text>
        <t>Источник: v4, таблица допущений по инфляции; 7% в год.
2032 год продлевает технический запас прогноза с тем же плановым допущением.</t>
      </text>
    </comment>
    <comment ref="B306" authorId="0" shapeId="0">
      <text>
        <t>Источник: v4, таблица допущений по инфляции; 7% в год.
2032 год продлевает технический запас прогноза с тем же плановым допущением.</t>
      </text>
    </comment>
    <comment ref="B307" authorId="0" shapeId="0">
      <text>
        <t>Источник: v4, таблица допущений по инфляции; 7% в год.
2032 год продлевает технический запас прогноза с тем же плановым допущением.</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33</row>
      <rowOff>0</rowOff>
    </from>
    <ext cx="6120000" cy="270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33</row>
      <rowOff>0</rowOff>
    </from>
    <ext cx="6120000" cy="270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49</row>
      <rowOff>0</rowOff>
    </from>
    <ext cx="6120000" cy="2700000"/>
    <graphicFrame>
      <nvGraphicFramePr>
        <cNvPr id="3" name="Chart 3"/>
        <cNvGraphicFramePr/>
      </nvGraphicFramePr>
      <xfrm/>
      <a:graphic>
        <a:graphicData uri="http://schemas.openxmlformats.org/drawingml/2006/chart">
          <c:chart r:id="rId3"/>
        </a:graphicData>
      </a:graphic>
    </graphicFrame>
    <clientData/>
  </oneCellAnchor>
  <oneCellAnchor>
    <from>
      <col>11</col>
      <colOff>0</colOff>
      <row>49</row>
      <rowOff>0</rowOff>
    </from>
    <ext cx="6120000" cy="270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65</row>
      <rowOff>0</rowOff>
    </from>
    <ext cx="6120000" cy="2700000"/>
    <graphicFrame>
      <nvGraphicFramePr>
        <cNvPr id="5" name="Chart 5"/>
        <cNvGraphicFramePr/>
      </nvGraphicFramePr>
      <xfrm/>
      <a:graphic>
        <a:graphicData uri="http://schemas.openxmlformats.org/drawingml/2006/chart">
          <c:chart r:id="rId5"/>
        </a:graphicData>
      </a:graphic>
    </graphicFrame>
    <clientData/>
  </oneCellAnchor>
  <oneCellAnchor>
    <from>
      <col>11</col>
      <colOff>0</colOff>
      <row>65</row>
      <rowOff>0</rowOff>
    </from>
    <ext cx="6120000" cy="270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81</row>
      <rowOff>0</rowOff>
    </from>
    <ext cx="6120000" cy="2700000"/>
    <graphicFrame>
      <nvGraphicFramePr>
        <cNvPr id="7" name="Chart 7"/>
        <cNvGraphicFramePr/>
      </nvGraphicFramePr>
      <xfrm/>
      <a:graphic>
        <a:graphicData uri="http://schemas.openxmlformats.org/drawingml/2006/chart">
          <c:chart r:id="rId7"/>
        </a:graphicData>
      </a:graphic>
    </graphicFrame>
    <clientData/>
  </oneCellAnchor>
  <oneCellAnchor>
    <from>
      <col>11</col>
      <colOff>0</colOff>
      <row>81</row>
      <rowOff>0</rowOff>
    </from>
    <ext cx="6120000" cy="2700000"/>
    <graphicFrame>
      <nvGraphicFramePr>
        <cNvPr id="8" name="Chart 8"/>
        <cNvGraphicFramePr/>
      </nvGraphicFramePr>
      <xfrm/>
      <a:graphic>
        <a:graphicData uri="http://schemas.openxmlformats.org/drawingml/2006/chart">
          <c:chart r:id="rId8"/>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B2:J10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2" customWidth="1" min="2" max="2"/>
    <col width="19" customWidth="1" min="3" max="3"/>
    <col width="17" customWidth="1" min="4" max="4"/>
    <col width="17" customWidth="1" min="5" max="5"/>
    <col width="17" customWidth="1" min="6" max="6"/>
    <col width="17" customWidth="1" min="7" max="7"/>
    <col width="17" customWidth="1" min="8" max="8"/>
    <col width="17" customWidth="1" min="9" max="9"/>
    <col width="17" customWidth="1" min="10" max="10"/>
  </cols>
  <sheetData>
    <row r="2">
      <c r="B2" s="1" t="inlineStr">
        <is>
          <t>Финмодель «Спартак» — итог</t>
        </is>
      </c>
    </row>
    <row r="3">
      <c r="B3" s="2">
        <f>"Сценарий: "&amp;СценарийТекст&amp;"   ·   старт "&amp;TEXT(СтартМодели,"MM.YYYY")&amp;"   ·   горизонт "&amp;ГоризонтМес&amp;" мес."</f>
        <v/>
      </c>
    </row>
    <row r="5" ht="30" customHeight="1">
      <c r="B5" s="3" t="inlineStr">
        <is>
          <t>Показатель</t>
        </is>
      </c>
      <c r="C5" s="3" t="inlineStr">
        <is>
          <t>Сезон 25/26</t>
        </is>
      </c>
      <c r="D5" s="3" t="inlineStr">
        <is>
          <t>Год 1</t>
        </is>
      </c>
      <c r="E5" s="3" t="inlineStr">
        <is>
          <t>Год 2</t>
        </is>
      </c>
      <c r="F5" s="3" t="inlineStr">
        <is>
          <t>Год 3</t>
        </is>
      </c>
      <c r="G5" s="3" t="inlineStr">
        <is>
          <t>Год 4</t>
        </is>
      </c>
      <c r="H5" s="3" t="inlineStr">
        <is>
          <t>Год 5</t>
        </is>
      </c>
      <c r="I5" s="3" t="inlineStr">
        <is>
          <t>Итого 5 лет</t>
        </is>
      </c>
      <c r="J5" s="3" t="inlineStr">
        <is>
          <t>С сезоном 25/26</t>
        </is>
      </c>
    </row>
    <row r="6">
      <c r="B6" t="inlineStr">
        <is>
          <t>Паушальные взносы</t>
        </is>
      </c>
      <c r="C6" s="4">
        <f>IF(УчитыватьИсторию="Да",'01_Вводные'!$B$324,"")</f>
        <v/>
      </c>
      <c r="D6" s="5">
        <f>SUM('02_Результат'!L12:'02_Результат'!W12)</f>
        <v/>
      </c>
      <c r="E6" s="5">
        <f>SUM('02_Результат'!X12:'02_Результат'!AI12)</f>
        <v/>
      </c>
      <c r="F6" s="5">
        <f>SUM('02_Результат'!AJ12:'02_Результат'!AU12)</f>
        <v/>
      </c>
      <c r="G6" s="5">
        <f>SUM('02_Результат'!AV12:'02_Результат'!BG12)</f>
        <v/>
      </c>
      <c r="H6" s="5">
        <f>SUM('02_Результат'!BH12:'02_Результат'!BS12)</f>
        <v/>
      </c>
      <c r="I6" s="6">
        <f>SUM('02_Результат'!L12:'02_Результат'!BS12)</f>
        <v/>
      </c>
      <c r="J6" s="6">
        <f>I6+IF(УчитыватьИсторию="Да",'01_Вводные'!$B$324,0)</f>
        <v/>
      </c>
    </row>
    <row r="7">
      <c r="B7" t="inlineStr">
        <is>
          <t>Роялти</t>
        </is>
      </c>
      <c r="C7" s="4">
        <f>IF(УчитыватьИсторию="Да",'01_Вводные'!$B$325,"")</f>
        <v/>
      </c>
      <c r="D7" s="5">
        <f>SUM('02_Результат'!L13:'02_Результат'!W13)</f>
        <v/>
      </c>
      <c r="E7" s="5">
        <f>SUM('02_Результат'!X13:'02_Результат'!AI13)</f>
        <v/>
      </c>
      <c r="F7" s="5">
        <f>SUM('02_Результат'!AJ13:'02_Результат'!AU13)</f>
        <v/>
      </c>
      <c r="G7" s="5">
        <f>SUM('02_Результат'!AV13:'02_Результат'!BG13)</f>
        <v/>
      </c>
      <c r="H7" s="5">
        <f>SUM('02_Результат'!BH13:'02_Результат'!BS13)</f>
        <v/>
      </c>
      <c r="I7" s="6">
        <f>SUM('02_Результат'!L13:'02_Результат'!BS13)</f>
        <v/>
      </c>
      <c r="J7" s="6">
        <f>I7+IF(УчитыватьИсторию="Да",'01_Вводные'!$B$325,0)</f>
        <v/>
      </c>
    </row>
    <row r="8">
      <c r="B8" t="inlineStr">
        <is>
          <t>Мерч</t>
        </is>
      </c>
      <c r="C8" s="4">
        <f>IF(УчитыватьИсторию="Да",'01_Вводные'!$B$326,"")</f>
        <v/>
      </c>
      <c r="D8" s="5">
        <f>SUM('02_Результат'!L14:'02_Результат'!W14)</f>
        <v/>
      </c>
      <c r="E8" s="5">
        <f>SUM('02_Результат'!X14:'02_Результат'!AI14)</f>
        <v/>
      </c>
      <c r="F8" s="5">
        <f>SUM('02_Результат'!AJ14:'02_Результат'!AU14)</f>
        <v/>
      </c>
      <c r="G8" s="5">
        <f>SUM('02_Результат'!AV14:'02_Результат'!BG14)</f>
        <v/>
      </c>
      <c r="H8" s="5">
        <f>SUM('02_Результат'!BH14:'02_Результат'!BS14)</f>
        <v/>
      </c>
      <c r="I8" s="6">
        <f>SUM('02_Результат'!L14:'02_Результат'!BS14)</f>
        <v/>
      </c>
      <c r="J8" s="6">
        <f>I8+IF(УчитыватьИсторию="Да",'01_Вводные'!$B$326,0)</f>
        <v/>
      </c>
    </row>
    <row r="9">
      <c r="B9" s="7" t="inlineStr">
        <is>
          <t>Выручка без НДС</t>
        </is>
      </c>
      <c r="C9" s="8">
        <f>IF(УчитыватьИсторию="Да",'01_Вводные'!$B$327,"")</f>
        <v/>
      </c>
      <c r="D9" s="9">
        <f>SUM('02_Результат'!L16:'02_Результат'!W16)</f>
        <v/>
      </c>
      <c r="E9" s="9">
        <f>SUM('02_Результат'!X16:'02_Результат'!AI16)</f>
        <v/>
      </c>
      <c r="F9" s="9">
        <f>SUM('02_Результат'!AJ16:'02_Результат'!AU16)</f>
        <v/>
      </c>
      <c r="G9" s="9">
        <f>SUM('02_Результат'!AV16:'02_Результат'!BG16)</f>
        <v/>
      </c>
      <c r="H9" s="9">
        <f>SUM('02_Результат'!BH16:'02_Результат'!BS16)</f>
        <v/>
      </c>
      <c r="I9" s="10">
        <f>SUM('02_Результат'!L16:'02_Результат'!BS16)</f>
        <v/>
      </c>
      <c r="J9" s="10">
        <f>I9+IF(УчитыватьИсторию="Да",'01_Вводные'!$B$327,0)</f>
        <v/>
      </c>
    </row>
    <row r="11">
      <c r="B11" t="inlineStr">
        <is>
          <t>Прямые расходы</t>
        </is>
      </c>
      <c r="C11" s="4">
        <f>IF(УчитыватьИсторию="Да",'01_Вводные'!$B$328,"")</f>
        <v/>
      </c>
      <c r="D11" s="5">
        <f>SUM('02_Результат'!L22:'02_Результат'!W22)</f>
        <v/>
      </c>
      <c r="E11" s="5">
        <f>SUM('02_Результат'!X22:'02_Результат'!AI22)</f>
        <v/>
      </c>
      <c r="F11" s="5">
        <f>SUM('02_Результат'!AJ22:'02_Результат'!AU22)</f>
        <v/>
      </c>
      <c r="G11" s="5">
        <f>SUM('02_Результат'!AV22:'02_Результат'!BG22)</f>
        <v/>
      </c>
      <c r="H11" s="5">
        <f>SUM('02_Результат'!BH22:'02_Результат'!BS22)</f>
        <v/>
      </c>
      <c r="I11" s="6">
        <f>SUM('02_Результат'!L22:'02_Результат'!BS22)</f>
        <v/>
      </c>
      <c r="J11" s="6">
        <f>I11+IF(УчитыватьИсторию="Да",'01_Вводные'!$B$328,0)</f>
        <v/>
      </c>
    </row>
    <row r="12">
      <c r="B12" s="7" t="inlineStr">
        <is>
          <t>Валовая прибыль</t>
        </is>
      </c>
      <c r="C12" s="8">
        <f>IF(УчитыватьИсторию="Да",'01_Вводные'!$B$329,"")</f>
        <v/>
      </c>
      <c r="D12" s="9">
        <f>SUM('02_Результат'!L23:'02_Результат'!W23)</f>
        <v/>
      </c>
      <c r="E12" s="9">
        <f>SUM('02_Результат'!X23:'02_Результат'!AI23)</f>
        <v/>
      </c>
      <c r="F12" s="9">
        <f>SUM('02_Результат'!AJ23:'02_Результат'!AU23)</f>
        <v/>
      </c>
      <c r="G12" s="9">
        <f>SUM('02_Результат'!AV23:'02_Результат'!BG23)</f>
        <v/>
      </c>
      <c r="H12" s="9">
        <f>SUM('02_Результат'!BH23:'02_Результат'!BS23)</f>
        <v/>
      </c>
      <c r="I12" s="10">
        <f>SUM('02_Результат'!L23:'02_Результат'!BS23)</f>
        <v/>
      </c>
      <c r="J12" s="10">
        <f>I12+IF(УчитыватьИсторию="Да",'01_Вводные'!$B$329,0)</f>
        <v/>
      </c>
    </row>
    <row r="13">
      <c r="B13" t="inlineStr">
        <is>
          <t>ФОТ и кадровые расходы</t>
        </is>
      </c>
      <c r="C13" s="4">
        <f>IF(УчитыватьИсторию="Да",'01_Вводные'!$B$330,"")</f>
        <v/>
      </c>
      <c r="D13" s="5">
        <f>SUM('02_Результат'!L24:'02_Результат'!W24)</f>
        <v/>
      </c>
      <c r="E13" s="5">
        <f>SUM('02_Результат'!X24:'02_Результат'!AI24)</f>
        <v/>
      </c>
      <c r="F13" s="5">
        <f>SUM('02_Результат'!AJ24:'02_Результат'!AU24)</f>
        <v/>
      </c>
      <c r="G13" s="5">
        <f>SUM('02_Результат'!AV24:'02_Результат'!BG24)</f>
        <v/>
      </c>
      <c r="H13" s="5">
        <f>SUM('02_Результат'!BH24:'02_Результат'!BS24)</f>
        <v/>
      </c>
      <c r="I13" s="6">
        <f>SUM('02_Результат'!L24:'02_Результат'!BS24)</f>
        <v/>
      </c>
      <c r="J13" s="6">
        <f>I13+IF(УчитыватьИсторию="Да",'01_Вводные'!$B$330,0)</f>
        <v/>
      </c>
    </row>
    <row r="14">
      <c r="B14" t="inlineStr">
        <is>
          <t>OPEX — прочие (без ФОТ)</t>
        </is>
      </c>
      <c r="C14" s="4">
        <f>IF(УчитыватьИсторию="Да",'01_Вводные'!$B$331,"")</f>
        <v/>
      </c>
      <c r="D14" s="5">
        <f>SUM('02_Результат'!L31:'02_Результат'!W31)</f>
        <v/>
      </c>
      <c r="E14" s="5">
        <f>SUM('02_Результат'!X31:'02_Результат'!AI31)</f>
        <v/>
      </c>
      <c r="F14" s="5">
        <f>SUM('02_Результат'!AJ31:'02_Результат'!AU31)</f>
        <v/>
      </c>
      <c r="G14" s="5">
        <f>SUM('02_Результат'!AV31:'02_Результат'!BG31)</f>
        <v/>
      </c>
      <c r="H14" s="5">
        <f>SUM('02_Результат'!BH31:'02_Результат'!BS31)</f>
        <v/>
      </c>
      <c r="I14" s="6">
        <f>SUM('02_Результат'!L31:'02_Результат'!BS31)</f>
        <v/>
      </c>
      <c r="J14" s="6">
        <f>I14+IF(УчитыватьИсторию="Да",'01_Вводные'!$B$331,0)</f>
        <v/>
      </c>
    </row>
    <row r="15">
      <c r="B15" s="7" t="inlineStr">
        <is>
          <t>EBITDA</t>
        </is>
      </c>
      <c r="C15" s="8">
        <f>IF(УчитыватьИсторию="Да",'01_Вводные'!$B$332,"")</f>
        <v/>
      </c>
      <c r="D15" s="9">
        <f>SUM('02_Результат'!L33:'02_Результат'!W33)</f>
        <v/>
      </c>
      <c r="E15" s="9">
        <f>SUM('02_Результат'!X33:'02_Результат'!AI33)</f>
        <v/>
      </c>
      <c r="F15" s="9">
        <f>SUM('02_Результат'!AJ33:'02_Результат'!AU33)</f>
        <v/>
      </c>
      <c r="G15" s="9">
        <f>SUM('02_Результат'!AV33:'02_Результат'!BG33)</f>
        <v/>
      </c>
      <c r="H15" s="9">
        <f>SUM('02_Результат'!BH33:'02_Результат'!BS33)</f>
        <v/>
      </c>
      <c r="I15" s="10">
        <f>SUM('02_Результат'!L33:'02_Результат'!BS33)</f>
        <v/>
      </c>
      <c r="J15" s="10">
        <f>I15+IF(УчитыватьИсторию="Да",'01_Вводные'!$B$332,0)</f>
        <v/>
      </c>
    </row>
    <row r="16">
      <c r="B16" t="inlineStr">
        <is>
          <t>УСН / минимальный налог</t>
        </is>
      </c>
      <c r="C16" s="4">
        <f>IF(УчитыватьИсторию="Да",'01_Вводные'!$B$333,"")</f>
        <v/>
      </c>
      <c r="D16" s="5">
        <f>SUM('02_Результат'!L35:'02_Результат'!W35)</f>
        <v/>
      </c>
      <c r="E16" s="5">
        <f>SUM('02_Результат'!X35:'02_Результат'!AI35)</f>
        <v/>
      </c>
      <c r="F16" s="5">
        <f>SUM('02_Результат'!AJ35:'02_Результат'!AU35)</f>
        <v/>
      </c>
      <c r="G16" s="5">
        <f>SUM('02_Результат'!AV35:'02_Результат'!BG35)</f>
        <v/>
      </c>
      <c r="H16" s="5">
        <f>SUM('02_Результат'!BH35:'02_Результат'!BS35)</f>
        <v/>
      </c>
      <c r="I16" s="6">
        <f>SUM('02_Результат'!L35:'02_Результат'!BS35)</f>
        <v/>
      </c>
      <c r="J16" s="6">
        <f>I16+IF(УчитыватьИсторию="Да",'01_Вводные'!$B$333,0)</f>
        <v/>
      </c>
    </row>
    <row r="17">
      <c r="B17" s="7" t="inlineStr">
        <is>
          <t>Прибыль после налога</t>
        </is>
      </c>
      <c r="C17" s="8">
        <f>IF(УчитыватьИсторию="Да",'01_Вводные'!$B$334,"")</f>
        <v/>
      </c>
      <c r="D17" s="9">
        <f>SUM('02_Результат'!L36:'02_Результат'!W36)</f>
        <v/>
      </c>
      <c r="E17" s="9">
        <f>SUM('02_Результат'!X36:'02_Результат'!AI36)</f>
        <v/>
      </c>
      <c r="F17" s="9">
        <f>SUM('02_Результат'!AJ36:'02_Результат'!AU36)</f>
        <v/>
      </c>
      <c r="G17" s="9">
        <f>SUM('02_Результат'!AV36:'02_Результат'!BG36)</f>
        <v/>
      </c>
      <c r="H17" s="9">
        <f>SUM('02_Результат'!BH36:'02_Результат'!BS36)</f>
        <v/>
      </c>
      <c r="I17" s="10">
        <f>SUM('02_Результат'!L36:'02_Результат'!BS36)</f>
        <v/>
      </c>
      <c r="J17" s="10">
        <f>I17+IF(УчитыватьИсторию="Да",'01_Вводные'!$B$334,0)</f>
        <v/>
      </c>
    </row>
    <row r="19">
      <c r="B19" t="inlineStr">
        <is>
          <t>Денежный поток за период</t>
        </is>
      </c>
      <c r="C19" s="4">
        <f>IF(УчитыватьИсторию="Да",'01_Вводные'!$B$335,"")</f>
        <v/>
      </c>
      <c r="D19" s="5">
        <f>SUM('02_Результат'!L58:'02_Результат'!W58)</f>
        <v/>
      </c>
      <c r="E19" s="5">
        <f>SUM('02_Результат'!X58:'02_Результат'!AI58)</f>
        <v/>
      </c>
      <c r="F19" s="5">
        <f>SUM('02_Результат'!AJ58:'02_Результат'!AU58)</f>
        <v/>
      </c>
      <c r="G19" s="5">
        <f>SUM('02_Результат'!AV58:'02_Результат'!BG58)</f>
        <v/>
      </c>
      <c r="H19" s="5">
        <f>SUM('02_Результат'!BH58:'02_Результат'!BS58)</f>
        <v/>
      </c>
      <c r="I19" s="6">
        <f>SUM('02_Результат'!L58:'02_Результат'!BS58)</f>
        <v/>
      </c>
      <c r="J19" s="6">
        <f>I19+IF(УчитыватьИсторию="Да",'01_Вводные'!$B$335,0)</f>
        <v/>
      </c>
    </row>
    <row r="20">
      <c r="B20" s="7" t="inlineStr">
        <is>
          <t>Деньги на конец периода</t>
        </is>
      </c>
      <c r="C20" s="8">
        <f>IF(УчитыватьИсторию="Да",'01_Вводные'!$B$336,"")</f>
        <v/>
      </c>
      <c r="D20" s="9">
        <f>'02_Результат'!W59</f>
        <v/>
      </c>
      <c r="E20" s="9">
        <f>'02_Результат'!AI59</f>
        <v/>
      </c>
      <c r="F20" s="9">
        <f>'02_Результат'!AU59</f>
        <v/>
      </c>
      <c r="G20" s="9">
        <f>'02_Результат'!BG59</f>
        <v/>
      </c>
      <c r="H20" s="9">
        <f>'02_Результат'!BS59</f>
        <v/>
      </c>
      <c r="I20" s="10">
        <f>'02_Результат'!BS59</f>
        <v/>
      </c>
      <c r="J20" s="10">
        <f>I20</f>
        <v/>
      </c>
    </row>
    <row r="22">
      <c r="B22" t="inlineStr">
        <is>
          <t>Школы на конец периода</t>
        </is>
      </c>
      <c r="C22" s="11">
        <f>IF(УчитыватьИсторию="Да",'01_Вводные'!$B$337,"")</f>
        <v/>
      </c>
      <c r="D22" s="12">
        <f>'02_Результат'!W7</f>
        <v/>
      </c>
      <c r="E22" s="12">
        <f>'02_Результат'!AI7</f>
        <v/>
      </c>
      <c r="F22" s="12">
        <f>'02_Результат'!AU7</f>
        <v/>
      </c>
      <c r="G22" s="12">
        <f>'02_Результат'!BG7</f>
        <v/>
      </c>
      <c r="H22" s="12">
        <f>'02_Результат'!BS7</f>
        <v/>
      </c>
      <c r="I22" s="13">
        <f>'02_Результат'!BS7</f>
        <v/>
      </c>
      <c r="J22" s="13">
        <f>I22</f>
        <v/>
      </c>
    </row>
    <row r="23">
      <c r="B23" t="inlineStr">
        <is>
          <t>Партнёры на конец периода</t>
        </is>
      </c>
      <c r="C23" s="11">
        <f>IF(УчитыватьИсторию="Да",'01_Вводные'!$B$338,"")</f>
        <v/>
      </c>
      <c r="D23" s="12">
        <f>'02_Результат'!W8</f>
        <v/>
      </c>
      <c r="E23" s="12">
        <f>'02_Результат'!AI8</f>
        <v/>
      </c>
      <c r="F23" s="12">
        <f>'02_Результат'!AU8</f>
        <v/>
      </c>
      <c r="G23" s="12">
        <f>'02_Результат'!BG8</f>
        <v/>
      </c>
      <c r="H23" s="12">
        <f>'02_Результат'!BS8</f>
        <v/>
      </c>
      <c r="I23" s="13">
        <f>'02_Результат'!BS8</f>
        <v/>
      </c>
      <c r="J23" s="13">
        <f>I23</f>
        <v/>
      </c>
    </row>
    <row r="24">
      <c r="B24" s="7" t="inlineStr">
        <is>
          <t>Дети на конец периода</t>
        </is>
      </c>
      <c r="C24" s="8">
        <f>IF(УчитыватьИсторию="Да",'01_Вводные'!$B$339,"")</f>
        <v/>
      </c>
      <c r="D24" s="9">
        <f>'02_Результат'!W9</f>
        <v/>
      </c>
      <c r="E24" s="9">
        <f>'02_Результат'!AI9</f>
        <v/>
      </c>
      <c r="F24" s="9">
        <f>'02_Результат'!AU9</f>
        <v/>
      </c>
      <c r="G24" s="9">
        <f>'02_Результат'!BG9</f>
        <v/>
      </c>
      <c r="H24" s="9">
        <f>'02_Результат'!BS9</f>
        <v/>
      </c>
      <c r="I24" s="10">
        <f>'02_Результат'!BS9</f>
        <v/>
      </c>
      <c r="J24" s="10">
        <f>I24</f>
        <v/>
      </c>
    </row>
    <row r="26">
      <c r="B26" s="14" t="inlineStr">
        <is>
          <t>На что смотреть</t>
        </is>
      </c>
    </row>
    <row r="27">
      <c r="B27" t="inlineStr">
        <is>
          <t>Минимальный остаток денег за все 60 месяцев</t>
        </is>
      </c>
      <c r="C27" s="5">
        <f>MIN('02_Результат'!L59:'02_Результат'!BS59)</f>
        <v/>
      </c>
    </row>
    <row r="28">
      <c r="B28" t="inlineStr">
        <is>
          <t>Месяцев с отрицательным остатком</t>
        </is>
      </c>
      <c r="C28" s="5">
        <f>COUNTIF('02_Результат'!L59:'02_Результат'!BS59,"&lt;0")</f>
        <v/>
      </c>
    </row>
    <row r="29">
      <c r="B29" t="inlineStr">
        <is>
          <t>Рентабельность EBITDA за 5 лет</t>
        </is>
      </c>
      <c r="C29" s="15">
        <f>IF(I6=0,0,I7/I6)</f>
        <v/>
      </c>
    </row>
    <row r="31">
      <c r="B31" s="16" t="inlineStr">
        <is>
          <t>Как это выглядит по месяцам</t>
        </is>
      </c>
    </row>
    <row r="32">
      <c r="B32" s="17" t="inlineStr">
        <is>
          <t>Все графики — помесячно за 60 месяцев. Подписи оси — календарные месяцы, они едут вместе с датой старта.</t>
        </is>
      </c>
    </row>
    <row r="99">
      <c r="B99" s="14" t="inlineStr">
        <is>
          <t>Где что лежит</t>
        </is>
      </c>
    </row>
    <row r="100">
      <c r="B100" s="18" t="inlineStr">
        <is>
          <t>01_Вводные</t>
        </is>
      </c>
      <c r="C100" t="inlineStr">
        <is>
          <t>Единственное место, где что-то вводится руками</t>
        </is>
      </c>
    </row>
    <row r="101">
      <c r="B101" s="18" t="inlineStr">
        <is>
          <t>02_Результат</t>
        </is>
      </c>
      <c r="C101" t="inlineStr">
        <is>
          <t>БДР и БДДС: годы слева, месяцы справа</t>
        </is>
      </c>
    </row>
    <row r="102">
      <c r="B102" s="18" t="inlineStr">
        <is>
          <t>03_Сеть</t>
        </is>
      </c>
      <c r="C102" t="inlineStr">
        <is>
          <t>Расшифровка: продажи, открытия, школы, дети</t>
        </is>
      </c>
    </row>
    <row r="103">
      <c r="B103" s="18" t="inlineStr">
        <is>
          <t>04_Доходы</t>
        </is>
      </c>
      <c r="C103" t="inlineStr">
        <is>
          <t>Расшифровка: паушальные, роялти, мерч</t>
        </is>
      </c>
    </row>
    <row r="104">
      <c r="B104" s="18" t="inlineStr">
        <is>
          <t>05_Расходы</t>
        </is>
      </c>
      <c r="C104" t="inlineStr">
        <is>
          <t>Расшифровка: ФОТ, OPEX, выплаты ФК</t>
        </is>
      </c>
    </row>
    <row r="105">
      <c r="B105" s="18" t="inlineStr">
        <is>
          <t>06_Деньги</t>
        </is>
      </c>
      <c r="C105" t="inlineStr">
        <is>
          <t>Расшифровка: склад, займ, НДС, оборотка</t>
        </is>
      </c>
    </row>
    <row r="106">
      <c r="B106" s="18" t="inlineStr">
        <is>
          <t>07_Тарифы</t>
        </is>
      </c>
      <c r="C106" t="inlineStr">
        <is>
          <t>Справочник: индексы цен, возрастные тарифы</t>
        </is>
      </c>
    </row>
    <row r="107">
      <c r="B107" s="18" t="inlineStr">
        <is>
          <t>08_Проверки</t>
        </is>
      </c>
      <c r="C107" t="inlineStr">
        <is>
          <t>Основные контроли — их немного и они по делу</t>
        </is>
      </c>
    </row>
    <row r="108">
      <c r="B108" s="18" t="inlineStr">
        <is>
          <t>09_Инструкция</t>
        </is>
      </c>
      <c r="C108" t="inlineStr">
        <is>
          <t>Как пользоваться, гипотезы и словарь терминов</t>
        </is>
      </c>
    </row>
    <row r="109">
      <c r="B109" s="18" t="inlineStr">
        <is>
          <t>10_История</t>
        </is>
      </c>
      <c r="C109" t="inlineStr">
        <is>
          <t>Сезон 25/26 фактом: P&amp;L, реестр начислений</t>
        </is>
      </c>
    </row>
  </sheetData>
  <mergeCells count="10">
    <mergeCell ref="C108:H108"/>
    <mergeCell ref="C103:H103"/>
    <mergeCell ref="C109:H109"/>
    <mergeCell ref="C107:H107"/>
    <mergeCell ref="C104:H104"/>
    <mergeCell ref="C102:H102"/>
    <mergeCell ref="C106:H106"/>
    <mergeCell ref="C105:H105"/>
    <mergeCell ref="C101:H101"/>
    <mergeCell ref="C100:H100"/>
  </mergeCells>
  <printOptions horizontalCentered="0"/>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O365"/>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54" customWidth="1" min="1" max="1"/>
    <col width="31" customWidth="1" min="2" max="2"/>
    <col width="18" customWidth="1" min="3" max="3"/>
    <col width="22" customWidth="1" min="4" max="4"/>
    <col width="27" customWidth="1" min="5" max="5"/>
    <col width="18" customWidth="1" min="6" max="6"/>
    <col width="40" customWidth="1" min="7" max="7"/>
    <col width="36" customWidth="1" min="8" max="8"/>
    <col width="18" customWidth="1" min="9" max="9"/>
    <col width="18" customWidth="1" min="10" max="10"/>
    <col width="45" customWidth="1" min="11" max="11"/>
    <col width="11" customWidth="1" min="12" max="12"/>
    <col width="11" customWidth="1" min="13" max="13"/>
    <col width="11" customWidth="1" min="14" max="14"/>
    <col width="11" customWidth="1" min="15" max="15"/>
  </cols>
  <sheetData>
    <row r="1" ht="24" customHeight="1">
      <c r="A1" s="19" t="inlineStr">
        <is>
          <t>Финмодель Спартак — единый лист вводных</t>
        </is>
      </c>
    </row>
    <row r="2">
      <c r="A2" s="18" t="inlineStr">
        <is>
          <t>Легенда:</t>
        </is>
      </c>
      <c r="B2" s="20" t="inlineStr">
        <is>
          <t>жёлтая — ввод</t>
        </is>
      </c>
      <c r="C2" s="21" t="inlineStr">
        <is>
          <t>уточнить</t>
        </is>
      </c>
      <c r="D2" s="22" t="inlineStr">
        <is>
          <t>переключатель</t>
        </is>
      </c>
      <c r="E2" s="23" t="inlineStr">
        <is>
          <t>блок v4 / ревизии</t>
        </is>
      </c>
      <c r="F2" s="24" t="inlineStr">
        <is>
          <t>серая курсивная — формула, не трогать</t>
        </is>
      </c>
      <c r="G2" s="25" t="inlineStr">
        <is>
          <t>→ 00_Старт: оглавление, переключатели, легенда</t>
        </is>
      </c>
      <c r="H2" s="25" t="inlineStr">
        <is>
          <t>→ 14а_Сверка_с_ТЗ: пункт ТЗ → формула</t>
        </is>
      </c>
    </row>
    <row r="3">
      <c r="A3" s="26" t="inlineStr">
        <is>
          <t>Правило работы</t>
        </is>
      </c>
      <c r="B3" s="27" t="inlineStr">
        <is>
          <t>Менять жёлтые ячейки только здесь. Сценарий: B192. Чувствительность: B233:B234. Параметры, микс и история собраны на одном листе.</t>
        </is>
      </c>
    </row>
    <row r="4">
      <c r="A4" t="inlineStr">
        <is>
          <t>Сценарии и чувствительность</t>
        </is>
      </c>
      <c r="G4" s="28" t="inlineStr">
        <is>
          <t>→ Раздел 11: сценарии и чувствительность</t>
        </is>
      </c>
      <c r="H4" s="28" t="inlineStr">
        <is>
          <t>→ Раздел 13: тарифные группы</t>
        </is>
      </c>
    </row>
    <row r="5" ht="20" customHeight="1">
      <c r="A5" s="29" t="inlineStr">
        <is>
          <t>1. Календарь, стартовая сеть и оборотный капитал</t>
        </is>
      </c>
    </row>
    <row r="6">
      <c r="A6" s="30" t="inlineStr">
        <is>
          <t>Параметр</t>
        </is>
      </c>
      <c r="B6" s="30" t="inlineStr">
        <is>
          <t>Значение</t>
        </is>
      </c>
      <c r="C6" s="30" t="inlineStr">
        <is>
          <t>Ед.</t>
        </is>
      </c>
      <c r="D6" s="30" t="inlineStr">
        <is>
          <t>Статус / источник</t>
        </is>
      </c>
      <c r="E6" s="30" t="inlineStr">
        <is>
          <t>Комментарий</t>
        </is>
      </c>
      <c r="G6" s="28" t="inlineStr">
        <is>
          <t>→ Раздел 12: настройки ревизии</t>
        </is>
      </c>
      <c r="H6" s="28" t="inlineStr">
        <is>
          <t>→ Раздел 14–16: CAPEX и индексация</t>
        </is>
      </c>
    </row>
    <row r="7">
      <c r="A7" s="26" t="inlineStr">
        <is>
          <t>Дата старта модели</t>
        </is>
      </c>
      <c r="B7" s="31" t="n">
        <v>46266</v>
      </c>
      <c r="C7" s="32" t="inlineStr">
        <is>
          <t>дата</t>
        </is>
      </c>
      <c r="D7" s="32" t="inlineStr">
        <is>
          <t>ТЗ 5.1</t>
        </is>
      </c>
      <c r="E7" s="33" t="inlineStr">
        <is>
          <t>Сезон считается от даты старта: 12 месяцев — один сезон. Сезонность посещаемости, веса плана продаж и согласованный мерч привязаны к календарю и не зависят от месяца старта.</t>
        </is>
      </c>
    </row>
    <row r="8">
      <c r="A8" s="26" t="inlineStr">
        <is>
          <t>Горизонт прогноза</t>
        </is>
      </c>
      <c r="B8" s="34" t="n">
        <v>60</v>
      </c>
      <c r="C8" s="32" t="inlineStr">
        <is>
          <t>мес.</t>
        </is>
      </c>
      <c r="D8" s="32" t="inlineStr">
        <is>
          <t>Фиксированная структура</t>
        </is>
      </c>
      <c r="E8" s="33" t="inlineStr">
        <is>
          <t>Фиксированное окно 60 месяцев + 6 технических. Изменение длины требует расширения структуры.</t>
        </is>
      </c>
    </row>
    <row r="9">
      <c r="A9" s="26" t="inlineStr">
        <is>
          <t>Активные школы действующей сети на старте</t>
        </is>
      </c>
      <c r="B9" s="35" t="n">
        <v>104</v>
      </c>
      <c r="C9" s="32" t="inlineStr">
        <is>
          <t>шт.</t>
        </is>
      </c>
      <c r="D9" s="32" t="inlineStr">
        <is>
          <t>Фактический реестр на 09.09.2026</t>
        </is>
      </c>
      <c r="E9" s="33" t="inlineStr">
        <is>
          <t>104 действующие школы у 51 действующего партнёра; 3 новых партнёра пока без школ и в 104 не входят.</t>
        </is>
      </c>
    </row>
    <row r="10">
      <c r="A10" s="26" t="inlineStr">
        <is>
          <t>Активные юрлица на старте</t>
        </is>
      </c>
      <c r="B10" s="36" t="n">
        <v>51</v>
      </c>
      <c r="C10" s="32" t="inlineStr">
        <is>
          <t>шт.</t>
        </is>
      </c>
      <c r="D10" s="32" t="inlineStr">
        <is>
          <t>Реестр сети 21.08.2026</t>
        </is>
      </c>
      <c r="E10" s="33" t="inlineStr">
        <is>
          <t>51 действующий партнёр: 48 подписали ДКК, 3 в переговорах. В ТЗ v6.011 указано 49 — цифра реестра точнее, подтверждена 11.09.2026.</t>
        </is>
      </c>
    </row>
    <row r="11">
      <c r="A11" s="26" t="inlineStr">
        <is>
          <t>Дети действующей сети, 100% база</t>
        </is>
      </c>
      <c r="B11" s="37" t="n">
        <v>5200</v>
      </c>
      <c r="C11" s="32" t="inlineStr">
        <is>
          <t>чел.</t>
        </is>
      </c>
      <c r="D11" s="32" t="inlineStr">
        <is>
          <t>ТЗ 5.3</t>
        </is>
      </c>
      <c r="E11" s="33" t="inlineStr">
        <is>
          <t>100% загрузка; внутри сезона применяется посещаемость</t>
        </is>
      </c>
    </row>
    <row r="12">
      <c r="A12" s="26" t="inlineStr">
        <is>
          <t>Рост детей действующей сети</t>
        </is>
      </c>
      <c r="B12" s="38" t="n">
        <v>0.1</v>
      </c>
      <c r="C12" s="32" t="inlineStr">
        <is>
          <t>%/год</t>
        </is>
      </c>
      <c r="D12" s="32" t="inlineStr">
        <is>
          <t>ТЗ 5.3</t>
        </is>
      </c>
      <c r="E12" s="33" t="inlineStr">
        <is>
          <t>Сложный рост, пересчёт каждый сентябрь</t>
        </is>
      </c>
    </row>
    <row r="13">
      <c r="A13" s="26" t="inlineStr">
        <is>
          <t>Закрытие школ / юрлиц</t>
        </is>
      </c>
      <c r="B13" s="39" t="n">
        <v>0.03</v>
      </c>
      <c r="C13" s="32" t="inlineStr">
        <is>
          <t>%/год</t>
        </is>
      </c>
      <c r="D13" s="32" t="inlineStr">
        <is>
          <t>Согласовано 11.09.2026</t>
        </is>
      </c>
      <c r="E13" s="33">
        <f>IF($B$13=0,"Механика работает, пока 0%","Закрывается "&amp;TEXT($B$13,"0,0%")&amp;" школ и юрлиц в год; помесячно через коэффициент B14")</f>
        <v/>
      </c>
    </row>
    <row r="14">
      <c r="A14" s="26" t="inlineStr">
        <is>
          <t>Месячный коэффициент сохранения</t>
        </is>
      </c>
      <c r="B14" s="40">
        <f>(1-B13)^(1/12)</f>
        <v/>
      </c>
      <c r="C14" s="32" t="inlineStr">
        <is>
          <t>коэфф.</t>
        </is>
      </c>
      <c r="D14" s="32" t="inlineStr">
        <is>
          <t>Расчёт</t>
        </is>
      </c>
      <c r="E14" s="32" t="inlineStr">
        <is>
          <t>Технический коэффициент для закрытий</t>
        </is>
      </c>
    </row>
    <row r="15">
      <c r="A15" s="26" t="inlineStr">
        <is>
          <t>Лаг продажа → открытие</t>
        </is>
      </c>
      <c r="B15" s="41" t="n">
        <v>2</v>
      </c>
      <c r="C15" s="32" t="inlineStr">
        <is>
          <t>мес.</t>
        </is>
      </c>
      <c r="D15" s="32" t="inlineStr">
        <is>
          <t>ТЗ 5.2</t>
        </is>
      </c>
      <c r="E15" s="33" t="inlineStr">
        <is>
          <t>Продажа, открытие и ERP — разные события</t>
        </is>
      </c>
    </row>
    <row r="16">
      <c r="A16" s="26" t="inlineStr">
        <is>
          <t>Новых юрлиц на 1 продажу</t>
        </is>
      </c>
      <c r="B16" s="42" t="n">
        <v>1</v>
      </c>
      <c r="C16" s="32" t="inlineStr">
        <is>
          <t>юрлиц/продажу</t>
        </is>
      </c>
      <c r="D16" s="32" t="inlineStr">
        <is>
          <t>Временно</t>
        </is>
      </c>
      <c r="E16" s="33" t="inlineStr">
        <is>
          <t>Связь продаж с новыми юрлицами. Пока 1:1; отдельно от количества школ на партнёра.</t>
        </is>
      </c>
    </row>
    <row r="17">
      <c r="A17" s="26" t="inlineStr">
        <is>
          <t>Стартовый денежный остаток</t>
        </is>
      </c>
      <c r="B17" s="43" t="n">
        <v>187878</v>
      </c>
      <c r="C17" s="32" t="inlineStr">
        <is>
          <t>₽</t>
        </is>
      </c>
      <c r="D17" s="32" t="inlineStr">
        <is>
          <t>ДДС на 02.07.2026</t>
        </is>
      </c>
      <c r="E17" s="33" t="inlineStr">
        <is>
          <t>Обновить на 31.08.2026</t>
        </is>
      </c>
    </row>
    <row r="18">
      <c r="A18" s="26" t="inlineStr">
        <is>
          <t>Дебиторка</t>
        </is>
      </c>
      <c r="B18" s="44">
        <f>$B$225*$F$203</f>
        <v/>
      </c>
      <c r="C18" s="32" t="inlineStr">
        <is>
          <t>дней</t>
        </is>
      </c>
      <c r="D18" s="32" t="inlineStr">
        <is>
          <t>Расчет по сценарию</t>
        </is>
      </c>
      <c r="E18" s="33" t="inlineStr">
        <is>
          <t>Базовое допущение</t>
        </is>
      </c>
      <c r="G18" s="45" t="inlineStr">
        <is>
          <t>← формула; база: B225</t>
        </is>
      </c>
    </row>
    <row r="19">
      <c r="A19" s="26" t="inlineStr">
        <is>
          <t>Кредиторка</t>
        </is>
      </c>
      <c r="B19" s="46" t="n">
        <v>15</v>
      </c>
      <c r="C19" s="32" t="inlineStr">
        <is>
          <t>дней</t>
        </is>
      </c>
      <c r="D19" s="32" t="inlineStr">
        <is>
          <t>ТЗ 8</t>
        </is>
      </c>
      <c r="E19" s="33" t="inlineStr">
        <is>
          <t>Базовое допущение</t>
        </is>
      </c>
    </row>
    <row r="20">
      <c r="A20" s="26" t="inlineStr">
        <is>
          <t>Доля поступления в текущем месяце</t>
        </is>
      </c>
      <c r="B20" s="47">
        <f>MAX(0,MIN(1,(30-B18)/30))</f>
        <v/>
      </c>
      <c r="C20" s="32" t="inlineStr">
        <is>
          <t>%</t>
        </is>
      </c>
      <c r="D20" s="32" t="inlineStr">
        <is>
          <t>Расчёт</t>
        </is>
      </c>
      <c r="E20" s="32" t="inlineStr">
        <is>
          <t>15 дней ≈ 50% текущий / 50% следующий месяц</t>
        </is>
      </c>
    </row>
    <row r="21">
      <c r="A21" s="26" t="inlineStr">
        <is>
          <t>Доля оплаты в текущем месяце</t>
        </is>
      </c>
      <c r="B21" s="47">
        <f>MAX(0,MIN(1,(30-B19)/30))</f>
        <v/>
      </c>
      <c r="C21" s="32" t="inlineStr">
        <is>
          <t>%</t>
        </is>
      </c>
      <c r="D21" s="32" t="inlineStr">
        <is>
          <t>Расчёт</t>
        </is>
      </c>
      <c r="E21" s="32" t="inlineStr">
        <is>
          <t>15 дней ≈ 50% текущий / 50% следующий месяц</t>
        </is>
      </c>
    </row>
    <row r="22">
      <c r="A22" s="26" t="inlineStr">
        <is>
          <t>Новых школ на 1 продажу / нового партнёра</t>
        </is>
      </c>
      <c r="B22" s="48" t="n">
        <v>1.5</v>
      </c>
      <c r="C22" s="32" t="inlineStr">
        <is>
          <t>школ/продажу</t>
        </is>
      </c>
      <c r="D22" s="32" t="inlineStr">
        <is>
          <t>Согласовано 11.09.2026</t>
        </is>
      </c>
      <c r="E22" s="33">
        <f>"Новый партнёр открывает "&amp;TEXT($B$22,"0.0")&amp;" школы. Действующая сеть: 2,04 школы на партнёра (104 на 51)"</f>
        <v/>
      </c>
    </row>
    <row r="23" ht="20" customHeight="1">
      <c r="A23" s="29" t="inlineStr">
        <is>
          <t>2. Продажи франшиз и маркетинг</t>
        </is>
      </c>
    </row>
    <row r="24">
      <c r="A24" s="30" t="inlineStr">
        <is>
          <t>Параметр</t>
        </is>
      </c>
      <c r="B24" s="30" t="inlineStr">
        <is>
          <t>Значение</t>
        </is>
      </c>
      <c r="C24" s="30" t="inlineStr">
        <is>
          <t>Ед.</t>
        </is>
      </c>
      <c r="D24" s="30" t="inlineStr">
        <is>
          <t>Статус / источник</t>
        </is>
      </c>
      <c r="E24" s="30" t="inlineStr">
        <is>
          <t>Комментарий</t>
        </is>
      </c>
    </row>
    <row r="25">
      <c r="A25" s="26" t="inlineStr">
        <is>
          <t>Конверсия лид → продажа</t>
        </is>
      </c>
      <c r="B25" s="38" t="n">
        <v>0.03</v>
      </c>
      <c r="C25" s="32" t="inlineStr">
        <is>
          <t>%</t>
        </is>
      </c>
      <c r="D25" s="32" t="inlineStr">
        <is>
          <t>ТЗ 7</t>
        </is>
      </c>
      <c r="E25" s="33" t="n"/>
    </row>
    <row r="26">
      <c r="A26" s="26" t="inlineStr">
        <is>
          <t>Таргет на будущую продажу</t>
        </is>
      </c>
      <c r="B26" s="49">
        <f>$B$224*$F$202</f>
        <v/>
      </c>
      <c r="C26" s="32" t="inlineStr">
        <is>
          <t>₽/продажа</t>
        </is>
      </c>
      <c r="D26" s="32" t="inlineStr">
        <is>
          <t>Расчет по сценарию</t>
        </is>
      </c>
      <c r="E26" s="33" t="inlineStr">
        <is>
          <t>Обычно M-2; для октября 2026 исключение M-1</t>
        </is>
      </c>
      <c r="G26" s="45" t="inlineStr">
        <is>
          <t>← формула; база: B224</t>
        </is>
      </c>
    </row>
    <row r="27">
      <c r="A27" s="26" t="inlineStr">
        <is>
          <t>Лаг таргета до продажи</t>
        </is>
      </c>
      <c r="B27" s="41" t="n">
        <v>2</v>
      </c>
      <c r="C27" s="32" t="inlineStr">
        <is>
          <t>мес.</t>
        </is>
      </c>
      <c r="D27" s="32" t="inlineStr">
        <is>
          <t>ТЗ 7</t>
        </is>
      </c>
      <c r="E27" s="33" t="inlineStr">
        <is>
          <t>Октябрь 2026 — отдельное исключение</t>
        </is>
      </c>
    </row>
    <row r="28">
      <c r="A28" s="26" t="inlineStr">
        <is>
          <t>БИБОСС — сумма</t>
        </is>
      </c>
      <c r="B28" s="50" t="n">
        <v>250000</v>
      </c>
      <c r="C28" s="32" t="inlineStr">
        <is>
          <t>₽</t>
        </is>
      </c>
      <c r="D28" s="32" t="inlineStr">
        <is>
          <t>ТЗ 7</t>
        </is>
      </c>
      <c r="E28" s="33" t="inlineStr">
        <is>
          <t>Ежегодно</t>
        </is>
      </c>
    </row>
    <row r="29">
      <c r="A29" s="26" t="inlineStr">
        <is>
          <t>БИБОСС — месяц</t>
        </is>
      </c>
      <c r="B29" s="51" t="n">
        <v>10</v>
      </c>
      <c r="C29" s="32" t="inlineStr">
        <is>
          <t>номер месяца</t>
        </is>
      </c>
      <c r="D29" s="32" t="inlineStr">
        <is>
          <t>ТЗ 7</t>
        </is>
      </c>
      <c r="E29" s="33" t="inlineStr">
        <is>
          <t>Октябрь</t>
        </is>
      </c>
    </row>
    <row r="30">
      <c r="A30" s="26" t="inlineStr">
        <is>
          <t>TopFranchise — сумма</t>
        </is>
      </c>
      <c r="B30" s="50" t="n">
        <v>250000</v>
      </c>
      <c r="C30" s="32" t="inlineStr">
        <is>
          <t>₽</t>
        </is>
      </c>
      <c r="D30" s="32" t="inlineStr">
        <is>
          <t>ТЗ 7</t>
        </is>
      </c>
      <c r="E30" s="33" t="inlineStr">
        <is>
          <t>Ежегодно</t>
        </is>
      </c>
    </row>
    <row r="31">
      <c r="A31" s="26" t="inlineStr">
        <is>
          <t>TopFranchise — месяц</t>
        </is>
      </c>
      <c r="B31" s="51" t="n">
        <v>11</v>
      </c>
      <c r="C31" s="32" t="inlineStr">
        <is>
          <t>номер месяца</t>
        </is>
      </c>
      <c r="D31" s="32" t="inlineStr">
        <is>
          <t>ТЗ 7</t>
        </is>
      </c>
      <c r="E31" s="33" t="inlineStr">
        <is>
          <t>Ноябрь</t>
        </is>
      </c>
    </row>
    <row r="32">
      <c r="A32" s="26" t="inlineStr">
        <is>
          <t>Forbes — сумма</t>
        </is>
      </c>
      <c r="B32" s="50" t="n">
        <v>250000</v>
      </c>
      <c r="C32" s="32" t="inlineStr">
        <is>
          <t>₽</t>
        </is>
      </c>
      <c r="D32" s="32" t="inlineStr">
        <is>
          <t>ТЗ 7</t>
        </is>
      </c>
      <c r="E32" s="33" t="inlineStr">
        <is>
          <t>Ежегодно</t>
        </is>
      </c>
    </row>
    <row r="33">
      <c r="A33" s="26" t="inlineStr">
        <is>
          <t>Forbes — месяц</t>
        </is>
      </c>
      <c r="B33" s="51" t="n">
        <v>12</v>
      </c>
      <c r="C33" s="32" t="inlineStr">
        <is>
          <t>номер месяца</t>
        </is>
      </c>
      <c r="D33" s="32" t="inlineStr">
        <is>
          <t>ТЗ 7</t>
        </is>
      </c>
      <c r="E33" s="33" t="inlineStr">
        <is>
          <t>Декабрь</t>
        </is>
      </c>
    </row>
    <row r="34" ht="20" customHeight="1">
      <c r="A34" s="52" t="inlineStr">
        <is>
          <t>2. Планы продаж и сезонность (веса — по календарным месяцам, первый месяц модели без продаж)</t>
        </is>
      </c>
    </row>
    <row r="35">
      <c r="A35" s="30" t="inlineStr">
        <is>
          <t>Сезон</t>
        </is>
      </c>
      <c r="B35" s="30" t="inlineStr">
        <is>
          <t>Годовой план</t>
        </is>
      </c>
      <c r="C35" s="30" t="inlineStr">
        <is>
          <t>Сен</t>
        </is>
      </c>
      <c r="D35" s="30" t="inlineStr">
        <is>
          <t>Окт</t>
        </is>
      </c>
      <c r="E35" s="30" t="inlineStr">
        <is>
          <t>Ноя</t>
        </is>
      </c>
      <c r="F35" s="30" t="inlineStr">
        <is>
          <t>Дек</t>
        </is>
      </c>
      <c r="G35" s="30" t="inlineStr">
        <is>
          <t>Янв</t>
        </is>
      </c>
      <c r="H35" s="30" t="inlineStr">
        <is>
          <t>Фев</t>
        </is>
      </c>
      <c r="I35" s="30" t="inlineStr">
        <is>
          <t>Мар</t>
        </is>
      </c>
      <c r="J35" s="30" t="inlineStr">
        <is>
          <t>Апр</t>
        </is>
      </c>
      <c r="K35" s="30" t="inlineStr">
        <is>
          <t>Май</t>
        </is>
      </c>
      <c r="L35" s="30" t="inlineStr">
        <is>
          <t>Июн</t>
        </is>
      </c>
      <c r="M35" s="30" t="inlineStr">
        <is>
          <t>Июл</t>
        </is>
      </c>
      <c r="N35" s="30" t="inlineStr">
        <is>
          <t>Авг</t>
        </is>
      </c>
      <c r="O35" s="30" t="inlineStr">
        <is>
          <t>Контроль</t>
        </is>
      </c>
    </row>
    <row r="36">
      <c r="A36" s="53" t="n">
        <v>1</v>
      </c>
      <c r="B36" s="49">
        <f>$B$210*$F$198</f>
        <v/>
      </c>
      <c r="C36" s="38" t="n">
        <v>0.18</v>
      </c>
      <c r="D36" s="38" t="n">
        <v>0.09</v>
      </c>
      <c r="E36" s="38" t="n">
        <v>0.03</v>
      </c>
      <c r="F36" s="38" t="n">
        <v>0.02</v>
      </c>
      <c r="G36" s="38" t="n">
        <v>0.08</v>
      </c>
      <c r="H36" s="38" t="n">
        <v>0.13</v>
      </c>
      <c r="I36" s="38" t="n">
        <v>0.05</v>
      </c>
      <c r="J36" s="38" t="n">
        <v>0.06</v>
      </c>
      <c r="K36" s="38" t="n">
        <v>0.08</v>
      </c>
      <c r="L36" s="38" t="n">
        <v>0.05</v>
      </c>
      <c r="M36" s="38" t="n">
        <v>0.09</v>
      </c>
      <c r="N36" s="38" t="n">
        <v>0.14</v>
      </c>
      <c r="O36" s="47">
        <f>SUM(C36:N36)</f>
        <v/>
      </c>
    </row>
    <row r="37">
      <c r="A37" s="53" t="n">
        <v>2</v>
      </c>
      <c r="B37" s="49">
        <f>$B$211*$F$198</f>
        <v/>
      </c>
      <c r="C37" s="38" t="n">
        <v>0.18</v>
      </c>
      <c r="D37" s="38" t="n">
        <v>0.09</v>
      </c>
      <c r="E37" s="38" t="n">
        <v>0.03</v>
      </c>
      <c r="F37" s="38" t="n">
        <v>0.02</v>
      </c>
      <c r="G37" s="38" t="n">
        <v>0.08</v>
      </c>
      <c r="H37" s="38" t="n">
        <v>0.13</v>
      </c>
      <c r="I37" s="38" t="n">
        <v>0.05</v>
      </c>
      <c r="J37" s="38" t="n">
        <v>0.06</v>
      </c>
      <c r="K37" s="38" t="n">
        <v>0.08</v>
      </c>
      <c r="L37" s="38" t="n">
        <v>0.05</v>
      </c>
      <c r="M37" s="38" t="n">
        <v>0.09</v>
      </c>
      <c r="N37" s="38" t="n">
        <v>0.14</v>
      </c>
      <c r="O37" s="47">
        <f>SUM(C37:N37)</f>
        <v/>
      </c>
    </row>
    <row r="38">
      <c r="A38" s="53" t="n">
        <v>3</v>
      </c>
      <c r="B38" s="49">
        <f>$B$212*$F$198</f>
        <v/>
      </c>
      <c r="C38" s="38" t="n">
        <v>0.18</v>
      </c>
      <c r="D38" s="38" t="n">
        <v>0.09</v>
      </c>
      <c r="E38" s="38" t="n">
        <v>0.03</v>
      </c>
      <c r="F38" s="38" t="n">
        <v>0.02</v>
      </c>
      <c r="G38" s="38" t="n">
        <v>0.08</v>
      </c>
      <c r="H38" s="38" t="n">
        <v>0.13</v>
      </c>
      <c r="I38" s="38" t="n">
        <v>0.05</v>
      </c>
      <c r="J38" s="38" t="n">
        <v>0.06</v>
      </c>
      <c r="K38" s="38" t="n">
        <v>0.08</v>
      </c>
      <c r="L38" s="38" t="n">
        <v>0.05</v>
      </c>
      <c r="M38" s="38" t="n">
        <v>0.09</v>
      </c>
      <c r="N38" s="38" t="n">
        <v>0.14</v>
      </c>
      <c r="O38" s="47">
        <f>SUM(C38:N38)</f>
        <v/>
      </c>
    </row>
    <row r="39">
      <c r="A39" s="53" t="n">
        <v>4</v>
      </c>
      <c r="B39" s="49">
        <f>$B$213*$F$198</f>
        <v/>
      </c>
      <c r="C39" s="38" t="n">
        <v>0.18</v>
      </c>
      <c r="D39" s="38" t="n">
        <v>0.09</v>
      </c>
      <c r="E39" s="38" t="n">
        <v>0.03</v>
      </c>
      <c r="F39" s="38" t="n">
        <v>0.02</v>
      </c>
      <c r="G39" s="38" t="n">
        <v>0.08</v>
      </c>
      <c r="H39" s="38" t="n">
        <v>0.13</v>
      </c>
      <c r="I39" s="38" t="n">
        <v>0.05</v>
      </c>
      <c r="J39" s="38" t="n">
        <v>0.06</v>
      </c>
      <c r="K39" s="38" t="n">
        <v>0.08</v>
      </c>
      <c r="L39" s="38" t="n">
        <v>0.05</v>
      </c>
      <c r="M39" s="38" t="n">
        <v>0.09</v>
      </c>
      <c r="N39" s="38" t="n">
        <v>0.14</v>
      </c>
      <c r="O39" s="47">
        <f>SUM(C39:N39)</f>
        <v/>
      </c>
    </row>
    <row r="40">
      <c r="A40" s="53" t="n">
        <v>5</v>
      </c>
      <c r="B40" s="49">
        <f>$B$214*$F$198</f>
        <v/>
      </c>
      <c r="C40" s="38" t="n">
        <v>0.18</v>
      </c>
      <c r="D40" s="38" t="n">
        <v>0.09</v>
      </c>
      <c r="E40" s="38" t="n">
        <v>0.03</v>
      </c>
      <c r="F40" s="38" t="n">
        <v>0.02</v>
      </c>
      <c r="G40" s="38" t="n">
        <v>0.08</v>
      </c>
      <c r="H40" s="38" t="n">
        <v>0.13</v>
      </c>
      <c r="I40" s="38" t="n">
        <v>0.05</v>
      </c>
      <c r="J40" s="38" t="n">
        <v>0.06</v>
      </c>
      <c r="K40" s="38" t="n">
        <v>0.08</v>
      </c>
      <c r="L40" s="38" t="n">
        <v>0.05</v>
      </c>
      <c r="M40" s="38" t="n">
        <v>0.09</v>
      </c>
      <c r="N40" s="38" t="n">
        <v>0.14</v>
      </c>
      <c r="O40" s="47">
        <f>SUM(C40:N40)</f>
        <v/>
      </c>
    </row>
    <row r="41"/>
    <row r="42" ht="20" customHeight="1">
      <c r="A42" s="29" t="inlineStr">
        <is>
          <t>3. Дети и сезонность посещаемости</t>
        </is>
      </c>
    </row>
    <row r="43">
      <c r="A43" s="30" t="inlineStr">
        <is>
          <t>Месяц</t>
        </is>
      </c>
      <c r="B43" s="30" t="inlineStr">
        <is>
          <t>Янв</t>
        </is>
      </c>
      <c r="C43" s="30" t="inlineStr">
        <is>
          <t>Фев</t>
        </is>
      </c>
      <c r="D43" s="30" t="inlineStr">
        <is>
          <t>Мар</t>
        </is>
      </c>
      <c r="E43" s="30" t="inlineStr">
        <is>
          <t>Апр</t>
        </is>
      </c>
      <c r="F43" s="30" t="inlineStr">
        <is>
          <t>Май</t>
        </is>
      </c>
      <c r="G43" s="30" t="inlineStr">
        <is>
          <t>Июн</t>
        </is>
      </c>
      <c r="H43" s="30" t="inlineStr">
        <is>
          <t>Июл</t>
        </is>
      </c>
      <c r="I43" s="30" t="inlineStr">
        <is>
          <t>Авг</t>
        </is>
      </c>
      <c r="J43" s="30" t="inlineStr">
        <is>
          <t>Сен</t>
        </is>
      </c>
      <c r="K43" s="30" t="inlineStr">
        <is>
          <t>Окт</t>
        </is>
      </c>
      <c r="L43" s="30" t="inlineStr">
        <is>
          <t>Ноя</t>
        </is>
      </c>
      <c r="M43" s="30" t="inlineStr">
        <is>
          <t>Дек</t>
        </is>
      </c>
    </row>
    <row r="44">
      <c r="A44" s="26" t="inlineStr">
        <is>
          <t>Индекс посещаемости</t>
        </is>
      </c>
      <c r="B44" s="38" t="n">
        <v>0.963235294117647</v>
      </c>
      <c r="C44" s="38" t="n">
        <v>1</v>
      </c>
      <c r="D44" s="38" t="n">
        <v>0.9926470588235294</v>
      </c>
      <c r="E44" s="38" t="n">
        <v>0.926470588235294</v>
      </c>
      <c r="F44" s="38" t="n">
        <v>0.8235294117647058</v>
      </c>
      <c r="G44" s="38" t="n">
        <v>0.3161764705882353</v>
      </c>
      <c r="H44" s="38" t="n">
        <v>0.1397058823529412</v>
      </c>
      <c r="I44" s="38" t="n">
        <v>0.05882352941176471</v>
      </c>
      <c r="J44" s="38" t="n">
        <v>0.7941176470588235</v>
      </c>
      <c r="K44" s="38" t="n">
        <v>0.9411764705882353</v>
      </c>
      <c r="L44" s="38" t="n">
        <v>0.9411764705882353</v>
      </c>
      <c r="M44" s="38" t="n">
        <v>0.926470588235294</v>
      </c>
    </row>
    <row r="45"/>
    <row r="46">
      <c r="A46" s="54" t="inlineStr">
        <is>
          <t>Дети к концу 12-го месяца, 100%</t>
        </is>
      </c>
      <c r="B46" s="55">
        <f>$B$215*$F$199</f>
        <v/>
      </c>
      <c r="C46" s="32" t="inlineStr">
        <is>
          <t>чел. при 100%</t>
        </is>
      </c>
      <c r="D46" s="32" t="inlineStr">
        <is>
          <t>Расчет по сценарию</t>
        </is>
      </c>
      <c r="E46" s="33" t="inlineStr">
        <is>
          <t>Взвешенное среднее</t>
        </is>
      </c>
      <c r="G46" s="45" t="inlineStr">
        <is>
          <t>← формула; база: B215</t>
        </is>
      </c>
    </row>
    <row r="47">
      <c r="A47" s="54" t="inlineStr">
        <is>
          <t>Дети к концу 24-го месяца, 100%</t>
        </is>
      </c>
      <c r="B47" s="55">
        <f>$B$216*$F$199</f>
        <v/>
      </c>
      <c r="C47" s="32" t="inlineStr">
        <is>
          <t>чел. при 100%</t>
        </is>
      </c>
      <c r="D47" s="32" t="inlineStr">
        <is>
          <t>Роман 10.08.2026 / тарифный микс</t>
        </is>
      </c>
      <c r="E47" s="56" t="inlineStr">
        <is>
          <t>Не полный план с 13-го месяца: плавный рост за месяцы 13-24.</t>
        </is>
      </c>
      <c r="G47" s="45" t="inlineStr">
        <is>
          <t>← формула; база: B216</t>
        </is>
      </c>
    </row>
    <row r="48"/>
    <row r="49" ht="20" customHeight="1">
      <c r="A49" s="29" t="inlineStr">
        <is>
          <t>4. Паушальный взнос и роялти</t>
        </is>
      </c>
    </row>
    <row r="50">
      <c r="A50" s="30" t="inlineStr">
        <is>
          <t>Параметр</t>
        </is>
      </c>
      <c r="B50" s="30" t="inlineStr">
        <is>
          <t>Значение</t>
        </is>
      </c>
      <c r="C50" s="30" t="inlineStr">
        <is>
          <t>Ед.</t>
        </is>
      </c>
      <c r="D50" s="30" t="inlineStr">
        <is>
          <t>Статус / источник</t>
        </is>
      </c>
      <c r="E50" s="30" t="inlineStr">
        <is>
          <t>Комментарий</t>
        </is>
      </c>
    </row>
    <row r="51">
      <c r="A51" s="26" t="inlineStr">
        <is>
          <t>Абонемент действующей сети</t>
        </is>
      </c>
      <c r="B51" s="49">
        <f>$B$217*$F$200</f>
        <v/>
      </c>
      <c r="C51" s="32" t="inlineStr">
        <is>
          <t>₽/мес.</t>
        </is>
      </c>
      <c r="D51" s="32" t="inlineStr">
        <is>
          <t>Расчет по сценарию</t>
        </is>
      </c>
      <c r="E51" s="33" t="n"/>
      <c r="G51" s="45" t="inlineStr">
        <is>
          <t>← формула; база: B217</t>
        </is>
      </c>
    </row>
    <row r="52">
      <c r="A52" s="26" t="inlineStr">
        <is>
          <t>Средний фикс на точку начисления</t>
        </is>
      </c>
      <c r="B52" s="43">
        <f>SUMPRODUCT(B314:B318,D314:D318)/SUM(B314:B318)</f>
        <v/>
      </c>
      <c r="C52" s="32" t="inlineStr">
        <is>
          <t>₽/точку/мес.</t>
        </is>
      </c>
      <c r="D52" s="32" t="inlineStr">
        <is>
          <t>Расчёт из групп</t>
        </is>
      </c>
      <c r="E52" s="33" t="inlineStr">
        <is>
          <t>Считается из таблицы групп в разделе 16. Руками не вводится: в роялти входят фиксы групп, а не это среднее.</t>
        </is>
      </c>
    </row>
    <row r="53">
      <c r="A53" s="26" t="inlineStr">
        <is>
          <t>Мин. роялти новой школы — 1-й год</t>
        </is>
      </c>
      <c r="B53" s="57">
        <f>SUMPRODUCT($C$263:$C$282,$I$263:$I$282)/$C$283</f>
        <v/>
      </c>
      <c r="C53" s="32" t="inlineStr">
        <is>
          <t>₽/школа/мес.</t>
        </is>
      </c>
      <c r="D53" s="32" t="inlineStr">
        <is>
          <t>Взвешенный микс</t>
        </is>
      </c>
      <c r="E53" s="33" t="inlineStr">
        <is>
          <t>Минимум применяется по каждой школе</t>
        </is>
      </c>
      <c r="G53" s="45" t="inlineStr">
        <is>
          <t>← формула; база: I263:I282</t>
        </is>
      </c>
    </row>
    <row r="54">
      <c r="A54" s="26" t="inlineStr">
        <is>
          <t>Мин. роялти новой школы — 2-й год+</t>
        </is>
      </c>
      <c r="B54" s="57">
        <f>SUMPRODUCT($C$263:$C$282,$J$263:$J$282)/$C$283</f>
        <v/>
      </c>
      <c r="C54" s="32" t="inlineStr">
        <is>
          <t>₽/школа/мес.</t>
        </is>
      </c>
      <c r="D54" s="32" t="inlineStr">
        <is>
          <t>Взвешенный микс</t>
        </is>
      </c>
      <c r="E54" s="33" t="inlineStr">
        <is>
          <t>Минимум применяется по каждой школе</t>
        </is>
      </c>
      <c r="G54" s="45" t="inlineStr">
        <is>
          <t>← формула; база: J263:J282</t>
        </is>
      </c>
    </row>
    <row r="55">
      <c r="A55" s="26">
        <f>"Роялти старых / продаж до "&amp;TEXT(DAY($B$244),"00")&amp;"."&amp;TEXT(MONTH($B$244),"00")&amp;"."&amp;YEAR($B$244)</f>
        <v/>
      </c>
      <c r="B55" s="38" t="n">
        <v>0.065</v>
      </c>
      <c r="C55" s="32" t="inlineStr">
        <is>
          <t>%</t>
        </is>
      </c>
      <c r="D55" s="32" t="inlineStr">
        <is>
          <t>ТЗ 5.4</t>
        </is>
      </c>
      <c r="E55" s="33" t="inlineStr">
        <is>
          <t>До 31.12.2029</t>
        </is>
      </c>
    </row>
    <row r="56">
      <c r="A56" s="26">
        <f>"Роялти новых с "&amp;TEXT(DAY($B$244+1),"00")&amp;"."&amp;TEXT(MONTH($B$244+1),"00")&amp;"."&amp;YEAR($B$244+1)</f>
        <v/>
      </c>
      <c r="B56" s="38" t="n">
        <v>0.08500000000000001</v>
      </c>
      <c r="C56" s="32" t="inlineStr">
        <is>
          <t>%</t>
        </is>
      </c>
      <c r="D56" s="32" t="inlineStr">
        <is>
          <t>ТЗ 5.4</t>
        </is>
      </c>
      <c r="E56" s="33" t="inlineStr">
        <is>
          <t>До 31.12.2029</t>
        </is>
      </c>
    </row>
    <row r="57">
      <c r="A57" s="26">
        <f>"Роялти всех с "&amp;TEXT(DAY($B$245),"00")&amp;"."&amp;TEXT(MONTH($B$245),"00")&amp;"."&amp;YEAR($B$245)</f>
        <v/>
      </c>
      <c r="B57" s="38" t="n">
        <v>0.1</v>
      </c>
      <c r="C57" s="32" t="inlineStr">
        <is>
          <t>%</t>
        </is>
      </c>
      <c r="D57" s="32" t="inlineStr">
        <is>
          <t>ТЗ 5.4</t>
        </is>
      </c>
      <c r="E57" s="58" t="inlineStr">
        <is>
          <t>Дата перехода задаётся в B245; подпись слева следует за ней.</t>
        </is>
      </c>
    </row>
    <row r="58">
      <c r="A58" s="26" t="inlineStr">
        <is>
          <t>НДС основной деятельности</t>
        </is>
      </c>
      <c r="B58" s="39" t="n">
        <v>0.05</v>
      </c>
      <c r="C58" s="32" t="inlineStr">
        <is>
          <t>%</t>
        </is>
      </c>
      <c r="D58" s="32" t="inlineStr">
        <is>
          <t>Временно</t>
        </is>
      </c>
      <c r="E58" s="33" t="inlineStr">
        <is>
          <t>Требует налоговой сверки</t>
        </is>
      </c>
    </row>
    <row r="59">
      <c r="A59" s="26" t="inlineStr">
        <is>
          <t>Доля ФК от паушального</t>
        </is>
      </c>
      <c r="B59" s="38" t="n">
        <v>0.35</v>
      </c>
      <c r="C59" s="32" t="inlineStr">
        <is>
          <t>% без НДС</t>
        </is>
      </c>
      <c r="D59" s="32" t="inlineStr">
        <is>
          <t>V5</t>
        </is>
      </c>
      <c r="E59" s="33" t="n"/>
      <c r="F59" s="59" t="inlineStr">
        <is>
          <t>35% выручки. Не связано с B76: там 35% ПРИБЫЛИ мерча. Совпадение ставок случайно — пересмотр одной не двигает другую.</t>
        </is>
      </c>
    </row>
    <row r="60">
      <c r="A60" s="26" t="inlineStr">
        <is>
          <t>Доля ФК от роялти</t>
        </is>
      </c>
      <c r="B60" s="38" t="n">
        <v>0.1</v>
      </c>
      <c r="C60" s="32" t="inlineStr">
        <is>
          <t>% без НДС</t>
        </is>
      </c>
      <c r="D60" s="32" t="inlineStr">
        <is>
          <t>V5</t>
        </is>
      </c>
      <c r="E60" s="33" t="n"/>
    </row>
    <row r="61" ht="20" customHeight="1">
      <c r="A61" s="52" t="inlineStr">
        <is>
          <t>Средние по взвешенному миксу продуктов — по сезонам</t>
        </is>
      </c>
    </row>
    <row r="62">
      <c r="A62" s="30" t="inlineStr">
        <is>
          <t>Сезон</t>
        </is>
      </c>
      <c r="B62" s="30" t="inlineStr">
        <is>
          <t>Средний паушальный, ₽ с НДС</t>
        </is>
      </c>
      <c r="C62" s="30" t="inlineStr">
        <is>
          <t>Средний абонемент, ₽/мес.</t>
        </is>
      </c>
      <c r="D62" s="32" t="n"/>
      <c r="E62" s="32" t="n"/>
      <c r="F62" s="32" t="n"/>
      <c r="G62" s="32" t="n"/>
      <c r="H62" s="32" t="n"/>
      <c r="I62" s="32" t="n"/>
      <c r="J62" s="32" t="n"/>
      <c r="K62" s="32" t="n"/>
      <c r="L62" s="32" t="n"/>
      <c r="M62" s="32" t="n"/>
      <c r="N62" s="32" t="n"/>
      <c r="O62" s="32" t="n"/>
    </row>
    <row r="63">
      <c r="A63" s="53" t="n">
        <v>1</v>
      </c>
      <c r="B63" s="57">
        <f>SUMPRODUCT($C$263:$C$282,$D$263:$D$282)/$C$283</f>
        <v/>
      </c>
      <c r="C63" s="49">
        <f>$B$218*$F$200</f>
        <v/>
      </c>
      <c r="G63" s="45" t="inlineStr">
        <is>
          <t>← формула; база: D263:D282</t>
        </is>
      </c>
    </row>
    <row r="64">
      <c r="A64" s="53" t="n">
        <v>2</v>
      </c>
      <c r="B64" s="57">
        <f>SUMPRODUCT($C$263:$C$282,$D$263:$D$282)/$C$283</f>
        <v/>
      </c>
      <c r="C64" s="49">
        <f>$B$219*$F$200</f>
        <v/>
      </c>
      <c r="G64" s="45" t="inlineStr">
        <is>
          <t>← формула; база: D263:D282</t>
        </is>
      </c>
    </row>
    <row r="65">
      <c r="A65" s="53" t="n">
        <v>3</v>
      </c>
      <c r="B65" s="57">
        <f>SUMPRODUCT($C$263:$C$282,$D$263:$D$282)/$C$283</f>
        <v/>
      </c>
      <c r="C65" s="49">
        <f>$B$220*$F$200</f>
        <v/>
      </c>
      <c r="G65" s="45" t="inlineStr">
        <is>
          <t>← формула; база: D263:D282</t>
        </is>
      </c>
    </row>
    <row r="66">
      <c r="A66" s="53" t="n">
        <v>4</v>
      </c>
      <c r="B66" s="57">
        <f>SUMPRODUCT($C$263:$C$282,$D$263:$D$282)/$C$283</f>
        <v/>
      </c>
      <c r="C66" s="49">
        <f>$B$221*$F$200</f>
        <v/>
      </c>
      <c r="G66" s="45" t="inlineStr">
        <is>
          <t>← формула; база: D263:D282</t>
        </is>
      </c>
    </row>
    <row r="67">
      <c r="A67" s="53" t="n">
        <v>5</v>
      </c>
      <c r="B67" s="57">
        <f>SUMPRODUCT($C$263:$C$282,$D$263:$D$282)/$C$283</f>
        <v/>
      </c>
      <c r="C67" s="49">
        <f>$B$222*$F$200</f>
        <v/>
      </c>
      <c r="G67" s="45" t="inlineStr">
        <is>
          <t>← формула; база: D263:D282</t>
        </is>
      </c>
    </row>
    <row r="68"/>
    <row r="69" ht="20" customHeight="1">
      <c r="A69" s="29" t="inlineStr">
        <is>
          <t>5. Мерч, склад и займ</t>
        </is>
      </c>
    </row>
    <row r="70">
      <c r="A70" s="30" t="inlineStr">
        <is>
          <t>Параметр</t>
        </is>
      </c>
      <c r="B70" s="30" t="inlineStr">
        <is>
          <t>Значение</t>
        </is>
      </c>
      <c r="C70" s="30" t="inlineStr">
        <is>
          <t>Ед.</t>
        </is>
      </c>
      <c r="D70" s="30" t="inlineStr">
        <is>
          <t>Статус / источник</t>
        </is>
      </c>
      <c r="E70" s="30" t="inlineStr">
        <is>
          <t>Комментарий</t>
        </is>
      </c>
    </row>
    <row r="71">
      <c r="A71" s="26" t="inlineStr">
        <is>
          <t>Себестоимость комплекта</t>
        </is>
      </c>
      <c r="B71" s="50" t="n">
        <v>2100</v>
      </c>
      <c r="C71" s="32" t="inlineStr">
        <is>
          <t>₽</t>
        </is>
      </c>
      <c r="D71" s="32" t="inlineStr">
        <is>
          <t>ТЗ 5.5</t>
        </is>
      </c>
      <c r="E71" s="33" t="n"/>
    </row>
    <row r="72">
      <c r="A72" s="26" t="inlineStr">
        <is>
          <t>Наценка мерча</t>
        </is>
      </c>
      <c r="B72" s="38" t="n">
        <v>0.85</v>
      </c>
      <c r="C72" s="32" t="inlineStr">
        <is>
          <t>% к COGS</t>
        </is>
      </c>
      <c r="D72" s="32" t="inlineStr">
        <is>
          <t>ТЗ 5.5</t>
        </is>
      </c>
      <c r="E72" s="33" t="n"/>
    </row>
    <row r="73">
      <c r="A73" s="26" t="inlineStr">
        <is>
          <t>Цена комплекта</t>
        </is>
      </c>
      <c r="B73" s="60">
        <f>B71*(1+B72)</f>
        <v/>
      </c>
      <c r="C73" s="32" t="inlineStr">
        <is>
          <t>₽</t>
        </is>
      </c>
      <c r="D73" s="32" t="inlineStr">
        <is>
          <t>Расчёт</t>
        </is>
      </c>
      <c r="E73" s="32" t="inlineStr">
        <is>
          <t>2 100 × 1,85 = 3 885</t>
        </is>
      </c>
    </row>
    <row r="74">
      <c r="A74" s="26" t="inlineStr">
        <is>
          <t>Коэффициент мерча</t>
        </is>
      </c>
      <c r="B74" s="61">
        <f>$B$223*$F$201</f>
        <v/>
      </c>
      <c r="C74" s="32" t="inlineStr">
        <is>
          <t>компл./ребёнок/сезон</t>
        </is>
      </c>
      <c r="D74" s="32" t="inlineStr">
        <is>
          <t>Расчет по сценарию</t>
        </is>
      </c>
      <c r="E74" s="33" t="inlineStr">
        <is>
          <t>Ежегодная докупка</t>
        </is>
      </c>
      <c r="G74" s="45" t="inlineStr">
        <is>
          <t>← формула; база: B223</t>
        </is>
      </c>
    </row>
    <row r="75">
      <c r="A75" s="26" t="inlineStr">
        <is>
          <t>Логистика/возвраты/брак</t>
        </is>
      </c>
      <c r="B75" s="38" t="n">
        <v>0.02</v>
      </c>
      <c r="C75" s="32" t="inlineStr">
        <is>
          <t>% выручки без НДС</t>
        </is>
      </c>
      <c r="D75" s="32" t="inlineStr">
        <is>
          <t>V5</t>
        </is>
      </c>
      <c r="E75" s="33" t="inlineStr">
        <is>
          <t>До уточнения</t>
        </is>
      </c>
    </row>
    <row r="76">
      <c r="A76" s="26" t="inlineStr">
        <is>
          <t>Доля ФК от прибыли мерча</t>
        </is>
      </c>
      <c r="B76" s="38" t="n">
        <v>0.35</v>
      </c>
      <c r="C76" s="32" t="inlineStr">
        <is>
          <t>%</t>
        </is>
      </c>
      <c r="D76" s="32" t="inlineStr">
        <is>
          <t>Подтверждено</t>
        </is>
      </c>
      <c r="E76" s="33" t="inlineStr">
        <is>
          <t>Отдельно от возврата займа</t>
        </is>
      </c>
      <c r="F76" s="59" t="inlineStr">
        <is>
          <t>35% прибыли (выручка − COGS − логистика). Не связано с B59: там 35% ВЫРУЧКИ по паушальным. Базы разные.</t>
        </is>
      </c>
    </row>
    <row r="77">
      <c r="A77" s="26" t="inlineStr">
        <is>
          <t>Стартовый товарный запас</t>
        </is>
      </c>
      <c r="B77" s="50" t="n">
        <v>50000000</v>
      </c>
      <c r="C77" s="32" t="inlineStr">
        <is>
          <t>₽ по COGS</t>
        </is>
      </c>
      <c r="D77" s="32" t="inlineStr">
        <is>
          <t>ТЗ 5.6</t>
        </is>
      </c>
      <c r="E77" s="33" t="n"/>
    </row>
    <row r="78">
      <c r="A78" s="26" t="inlineStr">
        <is>
          <t>Стартовый займ на мерч</t>
        </is>
      </c>
      <c r="B78" s="50" t="n">
        <v>50000000</v>
      </c>
      <c r="C78" s="32" t="inlineStr">
        <is>
          <t>₽</t>
        </is>
      </c>
      <c r="D78" s="32" t="inlineStr">
        <is>
          <t>ТЗ 5.6</t>
        </is>
      </c>
      <c r="E78" s="33" t="n"/>
    </row>
    <row r="79">
      <c r="A79" s="26" t="inlineStr">
        <is>
          <t>Доля COGS на погашение займа</t>
        </is>
      </c>
      <c r="B79" s="38" t="n">
        <v>0.6</v>
      </c>
      <c r="C79" s="32" t="inlineStr">
        <is>
          <t>%</t>
        </is>
      </c>
      <c r="D79" s="32" t="inlineStr">
        <is>
          <t>ТЗ 5.6</t>
        </is>
      </c>
      <c r="E79" s="33" t="n"/>
    </row>
    <row r="80">
      <c r="A80" s="26" t="inlineStr">
        <is>
          <t>Целевой запас</t>
        </is>
      </c>
      <c r="B80" s="41" t="n">
        <v>4</v>
      </c>
      <c r="C80" s="32" t="inlineStr">
        <is>
          <t>мес. будущих продаж</t>
        </is>
      </c>
      <c r="D80" s="32" t="inlineStr">
        <is>
          <t>ТЗ 5.6 / уточнено 10.09.2026</t>
        </is>
      </c>
      <c r="E80" s="33">
        <f>"При закупке доводим склад до будущих "&amp;$B$80&amp;" мес. продаж по себестоимости"</f>
        <v/>
      </c>
    </row>
    <row r="81">
      <c r="A81" s="26" t="inlineStr">
        <is>
          <t>Начало регулярного пополнения</t>
        </is>
      </c>
      <c r="B81" s="31" t="n">
        <v>46692</v>
      </c>
      <c r="C81" s="32" t="inlineStr">
        <is>
          <t>дата</t>
        </is>
      </c>
      <c r="D81" s="32" t="inlineStr">
        <is>
          <t>Комментарий Романа</t>
        </is>
      </c>
      <c r="E81" s="33" t="inlineStr">
        <is>
          <t>Стартовые ~50 млн распродаются около 2 лет</t>
        </is>
      </c>
    </row>
    <row r="82">
      <c r="A82" s="26" t="inlineStr">
        <is>
          <t>Месяц проверки закупки 1</t>
        </is>
      </c>
      <c r="B82" s="62" t="n">
        <v>2</v>
      </c>
      <c r="C82" s="32" t="inlineStr">
        <is>
          <t>номер месяца</t>
        </is>
      </c>
      <c r="D82" s="32" t="inlineStr">
        <is>
          <t>Рабочее</t>
        </is>
      </c>
      <c r="E82" s="33" t="inlineStr">
        <is>
          <t>Февраль; уточнить точные месяцы закупок</t>
        </is>
      </c>
    </row>
    <row r="83">
      <c r="A83" s="26" t="inlineStr">
        <is>
          <t>Месяц проверки закупки 2</t>
        </is>
      </c>
      <c r="B83" s="62" t="n">
        <v>5</v>
      </c>
      <c r="C83" s="32" t="inlineStr">
        <is>
          <t>номер месяца</t>
        </is>
      </c>
      <c r="D83" s="32" t="inlineStr">
        <is>
          <t>Рабочее</t>
        </is>
      </c>
      <c r="E83" s="33" t="inlineStr">
        <is>
          <t>Май; уточнить точные месяцы закупок</t>
        </is>
      </c>
    </row>
    <row r="84">
      <c r="A84" s="26" t="inlineStr">
        <is>
          <t>Месяц проверки закупки 3</t>
        </is>
      </c>
      <c r="B84" s="62" t="n">
        <v>8</v>
      </c>
      <c r="C84" s="32" t="inlineStr">
        <is>
          <t>номер месяца</t>
        </is>
      </c>
      <c r="D84" s="32" t="inlineStr">
        <is>
          <t>Рабочее</t>
        </is>
      </c>
      <c r="E84" s="33" t="inlineStr">
        <is>
          <t>Август; уточнить точные месяцы закупок</t>
        </is>
      </c>
    </row>
    <row r="85">
      <c r="A85" s="26" t="inlineStr">
        <is>
          <t>Месяц проверки закупки 4</t>
        </is>
      </c>
      <c r="B85" s="62" t="n">
        <v>11</v>
      </c>
      <c r="C85" s="32" t="inlineStr">
        <is>
          <t>номер месяца</t>
        </is>
      </c>
      <c r="D85" s="32" t="inlineStr">
        <is>
          <t>Рабочее</t>
        </is>
      </c>
      <c r="E85" s="33" t="inlineStr">
        <is>
          <t>Ноябрь; уточнить точные месяцы закупок</t>
        </is>
      </c>
    </row>
    <row r="86" ht="20" customHeight="1">
      <c r="A86" s="52" t="inlineStr">
        <is>
          <t>Первичная закупка новой школы</t>
        </is>
      </c>
    </row>
    <row r="87">
      <c r="A87" s="26" t="inlineStr">
        <is>
          <t>1-й месяц после открытия</t>
        </is>
      </c>
      <c r="B87" s="38" t="n">
        <v>0.5</v>
      </c>
    </row>
    <row r="88">
      <c r="A88" s="26" t="inlineStr">
        <is>
          <t>2-й месяц после открытия</t>
        </is>
      </c>
      <c r="B88" s="38" t="n">
        <v>0.3</v>
      </c>
    </row>
    <row r="89">
      <c r="A89" s="26" t="inlineStr">
        <is>
          <t>3-й месяц после открытия</t>
        </is>
      </c>
      <c r="B89" s="38" t="n">
        <v>0.2</v>
      </c>
    </row>
    <row r="90">
      <c r="A90" s="26" t="inlineStr">
        <is>
          <t>Контроль</t>
        </is>
      </c>
      <c r="B90" s="47">
        <f>SUM(B87:B89)</f>
        <v/>
      </c>
    </row>
    <row r="91"/>
    <row r="92" ht="20" customHeight="1">
      <c r="A92" s="52" t="inlineStr">
        <is>
          <t>Сезонность повторной закупки мерча</t>
        </is>
      </c>
    </row>
    <row r="93">
      <c r="B93" s="30" t="inlineStr">
        <is>
          <t>Янв</t>
        </is>
      </c>
      <c r="C93" s="30" t="inlineStr">
        <is>
          <t>Фев</t>
        </is>
      </c>
      <c r="D93" s="30" t="inlineStr">
        <is>
          <t>Мар</t>
        </is>
      </c>
      <c r="E93" s="30" t="inlineStr">
        <is>
          <t>Апр</t>
        </is>
      </c>
      <c r="F93" s="30" t="inlineStr">
        <is>
          <t>Май</t>
        </is>
      </c>
      <c r="G93" s="30" t="inlineStr">
        <is>
          <t>Июн</t>
        </is>
      </c>
      <c r="H93" s="30" t="inlineStr">
        <is>
          <t>Июл</t>
        </is>
      </c>
      <c r="I93" s="30" t="inlineStr">
        <is>
          <t>Авг</t>
        </is>
      </c>
      <c r="J93" s="30" t="inlineStr">
        <is>
          <t>Сен</t>
        </is>
      </c>
      <c r="K93" s="30" t="inlineStr">
        <is>
          <t>Окт</t>
        </is>
      </c>
      <c r="L93" s="30" t="inlineStr">
        <is>
          <t>Ноя</t>
        </is>
      </c>
      <c r="M93" s="30" t="inlineStr">
        <is>
          <t>Дек</t>
        </is>
      </c>
    </row>
    <row r="94">
      <c r="A94" s="26" t="inlineStr">
        <is>
          <t>Доля годовых повторных продаж</t>
        </is>
      </c>
      <c r="B94" s="38" t="n">
        <v>0</v>
      </c>
      <c r="C94" s="38" t="n">
        <v>0</v>
      </c>
      <c r="D94" s="38" t="n">
        <v>0</v>
      </c>
      <c r="E94" s="38" t="n">
        <v>0</v>
      </c>
      <c r="F94" s="38" t="n">
        <v>0</v>
      </c>
      <c r="G94" s="38" t="n">
        <v>0</v>
      </c>
      <c r="H94" s="38" t="n">
        <v>0</v>
      </c>
      <c r="I94" s="38" t="n">
        <v>0.25</v>
      </c>
      <c r="J94" s="38" t="n">
        <v>0.4</v>
      </c>
      <c r="K94" s="38" t="n">
        <v>0.25</v>
      </c>
      <c r="L94" s="38" t="n">
        <v>0.1</v>
      </c>
      <c r="M94" s="38" t="n">
        <v>0</v>
      </c>
    </row>
    <row r="95">
      <c r="A95" s="26" t="inlineStr">
        <is>
          <t>Контроль</t>
        </is>
      </c>
      <c r="B95" s="47">
        <f>SUM(B94:M94)</f>
        <v/>
      </c>
    </row>
    <row r="96"/>
    <row r="97" ht="20" customHeight="1">
      <c r="A97" s="52" t="inlineStr">
        <is>
          <t>5а. Согласованный мерч действующей сети — факт сентябрь–декабрь 2026</t>
        </is>
      </c>
    </row>
    <row r="98">
      <c r="A98" s="30" t="inlineStr">
        <is>
          <t>Месяц (факт, ищется по дате)</t>
        </is>
      </c>
      <c r="B98" s="63" t="n">
        <v>46266</v>
      </c>
      <c r="C98" s="63" t="n">
        <v>46296</v>
      </c>
      <c r="D98" s="63" t="n">
        <v>46327</v>
      </c>
      <c r="E98" s="63" t="n">
        <v>46357</v>
      </c>
    </row>
    <row r="99">
      <c r="A99" s="26" t="inlineStr">
        <is>
          <t>Комплекты, шт.</t>
        </is>
      </c>
      <c r="B99" s="50" t="n">
        <v>5070</v>
      </c>
      <c r="C99" s="50" t="n">
        <v>2550</v>
      </c>
      <c r="D99" s="50" t="n">
        <v>1260</v>
      </c>
      <c r="E99" s="50" t="n">
        <v>720</v>
      </c>
    </row>
    <row r="100">
      <c r="A100" s="26" t="inlineStr">
        <is>
          <t>Выручка, ₽ с НДС</t>
        </is>
      </c>
      <c r="B100" s="50" t="n">
        <v>10022370</v>
      </c>
      <c r="C100" s="50" t="n">
        <v>4335000</v>
      </c>
      <c r="D100" s="50" t="n">
        <v>2142000</v>
      </c>
      <c r="E100" s="50" t="n">
        <v>1224000</v>
      </c>
    </row>
    <row r="101">
      <c r="A101" s="26" t="inlineStr">
        <is>
          <t>COGS, ₽</t>
        </is>
      </c>
      <c r="B101" s="50" t="n">
        <v>5237418.6</v>
      </c>
      <c r="C101" s="50" t="n">
        <v>2167500</v>
      </c>
      <c r="D101" s="50" t="n">
        <v>1178100</v>
      </c>
      <c r="E101" s="50" t="n">
        <v>673200</v>
      </c>
    </row>
    <row r="102"/>
    <row r="103" ht="20" customHeight="1">
      <c r="A103" s="29" t="inlineStr">
        <is>
          <t>6. ERP и операционные расходы</t>
        </is>
      </c>
    </row>
    <row r="104">
      <c r="A104" s="30" t="inlineStr">
        <is>
          <t>Параметр</t>
        </is>
      </c>
      <c r="B104" s="30" t="inlineStr">
        <is>
          <t>Значение</t>
        </is>
      </c>
      <c r="C104" s="30" t="inlineStr">
        <is>
          <t>Ед.</t>
        </is>
      </c>
      <c r="D104" s="30" t="inlineStr">
        <is>
          <t>Статус / источник</t>
        </is>
      </c>
      <c r="E104" s="30" t="inlineStr">
        <is>
          <t>Комментарий</t>
        </is>
      </c>
    </row>
    <row r="105">
      <c r="A105" s="26" t="inlineStr">
        <is>
          <t>ERP база</t>
        </is>
      </c>
      <c r="B105" s="50" t="n">
        <v>80000</v>
      </c>
      <c r="C105" s="32" t="inlineStr">
        <is>
          <t>₽/мес.</t>
        </is>
      </c>
      <c r="D105" s="32" t="inlineStr">
        <is>
          <t>ТЗ 5.7</t>
        </is>
      </c>
      <c r="E105" s="33" t="n"/>
    </row>
    <row r="106">
      <c r="A106" s="26" t="inlineStr">
        <is>
          <t>Школ в ERP-базе</t>
        </is>
      </c>
      <c r="B106" s="35" t="n">
        <v>104</v>
      </c>
      <c r="C106" s="32" t="inlineStr">
        <is>
          <t>шт.</t>
        </is>
      </c>
      <c r="D106" s="32" t="inlineStr">
        <is>
          <t>Фактический реестр на 09.09.2026</t>
        </is>
      </c>
      <c r="E106" s="33" t="inlineStr">
        <is>
          <t>Базовые 80 тыс. ₽ ERP покрывают 104 действующие школы на старте; доплата 3 тыс. ₽ применяется к новым подключённым школам сверх этой базы.</t>
        </is>
      </c>
    </row>
    <row r="107">
      <c r="A107" s="26" t="inlineStr">
        <is>
          <t>ERP на новую активную школу</t>
        </is>
      </c>
      <c r="B107" s="50" t="n">
        <v>3000</v>
      </c>
      <c r="C107" s="32" t="inlineStr">
        <is>
          <t>₽/мес.</t>
        </is>
      </c>
      <c r="D107" s="32" t="inlineStr">
        <is>
          <t>ТЗ 5.7</t>
        </is>
      </c>
      <c r="E107" s="33" t="inlineStr">
        <is>
          <t>С месяца открытия</t>
        </is>
      </c>
    </row>
    <row r="108">
      <c r="A108" s="26" t="inlineStr">
        <is>
          <t>Офис / аренда / уборка / парковка</t>
        </is>
      </c>
      <c r="B108" s="50" t="n">
        <v>390000</v>
      </c>
      <c r="C108" s="32" t="inlineStr">
        <is>
          <t>₽/мес.</t>
        </is>
      </c>
      <c r="D108" s="32" t="inlineStr">
        <is>
          <t>V6 / оставить</t>
        </is>
      </c>
      <c r="E108" s="33" t="inlineStr">
        <is>
          <t>До переезда</t>
        </is>
      </c>
    </row>
    <row r="109">
      <c r="A109" s="26" t="inlineStr">
        <is>
          <t>Юристы / аудит / бухгалтерия</t>
        </is>
      </c>
      <c r="B109" s="50" t="n">
        <v>40000</v>
      </c>
      <c r="C109" s="32" t="inlineStr">
        <is>
          <t>₽/мес.</t>
        </is>
      </c>
      <c r="D109" s="32" t="inlineStr">
        <is>
          <t>ТЗ 5.7</t>
        </is>
      </c>
      <c r="E109" s="33" t="n"/>
    </row>
    <row r="110">
      <c r="A110" s="26" t="inlineStr">
        <is>
          <t>Прочие IT-сервисы</t>
        </is>
      </c>
      <c r="B110" s="50" t="n">
        <v>80000</v>
      </c>
      <c r="C110" s="32" t="inlineStr">
        <is>
          <t>₽/мес.</t>
        </is>
      </c>
      <c r="D110" s="32" t="inlineStr">
        <is>
          <t>ТЗ 5.7</t>
        </is>
      </c>
      <c r="E110" s="33" t="n"/>
    </row>
    <row r="111">
      <c r="A111" s="26" t="inlineStr">
        <is>
          <t>Маркетинг/SMM подрядчики до 31.08.27</t>
        </is>
      </c>
      <c r="B111" s="50" t="n">
        <v>100000</v>
      </c>
      <c r="C111" s="32" t="inlineStr">
        <is>
          <t>₽/мес.</t>
        </is>
      </c>
      <c r="D111" s="32" t="inlineStr">
        <is>
          <t>ТЗ 5.7</t>
        </is>
      </c>
      <c r="E111" s="33" t="n"/>
    </row>
    <row r="112">
      <c r="A112" s="26" t="inlineStr">
        <is>
          <t>Маркетинг/SMM подрядчики с 01.09.27</t>
        </is>
      </c>
      <c r="B112" s="50" t="n">
        <v>40000</v>
      </c>
      <c r="C112" s="32" t="inlineStr">
        <is>
          <t>₽/мес.</t>
        </is>
      </c>
      <c r="D112" s="32" t="inlineStr">
        <is>
          <t>ТЗ 5.7</t>
        </is>
      </c>
      <c r="E112" s="33" t="n"/>
    </row>
    <row r="113"/>
    <row r="114" ht="20" customHeight="1">
      <c r="A114" s="29" t="inlineStr">
        <is>
          <t>7. ФОТ, найм и премии</t>
        </is>
      </c>
    </row>
    <row r="115">
      <c r="A115" s="30" t="inlineStr">
        <is>
          <t>Параметр</t>
        </is>
      </c>
      <c r="B115" s="30" t="inlineStr">
        <is>
          <t>Значение</t>
        </is>
      </c>
      <c r="C115" s="30" t="inlineStr">
        <is>
          <t>Ед.</t>
        </is>
      </c>
      <c r="D115" s="30" t="inlineStr">
        <is>
          <t>Статус / источник</t>
        </is>
      </c>
      <c r="E115" s="30" t="inlineStr">
        <is>
          <t>Комментарий</t>
        </is>
      </c>
    </row>
    <row r="116">
      <c r="A116" s="26" t="inlineStr">
        <is>
          <t>Инфляция зарплат</t>
        </is>
      </c>
      <c r="B116" s="38" t="n">
        <v>0.07000000000000001</v>
      </c>
      <c r="C116" s="32" t="inlineStr">
        <is>
          <t>%/год</t>
        </is>
      </c>
      <c r="D116" s="32" t="inlineStr">
        <is>
          <t>ТЗ 6.1 / рабочее</t>
        </is>
      </c>
      <c r="E116" s="33" t="inlineStr">
        <is>
          <t>Каждое 1 сентября</t>
        </is>
      </c>
    </row>
    <row r="117">
      <c r="A117" s="26" t="inlineStr">
        <is>
          <t>Юрлиц на 1 менеджера развития</t>
        </is>
      </c>
      <c r="B117" s="64" t="n">
        <v>35</v>
      </c>
      <c r="C117" s="32" t="inlineStr">
        <is>
          <t>шт.</t>
        </is>
      </c>
      <c r="D117" s="32" t="inlineStr">
        <is>
          <t>ТЗ 6.2</t>
        </is>
      </c>
      <c r="E117" s="33" t="n"/>
    </row>
    <row r="118">
      <c r="A118" s="26" t="inlineStr">
        <is>
          <t>Базовые менеджеры развития</t>
        </is>
      </c>
      <c r="B118" s="65" t="n">
        <v>2</v>
      </c>
      <c r="C118" s="32" t="inlineStr">
        <is>
          <t>чел.</t>
        </is>
      </c>
      <c r="D118" s="32" t="inlineStr">
        <is>
          <t>ТЗ 6.2</t>
        </is>
      </c>
      <c r="E118" s="33" t="inlineStr">
        <is>
          <t>После перевода Левона</t>
        </is>
      </c>
    </row>
    <row r="119">
      <c r="A119" s="26" t="inlineStr">
        <is>
          <t>Оклад нового менеджера развития gross</t>
        </is>
      </c>
      <c r="B119" s="50" t="n">
        <v>114943</v>
      </c>
      <c r="C119" s="32" t="inlineStr">
        <is>
          <t>₽/мес.</t>
        </is>
      </c>
      <c r="D119" s="32" t="inlineStr">
        <is>
          <t>V5</t>
        </is>
      </c>
      <c r="E119" s="33" t="n"/>
    </row>
    <row r="120">
      <c r="A120" s="26" t="inlineStr">
        <is>
          <t>Комиссия кадрового агентства</t>
        </is>
      </c>
      <c r="B120" s="66" t="n">
        <v>1</v>
      </c>
      <c r="C120" s="32" t="inlineStr">
        <is>
          <t>× gross оклада</t>
        </is>
      </c>
      <c r="D120" s="32" t="inlineStr">
        <is>
          <t>ТЗ 6.2</t>
        </is>
      </c>
      <c r="E120" s="33" t="n"/>
    </row>
    <row r="121">
      <c r="A121" s="26" t="inlineStr">
        <is>
          <t>Разовая замена директора маркетинга</t>
        </is>
      </c>
      <c r="B121" s="50" t="n">
        <v>240000</v>
      </c>
      <c r="C121" s="32" t="inlineStr">
        <is>
          <t>₽</t>
        </is>
      </c>
      <c r="D121" s="32" t="inlineStr">
        <is>
          <t>ТЗ 6.3</t>
        </is>
      </c>
      <c r="E121" s="33" t="inlineStr">
        <is>
          <t>Октябрь 2026</t>
        </is>
      </c>
    </row>
    <row r="122">
      <c r="A122" s="26" t="inlineStr">
        <is>
          <t>Резерв на ротацию кадров</t>
        </is>
      </c>
      <c r="B122" s="50" t="n">
        <v>350000</v>
      </c>
      <c r="C122" s="32" t="inlineStr">
        <is>
          <t>₽/год</t>
        </is>
      </c>
      <c r="D122" s="32" t="inlineStr">
        <is>
          <t>ТЗ 6.3</t>
        </is>
      </c>
      <c r="E122" s="33" t="inlineStr">
        <is>
          <t>Каждый сентябрь</t>
        </is>
      </c>
    </row>
    <row r="123">
      <c r="A123" s="26" t="inlineStr">
        <is>
          <t>Премия развития net до 31.12.26</t>
        </is>
      </c>
      <c r="B123" s="50" t="n">
        <v>25000</v>
      </c>
      <c r="C123" s="32" t="inlineStr">
        <is>
          <t>₽/чел./мес.</t>
        </is>
      </c>
      <c r="D123" s="32" t="inlineStr">
        <is>
          <t>ТЗ 6.4</t>
        </is>
      </c>
      <c r="E123" s="33" t="inlineStr">
        <is>
          <t>2 менеджера + Левон</t>
        </is>
      </c>
    </row>
    <row r="124">
      <c r="A124" s="26" t="inlineStr">
        <is>
          <t>Премия развития net с 01.01.27</t>
        </is>
      </c>
      <c r="B124" s="50" t="n">
        <v>30000</v>
      </c>
      <c r="C124" s="32" t="inlineStr">
        <is>
          <t>₽/чел./мес.</t>
        </is>
      </c>
      <c r="D124" s="32" t="inlineStr">
        <is>
          <t>ТЗ 6.4</t>
        </is>
      </c>
      <c r="E124" s="33" t="n"/>
    </row>
    <row r="125">
      <c r="A125" s="26" t="inlineStr">
        <is>
          <t>Премия Евгения</t>
        </is>
      </c>
      <c r="B125" s="38" t="n">
        <v>0.04</v>
      </c>
      <c r="C125" s="32" t="inlineStr">
        <is>
          <t>% паушального без НДС</t>
        </is>
      </c>
      <c r="D125" s="32" t="inlineStr">
        <is>
          <t>ТЗ 6.4</t>
        </is>
      </c>
      <c r="E125" s="33" t="inlineStr">
        <is>
          <t>При 2+ продажах</t>
        </is>
      </c>
    </row>
    <row r="126">
      <c r="A126" s="26" t="inlineStr">
        <is>
          <t>Триггер временного продавца</t>
        </is>
      </c>
      <c r="B126" s="67" t="n">
        <v>5</v>
      </c>
      <c r="C126" s="32" t="inlineStr">
        <is>
          <t>продаж/мес.</t>
        </is>
      </c>
      <c r="D126" s="32" t="inlineStr">
        <is>
          <t>ТЗ 6.4</t>
        </is>
      </c>
      <c r="E126" s="33" t="n"/>
    </row>
    <row r="127">
      <c r="A127" s="26" t="inlineStr">
        <is>
          <t>Временный продавец — фикс</t>
        </is>
      </c>
      <c r="B127" s="50" t="n">
        <v>80000</v>
      </c>
      <c r="C127" s="32" t="inlineStr">
        <is>
          <t>₽/мес.</t>
        </is>
      </c>
      <c r="D127" s="32" t="inlineStr">
        <is>
          <t>ТЗ 6.4</t>
        </is>
      </c>
      <c r="E127" s="33" t="inlineStr">
        <is>
          <t>Пока считаем как ИП</t>
        </is>
      </c>
    </row>
    <row r="128">
      <c r="A128" s="26" t="inlineStr">
        <is>
          <t>Временный продавец — бонус</t>
        </is>
      </c>
      <c r="B128" s="38" t="n">
        <v>0.05</v>
      </c>
      <c r="C128" s="32" t="inlineStr">
        <is>
          <t>% паушального без НДС</t>
        </is>
      </c>
      <c r="D128" s="32" t="inlineStr">
        <is>
          <t>ТЗ 6.4</t>
        </is>
      </c>
      <c r="E128" s="33" t="inlineStr">
        <is>
          <t>Пока считаем как ИП</t>
        </is>
      </c>
    </row>
    <row r="129">
      <c r="A129" s="26" t="inlineStr">
        <is>
          <t>Статус временного продавца</t>
        </is>
      </c>
      <c r="B129" s="68" t="inlineStr">
        <is>
          <t>ИП</t>
        </is>
      </c>
      <c r="C129" s="32" t="inlineStr">
        <is>
          <t>статус</t>
        </is>
      </c>
      <c r="D129" s="32" t="inlineStr">
        <is>
          <t>Временно</t>
        </is>
      </c>
      <c r="E129" s="33" t="inlineStr">
        <is>
          <t>Временно ИП, по последнему указанию пользователя.</t>
        </is>
      </c>
    </row>
    <row r="130">
      <c r="A130" s="26" t="inlineStr">
        <is>
          <t>Квартальная премия</t>
        </is>
      </c>
      <c r="B130" s="66" t="n">
        <v>0.6</v>
      </c>
      <c r="C130" s="32" t="inlineStr">
        <is>
          <t>× месячного gross</t>
        </is>
      </c>
      <c r="D130" s="32" t="inlineStr">
        <is>
          <t>ТЗ 6.4</t>
        </is>
      </c>
      <c r="E130" s="33" t="inlineStr">
        <is>
          <t>С IV кв.2027, первая выплата декабрь 2027</t>
        </is>
      </c>
    </row>
    <row r="131">
      <c r="A131" s="26" t="inlineStr">
        <is>
          <t>Страховые взносы</t>
        </is>
      </c>
      <c r="B131" s="39" t="n">
        <v>0.3</v>
      </c>
      <c r="C131" s="32" t="inlineStr">
        <is>
          <t>% gross</t>
        </is>
      </c>
      <c r="D131" s="32" t="inlineStr">
        <is>
          <t>Подтверждено 11.09.2026</t>
        </is>
      </c>
      <c r="E131" s="33" t="inlineStr">
        <is>
          <t>Льготных режимов нет: полная ставка 30% к gross</t>
        </is>
      </c>
    </row>
    <row r="132">
      <c r="A132" s="26" t="inlineStr">
        <is>
          <t>Net / gross</t>
        </is>
      </c>
      <c r="B132" s="69" t="n">
        <v>0.87</v>
      </c>
      <c r="C132" s="32" t="inlineStr">
        <is>
          <t>коэффициент</t>
        </is>
      </c>
      <c r="D132" s="32" t="inlineStr">
        <is>
          <t>Рабочее</t>
        </is>
      </c>
      <c r="E132" s="33" t="inlineStr">
        <is>
          <t>Используется для новых net-окладов</t>
        </is>
      </c>
    </row>
    <row r="133">
      <c r="A133" s="26" t="inlineStr">
        <is>
          <t>Офис-менеджер net</t>
        </is>
      </c>
      <c r="B133" s="50" t="n">
        <v>70000</v>
      </c>
      <c r="C133" s="32" t="inlineStr">
        <is>
          <t>₽/мес.</t>
        </is>
      </c>
      <c r="D133" s="32" t="inlineStr">
        <is>
          <t>ТЗ 6.1</t>
        </is>
      </c>
      <c r="E133" s="33" t="inlineStr">
        <is>
          <t>С 01.01.2027</t>
        </is>
      </c>
    </row>
    <row r="134">
      <c r="A134" s="26" t="inlineStr">
        <is>
          <t>SMM net</t>
        </is>
      </c>
      <c r="B134" s="50" t="n">
        <v>100000</v>
      </c>
      <c r="C134" s="32" t="inlineStr">
        <is>
          <t>₽/мес.</t>
        </is>
      </c>
      <c r="D134" s="32" t="inlineStr">
        <is>
          <t>ТЗ 6.1</t>
        </is>
      </c>
      <c r="E134" s="33" t="inlineStr">
        <is>
          <t>С 01.09.2027</t>
        </is>
      </c>
    </row>
    <row r="135">
      <c r="A135" s="26" t="inlineStr">
        <is>
          <t>Повышение ГД net</t>
        </is>
      </c>
      <c r="B135" s="50" t="n">
        <v>100000</v>
      </c>
      <c r="C135" s="32" t="inlineStr">
        <is>
          <t>₽/мес.</t>
        </is>
      </c>
      <c r="D135" s="32" t="inlineStr">
        <is>
          <t>ТЗ 6.1</t>
        </is>
      </c>
      <c r="E135" s="33" t="inlineStr">
        <is>
          <t>С 01.01.2028</t>
        </is>
      </c>
    </row>
    <row r="136" ht="20" customHeight="1">
      <c r="A136" s="52" t="inlineStr">
        <is>
          <t>Действующее ядро сотрудников</t>
        </is>
      </c>
    </row>
    <row r="137">
      <c r="A137" s="30" t="inlineStr">
        <is>
          <t>Роль</t>
        </is>
      </c>
      <c r="B137" s="30" t="inlineStr">
        <is>
          <t>Сотрудник</t>
        </is>
      </c>
      <c r="C137" s="30" t="inlineStr">
        <is>
          <t>Gross 01.09.26</t>
        </is>
      </c>
      <c r="D137" s="30" t="inlineStr">
        <is>
          <t>Квартальная премия?</t>
        </is>
      </c>
      <c r="E137" s="30" t="inlineStr">
        <is>
          <t>Комментарий</t>
        </is>
      </c>
    </row>
    <row r="138">
      <c r="A138" s="70" t="inlineStr">
        <is>
          <t>Генеральный директор</t>
        </is>
      </c>
      <c r="B138" s="71" t="inlineStr">
        <is>
          <t>Ермаков Роман Константинович</t>
        </is>
      </c>
      <c r="C138" s="50" t="n">
        <v>402300</v>
      </c>
      <c r="D138" s="72" t="inlineStr">
        <is>
          <t>Да</t>
        </is>
      </c>
      <c r="E138" s="32" t="n"/>
    </row>
    <row r="139">
      <c r="A139" s="70" t="inlineStr">
        <is>
          <t>Главный бухгалтер</t>
        </is>
      </c>
      <c r="B139" s="71" t="inlineStr">
        <is>
          <t>Попова Екатерина Андреевна</t>
        </is>
      </c>
      <c r="C139" s="50" t="n">
        <v>230000</v>
      </c>
      <c r="D139" s="72" t="inlineStr">
        <is>
          <t>Да</t>
        </is>
      </c>
      <c r="E139" s="32" t="n"/>
    </row>
    <row r="140">
      <c r="A140" s="70" t="inlineStr">
        <is>
          <t>Директор по развитию</t>
        </is>
      </c>
      <c r="B140" s="71" t="inlineStr">
        <is>
          <t>Степанов Юрий Александрович</t>
        </is>
      </c>
      <c r="C140" s="50" t="n">
        <v>287360</v>
      </c>
      <c r="D140" s="72" t="inlineStr">
        <is>
          <t>Да</t>
        </is>
      </c>
      <c r="E140" s="32" t="n"/>
    </row>
    <row r="141">
      <c r="A141" s="70" t="inlineStr">
        <is>
          <t>Проектный менеджер</t>
        </is>
      </c>
      <c r="B141" s="71" t="inlineStr">
        <is>
          <t>Авакян Левон</t>
        </is>
      </c>
      <c r="C141" s="50" t="n">
        <v>126436</v>
      </c>
      <c r="D141" s="72" t="inlineStr">
        <is>
          <t>Нет</t>
        </is>
      </c>
      <c r="E141" s="32" t="n"/>
    </row>
    <row r="142">
      <c r="A142" s="70" t="inlineStr">
        <is>
          <t>Менеджер по развитию</t>
        </is>
      </c>
      <c r="B142" s="71" t="inlineStr">
        <is>
          <t>Захаров Ярослав Александрович</t>
        </is>
      </c>
      <c r="C142" s="50" t="n">
        <v>114943</v>
      </c>
      <c r="D142" s="72" t="inlineStr">
        <is>
          <t>Нет</t>
        </is>
      </c>
      <c r="E142" s="32" t="n"/>
    </row>
    <row r="143">
      <c r="A143" s="70" t="inlineStr">
        <is>
          <t>Менеджер по развитию</t>
        </is>
      </c>
      <c r="B143" s="71" t="inlineStr">
        <is>
          <t>Ярков Даниил Антонович</t>
        </is>
      </c>
      <c r="C143" s="50" t="n">
        <v>114943</v>
      </c>
      <c r="D143" s="72" t="inlineStr">
        <is>
          <t>Нет</t>
        </is>
      </c>
      <c r="E143" s="32" t="n"/>
    </row>
    <row r="144">
      <c r="A144" s="70" t="inlineStr">
        <is>
          <t>Юрист</t>
        </is>
      </c>
      <c r="B144" s="71" t="inlineStr">
        <is>
          <t>Эсти Лайла Александровна</t>
        </is>
      </c>
      <c r="C144" s="50" t="n">
        <v>229890</v>
      </c>
      <c r="D144" s="72" t="inlineStr">
        <is>
          <t>Да</t>
        </is>
      </c>
      <c r="E144" s="32" t="n"/>
    </row>
    <row r="145">
      <c r="A145" s="70" t="inlineStr">
        <is>
          <t>Спортивный куратор сети</t>
        </is>
      </c>
      <c r="B145" s="71" t="inlineStr">
        <is>
          <t>Стрижов Роман Сергеевич</t>
        </is>
      </c>
      <c r="C145" s="50" t="n">
        <v>229885</v>
      </c>
      <c r="D145" s="72" t="inlineStr">
        <is>
          <t>Да</t>
        </is>
      </c>
      <c r="E145" s="32" t="n"/>
    </row>
    <row r="146">
      <c r="A146" s="70" t="inlineStr">
        <is>
          <t>Директор по маркетингу</t>
        </is>
      </c>
      <c r="B146" s="71" t="inlineStr">
        <is>
          <t>Печерских Павел Сергеевич</t>
        </is>
      </c>
      <c r="C146" s="50" t="n">
        <v>287360</v>
      </c>
      <c r="D146" s="72" t="inlineStr">
        <is>
          <t>Да</t>
        </is>
      </c>
      <c r="E146" s="32" t="n"/>
    </row>
    <row r="147">
      <c r="A147" s="70" t="inlineStr">
        <is>
          <t>Ведущий финансовый менеджер</t>
        </is>
      </c>
      <c r="B147" s="71" t="inlineStr">
        <is>
          <t>Беренцвейг Мария Сергеевна</t>
        </is>
      </c>
      <c r="C147" s="50" t="n">
        <v>229885</v>
      </c>
      <c r="D147" s="72" t="inlineStr">
        <is>
          <t>Да</t>
        </is>
      </c>
      <c r="E147" s="32" t="n"/>
    </row>
    <row r="148">
      <c r="A148" s="70" t="inlineStr">
        <is>
          <t>Исполнительный директор</t>
        </is>
      </c>
      <c r="B148" s="71" t="inlineStr">
        <is>
          <t>Штеблов Илья Николаевич</t>
        </is>
      </c>
      <c r="C148" s="50" t="n">
        <v>288000</v>
      </c>
      <c r="D148" s="72" t="inlineStr">
        <is>
          <t>Да</t>
        </is>
      </c>
      <c r="E148" s="32" t="n"/>
    </row>
    <row r="149">
      <c r="A149" s="70" t="inlineStr">
        <is>
          <t>Спортивный директор</t>
        </is>
      </c>
      <c r="B149" s="71" t="inlineStr">
        <is>
          <t>Рогов Роман Дмитриевич</t>
        </is>
      </c>
      <c r="C149" s="50" t="n">
        <v>287400</v>
      </c>
      <c r="D149" s="72" t="inlineStr">
        <is>
          <t>Да</t>
        </is>
      </c>
      <c r="E149" s="32" t="n"/>
    </row>
    <row r="150">
      <c r="A150" s="70" t="inlineStr">
        <is>
          <t>Руководитель отдела продаж / менеджер по продажам</t>
        </is>
      </c>
      <c r="B150" s="71" t="inlineStr">
        <is>
          <t>Жосан Евгений</t>
        </is>
      </c>
      <c r="C150" s="50" t="n">
        <v>230000</v>
      </c>
      <c r="D150" s="72" t="inlineStr">
        <is>
          <t>Нет</t>
        </is>
      </c>
      <c r="E150" s="32" t="n"/>
    </row>
    <row r="151">
      <c r="A151" s="26" t="inlineStr">
        <is>
          <t>ФОТ ядра gross — база</t>
        </is>
      </c>
      <c r="B151" s="60">
        <f>SUM(C138:C150)</f>
        <v/>
      </c>
      <c r="D151" s="32" t="inlineStr">
        <is>
          <t>Расчёт</t>
        </is>
      </c>
    </row>
    <row r="152">
      <c r="A152" s="26" t="inlineStr">
        <is>
          <t>База gross для квартальной премии</t>
        </is>
      </c>
      <c r="B152" s="60">
        <f>SUMIF(D138:D150,"Да",C138:C150)</f>
        <v/>
      </c>
      <c r="D152" s="32" t="inlineStr">
        <is>
          <t>Расчёт</t>
        </is>
      </c>
    </row>
    <row r="153"/>
    <row r="154" ht="20" customHeight="1">
      <c r="A154" s="29" t="inlineStr">
        <is>
          <t>8. Налоги</t>
        </is>
      </c>
    </row>
    <row r="155">
      <c r="A155" s="30" t="inlineStr">
        <is>
          <t>Параметр</t>
        </is>
      </c>
      <c r="B155" s="30" t="inlineStr">
        <is>
          <t>Значение</t>
        </is>
      </c>
      <c r="C155" s="30" t="inlineStr">
        <is>
          <t>Ед.</t>
        </is>
      </c>
      <c r="D155" s="30" t="inlineStr">
        <is>
          <t>Статус / источник</t>
        </is>
      </c>
      <c r="E155" s="30" t="inlineStr">
        <is>
          <t>Комментарий</t>
        </is>
      </c>
    </row>
    <row r="156">
      <c r="A156" s="26" t="inlineStr">
        <is>
          <t>УСН доходы-расходы</t>
        </is>
      </c>
      <c r="B156" s="39" t="n">
        <v>0.15</v>
      </c>
      <c r="C156" s="32" t="inlineStr">
        <is>
          <t>% прибыли</t>
        </is>
      </c>
      <c r="D156" s="32" t="inlineStr">
        <is>
          <t>Временно</t>
        </is>
      </c>
      <c r="E156" s="33" t="inlineStr">
        <is>
          <t>Помесячно; подтвердить</t>
        </is>
      </c>
    </row>
    <row r="157">
      <c r="A157" s="26" t="inlineStr">
        <is>
          <t>Минимальный УСН</t>
        </is>
      </c>
      <c r="B157" s="39" t="n">
        <v>0.01</v>
      </c>
      <c r="C157" s="32" t="inlineStr">
        <is>
          <t>% дохода</t>
        </is>
      </c>
      <c r="D157" s="32" t="inlineStr">
        <is>
          <t>Временно</t>
        </is>
      </c>
      <c r="E157" s="33" t="inlineStr">
        <is>
          <t>Помесячно; подтвердить</t>
        </is>
      </c>
    </row>
    <row r="158"/>
    <row r="159" ht="20" customHeight="1">
      <c r="A159" s="29" t="inlineStr">
        <is>
          <t>9. Лагеря</t>
        </is>
      </c>
    </row>
    <row r="160">
      <c r="A160" s="30" t="inlineStr">
        <is>
          <t>Параметр</t>
        </is>
      </c>
      <c r="B160" s="30" t="inlineStr">
        <is>
          <t>Значение</t>
        </is>
      </c>
      <c r="C160" s="30" t="inlineStr">
        <is>
          <t>Ед.</t>
        </is>
      </c>
      <c r="D160" s="30" t="inlineStr">
        <is>
          <t>Статус / источник</t>
        </is>
      </c>
      <c r="E160" s="30" t="inlineStr">
        <is>
          <t>Комментарий</t>
        </is>
      </c>
    </row>
    <row r="161">
      <c r="A161" s="26" t="inlineStr">
        <is>
          <t>Лагеря — смен в июне</t>
        </is>
      </c>
      <c r="B161" s="73" t="n">
        <v>2</v>
      </c>
      <c r="C161" s="32" t="inlineStr">
        <is>
          <t>шт.</t>
        </is>
      </c>
      <c r="D161" s="32" t="inlineStr">
        <is>
          <t>ТЗ 9</t>
        </is>
      </c>
      <c r="E161" s="33" t="n"/>
    </row>
    <row r="162">
      <c r="A162" s="26" t="inlineStr">
        <is>
          <t>Лагеря — участников без проживания / смена</t>
        </is>
      </c>
      <c r="B162" s="73" t="n">
        <v>50</v>
      </c>
      <c r="C162" s="32" t="inlineStr">
        <is>
          <t>чел.</t>
        </is>
      </c>
      <c r="D162" s="32" t="inlineStr">
        <is>
          <t>Лагеря Спартак Будущее</t>
        </is>
      </c>
      <c r="E162" s="33" t="n"/>
    </row>
    <row r="163">
      <c r="A163" s="26" t="inlineStr">
        <is>
          <t>Лагеря — участников с проживанием / смена</t>
        </is>
      </c>
      <c r="B163" s="73" t="n">
        <v>50</v>
      </c>
      <c r="C163" s="32" t="inlineStr">
        <is>
          <t>чел.</t>
        </is>
      </c>
      <c r="D163" s="32" t="inlineStr">
        <is>
          <t>Лагеря Спартак Будущее</t>
        </is>
      </c>
      <c r="E163" s="33" t="n"/>
    </row>
    <row r="164">
      <c r="A164" s="26" t="inlineStr">
        <is>
          <t>Лагеря — цена без проживания</t>
        </is>
      </c>
      <c r="B164" s="50" t="n">
        <v>80000</v>
      </c>
      <c r="C164" s="32" t="inlineStr">
        <is>
          <t>₽</t>
        </is>
      </c>
      <c r="D164" s="32" t="inlineStr">
        <is>
          <t>Лагеря Спартак Будущее</t>
        </is>
      </c>
      <c r="E164" s="33" t="n"/>
    </row>
    <row r="165">
      <c r="A165" s="26" t="inlineStr">
        <is>
          <t>Лагеря — цена с проживанием</t>
        </is>
      </c>
      <c r="B165" s="50" t="n">
        <v>120000</v>
      </c>
      <c r="C165" s="32" t="inlineStr">
        <is>
          <t>₽</t>
        </is>
      </c>
      <c r="D165" s="32" t="inlineStr">
        <is>
          <t>Лагеря Спартак Будущее</t>
        </is>
      </c>
      <c r="E165" s="33" t="n"/>
    </row>
    <row r="166">
      <c r="A166" s="26" t="inlineStr">
        <is>
          <t>Лагеря — оборот / смена</t>
        </is>
      </c>
      <c r="B166" s="57">
        <f>B162*B164+B163*B165</f>
        <v/>
      </c>
      <c r="C166" s="32" t="inlineStr">
        <is>
          <t>₽</t>
        </is>
      </c>
      <c r="D166" s="32" t="inlineStr">
        <is>
          <t>Лагеря Спартак Будущее</t>
        </is>
      </c>
      <c r="E166" s="33" t="n"/>
    </row>
    <row r="167">
      <c r="A167" s="26" t="inlineStr">
        <is>
          <t>Лагеря — расходы / смена</t>
        </is>
      </c>
      <c r="B167" s="50" t="n">
        <v>5386000</v>
      </c>
      <c r="C167" s="32" t="inlineStr">
        <is>
          <t>₽</t>
        </is>
      </c>
      <c r="D167" s="32" t="inlineStr">
        <is>
          <t>Лагеря Спартак Будущее</t>
        </is>
      </c>
      <c r="E167" s="33" t="n"/>
    </row>
    <row r="168">
      <c r="A168" s="26" t="inlineStr">
        <is>
          <t>Лагеря — НДС</t>
        </is>
      </c>
      <c r="B168" s="74">
        <f>B240</f>
        <v/>
      </c>
      <c r="C168" s="32" t="inlineStr">
        <is>
          <t>%</t>
        </is>
      </c>
      <c r="D168" s="32" t="inlineStr">
        <is>
          <t>Лагеря Спартак Будущее</t>
        </is>
      </c>
      <c r="E168" s="33" t="inlineStr">
        <is>
          <t>Временный резерв 10% от оборота из исходника, не проверенная методика НДС.</t>
        </is>
      </c>
    </row>
    <row r="169">
      <c r="A169" s="26" t="inlineStr">
        <is>
          <t>Лагеря — доля партнёра-продавца</t>
        </is>
      </c>
      <c r="B169" s="38" t="n">
        <v>0.125</v>
      </c>
      <c r="C169" s="32" t="inlineStr">
        <is>
          <t>%</t>
        </is>
      </c>
      <c r="D169" s="32" t="inlineStr">
        <is>
          <t>Лагеря Спартак Будущее</t>
        </is>
      </c>
      <c r="E169" s="33" t="n"/>
    </row>
    <row r="170">
      <c r="A170" s="26" t="inlineStr">
        <is>
          <t>Лагеря — проживание / смена</t>
        </is>
      </c>
      <c r="B170" s="50" t="n">
        <v>700000</v>
      </c>
      <c r="C170" s="32" t="inlineStr">
        <is>
          <t>₽</t>
        </is>
      </c>
      <c r="D170" s="32" t="inlineStr">
        <is>
          <t>Лагеря Спартак Будущее</t>
        </is>
      </c>
      <c r="E170" s="33" t="n"/>
    </row>
    <row r="171">
      <c r="A171" s="26" t="inlineStr">
        <is>
          <t>Лагеря — аванс клиента</t>
        </is>
      </c>
      <c r="B171" s="38" t="n">
        <v>0.4</v>
      </c>
      <c r="C171" s="32" t="inlineStr">
        <is>
          <t>%</t>
        </is>
      </c>
      <c r="D171" s="32" t="inlineStr">
        <is>
          <t>ТЗ 9</t>
        </is>
      </c>
      <c r="E171" s="33" t="n"/>
    </row>
    <row r="172">
      <c r="A172" s="26" t="inlineStr">
        <is>
          <t>Лагеря — финальная оплата клиента</t>
        </is>
      </c>
      <c r="B172" s="38" t="n">
        <v>0.6</v>
      </c>
      <c r="C172" s="32" t="inlineStr">
        <is>
          <t>%</t>
        </is>
      </c>
      <c r="D172" s="32" t="inlineStr">
        <is>
          <t>ТЗ 9</t>
        </is>
      </c>
      <c r="E172" s="33" t="n"/>
    </row>
    <row r="173">
      <c r="A173" s="26" t="inlineStr">
        <is>
          <t>Лагеря — месяц финальной оплаты клиента</t>
        </is>
      </c>
      <c r="B173" s="62" t="n">
        <v>5</v>
      </c>
      <c r="C173" s="32" t="inlineStr">
        <is>
          <t>номер месяца</t>
        </is>
      </c>
      <c r="D173" s="32" t="inlineStr">
        <is>
          <t>Рабочее</t>
        </is>
      </c>
      <c r="E173" s="33" t="inlineStr">
        <is>
          <t>Пока май; уточнить</t>
        </is>
      </c>
    </row>
    <row r="174">
      <c r="A174" s="26" t="inlineStr">
        <is>
          <t>Лагеря — первая оплата проживания</t>
        </is>
      </c>
      <c r="B174" s="38" t="n">
        <v>0.4</v>
      </c>
      <c r="C174" s="32" t="inlineStr">
        <is>
          <t>%</t>
        </is>
      </c>
      <c r="D174" s="32" t="inlineStr">
        <is>
          <t>ТЗ 9</t>
        </is>
      </c>
      <c r="E174" s="33" t="n"/>
    </row>
    <row r="175">
      <c r="A175" s="26" t="inlineStr">
        <is>
          <t>Лагеря — месяц первой оплаты проживания</t>
        </is>
      </c>
      <c r="B175" s="51" t="n">
        <v>3</v>
      </c>
      <c r="C175" s="32" t="inlineStr">
        <is>
          <t>номер месяца</t>
        </is>
      </c>
      <c r="D175" s="32" t="inlineStr">
        <is>
          <t>ТЗ 9</t>
        </is>
      </c>
      <c r="E175" s="33" t="inlineStr">
        <is>
          <t>Март</t>
        </is>
      </c>
    </row>
    <row r="176">
      <c r="A176" s="26" t="inlineStr">
        <is>
          <t>Лагеря — вторая оплата проживания</t>
        </is>
      </c>
      <c r="B176" s="38" t="n">
        <v>0.6</v>
      </c>
      <c r="C176" s="32" t="inlineStr">
        <is>
          <t>%</t>
        </is>
      </c>
      <c r="D176" s="32" t="inlineStr">
        <is>
          <t>ТЗ 9</t>
        </is>
      </c>
      <c r="E176" s="33" t="n"/>
    </row>
    <row r="177">
      <c r="A177" s="26" t="inlineStr">
        <is>
          <t>Лагеря — месяц второй оплаты проживания</t>
        </is>
      </c>
      <c r="B177" s="51" t="n">
        <v>5</v>
      </c>
      <c r="C177" s="32" t="inlineStr">
        <is>
          <t>номер месяца</t>
        </is>
      </c>
      <c r="D177" s="32" t="inlineStr">
        <is>
          <t>Подтверждено</t>
        </is>
      </c>
      <c r="E177" s="33" t="inlineStr">
        <is>
          <t>За месяц до июня = май</t>
        </is>
      </c>
    </row>
    <row r="178"/>
    <row r="179" ht="20" customHeight="1">
      <c r="A179" s="29" t="inlineStr">
        <is>
          <t>10. История сезона 2025/26 — ввод факта и режим сравнения</t>
        </is>
      </c>
    </row>
    <row r="180">
      <c r="A180" s="30" t="inlineStr">
        <is>
          <t>Показатель</t>
        </is>
      </c>
      <c r="B180" s="75" t="n">
        <v>45901</v>
      </c>
      <c r="C180" s="75" t="n">
        <v>45931</v>
      </c>
      <c r="D180" s="75" t="n">
        <v>45962</v>
      </c>
      <c r="E180" s="75" t="n">
        <v>45992</v>
      </c>
      <c r="F180" s="75" t="n">
        <v>46023</v>
      </c>
      <c r="G180" s="75" t="n">
        <v>46054</v>
      </c>
      <c r="H180" s="75" t="n">
        <v>46082</v>
      </c>
      <c r="I180" s="75" t="n">
        <v>46113</v>
      </c>
      <c r="J180" s="75" t="n">
        <v>46143</v>
      </c>
      <c r="K180" s="75" t="n">
        <v>46174</v>
      </c>
      <c r="L180" s="75" t="n">
        <v>46204</v>
      </c>
      <c r="M180" s="75" t="n">
        <v>46235</v>
      </c>
      <c r="N180" s="30" t="inlineStr">
        <is>
          <t>Итого доступно</t>
        </is>
      </c>
    </row>
    <row r="181">
      <c r="A181" s="26" t="inlineStr">
        <is>
          <t>Выручка</t>
        </is>
      </c>
      <c r="B181" s="50" t="n">
        <v>0</v>
      </c>
      <c r="C181" s="50" t="n">
        <v>0</v>
      </c>
      <c r="D181" s="50" t="n">
        <v>1888930</v>
      </c>
      <c r="E181" s="50" t="n">
        <v>3136245</v>
      </c>
      <c r="F181" s="50" t="n">
        <v>3278551</v>
      </c>
      <c r="G181" s="50" t="n">
        <v>3661176</v>
      </c>
      <c r="H181" s="50" t="n">
        <v>2746157</v>
      </c>
      <c r="I181" s="50" t="n">
        <v>2794345</v>
      </c>
      <c r="J181" s="50" t="n">
        <v>2057327</v>
      </c>
      <c r="K181" s="50" t="n">
        <v>3743057</v>
      </c>
      <c r="L181" s="76" t="n">
        <v>3136928</v>
      </c>
      <c r="M181" s="76" t="n"/>
      <c r="N181" s="60">
        <f>SUM(B181:M181)</f>
        <v/>
      </c>
    </row>
    <row r="182">
      <c r="A182" s="26" t="inlineStr">
        <is>
          <t>Себестоимость</t>
        </is>
      </c>
      <c r="B182" s="50" t="n">
        <v>0</v>
      </c>
      <c r="C182" s="50" t="n">
        <v>0</v>
      </c>
      <c r="D182" s="50" t="n">
        <v>353026</v>
      </c>
      <c r="E182" s="50" t="n">
        <v>147883</v>
      </c>
      <c r="F182" s="50" t="n">
        <v>42910</v>
      </c>
      <c r="G182" s="50" t="n">
        <v>926633</v>
      </c>
      <c r="H182" s="50" t="n">
        <v>64493</v>
      </c>
      <c r="I182" s="50" t="n">
        <v>86054</v>
      </c>
      <c r="J182" s="50" t="n">
        <v>139894</v>
      </c>
      <c r="K182" s="50" t="n">
        <v>735974</v>
      </c>
      <c r="L182" s="76" t="n">
        <v>44505</v>
      </c>
      <c r="M182" s="76" t="n"/>
      <c r="N182" s="60">
        <f>SUM(B182:M182)</f>
        <v/>
      </c>
    </row>
    <row r="183">
      <c r="A183" s="26" t="inlineStr">
        <is>
          <t>Коммерческие расходы</t>
        </is>
      </c>
      <c r="B183" s="50" t="n">
        <v>0</v>
      </c>
      <c r="C183" s="50" t="n">
        <v>0</v>
      </c>
      <c r="D183" s="50" t="n">
        <v>245843</v>
      </c>
      <c r="E183" s="50" t="n">
        <v>337456</v>
      </c>
      <c r="F183" s="50" t="n">
        <v>332724</v>
      </c>
      <c r="G183" s="50" t="n">
        <v>409047</v>
      </c>
      <c r="H183" s="50" t="n">
        <v>278193</v>
      </c>
      <c r="I183" s="50" t="n">
        <v>286891</v>
      </c>
      <c r="J183" s="50" t="n">
        <v>216975</v>
      </c>
      <c r="K183" s="50" t="n">
        <v>439440</v>
      </c>
      <c r="L183" s="76" t="n">
        <v>314803</v>
      </c>
      <c r="M183" s="76" t="n"/>
      <c r="N183" s="60">
        <f>SUM(B183:M183)</f>
        <v/>
      </c>
    </row>
    <row r="184">
      <c r="A184" s="26" t="inlineStr">
        <is>
          <t>Административные расходы</t>
        </is>
      </c>
      <c r="B184" s="50" t="n">
        <v>2598460</v>
      </c>
      <c r="C184" s="50" t="n">
        <v>3269784</v>
      </c>
      <c r="D184" s="50" t="n">
        <v>3874093</v>
      </c>
      <c r="E184" s="50" t="n">
        <v>4712565</v>
      </c>
      <c r="F184" s="50" t="n">
        <v>3454218</v>
      </c>
      <c r="G184" s="50" t="n">
        <v>4059308</v>
      </c>
      <c r="H184" s="50" t="n">
        <v>3795422</v>
      </c>
      <c r="I184" s="50" t="n">
        <v>4013301</v>
      </c>
      <c r="J184" s="50" t="n">
        <v>4510410</v>
      </c>
      <c r="K184" s="50" t="n">
        <v>4997909</v>
      </c>
      <c r="L184" s="76" t="n">
        <v>5348614</v>
      </c>
      <c r="M184" s="76" t="n"/>
      <c r="N184" s="60">
        <f>SUM(B184:M184)</f>
        <v/>
      </c>
    </row>
    <row r="185">
      <c r="A185" s="26" t="inlineStr">
        <is>
          <t>Прочие расходы</t>
        </is>
      </c>
      <c r="B185" s="50" t="n">
        <v>9335</v>
      </c>
      <c r="C185" s="50" t="n">
        <v>32927</v>
      </c>
      <c r="D185" s="50" t="n">
        <v>5574</v>
      </c>
      <c r="E185" s="50" t="n">
        <v>7214</v>
      </c>
      <c r="F185" s="50" t="n">
        <v>3595</v>
      </c>
      <c r="G185" s="50" t="n">
        <v>4123</v>
      </c>
      <c r="H185" s="50" t="n">
        <v>6990</v>
      </c>
      <c r="I185" s="50" t="n">
        <v>4957</v>
      </c>
      <c r="J185" s="50" t="n">
        <v>3243</v>
      </c>
      <c r="K185" s="50" t="n">
        <v>6449</v>
      </c>
      <c r="L185" s="76" t="n">
        <v>5010</v>
      </c>
      <c r="M185" s="76" t="n"/>
      <c r="N185" s="60">
        <f>SUM(B185:M185)</f>
        <v/>
      </c>
    </row>
    <row r="186">
      <c r="A186" s="26" t="inlineStr">
        <is>
          <t>EBITDA</t>
        </is>
      </c>
      <c r="B186" s="50" t="n">
        <v>-2607796</v>
      </c>
      <c r="C186" s="50" t="n">
        <v>-3302710</v>
      </c>
      <c r="D186" s="50" t="n">
        <v>-2589607</v>
      </c>
      <c r="E186" s="50" t="n">
        <v>-2068872</v>
      </c>
      <c r="F186" s="50" t="n">
        <v>-554897</v>
      </c>
      <c r="G186" s="50" t="n">
        <v>-1737936</v>
      </c>
      <c r="H186" s="50" t="n">
        <v>-1398942</v>
      </c>
      <c r="I186" s="50" t="n">
        <v>-1596856</v>
      </c>
      <c r="J186" s="50" t="n">
        <v>-2813195</v>
      </c>
      <c r="K186" s="50" t="n">
        <v>-2436714</v>
      </c>
      <c r="L186" s="76" t="n">
        <v>-2576003</v>
      </c>
      <c r="M186" s="76" t="n"/>
      <c r="N186" s="60">
        <f>SUM(B186:M186)</f>
        <v/>
      </c>
    </row>
    <row r="187">
      <c r="A187" s="26" t="inlineStr">
        <is>
          <t>Чистый денежный поток</t>
        </is>
      </c>
      <c r="B187" s="76" t="n"/>
      <c r="C187" s="76" t="n"/>
      <c r="D187" s="76" t="n"/>
      <c r="E187" s="76" t="n"/>
      <c r="F187" s="50" t="n">
        <v>40198</v>
      </c>
      <c r="G187" s="50" t="n">
        <v>2070755</v>
      </c>
      <c r="H187" s="50" t="n">
        <v>-1429475</v>
      </c>
      <c r="I187" s="50" t="n">
        <v>61645</v>
      </c>
      <c r="J187" s="50" t="n">
        <v>-517789</v>
      </c>
      <c r="K187" s="50" t="n">
        <v>-345792</v>
      </c>
      <c r="L187" s="50" t="n">
        <v>6862</v>
      </c>
      <c r="M187" s="76" t="n"/>
      <c r="N187" s="60">
        <f>SUM(B187:M187)</f>
        <v/>
      </c>
    </row>
    <row r="188">
      <c r="A188" s="26" t="inlineStr">
        <is>
          <t>Режим просмотра результата на дашборде</t>
        </is>
      </c>
      <c r="B188" s="77" t="inlineStr">
        <is>
          <t>Без истории</t>
        </is>
      </c>
      <c r="C188" s="76" t="inlineStr">
        <is>
          <t>режим</t>
        </is>
      </c>
      <c r="D188" s="76" t="inlineStr">
        <is>
          <t>Управленческий переключатель</t>
        </is>
      </c>
      <c r="E188" s="76" t="inlineStr">
        <is>
          <t>Без истории = только прогноз с 01.09.2026; С историей = доступный факт 25/26 + прогноз. Август 2026 пока не заполнен.</t>
        </is>
      </c>
    </row>
    <row r="189"/>
    <row r="190" ht="28" customHeight="1">
      <c r="A190" s="78" t="inlineStr">
        <is>
          <t>11. Сценарии и чувствительность</t>
        </is>
      </c>
    </row>
    <row r="191" ht="38" customHeight="1">
      <c r="A191" s="79" t="inlineStr">
        <is>
          <t>Предварительные сценарные коэффициенты. Базовый сценарий использует исходные параметры ниже; коэффициент 1,00x означает отсутствие изменения.</t>
        </is>
      </c>
    </row>
    <row r="192">
      <c r="A192" s="80" t="inlineStr">
        <is>
          <t>Активный сценарий</t>
        </is>
      </c>
      <c r="B192" s="77" t="inlineStr">
        <is>
          <t>Базовый</t>
        </is>
      </c>
      <c r="D192" s="81" t="inlineStr">
        <is>
          <t>03_Сценарии</t>
        </is>
      </c>
      <c r="E192" s="81" t="inlineStr">
        <is>
          <t>12_Чувствительность</t>
        </is>
      </c>
    </row>
    <row r="193"/>
    <row r="194">
      <c r="A194" s="79" t="inlineStr">
        <is>
          <t>Номер сценария</t>
        </is>
      </c>
      <c r="B194" s="82">
        <f>IF(B192=C197,1,IF(B192=D197,2,3))</f>
        <v/>
      </c>
    </row>
    <row r="195" ht="38" customHeight="1">
      <c r="A195" s="79" t="inlineStr">
        <is>
          <t>Выбор B192 пересчитывает дашборд и основную модель. Сравнение трех сценариев и чувствительность рассчитываются отдельно от этого выбора.</t>
        </is>
      </c>
    </row>
    <row r="196"/>
    <row r="197" ht="36" customHeight="1">
      <c r="A197" s="83" t="inlineStr">
        <is>
          <t>Драйвер</t>
        </is>
      </c>
      <c r="B197" s="83" t="inlineStr">
        <is>
          <t>Ед.</t>
        </is>
      </c>
      <c r="C197" s="83" t="inlineStr">
        <is>
          <t>Негативный</t>
        </is>
      </c>
      <c r="D197" s="83" t="inlineStr">
        <is>
          <t>Базовый</t>
        </is>
      </c>
      <c r="E197" s="83" t="inlineStr">
        <is>
          <t>Позитивный</t>
        </is>
      </c>
      <c r="F197" s="83" t="inlineStr">
        <is>
          <t>В расчете</t>
        </is>
      </c>
      <c r="G197" s="83" t="inlineStr">
        <is>
          <t>Шаг ±</t>
        </is>
      </c>
    </row>
    <row r="198" ht="32" customHeight="1">
      <c r="A198" s="79" t="inlineStr">
        <is>
          <t>План продаж франшиз</t>
        </is>
      </c>
      <c r="B198" s="79" t="inlineStr">
        <is>
          <t>× база</t>
        </is>
      </c>
      <c r="C198" s="84" t="n">
        <v>0.8</v>
      </c>
      <c r="D198" s="85" t="n">
        <v>1</v>
      </c>
      <c r="E198" s="84" t="n">
        <v>1.2</v>
      </c>
      <c r="F198" s="86">
        <f>INDEX(C198:E198,1,$B$194)</f>
        <v/>
      </c>
      <c r="G198" s="87" t="n">
        <v>0.1</v>
      </c>
    </row>
    <row r="199" ht="32" customHeight="1">
      <c r="A199" s="79" t="inlineStr">
        <is>
          <t>Дети новых школ</t>
        </is>
      </c>
      <c r="B199" s="79" t="inlineStr">
        <is>
          <t>× база</t>
        </is>
      </c>
      <c r="C199" s="84" t="n">
        <v>0.9</v>
      </c>
      <c r="D199" s="85" t="n">
        <v>1</v>
      </c>
      <c r="E199" s="84" t="n">
        <v>1.1</v>
      </c>
      <c r="F199" s="86">
        <f>INDEX(C199:E199,1,$B$194)</f>
        <v/>
      </c>
      <c r="G199" s="87" t="n">
        <v>0.1</v>
      </c>
    </row>
    <row r="200" ht="32" customHeight="1">
      <c r="A200" s="79" t="inlineStr">
        <is>
          <t>Цена абонемента</t>
        </is>
      </c>
      <c r="B200" s="79" t="inlineStr">
        <is>
          <t>× база</t>
        </is>
      </c>
      <c r="C200" s="84" t="n">
        <v>0.95</v>
      </c>
      <c r="D200" s="85" t="n">
        <v>1</v>
      </c>
      <c r="E200" s="84" t="n">
        <v>1.05</v>
      </c>
      <c r="F200" s="86">
        <f>INDEX(C200:E200,1,$B$194)</f>
        <v/>
      </c>
      <c r="G200" s="87" t="n">
        <v>0.1</v>
      </c>
    </row>
    <row r="201" ht="32" customHeight="1">
      <c r="A201" s="79" t="inlineStr">
        <is>
          <t>Мерч на ребенка</t>
        </is>
      </c>
      <c r="B201" s="79" t="inlineStr">
        <is>
          <t>× база</t>
        </is>
      </c>
      <c r="C201" s="84" t="n">
        <v>0.9</v>
      </c>
      <c r="D201" s="85" t="n">
        <v>1</v>
      </c>
      <c r="E201" s="84" t="n">
        <v>1.1</v>
      </c>
      <c r="F201" s="86">
        <f>INDEX(C201:E201,1,$B$194)</f>
        <v/>
      </c>
      <c r="G201" s="87" t="n">
        <v>0.1</v>
      </c>
    </row>
    <row r="202" ht="32" customHeight="1">
      <c r="A202" s="79" t="inlineStr">
        <is>
          <t>Таргет на продажу</t>
        </is>
      </c>
      <c r="B202" s="79" t="inlineStr">
        <is>
          <t>× база</t>
        </is>
      </c>
      <c r="C202" s="84" t="n">
        <v>1.2</v>
      </c>
      <c r="D202" s="85" t="n">
        <v>1</v>
      </c>
      <c r="E202" s="84" t="n">
        <v>0.8</v>
      </c>
      <c r="F202" s="86">
        <f>INDEX(C202:E202,1,$B$194)</f>
        <v/>
      </c>
      <c r="G202" s="87" t="n">
        <v>0.1</v>
      </c>
    </row>
    <row r="203" ht="32" customHeight="1">
      <c r="A203" s="79" t="inlineStr">
        <is>
          <t>Срок получения роялти</t>
        </is>
      </c>
      <c r="B203" s="79" t="inlineStr">
        <is>
          <t>× база</t>
        </is>
      </c>
      <c r="C203" s="84" t="n">
        <v>2</v>
      </c>
      <c r="D203" s="85" t="n">
        <v>1</v>
      </c>
      <c r="E203" s="84" t="n">
        <v>0.5</v>
      </c>
      <c r="F203" s="86">
        <f>INDEX(C203:E203,1,$B$194)</f>
        <v/>
      </c>
      <c r="G203" s="87" t="n">
        <v>0.1</v>
      </c>
    </row>
    <row r="204"/>
    <row r="205" ht="38" customHeight="1">
      <c r="A205" s="79" t="inlineStr">
        <is>
          <t>Чувствительность: меняется только один драйвер на ±шаг G198:G203; все остальные вводные остаются базовыми. Эффекты не слагать.</t>
        </is>
      </c>
    </row>
    <row r="206" ht="38" customHeight="1">
      <c r="A206" s="79" t="inlineStr">
        <is>
          <t>Стартовые 5 200 детей, рост 10%, ставки роялти, налоги и лагеря сценариями не меняются. Мерч сентября-декабря 2026 остается по согласованному плану.</t>
        </is>
      </c>
    </row>
    <row r="207" ht="38" customHeight="1">
      <c r="A207" s="79" t="inlineStr">
        <is>
          <t>Дебиторка распределяется между текущим и следующим месяцем. Диапазон 0–30 дней; большие сроки требуют расширения расчёта БДДС.</t>
        </is>
      </c>
    </row>
    <row r="208"/>
    <row r="209" ht="28" customHeight="1">
      <c r="A209" s="88" t="inlineStr">
        <is>
          <t>Базовые значения сценарных параметров</t>
        </is>
      </c>
    </row>
    <row r="210" ht="28" customHeight="1">
      <c r="A210" s="79" t="inlineStr">
        <is>
          <t>План продаж: сезон 1</t>
        </is>
      </c>
      <c r="B210" s="89" t="n">
        <v>66</v>
      </c>
      <c r="C210" s="79" t="inlineStr">
        <is>
          <t>01_Вводные!B36</t>
        </is>
      </c>
      <c r="D210" s="79" t="inlineStr">
        <is>
          <t>База V8</t>
        </is>
      </c>
    </row>
    <row r="211" ht="28" customHeight="1">
      <c r="A211" s="79" t="inlineStr">
        <is>
          <t>План продаж: сезон 2</t>
        </is>
      </c>
      <c r="B211" s="89" t="n">
        <v>72</v>
      </c>
      <c r="C211" s="79" t="inlineStr">
        <is>
          <t>01_Вводные!B37</t>
        </is>
      </c>
      <c r="D211" s="79" t="inlineStr">
        <is>
          <t>База V8</t>
        </is>
      </c>
    </row>
    <row r="212" ht="28" customHeight="1">
      <c r="A212" s="79" t="inlineStr">
        <is>
          <t>План продаж: сезон 3</t>
        </is>
      </c>
      <c r="B212" s="89" t="n">
        <v>72</v>
      </c>
      <c r="C212" s="79" t="inlineStr">
        <is>
          <t>01_Вводные!B38</t>
        </is>
      </c>
      <c r="D212" s="79" t="inlineStr">
        <is>
          <t>База V8</t>
        </is>
      </c>
    </row>
    <row r="213" ht="28" customHeight="1">
      <c r="A213" s="79" t="inlineStr">
        <is>
          <t>План продаж: сезон 4</t>
        </is>
      </c>
      <c r="B213" s="89" t="n">
        <v>60</v>
      </c>
      <c r="C213" s="79" t="inlineStr">
        <is>
          <t>01_Вводные!B39</t>
        </is>
      </c>
      <c r="D213" s="79" t="inlineStr">
        <is>
          <t>База V8</t>
        </is>
      </c>
    </row>
    <row r="214" ht="28" customHeight="1">
      <c r="A214" s="79" t="inlineStr">
        <is>
          <t>План продаж: сезон 5</t>
        </is>
      </c>
      <c r="B214" s="89" t="n">
        <v>50</v>
      </c>
      <c r="C214" s="79" t="inlineStr">
        <is>
          <t>01_Вводные!B40</t>
        </is>
      </c>
      <c r="D214" s="79" t="inlineStr">
        <is>
          <t>База V8</t>
        </is>
      </c>
    </row>
    <row r="215" ht="28" customHeight="1">
      <c r="A215" s="90" t="inlineStr">
        <is>
          <t>Мощность новой школы: 12-й месяц</t>
        </is>
      </c>
      <c r="B215" s="55">
        <f>SUMPRODUCT($C$263:$C$282,$E$263:$E$282)/$C$283</f>
        <v/>
      </c>
      <c r="C215" s="79" t="inlineStr">
        <is>
          <t>01_Вводные!B46</t>
        </is>
      </c>
      <c r="D215" s="79" t="inlineStr">
        <is>
          <t>База V8</t>
        </is>
      </c>
      <c r="G215" s="45" t="inlineStr">
        <is>
          <t>← формула; база: E263:E282</t>
        </is>
      </c>
    </row>
    <row r="216" ht="28" customHeight="1">
      <c r="A216" s="90" t="inlineStr">
        <is>
          <t>Мощность новой школы: 24-й месяц</t>
        </is>
      </c>
      <c r="B216" s="55">
        <f>SUMPRODUCT($C$263:$C$282,$F$263:$F$282)/$C$283</f>
        <v/>
      </c>
      <c r="C216" s="79" t="inlineStr">
        <is>
          <t>01_Вводные!B47</t>
        </is>
      </c>
      <c r="D216" s="79" t="inlineStr">
        <is>
          <t>База V8</t>
        </is>
      </c>
      <c r="G216" s="45" t="inlineStr">
        <is>
          <t>← формула; база: F263:F282</t>
        </is>
      </c>
    </row>
    <row r="217" ht="28" customHeight="1">
      <c r="A217" s="79" t="inlineStr">
        <is>
          <t>Абонемент действующей сети</t>
        </is>
      </c>
      <c r="B217" s="89" t="n">
        <v>6000</v>
      </c>
      <c r="C217" s="79" t="inlineStr">
        <is>
          <t>01_Вводные!B51</t>
        </is>
      </c>
      <c r="D217" s="79" t="inlineStr">
        <is>
          <t>База V8</t>
        </is>
      </c>
    </row>
    <row r="218" ht="28" customHeight="1">
      <c r="A218" s="79" t="inlineStr">
        <is>
          <t>Абонемент новых школ: сезон 1</t>
        </is>
      </c>
      <c r="B218" s="49">
        <f>SUMPRODUCT($C$263:$C$282,$H$263:$H$282)/$C$283</f>
        <v/>
      </c>
      <c r="C218" s="79" t="inlineStr">
        <is>
          <t>01_Вводные!C63</t>
        </is>
      </c>
      <c r="D218" s="79" t="inlineStr">
        <is>
          <t>База V8</t>
        </is>
      </c>
      <c r="G218" s="45" t="inlineStr">
        <is>
          <t>← формула; база: H263:H282</t>
        </is>
      </c>
    </row>
    <row r="219" ht="28" customHeight="1">
      <c r="A219" s="79" t="inlineStr">
        <is>
          <t>Абонемент новых школ: сезон 2</t>
        </is>
      </c>
      <c r="B219" s="49">
        <f>SUMPRODUCT($C$263:$C$282,$H$263:$H$282)/$C$283</f>
        <v/>
      </c>
      <c r="C219" s="79" t="inlineStr">
        <is>
          <t>01_Вводные!C64</t>
        </is>
      </c>
      <c r="D219" s="79" t="inlineStr">
        <is>
          <t>База V8</t>
        </is>
      </c>
      <c r="G219" s="45" t="inlineStr">
        <is>
          <t>← формула; база: H263:H282</t>
        </is>
      </c>
    </row>
    <row r="220" ht="28" customHeight="1">
      <c r="A220" s="79" t="inlineStr">
        <is>
          <t>Абонемент новых школ: сезон 3</t>
        </is>
      </c>
      <c r="B220" s="49">
        <f>SUMPRODUCT($C$263:$C$282,$H$263:$H$282)/$C$283</f>
        <v/>
      </c>
      <c r="C220" s="79" t="inlineStr">
        <is>
          <t>01_Вводные!C65</t>
        </is>
      </c>
      <c r="D220" s="79" t="inlineStr">
        <is>
          <t>База V8</t>
        </is>
      </c>
      <c r="G220" s="45" t="inlineStr">
        <is>
          <t>← формула; база: H263:H282</t>
        </is>
      </c>
    </row>
    <row r="221" ht="28" customHeight="1">
      <c r="A221" s="79" t="inlineStr">
        <is>
          <t>Абонемент новых школ: сезон 4</t>
        </is>
      </c>
      <c r="B221" s="49">
        <f>SUMPRODUCT($C$263:$C$282,$H$263:$H$282)/$C$283</f>
        <v/>
      </c>
      <c r="C221" s="79" t="inlineStr">
        <is>
          <t>01_Вводные!C66</t>
        </is>
      </c>
      <c r="D221" s="79" t="inlineStr">
        <is>
          <t>База V8</t>
        </is>
      </c>
      <c r="G221" s="45" t="inlineStr">
        <is>
          <t>← формула; база: H263:H282</t>
        </is>
      </c>
    </row>
    <row r="222" ht="28" customHeight="1">
      <c r="A222" s="79" t="inlineStr">
        <is>
          <t>Абонемент новых школ: сезон 5</t>
        </is>
      </c>
      <c r="B222" s="49">
        <f>SUMPRODUCT($C$263:$C$282,$H$263:$H$282)/$C$283</f>
        <v/>
      </c>
      <c r="C222" s="79" t="inlineStr">
        <is>
          <t>01_Вводные!C67</t>
        </is>
      </c>
      <c r="D222" s="79" t="inlineStr">
        <is>
          <t>База V8</t>
        </is>
      </c>
      <c r="G222" s="45" t="inlineStr">
        <is>
          <t>← формула; база: H263:H282</t>
        </is>
      </c>
    </row>
    <row r="223" ht="28" customHeight="1">
      <c r="A223" s="79" t="inlineStr">
        <is>
          <t>Коэффициент мерча</t>
        </is>
      </c>
      <c r="B223" s="91" t="n">
        <v>1.2</v>
      </c>
      <c r="C223" s="79" t="inlineStr">
        <is>
          <t>01_Вводные!B74</t>
        </is>
      </c>
      <c r="D223" s="79" t="inlineStr">
        <is>
          <t>База V8</t>
        </is>
      </c>
    </row>
    <row r="224" ht="28" customHeight="1">
      <c r="A224" s="79" t="inlineStr">
        <is>
          <t>Таргет на будущую продажу</t>
        </is>
      </c>
      <c r="B224" s="89" t="n">
        <v>160000</v>
      </c>
      <c r="C224" s="79" t="inlineStr">
        <is>
          <t>01_Вводные!B26</t>
        </is>
      </c>
      <c r="D224" s="79" t="inlineStr">
        <is>
          <t>База V8</t>
        </is>
      </c>
    </row>
    <row r="225" ht="28" customHeight="1">
      <c r="A225" s="79" t="inlineStr">
        <is>
          <t>Дебиторка</t>
        </is>
      </c>
      <c r="B225" s="92" t="n">
        <v>15</v>
      </c>
      <c r="C225" s="79" t="inlineStr">
        <is>
          <t>01_Вводные!B18</t>
        </is>
      </c>
      <c r="D225" s="79" t="inlineStr">
        <is>
          <t>База V8</t>
        </is>
      </c>
    </row>
    <row r="226"/>
    <row r="227">
      <c r="A227" s="79" t="inlineStr">
        <is>
          <t>Валидность дебиторки</t>
        </is>
      </c>
      <c r="B227" s="93">
        <f>IF(AND(MIN(C203:E203)*B225&gt;=0,MAX(C203:E203)*B225&lt;=30,(1+G203)*B225&lt;=30,(1-G203)*B225&gt;=0),"OK","CHECK")</f>
        <v/>
      </c>
    </row>
    <row r="228">
      <c r="A228" s="79" t="inlineStr">
        <is>
          <t>Параметры стрессов</t>
        </is>
      </c>
      <c r="B228" s="93">
        <f>IF(AND(MIN(C198:E203)&gt;=0,MIN(G198:G203)&gt;=0,MAX(G198:G203)&lt;1),"OK","CHECK")</f>
        <v/>
      </c>
    </row>
    <row r="229"/>
    <row r="230" ht="38" customHeight="1">
      <c r="A230" s="79" t="inlineStr">
        <is>
          <t>Ревизия: обязательные вводные сохранены; непроверенные налоговые и договорные допущения отмечены. Показатели без финансирования могут быть отрицательными.</t>
        </is>
      </c>
    </row>
    <row r="231"/>
    <row r="232" ht="27" customHeight="1">
      <c r="A232" s="94" t="inlineStr">
        <is>
          <t>12. Настройки ревизии и чувствительности</t>
        </is>
      </c>
    </row>
    <row r="233" ht="44" customHeight="1">
      <c r="A233" s="26" t="inlineStr">
        <is>
          <t>Драйвер чувствительности</t>
        </is>
      </c>
      <c r="B233" s="95" t="inlineStr">
        <is>
          <t>Дети новых школ</t>
        </is>
      </c>
      <c r="C233" s="32" t="inlineStr">
        <is>
          <t>выбор</t>
        </is>
      </c>
      <c r="D233" s="32" t="inlineStr">
        <is>
          <t>Ревизия / ТЗ</t>
        </is>
      </c>
      <c r="E233" s="33" t="inlineStr">
        <is>
          <t>Один драйвер за раз; все шесть сохранены в списке.</t>
        </is>
      </c>
    </row>
    <row r="234" ht="44" customHeight="1">
      <c r="A234" s="26" t="inlineStr">
        <is>
          <t>Чувствительность включена</t>
        </is>
      </c>
      <c r="B234" s="95" t="inlineStr">
        <is>
          <t>Да</t>
        </is>
      </c>
      <c r="C234" s="32" t="inlineStr">
        <is>
          <t>Да / Нет</t>
        </is>
      </c>
      <c r="D234" s="32" t="inlineStr">
        <is>
          <t>Ревизия / ТЗ</t>
        </is>
      </c>
      <c r="E234" s="33" t="inlineStr">
        <is>
          <t>При Нет два дополнительных расчёта не выполняются.</t>
        </is>
      </c>
    </row>
    <row r="235" ht="44" customHeight="1">
      <c r="A235" s="26" t="inlineStr">
        <is>
          <t>Лаг открытия → подключения ERP</t>
        </is>
      </c>
      <c r="B235" s="96" t="n">
        <v>0</v>
      </c>
      <c r="C235" s="32" t="inlineStr">
        <is>
          <t>мес.</t>
        </is>
      </c>
      <c r="D235" s="32" t="inlineStr">
        <is>
          <t>Ревизия / ТЗ</t>
        </is>
      </c>
      <c r="E235" s="33" t="inlineStr">
        <is>
          <t>Отдельное событие; до подтверждения подключение в месяц открытия.</t>
        </is>
      </c>
    </row>
    <row r="236" ht="44" customHeight="1">
      <c r="A236" s="26" t="inlineStr">
        <is>
          <t>Дети зрелой школы, база</t>
        </is>
      </c>
      <c r="B236" s="97">
        <f>SUMPRODUCT($C$263:$C$282,$G$263:$G$282)/$C$283</f>
        <v/>
      </c>
      <c r="C236" s="32" t="inlineStr">
        <is>
          <t>чел.</t>
        </is>
      </c>
      <c r="D236" s="32" t="inlineStr">
        <is>
          <t>Ревизия / ТЗ</t>
        </is>
      </c>
      <c r="E236" s="33" t="inlineStr">
        <is>
          <t>Считается по тарифной матрице ниже; множитель сценария учитывается отдельно.</t>
        </is>
      </c>
    </row>
    <row r="237" ht="44" customHeight="1">
      <c r="A237" s="26" t="inlineStr">
        <is>
          <t>Минимальный остаток денег при возврате займа</t>
        </is>
      </c>
      <c r="B237" s="98" t="n">
        <v>0</v>
      </c>
      <c r="C237" s="32" t="inlineStr">
        <is>
          <t>₽</t>
        </is>
      </c>
      <c r="D237" s="32" t="inlineStr">
        <is>
          <t>Ревизия / ТЗ</t>
        </is>
      </c>
      <c r="E237" s="33" t="inlineStr">
        <is>
          <t>Рабочее значение 0; можно задать резерв ликвидности.</t>
        </is>
      </c>
    </row>
    <row r="238" ht="44" customHeight="1">
      <c r="A238" s="26" t="inlineStr">
        <is>
          <t>Ограничивать возврат займа запасом</t>
        </is>
      </c>
      <c r="B238" s="95" t="inlineStr">
        <is>
          <t>Да</t>
        </is>
      </c>
      <c r="C238" s="32" t="inlineStr">
        <is>
          <t>Да / Нет</t>
        </is>
      </c>
      <c r="D238" s="32" t="inlineStr">
        <is>
          <t>Ревизия / ТЗ</t>
        </is>
      </c>
      <c r="E238" s="33" t="inlineStr">
        <is>
          <t>По п.27 ТЗ: возврат только при остатке товара не ниже цели будущих месяцев.</t>
        </is>
      </c>
    </row>
    <row r="239" ht="44" customHeight="1">
      <c r="A239" s="26" t="inlineStr">
        <is>
          <t>Роялти по тарифным группам</t>
        </is>
      </c>
      <c r="B239" s="95" t="inlineStr">
        <is>
          <t>Да</t>
        </is>
      </c>
      <c r="C239" s="32" t="inlineStr">
        <is>
          <t>Да / Нет</t>
        </is>
      </c>
      <c r="D239" s="32" t="inlineStr">
        <is>
          <t>Ревизия / ТЗ</t>
        </is>
      </c>
      <c r="E239" s="33" t="inlineStr">
        <is>
          <t>Да — отдельно по 20 форматам/территориям; Нет — прежнее усреднение для сверки.</t>
        </is>
      </c>
    </row>
    <row r="240" ht="44" customHeight="1">
      <c r="A240" s="26" t="inlineStr">
        <is>
          <t>Налог лагеря — как в файле-источнике</t>
        </is>
      </c>
      <c r="B240" s="99" t="n">
        <v>0.1</v>
      </c>
      <c r="C240" s="32" t="inlineStr">
        <is>
          <t>% оборота</t>
        </is>
      </c>
      <c r="D240" s="32" t="inlineStr">
        <is>
          <t>Ревизия / ТЗ</t>
        </is>
      </c>
      <c r="E240" s="33" t="inlineStr">
        <is>
          <t>Сохранён резерв 10% от оборота из Сокольники!C36. Это не подтверждение ставки/методики НДС.</t>
        </is>
      </c>
    </row>
    <row r="241" ht="44" customHeight="1">
      <c r="A241" s="26" t="inlineStr">
        <is>
          <t>Лагеря включены</t>
        </is>
      </c>
      <c r="B241" s="95" t="inlineStr">
        <is>
          <t>Нет</t>
        </is>
      </c>
      <c r="C241" s="32" t="inlineStr">
        <is>
          <t>Да / Нет</t>
        </is>
      </c>
      <c r="D241" s="32" t="inlineStr">
        <is>
          <t>Ревизия / ТЗ</t>
        </is>
      </c>
      <c r="E241" s="33" t="inlineStr">
        <is>
          <t>Отключение лагеря обнуляет продажи, начисления и оплаты.</t>
        </is>
      </c>
    </row>
    <row r="242" ht="44" customHeight="1">
      <c r="A242" s="26" t="inlineStr">
        <is>
          <t>Продажи с особым лагом маркетинга</t>
        </is>
      </c>
      <c r="B242" s="100" t="n">
        <v>46296</v>
      </c>
      <c r="C242" s="32" t="inlineStr">
        <is>
          <t>дата</t>
        </is>
      </c>
      <c r="D242" s="32" t="inlineStr">
        <is>
          <t>Ревизия / ТЗ</t>
        </is>
      </c>
      <c r="E242" s="33" t="inlineStr">
        <is>
          <t>Только октябрь 2026 оплачивается за 1 месяц.</t>
        </is>
      </c>
    </row>
    <row r="243" ht="44" customHeight="1">
      <c r="A243" s="26" t="inlineStr">
        <is>
          <t>Особый лаг маркетинга</t>
        </is>
      </c>
      <c r="B243" s="96" t="n">
        <v>1</v>
      </c>
      <c r="C243" s="32" t="inlineStr">
        <is>
          <t>мес.</t>
        </is>
      </c>
      <c r="D243" s="32" t="inlineStr">
        <is>
          <t>Ревизия / ТЗ</t>
        </is>
      </c>
      <c r="E243" s="33" t="inlineStr">
        <is>
          <t>Для октября 2026; далее обычный лаг B27.</t>
        </is>
      </c>
    </row>
    <row r="244" ht="44" customHeight="1">
      <c r="A244" s="26" t="inlineStr">
        <is>
          <t>Последняя дата старой ставки для продаж</t>
        </is>
      </c>
      <c r="B244" s="100" t="n">
        <v>46387</v>
      </c>
      <c r="C244" s="32" t="inlineStr">
        <is>
          <t>дата</t>
        </is>
      </c>
      <c r="D244" s="32" t="inlineStr">
        <is>
          <t>Ревизия / ТЗ</t>
        </is>
      </c>
      <c r="E244" s="33" t="inlineStr">
        <is>
          <t>6,5% по договорам до этой даты.</t>
        </is>
      </c>
    </row>
    <row r="245" ht="44" customHeight="1">
      <c r="A245" s="26" t="inlineStr">
        <is>
          <t>Дата общей ставки роялти</t>
        </is>
      </c>
      <c r="B245" s="100" t="n">
        <v>47484</v>
      </c>
      <c r="C245" s="32" t="inlineStr">
        <is>
          <t>дата</t>
        </is>
      </c>
      <c r="D245" s="32" t="inlineStr">
        <is>
          <t>Ревизия / ТЗ</t>
        </is>
      </c>
      <c r="E245" s="33" t="inlineStr">
        <is>
          <t>С этой даты применяется B57 ко всем.</t>
        </is>
      </c>
    </row>
    <row r="246" ht="44" customHeight="1">
      <c r="A246" s="26" t="inlineStr">
        <is>
          <t>Первая квартальная премия</t>
        </is>
      </c>
      <c r="B246" s="100" t="n">
        <v>46722</v>
      </c>
      <c r="C246" s="32" t="inlineStr">
        <is>
          <t>дата</t>
        </is>
      </c>
      <c r="D246" s="32" t="inlineStr">
        <is>
          <t>Ревизия / ТЗ</t>
        </is>
      </c>
      <c r="E246" s="33" t="inlineStr">
        <is>
          <t>За IV квартал 2027; далее март/июнь/сентябрь/декабрь.</t>
        </is>
      </c>
    </row>
    <row r="247" ht="44" customHeight="1">
      <c r="A247" s="26" t="inlineStr">
        <is>
          <t>Выход офис-менеджера</t>
        </is>
      </c>
      <c r="B247" s="100" t="n">
        <v>46388</v>
      </c>
      <c r="C247" s="32" t="inlineStr">
        <is>
          <t>дата</t>
        </is>
      </c>
      <c r="D247" s="32" t="inlineStr">
        <is>
          <t>Ревизия / ТЗ</t>
        </is>
      </c>
      <c r="E247" s="33" t="inlineStr">
        <is>
          <t>70 тыс. net по B133.</t>
        </is>
      </c>
    </row>
    <row r="248" ht="44" customHeight="1">
      <c r="A248" s="26" t="inlineStr">
        <is>
          <t>Выход SMM-специалиста</t>
        </is>
      </c>
      <c r="B248" s="100" t="n">
        <v>46631</v>
      </c>
      <c r="C248" s="32" t="inlineStr">
        <is>
          <t>дата</t>
        </is>
      </c>
      <c r="D248" s="32" t="inlineStr">
        <is>
          <t>Ревизия / ТЗ</t>
        </is>
      </c>
      <c r="E248" s="33" t="inlineStr">
        <is>
          <t>100 тыс. net по B134.</t>
        </is>
      </c>
    </row>
    <row r="249" ht="44" customHeight="1">
      <c r="A249" s="26" t="inlineStr">
        <is>
          <t>Повышение оклада генерального директора</t>
        </is>
      </c>
      <c r="B249" s="100" t="n">
        <v>46753</v>
      </c>
      <c r="C249" s="32" t="inlineStr">
        <is>
          <t>дата</t>
        </is>
      </c>
      <c r="D249" s="32" t="inlineStr">
        <is>
          <t>Ревизия / ТЗ</t>
        </is>
      </c>
      <c r="E249" s="33" t="inlineStr">
        <is>
          <t>Повышение участвует в премии при Да у ГД.</t>
        </is>
      </c>
    </row>
    <row r="250" ht="44" customHeight="1">
      <c r="A250" s="26" t="inlineStr">
        <is>
          <t>Повышение ежемесячной премии развития</t>
        </is>
      </c>
      <c r="B250" s="100" t="n">
        <v>46388</v>
      </c>
      <c r="C250" s="32" t="inlineStr">
        <is>
          <t>дата</t>
        </is>
      </c>
      <c r="D250" s="32" t="inlineStr">
        <is>
          <t>Ревизия / ТЗ</t>
        </is>
      </c>
      <c r="E250" s="33" t="inlineStr">
        <is>
          <t>С B123 на B124.</t>
        </is>
      </c>
    </row>
    <row r="251" ht="44" customHeight="1">
      <c r="A251" s="26" t="inlineStr">
        <is>
          <t>Первая общая индексация окладов</t>
        </is>
      </c>
      <c r="B251" s="100" t="n">
        <v>46631</v>
      </c>
      <c r="C251" s="32" t="inlineStr">
        <is>
          <t>дата</t>
        </is>
      </c>
      <c r="D251" s="32" t="inlineStr">
        <is>
          <t>Ревизия / ТЗ</t>
        </is>
      </c>
      <c r="E251" s="33" t="inlineStr">
        <is>
          <t>Далее каждый сентябрь.</t>
        </is>
      </c>
    </row>
    <row r="252" ht="44" customHeight="1">
      <c r="A252" s="26" t="inlineStr">
        <is>
          <t>Месяц проведения лагерей</t>
        </is>
      </c>
      <c r="B252" s="101" t="n">
        <v>6</v>
      </c>
      <c r="C252" s="32" t="inlineStr">
        <is>
          <t>1–12</t>
        </is>
      </c>
      <c r="D252" s="32" t="inlineStr">
        <is>
          <t>Ревизия / ТЗ</t>
        </is>
      </c>
      <c r="E252" s="33" t="inlineStr">
        <is>
          <t>Июнь по ТЗ.</t>
        </is>
      </c>
    </row>
    <row r="253" ht="44" customHeight="1">
      <c r="A253" s="26" t="inlineStr">
        <is>
          <t>Первый месяц продаж лагерей</t>
        </is>
      </c>
      <c r="B253" s="101" t="n">
        <v>2</v>
      </c>
      <c r="C253" s="32" t="inlineStr">
        <is>
          <t>1–12</t>
        </is>
      </c>
      <c r="D253" s="32" t="inlineStr">
        <is>
          <t>Ревизия / ТЗ</t>
        </is>
      </c>
      <c r="E253" s="33" t="inlineStr">
        <is>
          <t>Февраль; равномерно до B254.</t>
        </is>
      </c>
    </row>
    <row r="254" ht="44" customHeight="1">
      <c r="A254" s="26" t="inlineStr">
        <is>
          <t>Последний месяц продаж лагерей</t>
        </is>
      </c>
      <c r="B254" s="101" t="n">
        <v>5</v>
      </c>
      <c r="C254" s="32" t="inlineStr">
        <is>
          <t>1–12</t>
        </is>
      </c>
      <c r="D254" s="32" t="inlineStr">
        <is>
          <t>Ревизия / ТЗ</t>
        </is>
      </c>
      <c r="E254" s="33" t="inlineStr">
        <is>
          <t>Май включительно.</t>
        </is>
      </c>
    </row>
    <row r="255" ht="44" customHeight="1">
      <c r="A255" s="26" t="inlineStr">
        <is>
          <t>Замена директора маркетинга</t>
        </is>
      </c>
      <c r="B255" s="100" t="n">
        <v>46296</v>
      </c>
      <c r="C255" s="32" t="inlineStr">
        <is>
          <t>дата</t>
        </is>
      </c>
      <c r="D255" s="32" t="inlineStr">
        <is>
          <t>Ревизия / ТЗ</t>
        </is>
      </c>
      <c r="E255" s="33" t="inlineStr">
        <is>
          <t>Разовая комиссия B121.</t>
        </is>
      </c>
    </row>
    <row r="256" ht="44" customHeight="1">
      <c r="A256" s="26" t="inlineStr">
        <is>
          <t>Месяц резерва кадровой ротации</t>
        </is>
      </c>
      <c r="B256" s="101" t="n">
        <v>9</v>
      </c>
      <c r="C256" s="32" t="inlineStr">
        <is>
          <t>1–12</t>
        </is>
      </c>
      <c r="D256" s="32" t="inlineStr">
        <is>
          <t>Ревизия / ТЗ</t>
        </is>
      </c>
      <c r="E256" s="33" t="inlineStr">
        <is>
          <t>Раз в год; сумма B122.</t>
        </is>
      </c>
    </row>
    <row r="257" ht="44" customHeight="1">
      <c r="A257" t="inlineStr">
        <is>
          <t>Номер выбранного драйвера</t>
        </is>
      </c>
      <c r="B257" s="102">
        <f>IF(B233=A198,1,IF(B233=A199,2,IF(B233=A200,3,IF(B233=A201,4,IF(B233=A202,5,6)))))</f>
        <v/>
      </c>
      <c r="E257" s="33" t="n"/>
    </row>
    <row r="258" ht="44" customHeight="1">
      <c r="A258" t="inlineStr">
        <is>
          <t>Шаг выбранной чувствительности</t>
        </is>
      </c>
      <c r="B258" s="103">
        <f>INDEX(G198:G203,B257,1)</f>
        <v/>
      </c>
      <c r="E258" s="33" t="n"/>
    </row>
    <row r="259"/>
    <row r="260" ht="27" customHeight="1">
      <c r="A260" s="94" t="inlineStr">
        <is>
          <t>13. Тарифные группы — исходный микс, без усреднения роялти</t>
        </is>
      </c>
    </row>
    <row r="261"/>
    <row r="262" ht="32" customHeight="1">
      <c r="A262" s="104" t="inlineStr">
        <is>
          <t>Территория</t>
        </is>
      </c>
      <c r="B262" s="104" t="inlineStr">
        <is>
          <t>Формат</t>
        </is>
      </c>
      <c r="C262" s="104" t="inlineStr">
        <is>
          <t>Вес</t>
        </is>
      </c>
      <c r="D262" s="104" t="inlineStr">
        <is>
          <t>Паушальный, с НДС</t>
        </is>
      </c>
      <c r="E262" s="104" t="inlineStr">
        <is>
          <t>Дети 1–12</t>
        </is>
      </c>
      <c r="F262" s="104" t="inlineStr">
        <is>
          <t>Дети 13–24</t>
        </is>
      </c>
      <c r="G262" s="104" t="inlineStr">
        <is>
          <t>Дети зрелые</t>
        </is>
      </c>
      <c r="H262" s="104" t="inlineStr">
        <is>
          <t>Абонемент</t>
        </is>
      </c>
      <c r="I262" s="104" t="inlineStr">
        <is>
          <t>Минимум 1-й год</t>
        </is>
      </c>
      <c r="J262" s="104" t="inlineStr">
        <is>
          <t>Минимум 2-й+</t>
        </is>
      </c>
      <c r="K262" s="104" t="inlineStr">
        <is>
          <t>Источник</t>
        </is>
      </c>
    </row>
    <row r="263" ht="34" customHeight="1">
      <c r="A263" s="33" t="inlineStr">
        <is>
          <t>Москва</t>
        </is>
      </c>
      <c r="B263" s="33" t="inlineStr">
        <is>
          <t>Детский сад</t>
        </is>
      </c>
      <c r="C263" s="105" t="n">
        <v>0.005000000000000001</v>
      </c>
      <c r="D263" s="106" t="n">
        <v>890000</v>
      </c>
      <c r="E263" s="107" t="n">
        <v>25</v>
      </c>
      <c r="F263" s="107" t="n">
        <v>37.5</v>
      </c>
      <c r="G263" s="107" t="n">
        <v>37.5</v>
      </c>
      <c r="H263" s="106" t="n">
        <v>6000</v>
      </c>
      <c r="I263" s="106" t="n">
        <v>20000</v>
      </c>
      <c r="J263" s="106" t="n">
        <v>35000</v>
      </c>
      <c r="K263" s="33" t="inlineStr">
        <is>
          <t>V5.1: Типы_продукта!A14:M14; Микс_продаж!B5; B14</t>
        </is>
      </c>
    </row>
    <row r="264" ht="34" customHeight="1">
      <c r="A264" s="33" t="inlineStr">
        <is>
          <t>Москва</t>
        </is>
      </c>
      <c r="B264" s="33" t="inlineStr">
        <is>
          <t>Школа</t>
        </is>
      </c>
      <c r="C264" s="105" t="n">
        <v>0.02</v>
      </c>
      <c r="D264" s="106" t="n">
        <v>990000</v>
      </c>
      <c r="E264" s="107" t="n">
        <v>75</v>
      </c>
      <c r="F264" s="107" t="n">
        <v>112.5</v>
      </c>
      <c r="G264" s="107" t="n">
        <v>112.5</v>
      </c>
      <c r="H264" s="106" t="n">
        <v>10500</v>
      </c>
      <c r="I264" s="106" t="n">
        <v>20000</v>
      </c>
      <c r="J264" s="106" t="n">
        <v>90000</v>
      </c>
      <c r="K264" s="33" t="inlineStr">
        <is>
          <t>V5.1: Типы_продукта!A15:M15; Микс_продаж!B5; C14</t>
        </is>
      </c>
    </row>
    <row r="265" ht="34" customHeight="1">
      <c r="A265" s="33" t="inlineStr">
        <is>
          <t>Москва</t>
        </is>
      </c>
      <c r="B265" s="33" t="inlineStr">
        <is>
          <t>ФОК/Стадион</t>
        </is>
      </c>
      <c r="C265" s="105" t="n">
        <v>0.05066666666666667</v>
      </c>
      <c r="D265" s="106" t="n">
        <v>1290000</v>
      </c>
      <c r="E265" s="107" t="n">
        <v>87.5</v>
      </c>
      <c r="F265" s="107" t="n">
        <v>187.5</v>
      </c>
      <c r="G265" s="107" t="n">
        <v>187.5</v>
      </c>
      <c r="H265" s="106" t="n">
        <v>11500</v>
      </c>
      <c r="I265" s="106" t="n">
        <v>20000</v>
      </c>
      <c r="J265" s="106" t="n">
        <v>55000</v>
      </c>
      <c r="K265" s="33" t="inlineStr">
        <is>
          <t>V5.1: Типы_продукта!A16:M16; Микс_продаж!B5; D14</t>
        </is>
      </c>
    </row>
    <row r="266" ht="34" customHeight="1">
      <c r="A266" s="33" t="inlineStr">
        <is>
          <t>Москва</t>
        </is>
      </c>
      <c r="B266" s="33" t="inlineStr">
        <is>
          <t>Манеж</t>
        </is>
      </c>
      <c r="C266" s="105" t="n">
        <v>0.02433333333333333</v>
      </c>
      <c r="D266" s="106" t="n">
        <v>1490000</v>
      </c>
      <c r="E266" s="107" t="n">
        <v>87.5</v>
      </c>
      <c r="F266" s="107" t="n">
        <v>250</v>
      </c>
      <c r="G266" s="107" t="n">
        <v>250</v>
      </c>
      <c r="H266" s="106" t="n">
        <v>14000</v>
      </c>
      <c r="I266" s="106" t="n">
        <v>20000</v>
      </c>
      <c r="J266" s="106" t="n">
        <v>90000</v>
      </c>
      <c r="K266" s="33" t="inlineStr">
        <is>
          <t>V5.1: Типы_продукта!A17:M17; Микс_продаж!B5; E14</t>
        </is>
      </c>
    </row>
    <row r="267" ht="34" customHeight="1">
      <c r="A267" s="33" t="inlineStr">
        <is>
          <t>1 000 000+ чел. + МО</t>
        </is>
      </c>
      <c r="B267" s="33" t="inlineStr">
        <is>
          <t>Детский сад</t>
        </is>
      </c>
      <c r="C267" s="105" t="n">
        <v>0.015</v>
      </c>
      <c r="D267" s="106" t="n">
        <v>690000</v>
      </c>
      <c r="E267" s="107" t="n">
        <v>18.75</v>
      </c>
      <c r="F267" s="107" t="n">
        <v>31.25</v>
      </c>
      <c r="G267" s="107" t="n">
        <v>31.25</v>
      </c>
      <c r="H267" s="106" t="n">
        <v>4200</v>
      </c>
      <c r="I267" s="106" t="n">
        <v>12000</v>
      </c>
      <c r="J267" s="106" t="n">
        <v>20000</v>
      </c>
      <c r="K267" s="33" t="inlineStr">
        <is>
          <t>V5.1: Типы_продукта!A18:M18; Микс_продаж!B6; B15</t>
        </is>
      </c>
    </row>
    <row r="268" ht="34" customHeight="1">
      <c r="A268" s="33" t="inlineStr">
        <is>
          <t>1 000 000+ чел. + МО</t>
        </is>
      </c>
      <c r="B268" s="33" t="inlineStr">
        <is>
          <t>Школа</t>
        </is>
      </c>
      <c r="C268" s="105" t="n">
        <v>0.06</v>
      </c>
      <c r="D268" s="106" t="n">
        <v>890000</v>
      </c>
      <c r="E268" s="107" t="n">
        <v>75</v>
      </c>
      <c r="F268" s="107" t="n">
        <v>112.5</v>
      </c>
      <c r="G268" s="107" t="n">
        <v>112.5</v>
      </c>
      <c r="H268" s="106" t="n">
        <v>6750</v>
      </c>
      <c r="I268" s="106" t="n">
        <v>20000</v>
      </c>
      <c r="J268" s="106" t="n">
        <v>60000</v>
      </c>
      <c r="K268" s="33" t="inlineStr">
        <is>
          <t>V5.1: Типы_продукта!A19:M19; Микс_продаж!B6; C15</t>
        </is>
      </c>
    </row>
    <row r="269" ht="34" customHeight="1">
      <c r="A269" s="33" t="inlineStr">
        <is>
          <t>1 000 000+ чел. + МО</t>
        </is>
      </c>
      <c r="B269" s="33" t="inlineStr">
        <is>
          <t>ФОК/Стадион</t>
        </is>
      </c>
      <c r="C269" s="105" t="n">
        <v>0.152</v>
      </c>
      <c r="D269" s="106" t="n">
        <v>1190000</v>
      </c>
      <c r="E269" s="107" t="n">
        <v>87.5</v>
      </c>
      <c r="F269" s="107" t="n">
        <v>187.5</v>
      </c>
      <c r="G269" s="107" t="n">
        <v>187.5</v>
      </c>
      <c r="H269" s="106" t="n">
        <v>7250</v>
      </c>
      <c r="I269" s="106" t="n">
        <v>20000</v>
      </c>
      <c r="J269" s="106" t="n">
        <v>35000</v>
      </c>
      <c r="K269" s="33" t="inlineStr">
        <is>
          <t>V5.1: Типы_продукта!A20:M20; Микс_продаж!B6; D15</t>
        </is>
      </c>
    </row>
    <row r="270" ht="34" customHeight="1">
      <c r="A270" s="33" t="inlineStr">
        <is>
          <t>1 000 000+ чел. + МО</t>
        </is>
      </c>
      <c r="B270" s="33" t="inlineStr">
        <is>
          <t>Манеж</t>
        </is>
      </c>
      <c r="C270" s="105" t="n">
        <v>0.07299999999999998</v>
      </c>
      <c r="D270" s="106" t="n">
        <v>1290000</v>
      </c>
      <c r="E270" s="107" t="n">
        <v>87.5</v>
      </c>
      <c r="F270" s="107" t="n">
        <v>250</v>
      </c>
      <c r="G270" s="107" t="n">
        <v>250</v>
      </c>
      <c r="H270" s="106" t="n">
        <v>7250</v>
      </c>
      <c r="I270" s="106" t="n">
        <v>20000</v>
      </c>
      <c r="J270" s="106" t="n">
        <v>45000</v>
      </c>
      <c r="K270" s="33" t="inlineStr">
        <is>
          <t>V5.1: Типы_продукта!A21:M21; Микс_продаж!B6; E15</t>
        </is>
      </c>
    </row>
    <row r="271" ht="34" customHeight="1">
      <c r="A271" s="33" t="inlineStr">
        <is>
          <t>от 500к до 1 млн чел.</t>
        </is>
      </c>
      <c r="B271" s="33" t="inlineStr">
        <is>
          <t>Детский сад</t>
        </is>
      </c>
      <c r="C271" s="105" t="n">
        <v>0.0125</v>
      </c>
      <c r="D271" s="106" t="n">
        <v>590000</v>
      </c>
      <c r="E271" s="107" t="n">
        <v>12.5</v>
      </c>
      <c r="F271" s="107" t="n">
        <v>25</v>
      </c>
      <c r="G271" s="107" t="n">
        <v>25</v>
      </c>
      <c r="H271" s="106" t="n">
        <v>3800</v>
      </c>
      <c r="I271" s="106" t="n">
        <v>7000</v>
      </c>
      <c r="J271" s="106" t="n">
        <v>14000</v>
      </c>
      <c r="K271" s="33" t="inlineStr">
        <is>
          <t>V5.1: Типы_продукта!A22:M22; Микс_продаж!B7; B16</t>
        </is>
      </c>
    </row>
    <row r="272" ht="34" customHeight="1">
      <c r="A272" s="33" t="inlineStr">
        <is>
          <t>от 500к до 1 млн чел.</t>
        </is>
      </c>
      <c r="B272" s="33" t="inlineStr">
        <is>
          <t>Школа</t>
        </is>
      </c>
      <c r="C272" s="105" t="n">
        <v>0.05</v>
      </c>
      <c r="D272" s="106" t="n">
        <v>790000</v>
      </c>
      <c r="E272" s="107" t="n">
        <v>75</v>
      </c>
      <c r="F272" s="107" t="n">
        <v>112.5</v>
      </c>
      <c r="G272" s="107" t="n">
        <v>112.5</v>
      </c>
      <c r="H272" s="106" t="n">
        <v>4900</v>
      </c>
      <c r="I272" s="106" t="n">
        <v>20000</v>
      </c>
      <c r="J272" s="106" t="n">
        <v>45000</v>
      </c>
      <c r="K272" s="33" t="inlineStr">
        <is>
          <t>V5.1: Типы_продукта!A23:M23; Микс_продаж!B7; C16</t>
        </is>
      </c>
    </row>
    <row r="273" ht="34" customHeight="1">
      <c r="A273" s="33" t="inlineStr">
        <is>
          <t>от 500к до 1 млн чел.</t>
        </is>
      </c>
      <c r="B273" s="33" t="inlineStr">
        <is>
          <t>ФОК/Стадион</t>
        </is>
      </c>
      <c r="C273" s="105" t="n">
        <v>0.1266666666666667</v>
      </c>
      <c r="D273" s="106" t="n">
        <v>890000</v>
      </c>
      <c r="E273" s="107" t="n">
        <v>87.5</v>
      </c>
      <c r="F273" s="107" t="n">
        <v>187.5</v>
      </c>
      <c r="G273" s="107" t="n">
        <v>187.5</v>
      </c>
      <c r="H273" s="106" t="n">
        <v>5750</v>
      </c>
      <c r="I273" s="106" t="n">
        <v>20000</v>
      </c>
      <c r="J273" s="106" t="n">
        <v>30000</v>
      </c>
      <c r="K273" s="33" t="inlineStr">
        <is>
          <t>V5.1: Типы_продукта!A24:M24; Микс_продаж!B7; D16</t>
        </is>
      </c>
    </row>
    <row r="274" ht="34" customHeight="1">
      <c r="A274" s="33" t="inlineStr">
        <is>
          <t>от 500к до 1 млн чел.</t>
        </is>
      </c>
      <c r="B274" s="33" t="inlineStr">
        <is>
          <t>Манеж</t>
        </is>
      </c>
      <c r="C274" s="105" t="n">
        <v>0.06083333333333332</v>
      </c>
      <c r="D274" s="106" t="n">
        <v>990000</v>
      </c>
      <c r="E274" s="107" t="n">
        <v>87.5</v>
      </c>
      <c r="F274" s="107" t="n">
        <v>250</v>
      </c>
      <c r="G274" s="107" t="n">
        <v>250</v>
      </c>
      <c r="H274" s="106" t="n">
        <v>5750</v>
      </c>
      <c r="I274" s="106" t="n">
        <v>20000</v>
      </c>
      <c r="J274" s="106" t="n">
        <v>35000</v>
      </c>
      <c r="K274" s="33" t="inlineStr">
        <is>
          <t>V5.1: Типы_продукта!A25:M25; Микс_продаж!B7; E16</t>
        </is>
      </c>
    </row>
    <row r="275" ht="34" customHeight="1">
      <c r="A275" s="33" t="inlineStr">
        <is>
          <t>от 100к до 500к чел.</t>
        </is>
      </c>
      <c r="B275" s="33" t="inlineStr">
        <is>
          <t>Детский сад</t>
        </is>
      </c>
      <c r="C275" s="105" t="n">
        <v>0.0125</v>
      </c>
      <c r="D275" s="106" t="n">
        <v>490000</v>
      </c>
      <c r="E275" s="107" t="n">
        <v>12.5</v>
      </c>
      <c r="F275" s="107" t="n">
        <v>25</v>
      </c>
      <c r="G275" s="107" t="n">
        <v>25</v>
      </c>
      <c r="H275" s="106" t="n">
        <v>3300</v>
      </c>
      <c r="I275" s="106" t="n">
        <v>6000</v>
      </c>
      <c r="J275" s="106" t="n">
        <v>12000</v>
      </c>
      <c r="K275" s="33" t="inlineStr">
        <is>
          <t>V5.1: Типы_продукта!A26:M26; Микс_продаж!B8; B17</t>
        </is>
      </c>
    </row>
    <row r="276" ht="34" customHeight="1">
      <c r="A276" s="33" t="inlineStr">
        <is>
          <t>от 100к до 500к чел.</t>
        </is>
      </c>
      <c r="B276" s="33" t="inlineStr">
        <is>
          <t>Школа</t>
        </is>
      </c>
      <c r="C276" s="105" t="n">
        <v>0.05</v>
      </c>
      <c r="D276" s="106" t="n">
        <v>690000</v>
      </c>
      <c r="E276" s="107" t="n">
        <v>60</v>
      </c>
      <c r="F276" s="107" t="n">
        <v>90</v>
      </c>
      <c r="G276" s="107" t="n">
        <v>90</v>
      </c>
      <c r="H276" s="106" t="n">
        <v>4650</v>
      </c>
      <c r="I276" s="106" t="n">
        <v>20000</v>
      </c>
      <c r="J276" s="106" t="n">
        <v>30000</v>
      </c>
      <c r="K276" s="33" t="inlineStr">
        <is>
          <t>V5.1: Типы_продукта!A27:M27; Микс_продаж!B8; C17</t>
        </is>
      </c>
    </row>
    <row r="277" ht="34" customHeight="1">
      <c r="A277" s="33" t="inlineStr">
        <is>
          <t>от 100к до 500к чел.</t>
        </is>
      </c>
      <c r="B277" s="33" t="inlineStr">
        <is>
          <t>ФОК/Стадион</t>
        </is>
      </c>
      <c r="C277" s="105" t="n">
        <v>0.1266666666666667</v>
      </c>
      <c r="D277" s="106" t="n">
        <v>790000</v>
      </c>
      <c r="E277" s="107" t="n">
        <v>70</v>
      </c>
      <c r="F277" s="107" t="n">
        <v>150</v>
      </c>
      <c r="G277" s="107" t="n">
        <v>150</v>
      </c>
      <c r="H277" s="106" t="n">
        <v>5750</v>
      </c>
      <c r="I277" s="106" t="n">
        <v>20000</v>
      </c>
      <c r="J277" s="106" t="n">
        <v>25000</v>
      </c>
      <c r="K277" s="33" t="inlineStr">
        <is>
          <t>V5.1: Типы_продукта!A28:M28; Микс_продаж!B8; D17</t>
        </is>
      </c>
    </row>
    <row r="278" ht="34" customHeight="1">
      <c r="A278" s="33" t="inlineStr">
        <is>
          <t>от 100к до 500к чел.</t>
        </is>
      </c>
      <c r="B278" s="33" t="inlineStr">
        <is>
          <t>Манеж</t>
        </is>
      </c>
      <c r="C278" s="105" t="n">
        <v>0.06083333333333332</v>
      </c>
      <c r="D278" s="106" t="n">
        <v>890000</v>
      </c>
      <c r="E278" s="107" t="n">
        <v>70</v>
      </c>
      <c r="F278" s="107" t="n">
        <v>200</v>
      </c>
      <c r="G278" s="107" t="n">
        <v>200</v>
      </c>
      <c r="H278" s="106" t="n">
        <v>5750</v>
      </c>
      <c r="I278" s="106" t="n">
        <v>20000</v>
      </c>
      <c r="J278" s="106" t="n">
        <v>30000</v>
      </c>
      <c r="K278" s="33" t="inlineStr">
        <is>
          <t>V5.1: Типы_продукта!A29:M29; Микс_продаж!B8; E17</t>
        </is>
      </c>
    </row>
    <row r="279" ht="34" customHeight="1">
      <c r="A279" s="33" t="inlineStr">
        <is>
          <t>до 100к чел.</t>
        </is>
      </c>
      <c r="B279" s="33" t="inlineStr">
        <is>
          <t>Детский сад</t>
        </is>
      </c>
      <c r="C279" s="105" t="n">
        <v>0.005000000000000001</v>
      </c>
      <c r="D279" s="106" t="n">
        <v>390000</v>
      </c>
      <c r="E279" s="107" t="n">
        <v>12.5</v>
      </c>
      <c r="F279" s="107" t="n">
        <v>18.75</v>
      </c>
      <c r="G279" s="107" t="n">
        <v>18.75</v>
      </c>
      <c r="H279" s="106" t="n">
        <v>3000</v>
      </c>
      <c r="I279" s="106" t="n">
        <v>5000</v>
      </c>
      <c r="J279" s="106" t="n">
        <v>8000</v>
      </c>
      <c r="K279" s="33" t="inlineStr">
        <is>
          <t>V5.1: Типы_продукта!A30:M30; Микс_продаж!B9; B18</t>
        </is>
      </c>
    </row>
    <row r="280" ht="34" customHeight="1">
      <c r="A280" s="33" t="inlineStr">
        <is>
          <t>до 100к чел.</t>
        </is>
      </c>
      <c r="B280" s="33" t="inlineStr">
        <is>
          <t>Школа</t>
        </is>
      </c>
      <c r="C280" s="105" t="n">
        <v>0.02</v>
      </c>
      <c r="D280" s="106" t="n">
        <v>490000</v>
      </c>
      <c r="E280" s="107" t="n">
        <v>52.5</v>
      </c>
      <c r="F280" s="107" t="n">
        <v>78.75</v>
      </c>
      <c r="G280" s="107" t="n">
        <v>78.75</v>
      </c>
      <c r="H280" s="106" t="n">
        <v>4000</v>
      </c>
      <c r="I280" s="106" t="n">
        <v>20000</v>
      </c>
      <c r="J280" s="106" t="n">
        <v>25000</v>
      </c>
      <c r="K280" s="33" t="inlineStr">
        <is>
          <t>V5.1: Типы_продукта!A31:M31; Микс_продаж!B9; C18</t>
        </is>
      </c>
    </row>
    <row r="281" ht="34" customHeight="1">
      <c r="A281" s="33" t="inlineStr">
        <is>
          <t>до 100к чел.</t>
        </is>
      </c>
      <c r="B281" s="33" t="inlineStr">
        <is>
          <t>ФОК/Стадион</t>
        </is>
      </c>
      <c r="C281" s="105" t="n">
        <v>0.05066666666666667</v>
      </c>
      <c r="D281" s="106" t="n">
        <v>590000</v>
      </c>
      <c r="E281" s="107" t="n">
        <v>62.5</v>
      </c>
      <c r="F281" s="107" t="n">
        <v>125</v>
      </c>
      <c r="G281" s="107" t="n">
        <v>125</v>
      </c>
      <c r="H281" s="106" t="n">
        <v>4500</v>
      </c>
      <c r="I281" s="106" t="n">
        <v>20000</v>
      </c>
      <c r="J281" s="106" t="n">
        <v>25000</v>
      </c>
      <c r="K281" s="33" t="inlineStr">
        <is>
          <t>V5.1: Типы_продукта!A32:M32; Микс_продаж!B9; D18</t>
        </is>
      </c>
    </row>
    <row r="282" ht="34" customHeight="1">
      <c r="A282" s="33" t="inlineStr">
        <is>
          <t>до 100к чел.</t>
        </is>
      </c>
      <c r="B282" s="33" t="inlineStr">
        <is>
          <t>Манеж</t>
        </is>
      </c>
      <c r="C282" s="105" t="n">
        <v>0.02433333333333333</v>
      </c>
      <c r="D282" s="106" t="n">
        <v>690000</v>
      </c>
      <c r="E282" s="107" t="n">
        <v>62.5</v>
      </c>
      <c r="F282" s="107" t="n">
        <v>175</v>
      </c>
      <c r="G282" s="107" t="n">
        <v>175</v>
      </c>
      <c r="H282" s="106" t="n">
        <v>4500</v>
      </c>
      <c r="I282" s="106" t="n">
        <v>20000</v>
      </c>
      <c r="J282" s="106" t="n">
        <v>30000</v>
      </c>
      <c r="K282" s="33" t="inlineStr">
        <is>
          <t>V5.1: Типы_продукта!A33:M33; Микс_продаж!B9; E18</t>
        </is>
      </c>
    </row>
    <row r="283">
      <c r="A283" t="inlineStr">
        <is>
          <t>Сумма весов</t>
        </is>
      </c>
      <c r="C283" s="103">
        <f>SUM(C263:C282)</f>
        <v/>
      </c>
    </row>
    <row r="284"/>
    <row r="285" ht="28" customHeight="1">
      <c r="A285" s="78" t="inlineStr">
        <is>
          <t>14. CAPEX — вложения в бизнес</t>
        </is>
      </c>
    </row>
    <row r="286" ht="66" customHeight="1">
      <c r="A286" s="26" t="inlineStr">
        <is>
          <t>Поддерживающий CAPEX</t>
        </is>
      </c>
      <c r="B286" s="108" t="n">
        <v>0.01</v>
      </c>
      <c r="C286" s="32" t="inlineStr">
        <is>
          <t>%</t>
        </is>
      </c>
      <c r="D286" s="32" t="inlineStr">
        <is>
          <t>v4: Допущения!B42</t>
        </is>
      </c>
      <c r="E286" s="33" t="inlineStr">
        <is>
          <t>1% выручки с НДС — сохранено правило v4; база не заменена молча на чистую выручку.</t>
        </is>
      </c>
    </row>
    <row r="287" ht="66" customHeight="1">
      <c r="A287" s="26" t="inlineStr">
        <is>
          <t>Разовый CAPEX</t>
        </is>
      </c>
      <c r="B287" s="109" t="n">
        <v>1000</v>
      </c>
      <c r="C287" s="32" t="inlineStr">
        <is>
          <t>₽</t>
        </is>
      </c>
      <c r="D287" s="32" t="inlineStr">
        <is>
          <t>v4: Допущения!B41</t>
        </is>
      </c>
      <c r="E287" s="33" t="inlineStr">
        <is>
          <t>Как в приложенной v4: 1 000 ₽ разово в первом месяце прогноза.</t>
        </is>
      </c>
    </row>
    <row r="288" ht="66" customHeight="1">
      <c r="A288" s="26" t="inlineStr">
        <is>
          <t>База поддерживающего CAPEX</t>
        </is>
      </c>
      <c r="B288" s="110" t="inlineStr">
        <is>
          <t>С НДС</t>
        </is>
      </c>
      <c r="C288" s="32" t="n"/>
      <c r="D288" s="32" t="inlineStr">
        <is>
          <t>v4: Допущения!B41:B42</t>
        </is>
      </c>
      <c r="E288" s="33" t="inlineStr">
        <is>
          <t>По умолчанию С НДС, как в v4. Начисленная выручка всех направлений, не авансы.</t>
        </is>
      </c>
    </row>
    <row r="289" ht="66" customHeight="1">
      <c r="A289" s="26" t="inlineStr">
        <is>
          <t>Дата разового CAPEX</t>
        </is>
      </c>
      <c r="B289" s="111">
        <f>$B$7</f>
        <v/>
      </c>
      <c r="C289" s="32" t="n"/>
      <c r="D289" s="32" t="inlineStr">
        <is>
          <t>v4: Допущения!B41:B42</t>
        </is>
      </c>
      <c r="E289" s="33" t="inlineStr">
        <is>
          <t>Первый месяц прогноза, как в v4. Дату можно изменить.</t>
        </is>
      </c>
    </row>
    <row r="290" ht="66" customHeight="1">
      <c r="A290" s="26" t="inlineStr">
        <is>
          <t>CAPEX включён</t>
        </is>
      </c>
      <c r="B290" s="110" t="inlineStr">
        <is>
          <t>Да</t>
        </is>
      </c>
      <c r="C290" s="32" t="n"/>
      <c r="D290" s="32" t="inlineStr">
        <is>
          <t>v4: Допущения!B41:B42</t>
        </is>
      </c>
      <c r="E290" s="33" t="inlineStr">
        <is>
          <t>Да — CAPEX вычитается из денег до погашения займа. Нет — расчёт без CAPEX.</t>
        </is>
      </c>
    </row>
    <row r="291"/>
    <row r="292" ht="26" customHeight="1">
      <c r="A292" s="78" t="inlineStr">
        <is>
          <t>Постепенный набор, индексация и повтор формы</t>
        </is>
      </c>
    </row>
    <row r="293" ht="62" customHeight="1">
      <c r="A293" s="33" t="inlineStr">
        <is>
          <t>Первая индексация цен / OPEX</t>
        </is>
      </c>
      <c r="B293" s="112" t="n">
        <v>46539</v>
      </c>
      <c r="C293" s="33" t="inlineStr">
        <is>
          <t>дата</t>
        </is>
      </c>
      <c r="D293" s="33" t="inlineStr">
        <is>
          <t>Подтверждено 09.09.2026</t>
        </is>
      </c>
      <c r="E293" s="33" t="inlineStr">
        <is>
          <t>Ежегодно в июне, как в v4; зарплаты отдельно в сентябре.</t>
        </is>
      </c>
    </row>
    <row r="294" ht="90" customHeight="1">
      <c r="A294" s="33" t="inlineStr">
        <is>
          <t>Индексация вне ФОТ включена</t>
        </is>
      </c>
      <c r="B294" s="113" t="inlineStr">
        <is>
          <t>Да</t>
        </is>
      </c>
      <c r="C294" s="33" t="inlineStr">
        <is>
          <t>Да / Нет</t>
        </is>
      </c>
      <c r="D294" s="33" t="inlineStr">
        <is>
          <t>Подтверждено 09.09.2026</t>
        </is>
      </c>
      <c r="E294" s="33" t="inlineStr">
        <is>
          <t>Абонемент, паушальный, форма, ERP, IT, юристы, реклама, SMM-подрядчики, резерв ротации. Офис, мин. роялти, лагеря не меняются.</t>
        </is>
      </c>
    </row>
    <row r="295" ht="75" customHeight="1">
      <c r="A295" s="33" t="inlineStr">
        <is>
          <t>Постепенный набор как в v4</t>
        </is>
      </c>
      <c r="B295" s="113" t="inlineStr">
        <is>
          <t>Да</t>
        </is>
      </c>
      <c r="C295" s="33" t="inlineStr">
        <is>
          <t>Да / Нет</t>
        </is>
      </c>
      <c r="D295" s="33" t="inlineStr">
        <is>
          <t>Подтверждено 09.09.2026</t>
        </is>
      </c>
      <c r="E295" s="33" t="inlineStr">
        <is>
          <t>Месяцы 1–12: постепенный выход на план первого года; 13–24: плавный выход на план второго. Нет — расчёт без плавного набора.</t>
        </is>
      </c>
    </row>
    <row r="296" ht="75" customHeight="1">
      <c r="A296" s="33" t="inlineStr">
        <is>
          <t>Первый повторный заказ</t>
        </is>
      </c>
      <c r="B296" s="113" t="inlineStr">
        <is>
          <t>Новый сезон</t>
        </is>
      </c>
      <c r="C296" s="33" t="inlineStr">
        <is>
          <t>правило</t>
        </is>
      </c>
      <c r="D296" s="33" t="inlineStr">
        <is>
          <t>Подтверждено 09.09.2026</t>
        </is>
      </c>
      <c r="E296" s="33" t="inlineStr">
        <is>
          <t>С следующего сентября, но не раньше завершения трех первичных поставок. Без ожидания 12 месяцев.</t>
        </is>
      </c>
    </row>
    <row r="297" ht="62" customHeight="1">
      <c r="A297" s="33" t="inlineStr">
        <is>
          <t>Каникулы по роялти</t>
        </is>
      </c>
      <c r="B297" s="114" t="n">
        <v>0</v>
      </c>
      <c r="C297" s="33" t="inlineStr">
        <is>
          <t>мес.</t>
        </is>
      </c>
      <c r="D297" s="33" t="inlineStr">
        <is>
          <t>Параметр; по умолчанию 0</t>
        </is>
      </c>
      <c r="E297" s="33">
        <f>IF($B$297=0,"По умолчанию 0. Поставьте число месяцев — роялти не начисляется столько месяцев с открытия школы","Роялти не начисляется первые "&amp;$B$297&amp;" мес. с открытия школы")</f>
        <v/>
      </c>
    </row>
    <row r="298" ht="62" customHeight="1">
      <c r="A298" s="33" t="inlineStr">
        <is>
          <t>Конверсия продажа - открытие</t>
        </is>
      </c>
      <c r="B298" s="115" t="n">
        <v>1</v>
      </c>
      <c r="C298" s="33" t="inlineStr">
        <is>
          <t>%</t>
        </is>
      </c>
      <c r="D298" s="33" t="inlineStr">
        <is>
          <t>Параметр; по умолчанию 100%</t>
        </is>
      </c>
      <c r="E298" s="33">
        <f>IF($B$298=1,"По умолчанию 100%: каждая оплаченная продажа доходит до открытия. Поставьте меньше, если часть продаж не открывается","Из продаж открывается "&amp;TEXT($B$298,"0%")&amp;"; остальные не доходят до школы")</f>
        <v/>
      </c>
    </row>
    <row r="299"/>
    <row r="300" ht="26" customHeight="1">
      <c r="A300" s="78" t="inlineStr">
        <is>
          <t>Инфляция по годам</t>
        </is>
      </c>
    </row>
    <row r="301">
      <c r="A301" t="n">
        <v>2026</v>
      </c>
      <c r="B301" s="116" t="n">
        <v>0.07000000000000001</v>
      </c>
      <c r="D301" t="inlineStr">
        <is>
          <t>v4 / ежегодный план</t>
        </is>
      </c>
    </row>
    <row r="302">
      <c r="A302" t="n">
        <v>2027</v>
      </c>
      <c r="B302" s="116" t="n">
        <v>0.07000000000000001</v>
      </c>
      <c r="D302" t="inlineStr">
        <is>
          <t>v4 / ежегодный план</t>
        </is>
      </c>
    </row>
    <row r="303">
      <c r="A303" t="n">
        <v>2028</v>
      </c>
      <c r="B303" s="116" t="n">
        <v>0.07000000000000001</v>
      </c>
      <c r="D303" t="inlineStr">
        <is>
          <t>v4 / ежегодный план</t>
        </is>
      </c>
    </row>
    <row r="304">
      <c r="A304" t="n">
        <v>2029</v>
      </c>
      <c r="B304" s="116" t="n">
        <v>0.07000000000000001</v>
      </c>
      <c r="D304" t="inlineStr">
        <is>
          <t>v4 / ежегодный план</t>
        </is>
      </c>
    </row>
    <row r="305">
      <c r="A305" t="n">
        <v>2030</v>
      </c>
      <c r="B305" s="116" t="n">
        <v>0.07000000000000001</v>
      </c>
      <c r="D305" t="inlineStr">
        <is>
          <t>v4 / ежегодный план</t>
        </is>
      </c>
    </row>
    <row r="306">
      <c r="A306" t="n">
        <v>2031</v>
      </c>
      <c r="B306" s="116" t="n">
        <v>0.07000000000000001</v>
      </c>
      <c r="D306" t="inlineStr">
        <is>
          <t>v4 / ежегодный план</t>
        </is>
      </c>
    </row>
    <row r="307">
      <c r="A307" t="n">
        <v>2032</v>
      </c>
      <c r="B307" s="116" t="n">
        <v>0.07000000000000001</v>
      </c>
      <c r="D307" t="inlineStr">
        <is>
          <t>v4 / ежегодный план</t>
        </is>
      </c>
    </row>
    <row r="308"/>
    <row r="309">
      <c r="A309" s="117" t="inlineStr">
        <is>
          <t>15. Уточнения после ревизии 11.09.2026</t>
        </is>
      </c>
    </row>
    <row r="310">
      <c r="A310" t="inlineStr">
        <is>
          <t>Минимальный запас для возврата займа</t>
        </is>
      </c>
      <c r="B310" s="118" t="n">
        <v>4</v>
      </c>
      <c r="C310" t="inlineStr">
        <is>
          <t>мес. будущих продаж</t>
        </is>
      </c>
      <c r="D310" t="inlineStr">
        <is>
          <t>Согласовано 11.09.2026</t>
        </is>
      </c>
      <c r="E310" t="inlineStr">
        <is>
          <t>Займ возвращаем, только если на складе остаётся запас на столько месяцев вперёд. Отдельно от целевого запаса закупки в B80, хотя сейчас значения совпадают: при шести месяцах порог недостижим и займ не гасится.</t>
        </is>
      </c>
    </row>
    <row r="311">
      <c r="A311" t="inlineStr">
        <is>
          <t>Лаг открытия следующих школ партнёра</t>
        </is>
      </c>
      <c r="B311" t="n">
        <v>3</v>
      </c>
      <c r="C311" t="inlineStr">
        <is>
          <t>мес.</t>
        </is>
      </c>
      <c r="D311" t="inlineStr">
        <is>
          <t>Рабочее — подтвердить</t>
        </is>
      </c>
      <c r="E311" t="inlineStr">
        <is>
          <t>Первую школу партнёр открывает через лаг B15. Остальные (B22 минус одна) — через столько месяцев после первой. Ноль означает возврат к прежнему «все школы разом».</t>
        </is>
      </c>
    </row>
    <row r="312">
      <c r="A312" t="inlineStr">
        <is>
          <t>16. Роялти действующей сети — группы точек начисления</t>
        </is>
      </c>
    </row>
    <row r="313">
      <c r="A313" t="inlineStr">
        <is>
          <t>Группа точек начисления</t>
        </is>
      </c>
      <c r="B313" t="inlineStr">
        <is>
          <t>Точек на старте</t>
        </is>
      </c>
      <c r="C313" t="inlineStr">
        <is>
          <t>Доля выручки сети</t>
        </is>
      </c>
      <c r="D313" t="inlineStr">
        <is>
          <t>Средний фикс</t>
        </is>
      </c>
      <c r="E313" t="inlineStr">
        <is>
          <t>Ставка роялти</t>
        </is>
      </c>
      <c r="F313" t="inlineStr">
        <is>
          <t>Источник</t>
        </is>
      </c>
    </row>
    <row r="314">
      <c r="A314" t="inlineStr">
        <is>
          <t>Крупные — платят процент</t>
        </is>
      </c>
      <c r="B314" t="n">
        <v>10</v>
      </c>
      <c r="C314" s="119" t="n">
        <v>0.555592</v>
      </c>
      <c r="D314" s="120" t="n">
        <v>13560</v>
      </c>
      <c r="E314" s="119" t="n">
        <v>0.065</v>
      </c>
      <c r="F314" t="inlineStr">
        <is>
          <t>Реестр начислений, август 2026</t>
        </is>
      </c>
    </row>
    <row r="315">
      <c r="A315" t="inlineStr">
        <is>
          <t>Льготная ставка</t>
        </is>
      </c>
      <c r="B315" t="n">
        <v>5</v>
      </c>
      <c r="C315" s="119" t="n">
        <v>0.29611</v>
      </c>
      <c r="D315" s="120" t="n">
        <v>9000</v>
      </c>
      <c r="E315" s="119" t="n">
        <v>0.0325</v>
      </c>
      <c r="F315" t="inlineStr">
        <is>
          <t>Реестр начислений, август 2026</t>
        </is>
      </c>
    </row>
    <row r="316">
      <c r="A316" t="inlineStr">
        <is>
          <t>Средние — у порога фикса</t>
        </is>
      </c>
      <c r="B316" t="n">
        <v>16</v>
      </c>
      <c r="C316" s="119" t="n">
        <v>0.09134100000000001</v>
      </c>
      <c r="D316" s="120" t="n">
        <v>19138</v>
      </c>
      <c r="E316" s="119" t="n">
        <v>0.065</v>
      </c>
      <c r="F316" t="inlineStr">
        <is>
          <t>Реестр начислений, август 2026</t>
        </is>
      </c>
    </row>
    <row r="317">
      <c r="A317" t="inlineStr">
        <is>
          <t>Мелкие — платят фикс</t>
        </is>
      </c>
      <c r="B317" t="n">
        <v>15</v>
      </c>
      <c r="C317" s="119" t="n">
        <v>0.033143</v>
      </c>
      <c r="D317" s="120" t="n">
        <v>20067</v>
      </c>
      <c r="E317" s="119" t="n">
        <v>0.065</v>
      </c>
      <c r="F317" t="inlineStr">
        <is>
          <t>Реестр начислений, август 2026</t>
        </is>
      </c>
    </row>
    <row r="318">
      <c r="A318" t="inlineStr">
        <is>
          <t>Только фикс, без процента</t>
        </is>
      </c>
      <c r="B318" t="n">
        <v>2</v>
      </c>
      <c r="C318" s="119" t="n">
        <v>0.023814</v>
      </c>
      <c r="D318" s="120" t="n">
        <v>20000</v>
      </c>
      <c r="E318" s="119" t="n">
        <v>0</v>
      </c>
      <c r="F318" t="inlineStr">
        <is>
          <t>Реестр начислений, август 2026</t>
        </is>
      </c>
    </row>
    <row r="319">
      <c r="A319" t="inlineStr">
        <is>
          <t>Итого</t>
        </is>
      </c>
      <c r="B319">
        <f>SUM(B314:B318)</f>
        <v/>
      </c>
      <c r="C319" s="119">
        <f>SUM(C314:C318)</f>
        <v/>
      </c>
      <c r="F319" t="inlineStr">
        <is>
          <t>Доли должны давать 100%: это разложение выручки сети, а не отдельные источники</t>
        </is>
      </c>
    </row>
    <row r="320"/>
    <row r="321">
      <c r="A321" t="inlineStr">
        <is>
          <t>17. История: сезон 25/26 — что известно из факта</t>
        </is>
      </c>
    </row>
    <row r="322">
      <c r="A322" t="inlineStr">
        <is>
          <t>Учитывать сезон 25/26</t>
        </is>
      </c>
      <c r="B322" t="inlineStr">
        <is>
          <t>Нет</t>
        </is>
      </c>
      <c r="C322" t="inlineStr">
        <is>
          <t>Да / Нет</t>
        </is>
      </c>
      <c r="D322" t="inlineStr">
        <is>
          <t>Решение владельца</t>
        </is>
      </c>
      <c r="E322" t="inlineStr">
        <is>
          <t>«Да» добавляет на дашборд колонку сезона 25/26 и итог за шесть сезонов. Прогноз при этом не меняется: сезон 25/26 не считается, а вводится числами. Часть строк — оценка по двум месяцам P&amp;L, статус у каждой строки свой.</t>
        </is>
      </c>
    </row>
    <row r="323">
      <c r="A323" t="inlineStr">
        <is>
          <t>Показатель</t>
        </is>
      </c>
      <c r="B323" t="inlineStr">
        <is>
          <t>Значение</t>
        </is>
      </c>
      <c r="C323" t="inlineStr">
        <is>
          <t>Ед.</t>
        </is>
      </c>
      <c r="D323" t="inlineStr">
        <is>
          <t>Статус</t>
        </is>
      </c>
      <c r="E323" t="inlineStr">
        <is>
          <t>Откуда взято</t>
        </is>
      </c>
    </row>
    <row r="324">
      <c r="A324" t="inlineStr">
        <is>
          <t>Паушальные взносы</t>
        </is>
      </c>
      <c r="B324" s="120" t="n">
        <v>0</v>
      </c>
      <c r="C324" t="inlineStr">
        <is>
          <t>₽</t>
        </is>
      </c>
      <c r="D324" t="inlineStr">
        <is>
          <t>Нет в отчётах</t>
        </is>
      </c>
      <c r="E324" t="inlineStr">
        <is>
          <t>В P&amp;L июня и июля строки паушальных нет: продаж франшиз в эти месяцы не было.</t>
        </is>
      </c>
    </row>
    <row r="325">
      <c r="A325" t="inlineStr">
        <is>
          <t>Роялти</t>
        </is>
      </c>
      <c r="B325" s="120" t="n">
        <v>30372832</v>
      </c>
      <c r="C325" t="inlineStr">
        <is>
          <t>₽</t>
        </is>
      </c>
      <c r="D325" t="inlineStr">
        <is>
          <t>Оценка: 2 мес. P&amp;L x 11</t>
        </is>
      </c>
      <c r="E325" t="inlineStr">
        <is>
          <t>P&amp;L считает роялти иначе, чем реестр начислений: в июне на 12 % больше, в июле на 46 %. Реестр за 11 месяцев даёт 24 779 011 ₽ с НДС — он полный и помесячный, но это другая база.</t>
        </is>
      </c>
    </row>
    <row r="326">
      <c r="A326" t="inlineStr">
        <is>
          <t>Мерч</t>
        </is>
      </c>
      <c r="B326" s="120" t="n">
        <v>7467086</v>
      </c>
      <c r="C326" t="inlineStr">
        <is>
          <t>₽</t>
        </is>
      </c>
      <c r="D326" t="inlineStr">
        <is>
          <t>Оценка: 2 мес. P&amp;L x 11</t>
        </is>
      </c>
      <c r="E326" t="inlineStr">
        <is>
          <t>«Спортивная форма» отчёта. Июнь 1 290 902, июль 66 750 — разброс большой, оценка по двум месяцам грубая.</t>
        </is>
      </c>
    </row>
    <row r="327">
      <c r="A327" t="inlineStr">
        <is>
          <t>Выручка без НДС</t>
        </is>
      </c>
      <c r="B327" s="120" t="n">
        <v>37839918</v>
      </c>
      <c r="C327" t="inlineStr">
        <is>
          <t>₽</t>
        </is>
      </c>
      <c r="D327" t="inlineStr">
        <is>
          <t>Оценка: 2 мес. P&amp;L x 11</t>
        </is>
      </c>
      <c r="E327" t="inlineStr">
        <is>
          <t>Роялти плюс мерч.</t>
        </is>
      </c>
    </row>
    <row r="328">
      <c r="A328" t="inlineStr">
        <is>
          <t>Прямые расходы</t>
        </is>
      </c>
      <c r="B328" s="120" t="n">
        <v>8440970</v>
      </c>
      <c r="C328" t="inlineStr">
        <is>
          <t>₽</t>
        </is>
      </c>
      <c r="D328" t="inlineStr">
        <is>
          <t>Оценка: 2 мес. P&amp;L x 11</t>
        </is>
      </c>
      <c r="E328" t="inlineStr">
        <is>
          <t>Себестоимость формы плюс выплаты клубу («коммерческие расходы» отчёта).</t>
        </is>
      </c>
    </row>
    <row r="329">
      <c r="A329" t="inlineStr">
        <is>
          <t>Валовая прибыль</t>
        </is>
      </c>
      <c r="B329" s="120" t="n">
        <v>29398948</v>
      </c>
      <c r="C329" t="inlineStr">
        <is>
          <t>₽ ±</t>
        </is>
      </c>
      <c r="D329" t="inlineStr">
        <is>
          <t>Оценка: 2 мес. P&amp;L x 11</t>
        </is>
      </c>
      <c r="E329" t="inlineStr">
        <is>
          <t>Выручка минус прямые расходы — как в БДР модели, а не как в строке 03 отчёта: там выплаты клубу ещё не вычтены.</t>
        </is>
      </c>
    </row>
    <row r="330">
      <c r="A330" t="inlineStr">
        <is>
          <t>ФОТ и кадровые расходы</t>
        </is>
      </c>
      <c r="B330" s="120" t="n">
        <v>44964860</v>
      </c>
      <c r="C330" t="inlineStr">
        <is>
          <t>₽</t>
        </is>
      </c>
      <c r="D330" t="inlineStr">
        <is>
          <t>Оценка: 2 мес. P&amp;L x 11</t>
        </is>
      </c>
      <c r="E330" t="inlineStr">
        <is>
          <t>Оплата труда, страховые взносы и взносы в ФСС от НС и ПЗ.</t>
        </is>
      </c>
    </row>
    <row r="331">
      <c r="A331" t="inlineStr">
        <is>
          <t>OPEX — прочие</t>
        </is>
      </c>
      <c r="B331" s="120" t="n">
        <v>11941017</v>
      </c>
      <c r="C331" t="inlineStr">
        <is>
          <t>₽</t>
        </is>
      </c>
      <c r="D331" t="inlineStr">
        <is>
          <t>Оценка: 2 мес. P&amp;L x 11</t>
        </is>
      </c>
      <c r="E331" t="inlineStr">
        <is>
          <t>Административные расходы за вычетом ФОТ: аренда, CRM, ПО, реклама, связь, уборка.</t>
        </is>
      </c>
    </row>
    <row r="332">
      <c r="A332" t="inlineStr">
        <is>
          <t>EBITDA</t>
        </is>
      </c>
      <c r="B332" s="120" t="n">
        <v>-27569953</v>
      </c>
      <c r="C332" t="inlineStr">
        <is>
          <t>₽ ±</t>
        </is>
      </c>
      <c r="D332" t="inlineStr">
        <is>
          <t>Оценка: 2 мес. P&amp;L x 11</t>
        </is>
      </c>
      <c r="E332" t="inlineStr">
        <is>
          <t>Административные расходы около 5,2 млн в месяц против выручки 3,1–3,7 млн: сезон закрыт убытком.</t>
        </is>
      </c>
    </row>
    <row r="333">
      <c r="A333" t="inlineStr">
        <is>
          <t>УСН / минимальный налог</t>
        </is>
      </c>
      <c r="B333" s="120" t="n">
        <v>0</v>
      </c>
      <c r="C333" t="inlineStr">
        <is>
          <t>₽</t>
        </is>
      </c>
      <c r="D333" t="inlineStr">
        <is>
          <t>Нет в отчётах</t>
        </is>
      </c>
      <c r="E333" t="inlineStr">
        <is>
          <t>При убытке налог не начисляется.</t>
        </is>
      </c>
    </row>
    <row r="334">
      <c r="A334" t="inlineStr">
        <is>
          <t>Прибыль после налога</t>
        </is>
      </c>
      <c r="B334" s="120" t="n">
        <v>-27569953</v>
      </c>
      <c r="C334" t="inlineStr">
        <is>
          <t>₽ ±</t>
        </is>
      </c>
      <c r="D334" t="inlineStr">
        <is>
          <t>Оценка: 2 мес. P&amp;L x 11</t>
        </is>
      </c>
      <c r="E334" t="inlineStr">
        <is>
          <t>В отчёте чистая прибыль равна EBITDA: амортизации нет.</t>
        </is>
      </c>
    </row>
    <row r="335">
      <c r="A335" t="inlineStr">
        <is>
          <t>Денежный поток за сезон</t>
        </is>
      </c>
      <c r="B335" s="120" t="n">
        <v>0</v>
      </c>
      <c r="C335" t="inlineStr">
        <is>
          <t>₽ ±</t>
        </is>
      </c>
      <c r="D335" t="inlineStr">
        <is>
          <t>Нет данных</t>
        </is>
      </c>
      <c r="E335" t="inlineStr">
        <is>
          <t>ДДС передан только за 01.01–02.07.2026 и в PDF. Заполнить, когда появится отчёт за сезон целиком.</t>
        </is>
      </c>
    </row>
    <row r="336">
      <c r="A336" t="inlineStr">
        <is>
          <t>Деньги на конец сезона</t>
        </is>
      </c>
      <c r="B336" s="120" t="n">
        <v>187878</v>
      </c>
      <c r="C336" t="inlineStr">
        <is>
          <t>₽ ±</t>
        </is>
      </c>
      <c r="D336" t="inlineStr">
        <is>
          <t>ДДС на 02.07.2026</t>
        </is>
      </c>
      <c r="E336" t="inlineStr">
        <is>
          <t>Тот же остаток, с которого стартует прогноз (B17).</t>
        </is>
      </c>
    </row>
    <row r="337">
      <c r="A337" t="inlineStr">
        <is>
          <t>Школы на конец сезона</t>
        </is>
      </c>
      <c r="B337" s="120" t="n">
        <v>104</v>
      </c>
      <c r="C337" t="inlineStr">
        <is>
          <t>шт.</t>
        </is>
      </c>
      <c r="D337" t="inlineStr">
        <is>
          <t>Реестр сети 21.08.2026</t>
        </is>
      </c>
    </row>
    <row r="338">
      <c r="A338" t="inlineStr">
        <is>
          <t>Партнёры на конец сезона</t>
        </is>
      </c>
      <c r="B338" s="120" t="n">
        <v>51</v>
      </c>
      <c r="C338" t="inlineStr">
        <is>
          <t>шт.</t>
        </is>
      </c>
      <c r="D338" t="inlineStr">
        <is>
          <t>Реестр сети 21.08.2026</t>
        </is>
      </c>
      <c r="E338" t="inlineStr">
        <is>
          <t>48 подписали ДКК, 3 в переговорах.</t>
        </is>
      </c>
    </row>
    <row r="339">
      <c r="A339" t="inlineStr">
        <is>
          <t>Дети на конец сезона</t>
        </is>
      </c>
      <c r="B339" s="120" t="n">
        <v>3808</v>
      </c>
      <c r="C339" t="inlineStr">
        <is>
          <t>чел.</t>
        </is>
      </c>
      <c r="D339" t="inlineStr">
        <is>
          <t>Реестр: август 2026</t>
        </is>
      </c>
      <c r="E339" t="inlineStr">
        <is>
          <t>Проданных абонементов в августе 2026. Абонемент не равен ребёнку: часть из них многомесячные.</t>
        </is>
      </c>
    </row>
    <row r="340"/>
    <row r="341">
      <c r="A341" t="inlineStr">
        <is>
          <t>Реестр начислений помесячно — оборот сети и роялти</t>
        </is>
      </c>
    </row>
    <row r="342">
      <c r="A342" t="inlineStr">
        <is>
          <t>Месяц</t>
        </is>
      </c>
      <c r="B342" t="inlineStr">
        <is>
          <t>Оборот сети, ₽</t>
        </is>
      </c>
      <c r="C342" t="inlineStr">
        <is>
          <t>Роялти начислено, ₽</t>
        </is>
      </c>
    </row>
    <row r="343">
      <c r="A343" s="121" t="n">
        <v>45931</v>
      </c>
      <c r="B343" s="120" t="n">
        <v>23763743</v>
      </c>
      <c r="C343" s="120" t="n">
        <v>1721989</v>
      </c>
    </row>
    <row r="344">
      <c r="A344" s="121" t="n">
        <v>45962</v>
      </c>
      <c r="B344" s="120" t="n">
        <v>28003516</v>
      </c>
      <c r="C344" s="120" t="n">
        <v>1926571</v>
      </c>
    </row>
    <row r="345">
      <c r="A345" s="121" t="n">
        <v>45992</v>
      </c>
      <c r="B345" s="120" t="n">
        <v>30210358</v>
      </c>
      <c r="C345" s="120" t="n">
        <v>1920426</v>
      </c>
    </row>
    <row r="346">
      <c r="A346" s="121" t="n">
        <v>46023</v>
      </c>
      <c r="B346" s="120" t="n">
        <v>32411412</v>
      </c>
      <c r="C346" s="120" t="n">
        <v>2109980</v>
      </c>
    </row>
    <row r="347">
      <c r="A347" s="121" t="n">
        <v>46054</v>
      </c>
      <c r="B347" s="120" t="n">
        <v>36606090</v>
      </c>
      <c r="C347" s="120" t="n">
        <v>2276950</v>
      </c>
    </row>
    <row r="348">
      <c r="A348" s="121" t="n">
        <v>46082</v>
      </c>
      <c r="B348" s="120" t="n">
        <v>44107279</v>
      </c>
      <c r="C348" s="120" t="n">
        <v>2617615</v>
      </c>
    </row>
    <row r="349">
      <c r="A349" s="121" t="n">
        <v>46113</v>
      </c>
      <c r="B349" s="120" t="n">
        <v>41035864</v>
      </c>
      <c r="C349" s="120" t="n">
        <v>2472905</v>
      </c>
    </row>
    <row r="350">
      <c r="A350" s="121" t="n">
        <v>46143</v>
      </c>
      <c r="B350" s="120" t="n">
        <v>42817500</v>
      </c>
      <c r="C350" s="120" t="n">
        <v>2749786</v>
      </c>
    </row>
    <row r="351">
      <c r="A351" s="121" t="n">
        <v>46174</v>
      </c>
      <c r="B351" s="120" t="n">
        <v>31522552</v>
      </c>
      <c r="C351" s="120" t="n">
        <v>2183764</v>
      </c>
    </row>
    <row r="352">
      <c r="A352" s="121" t="n">
        <v>46204</v>
      </c>
      <c r="B352" s="120" t="n">
        <v>26948036</v>
      </c>
      <c r="C352" s="120" t="n">
        <v>2097917</v>
      </c>
    </row>
    <row r="353">
      <c r="A353" s="121" t="n">
        <v>46235</v>
      </c>
      <c r="B353" s="120" t="n">
        <v>44849008</v>
      </c>
      <c r="C353" s="120" t="n">
        <v>2701108</v>
      </c>
    </row>
    <row r="354">
      <c r="A354" t="inlineStr">
        <is>
          <t>Итого за 11 месяцев</t>
        </is>
      </c>
      <c r="B354" s="120">
        <f>SUM(B343:B353)</f>
        <v/>
      </c>
      <c r="C354" s="120">
        <f>SUM(C343:C353)</f>
        <v/>
      </c>
      <c r="E354" t="inlineStr">
        <is>
          <t>Сентябрь 2025 в переданном реестре отсутствует, поэтому месяцев одиннадцать, а не двенадцать.</t>
        </is>
      </c>
    </row>
    <row r="355"/>
    <row r="356">
      <c r="A356" t="inlineStr">
        <is>
          <t>P&amp;L управляющей компании — месяцы, по которым есть отчёт</t>
        </is>
      </c>
    </row>
    <row r="357">
      <c r="A357" t="inlineStr">
        <is>
          <t>Статья</t>
        </is>
      </c>
      <c r="B357" t="inlineStr">
        <is>
          <t>Июнь 2026</t>
        </is>
      </c>
      <c r="C357" t="inlineStr">
        <is>
          <t>Июль 2026</t>
        </is>
      </c>
    </row>
    <row r="358">
      <c r="A358" t="inlineStr">
        <is>
          <t>P&amp;L: Роялти</t>
        </is>
      </c>
      <c r="B358" s="120" t="n">
        <v>2452155</v>
      </c>
      <c r="C358" s="120" t="n">
        <v>3070178</v>
      </c>
    </row>
    <row r="359">
      <c r="A359" t="inlineStr">
        <is>
          <t>P&amp;L: Мерч (спортивная форма)</t>
        </is>
      </c>
      <c r="B359" s="120" t="n">
        <v>1290902</v>
      </c>
      <c r="C359" s="120" t="n">
        <v>66750</v>
      </c>
    </row>
    <row r="360">
      <c r="A360" t="inlineStr">
        <is>
          <t>P&amp;L: Себестоимость формы</t>
        </is>
      </c>
      <c r="B360" s="120" t="n">
        <v>735974</v>
      </c>
      <c r="C360" s="120" t="n">
        <v>44505</v>
      </c>
    </row>
    <row r="361">
      <c r="A361" t="inlineStr">
        <is>
          <t>P&amp;L: Выплаты клубу</t>
        </is>
      </c>
      <c r="B361" s="120" t="n">
        <v>439440</v>
      </c>
      <c r="C361" s="120" t="n">
        <v>314803</v>
      </c>
    </row>
    <row r="362">
      <c r="A362" t="inlineStr">
        <is>
          <t>P&amp;L: ФОТ со взносами</t>
        </is>
      </c>
      <c r="B362" s="120" t="n">
        <v>3895182</v>
      </c>
      <c r="C362" s="120" t="n">
        <v>4280247</v>
      </c>
    </row>
    <row r="363">
      <c r="A363" t="inlineStr">
        <is>
          <t>P&amp;L: OPEX — прочие</t>
        </is>
      </c>
      <c r="B363" s="120" t="n">
        <v>1102727</v>
      </c>
      <c r="C363" s="120" t="n">
        <v>1068367</v>
      </c>
    </row>
    <row r="364">
      <c r="A364" t="inlineStr">
        <is>
          <t>P&amp;L: Прочие расходы</t>
        </is>
      </c>
      <c r="B364" s="120" t="n">
        <v>6449</v>
      </c>
      <c r="C364" s="120" t="n">
        <v>5010</v>
      </c>
    </row>
    <row r="365">
      <c r="A365" t="inlineStr">
        <is>
          <t>P&amp;L: EBITDA</t>
        </is>
      </c>
      <c r="B365" s="120" t="n">
        <v>-2436714</v>
      </c>
      <c r="C365" s="120" t="n">
        <v>-2576003</v>
      </c>
    </row>
  </sheetData>
  <mergeCells count="57">
    <mergeCell ref="A69:O69"/>
    <mergeCell ref="E250:H250"/>
    <mergeCell ref="A232:H232"/>
    <mergeCell ref="A205:O205"/>
    <mergeCell ref="E237:H237"/>
    <mergeCell ref="A300:E300"/>
    <mergeCell ref="E256:H256"/>
    <mergeCell ref="B3:O3"/>
    <mergeCell ref="A260:K260"/>
    <mergeCell ref="A285:F285"/>
    <mergeCell ref="E243:H243"/>
    <mergeCell ref="E239:H239"/>
    <mergeCell ref="E246:H246"/>
    <mergeCell ref="A136:O136"/>
    <mergeCell ref="A154:O154"/>
    <mergeCell ref="E242:H242"/>
    <mergeCell ref="E255:H255"/>
    <mergeCell ref="E233:H233"/>
    <mergeCell ref="E251:H251"/>
    <mergeCell ref="A86:O86"/>
    <mergeCell ref="A179:O179"/>
    <mergeCell ref="A195:O195"/>
    <mergeCell ref="A42:O42"/>
    <mergeCell ref="E238:H238"/>
    <mergeCell ref="E258:H258"/>
    <mergeCell ref="A292:E292"/>
    <mergeCell ref="A5:O5"/>
    <mergeCell ref="A23:O23"/>
    <mergeCell ref="E248:H248"/>
    <mergeCell ref="A159:O159"/>
    <mergeCell ref="E235:H235"/>
    <mergeCell ref="A97:O97"/>
    <mergeCell ref="A206:O206"/>
    <mergeCell ref="A209:O209"/>
    <mergeCell ref="E247:H247"/>
    <mergeCell ref="E254:H254"/>
    <mergeCell ref="E234:H234"/>
    <mergeCell ref="A190:O190"/>
    <mergeCell ref="E253:H253"/>
    <mergeCell ref="E244:H244"/>
    <mergeCell ref="E240:H240"/>
    <mergeCell ref="A230:O230"/>
    <mergeCell ref="E236:H236"/>
    <mergeCell ref="A34:O34"/>
    <mergeCell ref="A92:O92"/>
    <mergeCell ref="A114:O114"/>
    <mergeCell ref="E249:H249"/>
    <mergeCell ref="E245:H245"/>
    <mergeCell ref="A191:O191"/>
    <mergeCell ref="A207:O207"/>
    <mergeCell ref="A49:O49"/>
    <mergeCell ref="E252:H252"/>
    <mergeCell ref="A1:O1"/>
    <mergeCell ref="A103:O103"/>
    <mergeCell ref="E241:H241"/>
    <mergeCell ref="E257:H257"/>
    <mergeCell ref="A61:O61"/>
  </mergeCells>
  <dataValidations count="37">
    <dataValidation sqref="B192" showDropDown="0" showInputMessage="0" showErrorMessage="1" allowBlank="0" errorTitle="Выбери значение из списка" error="Свободный ввод не предусмотрен для этого поля." type="list" errorStyle="stop">
      <formula1>$C$197:$E$197</formula1>
    </dataValidation>
    <dataValidation sqref="C198:C203 E198:E203" showDropDown="0" showInputMessage="0" showErrorMessage="1" allowBlank="0" type="decimal" operator="greaterThanOrEqual">
      <formula1>0</formula1>
    </dataValidation>
    <dataValidation sqref="G198:G203" showDropDown="0" showInputMessage="0" showErrorMessage="1" allowBlank="0" type="decimal" operator="between">
      <formula1>0</formula1>
      <formula2>0.99</formula2>
    </dataValidation>
    <dataValidation sqref="D138:D150"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129" showDropDown="0" showInputMessage="0" showErrorMessage="1" allowBlank="0" errorTitle="Выбери значение из списка" error="Свободный ввод не предусмотрен для этого поля." type="list" errorStyle="stop">
      <formula1>"ИП,Сотрудник"</formula1>
    </dataValidation>
    <dataValidation sqref="B29 B31 B33 B82:B85 B173 B175 B177 B252:B254 B256" showDropDown="0" showInputMessage="0" showErrorMessage="1" allowBlank="0" errorTitle="Выбери значение из списка" error="Свободный ввод не предусмотрен для этого поля." type="list" errorStyle="stop">
      <formula1>"1,2,3,4,5,6,7,8,9,10,11,12"</formula1>
    </dataValidation>
    <dataValidation sqref="B234"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8"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9"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41"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3" showDropDown="0" showInputMessage="0" showErrorMessage="1" allowBlank="0" errorTitle="Выбери значение из списка" error="Свободный ввод не предусмотрен для этого поля." type="list" errorStyle="stop">
      <formula1>$A$198:$A$203</formula1>
    </dataValidation>
    <dataValidation sqref="B15" showDropDown="0" showInputMessage="0" showErrorMessage="1" allowBlank="0" type="whole" operator="between">
      <formula1>0</formula1>
      <formula2>12</formula2>
    </dataValidation>
    <dataValidation sqref="B27" showDropDown="0" showInputMessage="0" showErrorMessage="1" allowBlank="0" type="whole" operator="between">
      <formula1>0</formula1>
      <formula2>12</formula2>
    </dataValidation>
    <dataValidation sqref="B235" showDropDown="0" showInputMessage="0" showErrorMessage="1" allowBlank="0" type="whole" operator="between">
      <formula1>0</formula1>
      <formula2>12</formula2>
    </dataValidation>
    <dataValidation sqref="B243" showDropDown="0" showInputMessage="0" showErrorMessage="1" allowBlank="0" type="whole" operator="between">
      <formula1>0</formula1>
      <formula2>12</formula2>
    </dataValidation>
    <dataValidation sqref="B80" showDropDown="0" showInputMessage="0" showErrorMessage="1" allowBlank="0" type="whole" operator="between">
      <formula1>1</formula1>
      <formula2>6</formula2>
    </dataValidation>
    <dataValidation sqref="B19" showDropDown="0" showInputMessage="0" showErrorMessage="1" allowBlank="0" type="decimal" operator="between">
      <formula1>0</formula1>
      <formula2>30</formula2>
    </dataValidation>
    <dataValidation sqref="B225" showDropDown="0" showInputMessage="0" showErrorMessage="1" allowBlank="0" type="decimal" operator="between">
      <formula1>0</formula1>
      <formula2>30</formula2>
    </dataValidation>
    <dataValidation sqref="B288" showDropDown="0" showInputMessage="0" showErrorMessage="1" allowBlank="0" error="Выбери значение из списка." type="list" errorStyle="stop">
      <formula1>"С НДС,Без НДС"</formula1>
    </dataValidation>
    <dataValidation sqref="B290" showDropDown="0" showInputMessage="0" showErrorMessage="1" allowBlank="0" error="Выбери значение из списка." type="list" errorStyle="stop">
      <formula1>"Да,Нет"</formula1>
    </dataValidation>
    <dataValidation sqref="B286" showDropDown="0" showInputMessage="0" showErrorMessage="1" allowBlank="0" type="decimal" operator="between">
      <formula1>0</formula1>
      <formula2>1</formula2>
    </dataValidation>
    <dataValidation sqref="B287" showDropDown="0" showInputMessage="0" showErrorMessage="1" allowBlank="0" type="decimal" operator="between">
      <formula1>0</formula1>
      <formula2>10000000000</formula2>
    </dataValidation>
    <dataValidation sqref="B294:B295" showDropDown="0" showInputMessage="0" showErrorMessage="1" allowBlank="0" type="list">
      <formula1>"Да,Нет"</formula1>
    </dataValidation>
    <dataValidation sqref="B296" showDropDown="0" showInputMessage="0" showErrorMessage="1" allowBlank="0" type="list">
      <formula1>"Новый сезон,Через 12 месяцев"</formula1>
    </dataValidation>
    <dataValidation sqref="B297" showDropDown="0" showInputMessage="0" showErrorMessage="0" allowBlank="0" type="whole" operator="between">
      <formula1>0</formula1>
      <formula2>24</formula2>
    </dataValidation>
    <dataValidation sqref="B298" showDropDown="0" showInputMessage="0" showErrorMessage="0" allowBlank="0" type="decimal" operator="between">
      <formula1>0</formula1>
      <formula2>1</formula2>
    </dataValidation>
    <dataValidation sqref="B188" showDropDown="0" showInputMessage="0" showErrorMessage="0" allowBlank="0" errorTitle="Некорректный режим" error="Выберите один из двух режимов." promptTitle="История" prompt="Выберите, включать ли доступный факт сезона 25/26 в общий результат." type="list">
      <formula1>"Без истории,С историей"</formula1>
    </dataValidation>
    <dataValidation sqref="B7" showDropDown="0" showInputMessage="1" showErrorMessage="1" allowBlank="0" errorTitle="Дата старта" error="Старт ставится на первое число месяца: месяц — минимальный шаг модели. Месяц может быть любым — сезонность, веса продаж и согласованный мерч ищутся по календарю." promptTitle="Дата старта модели" prompt="Первое число любого месяца." type="custom">
      <formula1>=DAY($B$7)=1</formula1>
    </dataValidation>
    <dataValidation sqref="B7 B81 B242 B244 B245 B246 B247 B248 B249 B250 B251 B255 B293" showDropDown="0" showInputMessage="1" showErrorMessage="1" allowBlank="0" errorTitle="Нужна дата" error="Введите дату между 2020 и 2040 годом." type="date" operator="between">
      <formula1>DATE(2020,1,1)</formula1>
      <formula2>DATE(2040,12,31)</formula2>
    </dataValidation>
    <dataValidation sqref="B8 B15 B19 B27 B80 B235 B243 B297 B310 B311" showDropDown="0" showInputMessage="1" showErrorMessage="1" allowBlank="0" errorTitle="Целое число" error="Срок задаётся целым числом, от 0 до 120." type="whole" operator="between">
      <formula1>0</formula1>
      <formula2>120</formula2>
    </dataValidation>
    <dataValidation sqref="B9 B10 B11 B16 B22 B106 B117 B118 B161 B162 B163 B337 B338 B339" showDropDown="0" showInputMessage="1" showErrorMessage="1" allowBlank="0" errorTitle="Количество" error="Введите неотрицательное число." type="decimal" operator="between">
      <formula1>0</formula1>
      <formula2>100000</formula2>
    </dataValidation>
    <dataValidation sqref="B12 B13 B25 B55 B56 B57 B58 B59 B60 B72 B75 B76 B79 B116 B125 B128 B131 B156 B157 B169 B171 B172 B174 B176 B240 B286 B298" showDropDown="0" showInputMessage="1" showErrorMessage="1" allowBlank="0" errorTitle="Доля, а не проценты" error="Вводите долей: 6,5 % это 0,065. Допустимо от 0 до 1." promptTitle="Конверсия продажа - открытие" prompt="Долей: 0,065 = 6,5 %" type="decimal" operator="between">
      <formula1>0</formula1>
      <formula2>1</formula2>
    </dataValidation>
    <dataValidation sqref="B17 B28 B30 B32 B71 B77 B78 B105 B107 B108 B109 B110 B111 B112 B119 B121 B122 B123 B124 B127 B133 B134 B135 B164 B165 B167 B170 B237 B287 B324 B325 B326 B327 B328 B330 B331 B333" showDropDown="0" showInputMessage="1" showErrorMessage="1" allowBlank="0" errorTitle="Сумма в рублях" error="Введите сумму числом, без пробелов и знака рубля. Отрицательные суммы не принимаются." type="decimal" operator="greaterThanOrEqual">
      <formula1>0</formula1>
    </dataValidation>
    <dataValidation sqref="B29 B31 B33 B82 B83 B84 B85 B173 B175 B177" showDropDown="0" showInputMessage="1" showErrorMessage="1" allowBlank="0" errorTitle="Номер месяца" error="От 1 (январь) до 12 (декабрь)." type="whole" operator="between">
      <formula1>1</formula1>
      <formula2>12</formula2>
    </dataValidation>
    <dataValidation sqref="B192" showDropDown="0" showInputMessage="1" showErrorMessage="1" allowBlank="0" errorTitle="Только три сценария" error="Выберите негативный, базовый или позитивный." type="list">
      <formula1>"Негативный,Базовый,Позитивный"</formula1>
    </dataValidation>
    <dataValidation sqref="B234 B238 B239 B241 B294 B295 B322" showDropDown="0" showInputMessage="1" showErrorMessage="1" allowBlank="0" errorTitle="Только Да или Нет" error="Выберите значение из списка." promptTitle="Учитывать сезон 25/26" prompt="Да или Нет" type="list">
      <formula1>"Да,Нет"</formula1>
    </dataValidation>
    <dataValidation sqref="B329 B332 B334 B335 B336" showDropDown="0" showInputMessage="1" showErrorMessage="1" allowBlank="0" errorTitle="Сумма в рублях" error="Введите сумму числом, без пробелов и знака рубля. Минус допустим: убыток и отток — тоже результат." type="decimal" operator="between">
      <formula1>-1000000000000</formula1>
      <formula2>1000000000000</formula2>
    </dataValidation>
  </dataValidations>
  <printOptions horizontalCentered="0"/>
  <pageMargins left="0.75" right="0.75" top="1" bottom="1" header="0.5" footer="0.5"/>
  <pageSetup orientation="landscape" fitToHeight="0"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B1:BY59"/>
  <sheetViews>
    <sheetView showGridLines="0" workbookViewId="0">
      <pane xSplit="11" ySplit="5" topLeftCell="L6"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22" t="inlineStr">
        <is>
          <t>Результат: БДР и БДДС</t>
        </is>
      </c>
    </row>
    <row r="2">
      <c r="B2" s="2" t="inlineStr">
        <is>
          <t>Начисления и деньги на одном листе, но в разных блоках. Слева итоги по годам, справа те же строки по месяцам.</t>
        </is>
      </c>
    </row>
    <row r="3"/>
    <row r="4" ht="26" customHeight="1">
      <c r="B4" s="123" t="inlineStr">
        <is>
          <t>Показатель</t>
        </is>
      </c>
      <c r="C4" s="123" t="inlineStr">
        <is>
          <t>Ед.</t>
        </is>
      </c>
      <c r="D4" s="123" t="inlineStr">
        <is>
          <t>Как считается</t>
        </is>
      </c>
      <c r="E4" s="123" t="inlineStr">
        <is>
          <t>Год 1</t>
        </is>
      </c>
      <c r="F4" s="123" t="inlineStr">
        <is>
          <t>Год 2</t>
        </is>
      </c>
      <c r="G4" s="123" t="inlineStr">
        <is>
          <t>Год 3</t>
        </is>
      </c>
      <c r="H4" s="123" t="inlineStr">
        <is>
          <t>Год 4</t>
        </is>
      </c>
      <c r="I4" s="123" t="inlineStr">
        <is>
          <t>Год 5</t>
        </is>
      </c>
      <c r="J4" s="123" t="inlineStr">
        <is>
          <t>Итого 5 лет</t>
        </is>
      </c>
      <c r="K4" s="123" t="n"/>
      <c r="L4" s="123" t="inlineStr">
        <is>
          <t>М1</t>
        </is>
      </c>
      <c r="M4" s="123" t="inlineStr">
        <is>
          <t>М2</t>
        </is>
      </c>
      <c r="N4" s="123" t="inlineStr">
        <is>
          <t>М3</t>
        </is>
      </c>
      <c r="O4" s="123" t="inlineStr">
        <is>
          <t>М4</t>
        </is>
      </c>
      <c r="P4" s="123" t="inlineStr">
        <is>
          <t>М5</t>
        </is>
      </c>
      <c r="Q4" s="123" t="inlineStr">
        <is>
          <t>М6</t>
        </is>
      </c>
      <c r="R4" s="123" t="inlineStr">
        <is>
          <t>М7</t>
        </is>
      </c>
      <c r="S4" s="123" t="inlineStr">
        <is>
          <t>М8</t>
        </is>
      </c>
      <c r="T4" s="123" t="inlineStr">
        <is>
          <t>М9</t>
        </is>
      </c>
      <c r="U4" s="123" t="inlineStr">
        <is>
          <t>М10</t>
        </is>
      </c>
      <c r="V4" s="123" t="inlineStr">
        <is>
          <t>М11</t>
        </is>
      </c>
      <c r="W4" s="123" t="inlineStr">
        <is>
          <t>М12</t>
        </is>
      </c>
      <c r="X4" s="123" t="inlineStr">
        <is>
          <t>М13</t>
        </is>
      </c>
      <c r="Y4" s="123" t="inlineStr">
        <is>
          <t>М14</t>
        </is>
      </c>
      <c r="Z4" s="123" t="inlineStr">
        <is>
          <t>М15</t>
        </is>
      </c>
      <c r="AA4" s="123" t="inlineStr">
        <is>
          <t>М16</t>
        </is>
      </c>
      <c r="AB4" s="123" t="inlineStr">
        <is>
          <t>М17</t>
        </is>
      </c>
      <c r="AC4" s="123" t="inlineStr">
        <is>
          <t>М18</t>
        </is>
      </c>
      <c r="AD4" s="123" t="inlineStr">
        <is>
          <t>М19</t>
        </is>
      </c>
      <c r="AE4" s="123" t="inlineStr">
        <is>
          <t>М20</t>
        </is>
      </c>
      <c r="AF4" s="123" t="inlineStr">
        <is>
          <t>М21</t>
        </is>
      </c>
      <c r="AG4" s="123" t="inlineStr">
        <is>
          <t>М22</t>
        </is>
      </c>
      <c r="AH4" s="123" t="inlineStr">
        <is>
          <t>М23</t>
        </is>
      </c>
      <c r="AI4" s="123" t="inlineStr">
        <is>
          <t>М24</t>
        </is>
      </c>
      <c r="AJ4" s="123" t="inlineStr">
        <is>
          <t>М25</t>
        </is>
      </c>
      <c r="AK4" s="123" t="inlineStr">
        <is>
          <t>М26</t>
        </is>
      </c>
      <c r="AL4" s="123" t="inlineStr">
        <is>
          <t>М27</t>
        </is>
      </c>
      <c r="AM4" s="123" t="inlineStr">
        <is>
          <t>М28</t>
        </is>
      </c>
      <c r="AN4" s="123" t="inlineStr">
        <is>
          <t>М29</t>
        </is>
      </c>
      <c r="AO4" s="123" t="inlineStr">
        <is>
          <t>М30</t>
        </is>
      </c>
      <c r="AP4" s="123" t="inlineStr">
        <is>
          <t>М31</t>
        </is>
      </c>
      <c r="AQ4" s="123" t="inlineStr">
        <is>
          <t>М32</t>
        </is>
      </c>
      <c r="AR4" s="123" t="inlineStr">
        <is>
          <t>М33</t>
        </is>
      </c>
      <c r="AS4" s="123" t="inlineStr">
        <is>
          <t>М34</t>
        </is>
      </c>
      <c r="AT4" s="123" t="inlineStr">
        <is>
          <t>М35</t>
        </is>
      </c>
      <c r="AU4" s="123" t="inlineStr">
        <is>
          <t>М36</t>
        </is>
      </c>
      <c r="AV4" s="123" t="inlineStr">
        <is>
          <t>М37</t>
        </is>
      </c>
      <c r="AW4" s="123" t="inlineStr">
        <is>
          <t>М38</t>
        </is>
      </c>
      <c r="AX4" s="123" t="inlineStr">
        <is>
          <t>М39</t>
        </is>
      </c>
      <c r="AY4" s="123" t="inlineStr">
        <is>
          <t>М40</t>
        </is>
      </c>
      <c r="AZ4" s="123" t="inlineStr">
        <is>
          <t>М41</t>
        </is>
      </c>
      <c r="BA4" s="123" t="inlineStr">
        <is>
          <t>М42</t>
        </is>
      </c>
      <c r="BB4" s="123" t="inlineStr">
        <is>
          <t>М43</t>
        </is>
      </c>
      <c r="BC4" s="123" t="inlineStr">
        <is>
          <t>М44</t>
        </is>
      </c>
      <c r="BD4" s="123" t="inlineStr">
        <is>
          <t>М45</t>
        </is>
      </c>
      <c r="BE4" s="123" t="inlineStr">
        <is>
          <t>М46</t>
        </is>
      </c>
      <c r="BF4" s="123" t="inlineStr">
        <is>
          <t>М47</t>
        </is>
      </c>
      <c r="BG4" s="123" t="inlineStr">
        <is>
          <t>М48</t>
        </is>
      </c>
      <c r="BH4" s="123" t="inlineStr">
        <is>
          <t>М49</t>
        </is>
      </c>
      <c r="BI4" s="123" t="inlineStr">
        <is>
          <t>М50</t>
        </is>
      </c>
      <c r="BJ4" s="123" t="inlineStr">
        <is>
          <t>М51</t>
        </is>
      </c>
      <c r="BK4" s="123" t="inlineStr">
        <is>
          <t>М52</t>
        </is>
      </c>
      <c r="BL4" s="123" t="inlineStr">
        <is>
          <t>М53</t>
        </is>
      </c>
      <c r="BM4" s="123" t="inlineStr">
        <is>
          <t>М54</t>
        </is>
      </c>
      <c r="BN4" s="123" t="inlineStr">
        <is>
          <t>М55</t>
        </is>
      </c>
      <c r="BO4" s="123" t="inlineStr">
        <is>
          <t>М56</t>
        </is>
      </c>
      <c r="BP4" s="123" t="inlineStr">
        <is>
          <t>М57</t>
        </is>
      </c>
      <c r="BQ4" s="123" t="inlineStr">
        <is>
          <t>М58</t>
        </is>
      </c>
      <c r="BR4" s="123" t="inlineStr">
        <is>
          <t>М59</t>
        </is>
      </c>
      <c r="BS4" s="123" t="inlineStr">
        <is>
          <t>М60</t>
        </is>
      </c>
      <c r="BT4" s="123" t="inlineStr">
        <is>
          <t>тех. 1</t>
        </is>
      </c>
      <c r="BU4" s="123" t="inlineStr">
        <is>
          <t>тех. 2</t>
        </is>
      </c>
      <c r="BV4" s="123" t="inlineStr">
        <is>
          <t>тех. 3</t>
        </is>
      </c>
      <c r="BW4" s="123" t="inlineStr">
        <is>
          <t>тех. 4</t>
        </is>
      </c>
      <c r="BX4" s="123" t="inlineStr">
        <is>
          <t>тех. 5</t>
        </is>
      </c>
      <c r="BY4" s="123" t="inlineStr">
        <is>
          <t>тех. 6</t>
        </is>
      </c>
    </row>
    <row r="5" ht="16" customHeight="1">
      <c r="B5" s="123" t="n"/>
      <c r="C5" s="123" t="n"/>
      <c r="D5" s="123" t="n"/>
      <c r="E5" s="123" t="n"/>
      <c r="F5" s="123" t="n"/>
      <c r="G5" s="123" t="n"/>
      <c r="H5" s="123" t="n"/>
      <c r="I5" s="123" t="n"/>
      <c r="J5" s="123" t="n"/>
      <c r="K5" s="123" t="n"/>
      <c r="L5" s="124">
        <f>DATE(YEAR(СтартМодели),MONTH(СтартМодели)+1-1,1)</f>
        <v/>
      </c>
      <c r="M5" s="124">
        <f>DATE(YEAR(СтартМодели),MONTH(СтартМодели)+2-1,1)</f>
        <v/>
      </c>
      <c r="N5" s="124">
        <f>DATE(YEAR(СтартМодели),MONTH(СтартМодели)+3-1,1)</f>
        <v/>
      </c>
      <c r="O5" s="124">
        <f>DATE(YEAR(СтартМодели),MONTH(СтартМодели)+4-1,1)</f>
        <v/>
      </c>
      <c r="P5" s="124">
        <f>DATE(YEAR(СтартМодели),MONTH(СтартМодели)+5-1,1)</f>
        <v/>
      </c>
      <c r="Q5" s="124">
        <f>DATE(YEAR(СтартМодели),MONTH(СтартМодели)+6-1,1)</f>
        <v/>
      </c>
      <c r="R5" s="124">
        <f>DATE(YEAR(СтартМодели),MONTH(СтартМодели)+7-1,1)</f>
        <v/>
      </c>
      <c r="S5" s="124">
        <f>DATE(YEAR(СтартМодели),MONTH(СтартМодели)+8-1,1)</f>
        <v/>
      </c>
      <c r="T5" s="124">
        <f>DATE(YEAR(СтартМодели),MONTH(СтартМодели)+9-1,1)</f>
        <v/>
      </c>
      <c r="U5" s="124">
        <f>DATE(YEAR(СтартМодели),MONTH(СтартМодели)+10-1,1)</f>
        <v/>
      </c>
      <c r="V5" s="124">
        <f>DATE(YEAR(СтартМодели),MONTH(СтартМодели)+11-1,1)</f>
        <v/>
      </c>
      <c r="W5" s="124">
        <f>DATE(YEAR(СтартМодели),MONTH(СтартМодели)+12-1,1)</f>
        <v/>
      </c>
      <c r="X5" s="124">
        <f>DATE(YEAR(СтартМодели),MONTH(СтартМодели)+13-1,1)</f>
        <v/>
      </c>
      <c r="Y5" s="124">
        <f>DATE(YEAR(СтартМодели),MONTH(СтартМодели)+14-1,1)</f>
        <v/>
      </c>
      <c r="Z5" s="124">
        <f>DATE(YEAR(СтартМодели),MONTH(СтартМодели)+15-1,1)</f>
        <v/>
      </c>
      <c r="AA5" s="124">
        <f>DATE(YEAR(СтартМодели),MONTH(СтартМодели)+16-1,1)</f>
        <v/>
      </c>
      <c r="AB5" s="124">
        <f>DATE(YEAR(СтартМодели),MONTH(СтартМодели)+17-1,1)</f>
        <v/>
      </c>
      <c r="AC5" s="124">
        <f>DATE(YEAR(СтартМодели),MONTH(СтартМодели)+18-1,1)</f>
        <v/>
      </c>
      <c r="AD5" s="124">
        <f>DATE(YEAR(СтартМодели),MONTH(СтартМодели)+19-1,1)</f>
        <v/>
      </c>
      <c r="AE5" s="124">
        <f>DATE(YEAR(СтартМодели),MONTH(СтартМодели)+20-1,1)</f>
        <v/>
      </c>
      <c r="AF5" s="124">
        <f>DATE(YEAR(СтартМодели),MONTH(СтартМодели)+21-1,1)</f>
        <v/>
      </c>
      <c r="AG5" s="124">
        <f>DATE(YEAR(СтартМодели),MONTH(СтартМодели)+22-1,1)</f>
        <v/>
      </c>
      <c r="AH5" s="124">
        <f>DATE(YEAR(СтартМодели),MONTH(СтартМодели)+23-1,1)</f>
        <v/>
      </c>
      <c r="AI5" s="124">
        <f>DATE(YEAR(СтартМодели),MONTH(СтартМодели)+24-1,1)</f>
        <v/>
      </c>
      <c r="AJ5" s="124">
        <f>DATE(YEAR(СтартМодели),MONTH(СтартМодели)+25-1,1)</f>
        <v/>
      </c>
      <c r="AK5" s="124">
        <f>DATE(YEAR(СтартМодели),MONTH(СтартМодели)+26-1,1)</f>
        <v/>
      </c>
      <c r="AL5" s="124">
        <f>DATE(YEAR(СтартМодели),MONTH(СтартМодели)+27-1,1)</f>
        <v/>
      </c>
      <c r="AM5" s="124">
        <f>DATE(YEAR(СтартМодели),MONTH(СтартМодели)+28-1,1)</f>
        <v/>
      </c>
      <c r="AN5" s="124">
        <f>DATE(YEAR(СтартМодели),MONTH(СтартМодели)+29-1,1)</f>
        <v/>
      </c>
      <c r="AO5" s="124">
        <f>DATE(YEAR(СтартМодели),MONTH(СтартМодели)+30-1,1)</f>
        <v/>
      </c>
      <c r="AP5" s="124">
        <f>DATE(YEAR(СтартМодели),MONTH(СтартМодели)+31-1,1)</f>
        <v/>
      </c>
      <c r="AQ5" s="124">
        <f>DATE(YEAR(СтартМодели),MONTH(СтартМодели)+32-1,1)</f>
        <v/>
      </c>
      <c r="AR5" s="124">
        <f>DATE(YEAR(СтартМодели),MONTH(СтартМодели)+33-1,1)</f>
        <v/>
      </c>
      <c r="AS5" s="124">
        <f>DATE(YEAR(СтартМодели),MONTH(СтартМодели)+34-1,1)</f>
        <v/>
      </c>
      <c r="AT5" s="124">
        <f>DATE(YEAR(СтартМодели),MONTH(СтартМодели)+35-1,1)</f>
        <v/>
      </c>
      <c r="AU5" s="124">
        <f>DATE(YEAR(СтартМодели),MONTH(СтартМодели)+36-1,1)</f>
        <v/>
      </c>
      <c r="AV5" s="124">
        <f>DATE(YEAR(СтартМодели),MONTH(СтартМодели)+37-1,1)</f>
        <v/>
      </c>
      <c r="AW5" s="124">
        <f>DATE(YEAR(СтартМодели),MONTH(СтартМодели)+38-1,1)</f>
        <v/>
      </c>
      <c r="AX5" s="124">
        <f>DATE(YEAR(СтартМодели),MONTH(СтартМодели)+39-1,1)</f>
        <v/>
      </c>
      <c r="AY5" s="124">
        <f>DATE(YEAR(СтартМодели),MONTH(СтартМодели)+40-1,1)</f>
        <v/>
      </c>
      <c r="AZ5" s="124">
        <f>DATE(YEAR(СтартМодели),MONTH(СтартМодели)+41-1,1)</f>
        <v/>
      </c>
      <c r="BA5" s="124">
        <f>DATE(YEAR(СтартМодели),MONTH(СтартМодели)+42-1,1)</f>
        <v/>
      </c>
      <c r="BB5" s="124">
        <f>DATE(YEAR(СтартМодели),MONTH(СтартМодели)+43-1,1)</f>
        <v/>
      </c>
      <c r="BC5" s="124">
        <f>DATE(YEAR(СтартМодели),MONTH(СтартМодели)+44-1,1)</f>
        <v/>
      </c>
      <c r="BD5" s="124">
        <f>DATE(YEAR(СтартМодели),MONTH(СтартМодели)+45-1,1)</f>
        <v/>
      </c>
      <c r="BE5" s="124">
        <f>DATE(YEAR(СтартМодели),MONTH(СтартМодели)+46-1,1)</f>
        <v/>
      </c>
      <c r="BF5" s="124">
        <f>DATE(YEAR(СтартМодели),MONTH(СтартМодели)+47-1,1)</f>
        <v/>
      </c>
      <c r="BG5" s="124">
        <f>DATE(YEAR(СтартМодели),MONTH(СтартМодели)+48-1,1)</f>
        <v/>
      </c>
      <c r="BH5" s="124">
        <f>DATE(YEAR(СтартМодели),MONTH(СтартМодели)+49-1,1)</f>
        <v/>
      </c>
      <c r="BI5" s="124">
        <f>DATE(YEAR(СтартМодели),MONTH(СтартМодели)+50-1,1)</f>
        <v/>
      </c>
      <c r="BJ5" s="124">
        <f>DATE(YEAR(СтартМодели),MONTH(СтартМодели)+51-1,1)</f>
        <v/>
      </c>
      <c r="BK5" s="124">
        <f>DATE(YEAR(СтартМодели),MONTH(СтартМодели)+52-1,1)</f>
        <v/>
      </c>
      <c r="BL5" s="124">
        <f>DATE(YEAR(СтартМодели),MONTH(СтартМодели)+53-1,1)</f>
        <v/>
      </c>
      <c r="BM5" s="124">
        <f>DATE(YEAR(СтартМодели),MONTH(СтартМодели)+54-1,1)</f>
        <v/>
      </c>
      <c r="BN5" s="124">
        <f>DATE(YEAR(СтартМодели),MONTH(СтартМодели)+55-1,1)</f>
        <v/>
      </c>
      <c r="BO5" s="124">
        <f>DATE(YEAR(СтартМодели),MONTH(СтартМодели)+56-1,1)</f>
        <v/>
      </c>
      <c r="BP5" s="124">
        <f>DATE(YEAR(СтартМодели),MONTH(СтартМодели)+57-1,1)</f>
        <v/>
      </c>
      <c r="BQ5" s="124">
        <f>DATE(YEAR(СтартМодели),MONTH(СтартМодели)+58-1,1)</f>
        <v/>
      </c>
      <c r="BR5" s="124">
        <f>DATE(YEAR(СтартМодели),MONTH(СтартМодели)+59-1,1)</f>
        <v/>
      </c>
      <c r="BS5" s="124">
        <f>DATE(YEAR(СтартМодели),MONTH(СтартМодели)+60-1,1)</f>
        <v/>
      </c>
      <c r="BT5" s="124">
        <f>DATE(YEAR(СтартМодели),MONTH(СтартМодели)+61-1,1)</f>
        <v/>
      </c>
      <c r="BU5" s="124">
        <f>DATE(YEAR(СтартМодели),MONTH(СтартМодели)+62-1,1)</f>
        <v/>
      </c>
      <c r="BV5" s="124">
        <f>DATE(YEAR(СтартМодели),MONTH(СтартМодели)+63-1,1)</f>
        <v/>
      </c>
      <c r="BW5" s="124">
        <f>DATE(YEAR(СтартМодели),MONTH(СтартМодели)+64-1,1)</f>
        <v/>
      </c>
      <c r="BX5" s="124">
        <f>DATE(YEAR(СтартМодели),MONTH(СтартМодели)+65-1,1)</f>
        <v/>
      </c>
      <c r="BY5" s="124">
        <f>DATE(YEAR(СтартМодели),MONTH(СтартМодели)+66-1,1)</f>
        <v/>
      </c>
    </row>
    <row r="6">
      <c r="B6" s="125" t="inlineStr">
        <is>
          <t>Сеть (справочно)</t>
        </is>
      </c>
      <c r="C6" s="126" t="n"/>
      <c r="D6" s="126" t="n"/>
      <c r="E6" s="126" t="n"/>
      <c r="F6" s="126" t="n"/>
      <c r="G6" s="126" t="n"/>
      <c r="H6" s="126" t="n"/>
      <c r="I6" s="126" t="n"/>
      <c r="J6" s="126" t="n"/>
      <c r="K6" s="126" t="n"/>
      <c r="L6" s="126" t="n"/>
      <c r="M6" s="126" t="n"/>
      <c r="N6" s="126" t="n"/>
      <c r="O6" s="126" t="n"/>
      <c r="P6" s="126" t="n"/>
      <c r="Q6" s="126" t="n"/>
      <c r="R6" s="126" t="n"/>
      <c r="S6" s="126" t="n"/>
      <c r="T6" s="126" t="n"/>
      <c r="U6" s="126" t="n"/>
      <c r="V6" s="126" t="n"/>
      <c r="W6" s="126" t="n"/>
      <c r="X6" s="126" t="n"/>
      <c r="Y6" s="126" t="n"/>
      <c r="Z6" s="126" t="n"/>
      <c r="AA6" s="126" t="n"/>
      <c r="AB6" s="126" t="n"/>
      <c r="AC6" s="126" t="n"/>
      <c r="AD6" s="126" t="n"/>
      <c r="AE6" s="126" t="n"/>
      <c r="AF6" s="126" t="n"/>
      <c r="AG6" s="126" t="n"/>
      <c r="AH6" s="126" t="n"/>
      <c r="AI6" s="126" t="n"/>
      <c r="AJ6" s="126" t="n"/>
      <c r="AK6" s="126" t="n"/>
      <c r="AL6" s="126" t="n"/>
      <c r="AM6" s="126" t="n"/>
      <c r="AN6" s="126" t="n"/>
      <c r="AO6" s="126" t="n"/>
      <c r="AP6" s="126" t="n"/>
      <c r="AQ6" s="126" t="n"/>
      <c r="AR6" s="126" t="n"/>
      <c r="AS6" s="126" t="n"/>
      <c r="AT6" s="126" t="n"/>
      <c r="AU6" s="126" t="n"/>
      <c r="AV6" s="126" t="n"/>
      <c r="AW6" s="126" t="n"/>
      <c r="AX6" s="126" t="n"/>
      <c r="AY6" s="126" t="n"/>
      <c r="AZ6" s="126" t="n"/>
      <c r="BA6" s="126" t="n"/>
      <c r="BB6" s="126" t="n"/>
      <c r="BC6" s="126" t="n"/>
      <c r="BD6" s="126" t="n"/>
      <c r="BE6" s="126" t="n"/>
      <c r="BF6" s="126" t="n"/>
      <c r="BG6" s="126" t="n"/>
      <c r="BH6" s="126" t="n"/>
      <c r="BI6" s="126" t="n"/>
      <c r="BJ6" s="126" t="n"/>
      <c r="BK6" s="126" t="n"/>
      <c r="BL6" s="126" t="n"/>
      <c r="BM6" s="126" t="n"/>
      <c r="BN6" s="126" t="n"/>
      <c r="BO6" s="126" t="n"/>
      <c r="BP6" s="126" t="n"/>
      <c r="BQ6" s="126" t="n"/>
      <c r="BR6" s="126" t="n"/>
      <c r="BS6" s="126" t="n"/>
      <c r="BT6" s="126" t="n"/>
      <c r="BU6" s="126" t="n"/>
      <c r="BV6" s="126" t="n"/>
      <c r="BW6" s="126" t="n"/>
      <c r="BX6" s="126" t="n"/>
      <c r="BY6" s="126" t="n"/>
    </row>
    <row r="7">
      <c r="B7" t="inlineStr">
        <is>
          <t>Школы всего</t>
        </is>
      </c>
      <c r="C7" t="inlineStr">
        <is>
          <t>шт.</t>
        </is>
      </c>
      <c r="D7" s="127" t="inlineStr">
        <is>
          <t>Подробности — на листе «Сеть» В колонках лет — значение на конец года, в «Итого» — на конец пятого года. Это остаток, а не сумма.</t>
        </is>
      </c>
      <c r="E7" s="128">
        <f>W7</f>
        <v/>
      </c>
      <c r="F7" s="128">
        <f>AI7</f>
        <v/>
      </c>
      <c r="G7" s="128">
        <f>AU7</f>
        <v/>
      </c>
      <c r="H7" s="128">
        <f>BG7</f>
        <v/>
      </c>
      <c r="I7" s="128">
        <f>BS7</f>
        <v/>
      </c>
      <c r="J7" s="13">
        <f>BS7</f>
        <v/>
      </c>
      <c r="L7" s="12">
        <f>'03_Сеть'!L60</f>
        <v/>
      </c>
      <c r="M7" s="12">
        <f>'03_Сеть'!M60</f>
        <v/>
      </c>
      <c r="N7" s="12">
        <f>'03_Сеть'!N60</f>
        <v/>
      </c>
      <c r="O7" s="12">
        <f>'03_Сеть'!O60</f>
        <v/>
      </c>
      <c r="P7" s="12">
        <f>'03_Сеть'!P60</f>
        <v/>
      </c>
      <c r="Q7" s="12">
        <f>'03_Сеть'!Q60</f>
        <v/>
      </c>
      <c r="R7" s="12">
        <f>'03_Сеть'!R60</f>
        <v/>
      </c>
      <c r="S7" s="12">
        <f>'03_Сеть'!S60</f>
        <v/>
      </c>
      <c r="T7" s="12">
        <f>'03_Сеть'!T60</f>
        <v/>
      </c>
      <c r="U7" s="12">
        <f>'03_Сеть'!U60</f>
        <v/>
      </c>
      <c r="V7" s="12">
        <f>'03_Сеть'!V60</f>
        <v/>
      </c>
      <c r="W7" s="12">
        <f>'03_Сеть'!W60</f>
        <v/>
      </c>
      <c r="X7" s="12">
        <f>'03_Сеть'!X60</f>
        <v/>
      </c>
      <c r="Y7" s="12">
        <f>'03_Сеть'!Y60</f>
        <v/>
      </c>
      <c r="Z7" s="12">
        <f>'03_Сеть'!Z60</f>
        <v/>
      </c>
      <c r="AA7" s="12">
        <f>'03_Сеть'!AA60</f>
        <v/>
      </c>
      <c r="AB7" s="12">
        <f>'03_Сеть'!AB60</f>
        <v/>
      </c>
      <c r="AC7" s="12">
        <f>'03_Сеть'!AC60</f>
        <v/>
      </c>
      <c r="AD7" s="12">
        <f>'03_Сеть'!AD60</f>
        <v/>
      </c>
      <c r="AE7" s="12">
        <f>'03_Сеть'!AE60</f>
        <v/>
      </c>
      <c r="AF7" s="12">
        <f>'03_Сеть'!AF60</f>
        <v/>
      </c>
      <c r="AG7" s="12">
        <f>'03_Сеть'!AG60</f>
        <v/>
      </c>
      <c r="AH7" s="12">
        <f>'03_Сеть'!AH60</f>
        <v/>
      </c>
      <c r="AI7" s="12">
        <f>'03_Сеть'!AI60</f>
        <v/>
      </c>
      <c r="AJ7" s="12">
        <f>'03_Сеть'!AJ60</f>
        <v/>
      </c>
      <c r="AK7" s="12">
        <f>'03_Сеть'!AK60</f>
        <v/>
      </c>
      <c r="AL7" s="12">
        <f>'03_Сеть'!AL60</f>
        <v/>
      </c>
      <c r="AM7" s="12">
        <f>'03_Сеть'!AM60</f>
        <v/>
      </c>
      <c r="AN7" s="12">
        <f>'03_Сеть'!AN60</f>
        <v/>
      </c>
      <c r="AO7" s="12">
        <f>'03_Сеть'!AO60</f>
        <v/>
      </c>
      <c r="AP7" s="12">
        <f>'03_Сеть'!AP60</f>
        <v/>
      </c>
      <c r="AQ7" s="12">
        <f>'03_Сеть'!AQ60</f>
        <v/>
      </c>
      <c r="AR7" s="12">
        <f>'03_Сеть'!AR60</f>
        <v/>
      </c>
      <c r="AS7" s="12">
        <f>'03_Сеть'!AS60</f>
        <v/>
      </c>
      <c r="AT7" s="12">
        <f>'03_Сеть'!AT60</f>
        <v/>
      </c>
      <c r="AU7" s="12">
        <f>'03_Сеть'!AU60</f>
        <v/>
      </c>
      <c r="AV7" s="12">
        <f>'03_Сеть'!AV60</f>
        <v/>
      </c>
      <c r="AW7" s="12">
        <f>'03_Сеть'!AW60</f>
        <v/>
      </c>
      <c r="AX7" s="12">
        <f>'03_Сеть'!AX60</f>
        <v/>
      </c>
      <c r="AY7" s="12">
        <f>'03_Сеть'!AY60</f>
        <v/>
      </c>
      <c r="AZ7" s="12">
        <f>'03_Сеть'!AZ60</f>
        <v/>
      </c>
      <c r="BA7" s="12">
        <f>'03_Сеть'!BA60</f>
        <v/>
      </c>
      <c r="BB7" s="12">
        <f>'03_Сеть'!BB60</f>
        <v/>
      </c>
      <c r="BC7" s="12">
        <f>'03_Сеть'!BC60</f>
        <v/>
      </c>
      <c r="BD7" s="12">
        <f>'03_Сеть'!BD60</f>
        <v/>
      </c>
      <c r="BE7" s="12">
        <f>'03_Сеть'!BE60</f>
        <v/>
      </c>
      <c r="BF7" s="12">
        <f>'03_Сеть'!BF60</f>
        <v/>
      </c>
      <c r="BG7" s="12">
        <f>'03_Сеть'!BG60</f>
        <v/>
      </c>
      <c r="BH7" s="12">
        <f>'03_Сеть'!BH60</f>
        <v/>
      </c>
      <c r="BI7" s="12">
        <f>'03_Сеть'!BI60</f>
        <v/>
      </c>
      <c r="BJ7" s="12">
        <f>'03_Сеть'!BJ60</f>
        <v/>
      </c>
      <c r="BK7" s="12">
        <f>'03_Сеть'!BK60</f>
        <v/>
      </c>
      <c r="BL7" s="12">
        <f>'03_Сеть'!BL60</f>
        <v/>
      </c>
      <c r="BM7" s="12">
        <f>'03_Сеть'!BM60</f>
        <v/>
      </c>
      <c r="BN7" s="12">
        <f>'03_Сеть'!BN60</f>
        <v/>
      </c>
      <c r="BO7" s="12">
        <f>'03_Сеть'!BO60</f>
        <v/>
      </c>
      <c r="BP7" s="12">
        <f>'03_Сеть'!BP60</f>
        <v/>
      </c>
      <c r="BQ7" s="12">
        <f>'03_Сеть'!BQ60</f>
        <v/>
      </c>
      <c r="BR7" s="12">
        <f>'03_Сеть'!BR60</f>
        <v/>
      </c>
      <c r="BS7" s="12">
        <f>'03_Сеть'!BS60</f>
        <v/>
      </c>
      <c r="BT7" s="12">
        <f>'03_Сеть'!BT60</f>
        <v/>
      </c>
      <c r="BU7" s="12">
        <f>'03_Сеть'!BU60</f>
        <v/>
      </c>
      <c r="BV7" s="12">
        <f>'03_Сеть'!BV60</f>
        <v/>
      </c>
      <c r="BW7" s="12">
        <f>'03_Сеть'!BW60</f>
        <v/>
      </c>
      <c r="BX7" s="12">
        <f>'03_Сеть'!BX60</f>
        <v/>
      </c>
      <c r="BY7" s="12">
        <f>'03_Сеть'!BY60</f>
        <v/>
      </c>
    </row>
    <row r="8">
      <c r="B8" t="inlineStr">
        <is>
          <t>Партнёры (юрлица)</t>
        </is>
      </c>
      <c r="C8" t="inlineStr">
        <is>
          <t>шт.</t>
        </is>
      </c>
      <c r="D8" s="127" t="inlineStr">
        <is>
          <t>В колонках лет — значение на конец года, в «Итого» — на конец пятого года. Это остаток, а не сумма.</t>
        </is>
      </c>
      <c r="E8" s="128">
        <f>W8</f>
        <v/>
      </c>
      <c r="F8" s="128">
        <f>AI8</f>
        <v/>
      </c>
      <c r="G8" s="128">
        <f>AU8</f>
        <v/>
      </c>
      <c r="H8" s="128">
        <f>BG8</f>
        <v/>
      </c>
      <c r="I8" s="128">
        <f>BS8</f>
        <v/>
      </c>
      <c r="J8" s="13">
        <f>BS8</f>
        <v/>
      </c>
      <c r="L8" s="12">
        <f>'03_Сеть'!L61</f>
        <v/>
      </c>
      <c r="M8" s="12">
        <f>'03_Сеть'!M61</f>
        <v/>
      </c>
      <c r="N8" s="12">
        <f>'03_Сеть'!N61</f>
        <v/>
      </c>
      <c r="O8" s="12">
        <f>'03_Сеть'!O61</f>
        <v/>
      </c>
      <c r="P8" s="12">
        <f>'03_Сеть'!P61</f>
        <v/>
      </c>
      <c r="Q8" s="12">
        <f>'03_Сеть'!Q61</f>
        <v/>
      </c>
      <c r="R8" s="12">
        <f>'03_Сеть'!R61</f>
        <v/>
      </c>
      <c r="S8" s="12">
        <f>'03_Сеть'!S61</f>
        <v/>
      </c>
      <c r="T8" s="12">
        <f>'03_Сеть'!T61</f>
        <v/>
      </c>
      <c r="U8" s="12">
        <f>'03_Сеть'!U61</f>
        <v/>
      </c>
      <c r="V8" s="12">
        <f>'03_Сеть'!V61</f>
        <v/>
      </c>
      <c r="W8" s="12">
        <f>'03_Сеть'!W61</f>
        <v/>
      </c>
      <c r="X8" s="12">
        <f>'03_Сеть'!X61</f>
        <v/>
      </c>
      <c r="Y8" s="12">
        <f>'03_Сеть'!Y61</f>
        <v/>
      </c>
      <c r="Z8" s="12">
        <f>'03_Сеть'!Z61</f>
        <v/>
      </c>
      <c r="AA8" s="12">
        <f>'03_Сеть'!AA61</f>
        <v/>
      </c>
      <c r="AB8" s="12">
        <f>'03_Сеть'!AB61</f>
        <v/>
      </c>
      <c r="AC8" s="12">
        <f>'03_Сеть'!AC61</f>
        <v/>
      </c>
      <c r="AD8" s="12">
        <f>'03_Сеть'!AD61</f>
        <v/>
      </c>
      <c r="AE8" s="12">
        <f>'03_Сеть'!AE61</f>
        <v/>
      </c>
      <c r="AF8" s="12">
        <f>'03_Сеть'!AF61</f>
        <v/>
      </c>
      <c r="AG8" s="12">
        <f>'03_Сеть'!AG61</f>
        <v/>
      </c>
      <c r="AH8" s="12">
        <f>'03_Сеть'!AH61</f>
        <v/>
      </c>
      <c r="AI8" s="12">
        <f>'03_Сеть'!AI61</f>
        <v/>
      </c>
      <c r="AJ8" s="12">
        <f>'03_Сеть'!AJ61</f>
        <v/>
      </c>
      <c r="AK8" s="12">
        <f>'03_Сеть'!AK61</f>
        <v/>
      </c>
      <c r="AL8" s="12">
        <f>'03_Сеть'!AL61</f>
        <v/>
      </c>
      <c r="AM8" s="12">
        <f>'03_Сеть'!AM61</f>
        <v/>
      </c>
      <c r="AN8" s="12">
        <f>'03_Сеть'!AN61</f>
        <v/>
      </c>
      <c r="AO8" s="12">
        <f>'03_Сеть'!AO61</f>
        <v/>
      </c>
      <c r="AP8" s="12">
        <f>'03_Сеть'!AP61</f>
        <v/>
      </c>
      <c r="AQ8" s="12">
        <f>'03_Сеть'!AQ61</f>
        <v/>
      </c>
      <c r="AR8" s="12">
        <f>'03_Сеть'!AR61</f>
        <v/>
      </c>
      <c r="AS8" s="12">
        <f>'03_Сеть'!AS61</f>
        <v/>
      </c>
      <c r="AT8" s="12">
        <f>'03_Сеть'!AT61</f>
        <v/>
      </c>
      <c r="AU8" s="12">
        <f>'03_Сеть'!AU61</f>
        <v/>
      </c>
      <c r="AV8" s="12">
        <f>'03_Сеть'!AV61</f>
        <v/>
      </c>
      <c r="AW8" s="12">
        <f>'03_Сеть'!AW61</f>
        <v/>
      </c>
      <c r="AX8" s="12">
        <f>'03_Сеть'!AX61</f>
        <v/>
      </c>
      <c r="AY8" s="12">
        <f>'03_Сеть'!AY61</f>
        <v/>
      </c>
      <c r="AZ8" s="12">
        <f>'03_Сеть'!AZ61</f>
        <v/>
      </c>
      <c r="BA8" s="12">
        <f>'03_Сеть'!BA61</f>
        <v/>
      </c>
      <c r="BB8" s="12">
        <f>'03_Сеть'!BB61</f>
        <v/>
      </c>
      <c r="BC8" s="12">
        <f>'03_Сеть'!BC61</f>
        <v/>
      </c>
      <c r="BD8" s="12">
        <f>'03_Сеть'!BD61</f>
        <v/>
      </c>
      <c r="BE8" s="12">
        <f>'03_Сеть'!BE61</f>
        <v/>
      </c>
      <c r="BF8" s="12">
        <f>'03_Сеть'!BF61</f>
        <v/>
      </c>
      <c r="BG8" s="12">
        <f>'03_Сеть'!BG61</f>
        <v/>
      </c>
      <c r="BH8" s="12">
        <f>'03_Сеть'!BH61</f>
        <v/>
      </c>
      <c r="BI8" s="12">
        <f>'03_Сеть'!BI61</f>
        <v/>
      </c>
      <c r="BJ8" s="12">
        <f>'03_Сеть'!BJ61</f>
        <v/>
      </c>
      <c r="BK8" s="12">
        <f>'03_Сеть'!BK61</f>
        <v/>
      </c>
      <c r="BL8" s="12">
        <f>'03_Сеть'!BL61</f>
        <v/>
      </c>
      <c r="BM8" s="12">
        <f>'03_Сеть'!BM61</f>
        <v/>
      </c>
      <c r="BN8" s="12">
        <f>'03_Сеть'!BN61</f>
        <v/>
      </c>
      <c r="BO8" s="12">
        <f>'03_Сеть'!BO61</f>
        <v/>
      </c>
      <c r="BP8" s="12">
        <f>'03_Сеть'!BP61</f>
        <v/>
      </c>
      <c r="BQ8" s="12">
        <f>'03_Сеть'!BQ61</f>
        <v/>
      </c>
      <c r="BR8" s="12">
        <f>'03_Сеть'!BR61</f>
        <v/>
      </c>
      <c r="BS8" s="12">
        <f>'03_Сеть'!BS61</f>
        <v/>
      </c>
      <c r="BT8" s="12">
        <f>'03_Сеть'!BT61</f>
        <v/>
      </c>
      <c r="BU8" s="12">
        <f>'03_Сеть'!BU61</f>
        <v/>
      </c>
      <c r="BV8" s="12">
        <f>'03_Сеть'!BV61</f>
        <v/>
      </c>
      <c r="BW8" s="12">
        <f>'03_Сеть'!BW61</f>
        <v/>
      </c>
      <c r="BX8" s="12">
        <f>'03_Сеть'!BX61</f>
        <v/>
      </c>
      <c r="BY8" s="12">
        <f>'03_Сеть'!BY61</f>
        <v/>
      </c>
    </row>
    <row r="9">
      <c r="B9" t="inlineStr">
        <is>
          <t>Дети, активные</t>
        </is>
      </c>
      <c r="C9" t="inlineStr">
        <is>
          <t>чел.</t>
        </is>
      </c>
      <c r="D9" s="127" t="inlineStr">
        <is>
          <t>В колонках лет — значение на конец года, в «Итого» — на конец пятого года. Это остаток, а не сумма.</t>
        </is>
      </c>
      <c r="E9" s="129">
        <f>W9</f>
        <v/>
      </c>
      <c r="F9" s="129">
        <f>AI9</f>
        <v/>
      </c>
      <c r="G9" s="129">
        <f>AU9</f>
        <v/>
      </c>
      <c r="H9" s="129">
        <f>BG9</f>
        <v/>
      </c>
      <c r="I9" s="129">
        <f>BS9</f>
        <v/>
      </c>
      <c r="J9" s="6">
        <f>BS9</f>
        <v/>
      </c>
      <c r="L9" s="5">
        <f>'03_Сеть'!L62</f>
        <v/>
      </c>
      <c r="M9" s="5">
        <f>'03_Сеть'!M62</f>
        <v/>
      </c>
      <c r="N9" s="5">
        <f>'03_Сеть'!N62</f>
        <v/>
      </c>
      <c r="O9" s="5">
        <f>'03_Сеть'!O62</f>
        <v/>
      </c>
      <c r="P9" s="5">
        <f>'03_Сеть'!P62</f>
        <v/>
      </c>
      <c r="Q9" s="5">
        <f>'03_Сеть'!Q62</f>
        <v/>
      </c>
      <c r="R9" s="5">
        <f>'03_Сеть'!R62</f>
        <v/>
      </c>
      <c r="S9" s="5">
        <f>'03_Сеть'!S62</f>
        <v/>
      </c>
      <c r="T9" s="5">
        <f>'03_Сеть'!T62</f>
        <v/>
      </c>
      <c r="U9" s="5">
        <f>'03_Сеть'!U62</f>
        <v/>
      </c>
      <c r="V9" s="5">
        <f>'03_Сеть'!V62</f>
        <v/>
      </c>
      <c r="W9" s="5">
        <f>'03_Сеть'!W62</f>
        <v/>
      </c>
      <c r="X9" s="5">
        <f>'03_Сеть'!X62</f>
        <v/>
      </c>
      <c r="Y9" s="5">
        <f>'03_Сеть'!Y62</f>
        <v/>
      </c>
      <c r="Z9" s="5">
        <f>'03_Сеть'!Z62</f>
        <v/>
      </c>
      <c r="AA9" s="5">
        <f>'03_Сеть'!AA62</f>
        <v/>
      </c>
      <c r="AB9" s="5">
        <f>'03_Сеть'!AB62</f>
        <v/>
      </c>
      <c r="AC9" s="5">
        <f>'03_Сеть'!AC62</f>
        <v/>
      </c>
      <c r="AD9" s="5">
        <f>'03_Сеть'!AD62</f>
        <v/>
      </c>
      <c r="AE9" s="5">
        <f>'03_Сеть'!AE62</f>
        <v/>
      </c>
      <c r="AF9" s="5">
        <f>'03_Сеть'!AF62</f>
        <v/>
      </c>
      <c r="AG9" s="5">
        <f>'03_Сеть'!AG62</f>
        <v/>
      </c>
      <c r="AH9" s="5">
        <f>'03_Сеть'!AH62</f>
        <v/>
      </c>
      <c r="AI9" s="5">
        <f>'03_Сеть'!AI62</f>
        <v/>
      </c>
      <c r="AJ9" s="5">
        <f>'03_Сеть'!AJ62</f>
        <v/>
      </c>
      <c r="AK9" s="5">
        <f>'03_Сеть'!AK62</f>
        <v/>
      </c>
      <c r="AL9" s="5">
        <f>'03_Сеть'!AL62</f>
        <v/>
      </c>
      <c r="AM9" s="5">
        <f>'03_Сеть'!AM62</f>
        <v/>
      </c>
      <c r="AN9" s="5">
        <f>'03_Сеть'!AN62</f>
        <v/>
      </c>
      <c r="AO9" s="5">
        <f>'03_Сеть'!AO62</f>
        <v/>
      </c>
      <c r="AP9" s="5">
        <f>'03_Сеть'!AP62</f>
        <v/>
      </c>
      <c r="AQ9" s="5">
        <f>'03_Сеть'!AQ62</f>
        <v/>
      </c>
      <c r="AR9" s="5">
        <f>'03_Сеть'!AR62</f>
        <v/>
      </c>
      <c r="AS9" s="5">
        <f>'03_Сеть'!AS62</f>
        <v/>
      </c>
      <c r="AT9" s="5">
        <f>'03_Сеть'!AT62</f>
        <v/>
      </c>
      <c r="AU9" s="5">
        <f>'03_Сеть'!AU62</f>
        <v/>
      </c>
      <c r="AV9" s="5">
        <f>'03_Сеть'!AV62</f>
        <v/>
      </c>
      <c r="AW9" s="5">
        <f>'03_Сеть'!AW62</f>
        <v/>
      </c>
      <c r="AX9" s="5">
        <f>'03_Сеть'!AX62</f>
        <v/>
      </c>
      <c r="AY9" s="5">
        <f>'03_Сеть'!AY62</f>
        <v/>
      </c>
      <c r="AZ9" s="5">
        <f>'03_Сеть'!AZ62</f>
        <v/>
      </c>
      <c r="BA9" s="5">
        <f>'03_Сеть'!BA62</f>
        <v/>
      </c>
      <c r="BB9" s="5">
        <f>'03_Сеть'!BB62</f>
        <v/>
      </c>
      <c r="BC9" s="5">
        <f>'03_Сеть'!BC62</f>
        <v/>
      </c>
      <c r="BD9" s="5">
        <f>'03_Сеть'!BD62</f>
        <v/>
      </c>
      <c r="BE9" s="5">
        <f>'03_Сеть'!BE62</f>
        <v/>
      </c>
      <c r="BF9" s="5">
        <f>'03_Сеть'!BF62</f>
        <v/>
      </c>
      <c r="BG9" s="5">
        <f>'03_Сеть'!BG62</f>
        <v/>
      </c>
      <c r="BH9" s="5">
        <f>'03_Сеть'!BH62</f>
        <v/>
      </c>
      <c r="BI9" s="5">
        <f>'03_Сеть'!BI62</f>
        <v/>
      </c>
      <c r="BJ9" s="5">
        <f>'03_Сеть'!BJ62</f>
        <v/>
      </c>
      <c r="BK9" s="5">
        <f>'03_Сеть'!BK62</f>
        <v/>
      </c>
      <c r="BL9" s="5">
        <f>'03_Сеть'!BL62</f>
        <v/>
      </c>
      <c r="BM9" s="5">
        <f>'03_Сеть'!BM62</f>
        <v/>
      </c>
      <c r="BN9" s="5">
        <f>'03_Сеть'!BN62</f>
        <v/>
      </c>
      <c r="BO9" s="5">
        <f>'03_Сеть'!BO62</f>
        <v/>
      </c>
      <c r="BP9" s="5">
        <f>'03_Сеть'!BP62</f>
        <v/>
      </c>
      <c r="BQ9" s="5">
        <f>'03_Сеть'!BQ62</f>
        <v/>
      </c>
      <c r="BR9" s="5">
        <f>'03_Сеть'!BR62</f>
        <v/>
      </c>
      <c r="BS9" s="5">
        <f>'03_Сеть'!BS62</f>
        <v/>
      </c>
      <c r="BT9" s="5">
        <f>'03_Сеть'!BT62</f>
        <v/>
      </c>
      <c r="BU9" s="5">
        <f>'03_Сеть'!BU62</f>
        <v/>
      </c>
      <c r="BV9" s="5">
        <f>'03_Сеть'!BV62</f>
        <v/>
      </c>
      <c r="BW9" s="5">
        <f>'03_Сеть'!BW62</f>
        <v/>
      </c>
      <c r="BX9" s="5">
        <f>'03_Сеть'!BX62</f>
        <v/>
      </c>
      <c r="BY9" s="5">
        <f>'03_Сеть'!BY62</f>
        <v/>
      </c>
    </row>
    <row r="10"/>
    <row r="11">
      <c r="B11" s="125" t="inlineStr">
        <is>
          <t>БДР — начисления</t>
        </is>
      </c>
      <c r="C11" s="126" t="n"/>
      <c r="D11" s="126" t="n"/>
      <c r="E11" s="126" t="n"/>
      <c r="F11" s="126" t="n"/>
      <c r="G11" s="126" t="n"/>
      <c r="H11" s="126" t="n"/>
      <c r="I11" s="126" t="n"/>
      <c r="J11" s="126" t="n"/>
      <c r="K11" s="126" t="n"/>
      <c r="L11" s="126" t="n"/>
      <c r="M11" s="126" t="n"/>
      <c r="N11" s="126" t="n"/>
      <c r="O11" s="126" t="n"/>
      <c r="P11" s="126" t="n"/>
      <c r="Q11" s="126" t="n"/>
      <c r="R11" s="126" t="n"/>
      <c r="S11" s="126" t="n"/>
      <c r="T11" s="126" t="n"/>
      <c r="U11" s="126" t="n"/>
      <c r="V11" s="126" t="n"/>
      <c r="W11" s="126" t="n"/>
      <c r="X11" s="126" t="n"/>
      <c r="Y11" s="126" t="n"/>
      <c r="Z11" s="126" t="n"/>
      <c r="AA11" s="126" t="n"/>
      <c r="AB11" s="126" t="n"/>
      <c r="AC11" s="126" t="n"/>
      <c r="AD11" s="126" t="n"/>
      <c r="AE11" s="126" t="n"/>
      <c r="AF11" s="126" t="n"/>
      <c r="AG11" s="126" t="n"/>
      <c r="AH11" s="126" t="n"/>
      <c r="AI11" s="126" t="n"/>
      <c r="AJ11" s="126" t="n"/>
      <c r="AK11" s="126" t="n"/>
      <c r="AL11" s="126" t="n"/>
      <c r="AM11" s="126" t="n"/>
      <c r="AN11" s="126" t="n"/>
      <c r="AO11" s="126" t="n"/>
      <c r="AP11" s="126" t="n"/>
      <c r="AQ11" s="126" t="n"/>
      <c r="AR11" s="126" t="n"/>
      <c r="AS11" s="126" t="n"/>
      <c r="AT11" s="126" t="n"/>
      <c r="AU11" s="126" t="n"/>
      <c r="AV11" s="126" t="n"/>
      <c r="AW11" s="126" t="n"/>
      <c r="AX11" s="126" t="n"/>
      <c r="AY11" s="126" t="n"/>
      <c r="AZ11" s="126" t="n"/>
      <c r="BA11" s="126" t="n"/>
      <c r="BB11" s="126" t="n"/>
      <c r="BC11" s="126" t="n"/>
      <c r="BD11" s="126" t="n"/>
      <c r="BE11" s="126" t="n"/>
      <c r="BF11" s="126" t="n"/>
      <c r="BG11" s="126" t="n"/>
      <c r="BH11" s="126" t="n"/>
      <c r="BI11" s="126" t="n"/>
      <c r="BJ11" s="126" t="n"/>
      <c r="BK11" s="126" t="n"/>
      <c r="BL11" s="126" t="n"/>
      <c r="BM11" s="126" t="n"/>
      <c r="BN11" s="126" t="n"/>
      <c r="BO11" s="126" t="n"/>
      <c r="BP11" s="126" t="n"/>
      <c r="BQ11" s="126" t="n"/>
      <c r="BR11" s="126" t="n"/>
      <c r="BS11" s="126" t="n"/>
      <c r="BT11" s="126" t="n"/>
      <c r="BU11" s="126" t="n"/>
      <c r="BV11" s="126" t="n"/>
      <c r="BW11" s="126" t="n"/>
      <c r="BX11" s="126" t="n"/>
      <c r="BY11" s="126" t="n"/>
    </row>
    <row r="12">
      <c r="B12" t="inlineStr">
        <is>
          <t>Паушальные взносы</t>
        </is>
      </c>
      <c r="C12" t="inlineStr">
        <is>
          <t>₽</t>
        </is>
      </c>
      <c r="D12" s="127" t="inlineStr">
        <is>
          <t>Без НДС</t>
        </is>
      </c>
      <c r="E12" s="129">
        <f>SUM(L12:W12)</f>
        <v/>
      </c>
      <c r="F12" s="129">
        <f>SUM(X12:AI12)</f>
        <v/>
      </c>
      <c r="G12" s="129">
        <f>SUM(AJ12:AU12)</f>
        <v/>
      </c>
      <c r="H12" s="129">
        <f>SUM(AV12:BG12)</f>
        <v/>
      </c>
      <c r="I12" s="129">
        <f>SUM(BH12:BS12)</f>
        <v/>
      </c>
      <c r="J12" s="6">
        <f>SUM(L12:BS12)</f>
        <v/>
      </c>
      <c r="L12" s="5">
        <f>'04_Доходы'!L14</f>
        <v/>
      </c>
      <c r="M12" s="5">
        <f>'04_Доходы'!M14</f>
        <v/>
      </c>
      <c r="N12" s="5">
        <f>'04_Доходы'!N14</f>
        <v/>
      </c>
      <c r="O12" s="5">
        <f>'04_Доходы'!O14</f>
        <v/>
      </c>
      <c r="P12" s="5">
        <f>'04_Доходы'!P14</f>
        <v/>
      </c>
      <c r="Q12" s="5">
        <f>'04_Доходы'!Q14</f>
        <v/>
      </c>
      <c r="R12" s="5">
        <f>'04_Доходы'!R14</f>
        <v/>
      </c>
      <c r="S12" s="5">
        <f>'04_Доходы'!S14</f>
        <v/>
      </c>
      <c r="T12" s="5">
        <f>'04_Доходы'!T14</f>
        <v/>
      </c>
      <c r="U12" s="5">
        <f>'04_Доходы'!U14</f>
        <v/>
      </c>
      <c r="V12" s="5">
        <f>'04_Доходы'!V14</f>
        <v/>
      </c>
      <c r="W12" s="5">
        <f>'04_Доходы'!W14</f>
        <v/>
      </c>
      <c r="X12" s="5">
        <f>'04_Доходы'!X14</f>
        <v/>
      </c>
      <c r="Y12" s="5">
        <f>'04_Доходы'!Y14</f>
        <v/>
      </c>
      <c r="Z12" s="5">
        <f>'04_Доходы'!Z14</f>
        <v/>
      </c>
      <c r="AA12" s="5">
        <f>'04_Доходы'!AA14</f>
        <v/>
      </c>
      <c r="AB12" s="5">
        <f>'04_Доходы'!AB14</f>
        <v/>
      </c>
      <c r="AC12" s="5">
        <f>'04_Доходы'!AC14</f>
        <v/>
      </c>
      <c r="AD12" s="5">
        <f>'04_Доходы'!AD14</f>
        <v/>
      </c>
      <c r="AE12" s="5">
        <f>'04_Доходы'!AE14</f>
        <v/>
      </c>
      <c r="AF12" s="5">
        <f>'04_Доходы'!AF14</f>
        <v/>
      </c>
      <c r="AG12" s="5">
        <f>'04_Доходы'!AG14</f>
        <v/>
      </c>
      <c r="AH12" s="5">
        <f>'04_Доходы'!AH14</f>
        <v/>
      </c>
      <c r="AI12" s="5">
        <f>'04_Доходы'!AI14</f>
        <v/>
      </c>
      <c r="AJ12" s="5">
        <f>'04_Доходы'!AJ14</f>
        <v/>
      </c>
      <c r="AK12" s="5">
        <f>'04_Доходы'!AK14</f>
        <v/>
      </c>
      <c r="AL12" s="5">
        <f>'04_Доходы'!AL14</f>
        <v/>
      </c>
      <c r="AM12" s="5">
        <f>'04_Доходы'!AM14</f>
        <v/>
      </c>
      <c r="AN12" s="5">
        <f>'04_Доходы'!AN14</f>
        <v/>
      </c>
      <c r="AO12" s="5">
        <f>'04_Доходы'!AO14</f>
        <v/>
      </c>
      <c r="AP12" s="5">
        <f>'04_Доходы'!AP14</f>
        <v/>
      </c>
      <c r="AQ12" s="5">
        <f>'04_Доходы'!AQ14</f>
        <v/>
      </c>
      <c r="AR12" s="5">
        <f>'04_Доходы'!AR14</f>
        <v/>
      </c>
      <c r="AS12" s="5">
        <f>'04_Доходы'!AS14</f>
        <v/>
      </c>
      <c r="AT12" s="5">
        <f>'04_Доходы'!AT14</f>
        <v/>
      </c>
      <c r="AU12" s="5">
        <f>'04_Доходы'!AU14</f>
        <v/>
      </c>
      <c r="AV12" s="5">
        <f>'04_Доходы'!AV14</f>
        <v/>
      </c>
      <c r="AW12" s="5">
        <f>'04_Доходы'!AW14</f>
        <v/>
      </c>
      <c r="AX12" s="5">
        <f>'04_Доходы'!AX14</f>
        <v/>
      </c>
      <c r="AY12" s="5">
        <f>'04_Доходы'!AY14</f>
        <v/>
      </c>
      <c r="AZ12" s="5">
        <f>'04_Доходы'!AZ14</f>
        <v/>
      </c>
      <c r="BA12" s="5">
        <f>'04_Доходы'!BA14</f>
        <v/>
      </c>
      <c r="BB12" s="5">
        <f>'04_Доходы'!BB14</f>
        <v/>
      </c>
      <c r="BC12" s="5">
        <f>'04_Доходы'!BC14</f>
        <v/>
      </c>
      <c r="BD12" s="5">
        <f>'04_Доходы'!BD14</f>
        <v/>
      </c>
      <c r="BE12" s="5">
        <f>'04_Доходы'!BE14</f>
        <v/>
      </c>
      <c r="BF12" s="5">
        <f>'04_Доходы'!BF14</f>
        <v/>
      </c>
      <c r="BG12" s="5">
        <f>'04_Доходы'!BG14</f>
        <v/>
      </c>
      <c r="BH12" s="5">
        <f>'04_Доходы'!BH14</f>
        <v/>
      </c>
      <c r="BI12" s="5">
        <f>'04_Доходы'!BI14</f>
        <v/>
      </c>
      <c r="BJ12" s="5">
        <f>'04_Доходы'!BJ14</f>
        <v/>
      </c>
      <c r="BK12" s="5">
        <f>'04_Доходы'!BK14</f>
        <v/>
      </c>
      <c r="BL12" s="5">
        <f>'04_Доходы'!BL14</f>
        <v/>
      </c>
      <c r="BM12" s="5">
        <f>'04_Доходы'!BM14</f>
        <v/>
      </c>
      <c r="BN12" s="5">
        <f>'04_Доходы'!BN14</f>
        <v/>
      </c>
      <c r="BO12" s="5">
        <f>'04_Доходы'!BO14</f>
        <v/>
      </c>
      <c r="BP12" s="5">
        <f>'04_Доходы'!BP14</f>
        <v/>
      </c>
      <c r="BQ12" s="5">
        <f>'04_Доходы'!BQ14</f>
        <v/>
      </c>
      <c r="BR12" s="5">
        <f>'04_Доходы'!BR14</f>
        <v/>
      </c>
      <c r="BS12" s="5">
        <f>'04_Доходы'!BS14</f>
        <v/>
      </c>
      <c r="BT12" s="5">
        <f>'04_Доходы'!BT14</f>
        <v/>
      </c>
      <c r="BU12" s="5">
        <f>'04_Доходы'!BU14</f>
        <v/>
      </c>
      <c r="BV12" s="5">
        <f>'04_Доходы'!BV14</f>
        <v/>
      </c>
      <c r="BW12" s="5">
        <f>'04_Доходы'!BW14</f>
        <v/>
      </c>
      <c r="BX12" s="5">
        <f>'04_Доходы'!BX14</f>
        <v/>
      </c>
      <c r="BY12" s="5">
        <f>'04_Доходы'!BY14</f>
        <v/>
      </c>
    </row>
    <row r="13">
      <c r="B13" t="inlineStr">
        <is>
          <t>Роялти</t>
        </is>
      </c>
      <c r="C13" t="inlineStr">
        <is>
          <t>₽</t>
        </is>
      </c>
      <c r="D13" s="127" t="inlineStr">
        <is>
          <t>Без НДС</t>
        </is>
      </c>
      <c r="E13" s="129">
        <f>SUM(L13:W13)</f>
        <v/>
      </c>
      <c r="F13" s="129">
        <f>SUM(X13:AI13)</f>
        <v/>
      </c>
      <c r="G13" s="129">
        <f>SUM(AJ13:AU13)</f>
        <v/>
      </c>
      <c r="H13" s="129">
        <f>SUM(AV13:BG13)</f>
        <v/>
      </c>
      <c r="I13" s="129">
        <f>SUM(BH13:BS13)</f>
        <v/>
      </c>
      <c r="J13" s="6">
        <f>SUM(L13:BS13)</f>
        <v/>
      </c>
      <c r="L13" s="5">
        <f>'04_Доходы'!L103/(1+НДС)</f>
        <v/>
      </c>
      <c r="M13" s="5">
        <f>'04_Доходы'!M103/(1+НДС)</f>
        <v/>
      </c>
      <c r="N13" s="5">
        <f>'04_Доходы'!N103/(1+НДС)</f>
        <v/>
      </c>
      <c r="O13" s="5">
        <f>'04_Доходы'!O103/(1+НДС)</f>
        <v/>
      </c>
      <c r="P13" s="5">
        <f>'04_Доходы'!P103/(1+НДС)</f>
        <v/>
      </c>
      <c r="Q13" s="5">
        <f>'04_Доходы'!Q103/(1+НДС)</f>
        <v/>
      </c>
      <c r="R13" s="5">
        <f>'04_Доходы'!R103/(1+НДС)</f>
        <v/>
      </c>
      <c r="S13" s="5">
        <f>'04_Доходы'!S103/(1+НДС)</f>
        <v/>
      </c>
      <c r="T13" s="5">
        <f>'04_Доходы'!T103/(1+НДС)</f>
        <v/>
      </c>
      <c r="U13" s="5">
        <f>'04_Доходы'!U103/(1+НДС)</f>
        <v/>
      </c>
      <c r="V13" s="5">
        <f>'04_Доходы'!V103/(1+НДС)</f>
        <v/>
      </c>
      <c r="W13" s="5">
        <f>'04_Доходы'!W103/(1+НДС)</f>
        <v/>
      </c>
      <c r="X13" s="5">
        <f>'04_Доходы'!X103/(1+НДС)</f>
        <v/>
      </c>
      <c r="Y13" s="5">
        <f>'04_Доходы'!Y103/(1+НДС)</f>
        <v/>
      </c>
      <c r="Z13" s="5">
        <f>'04_Доходы'!Z103/(1+НДС)</f>
        <v/>
      </c>
      <c r="AA13" s="5">
        <f>'04_Доходы'!AA103/(1+НДС)</f>
        <v/>
      </c>
      <c r="AB13" s="5">
        <f>'04_Доходы'!AB103/(1+НДС)</f>
        <v/>
      </c>
      <c r="AC13" s="5">
        <f>'04_Доходы'!AC103/(1+НДС)</f>
        <v/>
      </c>
      <c r="AD13" s="5">
        <f>'04_Доходы'!AD103/(1+НДС)</f>
        <v/>
      </c>
      <c r="AE13" s="5">
        <f>'04_Доходы'!AE103/(1+НДС)</f>
        <v/>
      </c>
      <c r="AF13" s="5">
        <f>'04_Доходы'!AF103/(1+НДС)</f>
        <v/>
      </c>
      <c r="AG13" s="5">
        <f>'04_Доходы'!AG103/(1+НДС)</f>
        <v/>
      </c>
      <c r="AH13" s="5">
        <f>'04_Доходы'!AH103/(1+НДС)</f>
        <v/>
      </c>
      <c r="AI13" s="5">
        <f>'04_Доходы'!AI103/(1+НДС)</f>
        <v/>
      </c>
      <c r="AJ13" s="5">
        <f>'04_Доходы'!AJ103/(1+НДС)</f>
        <v/>
      </c>
      <c r="AK13" s="5">
        <f>'04_Доходы'!AK103/(1+НДС)</f>
        <v/>
      </c>
      <c r="AL13" s="5">
        <f>'04_Доходы'!AL103/(1+НДС)</f>
        <v/>
      </c>
      <c r="AM13" s="5">
        <f>'04_Доходы'!AM103/(1+НДС)</f>
        <v/>
      </c>
      <c r="AN13" s="5">
        <f>'04_Доходы'!AN103/(1+НДС)</f>
        <v/>
      </c>
      <c r="AO13" s="5">
        <f>'04_Доходы'!AO103/(1+НДС)</f>
        <v/>
      </c>
      <c r="AP13" s="5">
        <f>'04_Доходы'!AP103/(1+НДС)</f>
        <v/>
      </c>
      <c r="AQ13" s="5">
        <f>'04_Доходы'!AQ103/(1+НДС)</f>
        <v/>
      </c>
      <c r="AR13" s="5">
        <f>'04_Доходы'!AR103/(1+НДС)</f>
        <v/>
      </c>
      <c r="AS13" s="5">
        <f>'04_Доходы'!AS103/(1+НДС)</f>
        <v/>
      </c>
      <c r="AT13" s="5">
        <f>'04_Доходы'!AT103/(1+НДС)</f>
        <v/>
      </c>
      <c r="AU13" s="5">
        <f>'04_Доходы'!AU103/(1+НДС)</f>
        <v/>
      </c>
      <c r="AV13" s="5">
        <f>'04_Доходы'!AV103/(1+НДС)</f>
        <v/>
      </c>
      <c r="AW13" s="5">
        <f>'04_Доходы'!AW103/(1+НДС)</f>
        <v/>
      </c>
      <c r="AX13" s="5">
        <f>'04_Доходы'!AX103/(1+НДС)</f>
        <v/>
      </c>
      <c r="AY13" s="5">
        <f>'04_Доходы'!AY103/(1+НДС)</f>
        <v/>
      </c>
      <c r="AZ13" s="5">
        <f>'04_Доходы'!AZ103/(1+НДС)</f>
        <v/>
      </c>
      <c r="BA13" s="5">
        <f>'04_Доходы'!BA103/(1+НДС)</f>
        <v/>
      </c>
      <c r="BB13" s="5">
        <f>'04_Доходы'!BB103/(1+НДС)</f>
        <v/>
      </c>
      <c r="BC13" s="5">
        <f>'04_Доходы'!BC103/(1+НДС)</f>
        <v/>
      </c>
      <c r="BD13" s="5">
        <f>'04_Доходы'!BD103/(1+НДС)</f>
        <v/>
      </c>
      <c r="BE13" s="5">
        <f>'04_Доходы'!BE103/(1+НДС)</f>
        <v/>
      </c>
      <c r="BF13" s="5">
        <f>'04_Доходы'!BF103/(1+НДС)</f>
        <v/>
      </c>
      <c r="BG13" s="5">
        <f>'04_Доходы'!BG103/(1+НДС)</f>
        <v/>
      </c>
      <c r="BH13" s="5">
        <f>'04_Доходы'!BH103/(1+НДС)</f>
        <v/>
      </c>
      <c r="BI13" s="5">
        <f>'04_Доходы'!BI103/(1+НДС)</f>
        <v/>
      </c>
      <c r="BJ13" s="5">
        <f>'04_Доходы'!BJ103/(1+НДС)</f>
        <v/>
      </c>
      <c r="BK13" s="5">
        <f>'04_Доходы'!BK103/(1+НДС)</f>
        <v/>
      </c>
      <c r="BL13" s="5">
        <f>'04_Доходы'!BL103/(1+НДС)</f>
        <v/>
      </c>
      <c r="BM13" s="5">
        <f>'04_Доходы'!BM103/(1+НДС)</f>
        <v/>
      </c>
      <c r="BN13" s="5">
        <f>'04_Доходы'!BN103/(1+НДС)</f>
        <v/>
      </c>
      <c r="BO13" s="5">
        <f>'04_Доходы'!BO103/(1+НДС)</f>
        <v/>
      </c>
      <c r="BP13" s="5">
        <f>'04_Доходы'!BP103/(1+НДС)</f>
        <v/>
      </c>
      <c r="BQ13" s="5">
        <f>'04_Доходы'!BQ103/(1+НДС)</f>
        <v/>
      </c>
      <c r="BR13" s="5">
        <f>'04_Доходы'!BR103/(1+НДС)</f>
        <v/>
      </c>
      <c r="BS13" s="5">
        <f>'04_Доходы'!BS103/(1+НДС)</f>
        <v/>
      </c>
      <c r="BT13" s="5">
        <f>'04_Доходы'!BT103/(1+НДС)</f>
        <v/>
      </c>
      <c r="BU13" s="5">
        <f>'04_Доходы'!BU103/(1+НДС)</f>
        <v/>
      </c>
      <c r="BV13" s="5">
        <f>'04_Доходы'!BV103/(1+НДС)</f>
        <v/>
      </c>
      <c r="BW13" s="5">
        <f>'04_Доходы'!BW103/(1+НДС)</f>
        <v/>
      </c>
      <c r="BX13" s="5">
        <f>'04_Доходы'!BX103/(1+НДС)</f>
        <v/>
      </c>
      <c r="BY13" s="5">
        <f>'04_Доходы'!BY103/(1+НДС)</f>
        <v/>
      </c>
    </row>
    <row r="14">
      <c r="B14" t="inlineStr">
        <is>
          <t>Мерч</t>
        </is>
      </c>
      <c r="C14" t="inlineStr">
        <is>
          <t>₽</t>
        </is>
      </c>
      <c r="D14" s="127" t="inlineStr">
        <is>
          <t>Без НДС</t>
        </is>
      </c>
      <c r="E14" s="129">
        <f>SUM(L14:W14)</f>
        <v/>
      </c>
      <c r="F14" s="129">
        <f>SUM(X14:AI14)</f>
        <v/>
      </c>
      <c r="G14" s="129">
        <f>SUM(AJ14:AU14)</f>
        <v/>
      </c>
      <c r="H14" s="129">
        <f>SUM(AV14:BG14)</f>
        <v/>
      </c>
      <c r="I14" s="129">
        <f>SUM(BH14:BS14)</f>
        <v/>
      </c>
      <c r="J14" s="6">
        <f>SUM(L14:BS14)</f>
        <v/>
      </c>
      <c r="L14" s="5">
        <f>'04_Доходы'!L132</f>
        <v/>
      </c>
      <c r="M14" s="5">
        <f>'04_Доходы'!M132</f>
        <v/>
      </c>
      <c r="N14" s="5">
        <f>'04_Доходы'!N132</f>
        <v/>
      </c>
      <c r="O14" s="5">
        <f>'04_Доходы'!O132</f>
        <v/>
      </c>
      <c r="P14" s="5">
        <f>'04_Доходы'!P132</f>
        <v/>
      </c>
      <c r="Q14" s="5">
        <f>'04_Доходы'!Q132</f>
        <v/>
      </c>
      <c r="R14" s="5">
        <f>'04_Доходы'!R132</f>
        <v/>
      </c>
      <c r="S14" s="5">
        <f>'04_Доходы'!S132</f>
        <v/>
      </c>
      <c r="T14" s="5">
        <f>'04_Доходы'!T132</f>
        <v/>
      </c>
      <c r="U14" s="5">
        <f>'04_Доходы'!U132</f>
        <v/>
      </c>
      <c r="V14" s="5">
        <f>'04_Доходы'!V132</f>
        <v/>
      </c>
      <c r="W14" s="5">
        <f>'04_Доходы'!W132</f>
        <v/>
      </c>
      <c r="X14" s="5">
        <f>'04_Доходы'!X132</f>
        <v/>
      </c>
      <c r="Y14" s="5">
        <f>'04_Доходы'!Y132</f>
        <v/>
      </c>
      <c r="Z14" s="5">
        <f>'04_Доходы'!Z132</f>
        <v/>
      </c>
      <c r="AA14" s="5">
        <f>'04_Доходы'!AA132</f>
        <v/>
      </c>
      <c r="AB14" s="5">
        <f>'04_Доходы'!AB132</f>
        <v/>
      </c>
      <c r="AC14" s="5">
        <f>'04_Доходы'!AC132</f>
        <v/>
      </c>
      <c r="AD14" s="5">
        <f>'04_Доходы'!AD132</f>
        <v/>
      </c>
      <c r="AE14" s="5">
        <f>'04_Доходы'!AE132</f>
        <v/>
      </c>
      <c r="AF14" s="5">
        <f>'04_Доходы'!AF132</f>
        <v/>
      </c>
      <c r="AG14" s="5">
        <f>'04_Доходы'!AG132</f>
        <v/>
      </c>
      <c r="AH14" s="5">
        <f>'04_Доходы'!AH132</f>
        <v/>
      </c>
      <c r="AI14" s="5">
        <f>'04_Доходы'!AI132</f>
        <v/>
      </c>
      <c r="AJ14" s="5">
        <f>'04_Доходы'!AJ132</f>
        <v/>
      </c>
      <c r="AK14" s="5">
        <f>'04_Доходы'!AK132</f>
        <v/>
      </c>
      <c r="AL14" s="5">
        <f>'04_Доходы'!AL132</f>
        <v/>
      </c>
      <c r="AM14" s="5">
        <f>'04_Доходы'!AM132</f>
        <v/>
      </c>
      <c r="AN14" s="5">
        <f>'04_Доходы'!AN132</f>
        <v/>
      </c>
      <c r="AO14" s="5">
        <f>'04_Доходы'!AO132</f>
        <v/>
      </c>
      <c r="AP14" s="5">
        <f>'04_Доходы'!AP132</f>
        <v/>
      </c>
      <c r="AQ14" s="5">
        <f>'04_Доходы'!AQ132</f>
        <v/>
      </c>
      <c r="AR14" s="5">
        <f>'04_Доходы'!AR132</f>
        <v/>
      </c>
      <c r="AS14" s="5">
        <f>'04_Доходы'!AS132</f>
        <v/>
      </c>
      <c r="AT14" s="5">
        <f>'04_Доходы'!AT132</f>
        <v/>
      </c>
      <c r="AU14" s="5">
        <f>'04_Доходы'!AU132</f>
        <v/>
      </c>
      <c r="AV14" s="5">
        <f>'04_Доходы'!AV132</f>
        <v/>
      </c>
      <c r="AW14" s="5">
        <f>'04_Доходы'!AW132</f>
        <v/>
      </c>
      <c r="AX14" s="5">
        <f>'04_Доходы'!AX132</f>
        <v/>
      </c>
      <c r="AY14" s="5">
        <f>'04_Доходы'!AY132</f>
        <v/>
      </c>
      <c r="AZ14" s="5">
        <f>'04_Доходы'!AZ132</f>
        <v/>
      </c>
      <c r="BA14" s="5">
        <f>'04_Доходы'!BA132</f>
        <v/>
      </c>
      <c r="BB14" s="5">
        <f>'04_Доходы'!BB132</f>
        <v/>
      </c>
      <c r="BC14" s="5">
        <f>'04_Доходы'!BC132</f>
        <v/>
      </c>
      <c r="BD14" s="5">
        <f>'04_Доходы'!BD132</f>
        <v/>
      </c>
      <c r="BE14" s="5">
        <f>'04_Доходы'!BE132</f>
        <v/>
      </c>
      <c r="BF14" s="5">
        <f>'04_Доходы'!BF132</f>
        <v/>
      </c>
      <c r="BG14" s="5">
        <f>'04_Доходы'!BG132</f>
        <v/>
      </c>
      <c r="BH14" s="5">
        <f>'04_Доходы'!BH132</f>
        <v/>
      </c>
      <c r="BI14" s="5">
        <f>'04_Доходы'!BI132</f>
        <v/>
      </c>
      <c r="BJ14" s="5">
        <f>'04_Доходы'!BJ132</f>
        <v/>
      </c>
      <c r="BK14" s="5">
        <f>'04_Доходы'!BK132</f>
        <v/>
      </c>
      <c r="BL14" s="5">
        <f>'04_Доходы'!BL132</f>
        <v/>
      </c>
      <c r="BM14" s="5">
        <f>'04_Доходы'!BM132</f>
        <v/>
      </c>
      <c r="BN14" s="5">
        <f>'04_Доходы'!BN132</f>
        <v/>
      </c>
      <c r="BO14" s="5">
        <f>'04_Доходы'!BO132</f>
        <v/>
      </c>
      <c r="BP14" s="5">
        <f>'04_Доходы'!BP132</f>
        <v/>
      </c>
      <c r="BQ14" s="5">
        <f>'04_Доходы'!BQ132</f>
        <v/>
      </c>
      <c r="BR14" s="5">
        <f>'04_Доходы'!BR132</f>
        <v/>
      </c>
      <c r="BS14" s="5">
        <f>'04_Доходы'!BS132</f>
        <v/>
      </c>
      <c r="BT14" s="5">
        <f>'04_Доходы'!BT132</f>
        <v/>
      </c>
      <c r="BU14" s="5">
        <f>'04_Доходы'!BU132</f>
        <v/>
      </c>
      <c r="BV14" s="5">
        <f>'04_Доходы'!BV132</f>
        <v/>
      </c>
      <c r="BW14" s="5">
        <f>'04_Доходы'!BW132</f>
        <v/>
      </c>
      <c r="BX14" s="5">
        <f>'04_Доходы'!BX132</f>
        <v/>
      </c>
      <c r="BY14" s="5">
        <f>'04_Доходы'!BY132</f>
        <v/>
      </c>
    </row>
    <row r="15">
      <c r="B15" t="inlineStr">
        <is>
          <t>Лагеря</t>
        </is>
      </c>
      <c r="C15" t="inlineStr">
        <is>
          <t>₽</t>
        </is>
      </c>
      <c r="D15" s="127" t="inlineStr">
        <is>
          <t>Блок отключён переключателем на листе вводных</t>
        </is>
      </c>
      <c r="E15" s="129">
        <f>SUM(L15:W15)</f>
        <v/>
      </c>
      <c r="F15" s="129">
        <f>SUM(X15:AI15)</f>
        <v/>
      </c>
      <c r="G15" s="129">
        <f>SUM(AJ15:AU15)</f>
        <v/>
      </c>
      <c r="H15" s="129">
        <f>SUM(AV15:BG15)</f>
        <v/>
      </c>
      <c r="I15" s="129">
        <f>SUM(BH15:BS15)</f>
        <v/>
      </c>
      <c r="J15" s="6">
        <f>SUM(L15:BS15)</f>
        <v/>
      </c>
      <c r="L15" s="5">
        <f>0</f>
        <v/>
      </c>
      <c r="M15" s="5">
        <f>0</f>
        <v/>
      </c>
      <c r="N15" s="5">
        <f>0</f>
        <v/>
      </c>
      <c r="O15" s="5">
        <f>0</f>
        <v/>
      </c>
      <c r="P15" s="5">
        <f>0</f>
        <v/>
      </c>
      <c r="Q15" s="5">
        <f>0</f>
        <v/>
      </c>
      <c r="R15" s="5">
        <f>0</f>
        <v/>
      </c>
      <c r="S15" s="5">
        <f>0</f>
        <v/>
      </c>
      <c r="T15" s="5">
        <f>0</f>
        <v/>
      </c>
      <c r="U15" s="5">
        <f>0</f>
        <v/>
      </c>
      <c r="V15" s="5">
        <f>0</f>
        <v/>
      </c>
      <c r="W15" s="5">
        <f>0</f>
        <v/>
      </c>
      <c r="X15" s="5">
        <f>0</f>
        <v/>
      </c>
      <c r="Y15" s="5">
        <f>0</f>
        <v/>
      </c>
      <c r="Z15" s="5">
        <f>0</f>
        <v/>
      </c>
      <c r="AA15" s="5">
        <f>0</f>
        <v/>
      </c>
      <c r="AB15" s="5">
        <f>0</f>
        <v/>
      </c>
      <c r="AC15" s="5">
        <f>0</f>
        <v/>
      </c>
      <c r="AD15" s="5">
        <f>0</f>
        <v/>
      </c>
      <c r="AE15" s="5">
        <f>0</f>
        <v/>
      </c>
      <c r="AF15" s="5">
        <f>0</f>
        <v/>
      </c>
      <c r="AG15" s="5">
        <f>0</f>
        <v/>
      </c>
      <c r="AH15" s="5">
        <f>0</f>
        <v/>
      </c>
      <c r="AI15" s="5">
        <f>0</f>
        <v/>
      </c>
      <c r="AJ15" s="5">
        <f>0</f>
        <v/>
      </c>
      <c r="AK15" s="5">
        <f>0</f>
        <v/>
      </c>
      <c r="AL15" s="5">
        <f>0</f>
        <v/>
      </c>
      <c r="AM15" s="5">
        <f>0</f>
        <v/>
      </c>
      <c r="AN15" s="5">
        <f>0</f>
        <v/>
      </c>
      <c r="AO15" s="5">
        <f>0</f>
        <v/>
      </c>
      <c r="AP15" s="5">
        <f>0</f>
        <v/>
      </c>
      <c r="AQ15" s="5">
        <f>0</f>
        <v/>
      </c>
      <c r="AR15" s="5">
        <f>0</f>
        <v/>
      </c>
      <c r="AS15" s="5">
        <f>0</f>
        <v/>
      </c>
      <c r="AT15" s="5">
        <f>0</f>
        <v/>
      </c>
      <c r="AU15" s="5">
        <f>0</f>
        <v/>
      </c>
      <c r="AV15" s="5">
        <f>0</f>
        <v/>
      </c>
      <c r="AW15" s="5">
        <f>0</f>
        <v/>
      </c>
      <c r="AX15" s="5">
        <f>0</f>
        <v/>
      </c>
      <c r="AY15" s="5">
        <f>0</f>
        <v/>
      </c>
      <c r="AZ15" s="5">
        <f>0</f>
        <v/>
      </c>
      <c r="BA15" s="5">
        <f>0</f>
        <v/>
      </c>
      <c r="BB15" s="5">
        <f>0</f>
        <v/>
      </c>
      <c r="BC15" s="5">
        <f>0</f>
        <v/>
      </c>
      <c r="BD15" s="5">
        <f>0</f>
        <v/>
      </c>
      <c r="BE15" s="5">
        <f>0</f>
        <v/>
      </c>
      <c r="BF15" s="5">
        <f>0</f>
        <v/>
      </c>
      <c r="BG15" s="5">
        <f>0</f>
        <v/>
      </c>
      <c r="BH15" s="5">
        <f>0</f>
        <v/>
      </c>
      <c r="BI15" s="5">
        <f>0</f>
        <v/>
      </c>
      <c r="BJ15" s="5">
        <f>0</f>
        <v/>
      </c>
      <c r="BK15" s="5">
        <f>0</f>
        <v/>
      </c>
      <c r="BL15" s="5">
        <f>0</f>
        <v/>
      </c>
      <c r="BM15" s="5">
        <f>0</f>
        <v/>
      </c>
      <c r="BN15" s="5">
        <f>0</f>
        <v/>
      </c>
      <c r="BO15" s="5">
        <f>0</f>
        <v/>
      </c>
      <c r="BP15" s="5">
        <f>0</f>
        <v/>
      </c>
      <c r="BQ15" s="5">
        <f>0</f>
        <v/>
      </c>
      <c r="BR15" s="5">
        <f>0</f>
        <v/>
      </c>
      <c r="BS15" s="5">
        <f>0</f>
        <v/>
      </c>
      <c r="BT15" s="5">
        <f>0</f>
        <v/>
      </c>
      <c r="BU15" s="5">
        <f>0</f>
        <v/>
      </c>
      <c r="BV15" s="5">
        <f>0</f>
        <v/>
      </c>
      <c r="BW15" s="5">
        <f>0</f>
        <v/>
      </c>
      <c r="BX15" s="5">
        <f>0</f>
        <v/>
      </c>
      <c r="BY15" s="5">
        <f>0</f>
        <v/>
      </c>
    </row>
    <row r="16">
      <c r="B16" s="7" t="inlineStr">
        <is>
          <t>Выручка — всего</t>
        </is>
      </c>
      <c r="C16" s="7" t="inlineStr">
        <is>
          <t>₽</t>
        </is>
      </c>
      <c r="D16" s="130" t="inlineStr"/>
      <c r="E16" s="131">
        <f>SUM(L16:W16)</f>
        <v/>
      </c>
      <c r="F16" s="131">
        <f>SUM(X16:AI16)</f>
        <v/>
      </c>
      <c r="G16" s="131">
        <f>SUM(AJ16:AU16)</f>
        <v/>
      </c>
      <c r="H16" s="131">
        <f>SUM(AV16:BG16)</f>
        <v/>
      </c>
      <c r="I16" s="131">
        <f>SUM(BH16:BS16)</f>
        <v/>
      </c>
      <c r="J16" s="10">
        <f>SUM(L16:BS16)</f>
        <v/>
      </c>
      <c r="L16" s="9">
        <f>SUM(L12:L15)</f>
        <v/>
      </c>
      <c r="M16" s="9">
        <f>SUM(M12:M15)</f>
        <v/>
      </c>
      <c r="N16" s="9">
        <f>SUM(N12:N15)</f>
        <v/>
      </c>
      <c r="O16" s="9">
        <f>SUM(O12:O15)</f>
        <v/>
      </c>
      <c r="P16" s="9">
        <f>SUM(P12:P15)</f>
        <v/>
      </c>
      <c r="Q16" s="9">
        <f>SUM(Q12:Q15)</f>
        <v/>
      </c>
      <c r="R16" s="9">
        <f>SUM(R12:R15)</f>
        <v/>
      </c>
      <c r="S16" s="9">
        <f>SUM(S12:S15)</f>
        <v/>
      </c>
      <c r="T16" s="9">
        <f>SUM(T12:T15)</f>
        <v/>
      </c>
      <c r="U16" s="9">
        <f>SUM(U12:U15)</f>
        <v/>
      </c>
      <c r="V16" s="9">
        <f>SUM(V12:V15)</f>
        <v/>
      </c>
      <c r="W16" s="9">
        <f>SUM(W12:W15)</f>
        <v/>
      </c>
      <c r="X16" s="9">
        <f>SUM(X12:X15)</f>
        <v/>
      </c>
      <c r="Y16" s="9">
        <f>SUM(Y12:Y15)</f>
        <v/>
      </c>
      <c r="Z16" s="9">
        <f>SUM(Z12:Z15)</f>
        <v/>
      </c>
      <c r="AA16" s="9">
        <f>SUM(AA12:AA15)</f>
        <v/>
      </c>
      <c r="AB16" s="9">
        <f>SUM(AB12:AB15)</f>
        <v/>
      </c>
      <c r="AC16" s="9">
        <f>SUM(AC12:AC15)</f>
        <v/>
      </c>
      <c r="AD16" s="9">
        <f>SUM(AD12:AD15)</f>
        <v/>
      </c>
      <c r="AE16" s="9">
        <f>SUM(AE12:AE15)</f>
        <v/>
      </c>
      <c r="AF16" s="9">
        <f>SUM(AF12:AF15)</f>
        <v/>
      </c>
      <c r="AG16" s="9">
        <f>SUM(AG12:AG15)</f>
        <v/>
      </c>
      <c r="AH16" s="9">
        <f>SUM(AH12:AH15)</f>
        <v/>
      </c>
      <c r="AI16" s="9">
        <f>SUM(AI12:AI15)</f>
        <v/>
      </c>
      <c r="AJ16" s="9">
        <f>SUM(AJ12:AJ15)</f>
        <v/>
      </c>
      <c r="AK16" s="9">
        <f>SUM(AK12:AK15)</f>
        <v/>
      </c>
      <c r="AL16" s="9">
        <f>SUM(AL12:AL15)</f>
        <v/>
      </c>
      <c r="AM16" s="9">
        <f>SUM(AM12:AM15)</f>
        <v/>
      </c>
      <c r="AN16" s="9">
        <f>SUM(AN12:AN15)</f>
        <v/>
      </c>
      <c r="AO16" s="9">
        <f>SUM(AO12:AO15)</f>
        <v/>
      </c>
      <c r="AP16" s="9">
        <f>SUM(AP12:AP15)</f>
        <v/>
      </c>
      <c r="AQ16" s="9">
        <f>SUM(AQ12:AQ15)</f>
        <v/>
      </c>
      <c r="AR16" s="9">
        <f>SUM(AR12:AR15)</f>
        <v/>
      </c>
      <c r="AS16" s="9">
        <f>SUM(AS12:AS15)</f>
        <v/>
      </c>
      <c r="AT16" s="9">
        <f>SUM(AT12:AT15)</f>
        <v/>
      </c>
      <c r="AU16" s="9">
        <f>SUM(AU12:AU15)</f>
        <v/>
      </c>
      <c r="AV16" s="9">
        <f>SUM(AV12:AV15)</f>
        <v/>
      </c>
      <c r="AW16" s="9">
        <f>SUM(AW12:AW15)</f>
        <v/>
      </c>
      <c r="AX16" s="9">
        <f>SUM(AX12:AX15)</f>
        <v/>
      </c>
      <c r="AY16" s="9">
        <f>SUM(AY12:AY15)</f>
        <v/>
      </c>
      <c r="AZ16" s="9">
        <f>SUM(AZ12:AZ15)</f>
        <v/>
      </c>
      <c r="BA16" s="9">
        <f>SUM(BA12:BA15)</f>
        <v/>
      </c>
      <c r="BB16" s="9">
        <f>SUM(BB12:BB15)</f>
        <v/>
      </c>
      <c r="BC16" s="9">
        <f>SUM(BC12:BC15)</f>
        <v/>
      </c>
      <c r="BD16" s="9">
        <f>SUM(BD12:BD15)</f>
        <v/>
      </c>
      <c r="BE16" s="9">
        <f>SUM(BE12:BE15)</f>
        <v/>
      </c>
      <c r="BF16" s="9">
        <f>SUM(BF12:BF15)</f>
        <v/>
      </c>
      <c r="BG16" s="9">
        <f>SUM(BG12:BG15)</f>
        <v/>
      </c>
      <c r="BH16" s="9">
        <f>SUM(BH12:BH15)</f>
        <v/>
      </c>
      <c r="BI16" s="9">
        <f>SUM(BI12:BI15)</f>
        <v/>
      </c>
      <c r="BJ16" s="9">
        <f>SUM(BJ12:BJ15)</f>
        <v/>
      </c>
      <c r="BK16" s="9">
        <f>SUM(BK12:BK15)</f>
        <v/>
      </c>
      <c r="BL16" s="9">
        <f>SUM(BL12:BL15)</f>
        <v/>
      </c>
      <c r="BM16" s="9">
        <f>SUM(BM12:BM15)</f>
        <v/>
      </c>
      <c r="BN16" s="9">
        <f>SUM(BN12:BN15)</f>
        <v/>
      </c>
      <c r="BO16" s="9">
        <f>SUM(BO12:BO15)</f>
        <v/>
      </c>
      <c r="BP16" s="9">
        <f>SUM(BP12:BP15)</f>
        <v/>
      </c>
      <c r="BQ16" s="9">
        <f>SUM(BQ12:BQ15)</f>
        <v/>
      </c>
      <c r="BR16" s="9">
        <f>SUM(BR12:BR15)</f>
        <v/>
      </c>
      <c r="BS16" s="9">
        <f>SUM(BS12:BS15)</f>
        <v/>
      </c>
      <c r="BT16" s="9">
        <f>SUM(BT12:BT15)</f>
        <v/>
      </c>
      <c r="BU16" s="9">
        <f>SUM(BU12:BU15)</f>
        <v/>
      </c>
      <c r="BV16" s="9">
        <f>SUM(BV12:BV15)</f>
        <v/>
      </c>
      <c r="BW16" s="9">
        <f>SUM(BW12:BW15)</f>
        <v/>
      </c>
      <c r="BX16" s="9">
        <f>SUM(BX12:BX15)</f>
        <v/>
      </c>
      <c r="BY16" s="9">
        <f>SUM(BY12:BY15)</f>
        <v/>
      </c>
    </row>
    <row r="17">
      <c r="B17" t="inlineStr">
        <is>
          <t>COGS мерча</t>
        </is>
      </c>
      <c r="C17" t="inlineStr">
        <is>
          <t>₽</t>
        </is>
      </c>
      <c r="D17" s="127" t="inlineStr"/>
      <c r="E17" s="129">
        <f>SUM(L17:W17)</f>
        <v/>
      </c>
      <c r="F17" s="129">
        <f>SUM(X17:AI17)</f>
        <v/>
      </c>
      <c r="G17" s="129">
        <f>SUM(AJ17:AU17)</f>
        <v/>
      </c>
      <c r="H17" s="129">
        <f>SUM(AV17:BG17)</f>
        <v/>
      </c>
      <c r="I17" s="129">
        <f>SUM(BH17:BS17)</f>
        <v/>
      </c>
      <c r="J17" s="6">
        <f>SUM(L17:BS17)</f>
        <v/>
      </c>
      <c r="L17" s="5">
        <f>'04_Доходы'!L133</f>
        <v/>
      </c>
      <c r="M17" s="5">
        <f>'04_Доходы'!M133</f>
        <v/>
      </c>
      <c r="N17" s="5">
        <f>'04_Доходы'!N133</f>
        <v/>
      </c>
      <c r="O17" s="5">
        <f>'04_Доходы'!O133</f>
        <v/>
      </c>
      <c r="P17" s="5">
        <f>'04_Доходы'!P133</f>
        <v/>
      </c>
      <c r="Q17" s="5">
        <f>'04_Доходы'!Q133</f>
        <v/>
      </c>
      <c r="R17" s="5">
        <f>'04_Доходы'!R133</f>
        <v/>
      </c>
      <c r="S17" s="5">
        <f>'04_Доходы'!S133</f>
        <v/>
      </c>
      <c r="T17" s="5">
        <f>'04_Доходы'!T133</f>
        <v/>
      </c>
      <c r="U17" s="5">
        <f>'04_Доходы'!U133</f>
        <v/>
      </c>
      <c r="V17" s="5">
        <f>'04_Доходы'!V133</f>
        <v/>
      </c>
      <c r="W17" s="5">
        <f>'04_Доходы'!W133</f>
        <v/>
      </c>
      <c r="X17" s="5">
        <f>'04_Доходы'!X133</f>
        <v/>
      </c>
      <c r="Y17" s="5">
        <f>'04_Доходы'!Y133</f>
        <v/>
      </c>
      <c r="Z17" s="5">
        <f>'04_Доходы'!Z133</f>
        <v/>
      </c>
      <c r="AA17" s="5">
        <f>'04_Доходы'!AA133</f>
        <v/>
      </c>
      <c r="AB17" s="5">
        <f>'04_Доходы'!AB133</f>
        <v/>
      </c>
      <c r="AC17" s="5">
        <f>'04_Доходы'!AC133</f>
        <v/>
      </c>
      <c r="AD17" s="5">
        <f>'04_Доходы'!AD133</f>
        <v/>
      </c>
      <c r="AE17" s="5">
        <f>'04_Доходы'!AE133</f>
        <v/>
      </c>
      <c r="AF17" s="5">
        <f>'04_Доходы'!AF133</f>
        <v/>
      </c>
      <c r="AG17" s="5">
        <f>'04_Доходы'!AG133</f>
        <v/>
      </c>
      <c r="AH17" s="5">
        <f>'04_Доходы'!AH133</f>
        <v/>
      </c>
      <c r="AI17" s="5">
        <f>'04_Доходы'!AI133</f>
        <v/>
      </c>
      <c r="AJ17" s="5">
        <f>'04_Доходы'!AJ133</f>
        <v/>
      </c>
      <c r="AK17" s="5">
        <f>'04_Доходы'!AK133</f>
        <v/>
      </c>
      <c r="AL17" s="5">
        <f>'04_Доходы'!AL133</f>
        <v/>
      </c>
      <c r="AM17" s="5">
        <f>'04_Доходы'!AM133</f>
        <v/>
      </c>
      <c r="AN17" s="5">
        <f>'04_Доходы'!AN133</f>
        <v/>
      </c>
      <c r="AO17" s="5">
        <f>'04_Доходы'!AO133</f>
        <v/>
      </c>
      <c r="AP17" s="5">
        <f>'04_Доходы'!AP133</f>
        <v/>
      </c>
      <c r="AQ17" s="5">
        <f>'04_Доходы'!AQ133</f>
        <v/>
      </c>
      <c r="AR17" s="5">
        <f>'04_Доходы'!AR133</f>
        <v/>
      </c>
      <c r="AS17" s="5">
        <f>'04_Доходы'!AS133</f>
        <v/>
      </c>
      <c r="AT17" s="5">
        <f>'04_Доходы'!AT133</f>
        <v/>
      </c>
      <c r="AU17" s="5">
        <f>'04_Доходы'!AU133</f>
        <v/>
      </c>
      <c r="AV17" s="5">
        <f>'04_Доходы'!AV133</f>
        <v/>
      </c>
      <c r="AW17" s="5">
        <f>'04_Доходы'!AW133</f>
        <v/>
      </c>
      <c r="AX17" s="5">
        <f>'04_Доходы'!AX133</f>
        <v/>
      </c>
      <c r="AY17" s="5">
        <f>'04_Доходы'!AY133</f>
        <v/>
      </c>
      <c r="AZ17" s="5">
        <f>'04_Доходы'!AZ133</f>
        <v/>
      </c>
      <c r="BA17" s="5">
        <f>'04_Доходы'!BA133</f>
        <v/>
      </c>
      <c r="BB17" s="5">
        <f>'04_Доходы'!BB133</f>
        <v/>
      </c>
      <c r="BC17" s="5">
        <f>'04_Доходы'!BC133</f>
        <v/>
      </c>
      <c r="BD17" s="5">
        <f>'04_Доходы'!BD133</f>
        <v/>
      </c>
      <c r="BE17" s="5">
        <f>'04_Доходы'!BE133</f>
        <v/>
      </c>
      <c r="BF17" s="5">
        <f>'04_Доходы'!BF133</f>
        <v/>
      </c>
      <c r="BG17" s="5">
        <f>'04_Доходы'!BG133</f>
        <v/>
      </c>
      <c r="BH17" s="5">
        <f>'04_Доходы'!BH133</f>
        <v/>
      </c>
      <c r="BI17" s="5">
        <f>'04_Доходы'!BI133</f>
        <v/>
      </c>
      <c r="BJ17" s="5">
        <f>'04_Доходы'!BJ133</f>
        <v/>
      </c>
      <c r="BK17" s="5">
        <f>'04_Доходы'!BK133</f>
        <v/>
      </c>
      <c r="BL17" s="5">
        <f>'04_Доходы'!BL133</f>
        <v/>
      </c>
      <c r="BM17" s="5">
        <f>'04_Доходы'!BM133</f>
        <v/>
      </c>
      <c r="BN17" s="5">
        <f>'04_Доходы'!BN133</f>
        <v/>
      </c>
      <c r="BO17" s="5">
        <f>'04_Доходы'!BO133</f>
        <v/>
      </c>
      <c r="BP17" s="5">
        <f>'04_Доходы'!BP133</f>
        <v/>
      </c>
      <c r="BQ17" s="5">
        <f>'04_Доходы'!BQ133</f>
        <v/>
      </c>
      <c r="BR17" s="5">
        <f>'04_Доходы'!BR133</f>
        <v/>
      </c>
      <c r="BS17" s="5">
        <f>'04_Доходы'!BS133</f>
        <v/>
      </c>
      <c r="BT17" s="5">
        <f>'04_Доходы'!BT133</f>
        <v/>
      </c>
      <c r="BU17" s="5">
        <f>'04_Доходы'!BU133</f>
        <v/>
      </c>
      <c r="BV17" s="5">
        <f>'04_Доходы'!BV133</f>
        <v/>
      </c>
      <c r="BW17" s="5">
        <f>'04_Доходы'!BW133</f>
        <v/>
      </c>
      <c r="BX17" s="5">
        <f>'04_Доходы'!BX133</f>
        <v/>
      </c>
      <c r="BY17" s="5">
        <f>'04_Доходы'!BY133</f>
        <v/>
      </c>
    </row>
    <row r="18">
      <c r="B18" t="inlineStr">
        <is>
          <t>Логистика, возвраты, брак</t>
        </is>
      </c>
      <c r="C18" t="inlineStr">
        <is>
          <t>₽</t>
        </is>
      </c>
      <c r="D18" s="127" t="inlineStr"/>
      <c r="E18" s="129">
        <f>SUM(L18:W18)</f>
        <v/>
      </c>
      <c r="F18" s="129">
        <f>SUM(X18:AI18)</f>
        <v/>
      </c>
      <c r="G18" s="129">
        <f>SUM(AJ18:AU18)</f>
        <v/>
      </c>
      <c r="H18" s="129">
        <f>SUM(AV18:BG18)</f>
        <v/>
      </c>
      <c r="I18" s="129">
        <f>SUM(BH18:BS18)</f>
        <v/>
      </c>
      <c r="J18" s="6">
        <f>SUM(L18:BS18)</f>
        <v/>
      </c>
      <c r="L18" s="5">
        <f>'04_Доходы'!L134</f>
        <v/>
      </c>
      <c r="M18" s="5">
        <f>'04_Доходы'!M134</f>
        <v/>
      </c>
      <c r="N18" s="5">
        <f>'04_Доходы'!N134</f>
        <v/>
      </c>
      <c r="O18" s="5">
        <f>'04_Доходы'!O134</f>
        <v/>
      </c>
      <c r="P18" s="5">
        <f>'04_Доходы'!P134</f>
        <v/>
      </c>
      <c r="Q18" s="5">
        <f>'04_Доходы'!Q134</f>
        <v/>
      </c>
      <c r="R18" s="5">
        <f>'04_Доходы'!R134</f>
        <v/>
      </c>
      <c r="S18" s="5">
        <f>'04_Доходы'!S134</f>
        <v/>
      </c>
      <c r="T18" s="5">
        <f>'04_Доходы'!T134</f>
        <v/>
      </c>
      <c r="U18" s="5">
        <f>'04_Доходы'!U134</f>
        <v/>
      </c>
      <c r="V18" s="5">
        <f>'04_Доходы'!V134</f>
        <v/>
      </c>
      <c r="W18" s="5">
        <f>'04_Доходы'!W134</f>
        <v/>
      </c>
      <c r="X18" s="5">
        <f>'04_Доходы'!X134</f>
        <v/>
      </c>
      <c r="Y18" s="5">
        <f>'04_Доходы'!Y134</f>
        <v/>
      </c>
      <c r="Z18" s="5">
        <f>'04_Доходы'!Z134</f>
        <v/>
      </c>
      <c r="AA18" s="5">
        <f>'04_Доходы'!AA134</f>
        <v/>
      </c>
      <c r="AB18" s="5">
        <f>'04_Доходы'!AB134</f>
        <v/>
      </c>
      <c r="AC18" s="5">
        <f>'04_Доходы'!AC134</f>
        <v/>
      </c>
      <c r="AD18" s="5">
        <f>'04_Доходы'!AD134</f>
        <v/>
      </c>
      <c r="AE18" s="5">
        <f>'04_Доходы'!AE134</f>
        <v/>
      </c>
      <c r="AF18" s="5">
        <f>'04_Доходы'!AF134</f>
        <v/>
      </c>
      <c r="AG18" s="5">
        <f>'04_Доходы'!AG134</f>
        <v/>
      </c>
      <c r="AH18" s="5">
        <f>'04_Доходы'!AH134</f>
        <v/>
      </c>
      <c r="AI18" s="5">
        <f>'04_Доходы'!AI134</f>
        <v/>
      </c>
      <c r="AJ18" s="5">
        <f>'04_Доходы'!AJ134</f>
        <v/>
      </c>
      <c r="AK18" s="5">
        <f>'04_Доходы'!AK134</f>
        <v/>
      </c>
      <c r="AL18" s="5">
        <f>'04_Доходы'!AL134</f>
        <v/>
      </c>
      <c r="AM18" s="5">
        <f>'04_Доходы'!AM134</f>
        <v/>
      </c>
      <c r="AN18" s="5">
        <f>'04_Доходы'!AN134</f>
        <v/>
      </c>
      <c r="AO18" s="5">
        <f>'04_Доходы'!AO134</f>
        <v/>
      </c>
      <c r="AP18" s="5">
        <f>'04_Доходы'!AP134</f>
        <v/>
      </c>
      <c r="AQ18" s="5">
        <f>'04_Доходы'!AQ134</f>
        <v/>
      </c>
      <c r="AR18" s="5">
        <f>'04_Доходы'!AR134</f>
        <v/>
      </c>
      <c r="AS18" s="5">
        <f>'04_Доходы'!AS134</f>
        <v/>
      </c>
      <c r="AT18" s="5">
        <f>'04_Доходы'!AT134</f>
        <v/>
      </c>
      <c r="AU18" s="5">
        <f>'04_Доходы'!AU134</f>
        <v/>
      </c>
      <c r="AV18" s="5">
        <f>'04_Доходы'!AV134</f>
        <v/>
      </c>
      <c r="AW18" s="5">
        <f>'04_Доходы'!AW134</f>
        <v/>
      </c>
      <c r="AX18" s="5">
        <f>'04_Доходы'!AX134</f>
        <v/>
      </c>
      <c r="AY18" s="5">
        <f>'04_Доходы'!AY134</f>
        <v/>
      </c>
      <c r="AZ18" s="5">
        <f>'04_Доходы'!AZ134</f>
        <v/>
      </c>
      <c r="BA18" s="5">
        <f>'04_Доходы'!BA134</f>
        <v/>
      </c>
      <c r="BB18" s="5">
        <f>'04_Доходы'!BB134</f>
        <v/>
      </c>
      <c r="BC18" s="5">
        <f>'04_Доходы'!BC134</f>
        <v/>
      </c>
      <c r="BD18" s="5">
        <f>'04_Доходы'!BD134</f>
        <v/>
      </c>
      <c r="BE18" s="5">
        <f>'04_Доходы'!BE134</f>
        <v/>
      </c>
      <c r="BF18" s="5">
        <f>'04_Доходы'!BF134</f>
        <v/>
      </c>
      <c r="BG18" s="5">
        <f>'04_Доходы'!BG134</f>
        <v/>
      </c>
      <c r="BH18" s="5">
        <f>'04_Доходы'!BH134</f>
        <v/>
      </c>
      <c r="BI18" s="5">
        <f>'04_Доходы'!BI134</f>
        <v/>
      </c>
      <c r="BJ18" s="5">
        <f>'04_Доходы'!BJ134</f>
        <v/>
      </c>
      <c r="BK18" s="5">
        <f>'04_Доходы'!BK134</f>
        <v/>
      </c>
      <c r="BL18" s="5">
        <f>'04_Доходы'!BL134</f>
        <v/>
      </c>
      <c r="BM18" s="5">
        <f>'04_Доходы'!BM134</f>
        <v/>
      </c>
      <c r="BN18" s="5">
        <f>'04_Доходы'!BN134</f>
        <v/>
      </c>
      <c r="BO18" s="5">
        <f>'04_Доходы'!BO134</f>
        <v/>
      </c>
      <c r="BP18" s="5">
        <f>'04_Доходы'!BP134</f>
        <v/>
      </c>
      <c r="BQ18" s="5">
        <f>'04_Доходы'!BQ134</f>
        <v/>
      </c>
      <c r="BR18" s="5">
        <f>'04_Доходы'!BR134</f>
        <v/>
      </c>
      <c r="BS18" s="5">
        <f>'04_Доходы'!BS134</f>
        <v/>
      </c>
      <c r="BT18" s="5">
        <f>'04_Доходы'!BT134</f>
        <v/>
      </c>
      <c r="BU18" s="5">
        <f>'04_Доходы'!BU134</f>
        <v/>
      </c>
      <c r="BV18" s="5">
        <f>'04_Доходы'!BV134</f>
        <v/>
      </c>
      <c r="BW18" s="5">
        <f>'04_Доходы'!BW134</f>
        <v/>
      </c>
      <c r="BX18" s="5">
        <f>'04_Доходы'!BX134</f>
        <v/>
      </c>
      <c r="BY18" s="5">
        <f>'04_Доходы'!BY134</f>
        <v/>
      </c>
    </row>
    <row r="19">
      <c r="B19" t="inlineStr">
        <is>
          <t>Клубу: доля прибыли мерча</t>
        </is>
      </c>
      <c r="C19" t="inlineStr">
        <is>
          <t>₽</t>
        </is>
      </c>
      <c r="D19" s="127" t="inlineStr"/>
      <c r="E19" s="129">
        <f>SUM(L19:W19)</f>
        <v/>
      </c>
      <c r="F19" s="129">
        <f>SUM(X19:AI19)</f>
        <v/>
      </c>
      <c r="G19" s="129">
        <f>SUM(AJ19:AU19)</f>
        <v/>
      </c>
      <c r="H19" s="129">
        <f>SUM(AV19:BG19)</f>
        <v/>
      </c>
      <c r="I19" s="129">
        <f>SUM(BH19:BS19)</f>
        <v/>
      </c>
      <c r="J19" s="6">
        <f>SUM(L19:BS19)</f>
        <v/>
      </c>
      <c r="L19" s="5">
        <f>'05_Расходы'!L49</f>
        <v/>
      </c>
      <c r="M19" s="5">
        <f>'05_Расходы'!M49</f>
        <v/>
      </c>
      <c r="N19" s="5">
        <f>'05_Расходы'!N49</f>
        <v/>
      </c>
      <c r="O19" s="5">
        <f>'05_Расходы'!O49</f>
        <v/>
      </c>
      <c r="P19" s="5">
        <f>'05_Расходы'!P49</f>
        <v/>
      </c>
      <c r="Q19" s="5">
        <f>'05_Расходы'!Q49</f>
        <v/>
      </c>
      <c r="R19" s="5">
        <f>'05_Расходы'!R49</f>
        <v/>
      </c>
      <c r="S19" s="5">
        <f>'05_Расходы'!S49</f>
        <v/>
      </c>
      <c r="T19" s="5">
        <f>'05_Расходы'!T49</f>
        <v/>
      </c>
      <c r="U19" s="5">
        <f>'05_Расходы'!U49</f>
        <v/>
      </c>
      <c r="V19" s="5">
        <f>'05_Расходы'!V49</f>
        <v/>
      </c>
      <c r="W19" s="5">
        <f>'05_Расходы'!W49</f>
        <v/>
      </c>
      <c r="X19" s="5">
        <f>'05_Расходы'!X49</f>
        <v/>
      </c>
      <c r="Y19" s="5">
        <f>'05_Расходы'!Y49</f>
        <v/>
      </c>
      <c r="Z19" s="5">
        <f>'05_Расходы'!Z49</f>
        <v/>
      </c>
      <c r="AA19" s="5">
        <f>'05_Расходы'!AA49</f>
        <v/>
      </c>
      <c r="AB19" s="5">
        <f>'05_Расходы'!AB49</f>
        <v/>
      </c>
      <c r="AC19" s="5">
        <f>'05_Расходы'!AC49</f>
        <v/>
      </c>
      <c r="AD19" s="5">
        <f>'05_Расходы'!AD49</f>
        <v/>
      </c>
      <c r="AE19" s="5">
        <f>'05_Расходы'!AE49</f>
        <v/>
      </c>
      <c r="AF19" s="5">
        <f>'05_Расходы'!AF49</f>
        <v/>
      </c>
      <c r="AG19" s="5">
        <f>'05_Расходы'!AG49</f>
        <v/>
      </c>
      <c r="AH19" s="5">
        <f>'05_Расходы'!AH49</f>
        <v/>
      </c>
      <c r="AI19" s="5">
        <f>'05_Расходы'!AI49</f>
        <v/>
      </c>
      <c r="AJ19" s="5">
        <f>'05_Расходы'!AJ49</f>
        <v/>
      </c>
      <c r="AK19" s="5">
        <f>'05_Расходы'!AK49</f>
        <v/>
      </c>
      <c r="AL19" s="5">
        <f>'05_Расходы'!AL49</f>
        <v/>
      </c>
      <c r="AM19" s="5">
        <f>'05_Расходы'!AM49</f>
        <v/>
      </c>
      <c r="AN19" s="5">
        <f>'05_Расходы'!AN49</f>
        <v/>
      </c>
      <c r="AO19" s="5">
        <f>'05_Расходы'!AO49</f>
        <v/>
      </c>
      <c r="AP19" s="5">
        <f>'05_Расходы'!AP49</f>
        <v/>
      </c>
      <c r="AQ19" s="5">
        <f>'05_Расходы'!AQ49</f>
        <v/>
      </c>
      <c r="AR19" s="5">
        <f>'05_Расходы'!AR49</f>
        <v/>
      </c>
      <c r="AS19" s="5">
        <f>'05_Расходы'!AS49</f>
        <v/>
      </c>
      <c r="AT19" s="5">
        <f>'05_Расходы'!AT49</f>
        <v/>
      </c>
      <c r="AU19" s="5">
        <f>'05_Расходы'!AU49</f>
        <v/>
      </c>
      <c r="AV19" s="5">
        <f>'05_Расходы'!AV49</f>
        <v/>
      </c>
      <c r="AW19" s="5">
        <f>'05_Расходы'!AW49</f>
        <v/>
      </c>
      <c r="AX19" s="5">
        <f>'05_Расходы'!AX49</f>
        <v/>
      </c>
      <c r="AY19" s="5">
        <f>'05_Расходы'!AY49</f>
        <v/>
      </c>
      <c r="AZ19" s="5">
        <f>'05_Расходы'!AZ49</f>
        <v/>
      </c>
      <c r="BA19" s="5">
        <f>'05_Расходы'!BA49</f>
        <v/>
      </c>
      <c r="BB19" s="5">
        <f>'05_Расходы'!BB49</f>
        <v/>
      </c>
      <c r="BC19" s="5">
        <f>'05_Расходы'!BC49</f>
        <v/>
      </c>
      <c r="BD19" s="5">
        <f>'05_Расходы'!BD49</f>
        <v/>
      </c>
      <c r="BE19" s="5">
        <f>'05_Расходы'!BE49</f>
        <v/>
      </c>
      <c r="BF19" s="5">
        <f>'05_Расходы'!BF49</f>
        <v/>
      </c>
      <c r="BG19" s="5">
        <f>'05_Расходы'!BG49</f>
        <v/>
      </c>
      <c r="BH19" s="5">
        <f>'05_Расходы'!BH49</f>
        <v/>
      </c>
      <c r="BI19" s="5">
        <f>'05_Расходы'!BI49</f>
        <v/>
      </c>
      <c r="BJ19" s="5">
        <f>'05_Расходы'!BJ49</f>
        <v/>
      </c>
      <c r="BK19" s="5">
        <f>'05_Расходы'!BK49</f>
        <v/>
      </c>
      <c r="BL19" s="5">
        <f>'05_Расходы'!BL49</f>
        <v/>
      </c>
      <c r="BM19" s="5">
        <f>'05_Расходы'!BM49</f>
        <v/>
      </c>
      <c r="BN19" s="5">
        <f>'05_Расходы'!BN49</f>
        <v/>
      </c>
      <c r="BO19" s="5">
        <f>'05_Расходы'!BO49</f>
        <v/>
      </c>
      <c r="BP19" s="5">
        <f>'05_Расходы'!BP49</f>
        <v/>
      </c>
      <c r="BQ19" s="5">
        <f>'05_Расходы'!BQ49</f>
        <v/>
      </c>
      <c r="BR19" s="5">
        <f>'05_Расходы'!BR49</f>
        <v/>
      </c>
      <c r="BS19" s="5">
        <f>'05_Расходы'!BS49</f>
        <v/>
      </c>
      <c r="BT19" s="5">
        <f>'05_Расходы'!BT49</f>
        <v/>
      </c>
      <c r="BU19" s="5">
        <f>'05_Расходы'!BU49</f>
        <v/>
      </c>
      <c r="BV19" s="5">
        <f>'05_Расходы'!BV49</f>
        <v/>
      </c>
      <c r="BW19" s="5">
        <f>'05_Расходы'!BW49</f>
        <v/>
      </c>
      <c r="BX19" s="5">
        <f>'05_Расходы'!BX49</f>
        <v/>
      </c>
      <c r="BY19" s="5">
        <f>'05_Расходы'!BY49</f>
        <v/>
      </c>
    </row>
    <row r="20">
      <c r="B20" t="inlineStr">
        <is>
          <t>Клубу: доля паушальных</t>
        </is>
      </c>
      <c r="C20" t="inlineStr">
        <is>
          <t>₽</t>
        </is>
      </c>
      <c r="D20" s="127" t="inlineStr"/>
      <c r="E20" s="129">
        <f>SUM(L20:W20)</f>
        <v/>
      </c>
      <c r="F20" s="129">
        <f>SUM(X20:AI20)</f>
        <v/>
      </c>
      <c r="G20" s="129">
        <f>SUM(AJ20:AU20)</f>
        <v/>
      </c>
      <c r="H20" s="129">
        <f>SUM(AV20:BG20)</f>
        <v/>
      </c>
      <c r="I20" s="129">
        <f>SUM(BH20:BS20)</f>
        <v/>
      </c>
      <c r="J20" s="6">
        <f>SUM(L20:BS20)</f>
        <v/>
      </c>
      <c r="L20" s="5">
        <f>'05_Расходы'!L47</f>
        <v/>
      </c>
      <c r="M20" s="5">
        <f>'05_Расходы'!M47</f>
        <v/>
      </c>
      <c r="N20" s="5">
        <f>'05_Расходы'!N47</f>
        <v/>
      </c>
      <c r="O20" s="5">
        <f>'05_Расходы'!O47</f>
        <v/>
      </c>
      <c r="P20" s="5">
        <f>'05_Расходы'!P47</f>
        <v/>
      </c>
      <c r="Q20" s="5">
        <f>'05_Расходы'!Q47</f>
        <v/>
      </c>
      <c r="R20" s="5">
        <f>'05_Расходы'!R47</f>
        <v/>
      </c>
      <c r="S20" s="5">
        <f>'05_Расходы'!S47</f>
        <v/>
      </c>
      <c r="T20" s="5">
        <f>'05_Расходы'!T47</f>
        <v/>
      </c>
      <c r="U20" s="5">
        <f>'05_Расходы'!U47</f>
        <v/>
      </c>
      <c r="V20" s="5">
        <f>'05_Расходы'!V47</f>
        <v/>
      </c>
      <c r="W20" s="5">
        <f>'05_Расходы'!W47</f>
        <v/>
      </c>
      <c r="X20" s="5">
        <f>'05_Расходы'!X47</f>
        <v/>
      </c>
      <c r="Y20" s="5">
        <f>'05_Расходы'!Y47</f>
        <v/>
      </c>
      <c r="Z20" s="5">
        <f>'05_Расходы'!Z47</f>
        <v/>
      </c>
      <c r="AA20" s="5">
        <f>'05_Расходы'!AA47</f>
        <v/>
      </c>
      <c r="AB20" s="5">
        <f>'05_Расходы'!AB47</f>
        <v/>
      </c>
      <c r="AC20" s="5">
        <f>'05_Расходы'!AC47</f>
        <v/>
      </c>
      <c r="AD20" s="5">
        <f>'05_Расходы'!AD47</f>
        <v/>
      </c>
      <c r="AE20" s="5">
        <f>'05_Расходы'!AE47</f>
        <v/>
      </c>
      <c r="AF20" s="5">
        <f>'05_Расходы'!AF47</f>
        <v/>
      </c>
      <c r="AG20" s="5">
        <f>'05_Расходы'!AG47</f>
        <v/>
      </c>
      <c r="AH20" s="5">
        <f>'05_Расходы'!AH47</f>
        <v/>
      </c>
      <c r="AI20" s="5">
        <f>'05_Расходы'!AI47</f>
        <v/>
      </c>
      <c r="AJ20" s="5">
        <f>'05_Расходы'!AJ47</f>
        <v/>
      </c>
      <c r="AK20" s="5">
        <f>'05_Расходы'!AK47</f>
        <v/>
      </c>
      <c r="AL20" s="5">
        <f>'05_Расходы'!AL47</f>
        <v/>
      </c>
      <c r="AM20" s="5">
        <f>'05_Расходы'!AM47</f>
        <v/>
      </c>
      <c r="AN20" s="5">
        <f>'05_Расходы'!AN47</f>
        <v/>
      </c>
      <c r="AO20" s="5">
        <f>'05_Расходы'!AO47</f>
        <v/>
      </c>
      <c r="AP20" s="5">
        <f>'05_Расходы'!AP47</f>
        <v/>
      </c>
      <c r="AQ20" s="5">
        <f>'05_Расходы'!AQ47</f>
        <v/>
      </c>
      <c r="AR20" s="5">
        <f>'05_Расходы'!AR47</f>
        <v/>
      </c>
      <c r="AS20" s="5">
        <f>'05_Расходы'!AS47</f>
        <v/>
      </c>
      <c r="AT20" s="5">
        <f>'05_Расходы'!AT47</f>
        <v/>
      </c>
      <c r="AU20" s="5">
        <f>'05_Расходы'!AU47</f>
        <v/>
      </c>
      <c r="AV20" s="5">
        <f>'05_Расходы'!AV47</f>
        <v/>
      </c>
      <c r="AW20" s="5">
        <f>'05_Расходы'!AW47</f>
        <v/>
      </c>
      <c r="AX20" s="5">
        <f>'05_Расходы'!AX47</f>
        <v/>
      </c>
      <c r="AY20" s="5">
        <f>'05_Расходы'!AY47</f>
        <v/>
      </c>
      <c r="AZ20" s="5">
        <f>'05_Расходы'!AZ47</f>
        <v/>
      </c>
      <c r="BA20" s="5">
        <f>'05_Расходы'!BA47</f>
        <v/>
      </c>
      <c r="BB20" s="5">
        <f>'05_Расходы'!BB47</f>
        <v/>
      </c>
      <c r="BC20" s="5">
        <f>'05_Расходы'!BC47</f>
        <v/>
      </c>
      <c r="BD20" s="5">
        <f>'05_Расходы'!BD47</f>
        <v/>
      </c>
      <c r="BE20" s="5">
        <f>'05_Расходы'!BE47</f>
        <v/>
      </c>
      <c r="BF20" s="5">
        <f>'05_Расходы'!BF47</f>
        <v/>
      </c>
      <c r="BG20" s="5">
        <f>'05_Расходы'!BG47</f>
        <v/>
      </c>
      <c r="BH20" s="5">
        <f>'05_Расходы'!BH47</f>
        <v/>
      </c>
      <c r="BI20" s="5">
        <f>'05_Расходы'!BI47</f>
        <v/>
      </c>
      <c r="BJ20" s="5">
        <f>'05_Расходы'!BJ47</f>
        <v/>
      </c>
      <c r="BK20" s="5">
        <f>'05_Расходы'!BK47</f>
        <v/>
      </c>
      <c r="BL20" s="5">
        <f>'05_Расходы'!BL47</f>
        <v/>
      </c>
      <c r="BM20" s="5">
        <f>'05_Расходы'!BM47</f>
        <v/>
      </c>
      <c r="BN20" s="5">
        <f>'05_Расходы'!BN47</f>
        <v/>
      </c>
      <c r="BO20" s="5">
        <f>'05_Расходы'!BO47</f>
        <v/>
      </c>
      <c r="BP20" s="5">
        <f>'05_Расходы'!BP47</f>
        <v/>
      </c>
      <c r="BQ20" s="5">
        <f>'05_Расходы'!BQ47</f>
        <v/>
      </c>
      <c r="BR20" s="5">
        <f>'05_Расходы'!BR47</f>
        <v/>
      </c>
      <c r="BS20" s="5">
        <f>'05_Расходы'!BS47</f>
        <v/>
      </c>
      <c r="BT20" s="5">
        <f>'05_Расходы'!BT47</f>
        <v/>
      </c>
      <c r="BU20" s="5">
        <f>'05_Расходы'!BU47</f>
        <v/>
      </c>
      <c r="BV20" s="5">
        <f>'05_Расходы'!BV47</f>
        <v/>
      </c>
      <c r="BW20" s="5">
        <f>'05_Расходы'!BW47</f>
        <v/>
      </c>
      <c r="BX20" s="5">
        <f>'05_Расходы'!BX47</f>
        <v/>
      </c>
      <c r="BY20" s="5">
        <f>'05_Расходы'!BY47</f>
        <v/>
      </c>
    </row>
    <row r="21">
      <c r="B21" t="inlineStr">
        <is>
          <t>Клубу: доля роялти</t>
        </is>
      </c>
      <c r="C21" t="inlineStr">
        <is>
          <t>₽</t>
        </is>
      </c>
      <c r="D21" s="127" t="inlineStr"/>
      <c r="E21" s="129">
        <f>SUM(L21:W21)</f>
        <v/>
      </c>
      <c r="F21" s="129">
        <f>SUM(X21:AI21)</f>
        <v/>
      </c>
      <c r="G21" s="129">
        <f>SUM(AJ21:AU21)</f>
        <v/>
      </c>
      <c r="H21" s="129">
        <f>SUM(AV21:BG21)</f>
        <v/>
      </c>
      <c r="I21" s="129">
        <f>SUM(BH21:BS21)</f>
        <v/>
      </c>
      <c r="J21" s="6">
        <f>SUM(L21:BS21)</f>
        <v/>
      </c>
      <c r="L21" s="5">
        <f>'05_Расходы'!L48</f>
        <v/>
      </c>
      <c r="M21" s="5">
        <f>'05_Расходы'!M48</f>
        <v/>
      </c>
      <c r="N21" s="5">
        <f>'05_Расходы'!N48</f>
        <v/>
      </c>
      <c r="O21" s="5">
        <f>'05_Расходы'!O48</f>
        <v/>
      </c>
      <c r="P21" s="5">
        <f>'05_Расходы'!P48</f>
        <v/>
      </c>
      <c r="Q21" s="5">
        <f>'05_Расходы'!Q48</f>
        <v/>
      </c>
      <c r="R21" s="5">
        <f>'05_Расходы'!R48</f>
        <v/>
      </c>
      <c r="S21" s="5">
        <f>'05_Расходы'!S48</f>
        <v/>
      </c>
      <c r="T21" s="5">
        <f>'05_Расходы'!T48</f>
        <v/>
      </c>
      <c r="U21" s="5">
        <f>'05_Расходы'!U48</f>
        <v/>
      </c>
      <c r="V21" s="5">
        <f>'05_Расходы'!V48</f>
        <v/>
      </c>
      <c r="W21" s="5">
        <f>'05_Расходы'!W48</f>
        <v/>
      </c>
      <c r="X21" s="5">
        <f>'05_Расходы'!X48</f>
        <v/>
      </c>
      <c r="Y21" s="5">
        <f>'05_Расходы'!Y48</f>
        <v/>
      </c>
      <c r="Z21" s="5">
        <f>'05_Расходы'!Z48</f>
        <v/>
      </c>
      <c r="AA21" s="5">
        <f>'05_Расходы'!AA48</f>
        <v/>
      </c>
      <c r="AB21" s="5">
        <f>'05_Расходы'!AB48</f>
        <v/>
      </c>
      <c r="AC21" s="5">
        <f>'05_Расходы'!AC48</f>
        <v/>
      </c>
      <c r="AD21" s="5">
        <f>'05_Расходы'!AD48</f>
        <v/>
      </c>
      <c r="AE21" s="5">
        <f>'05_Расходы'!AE48</f>
        <v/>
      </c>
      <c r="AF21" s="5">
        <f>'05_Расходы'!AF48</f>
        <v/>
      </c>
      <c r="AG21" s="5">
        <f>'05_Расходы'!AG48</f>
        <v/>
      </c>
      <c r="AH21" s="5">
        <f>'05_Расходы'!AH48</f>
        <v/>
      </c>
      <c r="AI21" s="5">
        <f>'05_Расходы'!AI48</f>
        <v/>
      </c>
      <c r="AJ21" s="5">
        <f>'05_Расходы'!AJ48</f>
        <v/>
      </c>
      <c r="AK21" s="5">
        <f>'05_Расходы'!AK48</f>
        <v/>
      </c>
      <c r="AL21" s="5">
        <f>'05_Расходы'!AL48</f>
        <v/>
      </c>
      <c r="AM21" s="5">
        <f>'05_Расходы'!AM48</f>
        <v/>
      </c>
      <c r="AN21" s="5">
        <f>'05_Расходы'!AN48</f>
        <v/>
      </c>
      <c r="AO21" s="5">
        <f>'05_Расходы'!AO48</f>
        <v/>
      </c>
      <c r="AP21" s="5">
        <f>'05_Расходы'!AP48</f>
        <v/>
      </c>
      <c r="AQ21" s="5">
        <f>'05_Расходы'!AQ48</f>
        <v/>
      </c>
      <c r="AR21" s="5">
        <f>'05_Расходы'!AR48</f>
        <v/>
      </c>
      <c r="AS21" s="5">
        <f>'05_Расходы'!AS48</f>
        <v/>
      </c>
      <c r="AT21" s="5">
        <f>'05_Расходы'!AT48</f>
        <v/>
      </c>
      <c r="AU21" s="5">
        <f>'05_Расходы'!AU48</f>
        <v/>
      </c>
      <c r="AV21" s="5">
        <f>'05_Расходы'!AV48</f>
        <v/>
      </c>
      <c r="AW21" s="5">
        <f>'05_Расходы'!AW48</f>
        <v/>
      </c>
      <c r="AX21" s="5">
        <f>'05_Расходы'!AX48</f>
        <v/>
      </c>
      <c r="AY21" s="5">
        <f>'05_Расходы'!AY48</f>
        <v/>
      </c>
      <c r="AZ21" s="5">
        <f>'05_Расходы'!AZ48</f>
        <v/>
      </c>
      <c r="BA21" s="5">
        <f>'05_Расходы'!BA48</f>
        <v/>
      </c>
      <c r="BB21" s="5">
        <f>'05_Расходы'!BB48</f>
        <v/>
      </c>
      <c r="BC21" s="5">
        <f>'05_Расходы'!BC48</f>
        <v/>
      </c>
      <c r="BD21" s="5">
        <f>'05_Расходы'!BD48</f>
        <v/>
      </c>
      <c r="BE21" s="5">
        <f>'05_Расходы'!BE48</f>
        <v/>
      </c>
      <c r="BF21" s="5">
        <f>'05_Расходы'!BF48</f>
        <v/>
      </c>
      <c r="BG21" s="5">
        <f>'05_Расходы'!BG48</f>
        <v/>
      </c>
      <c r="BH21" s="5">
        <f>'05_Расходы'!BH48</f>
        <v/>
      </c>
      <c r="BI21" s="5">
        <f>'05_Расходы'!BI48</f>
        <v/>
      </c>
      <c r="BJ21" s="5">
        <f>'05_Расходы'!BJ48</f>
        <v/>
      </c>
      <c r="BK21" s="5">
        <f>'05_Расходы'!BK48</f>
        <v/>
      </c>
      <c r="BL21" s="5">
        <f>'05_Расходы'!BL48</f>
        <v/>
      </c>
      <c r="BM21" s="5">
        <f>'05_Расходы'!BM48</f>
        <v/>
      </c>
      <c r="BN21" s="5">
        <f>'05_Расходы'!BN48</f>
        <v/>
      </c>
      <c r="BO21" s="5">
        <f>'05_Расходы'!BO48</f>
        <v/>
      </c>
      <c r="BP21" s="5">
        <f>'05_Расходы'!BP48</f>
        <v/>
      </c>
      <c r="BQ21" s="5">
        <f>'05_Расходы'!BQ48</f>
        <v/>
      </c>
      <c r="BR21" s="5">
        <f>'05_Расходы'!BR48</f>
        <v/>
      </c>
      <c r="BS21" s="5">
        <f>'05_Расходы'!BS48</f>
        <v/>
      </c>
      <c r="BT21" s="5">
        <f>'05_Расходы'!BT48</f>
        <v/>
      </c>
      <c r="BU21" s="5">
        <f>'05_Расходы'!BU48</f>
        <v/>
      </c>
      <c r="BV21" s="5">
        <f>'05_Расходы'!BV48</f>
        <v/>
      </c>
      <c r="BW21" s="5">
        <f>'05_Расходы'!BW48</f>
        <v/>
      </c>
      <c r="BX21" s="5">
        <f>'05_Расходы'!BX48</f>
        <v/>
      </c>
      <c r="BY21" s="5">
        <f>'05_Расходы'!BY48</f>
        <v/>
      </c>
    </row>
    <row r="22">
      <c r="B22" s="7" t="inlineStr">
        <is>
          <t>Прямые расходы — всего</t>
        </is>
      </c>
      <c r="C22" s="7" t="inlineStr">
        <is>
          <t>₽</t>
        </is>
      </c>
      <c r="D22" s="130" t="inlineStr"/>
      <c r="E22" s="131">
        <f>SUM(L22:W22)</f>
        <v/>
      </c>
      <c r="F22" s="131">
        <f>SUM(X22:AI22)</f>
        <v/>
      </c>
      <c r="G22" s="131">
        <f>SUM(AJ22:AU22)</f>
        <v/>
      </c>
      <c r="H22" s="131">
        <f>SUM(AV22:BG22)</f>
        <v/>
      </c>
      <c r="I22" s="131">
        <f>SUM(BH22:BS22)</f>
        <v/>
      </c>
      <c r="J22" s="10">
        <f>SUM(L22:BS22)</f>
        <v/>
      </c>
      <c r="L22" s="9">
        <f>SUM(L17:L21)</f>
        <v/>
      </c>
      <c r="M22" s="9">
        <f>SUM(M17:M21)</f>
        <v/>
      </c>
      <c r="N22" s="9">
        <f>SUM(N17:N21)</f>
        <v/>
      </c>
      <c r="O22" s="9">
        <f>SUM(O17:O21)</f>
        <v/>
      </c>
      <c r="P22" s="9">
        <f>SUM(P17:P21)</f>
        <v/>
      </c>
      <c r="Q22" s="9">
        <f>SUM(Q17:Q21)</f>
        <v/>
      </c>
      <c r="R22" s="9">
        <f>SUM(R17:R21)</f>
        <v/>
      </c>
      <c r="S22" s="9">
        <f>SUM(S17:S21)</f>
        <v/>
      </c>
      <c r="T22" s="9">
        <f>SUM(T17:T21)</f>
        <v/>
      </c>
      <c r="U22" s="9">
        <f>SUM(U17:U21)</f>
        <v/>
      </c>
      <c r="V22" s="9">
        <f>SUM(V17:V21)</f>
        <v/>
      </c>
      <c r="W22" s="9">
        <f>SUM(W17:W21)</f>
        <v/>
      </c>
      <c r="X22" s="9">
        <f>SUM(X17:X21)</f>
        <v/>
      </c>
      <c r="Y22" s="9">
        <f>SUM(Y17:Y21)</f>
        <v/>
      </c>
      <c r="Z22" s="9">
        <f>SUM(Z17:Z21)</f>
        <v/>
      </c>
      <c r="AA22" s="9">
        <f>SUM(AA17:AA21)</f>
        <v/>
      </c>
      <c r="AB22" s="9">
        <f>SUM(AB17:AB21)</f>
        <v/>
      </c>
      <c r="AC22" s="9">
        <f>SUM(AC17:AC21)</f>
        <v/>
      </c>
      <c r="AD22" s="9">
        <f>SUM(AD17:AD21)</f>
        <v/>
      </c>
      <c r="AE22" s="9">
        <f>SUM(AE17:AE21)</f>
        <v/>
      </c>
      <c r="AF22" s="9">
        <f>SUM(AF17:AF21)</f>
        <v/>
      </c>
      <c r="AG22" s="9">
        <f>SUM(AG17:AG21)</f>
        <v/>
      </c>
      <c r="AH22" s="9">
        <f>SUM(AH17:AH21)</f>
        <v/>
      </c>
      <c r="AI22" s="9">
        <f>SUM(AI17:AI21)</f>
        <v/>
      </c>
      <c r="AJ22" s="9">
        <f>SUM(AJ17:AJ21)</f>
        <v/>
      </c>
      <c r="AK22" s="9">
        <f>SUM(AK17:AK21)</f>
        <v/>
      </c>
      <c r="AL22" s="9">
        <f>SUM(AL17:AL21)</f>
        <v/>
      </c>
      <c r="AM22" s="9">
        <f>SUM(AM17:AM21)</f>
        <v/>
      </c>
      <c r="AN22" s="9">
        <f>SUM(AN17:AN21)</f>
        <v/>
      </c>
      <c r="AO22" s="9">
        <f>SUM(AO17:AO21)</f>
        <v/>
      </c>
      <c r="AP22" s="9">
        <f>SUM(AP17:AP21)</f>
        <v/>
      </c>
      <c r="AQ22" s="9">
        <f>SUM(AQ17:AQ21)</f>
        <v/>
      </c>
      <c r="AR22" s="9">
        <f>SUM(AR17:AR21)</f>
        <v/>
      </c>
      <c r="AS22" s="9">
        <f>SUM(AS17:AS21)</f>
        <v/>
      </c>
      <c r="AT22" s="9">
        <f>SUM(AT17:AT21)</f>
        <v/>
      </c>
      <c r="AU22" s="9">
        <f>SUM(AU17:AU21)</f>
        <v/>
      </c>
      <c r="AV22" s="9">
        <f>SUM(AV17:AV21)</f>
        <v/>
      </c>
      <c r="AW22" s="9">
        <f>SUM(AW17:AW21)</f>
        <v/>
      </c>
      <c r="AX22" s="9">
        <f>SUM(AX17:AX21)</f>
        <v/>
      </c>
      <c r="AY22" s="9">
        <f>SUM(AY17:AY21)</f>
        <v/>
      </c>
      <c r="AZ22" s="9">
        <f>SUM(AZ17:AZ21)</f>
        <v/>
      </c>
      <c r="BA22" s="9">
        <f>SUM(BA17:BA21)</f>
        <v/>
      </c>
      <c r="BB22" s="9">
        <f>SUM(BB17:BB21)</f>
        <v/>
      </c>
      <c r="BC22" s="9">
        <f>SUM(BC17:BC21)</f>
        <v/>
      </c>
      <c r="BD22" s="9">
        <f>SUM(BD17:BD21)</f>
        <v/>
      </c>
      <c r="BE22" s="9">
        <f>SUM(BE17:BE21)</f>
        <v/>
      </c>
      <c r="BF22" s="9">
        <f>SUM(BF17:BF21)</f>
        <v/>
      </c>
      <c r="BG22" s="9">
        <f>SUM(BG17:BG21)</f>
        <v/>
      </c>
      <c r="BH22" s="9">
        <f>SUM(BH17:BH21)</f>
        <v/>
      </c>
      <c r="BI22" s="9">
        <f>SUM(BI17:BI21)</f>
        <v/>
      </c>
      <c r="BJ22" s="9">
        <f>SUM(BJ17:BJ21)</f>
        <v/>
      </c>
      <c r="BK22" s="9">
        <f>SUM(BK17:BK21)</f>
        <v/>
      </c>
      <c r="BL22" s="9">
        <f>SUM(BL17:BL21)</f>
        <v/>
      </c>
      <c r="BM22" s="9">
        <f>SUM(BM17:BM21)</f>
        <v/>
      </c>
      <c r="BN22" s="9">
        <f>SUM(BN17:BN21)</f>
        <v/>
      </c>
      <c r="BO22" s="9">
        <f>SUM(BO17:BO21)</f>
        <v/>
      </c>
      <c r="BP22" s="9">
        <f>SUM(BP17:BP21)</f>
        <v/>
      </c>
      <c r="BQ22" s="9">
        <f>SUM(BQ17:BQ21)</f>
        <v/>
      </c>
      <c r="BR22" s="9">
        <f>SUM(BR17:BR21)</f>
        <v/>
      </c>
      <c r="BS22" s="9">
        <f>SUM(BS17:BS21)</f>
        <v/>
      </c>
      <c r="BT22" s="9">
        <f>SUM(BT17:BT21)</f>
        <v/>
      </c>
      <c r="BU22" s="9">
        <f>SUM(BU17:BU21)</f>
        <v/>
      </c>
      <c r="BV22" s="9">
        <f>SUM(BV17:BV21)</f>
        <v/>
      </c>
      <c r="BW22" s="9">
        <f>SUM(BW17:BW21)</f>
        <v/>
      </c>
      <c r="BX22" s="9">
        <f>SUM(BX17:BX21)</f>
        <v/>
      </c>
      <c r="BY22" s="9">
        <f>SUM(BY17:BY21)</f>
        <v/>
      </c>
    </row>
    <row r="23">
      <c r="B23" s="7" t="inlineStr">
        <is>
          <t>Валовая прибыль</t>
        </is>
      </c>
      <c r="C23" s="7" t="inlineStr">
        <is>
          <t>₽</t>
        </is>
      </c>
      <c r="D23" s="130" t="inlineStr"/>
      <c r="E23" s="131">
        <f>SUM(L23:W23)</f>
        <v/>
      </c>
      <c r="F23" s="131">
        <f>SUM(X23:AI23)</f>
        <v/>
      </c>
      <c r="G23" s="131">
        <f>SUM(AJ23:AU23)</f>
        <v/>
      </c>
      <c r="H23" s="131">
        <f>SUM(AV23:BG23)</f>
        <v/>
      </c>
      <c r="I23" s="131">
        <f>SUM(BH23:BS23)</f>
        <v/>
      </c>
      <c r="J23" s="10">
        <f>SUM(L23:BS23)</f>
        <v/>
      </c>
      <c r="L23" s="9">
        <f>L16-L22</f>
        <v/>
      </c>
      <c r="M23" s="9">
        <f>M16-M22</f>
        <v/>
      </c>
      <c r="N23" s="9">
        <f>N16-N22</f>
        <v/>
      </c>
      <c r="O23" s="9">
        <f>O16-O22</f>
        <v/>
      </c>
      <c r="P23" s="9">
        <f>P16-P22</f>
        <v/>
      </c>
      <c r="Q23" s="9">
        <f>Q16-Q22</f>
        <v/>
      </c>
      <c r="R23" s="9">
        <f>R16-R22</f>
        <v/>
      </c>
      <c r="S23" s="9">
        <f>S16-S22</f>
        <v/>
      </c>
      <c r="T23" s="9">
        <f>T16-T22</f>
        <v/>
      </c>
      <c r="U23" s="9">
        <f>U16-U22</f>
        <v/>
      </c>
      <c r="V23" s="9">
        <f>V16-V22</f>
        <v/>
      </c>
      <c r="W23" s="9">
        <f>W16-W22</f>
        <v/>
      </c>
      <c r="X23" s="9">
        <f>X16-X22</f>
        <v/>
      </c>
      <c r="Y23" s="9">
        <f>Y16-Y22</f>
        <v/>
      </c>
      <c r="Z23" s="9">
        <f>Z16-Z22</f>
        <v/>
      </c>
      <c r="AA23" s="9">
        <f>AA16-AA22</f>
        <v/>
      </c>
      <c r="AB23" s="9">
        <f>AB16-AB22</f>
        <v/>
      </c>
      <c r="AC23" s="9">
        <f>AC16-AC22</f>
        <v/>
      </c>
      <c r="AD23" s="9">
        <f>AD16-AD22</f>
        <v/>
      </c>
      <c r="AE23" s="9">
        <f>AE16-AE22</f>
        <v/>
      </c>
      <c r="AF23" s="9">
        <f>AF16-AF22</f>
        <v/>
      </c>
      <c r="AG23" s="9">
        <f>AG16-AG22</f>
        <v/>
      </c>
      <c r="AH23" s="9">
        <f>AH16-AH22</f>
        <v/>
      </c>
      <c r="AI23" s="9">
        <f>AI16-AI22</f>
        <v/>
      </c>
      <c r="AJ23" s="9">
        <f>AJ16-AJ22</f>
        <v/>
      </c>
      <c r="AK23" s="9">
        <f>AK16-AK22</f>
        <v/>
      </c>
      <c r="AL23" s="9">
        <f>AL16-AL22</f>
        <v/>
      </c>
      <c r="AM23" s="9">
        <f>AM16-AM22</f>
        <v/>
      </c>
      <c r="AN23" s="9">
        <f>AN16-AN22</f>
        <v/>
      </c>
      <c r="AO23" s="9">
        <f>AO16-AO22</f>
        <v/>
      </c>
      <c r="AP23" s="9">
        <f>AP16-AP22</f>
        <v/>
      </c>
      <c r="AQ23" s="9">
        <f>AQ16-AQ22</f>
        <v/>
      </c>
      <c r="AR23" s="9">
        <f>AR16-AR22</f>
        <v/>
      </c>
      <c r="AS23" s="9">
        <f>AS16-AS22</f>
        <v/>
      </c>
      <c r="AT23" s="9">
        <f>AT16-AT22</f>
        <v/>
      </c>
      <c r="AU23" s="9">
        <f>AU16-AU22</f>
        <v/>
      </c>
      <c r="AV23" s="9">
        <f>AV16-AV22</f>
        <v/>
      </c>
      <c r="AW23" s="9">
        <f>AW16-AW22</f>
        <v/>
      </c>
      <c r="AX23" s="9">
        <f>AX16-AX22</f>
        <v/>
      </c>
      <c r="AY23" s="9">
        <f>AY16-AY22</f>
        <v/>
      </c>
      <c r="AZ23" s="9">
        <f>AZ16-AZ22</f>
        <v/>
      </c>
      <c r="BA23" s="9">
        <f>BA16-BA22</f>
        <v/>
      </c>
      <c r="BB23" s="9">
        <f>BB16-BB22</f>
        <v/>
      </c>
      <c r="BC23" s="9">
        <f>BC16-BC22</f>
        <v/>
      </c>
      <c r="BD23" s="9">
        <f>BD16-BD22</f>
        <v/>
      </c>
      <c r="BE23" s="9">
        <f>BE16-BE22</f>
        <v/>
      </c>
      <c r="BF23" s="9">
        <f>BF16-BF22</f>
        <v/>
      </c>
      <c r="BG23" s="9">
        <f>BG16-BG22</f>
        <v/>
      </c>
      <c r="BH23" s="9">
        <f>BH16-BH22</f>
        <v/>
      </c>
      <c r="BI23" s="9">
        <f>BI16-BI22</f>
        <v/>
      </c>
      <c r="BJ23" s="9">
        <f>BJ16-BJ22</f>
        <v/>
      </c>
      <c r="BK23" s="9">
        <f>BK16-BK22</f>
        <v/>
      </c>
      <c r="BL23" s="9">
        <f>BL16-BL22</f>
        <v/>
      </c>
      <c r="BM23" s="9">
        <f>BM16-BM22</f>
        <v/>
      </c>
      <c r="BN23" s="9">
        <f>BN16-BN22</f>
        <v/>
      </c>
      <c r="BO23" s="9">
        <f>BO16-BO22</f>
        <v/>
      </c>
      <c r="BP23" s="9">
        <f>BP16-BP22</f>
        <v/>
      </c>
      <c r="BQ23" s="9">
        <f>BQ16-BQ22</f>
        <v/>
      </c>
      <c r="BR23" s="9">
        <f>BR16-BR22</f>
        <v/>
      </c>
      <c r="BS23" s="9">
        <f>BS16-BS22</f>
        <v/>
      </c>
      <c r="BT23" s="9">
        <f>BT16-BT22</f>
        <v/>
      </c>
      <c r="BU23" s="9">
        <f>BU16-BU22</f>
        <v/>
      </c>
      <c r="BV23" s="9">
        <f>BV16-BV22</f>
        <v/>
      </c>
      <c r="BW23" s="9">
        <f>BW16-BW22</f>
        <v/>
      </c>
      <c r="BX23" s="9">
        <f>BX16-BX22</f>
        <v/>
      </c>
      <c r="BY23" s="9">
        <f>BY16-BY22</f>
        <v/>
      </c>
    </row>
    <row r="24">
      <c r="B24" t="inlineStr">
        <is>
          <t>ФОТ и кадровые расходы</t>
        </is>
      </c>
      <c r="C24" t="inlineStr">
        <is>
          <t>₽</t>
        </is>
      </c>
      <c r="D24" s="127" t="inlineStr"/>
      <c r="E24" s="129">
        <f>SUM(L24:W24)</f>
        <v/>
      </c>
      <c r="F24" s="129">
        <f>SUM(X24:AI24)</f>
        <v/>
      </c>
      <c r="G24" s="129">
        <f>SUM(AJ24:AU24)</f>
        <v/>
      </c>
      <c r="H24" s="129">
        <f>SUM(AV24:BG24)</f>
        <v/>
      </c>
      <c r="I24" s="129">
        <f>SUM(BH24:BS24)</f>
        <v/>
      </c>
      <c r="J24" s="6">
        <f>SUM(L24:BS24)</f>
        <v/>
      </c>
      <c r="L24" s="5">
        <f>'05_Расходы'!L30</f>
        <v/>
      </c>
      <c r="M24" s="5">
        <f>'05_Расходы'!M30</f>
        <v/>
      </c>
      <c r="N24" s="5">
        <f>'05_Расходы'!N30</f>
        <v/>
      </c>
      <c r="O24" s="5">
        <f>'05_Расходы'!O30</f>
        <v/>
      </c>
      <c r="P24" s="5">
        <f>'05_Расходы'!P30</f>
        <v/>
      </c>
      <c r="Q24" s="5">
        <f>'05_Расходы'!Q30</f>
        <v/>
      </c>
      <c r="R24" s="5">
        <f>'05_Расходы'!R30</f>
        <v/>
      </c>
      <c r="S24" s="5">
        <f>'05_Расходы'!S30</f>
        <v/>
      </c>
      <c r="T24" s="5">
        <f>'05_Расходы'!T30</f>
        <v/>
      </c>
      <c r="U24" s="5">
        <f>'05_Расходы'!U30</f>
        <v/>
      </c>
      <c r="V24" s="5">
        <f>'05_Расходы'!V30</f>
        <v/>
      </c>
      <c r="W24" s="5">
        <f>'05_Расходы'!W30</f>
        <v/>
      </c>
      <c r="X24" s="5">
        <f>'05_Расходы'!X30</f>
        <v/>
      </c>
      <c r="Y24" s="5">
        <f>'05_Расходы'!Y30</f>
        <v/>
      </c>
      <c r="Z24" s="5">
        <f>'05_Расходы'!Z30</f>
        <v/>
      </c>
      <c r="AA24" s="5">
        <f>'05_Расходы'!AA30</f>
        <v/>
      </c>
      <c r="AB24" s="5">
        <f>'05_Расходы'!AB30</f>
        <v/>
      </c>
      <c r="AC24" s="5">
        <f>'05_Расходы'!AC30</f>
        <v/>
      </c>
      <c r="AD24" s="5">
        <f>'05_Расходы'!AD30</f>
        <v/>
      </c>
      <c r="AE24" s="5">
        <f>'05_Расходы'!AE30</f>
        <v/>
      </c>
      <c r="AF24" s="5">
        <f>'05_Расходы'!AF30</f>
        <v/>
      </c>
      <c r="AG24" s="5">
        <f>'05_Расходы'!AG30</f>
        <v/>
      </c>
      <c r="AH24" s="5">
        <f>'05_Расходы'!AH30</f>
        <v/>
      </c>
      <c r="AI24" s="5">
        <f>'05_Расходы'!AI30</f>
        <v/>
      </c>
      <c r="AJ24" s="5">
        <f>'05_Расходы'!AJ30</f>
        <v/>
      </c>
      <c r="AK24" s="5">
        <f>'05_Расходы'!AK30</f>
        <v/>
      </c>
      <c r="AL24" s="5">
        <f>'05_Расходы'!AL30</f>
        <v/>
      </c>
      <c r="AM24" s="5">
        <f>'05_Расходы'!AM30</f>
        <v/>
      </c>
      <c r="AN24" s="5">
        <f>'05_Расходы'!AN30</f>
        <v/>
      </c>
      <c r="AO24" s="5">
        <f>'05_Расходы'!AO30</f>
        <v/>
      </c>
      <c r="AP24" s="5">
        <f>'05_Расходы'!AP30</f>
        <v/>
      </c>
      <c r="AQ24" s="5">
        <f>'05_Расходы'!AQ30</f>
        <v/>
      </c>
      <c r="AR24" s="5">
        <f>'05_Расходы'!AR30</f>
        <v/>
      </c>
      <c r="AS24" s="5">
        <f>'05_Расходы'!AS30</f>
        <v/>
      </c>
      <c r="AT24" s="5">
        <f>'05_Расходы'!AT30</f>
        <v/>
      </c>
      <c r="AU24" s="5">
        <f>'05_Расходы'!AU30</f>
        <v/>
      </c>
      <c r="AV24" s="5">
        <f>'05_Расходы'!AV30</f>
        <v/>
      </c>
      <c r="AW24" s="5">
        <f>'05_Расходы'!AW30</f>
        <v/>
      </c>
      <c r="AX24" s="5">
        <f>'05_Расходы'!AX30</f>
        <v/>
      </c>
      <c r="AY24" s="5">
        <f>'05_Расходы'!AY30</f>
        <v/>
      </c>
      <c r="AZ24" s="5">
        <f>'05_Расходы'!AZ30</f>
        <v/>
      </c>
      <c r="BA24" s="5">
        <f>'05_Расходы'!BA30</f>
        <v/>
      </c>
      <c r="BB24" s="5">
        <f>'05_Расходы'!BB30</f>
        <v/>
      </c>
      <c r="BC24" s="5">
        <f>'05_Расходы'!BC30</f>
        <v/>
      </c>
      <c r="BD24" s="5">
        <f>'05_Расходы'!BD30</f>
        <v/>
      </c>
      <c r="BE24" s="5">
        <f>'05_Расходы'!BE30</f>
        <v/>
      </c>
      <c r="BF24" s="5">
        <f>'05_Расходы'!BF30</f>
        <v/>
      </c>
      <c r="BG24" s="5">
        <f>'05_Расходы'!BG30</f>
        <v/>
      </c>
      <c r="BH24" s="5">
        <f>'05_Расходы'!BH30</f>
        <v/>
      </c>
      <c r="BI24" s="5">
        <f>'05_Расходы'!BI30</f>
        <v/>
      </c>
      <c r="BJ24" s="5">
        <f>'05_Расходы'!BJ30</f>
        <v/>
      </c>
      <c r="BK24" s="5">
        <f>'05_Расходы'!BK30</f>
        <v/>
      </c>
      <c r="BL24" s="5">
        <f>'05_Расходы'!BL30</f>
        <v/>
      </c>
      <c r="BM24" s="5">
        <f>'05_Расходы'!BM30</f>
        <v/>
      </c>
      <c r="BN24" s="5">
        <f>'05_Расходы'!BN30</f>
        <v/>
      </c>
      <c r="BO24" s="5">
        <f>'05_Расходы'!BO30</f>
        <v/>
      </c>
      <c r="BP24" s="5">
        <f>'05_Расходы'!BP30</f>
        <v/>
      </c>
      <c r="BQ24" s="5">
        <f>'05_Расходы'!BQ30</f>
        <v/>
      </c>
      <c r="BR24" s="5">
        <f>'05_Расходы'!BR30</f>
        <v/>
      </c>
      <c r="BS24" s="5">
        <f>'05_Расходы'!BS30</f>
        <v/>
      </c>
      <c r="BT24" s="5">
        <f>'05_Расходы'!BT30</f>
        <v/>
      </c>
      <c r="BU24" s="5">
        <f>'05_Расходы'!BU30</f>
        <v/>
      </c>
      <c r="BV24" s="5">
        <f>'05_Расходы'!BV30</f>
        <v/>
      </c>
      <c r="BW24" s="5">
        <f>'05_Расходы'!BW30</f>
        <v/>
      </c>
      <c r="BX24" s="5">
        <f>'05_Расходы'!BX30</f>
        <v/>
      </c>
      <c r="BY24" s="5">
        <f>'05_Расходы'!BY30</f>
        <v/>
      </c>
    </row>
    <row r="25">
      <c r="B25" t="inlineStr">
        <is>
          <t>ERP</t>
        </is>
      </c>
      <c r="C25" t="inlineStr">
        <is>
          <t>₽</t>
        </is>
      </c>
      <c r="D25" s="127" t="inlineStr"/>
      <c r="E25" s="129">
        <f>SUM(L25:W25)</f>
        <v/>
      </c>
      <c r="F25" s="129">
        <f>SUM(X25:AI25)</f>
        <v/>
      </c>
      <c r="G25" s="129">
        <f>SUM(AJ25:AU25)</f>
        <v/>
      </c>
      <c r="H25" s="129">
        <f>SUM(AV25:BG25)</f>
        <v/>
      </c>
      <c r="I25" s="129">
        <f>SUM(BH25:BS25)</f>
        <v/>
      </c>
      <c r="J25" s="6">
        <f>SUM(L25:BS25)</f>
        <v/>
      </c>
      <c r="L25" s="5">
        <f>'05_Расходы'!L35</f>
        <v/>
      </c>
      <c r="M25" s="5">
        <f>'05_Расходы'!M35</f>
        <v/>
      </c>
      <c r="N25" s="5">
        <f>'05_Расходы'!N35</f>
        <v/>
      </c>
      <c r="O25" s="5">
        <f>'05_Расходы'!O35</f>
        <v/>
      </c>
      <c r="P25" s="5">
        <f>'05_Расходы'!P35</f>
        <v/>
      </c>
      <c r="Q25" s="5">
        <f>'05_Расходы'!Q35</f>
        <v/>
      </c>
      <c r="R25" s="5">
        <f>'05_Расходы'!R35</f>
        <v/>
      </c>
      <c r="S25" s="5">
        <f>'05_Расходы'!S35</f>
        <v/>
      </c>
      <c r="T25" s="5">
        <f>'05_Расходы'!T35</f>
        <v/>
      </c>
      <c r="U25" s="5">
        <f>'05_Расходы'!U35</f>
        <v/>
      </c>
      <c r="V25" s="5">
        <f>'05_Расходы'!V35</f>
        <v/>
      </c>
      <c r="W25" s="5">
        <f>'05_Расходы'!W35</f>
        <v/>
      </c>
      <c r="X25" s="5">
        <f>'05_Расходы'!X35</f>
        <v/>
      </c>
      <c r="Y25" s="5">
        <f>'05_Расходы'!Y35</f>
        <v/>
      </c>
      <c r="Z25" s="5">
        <f>'05_Расходы'!Z35</f>
        <v/>
      </c>
      <c r="AA25" s="5">
        <f>'05_Расходы'!AA35</f>
        <v/>
      </c>
      <c r="AB25" s="5">
        <f>'05_Расходы'!AB35</f>
        <v/>
      </c>
      <c r="AC25" s="5">
        <f>'05_Расходы'!AC35</f>
        <v/>
      </c>
      <c r="AD25" s="5">
        <f>'05_Расходы'!AD35</f>
        <v/>
      </c>
      <c r="AE25" s="5">
        <f>'05_Расходы'!AE35</f>
        <v/>
      </c>
      <c r="AF25" s="5">
        <f>'05_Расходы'!AF35</f>
        <v/>
      </c>
      <c r="AG25" s="5">
        <f>'05_Расходы'!AG35</f>
        <v/>
      </c>
      <c r="AH25" s="5">
        <f>'05_Расходы'!AH35</f>
        <v/>
      </c>
      <c r="AI25" s="5">
        <f>'05_Расходы'!AI35</f>
        <v/>
      </c>
      <c r="AJ25" s="5">
        <f>'05_Расходы'!AJ35</f>
        <v/>
      </c>
      <c r="AK25" s="5">
        <f>'05_Расходы'!AK35</f>
        <v/>
      </c>
      <c r="AL25" s="5">
        <f>'05_Расходы'!AL35</f>
        <v/>
      </c>
      <c r="AM25" s="5">
        <f>'05_Расходы'!AM35</f>
        <v/>
      </c>
      <c r="AN25" s="5">
        <f>'05_Расходы'!AN35</f>
        <v/>
      </c>
      <c r="AO25" s="5">
        <f>'05_Расходы'!AO35</f>
        <v/>
      </c>
      <c r="AP25" s="5">
        <f>'05_Расходы'!AP35</f>
        <v/>
      </c>
      <c r="AQ25" s="5">
        <f>'05_Расходы'!AQ35</f>
        <v/>
      </c>
      <c r="AR25" s="5">
        <f>'05_Расходы'!AR35</f>
        <v/>
      </c>
      <c r="AS25" s="5">
        <f>'05_Расходы'!AS35</f>
        <v/>
      </c>
      <c r="AT25" s="5">
        <f>'05_Расходы'!AT35</f>
        <v/>
      </c>
      <c r="AU25" s="5">
        <f>'05_Расходы'!AU35</f>
        <v/>
      </c>
      <c r="AV25" s="5">
        <f>'05_Расходы'!AV35</f>
        <v/>
      </c>
      <c r="AW25" s="5">
        <f>'05_Расходы'!AW35</f>
        <v/>
      </c>
      <c r="AX25" s="5">
        <f>'05_Расходы'!AX35</f>
        <v/>
      </c>
      <c r="AY25" s="5">
        <f>'05_Расходы'!AY35</f>
        <v/>
      </c>
      <c r="AZ25" s="5">
        <f>'05_Расходы'!AZ35</f>
        <v/>
      </c>
      <c r="BA25" s="5">
        <f>'05_Расходы'!BA35</f>
        <v/>
      </c>
      <c r="BB25" s="5">
        <f>'05_Расходы'!BB35</f>
        <v/>
      </c>
      <c r="BC25" s="5">
        <f>'05_Расходы'!BC35</f>
        <v/>
      </c>
      <c r="BD25" s="5">
        <f>'05_Расходы'!BD35</f>
        <v/>
      </c>
      <c r="BE25" s="5">
        <f>'05_Расходы'!BE35</f>
        <v/>
      </c>
      <c r="BF25" s="5">
        <f>'05_Расходы'!BF35</f>
        <v/>
      </c>
      <c r="BG25" s="5">
        <f>'05_Расходы'!BG35</f>
        <v/>
      </c>
      <c r="BH25" s="5">
        <f>'05_Расходы'!BH35</f>
        <v/>
      </c>
      <c r="BI25" s="5">
        <f>'05_Расходы'!BI35</f>
        <v/>
      </c>
      <c r="BJ25" s="5">
        <f>'05_Расходы'!BJ35</f>
        <v/>
      </c>
      <c r="BK25" s="5">
        <f>'05_Расходы'!BK35</f>
        <v/>
      </c>
      <c r="BL25" s="5">
        <f>'05_Расходы'!BL35</f>
        <v/>
      </c>
      <c r="BM25" s="5">
        <f>'05_Расходы'!BM35</f>
        <v/>
      </c>
      <c r="BN25" s="5">
        <f>'05_Расходы'!BN35</f>
        <v/>
      </c>
      <c r="BO25" s="5">
        <f>'05_Расходы'!BO35</f>
        <v/>
      </c>
      <c r="BP25" s="5">
        <f>'05_Расходы'!BP35</f>
        <v/>
      </c>
      <c r="BQ25" s="5">
        <f>'05_Расходы'!BQ35</f>
        <v/>
      </c>
      <c r="BR25" s="5">
        <f>'05_Расходы'!BR35</f>
        <v/>
      </c>
      <c r="BS25" s="5">
        <f>'05_Расходы'!BS35</f>
        <v/>
      </c>
      <c r="BT25" s="5">
        <f>'05_Расходы'!BT35</f>
        <v/>
      </c>
      <c r="BU25" s="5">
        <f>'05_Расходы'!BU35</f>
        <v/>
      </c>
      <c r="BV25" s="5">
        <f>'05_Расходы'!BV35</f>
        <v/>
      </c>
      <c r="BW25" s="5">
        <f>'05_Расходы'!BW35</f>
        <v/>
      </c>
      <c r="BX25" s="5">
        <f>'05_Расходы'!BX35</f>
        <v/>
      </c>
      <c r="BY25" s="5">
        <f>'05_Расходы'!BY35</f>
        <v/>
      </c>
    </row>
    <row r="26">
      <c r="B26" t="inlineStr">
        <is>
          <t>Офис, аренда, уборка</t>
        </is>
      </c>
      <c r="C26" t="inlineStr">
        <is>
          <t>₽</t>
        </is>
      </c>
      <c r="D26" s="127" t="inlineStr"/>
      <c r="E26" s="129">
        <f>SUM(L26:W26)</f>
        <v/>
      </c>
      <c r="F26" s="129">
        <f>SUM(X26:AI26)</f>
        <v/>
      </c>
      <c r="G26" s="129">
        <f>SUM(AJ26:AU26)</f>
        <v/>
      </c>
      <c r="H26" s="129">
        <f>SUM(AV26:BG26)</f>
        <v/>
      </c>
      <c r="I26" s="129">
        <f>SUM(BH26:BS26)</f>
        <v/>
      </c>
      <c r="J26" s="6">
        <f>SUM(L26:BS26)</f>
        <v/>
      </c>
      <c r="L26" s="5">
        <f>'05_Расходы'!L36</f>
        <v/>
      </c>
      <c r="M26" s="5">
        <f>'05_Расходы'!M36</f>
        <v/>
      </c>
      <c r="N26" s="5">
        <f>'05_Расходы'!N36</f>
        <v/>
      </c>
      <c r="O26" s="5">
        <f>'05_Расходы'!O36</f>
        <v/>
      </c>
      <c r="P26" s="5">
        <f>'05_Расходы'!P36</f>
        <v/>
      </c>
      <c r="Q26" s="5">
        <f>'05_Расходы'!Q36</f>
        <v/>
      </c>
      <c r="R26" s="5">
        <f>'05_Расходы'!R36</f>
        <v/>
      </c>
      <c r="S26" s="5">
        <f>'05_Расходы'!S36</f>
        <v/>
      </c>
      <c r="T26" s="5">
        <f>'05_Расходы'!T36</f>
        <v/>
      </c>
      <c r="U26" s="5">
        <f>'05_Расходы'!U36</f>
        <v/>
      </c>
      <c r="V26" s="5">
        <f>'05_Расходы'!V36</f>
        <v/>
      </c>
      <c r="W26" s="5">
        <f>'05_Расходы'!W36</f>
        <v/>
      </c>
      <c r="X26" s="5">
        <f>'05_Расходы'!X36</f>
        <v/>
      </c>
      <c r="Y26" s="5">
        <f>'05_Расходы'!Y36</f>
        <v/>
      </c>
      <c r="Z26" s="5">
        <f>'05_Расходы'!Z36</f>
        <v/>
      </c>
      <c r="AA26" s="5">
        <f>'05_Расходы'!AA36</f>
        <v/>
      </c>
      <c r="AB26" s="5">
        <f>'05_Расходы'!AB36</f>
        <v/>
      </c>
      <c r="AC26" s="5">
        <f>'05_Расходы'!AC36</f>
        <v/>
      </c>
      <c r="AD26" s="5">
        <f>'05_Расходы'!AD36</f>
        <v/>
      </c>
      <c r="AE26" s="5">
        <f>'05_Расходы'!AE36</f>
        <v/>
      </c>
      <c r="AF26" s="5">
        <f>'05_Расходы'!AF36</f>
        <v/>
      </c>
      <c r="AG26" s="5">
        <f>'05_Расходы'!AG36</f>
        <v/>
      </c>
      <c r="AH26" s="5">
        <f>'05_Расходы'!AH36</f>
        <v/>
      </c>
      <c r="AI26" s="5">
        <f>'05_Расходы'!AI36</f>
        <v/>
      </c>
      <c r="AJ26" s="5">
        <f>'05_Расходы'!AJ36</f>
        <v/>
      </c>
      <c r="AK26" s="5">
        <f>'05_Расходы'!AK36</f>
        <v/>
      </c>
      <c r="AL26" s="5">
        <f>'05_Расходы'!AL36</f>
        <v/>
      </c>
      <c r="AM26" s="5">
        <f>'05_Расходы'!AM36</f>
        <v/>
      </c>
      <c r="AN26" s="5">
        <f>'05_Расходы'!AN36</f>
        <v/>
      </c>
      <c r="AO26" s="5">
        <f>'05_Расходы'!AO36</f>
        <v/>
      </c>
      <c r="AP26" s="5">
        <f>'05_Расходы'!AP36</f>
        <v/>
      </c>
      <c r="AQ26" s="5">
        <f>'05_Расходы'!AQ36</f>
        <v/>
      </c>
      <c r="AR26" s="5">
        <f>'05_Расходы'!AR36</f>
        <v/>
      </c>
      <c r="AS26" s="5">
        <f>'05_Расходы'!AS36</f>
        <v/>
      </c>
      <c r="AT26" s="5">
        <f>'05_Расходы'!AT36</f>
        <v/>
      </c>
      <c r="AU26" s="5">
        <f>'05_Расходы'!AU36</f>
        <v/>
      </c>
      <c r="AV26" s="5">
        <f>'05_Расходы'!AV36</f>
        <v/>
      </c>
      <c r="AW26" s="5">
        <f>'05_Расходы'!AW36</f>
        <v/>
      </c>
      <c r="AX26" s="5">
        <f>'05_Расходы'!AX36</f>
        <v/>
      </c>
      <c r="AY26" s="5">
        <f>'05_Расходы'!AY36</f>
        <v/>
      </c>
      <c r="AZ26" s="5">
        <f>'05_Расходы'!AZ36</f>
        <v/>
      </c>
      <c r="BA26" s="5">
        <f>'05_Расходы'!BA36</f>
        <v/>
      </c>
      <c r="BB26" s="5">
        <f>'05_Расходы'!BB36</f>
        <v/>
      </c>
      <c r="BC26" s="5">
        <f>'05_Расходы'!BC36</f>
        <v/>
      </c>
      <c r="BD26" s="5">
        <f>'05_Расходы'!BD36</f>
        <v/>
      </c>
      <c r="BE26" s="5">
        <f>'05_Расходы'!BE36</f>
        <v/>
      </c>
      <c r="BF26" s="5">
        <f>'05_Расходы'!BF36</f>
        <v/>
      </c>
      <c r="BG26" s="5">
        <f>'05_Расходы'!BG36</f>
        <v/>
      </c>
      <c r="BH26" s="5">
        <f>'05_Расходы'!BH36</f>
        <v/>
      </c>
      <c r="BI26" s="5">
        <f>'05_Расходы'!BI36</f>
        <v/>
      </c>
      <c r="BJ26" s="5">
        <f>'05_Расходы'!BJ36</f>
        <v/>
      </c>
      <c r="BK26" s="5">
        <f>'05_Расходы'!BK36</f>
        <v/>
      </c>
      <c r="BL26" s="5">
        <f>'05_Расходы'!BL36</f>
        <v/>
      </c>
      <c r="BM26" s="5">
        <f>'05_Расходы'!BM36</f>
        <v/>
      </c>
      <c r="BN26" s="5">
        <f>'05_Расходы'!BN36</f>
        <v/>
      </c>
      <c r="BO26" s="5">
        <f>'05_Расходы'!BO36</f>
        <v/>
      </c>
      <c r="BP26" s="5">
        <f>'05_Расходы'!BP36</f>
        <v/>
      </c>
      <c r="BQ26" s="5">
        <f>'05_Расходы'!BQ36</f>
        <v/>
      </c>
      <c r="BR26" s="5">
        <f>'05_Расходы'!BR36</f>
        <v/>
      </c>
      <c r="BS26" s="5">
        <f>'05_Расходы'!BS36</f>
        <v/>
      </c>
      <c r="BT26" s="5">
        <f>'05_Расходы'!BT36</f>
        <v/>
      </c>
      <c r="BU26" s="5">
        <f>'05_Расходы'!BU36</f>
        <v/>
      </c>
      <c r="BV26" s="5">
        <f>'05_Расходы'!BV36</f>
        <v/>
      </c>
      <c r="BW26" s="5">
        <f>'05_Расходы'!BW36</f>
        <v/>
      </c>
      <c r="BX26" s="5">
        <f>'05_Расходы'!BX36</f>
        <v/>
      </c>
      <c r="BY26" s="5">
        <f>'05_Расходы'!BY36</f>
        <v/>
      </c>
    </row>
    <row r="27">
      <c r="B27" t="inlineStr">
        <is>
          <t>Юристы, аудит, бухгалтерия</t>
        </is>
      </c>
      <c r="C27" t="inlineStr">
        <is>
          <t>₽</t>
        </is>
      </c>
      <c r="D27" s="127" t="inlineStr"/>
      <c r="E27" s="129">
        <f>SUM(L27:W27)</f>
        <v/>
      </c>
      <c r="F27" s="129">
        <f>SUM(X27:AI27)</f>
        <v/>
      </c>
      <c r="G27" s="129">
        <f>SUM(AJ27:AU27)</f>
        <v/>
      </c>
      <c r="H27" s="129">
        <f>SUM(AV27:BG27)</f>
        <v/>
      </c>
      <c r="I27" s="129">
        <f>SUM(BH27:BS27)</f>
        <v/>
      </c>
      <c r="J27" s="6">
        <f>SUM(L27:BS27)</f>
        <v/>
      </c>
      <c r="L27" s="5">
        <f>'05_Расходы'!L37</f>
        <v/>
      </c>
      <c r="M27" s="5">
        <f>'05_Расходы'!M37</f>
        <v/>
      </c>
      <c r="N27" s="5">
        <f>'05_Расходы'!N37</f>
        <v/>
      </c>
      <c r="O27" s="5">
        <f>'05_Расходы'!O37</f>
        <v/>
      </c>
      <c r="P27" s="5">
        <f>'05_Расходы'!P37</f>
        <v/>
      </c>
      <c r="Q27" s="5">
        <f>'05_Расходы'!Q37</f>
        <v/>
      </c>
      <c r="R27" s="5">
        <f>'05_Расходы'!R37</f>
        <v/>
      </c>
      <c r="S27" s="5">
        <f>'05_Расходы'!S37</f>
        <v/>
      </c>
      <c r="T27" s="5">
        <f>'05_Расходы'!T37</f>
        <v/>
      </c>
      <c r="U27" s="5">
        <f>'05_Расходы'!U37</f>
        <v/>
      </c>
      <c r="V27" s="5">
        <f>'05_Расходы'!V37</f>
        <v/>
      </c>
      <c r="W27" s="5">
        <f>'05_Расходы'!W37</f>
        <v/>
      </c>
      <c r="X27" s="5">
        <f>'05_Расходы'!X37</f>
        <v/>
      </c>
      <c r="Y27" s="5">
        <f>'05_Расходы'!Y37</f>
        <v/>
      </c>
      <c r="Z27" s="5">
        <f>'05_Расходы'!Z37</f>
        <v/>
      </c>
      <c r="AA27" s="5">
        <f>'05_Расходы'!AA37</f>
        <v/>
      </c>
      <c r="AB27" s="5">
        <f>'05_Расходы'!AB37</f>
        <v/>
      </c>
      <c r="AC27" s="5">
        <f>'05_Расходы'!AC37</f>
        <v/>
      </c>
      <c r="AD27" s="5">
        <f>'05_Расходы'!AD37</f>
        <v/>
      </c>
      <c r="AE27" s="5">
        <f>'05_Расходы'!AE37</f>
        <v/>
      </c>
      <c r="AF27" s="5">
        <f>'05_Расходы'!AF37</f>
        <v/>
      </c>
      <c r="AG27" s="5">
        <f>'05_Расходы'!AG37</f>
        <v/>
      </c>
      <c r="AH27" s="5">
        <f>'05_Расходы'!AH37</f>
        <v/>
      </c>
      <c r="AI27" s="5">
        <f>'05_Расходы'!AI37</f>
        <v/>
      </c>
      <c r="AJ27" s="5">
        <f>'05_Расходы'!AJ37</f>
        <v/>
      </c>
      <c r="AK27" s="5">
        <f>'05_Расходы'!AK37</f>
        <v/>
      </c>
      <c r="AL27" s="5">
        <f>'05_Расходы'!AL37</f>
        <v/>
      </c>
      <c r="AM27" s="5">
        <f>'05_Расходы'!AM37</f>
        <v/>
      </c>
      <c r="AN27" s="5">
        <f>'05_Расходы'!AN37</f>
        <v/>
      </c>
      <c r="AO27" s="5">
        <f>'05_Расходы'!AO37</f>
        <v/>
      </c>
      <c r="AP27" s="5">
        <f>'05_Расходы'!AP37</f>
        <v/>
      </c>
      <c r="AQ27" s="5">
        <f>'05_Расходы'!AQ37</f>
        <v/>
      </c>
      <c r="AR27" s="5">
        <f>'05_Расходы'!AR37</f>
        <v/>
      </c>
      <c r="AS27" s="5">
        <f>'05_Расходы'!AS37</f>
        <v/>
      </c>
      <c r="AT27" s="5">
        <f>'05_Расходы'!AT37</f>
        <v/>
      </c>
      <c r="AU27" s="5">
        <f>'05_Расходы'!AU37</f>
        <v/>
      </c>
      <c r="AV27" s="5">
        <f>'05_Расходы'!AV37</f>
        <v/>
      </c>
      <c r="AW27" s="5">
        <f>'05_Расходы'!AW37</f>
        <v/>
      </c>
      <c r="AX27" s="5">
        <f>'05_Расходы'!AX37</f>
        <v/>
      </c>
      <c r="AY27" s="5">
        <f>'05_Расходы'!AY37</f>
        <v/>
      </c>
      <c r="AZ27" s="5">
        <f>'05_Расходы'!AZ37</f>
        <v/>
      </c>
      <c r="BA27" s="5">
        <f>'05_Расходы'!BA37</f>
        <v/>
      </c>
      <c r="BB27" s="5">
        <f>'05_Расходы'!BB37</f>
        <v/>
      </c>
      <c r="BC27" s="5">
        <f>'05_Расходы'!BC37</f>
        <v/>
      </c>
      <c r="BD27" s="5">
        <f>'05_Расходы'!BD37</f>
        <v/>
      </c>
      <c r="BE27" s="5">
        <f>'05_Расходы'!BE37</f>
        <v/>
      </c>
      <c r="BF27" s="5">
        <f>'05_Расходы'!BF37</f>
        <v/>
      </c>
      <c r="BG27" s="5">
        <f>'05_Расходы'!BG37</f>
        <v/>
      </c>
      <c r="BH27" s="5">
        <f>'05_Расходы'!BH37</f>
        <v/>
      </c>
      <c r="BI27" s="5">
        <f>'05_Расходы'!BI37</f>
        <v/>
      </c>
      <c r="BJ27" s="5">
        <f>'05_Расходы'!BJ37</f>
        <v/>
      </c>
      <c r="BK27" s="5">
        <f>'05_Расходы'!BK37</f>
        <v/>
      </c>
      <c r="BL27" s="5">
        <f>'05_Расходы'!BL37</f>
        <v/>
      </c>
      <c r="BM27" s="5">
        <f>'05_Расходы'!BM37</f>
        <v/>
      </c>
      <c r="BN27" s="5">
        <f>'05_Расходы'!BN37</f>
        <v/>
      </c>
      <c r="BO27" s="5">
        <f>'05_Расходы'!BO37</f>
        <v/>
      </c>
      <c r="BP27" s="5">
        <f>'05_Расходы'!BP37</f>
        <v/>
      </c>
      <c r="BQ27" s="5">
        <f>'05_Расходы'!BQ37</f>
        <v/>
      </c>
      <c r="BR27" s="5">
        <f>'05_Расходы'!BR37</f>
        <v/>
      </c>
      <c r="BS27" s="5">
        <f>'05_Расходы'!BS37</f>
        <v/>
      </c>
      <c r="BT27" s="5">
        <f>'05_Расходы'!BT37</f>
        <v/>
      </c>
      <c r="BU27" s="5">
        <f>'05_Расходы'!BU37</f>
        <v/>
      </c>
      <c r="BV27" s="5">
        <f>'05_Расходы'!BV37</f>
        <v/>
      </c>
      <c r="BW27" s="5">
        <f>'05_Расходы'!BW37</f>
        <v/>
      </c>
      <c r="BX27" s="5">
        <f>'05_Расходы'!BX37</f>
        <v/>
      </c>
      <c r="BY27" s="5">
        <f>'05_Расходы'!BY37</f>
        <v/>
      </c>
    </row>
    <row r="28">
      <c r="B28" t="inlineStr">
        <is>
          <t>Прочие IT</t>
        </is>
      </c>
      <c r="C28" t="inlineStr">
        <is>
          <t>₽</t>
        </is>
      </c>
      <c r="D28" s="127" t="inlineStr"/>
      <c r="E28" s="129">
        <f>SUM(L28:W28)</f>
        <v/>
      </c>
      <c r="F28" s="129">
        <f>SUM(X28:AI28)</f>
        <v/>
      </c>
      <c r="G28" s="129">
        <f>SUM(AJ28:AU28)</f>
        <v/>
      </c>
      <c r="H28" s="129">
        <f>SUM(AV28:BG28)</f>
        <v/>
      </c>
      <c r="I28" s="129">
        <f>SUM(BH28:BS28)</f>
        <v/>
      </c>
      <c r="J28" s="6">
        <f>SUM(L28:BS28)</f>
        <v/>
      </c>
      <c r="L28" s="5">
        <f>'05_Расходы'!L38</f>
        <v/>
      </c>
      <c r="M28" s="5">
        <f>'05_Расходы'!M38</f>
        <v/>
      </c>
      <c r="N28" s="5">
        <f>'05_Расходы'!N38</f>
        <v/>
      </c>
      <c r="O28" s="5">
        <f>'05_Расходы'!O38</f>
        <v/>
      </c>
      <c r="P28" s="5">
        <f>'05_Расходы'!P38</f>
        <v/>
      </c>
      <c r="Q28" s="5">
        <f>'05_Расходы'!Q38</f>
        <v/>
      </c>
      <c r="R28" s="5">
        <f>'05_Расходы'!R38</f>
        <v/>
      </c>
      <c r="S28" s="5">
        <f>'05_Расходы'!S38</f>
        <v/>
      </c>
      <c r="T28" s="5">
        <f>'05_Расходы'!T38</f>
        <v/>
      </c>
      <c r="U28" s="5">
        <f>'05_Расходы'!U38</f>
        <v/>
      </c>
      <c r="V28" s="5">
        <f>'05_Расходы'!V38</f>
        <v/>
      </c>
      <c r="W28" s="5">
        <f>'05_Расходы'!W38</f>
        <v/>
      </c>
      <c r="X28" s="5">
        <f>'05_Расходы'!X38</f>
        <v/>
      </c>
      <c r="Y28" s="5">
        <f>'05_Расходы'!Y38</f>
        <v/>
      </c>
      <c r="Z28" s="5">
        <f>'05_Расходы'!Z38</f>
        <v/>
      </c>
      <c r="AA28" s="5">
        <f>'05_Расходы'!AA38</f>
        <v/>
      </c>
      <c r="AB28" s="5">
        <f>'05_Расходы'!AB38</f>
        <v/>
      </c>
      <c r="AC28" s="5">
        <f>'05_Расходы'!AC38</f>
        <v/>
      </c>
      <c r="AD28" s="5">
        <f>'05_Расходы'!AD38</f>
        <v/>
      </c>
      <c r="AE28" s="5">
        <f>'05_Расходы'!AE38</f>
        <v/>
      </c>
      <c r="AF28" s="5">
        <f>'05_Расходы'!AF38</f>
        <v/>
      </c>
      <c r="AG28" s="5">
        <f>'05_Расходы'!AG38</f>
        <v/>
      </c>
      <c r="AH28" s="5">
        <f>'05_Расходы'!AH38</f>
        <v/>
      </c>
      <c r="AI28" s="5">
        <f>'05_Расходы'!AI38</f>
        <v/>
      </c>
      <c r="AJ28" s="5">
        <f>'05_Расходы'!AJ38</f>
        <v/>
      </c>
      <c r="AK28" s="5">
        <f>'05_Расходы'!AK38</f>
        <v/>
      </c>
      <c r="AL28" s="5">
        <f>'05_Расходы'!AL38</f>
        <v/>
      </c>
      <c r="AM28" s="5">
        <f>'05_Расходы'!AM38</f>
        <v/>
      </c>
      <c r="AN28" s="5">
        <f>'05_Расходы'!AN38</f>
        <v/>
      </c>
      <c r="AO28" s="5">
        <f>'05_Расходы'!AO38</f>
        <v/>
      </c>
      <c r="AP28" s="5">
        <f>'05_Расходы'!AP38</f>
        <v/>
      </c>
      <c r="AQ28" s="5">
        <f>'05_Расходы'!AQ38</f>
        <v/>
      </c>
      <c r="AR28" s="5">
        <f>'05_Расходы'!AR38</f>
        <v/>
      </c>
      <c r="AS28" s="5">
        <f>'05_Расходы'!AS38</f>
        <v/>
      </c>
      <c r="AT28" s="5">
        <f>'05_Расходы'!AT38</f>
        <v/>
      </c>
      <c r="AU28" s="5">
        <f>'05_Расходы'!AU38</f>
        <v/>
      </c>
      <c r="AV28" s="5">
        <f>'05_Расходы'!AV38</f>
        <v/>
      </c>
      <c r="AW28" s="5">
        <f>'05_Расходы'!AW38</f>
        <v/>
      </c>
      <c r="AX28" s="5">
        <f>'05_Расходы'!AX38</f>
        <v/>
      </c>
      <c r="AY28" s="5">
        <f>'05_Расходы'!AY38</f>
        <v/>
      </c>
      <c r="AZ28" s="5">
        <f>'05_Расходы'!AZ38</f>
        <v/>
      </c>
      <c r="BA28" s="5">
        <f>'05_Расходы'!BA38</f>
        <v/>
      </c>
      <c r="BB28" s="5">
        <f>'05_Расходы'!BB38</f>
        <v/>
      </c>
      <c r="BC28" s="5">
        <f>'05_Расходы'!BC38</f>
        <v/>
      </c>
      <c r="BD28" s="5">
        <f>'05_Расходы'!BD38</f>
        <v/>
      </c>
      <c r="BE28" s="5">
        <f>'05_Расходы'!BE38</f>
        <v/>
      </c>
      <c r="BF28" s="5">
        <f>'05_Расходы'!BF38</f>
        <v/>
      </c>
      <c r="BG28" s="5">
        <f>'05_Расходы'!BG38</f>
        <v/>
      </c>
      <c r="BH28" s="5">
        <f>'05_Расходы'!BH38</f>
        <v/>
      </c>
      <c r="BI28" s="5">
        <f>'05_Расходы'!BI38</f>
        <v/>
      </c>
      <c r="BJ28" s="5">
        <f>'05_Расходы'!BJ38</f>
        <v/>
      </c>
      <c r="BK28" s="5">
        <f>'05_Расходы'!BK38</f>
        <v/>
      </c>
      <c r="BL28" s="5">
        <f>'05_Расходы'!BL38</f>
        <v/>
      </c>
      <c r="BM28" s="5">
        <f>'05_Расходы'!BM38</f>
        <v/>
      </c>
      <c r="BN28" s="5">
        <f>'05_Расходы'!BN38</f>
        <v/>
      </c>
      <c r="BO28" s="5">
        <f>'05_Расходы'!BO38</f>
        <v/>
      </c>
      <c r="BP28" s="5">
        <f>'05_Расходы'!BP38</f>
        <v/>
      </c>
      <c r="BQ28" s="5">
        <f>'05_Расходы'!BQ38</f>
        <v/>
      </c>
      <c r="BR28" s="5">
        <f>'05_Расходы'!BR38</f>
        <v/>
      </c>
      <c r="BS28" s="5">
        <f>'05_Расходы'!BS38</f>
        <v/>
      </c>
      <c r="BT28" s="5">
        <f>'05_Расходы'!BT38</f>
        <v/>
      </c>
      <c r="BU28" s="5">
        <f>'05_Расходы'!BU38</f>
        <v/>
      </c>
      <c r="BV28" s="5">
        <f>'05_Расходы'!BV38</f>
        <v/>
      </c>
      <c r="BW28" s="5">
        <f>'05_Расходы'!BW38</f>
        <v/>
      </c>
      <c r="BX28" s="5">
        <f>'05_Расходы'!BX38</f>
        <v/>
      </c>
      <c r="BY28" s="5">
        <f>'05_Расходы'!BY38</f>
        <v/>
      </c>
    </row>
    <row r="29">
      <c r="B29" t="inlineStr">
        <is>
          <t>SMM и подрядчики</t>
        </is>
      </c>
      <c r="C29" t="inlineStr">
        <is>
          <t>₽</t>
        </is>
      </c>
      <c r="D29" s="127" t="inlineStr"/>
      <c r="E29" s="129">
        <f>SUM(L29:W29)</f>
        <v/>
      </c>
      <c r="F29" s="129">
        <f>SUM(X29:AI29)</f>
        <v/>
      </c>
      <c r="G29" s="129">
        <f>SUM(AJ29:AU29)</f>
        <v/>
      </c>
      <c r="H29" s="129">
        <f>SUM(AV29:BG29)</f>
        <v/>
      </c>
      <c r="I29" s="129">
        <f>SUM(BH29:BS29)</f>
        <v/>
      </c>
      <c r="J29" s="6">
        <f>SUM(L29:BS29)</f>
        <v/>
      </c>
      <c r="L29" s="5">
        <f>'05_Расходы'!L39</f>
        <v/>
      </c>
      <c r="M29" s="5">
        <f>'05_Расходы'!M39</f>
        <v/>
      </c>
      <c r="N29" s="5">
        <f>'05_Расходы'!N39</f>
        <v/>
      </c>
      <c r="O29" s="5">
        <f>'05_Расходы'!O39</f>
        <v/>
      </c>
      <c r="P29" s="5">
        <f>'05_Расходы'!P39</f>
        <v/>
      </c>
      <c r="Q29" s="5">
        <f>'05_Расходы'!Q39</f>
        <v/>
      </c>
      <c r="R29" s="5">
        <f>'05_Расходы'!R39</f>
        <v/>
      </c>
      <c r="S29" s="5">
        <f>'05_Расходы'!S39</f>
        <v/>
      </c>
      <c r="T29" s="5">
        <f>'05_Расходы'!T39</f>
        <v/>
      </c>
      <c r="U29" s="5">
        <f>'05_Расходы'!U39</f>
        <v/>
      </c>
      <c r="V29" s="5">
        <f>'05_Расходы'!V39</f>
        <v/>
      </c>
      <c r="W29" s="5">
        <f>'05_Расходы'!W39</f>
        <v/>
      </c>
      <c r="X29" s="5">
        <f>'05_Расходы'!X39</f>
        <v/>
      </c>
      <c r="Y29" s="5">
        <f>'05_Расходы'!Y39</f>
        <v/>
      </c>
      <c r="Z29" s="5">
        <f>'05_Расходы'!Z39</f>
        <v/>
      </c>
      <c r="AA29" s="5">
        <f>'05_Расходы'!AA39</f>
        <v/>
      </c>
      <c r="AB29" s="5">
        <f>'05_Расходы'!AB39</f>
        <v/>
      </c>
      <c r="AC29" s="5">
        <f>'05_Расходы'!AC39</f>
        <v/>
      </c>
      <c r="AD29" s="5">
        <f>'05_Расходы'!AD39</f>
        <v/>
      </c>
      <c r="AE29" s="5">
        <f>'05_Расходы'!AE39</f>
        <v/>
      </c>
      <c r="AF29" s="5">
        <f>'05_Расходы'!AF39</f>
        <v/>
      </c>
      <c r="AG29" s="5">
        <f>'05_Расходы'!AG39</f>
        <v/>
      </c>
      <c r="AH29" s="5">
        <f>'05_Расходы'!AH39</f>
        <v/>
      </c>
      <c r="AI29" s="5">
        <f>'05_Расходы'!AI39</f>
        <v/>
      </c>
      <c r="AJ29" s="5">
        <f>'05_Расходы'!AJ39</f>
        <v/>
      </c>
      <c r="AK29" s="5">
        <f>'05_Расходы'!AK39</f>
        <v/>
      </c>
      <c r="AL29" s="5">
        <f>'05_Расходы'!AL39</f>
        <v/>
      </c>
      <c r="AM29" s="5">
        <f>'05_Расходы'!AM39</f>
        <v/>
      </c>
      <c r="AN29" s="5">
        <f>'05_Расходы'!AN39</f>
        <v/>
      </c>
      <c r="AO29" s="5">
        <f>'05_Расходы'!AO39</f>
        <v/>
      </c>
      <c r="AP29" s="5">
        <f>'05_Расходы'!AP39</f>
        <v/>
      </c>
      <c r="AQ29" s="5">
        <f>'05_Расходы'!AQ39</f>
        <v/>
      </c>
      <c r="AR29" s="5">
        <f>'05_Расходы'!AR39</f>
        <v/>
      </c>
      <c r="AS29" s="5">
        <f>'05_Расходы'!AS39</f>
        <v/>
      </c>
      <c r="AT29" s="5">
        <f>'05_Расходы'!AT39</f>
        <v/>
      </c>
      <c r="AU29" s="5">
        <f>'05_Расходы'!AU39</f>
        <v/>
      </c>
      <c r="AV29" s="5">
        <f>'05_Расходы'!AV39</f>
        <v/>
      </c>
      <c r="AW29" s="5">
        <f>'05_Расходы'!AW39</f>
        <v/>
      </c>
      <c r="AX29" s="5">
        <f>'05_Расходы'!AX39</f>
        <v/>
      </c>
      <c r="AY29" s="5">
        <f>'05_Расходы'!AY39</f>
        <v/>
      </c>
      <c r="AZ29" s="5">
        <f>'05_Расходы'!AZ39</f>
        <v/>
      </c>
      <c r="BA29" s="5">
        <f>'05_Расходы'!BA39</f>
        <v/>
      </c>
      <c r="BB29" s="5">
        <f>'05_Расходы'!BB39</f>
        <v/>
      </c>
      <c r="BC29" s="5">
        <f>'05_Расходы'!BC39</f>
        <v/>
      </c>
      <c r="BD29" s="5">
        <f>'05_Расходы'!BD39</f>
        <v/>
      </c>
      <c r="BE29" s="5">
        <f>'05_Расходы'!BE39</f>
        <v/>
      </c>
      <c r="BF29" s="5">
        <f>'05_Расходы'!BF39</f>
        <v/>
      </c>
      <c r="BG29" s="5">
        <f>'05_Расходы'!BG39</f>
        <v/>
      </c>
      <c r="BH29" s="5">
        <f>'05_Расходы'!BH39</f>
        <v/>
      </c>
      <c r="BI29" s="5">
        <f>'05_Расходы'!BI39</f>
        <v/>
      </c>
      <c r="BJ29" s="5">
        <f>'05_Расходы'!BJ39</f>
        <v/>
      </c>
      <c r="BK29" s="5">
        <f>'05_Расходы'!BK39</f>
        <v/>
      </c>
      <c r="BL29" s="5">
        <f>'05_Расходы'!BL39</f>
        <v/>
      </c>
      <c r="BM29" s="5">
        <f>'05_Расходы'!BM39</f>
        <v/>
      </c>
      <c r="BN29" s="5">
        <f>'05_Расходы'!BN39</f>
        <v/>
      </c>
      <c r="BO29" s="5">
        <f>'05_Расходы'!BO39</f>
        <v/>
      </c>
      <c r="BP29" s="5">
        <f>'05_Расходы'!BP39</f>
        <v/>
      </c>
      <c r="BQ29" s="5">
        <f>'05_Расходы'!BQ39</f>
        <v/>
      </c>
      <c r="BR29" s="5">
        <f>'05_Расходы'!BR39</f>
        <v/>
      </c>
      <c r="BS29" s="5">
        <f>'05_Расходы'!BS39</f>
        <v/>
      </c>
      <c r="BT29" s="5">
        <f>'05_Расходы'!BT39</f>
        <v/>
      </c>
      <c r="BU29" s="5">
        <f>'05_Расходы'!BU39</f>
        <v/>
      </c>
      <c r="BV29" s="5">
        <f>'05_Расходы'!BV39</f>
        <v/>
      </c>
      <c r="BW29" s="5">
        <f>'05_Расходы'!BW39</f>
        <v/>
      </c>
      <c r="BX29" s="5">
        <f>'05_Расходы'!BX39</f>
        <v/>
      </c>
      <c r="BY29" s="5">
        <f>'05_Расходы'!BY39</f>
        <v/>
      </c>
    </row>
    <row r="30">
      <c r="B30" t="inlineStr">
        <is>
          <t>Маркетинг привлечения</t>
        </is>
      </c>
      <c r="C30" t="inlineStr">
        <is>
          <t>₽</t>
        </is>
      </c>
      <c r="D30" s="127" t="inlineStr"/>
      <c r="E30" s="129">
        <f>SUM(L30:W30)</f>
        <v/>
      </c>
      <c r="F30" s="129">
        <f>SUM(X30:AI30)</f>
        <v/>
      </c>
      <c r="G30" s="129">
        <f>SUM(AJ30:AU30)</f>
        <v/>
      </c>
      <c r="H30" s="129">
        <f>SUM(AV30:BG30)</f>
        <v/>
      </c>
      <c r="I30" s="129">
        <f>SUM(BH30:BS30)</f>
        <v/>
      </c>
      <c r="J30" s="6">
        <f>SUM(L30:BS30)</f>
        <v/>
      </c>
      <c r="L30" s="5">
        <f>'05_Расходы'!L43</f>
        <v/>
      </c>
      <c r="M30" s="5">
        <f>'05_Расходы'!M43</f>
        <v/>
      </c>
      <c r="N30" s="5">
        <f>'05_Расходы'!N43</f>
        <v/>
      </c>
      <c r="O30" s="5">
        <f>'05_Расходы'!O43</f>
        <v/>
      </c>
      <c r="P30" s="5">
        <f>'05_Расходы'!P43</f>
        <v/>
      </c>
      <c r="Q30" s="5">
        <f>'05_Расходы'!Q43</f>
        <v/>
      </c>
      <c r="R30" s="5">
        <f>'05_Расходы'!R43</f>
        <v/>
      </c>
      <c r="S30" s="5">
        <f>'05_Расходы'!S43</f>
        <v/>
      </c>
      <c r="T30" s="5">
        <f>'05_Расходы'!T43</f>
        <v/>
      </c>
      <c r="U30" s="5">
        <f>'05_Расходы'!U43</f>
        <v/>
      </c>
      <c r="V30" s="5">
        <f>'05_Расходы'!V43</f>
        <v/>
      </c>
      <c r="W30" s="5">
        <f>'05_Расходы'!W43</f>
        <v/>
      </c>
      <c r="X30" s="5">
        <f>'05_Расходы'!X43</f>
        <v/>
      </c>
      <c r="Y30" s="5">
        <f>'05_Расходы'!Y43</f>
        <v/>
      </c>
      <c r="Z30" s="5">
        <f>'05_Расходы'!Z43</f>
        <v/>
      </c>
      <c r="AA30" s="5">
        <f>'05_Расходы'!AA43</f>
        <v/>
      </c>
      <c r="AB30" s="5">
        <f>'05_Расходы'!AB43</f>
        <v/>
      </c>
      <c r="AC30" s="5">
        <f>'05_Расходы'!AC43</f>
        <v/>
      </c>
      <c r="AD30" s="5">
        <f>'05_Расходы'!AD43</f>
        <v/>
      </c>
      <c r="AE30" s="5">
        <f>'05_Расходы'!AE43</f>
        <v/>
      </c>
      <c r="AF30" s="5">
        <f>'05_Расходы'!AF43</f>
        <v/>
      </c>
      <c r="AG30" s="5">
        <f>'05_Расходы'!AG43</f>
        <v/>
      </c>
      <c r="AH30" s="5">
        <f>'05_Расходы'!AH43</f>
        <v/>
      </c>
      <c r="AI30" s="5">
        <f>'05_Расходы'!AI43</f>
        <v/>
      </c>
      <c r="AJ30" s="5">
        <f>'05_Расходы'!AJ43</f>
        <v/>
      </c>
      <c r="AK30" s="5">
        <f>'05_Расходы'!AK43</f>
        <v/>
      </c>
      <c r="AL30" s="5">
        <f>'05_Расходы'!AL43</f>
        <v/>
      </c>
      <c r="AM30" s="5">
        <f>'05_Расходы'!AM43</f>
        <v/>
      </c>
      <c r="AN30" s="5">
        <f>'05_Расходы'!AN43</f>
        <v/>
      </c>
      <c r="AO30" s="5">
        <f>'05_Расходы'!AO43</f>
        <v/>
      </c>
      <c r="AP30" s="5">
        <f>'05_Расходы'!AP43</f>
        <v/>
      </c>
      <c r="AQ30" s="5">
        <f>'05_Расходы'!AQ43</f>
        <v/>
      </c>
      <c r="AR30" s="5">
        <f>'05_Расходы'!AR43</f>
        <v/>
      </c>
      <c r="AS30" s="5">
        <f>'05_Расходы'!AS43</f>
        <v/>
      </c>
      <c r="AT30" s="5">
        <f>'05_Расходы'!AT43</f>
        <v/>
      </c>
      <c r="AU30" s="5">
        <f>'05_Расходы'!AU43</f>
        <v/>
      </c>
      <c r="AV30" s="5">
        <f>'05_Расходы'!AV43</f>
        <v/>
      </c>
      <c r="AW30" s="5">
        <f>'05_Расходы'!AW43</f>
        <v/>
      </c>
      <c r="AX30" s="5">
        <f>'05_Расходы'!AX43</f>
        <v/>
      </c>
      <c r="AY30" s="5">
        <f>'05_Расходы'!AY43</f>
        <v/>
      </c>
      <c r="AZ30" s="5">
        <f>'05_Расходы'!AZ43</f>
        <v/>
      </c>
      <c r="BA30" s="5">
        <f>'05_Расходы'!BA43</f>
        <v/>
      </c>
      <c r="BB30" s="5">
        <f>'05_Расходы'!BB43</f>
        <v/>
      </c>
      <c r="BC30" s="5">
        <f>'05_Расходы'!BC43</f>
        <v/>
      </c>
      <c r="BD30" s="5">
        <f>'05_Расходы'!BD43</f>
        <v/>
      </c>
      <c r="BE30" s="5">
        <f>'05_Расходы'!BE43</f>
        <v/>
      </c>
      <c r="BF30" s="5">
        <f>'05_Расходы'!BF43</f>
        <v/>
      </c>
      <c r="BG30" s="5">
        <f>'05_Расходы'!BG43</f>
        <v/>
      </c>
      <c r="BH30" s="5">
        <f>'05_Расходы'!BH43</f>
        <v/>
      </c>
      <c r="BI30" s="5">
        <f>'05_Расходы'!BI43</f>
        <v/>
      </c>
      <c r="BJ30" s="5">
        <f>'05_Расходы'!BJ43</f>
        <v/>
      </c>
      <c r="BK30" s="5">
        <f>'05_Расходы'!BK43</f>
        <v/>
      </c>
      <c r="BL30" s="5">
        <f>'05_Расходы'!BL43</f>
        <v/>
      </c>
      <c r="BM30" s="5">
        <f>'05_Расходы'!BM43</f>
        <v/>
      </c>
      <c r="BN30" s="5">
        <f>'05_Расходы'!BN43</f>
        <v/>
      </c>
      <c r="BO30" s="5">
        <f>'05_Расходы'!BO43</f>
        <v/>
      </c>
      <c r="BP30" s="5">
        <f>'05_Расходы'!BP43</f>
        <v/>
      </c>
      <c r="BQ30" s="5">
        <f>'05_Расходы'!BQ43</f>
        <v/>
      </c>
      <c r="BR30" s="5">
        <f>'05_Расходы'!BR43</f>
        <v/>
      </c>
      <c r="BS30" s="5">
        <f>'05_Расходы'!BS43</f>
        <v/>
      </c>
      <c r="BT30" s="5">
        <f>'05_Расходы'!BT43</f>
        <v/>
      </c>
      <c r="BU30" s="5">
        <f>'05_Расходы'!BU43</f>
        <v/>
      </c>
      <c r="BV30" s="5">
        <f>'05_Расходы'!BV43</f>
        <v/>
      </c>
      <c r="BW30" s="5">
        <f>'05_Расходы'!BW43</f>
        <v/>
      </c>
      <c r="BX30" s="5">
        <f>'05_Расходы'!BX43</f>
        <v/>
      </c>
      <c r="BY30" s="5">
        <f>'05_Расходы'!BY43</f>
        <v/>
      </c>
    </row>
    <row r="31">
      <c r="B31" t="inlineStr">
        <is>
          <t>OPEX — прочие (без ФОТ)</t>
        </is>
      </c>
      <c r="C31" t="inlineStr">
        <is>
          <t>₽</t>
        </is>
      </c>
      <c r="D31" s="127" t="inlineStr">
        <is>
          <t>ERP, офис, юристы, IT, SMM, маркетинг привлечения</t>
        </is>
      </c>
      <c r="E31" s="129">
        <f>SUM(L31:W31)</f>
        <v/>
      </c>
      <c r="F31" s="129">
        <f>SUM(X31:AI31)</f>
        <v/>
      </c>
      <c r="G31" s="129">
        <f>SUM(AJ31:AU31)</f>
        <v/>
      </c>
      <c r="H31" s="129">
        <f>SUM(AV31:BG31)</f>
        <v/>
      </c>
      <c r="I31" s="129">
        <f>SUM(BH31:BS31)</f>
        <v/>
      </c>
      <c r="J31" s="6">
        <f>SUM(L31:BS31)</f>
        <v/>
      </c>
      <c r="L31" s="5">
        <f>SUM(L25:L30)</f>
        <v/>
      </c>
      <c r="M31" s="5">
        <f>SUM(M25:M30)</f>
        <v/>
      </c>
      <c r="N31" s="5">
        <f>SUM(N25:N30)</f>
        <v/>
      </c>
      <c r="O31" s="5">
        <f>SUM(O25:O30)</f>
        <v/>
      </c>
      <c r="P31" s="5">
        <f>SUM(P25:P30)</f>
        <v/>
      </c>
      <c r="Q31" s="5">
        <f>SUM(Q25:Q30)</f>
        <v/>
      </c>
      <c r="R31" s="5">
        <f>SUM(R25:R30)</f>
        <v/>
      </c>
      <c r="S31" s="5">
        <f>SUM(S25:S30)</f>
        <v/>
      </c>
      <c r="T31" s="5">
        <f>SUM(T25:T30)</f>
        <v/>
      </c>
      <c r="U31" s="5">
        <f>SUM(U25:U30)</f>
        <v/>
      </c>
      <c r="V31" s="5">
        <f>SUM(V25:V30)</f>
        <v/>
      </c>
      <c r="W31" s="5">
        <f>SUM(W25:W30)</f>
        <v/>
      </c>
      <c r="X31" s="5">
        <f>SUM(X25:X30)</f>
        <v/>
      </c>
      <c r="Y31" s="5">
        <f>SUM(Y25:Y30)</f>
        <v/>
      </c>
      <c r="Z31" s="5">
        <f>SUM(Z25:Z30)</f>
        <v/>
      </c>
      <c r="AA31" s="5">
        <f>SUM(AA25:AA30)</f>
        <v/>
      </c>
      <c r="AB31" s="5">
        <f>SUM(AB25:AB30)</f>
        <v/>
      </c>
      <c r="AC31" s="5">
        <f>SUM(AC25:AC30)</f>
        <v/>
      </c>
      <c r="AD31" s="5">
        <f>SUM(AD25:AD30)</f>
        <v/>
      </c>
      <c r="AE31" s="5">
        <f>SUM(AE25:AE30)</f>
        <v/>
      </c>
      <c r="AF31" s="5">
        <f>SUM(AF25:AF30)</f>
        <v/>
      </c>
      <c r="AG31" s="5">
        <f>SUM(AG25:AG30)</f>
        <v/>
      </c>
      <c r="AH31" s="5">
        <f>SUM(AH25:AH30)</f>
        <v/>
      </c>
      <c r="AI31" s="5">
        <f>SUM(AI25:AI30)</f>
        <v/>
      </c>
      <c r="AJ31" s="5">
        <f>SUM(AJ25:AJ30)</f>
        <v/>
      </c>
      <c r="AK31" s="5">
        <f>SUM(AK25:AK30)</f>
        <v/>
      </c>
      <c r="AL31" s="5">
        <f>SUM(AL25:AL30)</f>
        <v/>
      </c>
      <c r="AM31" s="5">
        <f>SUM(AM25:AM30)</f>
        <v/>
      </c>
      <c r="AN31" s="5">
        <f>SUM(AN25:AN30)</f>
        <v/>
      </c>
      <c r="AO31" s="5">
        <f>SUM(AO25:AO30)</f>
        <v/>
      </c>
      <c r="AP31" s="5">
        <f>SUM(AP25:AP30)</f>
        <v/>
      </c>
      <c r="AQ31" s="5">
        <f>SUM(AQ25:AQ30)</f>
        <v/>
      </c>
      <c r="AR31" s="5">
        <f>SUM(AR25:AR30)</f>
        <v/>
      </c>
      <c r="AS31" s="5">
        <f>SUM(AS25:AS30)</f>
        <v/>
      </c>
      <c r="AT31" s="5">
        <f>SUM(AT25:AT30)</f>
        <v/>
      </c>
      <c r="AU31" s="5">
        <f>SUM(AU25:AU30)</f>
        <v/>
      </c>
      <c r="AV31" s="5">
        <f>SUM(AV25:AV30)</f>
        <v/>
      </c>
      <c r="AW31" s="5">
        <f>SUM(AW25:AW30)</f>
        <v/>
      </c>
      <c r="AX31" s="5">
        <f>SUM(AX25:AX30)</f>
        <v/>
      </c>
      <c r="AY31" s="5">
        <f>SUM(AY25:AY30)</f>
        <v/>
      </c>
      <c r="AZ31" s="5">
        <f>SUM(AZ25:AZ30)</f>
        <v/>
      </c>
      <c r="BA31" s="5">
        <f>SUM(BA25:BA30)</f>
        <v/>
      </c>
      <c r="BB31" s="5">
        <f>SUM(BB25:BB30)</f>
        <v/>
      </c>
      <c r="BC31" s="5">
        <f>SUM(BC25:BC30)</f>
        <v/>
      </c>
      <c r="BD31" s="5">
        <f>SUM(BD25:BD30)</f>
        <v/>
      </c>
      <c r="BE31" s="5">
        <f>SUM(BE25:BE30)</f>
        <v/>
      </c>
      <c r="BF31" s="5">
        <f>SUM(BF25:BF30)</f>
        <v/>
      </c>
      <c r="BG31" s="5">
        <f>SUM(BG25:BG30)</f>
        <v/>
      </c>
      <c r="BH31" s="5">
        <f>SUM(BH25:BH30)</f>
        <v/>
      </c>
      <c r="BI31" s="5">
        <f>SUM(BI25:BI30)</f>
        <v/>
      </c>
      <c r="BJ31" s="5">
        <f>SUM(BJ25:BJ30)</f>
        <v/>
      </c>
      <c r="BK31" s="5">
        <f>SUM(BK25:BK30)</f>
        <v/>
      </c>
      <c r="BL31" s="5">
        <f>SUM(BL25:BL30)</f>
        <v/>
      </c>
      <c r="BM31" s="5">
        <f>SUM(BM25:BM30)</f>
        <v/>
      </c>
      <c r="BN31" s="5">
        <f>SUM(BN25:BN30)</f>
        <v/>
      </c>
      <c r="BO31" s="5">
        <f>SUM(BO25:BO30)</f>
        <v/>
      </c>
      <c r="BP31" s="5">
        <f>SUM(BP25:BP30)</f>
        <v/>
      </c>
      <c r="BQ31" s="5">
        <f>SUM(BQ25:BQ30)</f>
        <v/>
      </c>
      <c r="BR31" s="5">
        <f>SUM(BR25:BR30)</f>
        <v/>
      </c>
      <c r="BS31" s="5">
        <f>SUM(BS25:BS30)</f>
        <v/>
      </c>
      <c r="BT31" s="5">
        <f>SUM(BT25:BT30)</f>
        <v/>
      </c>
      <c r="BU31" s="5">
        <f>SUM(BU25:BU30)</f>
        <v/>
      </c>
      <c r="BV31" s="5">
        <f>SUM(BV25:BV30)</f>
        <v/>
      </c>
      <c r="BW31" s="5">
        <f>SUM(BW25:BW30)</f>
        <v/>
      </c>
      <c r="BX31" s="5">
        <f>SUM(BX25:BX30)</f>
        <v/>
      </c>
      <c r="BY31" s="5">
        <f>SUM(BY25:BY30)</f>
        <v/>
      </c>
    </row>
    <row r="32">
      <c r="B32" s="7" t="inlineStr">
        <is>
          <t>OPEX — всего</t>
        </is>
      </c>
      <c r="C32" s="7" t="inlineStr">
        <is>
          <t>₽</t>
        </is>
      </c>
      <c r="D32" s="130" t="inlineStr">
        <is>
          <t>ФОТ плюс всё остальное</t>
        </is>
      </c>
      <c r="E32" s="131">
        <f>SUM(L32:W32)</f>
        <v/>
      </c>
      <c r="F32" s="131">
        <f>SUM(X32:AI32)</f>
        <v/>
      </c>
      <c r="G32" s="131">
        <f>SUM(AJ32:AU32)</f>
        <v/>
      </c>
      <c r="H32" s="131">
        <f>SUM(AV32:BG32)</f>
        <v/>
      </c>
      <c r="I32" s="131">
        <f>SUM(BH32:BS32)</f>
        <v/>
      </c>
      <c r="J32" s="10">
        <f>SUM(L32:BS32)</f>
        <v/>
      </c>
      <c r="L32" s="9">
        <f>L24+L31</f>
        <v/>
      </c>
      <c r="M32" s="9">
        <f>M24+M31</f>
        <v/>
      </c>
      <c r="N32" s="9">
        <f>N24+N31</f>
        <v/>
      </c>
      <c r="O32" s="9">
        <f>O24+O31</f>
        <v/>
      </c>
      <c r="P32" s="9">
        <f>P24+P31</f>
        <v/>
      </c>
      <c r="Q32" s="9">
        <f>Q24+Q31</f>
        <v/>
      </c>
      <c r="R32" s="9">
        <f>R24+R31</f>
        <v/>
      </c>
      <c r="S32" s="9">
        <f>S24+S31</f>
        <v/>
      </c>
      <c r="T32" s="9">
        <f>T24+T31</f>
        <v/>
      </c>
      <c r="U32" s="9">
        <f>U24+U31</f>
        <v/>
      </c>
      <c r="V32" s="9">
        <f>V24+V31</f>
        <v/>
      </c>
      <c r="W32" s="9">
        <f>W24+W31</f>
        <v/>
      </c>
      <c r="X32" s="9">
        <f>X24+X31</f>
        <v/>
      </c>
      <c r="Y32" s="9">
        <f>Y24+Y31</f>
        <v/>
      </c>
      <c r="Z32" s="9">
        <f>Z24+Z31</f>
        <v/>
      </c>
      <c r="AA32" s="9">
        <f>AA24+AA31</f>
        <v/>
      </c>
      <c r="AB32" s="9">
        <f>AB24+AB31</f>
        <v/>
      </c>
      <c r="AC32" s="9">
        <f>AC24+AC31</f>
        <v/>
      </c>
      <c r="AD32" s="9">
        <f>AD24+AD31</f>
        <v/>
      </c>
      <c r="AE32" s="9">
        <f>AE24+AE31</f>
        <v/>
      </c>
      <c r="AF32" s="9">
        <f>AF24+AF31</f>
        <v/>
      </c>
      <c r="AG32" s="9">
        <f>AG24+AG31</f>
        <v/>
      </c>
      <c r="AH32" s="9">
        <f>AH24+AH31</f>
        <v/>
      </c>
      <c r="AI32" s="9">
        <f>AI24+AI31</f>
        <v/>
      </c>
      <c r="AJ32" s="9">
        <f>AJ24+AJ31</f>
        <v/>
      </c>
      <c r="AK32" s="9">
        <f>AK24+AK31</f>
        <v/>
      </c>
      <c r="AL32" s="9">
        <f>AL24+AL31</f>
        <v/>
      </c>
      <c r="AM32" s="9">
        <f>AM24+AM31</f>
        <v/>
      </c>
      <c r="AN32" s="9">
        <f>AN24+AN31</f>
        <v/>
      </c>
      <c r="AO32" s="9">
        <f>AO24+AO31</f>
        <v/>
      </c>
      <c r="AP32" s="9">
        <f>AP24+AP31</f>
        <v/>
      </c>
      <c r="AQ32" s="9">
        <f>AQ24+AQ31</f>
        <v/>
      </c>
      <c r="AR32" s="9">
        <f>AR24+AR31</f>
        <v/>
      </c>
      <c r="AS32" s="9">
        <f>AS24+AS31</f>
        <v/>
      </c>
      <c r="AT32" s="9">
        <f>AT24+AT31</f>
        <v/>
      </c>
      <c r="AU32" s="9">
        <f>AU24+AU31</f>
        <v/>
      </c>
      <c r="AV32" s="9">
        <f>AV24+AV31</f>
        <v/>
      </c>
      <c r="AW32" s="9">
        <f>AW24+AW31</f>
        <v/>
      </c>
      <c r="AX32" s="9">
        <f>AX24+AX31</f>
        <v/>
      </c>
      <c r="AY32" s="9">
        <f>AY24+AY31</f>
        <v/>
      </c>
      <c r="AZ32" s="9">
        <f>AZ24+AZ31</f>
        <v/>
      </c>
      <c r="BA32" s="9">
        <f>BA24+BA31</f>
        <v/>
      </c>
      <c r="BB32" s="9">
        <f>BB24+BB31</f>
        <v/>
      </c>
      <c r="BC32" s="9">
        <f>BC24+BC31</f>
        <v/>
      </c>
      <c r="BD32" s="9">
        <f>BD24+BD31</f>
        <v/>
      </c>
      <c r="BE32" s="9">
        <f>BE24+BE31</f>
        <v/>
      </c>
      <c r="BF32" s="9">
        <f>BF24+BF31</f>
        <v/>
      </c>
      <c r="BG32" s="9">
        <f>BG24+BG31</f>
        <v/>
      </c>
      <c r="BH32" s="9">
        <f>BH24+BH31</f>
        <v/>
      </c>
      <c r="BI32" s="9">
        <f>BI24+BI31</f>
        <v/>
      </c>
      <c r="BJ32" s="9">
        <f>BJ24+BJ31</f>
        <v/>
      </c>
      <c r="BK32" s="9">
        <f>BK24+BK31</f>
        <v/>
      </c>
      <c r="BL32" s="9">
        <f>BL24+BL31</f>
        <v/>
      </c>
      <c r="BM32" s="9">
        <f>BM24+BM31</f>
        <v/>
      </c>
      <c r="BN32" s="9">
        <f>BN24+BN31</f>
        <v/>
      </c>
      <c r="BO32" s="9">
        <f>BO24+BO31</f>
        <v/>
      </c>
      <c r="BP32" s="9">
        <f>BP24+BP31</f>
        <v/>
      </c>
      <c r="BQ32" s="9">
        <f>BQ24+BQ31</f>
        <v/>
      </c>
      <c r="BR32" s="9">
        <f>BR24+BR31</f>
        <v/>
      </c>
      <c r="BS32" s="9">
        <f>BS24+BS31</f>
        <v/>
      </c>
      <c r="BT32" s="9">
        <f>BT24+BT31</f>
        <v/>
      </c>
      <c r="BU32" s="9">
        <f>BU24+BU31</f>
        <v/>
      </c>
      <c r="BV32" s="9">
        <f>BV24+BV31</f>
        <v/>
      </c>
      <c r="BW32" s="9">
        <f>BW24+BW31</f>
        <v/>
      </c>
      <c r="BX32" s="9">
        <f>BX24+BX31</f>
        <v/>
      </c>
      <c r="BY32" s="9">
        <f>BY24+BY31</f>
        <v/>
      </c>
    </row>
    <row r="33">
      <c r="B33" s="7" t="inlineStr">
        <is>
          <t>EBITDA</t>
        </is>
      </c>
      <c r="C33" s="7" t="inlineStr">
        <is>
          <t>₽</t>
        </is>
      </c>
      <c r="D33" s="130" t="inlineStr"/>
      <c r="E33" s="131">
        <f>SUM(L33:W33)</f>
        <v/>
      </c>
      <c r="F33" s="131">
        <f>SUM(X33:AI33)</f>
        <v/>
      </c>
      <c r="G33" s="131">
        <f>SUM(AJ33:AU33)</f>
        <v/>
      </c>
      <c r="H33" s="131">
        <f>SUM(AV33:BG33)</f>
        <v/>
      </c>
      <c r="I33" s="131">
        <f>SUM(BH33:BS33)</f>
        <v/>
      </c>
      <c r="J33" s="10">
        <f>SUM(L33:BS33)</f>
        <v/>
      </c>
      <c r="L33" s="9">
        <f>L23-L32</f>
        <v/>
      </c>
      <c r="M33" s="9">
        <f>M23-M32</f>
        <v/>
      </c>
      <c r="N33" s="9">
        <f>N23-N32</f>
        <v/>
      </c>
      <c r="O33" s="9">
        <f>O23-O32</f>
        <v/>
      </c>
      <c r="P33" s="9">
        <f>P23-P32</f>
        <v/>
      </c>
      <c r="Q33" s="9">
        <f>Q23-Q32</f>
        <v/>
      </c>
      <c r="R33" s="9">
        <f>R23-R32</f>
        <v/>
      </c>
      <c r="S33" s="9">
        <f>S23-S32</f>
        <v/>
      </c>
      <c r="T33" s="9">
        <f>T23-T32</f>
        <v/>
      </c>
      <c r="U33" s="9">
        <f>U23-U32</f>
        <v/>
      </c>
      <c r="V33" s="9">
        <f>V23-V32</f>
        <v/>
      </c>
      <c r="W33" s="9">
        <f>W23-W32</f>
        <v/>
      </c>
      <c r="X33" s="9">
        <f>X23-X32</f>
        <v/>
      </c>
      <c r="Y33" s="9">
        <f>Y23-Y32</f>
        <v/>
      </c>
      <c r="Z33" s="9">
        <f>Z23-Z32</f>
        <v/>
      </c>
      <c r="AA33" s="9">
        <f>AA23-AA32</f>
        <v/>
      </c>
      <c r="AB33" s="9">
        <f>AB23-AB32</f>
        <v/>
      </c>
      <c r="AC33" s="9">
        <f>AC23-AC32</f>
        <v/>
      </c>
      <c r="AD33" s="9">
        <f>AD23-AD32</f>
        <v/>
      </c>
      <c r="AE33" s="9">
        <f>AE23-AE32</f>
        <v/>
      </c>
      <c r="AF33" s="9">
        <f>AF23-AF32</f>
        <v/>
      </c>
      <c r="AG33" s="9">
        <f>AG23-AG32</f>
        <v/>
      </c>
      <c r="AH33" s="9">
        <f>AH23-AH32</f>
        <v/>
      </c>
      <c r="AI33" s="9">
        <f>AI23-AI32</f>
        <v/>
      </c>
      <c r="AJ33" s="9">
        <f>AJ23-AJ32</f>
        <v/>
      </c>
      <c r="AK33" s="9">
        <f>AK23-AK32</f>
        <v/>
      </c>
      <c r="AL33" s="9">
        <f>AL23-AL32</f>
        <v/>
      </c>
      <c r="AM33" s="9">
        <f>AM23-AM32</f>
        <v/>
      </c>
      <c r="AN33" s="9">
        <f>AN23-AN32</f>
        <v/>
      </c>
      <c r="AO33" s="9">
        <f>AO23-AO32</f>
        <v/>
      </c>
      <c r="AP33" s="9">
        <f>AP23-AP32</f>
        <v/>
      </c>
      <c r="AQ33" s="9">
        <f>AQ23-AQ32</f>
        <v/>
      </c>
      <c r="AR33" s="9">
        <f>AR23-AR32</f>
        <v/>
      </c>
      <c r="AS33" s="9">
        <f>AS23-AS32</f>
        <v/>
      </c>
      <c r="AT33" s="9">
        <f>AT23-AT32</f>
        <v/>
      </c>
      <c r="AU33" s="9">
        <f>AU23-AU32</f>
        <v/>
      </c>
      <c r="AV33" s="9">
        <f>AV23-AV32</f>
        <v/>
      </c>
      <c r="AW33" s="9">
        <f>AW23-AW32</f>
        <v/>
      </c>
      <c r="AX33" s="9">
        <f>AX23-AX32</f>
        <v/>
      </c>
      <c r="AY33" s="9">
        <f>AY23-AY32</f>
        <v/>
      </c>
      <c r="AZ33" s="9">
        <f>AZ23-AZ32</f>
        <v/>
      </c>
      <c r="BA33" s="9">
        <f>BA23-BA32</f>
        <v/>
      </c>
      <c r="BB33" s="9">
        <f>BB23-BB32</f>
        <v/>
      </c>
      <c r="BC33" s="9">
        <f>BC23-BC32</f>
        <v/>
      </c>
      <c r="BD33" s="9">
        <f>BD23-BD32</f>
        <v/>
      </c>
      <c r="BE33" s="9">
        <f>BE23-BE32</f>
        <v/>
      </c>
      <c r="BF33" s="9">
        <f>BF23-BF32</f>
        <v/>
      </c>
      <c r="BG33" s="9">
        <f>BG23-BG32</f>
        <v/>
      </c>
      <c r="BH33" s="9">
        <f>BH23-BH32</f>
        <v/>
      </c>
      <c r="BI33" s="9">
        <f>BI23-BI32</f>
        <v/>
      </c>
      <c r="BJ33" s="9">
        <f>BJ23-BJ32</f>
        <v/>
      </c>
      <c r="BK33" s="9">
        <f>BK23-BK32</f>
        <v/>
      </c>
      <c r="BL33" s="9">
        <f>BL23-BL32</f>
        <v/>
      </c>
      <c r="BM33" s="9">
        <f>BM23-BM32</f>
        <v/>
      </c>
      <c r="BN33" s="9">
        <f>BN23-BN32</f>
        <v/>
      </c>
      <c r="BO33" s="9">
        <f>BO23-BO32</f>
        <v/>
      </c>
      <c r="BP33" s="9">
        <f>BP23-BP32</f>
        <v/>
      </c>
      <c r="BQ33" s="9">
        <f>BQ23-BQ32</f>
        <v/>
      </c>
      <c r="BR33" s="9">
        <f>BR23-BR32</f>
        <v/>
      </c>
      <c r="BS33" s="9">
        <f>BS23-BS32</f>
        <v/>
      </c>
      <c r="BT33" s="9">
        <f>BT23-BT32</f>
        <v/>
      </c>
      <c r="BU33" s="9">
        <f>BU23-BU32</f>
        <v/>
      </c>
      <c r="BV33" s="9">
        <f>BV23-BV32</f>
        <v/>
      </c>
      <c r="BW33" s="9">
        <f>BW23-BW32</f>
        <v/>
      </c>
      <c r="BX33" s="9">
        <f>BX23-BX32</f>
        <v/>
      </c>
      <c r="BY33" s="9">
        <f>BY23-BY32</f>
        <v/>
      </c>
    </row>
    <row r="34">
      <c r="B34" t="inlineStr">
        <is>
          <t>EBITDA, % выручки</t>
        </is>
      </c>
      <c r="C34" t="inlineStr">
        <is>
          <t>%</t>
        </is>
      </c>
      <c r="D34" s="127" t="inlineStr">
        <is>
          <t>В колонках лет — среднее за год, в «Итого» — среднее за все 60 месяцев.</t>
        </is>
      </c>
      <c r="E34" s="132">
        <f>AVERAGE(L34:W34)</f>
        <v/>
      </c>
      <c r="F34" s="132">
        <f>AVERAGE(X34:AI34)</f>
        <v/>
      </c>
      <c r="G34" s="132">
        <f>AVERAGE(AJ34:AU34)</f>
        <v/>
      </c>
      <c r="H34" s="132">
        <f>AVERAGE(AV34:BG34)</f>
        <v/>
      </c>
      <c r="I34" s="132">
        <f>AVERAGE(BH34:BS34)</f>
        <v/>
      </c>
      <c r="J34" s="133">
        <f>AVERAGE(L34:BS34)</f>
        <v/>
      </c>
      <c r="L34" s="15">
        <f>IF(L16=0,0,L33/L16)</f>
        <v/>
      </c>
      <c r="M34" s="15">
        <f>IF(M16=0,0,M33/M16)</f>
        <v/>
      </c>
      <c r="N34" s="15">
        <f>IF(N16=0,0,N33/N16)</f>
        <v/>
      </c>
      <c r="O34" s="15">
        <f>IF(O16=0,0,O33/O16)</f>
        <v/>
      </c>
      <c r="P34" s="15">
        <f>IF(P16=0,0,P33/P16)</f>
        <v/>
      </c>
      <c r="Q34" s="15">
        <f>IF(Q16=0,0,Q33/Q16)</f>
        <v/>
      </c>
      <c r="R34" s="15">
        <f>IF(R16=0,0,R33/R16)</f>
        <v/>
      </c>
      <c r="S34" s="15">
        <f>IF(S16=0,0,S33/S16)</f>
        <v/>
      </c>
      <c r="T34" s="15">
        <f>IF(T16=0,0,T33/T16)</f>
        <v/>
      </c>
      <c r="U34" s="15">
        <f>IF(U16=0,0,U33/U16)</f>
        <v/>
      </c>
      <c r="V34" s="15">
        <f>IF(V16=0,0,V33/V16)</f>
        <v/>
      </c>
      <c r="W34" s="15">
        <f>IF(W16=0,0,W33/W16)</f>
        <v/>
      </c>
      <c r="X34" s="15">
        <f>IF(X16=0,0,X33/X16)</f>
        <v/>
      </c>
      <c r="Y34" s="15">
        <f>IF(Y16=0,0,Y33/Y16)</f>
        <v/>
      </c>
      <c r="Z34" s="15">
        <f>IF(Z16=0,0,Z33/Z16)</f>
        <v/>
      </c>
      <c r="AA34" s="15">
        <f>IF(AA16=0,0,AA33/AA16)</f>
        <v/>
      </c>
      <c r="AB34" s="15">
        <f>IF(AB16=0,0,AB33/AB16)</f>
        <v/>
      </c>
      <c r="AC34" s="15">
        <f>IF(AC16=0,0,AC33/AC16)</f>
        <v/>
      </c>
      <c r="AD34" s="15">
        <f>IF(AD16=0,0,AD33/AD16)</f>
        <v/>
      </c>
      <c r="AE34" s="15">
        <f>IF(AE16=0,0,AE33/AE16)</f>
        <v/>
      </c>
      <c r="AF34" s="15">
        <f>IF(AF16=0,0,AF33/AF16)</f>
        <v/>
      </c>
      <c r="AG34" s="15">
        <f>IF(AG16=0,0,AG33/AG16)</f>
        <v/>
      </c>
      <c r="AH34" s="15">
        <f>IF(AH16=0,0,AH33/AH16)</f>
        <v/>
      </c>
      <c r="AI34" s="15">
        <f>IF(AI16=0,0,AI33/AI16)</f>
        <v/>
      </c>
      <c r="AJ34" s="15">
        <f>IF(AJ16=0,0,AJ33/AJ16)</f>
        <v/>
      </c>
      <c r="AK34" s="15">
        <f>IF(AK16=0,0,AK33/AK16)</f>
        <v/>
      </c>
      <c r="AL34" s="15">
        <f>IF(AL16=0,0,AL33/AL16)</f>
        <v/>
      </c>
      <c r="AM34" s="15">
        <f>IF(AM16=0,0,AM33/AM16)</f>
        <v/>
      </c>
      <c r="AN34" s="15">
        <f>IF(AN16=0,0,AN33/AN16)</f>
        <v/>
      </c>
      <c r="AO34" s="15">
        <f>IF(AO16=0,0,AO33/AO16)</f>
        <v/>
      </c>
      <c r="AP34" s="15">
        <f>IF(AP16=0,0,AP33/AP16)</f>
        <v/>
      </c>
      <c r="AQ34" s="15">
        <f>IF(AQ16=0,0,AQ33/AQ16)</f>
        <v/>
      </c>
      <c r="AR34" s="15">
        <f>IF(AR16=0,0,AR33/AR16)</f>
        <v/>
      </c>
      <c r="AS34" s="15">
        <f>IF(AS16=0,0,AS33/AS16)</f>
        <v/>
      </c>
      <c r="AT34" s="15">
        <f>IF(AT16=0,0,AT33/AT16)</f>
        <v/>
      </c>
      <c r="AU34" s="15">
        <f>IF(AU16=0,0,AU33/AU16)</f>
        <v/>
      </c>
      <c r="AV34" s="15">
        <f>IF(AV16=0,0,AV33/AV16)</f>
        <v/>
      </c>
      <c r="AW34" s="15">
        <f>IF(AW16=0,0,AW33/AW16)</f>
        <v/>
      </c>
      <c r="AX34" s="15">
        <f>IF(AX16=0,0,AX33/AX16)</f>
        <v/>
      </c>
      <c r="AY34" s="15">
        <f>IF(AY16=0,0,AY33/AY16)</f>
        <v/>
      </c>
      <c r="AZ34" s="15">
        <f>IF(AZ16=0,0,AZ33/AZ16)</f>
        <v/>
      </c>
      <c r="BA34" s="15">
        <f>IF(BA16=0,0,BA33/BA16)</f>
        <v/>
      </c>
      <c r="BB34" s="15">
        <f>IF(BB16=0,0,BB33/BB16)</f>
        <v/>
      </c>
      <c r="BC34" s="15">
        <f>IF(BC16=0,0,BC33/BC16)</f>
        <v/>
      </c>
      <c r="BD34" s="15">
        <f>IF(BD16=0,0,BD33/BD16)</f>
        <v/>
      </c>
      <c r="BE34" s="15">
        <f>IF(BE16=0,0,BE33/BE16)</f>
        <v/>
      </c>
      <c r="BF34" s="15">
        <f>IF(BF16=0,0,BF33/BF16)</f>
        <v/>
      </c>
      <c r="BG34" s="15">
        <f>IF(BG16=0,0,BG33/BG16)</f>
        <v/>
      </c>
      <c r="BH34" s="15">
        <f>IF(BH16=0,0,BH33/BH16)</f>
        <v/>
      </c>
      <c r="BI34" s="15">
        <f>IF(BI16=0,0,BI33/BI16)</f>
        <v/>
      </c>
      <c r="BJ34" s="15">
        <f>IF(BJ16=0,0,BJ33/BJ16)</f>
        <v/>
      </c>
      <c r="BK34" s="15">
        <f>IF(BK16=0,0,BK33/BK16)</f>
        <v/>
      </c>
      <c r="BL34" s="15">
        <f>IF(BL16=0,0,BL33/BL16)</f>
        <v/>
      </c>
      <c r="BM34" s="15">
        <f>IF(BM16=0,0,BM33/BM16)</f>
        <v/>
      </c>
      <c r="BN34" s="15">
        <f>IF(BN16=0,0,BN33/BN16)</f>
        <v/>
      </c>
      <c r="BO34" s="15">
        <f>IF(BO16=0,0,BO33/BO16)</f>
        <v/>
      </c>
      <c r="BP34" s="15">
        <f>IF(BP16=0,0,BP33/BP16)</f>
        <v/>
      </c>
      <c r="BQ34" s="15">
        <f>IF(BQ16=0,0,BQ33/BQ16)</f>
        <v/>
      </c>
      <c r="BR34" s="15">
        <f>IF(BR16=0,0,BR33/BR16)</f>
        <v/>
      </c>
      <c r="BS34" s="15">
        <f>IF(BS16=0,0,BS33/BS16)</f>
        <v/>
      </c>
      <c r="BT34" s="15">
        <f>IF(BT16=0,0,BT33/BT16)</f>
        <v/>
      </c>
      <c r="BU34" s="15">
        <f>IF(BU16=0,0,BU33/BU16)</f>
        <v/>
      </c>
      <c r="BV34" s="15">
        <f>IF(BV16=0,0,BV33/BV16)</f>
        <v/>
      </c>
      <c r="BW34" s="15">
        <f>IF(BW16=0,0,BW33/BW16)</f>
        <v/>
      </c>
      <c r="BX34" s="15">
        <f>IF(BX16=0,0,BX33/BX16)</f>
        <v/>
      </c>
      <c r="BY34" s="15">
        <f>IF(BY16=0,0,BY33/BY16)</f>
        <v/>
      </c>
    </row>
    <row r="35">
      <c r="B35" t="inlineStr">
        <is>
          <t>УСН / минимальный налог</t>
        </is>
      </c>
      <c r="C35" t="inlineStr">
        <is>
          <t>₽</t>
        </is>
      </c>
      <c r="D35" s="127" t="inlineStr"/>
      <c r="E35" s="129">
        <f>SUM(L35:W35)</f>
        <v/>
      </c>
      <c r="F35" s="129">
        <f>SUM(X35:AI35)</f>
        <v/>
      </c>
      <c r="G35" s="129">
        <f>SUM(AJ35:AU35)</f>
        <v/>
      </c>
      <c r="H35" s="129">
        <f>SUM(AV35:BG35)</f>
        <v/>
      </c>
      <c r="I35" s="129">
        <f>SUM(BH35:BS35)</f>
        <v/>
      </c>
      <c r="J35" s="6">
        <f>SUM(L35:BS35)</f>
        <v/>
      </c>
      <c r="L35" s="5">
        <f>'06_Деньги'!L23</f>
        <v/>
      </c>
      <c r="M35" s="5">
        <f>'06_Деньги'!M23</f>
        <v/>
      </c>
      <c r="N35" s="5">
        <f>'06_Деньги'!N23</f>
        <v/>
      </c>
      <c r="O35" s="5">
        <f>'06_Деньги'!O23</f>
        <v/>
      </c>
      <c r="P35" s="5">
        <f>'06_Деньги'!P23</f>
        <v/>
      </c>
      <c r="Q35" s="5">
        <f>'06_Деньги'!Q23</f>
        <v/>
      </c>
      <c r="R35" s="5">
        <f>'06_Деньги'!R23</f>
        <v/>
      </c>
      <c r="S35" s="5">
        <f>'06_Деньги'!S23</f>
        <v/>
      </c>
      <c r="T35" s="5">
        <f>'06_Деньги'!T23</f>
        <v/>
      </c>
      <c r="U35" s="5">
        <f>'06_Деньги'!U23</f>
        <v/>
      </c>
      <c r="V35" s="5">
        <f>'06_Деньги'!V23</f>
        <v/>
      </c>
      <c r="W35" s="5">
        <f>'06_Деньги'!W23</f>
        <v/>
      </c>
      <c r="X35" s="5">
        <f>'06_Деньги'!X23</f>
        <v/>
      </c>
      <c r="Y35" s="5">
        <f>'06_Деньги'!Y23</f>
        <v/>
      </c>
      <c r="Z35" s="5">
        <f>'06_Деньги'!Z23</f>
        <v/>
      </c>
      <c r="AA35" s="5">
        <f>'06_Деньги'!AA23</f>
        <v/>
      </c>
      <c r="AB35" s="5">
        <f>'06_Деньги'!AB23</f>
        <v/>
      </c>
      <c r="AC35" s="5">
        <f>'06_Деньги'!AC23</f>
        <v/>
      </c>
      <c r="AD35" s="5">
        <f>'06_Деньги'!AD23</f>
        <v/>
      </c>
      <c r="AE35" s="5">
        <f>'06_Деньги'!AE23</f>
        <v/>
      </c>
      <c r="AF35" s="5">
        <f>'06_Деньги'!AF23</f>
        <v/>
      </c>
      <c r="AG35" s="5">
        <f>'06_Деньги'!AG23</f>
        <v/>
      </c>
      <c r="AH35" s="5">
        <f>'06_Деньги'!AH23</f>
        <v/>
      </c>
      <c r="AI35" s="5">
        <f>'06_Деньги'!AI23</f>
        <v/>
      </c>
      <c r="AJ35" s="5">
        <f>'06_Деньги'!AJ23</f>
        <v/>
      </c>
      <c r="AK35" s="5">
        <f>'06_Деньги'!AK23</f>
        <v/>
      </c>
      <c r="AL35" s="5">
        <f>'06_Деньги'!AL23</f>
        <v/>
      </c>
      <c r="AM35" s="5">
        <f>'06_Деньги'!AM23</f>
        <v/>
      </c>
      <c r="AN35" s="5">
        <f>'06_Деньги'!AN23</f>
        <v/>
      </c>
      <c r="AO35" s="5">
        <f>'06_Деньги'!AO23</f>
        <v/>
      </c>
      <c r="AP35" s="5">
        <f>'06_Деньги'!AP23</f>
        <v/>
      </c>
      <c r="AQ35" s="5">
        <f>'06_Деньги'!AQ23</f>
        <v/>
      </c>
      <c r="AR35" s="5">
        <f>'06_Деньги'!AR23</f>
        <v/>
      </c>
      <c r="AS35" s="5">
        <f>'06_Деньги'!AS23</f>
        <v/>
      </c>
      <c r="AT35" s="5">
        <f>'06_Деньги'!AT23</f>
        <v/>
      </c>
      <c r="AU35" s="5">
        <f>'06_Деньги'!AU23</f>
        <v/>
      </c>
      <c r="AV35" s="5">
        <f>'06_Деньги'!AV23</f>
        <v/>
      </c>
      <c r="AW35" s="5">
        <f>'06_Деньги'!AW23</f>
        <v/>
      </c>
      <c r="AX35" s="5">
        <f>'06_Деньги'!AX23</f>
        <v/>
      </c>
      <c r="AY35" s="5">
        <f>'06_Деньги'!AY23</f>
        <v/>
      </c>
      <c r="AZ35" s="5">
        <f>'06_Деньги'!AZ23</f>
        <v/>
      </c>
      <c r="BA35" s="5">
        <f>'06_Деньги'!BA23</f>
        <v/>
      </c>
      <c r="BB35" s="5">
        <f>'06_Деньги'!BB23</f>
        <v/>
      </c>
      <c r="BC35" s="5">
        <f>'06_Деньги'!BC23</f>
        <v/>
      </c>
      <c r="BD35" s="5">
        <f>'06_Деньги'!BD23</f>
        <v/>
      </c>
      <c r="BE35" s="5">
        <f>'06_Деньги'!BE23</f>
        <v/>
      </c>
      <c r="BF35" s="5">
        <f>'06_Деньги'!BF23</f>
        <v/>
      </c>
      <c r="BG35" s="5">
        <f>'06_Деньги'!BG23</f>
        <v/>
      </c>
      <c r="BH35" s="5">
        <f>'06_Деньги'!BH23</f>
        <v/>
      </c>
      <c r="BI35" s="5">
        <f>'06_Деньги'!BI23</f>
        <v/>
      </c>
      <c r="BJ35" s="5">
        <f>'06_Деньги'!BJ23</f>
        <v/>
      </c>
      <c r="BK35" s="5">
        <f>'06_Деньги'!BK23</f>
        <v/>
      </c>
      <c r="BL35" s="5">
        <f>'06_Деньги'!BL23</f>
        <v/>
      </c>
      <c r="BM35" s="5">
        <f>'06_Деньги'!BM23</f>
        <v/>
      </c>
      <c r="BN35" s="5">
        <f>'06_Деньги'!BN23</f>
        <v/>
      </c>
      <c r="BO35" s="5">
        <f>'06_Деньги'!BO23</f>
        <v/>
      </c>
      <c r="BP35" s="5">
        <f>'06_Деньги'!BP23</f>
        <v/>
      </c>
      <c r="BQ35" s="5">
        <f>'06_Деньги'!BQ23</f>
        <v/>
      </c>
      <c r="BR35" s="5">
        <f>'06_Деньги'!BR23</f>
        <v/>
      </c>
      <c r="BS35" s="5">
        <f>'06_Деньги'!BS23</f>
        <v/>
      </c>
      <c r="BT35" s="5">
        <f>'06_Деньги'!BT23</f>
        <v/>
      </c>
      <c r="BU35" s="5">
        <f>'06_Деньги'!BU23</f>
        <v/>
      </c>
      <c r="BV35" s="5">
        <f>'06_Деньги'!BV23</f>
        <v/>
      </c>
      <c r="BW35" s="5">
        <f>'06_Деньги'!BW23</f>
        <v/>
      </c>
      <c r="BX35" s="5">
        <f>'06_Деньги'!BX23</f>
        <v/>
      </c>
      <c r="BY35" s="5">
        <f>'06_Деньги'!BY23</f>
        <v/>
      </c>
    </row>
    <row r="36">
      <c r="B36" s="7" t="inlineStr">
        <is>
          <t>Прибыль после налога</t>
        </is>
      </c>
      <c r="C36" s="7" t="inlineStr">
        <is>
          <t>₽</t>
        </is>
      </c>
      <c r="D36" s="130" t="inlineStr"/>
      <c r="E36" s="131">
        <f>SUM(L36:W36)</f>
        <v/>
      </c>
      <c r="F36" s="131">
        <f>SUM(X36:AI36)</f>
        <v/>
      </c>
      <c r="G36" s="131">
        <f>SUM(AJ36:AU36)</f>
        <v/>
      </c>
      <c r="H36" s="131">
        <f>SUM(AV36:BG36)</f>
        <v/>
      </c>
      <c r="I36" s="131">
        <f>SUM(BH36:BS36)</f>
        <v/>
      </c>
      <c r="J36" s="10">
        <f>SUM(L36:BS36)</f>
        <v/>
      </c>
      <c r="L36" s="9">
        <f>L33-L35</f>
        <v/>
      </c>
      <c r="M36" s="9">
        <f>M33-M35</f>
        <v/>
      </c>
      <c r="N36" s="9">
        <f>N33-N35</f>
        <v/>
      </c>
      <c r="O36" s="9">
        <f>O33-O35</f>
        <v/>
      </c>
      <c r="P36" s="9">
        <f>P33-P35</f>
        <v/>
      </c>
      <c r="Q36" s="9">
        <f>Q33-Q35</f>
        <v/>
      </c>
      <c r="R36" s="9">
        <f>R33-R35</f>
        <v/>
      </c>
      <c r="S36" s="9">
        <f>S33-S35</f>
        <v/>
      </c>
      <c r="T36" s="9">
        <f>T33-T35</f>
        <v/>
      </c>
      <c r="U36" s="9">
        <f>U33-U35</f>
        <v/>
      </c>
      <c r="V36" s="9">
        <f>V33-V35</f>
        <v/>
      </c>
      <c r="W36" s="9">
        <f>W33-W35</f>
        <v/>
      </c>
      <c r="X36" s="9">
        <f>X33-X35</f>
        <v/>
      </c>
      <c r="Y36" s="9">
        <f>Y33-Y35</f>
        <v/>
      </c>
      <c r="Z36" s="9">
        <f>Z33-Z35</f>
        <v/>
      </c>
      <c r="AA36" s="9">
        <f>AA33-AA35</f>
        <v/>
      </c>
      <c r="AB36" s="9">
        <f>AB33-AB35</f>
        <v/>
      </c>
      <c r="AC36" s="9">
        <f>AC33-AC35</f>
        <v/>
      </c>
      <c r="AD36" s="9">
        <f>AD33-AD35</f>
        <v/>
      </c>
      <c r="AE36" s="9">
        <f>AE33-AE35</f>
        <v/>
      </c>
      <c r="AF36" s="9">
        <f>AF33-AF35</f>
        <v/>
      </c>
      <c r="AG36" s="9">
        <f>AG33-AG35</f>
        <v/>
      </c>
      <c r="AH36" s="9">
        <f>AH33-AH35</f>
        <v/>
      </c>
      <c r="AI36" s="9">
        <f>AI33-AI35</f>
        <v/>
      </c>
      <c r="AJ36" s="9">
        <f>AJ33-AJ35</f>
        <v/>
      </c>
      <c r="AK36" s="9">
        <f>AK33-AK35</f>
        <v/>
      </c>
      <c r="AL36" s="9">
        <f>AL33-AL35</f>
        <v/>
      </c>
      <c r="AM36" s="9">
        <f>AM33-AM35</f>
        <v/>
      </c>
      <c r="AN36" s="9">
        <f>AN33-AN35</f>
        <v/>
      </c>
      <c r="AO36" s="9">
        <f>AO33-AO35</f>
        <v/>
      </c>
      <c r="AP36" s="9">
        <f>AP33-AP35</f>
        <v/>
      </c>
      <c r="AQ36" s="9">
        <f>AQ33-AQ35</f>
        <v/>
      </c>
      <c r="AR36" s="9">
        <f>AR33-AR35</f>
        <v/>
      </c>
      <c r="AS36" s="9">
        <f>AS33-AS35</f>
        <v/>
      </c>
      <c r="AT36" s="9">
        <f>AT33-AT35</f>
        <v/>
      </c>
      <c r="AU36" s="9">
        <f>AU33-AU35</f>
        <v/>
      </c>
      <c r="AV36" s="9">
        <f>AV33-AV35</f>
        <v/>
      </c>
      <c r="AW36" s="9">
        <f>AW33-AW35</f>
        <v/>
      </c>
      <c r="AX36" s="9">
        <f>AX33-AX35</f>
        <v/>
      </c>
      <c r="AY36" s="9">
        <f>AY33-AY35</f>
        <v/>
      </c>
      <c r="AZ36" s="9">
        <f>AZ33-AZ35</f>
        <v/>
      </c>
      <c r="BA36" s="9">
        <f>BA33-BA35</f>
        <v/>
      </c>
      <c r="BB36" s="9">
        <f>BB33-BB35</f>
        <v/>
      </c>
      <c r="BC36" s="9">
        <f>BC33-BC35</f>
        <v/>
      </c>
      <c r="BD36" s="9">
        <f>BD33-BD35</f>
        <v/>
      </c>
      <c r="BE36" s="9">
        <f>BE33-BE35</f>
        <v/>
      </c>
      <c r="BF36" s="9">
        <f>BF33-BF35</f>
        <v/>
      </c>
      <c r="BG36" s="9">
        <f>BG33-BG35</f>
        <v/>
      </c>
      <c r="BH36" s="9">
        <f>BH33-BH35</f>
        <v/>
      </c>
      <c r="BI36" s="9">
        <f>BI33-BI35</f>
        <v/>
      </c>
      <c r="BJ36" s="9">
        <f>BJ33-BJ35</f>
        <v/>
      </c>
      <c r="BK36" s="9">
        <f>BK33-BK35</f>
        <v/>
      </c>
      <c r="BL36" s="9">
        <f>BL33-BL35</f>
        <v/>
      </c>
      <c r="BM36" s="9">
        <f>BM33-BM35</f>
        <v/>
      </c>
      <c r="BN36" s="9">
        <f>BN33-BN35</f>
        <v/>
      </c>
      <c r="BO36" s="9">
        <f>BO33-BO35</f>
        <v/>
      </c>
      <c r="BP36" s="9">
        <f>BP33-BP35</f>
        <v/>
      </c>
      <c r="BQ36" s="9">
        <f>BQ33-BQ35</f>
        <v/>
      </c>
      <c r="BR36" s="9">
        <f>BR33-BR35</f>
        <v/>
      </c>
      <c r="BS36" s="9">
        <f>BS33-BS35</f>
        <v/>
      </c>
      <c r="BT36" s="9">
        <f>BT33-BT35</f>
        <v/>
      </c>
      <c r="BU36" s="9">
        <f>BU33-BU35</f>
        <v/>
      </c>
      <c r="BV36" s="9">
        <f>BV33-BV35</f>
        <v/>
      </c>
      <c r="BW36" s="9">
        <f>BW33-BW35</f>
        <v/>
      </c>
      <c r="BX36" s="9">
        <f>BX33-BX35</f>
        <v/>
      </c>
      <c r="BY36" s="9">
        <f>BY33-BY35</f>
        <v/>
      </c>
    </row>
    <row r="37"/>
    <row r="38">
      <c r="B38" s="125" t="inlineStr">
        <is>
          <t>БДДС — движение денег</t>
        </is>
      </c>
      <c r="C38" s="126" t="n"/>
      <c r="D38" s="126" t="n"/>
      <c r="E38" s="126" t="n"/>
      <c r="F38" s="126" t="n"/>
      <c r="G38" s="126" t="n"/>
      <c r="H38" s="126" t="n"/>
      <c r="I38" s="126" t="n"/>
      <c r="J38" s="126" t="n"/>
      <c r="K38" s="126" t="n"/>
      <c r="L38" s="126" t="n"/>
      <c r="M38" s="126" t="n"/>
      <c r="N38" s="126" t="n"/>
      <c r="O38" s="126" t="n"/>
      <c r="P38" s="126" t="n"/>
      <c r="Q38" s="126" t="n"/>
      <c r="R38" s="126" t="n"/>
      <c r="S38" s="126" t="n"/>
      <c r="T38" s="126" t="n"/>
      <c r="U38" s="126" t="n"/>
      <c r="V38" s="126" t="n"/>
      <c r="W38" s="126" t="n"/>
      <c r="X38" s="126" t="n"/>
      <c r="Y38" s="126" t="n"/>
      <c r="Z38" s="126" t="n"/>
      <c r="AA38" s="126" t="n"/>
      <c r="AB38" s="126" t="n"/>
      <c r="AC38" s="126" t="n"/>
      <c r="AD38" s="126" t="n"/>
      <c r="AE38" s="126" t="n"/>
      <c r="AF38" s="126" t="n"/>
      <c r="AG38" s="126" t="n"/>
      <c r="AH38" s="126" t="n"/>
      <c r="AI38" s="126" t="n"/>
      <c r="AJ38" s="126" t="n"/>
      <c r="AK38" s="126" t="n"/>
      <c r="AL38" s="126" t="n"/>
      <c r="AM38" s="126" t="n"/>
      <c r="AN38" s="126" t="n"/>
      <c r="AO38" s="126" t="n"/>
      <c r="AP38" s="126" t="n"/>
      <c r="AQ38" s="126" t="n"/>
      <c r="AR38" s="126" t="n"/>
      <c r="AS38" s="126" t="n"/>
      <c r="AT38" s="126" t="n"/>
      <c r="AU38" s="126" t="n"/>
      <c r="AV38" s="126" t="n"/>
      <c r="AW38" s="126" t="n"/>
      <c r="AX38" s="126" t="n"/>
      <c r="AY38" s="126" t="n"/>
      <c r="AZ38" s="126" t="n"/>
      <c r="BA38" s="126" t="n"/>
      <c r="BB38" s="126" t="n"/>
      <c r="BC38" s="126" t="n"/>
      <c r="BD38" s="126" t="n"/>
      <c r="BE38" s="126" t="n"/>
      <c r="BF38" s="126" t="n"/>
      <c r="BG38" s="126" t="n"/>
      <c r="BH38" s="126" t="n"/>
      <c r="BI38" s="126" t="n"/>
      <c r="BJ38" s="126" t="n"/>
      <c r="BK38" s="126" t="n"/>
      <c r="BL38" s="126" t="n"/>
      <c r="BM38" s="126" t="n"/>
      <c r="BN38" s="126" t="n"/>
      <c r="BO38" s="126" t="n"/>
      <c r="BP38" s="126" t="n"/>
      <c r="BQ38" s="126" t="n"/>
      <c r="BR38" s="126" t="n"/>
      <c r="BS38" s="126" t="n"/>
      <c r="BT38" s="126" t="n"/>
      <c r="BU38" s="126" t="n"/>
      <c r="BV38" s="126" t="n"/>
      <c r="BW38" s="126" t="n"/>
      <c r="BX38" s="126" t="n"/>
      <c r="BY38" s="126" t="n"/>
    </row>
    <row r="39">
      <c r="B39" t="inlineStr">
        <is>
          <t>Остаток на начало</t>
        </is>
      </c>
      <c r="C39" t="inlineStr">
        <is>
          <t>₽</t>
        </is>
      </c>
      <c r="D39" s="127" t="inlineStr">
        <is>
          <t>В колонках лет — значение на конец года, в «Итого» — на конец пятого года. Это остаток, а не сумма.</t>
        </is>
      </c>
      <c r="E39" s="129">
        <f>W39</f>
        <v/>
      </c>
      <c r="F39" s="129">
        <f>AI39</f>
        <v/>
      </c>
      <c r="G39" s="129">
        <f>AU39</f>
        <v/>
      </c>
      <c r="H39" s="129">
        <f>BG39</f>
        <v/>
      </c>
      <c r="I39" s="129">
        <f>BS39</f>
        <v/>
      </c>
      <c r="J39" s="6">
        <f>BS39</f>
        <v/>
      </c>
      <c r="L39" s="5">
        <f>ДеньгиСтарт</f>
        <v/>
      </c>
      <c r="M39" s="5">
        <f>L59</f>
        <v/>
      </c>
      <c r="N39" s="5">
        <f>M59</f>
        <v/>
      </c>
      <c r="O39" s="5">
        <f>N59</f>
        <v/>
      </c>
      <c r="P39" s="5">
        <f>O59</f>
        <v/>
      </c>
      <c r="Q39" s="5">
        <f>P59</f>
        <v/>
      </c>
      <c r="R39" s="5">
        <f>Q59</f>
        <v/>
      </c>
      <c r="S39" s="5">
        <f>R59</f>
        <v/>
      </c>
      <c r="T39" s="5">
        <f>S59</f>
        <v/>
      </c>
      <c r="U39" s="5">
        <f>T59</f>
        <v/>
      </c>
      <c r="V39" s="5">
        <f>U59</f>
        <v/>
      </c>
      <c r="W39" s="5">
        <f>V59</f>
        <v/>
      </c>
      <c r="X39" s="5">
        <f>W59</f>
        <v/>
      </c>
      <c r="Y39" s="5">
        <f>X59</f>
        <v/>
      </c>
      <c r="Z39" s="5">
        <f>Y59</f>
        <v/>
      </c>
      <c r="AA39" s="5">
        <f>Z59</f>
        <v/>
      </c>
      <c r="AB39" s="5">
        <f>AA59</f>
        <v/>
      </c>
      <c r="AC39" s="5">
        <f>AB59</f>
        <v/>
      </c>
      <c r="AD39" s="5">
        <f>AC59</f>
        <v/>
      </c>
      <c r="AE39" s="5">
        <f>AD59</f>
        <v/>
      </c>
      <c r="AF39" s="5">
        <f>AE59</f>
        <v/>
      </c>
      <c r="AG39" s="5">
        <f>AF59</f>
        <v/>
      </c>
      <c r="AH39" s="5">
        <f>AG59</f>
        <v/>
      </c>
      <c r="AI39" s="5">
        <f>AH59</f>
        <v/>
      </c>
      <c r="AJ39" s="5">
        <f>AI59</f>
        <v/>
      </c>
      <c r="AK39" s="5">
        <f>AJ59</f>
        <v/>
      </c>
      <c r="AL39" s="5">
        <f>AK59</f>
        <v/>
      </c>
      <c r="AM39" s="5">
        <f>AL59</f>
        <v/>
      </c>
      <c r="AN39" s="5">
        <f>AM59</f>
        <v/>
      </c>
      <c r="AO39" s="5">
        <f>AN59</f>
        <v/>
      </c>
      <c r="AP39" s="5">
        <f>AO59</f>
        <v/>
      </c>
      <c r="AQ39" s="5">
        <f>AP59</f>
        <v/>
      </c>
      <c r="AR39" s="5">
        <f>AQ59</f>
        <v/>
      </c>
      <c r="AS39" s="5">
        <f>AR59</f>
        <v/>
      </c>
      <c r="AT39" s="5">
        <f>AS59</f>
        <v/>
      </c>
      <c r="AU39" s="5">
        <f>AT59</f>
        <v/>
      </c>
      <c r="AV39" s="5">
        <f>AU59</f>
        <v/>
      </c>
      <c r="AW39" s="5">
        <f>AV59</f>
        <v/>
      </c>
      <c r="AX39" s="5">
        <f>AW59</f>
        <v/>
      </c>
      <c r="AY39" s="5">
        <f>AX59</f>
        <v/>
      </c>
      <c r="AZ39" s="5">
        <f>AY59</f>
        <v/>
      </c>
      <c r="BA39" s="5">
        <f>AZ59</f>
        <v/>
      </c>
      <c r="BB39" s="5">
        <f>BA59</f>
        <v/>
      </c>
      <c r="BC39" s="5">
        <f>BB59</f>
        <v/>
      </c>
      <c r="BD39" s="5">
        <f>BC59</f>
        <v/>
      </c>
      <c r="BE39" s="5">
        <f>BD59</f>
        <v/>
      </c>
      <c r="BF39" s="5">
        <f>BE59</f>
        <v/>
      </c>
      <c r="BG39" s="5">
        <f>BF59</f>
        <v/>
      </c>
      <c r="BH39" s="5">
        <f>BG59</f>
        <v/>
      </c>
      <c r="BI39" s="5">
        <f>BH59</f>
        <v/>
      </c>
      <c r="BJ39" s="5">
        <f>BI59</f>
        <v/>
      </c>
      <c r="BK39" s="5">
        <f>BJ59</f>
        <v/>
      </c>
      <c r="BL39" s="5">
        <f>BK59</f>
        <v/>
      </c>
      <c r="BM39" s="5">
        <f>BL59</f>
        <v/>
      </c>
      <c r="BN39" s="5">
        <f>BM59</f>
        <v/>
      </c>
      <c r="BO39" s="5">
        <f>BN59</f>
        <v/>
      </c>
      <c r="BP39" s="5">
        <f>BO59</f>
        <v/>
      </c>
      <c r="BQ39" s="5">
        <f>BP59</f>
        <v/>
      </c>
      <c r="BR39" s="5">
        <f>BQ59</f>
        <v/>
      </c>
      <c r="BS39" s="5">
        <f>BR59</f>
        <v/>
      </c>
      <c r="BT39" s="5">
        <f>BS59</f>
        <v/>
      </c>
      <c r="BU39" s="5">
        <f>BT59</f>
        <v/>
      </c>
      <c r="BV39" s="5">
        <f>BU59</f>
        <v/>
      </c>
      <c r="BW39" s="5">
        <f>BV59</f>
        <v/>
      </c>
      <c r="BX39" s="5">
        <f>BW59</f>
        <v/>
      </c>
      <c r="BY39" s="5">
        <f>BX59</f>
        <v/>
      </c>
    </row>
    <row r="40">
      <c r="B40" t="inlineStr">
        <is>
          <t>Поступления: паушальные</t>
        </is>
      </c>
      <c r="C40" t="inlineStr">
        <is>
          <t>₽</t>
        </is>
      </c>
      <c r="D40" s="127" t="inlineStr">
        <is>
          <t>С НДС, в месяц продажи — она считается после оплаты</t>
        </is>
      </c>
      <c r="E40" s="129">
        <f>SUM(L40:W40)</f>
        <v/>
      </c>
      <c r="F40" s="129">
        <f>SUM(X40:AI40)</f>
        <v/>
      </c>
      <c r="G40" s="129">
        <f>SUM(AJ40:AU40)</f>
        <v/>
      </c>
      <c r="H40" s="129">
        <f>SUM(AV40:BG40)</f>
        <v/>
      </c>
      <c r="I40" s="129">
        <f>SUM(BH40:BS40)</f>
        <v/>
      </c>
      <c r="J40" s="6">
        <f>SUM(L40:BS40)</f>
        <v/>
      </c>
      <c r="L40" s="5">
        <f>'04_Доходы'!L13</f>
        <v/>
      </c>
      <c r="M40" s="5">
        <f>'04_Доходы'!M13</f>
        <v/>
      </c>
      <c r="N40" s="5">
        <f>'04_Доходы'!N13</f>
        <v/>
      </c>
      <c r="O40" s="5">
        <f>'04_Доходы'!O13</f>
        <v/>
      </c>
      <c r="P40" s="5">
        <f>'04_Доходы'!P13</f>
        <v/>
      </c>
      <c r="Q40" s="5">
        <f>'04_Доходы'!Q13</f>
        <v/>
      </c>
      <c r="R40" s="5">
        <f>'04_Доходы'!R13</f>
        <v/>
      </c>
      <c r="S40" s="5">
        <f>'04_Доходы'!S13</f>
        <v/>
      </c>
      <c r="T40" s="5">
        <f>'04_Доходы'!T13</f>
        <v/>
      </c>
      <c r="U40" s="5">
        <f>'04_Доходы'!U13</f>
        <v/>
      </c>
      <c r="V40" s="5">
        <f>'04_Доходы'!V13</f>
        <v/>
      </c>
      <c r="W40" s="5">
        <f>'04_Доходы'!W13</f>
        <v/>
      </c>
      <c r="X40" s="5">
        <f>'04_Доходы'!X13</f>
        <v/>
      </c>
      <c r="Y40" s="5">
        <f>'04_Доходы'!Y13</f>
        <v/>
      </c>
      <c r="Z40" s="5">
        <f>'04_Доходы'!Z13</f>
        <v/>
      </c>
      <c r="AA40" s="5">
        <f>'04_Доходы'!AA13</f>
        <v/>
      </c>
      <c r="AB40" s="5">
        <f>'04_Доходы'!AB13</f>
        <v/>
      </c>
      <c r="AC40" s="5">
        <f>'04_Доходы'!AC13</f>
        <v/>
      </c>
      <c r="AD40" s="5">
        <f>'04_Доходы'!AD13</f>
        <v/>
      </c>
      <c r="AE40" s="5">
        <f>'04_Доходы'!AE13</f>
        <v/>
      </c>
      <c r="AF40" s="5">
        <f>'04_Доходы'!AF13</f>
        <v/>
      </c>
      <c r="AG40" s="5">
        <f>'04_Доходы'!AG13</f>
        <v/>
      </c>
      <c r="AH40" s="5">
        <f>'04_Доходы'!AH13</f>
        <v/>
      </c>
      <c r="AI40" s="5">
        <f>'04_Доходы'!AI13</f>
        <v/>
      </c>
      <c r="AJ40" s="5">
        <f>'04_Доходы'!AJ13</f>
        <v/>
      </c>
      <c r="AK40" s="5">
        <f>'04_Доходы'!AK13</f>
        <v/>
      </c>
      <c r="AL40" s="5">
        <f>'04_Доходы'!AL13</f>
        <v/>
      </c>
      <c r="AM40" s="5">
        <f>'04_Доходы'!AM13</f>
        <v/>
      </c>
      <c r="AN40" s="5">
        <f>'04_Доходы'!AN13</f>
        <v/>
      </c>
      <c r="AO40" s="5">
        <f>'04_Доходы'!AO13</f>
        <v/>
      </c>
      <c r="AP40" s="5">
        <f>'04_Доходы'!AP13</f>
        <v/>
      </c>
      <c r="AQ40" s="5">
        <f>'04_Доходы'!AQ13</f>
        <v/>
      </c>
      <c r="AR40" s="5">
        <f>'04_Доходы'!AR13</f>
        <v/>
      </c>
      <c r="AS40" s="5">
        <f>'04_Доходы'!AS13</f>
        <v/>
      </c>
      <c r="AT40" s="5">
        <f>'04_Доходы'!AT13</f>
        <v/>
      </c>
      <c r="AU40" s="5">
        <f>'04_Доходы'!AU13</f>
        <v/>
      </c>
      <c r="AV40" s="5">
        <f>'04_Доходы'!AV13</f>
        <v/>
      </c>
      <c r="AW40" s="5">
        <f>'04_Доходы'!AW13</f>
        <v/>
      </c>
      <c r="AX40" s="5">
        <f>'04_Доходы'!AX13</f>
        <v/>
      </c>
      <c r="AY40" s="5">
        <f>'04_Доходы'!AY13</f>
        <v/>
      </c>
      <c r="AZ40" s="5">
        <f>'04_Доходы'!AZ13</f>
        <v/>
      </c>
      <c r="BA40" s="5">
        <f>'04_Доходы'!BA13</f>
        <v/>
      </c>
      <c r="BB40" s="5">
        <f>'04_Доходы'!BB13</f>
        <v/>
      </c>
      <c r="BC40" s="5">
        <f>'04_Доходы'!BC13</f>
        <v/>
      </c>
      <c r="BD40" s="5">
        <f>'04_Доходы'!BD13</f>
        <v/>
      </c>
      <c r="BE40" s="5">
        <f>'04_Доходы'!BE13</f>
        <v/>
      </c>
      <c r="BF40" s="5">
        <f>'04_Доходы'!BF13</f>
        <v/>
      </c>
      <c r="BG40" s="5">
        <f>'04_Доходы'!BG13</f>
        <v/>
      </c>
      <c r="BH40" s="5">
        <f>'04_Доходы'!BH13</f>
        <v/>
      </c>
      <c r="BI40" s="5">
        <f>'04_Доходы'!BI13</f>
        <v/>
      </c>
      <c r="BJ40" s="5">
        <f>'04_Доходы'!BJ13</f>
        <v/>
      </c>
      <c r="BK40" s="5">
        <f>'04_Доходы'!BK13</f>
        <v/>
      </c>
      <c r="BL40" s="5">
        <f>'04_Доходы'!BL13</f>
        <v/>
      </c>
      <c r="BM40" s="5">
        <f>'04_Доходы'!BM13</f>
        <v/>
      </c>
      <c r="BN40" s="5">
        <f>'04_Доходы'!BN13</f>
        <v/>
      </c>
      <c r="BO40" s="5">
        <f>'04_Доходы'!BO13</f>
        <v/>
      </c>
      <c r="BP40" s="5">
        <f>'04_Доходы'!BP13</f>
        <v/>
      </c>
      <c r="BQ40" s="5">
        <f>'04_Доходы'!BQ13</f>
        <v/>
      </c>
      <c r="BR40" s="5">
        <f>'04_Доходы'!BR13</f>
        <v/>
      </c>
      <c r="BS40" s="5">
        <f>'04_Доходы'!BS13</f>
        <v/>
      </c>
      <c r="BT40" s="5">
        <f>'04_Доходы'!BT13</f>
        <v/>
      </c>
      <c r="BU40" s="5">
        <f>'04_Доходы'!BU13</f>
        <v/>
      </c>
      <c r="BV40" s="5">
        <f>'04_Доходы'!BV13</f>
        <v/>
      </c>
      <c r="BW40" s="5">
        <f>'04_Доходы'!BW13</f>
        <v/>
      </c>
      <c r="BX40" s="5">
        <f>'04_Доходы'!BX13</f>
        <v/>
      </c>
      <c r="BY40" s="5">
        <f>'04_Доходы'!BY13</f>
        <v/>
      </c>
    </row>
    <row r="41">
      <c r="B41" t="inlineStr">
        <is>
          <t>Поступления: роялти</t>
        </is>
      </c>
      <c r="C41" t="inlineStr">
        <is>
          <t>₽</t>
        </is>
      </c>
      <c r="D41" s="127" t="inlineStr">
        <is>
          <t>Половина в текущем месяце, половина в следующем</t>
        </is>
      </c>
      <c r="E41" s="129">
        <f>SUM(L41:W41)</f>
        <v/>
      </c>
      <c r="F41" s="129">
        <f>SUM(X41:AI41)</f>
        <v/>
      </c>
      <c r="G41" s="129">
        <f>SUM(AJ41:AU41)</f>
        <v/>
      </c>
      <c r="H41" s="129">
        <f>SUM(AV41:BG41)</f>
        <v/>
      </c>
      <c r="I41" s="129">
        <f>SUM(BH41:BS41)</f>
        <v/>
      </c>
      <c r="J41" s="6">
        <f>SUM(L41:BS41)</f>
        <v/>
      </c>
      <c r="L41" s="5">
        <f>ДоляПоступлТек*'04_Доходы'!$L103</f>
        <v/>
      </c>
      <c r="M41" s="5">
        <f>ДоляПоступлТек*'04_Доходы'!M103+(1-ДоляПоступлТек)*'04_Доходы'!L103</f>
        <v/>
      </c>
      <c r="N41" s="5">
        <f>ДоляПоступлТек*'04_Доходы'!N103+(1-ДоляПоступлТек)*'04_Доходы'!M103</f>
        <v/>
      </c>
      <c r="O41" s="5">
        <f>ДоляПоступлТек*'04_Доходы'!O103+(1-ДоляПоступлТек)*'04_Доходы'!N103</f>
        <v/>
      </c>
      <c r="P41" s="5">
        <f>ДоляПоступлТек*'04_Доходы'!P103+(1-ДоляПоступлТек)*'04_Доходы'!O103</f>
        <v/>
      </c>
      <c r="Q41" s="5">
        <f>ДоляПоступлТек*'04_Доходы'!Q103+(1-ДоляПоступлТек)*'04_Доходы'!P103</f>
        <v/>
      </c>
      <c r="R41" s="5">
        <f>ДоляПоступлТек*'04_Доходы'!R103+(1-ДоляПоступлТек)*'04_Доходы'!Q103</f>
        <v/>
      </c>
      <c r="S41" s="5">
        <f>ДоляПоступлТек*'04_Доходы'!S103+(1-ДоляПоступлТек)*'04_Доходы'!R103</f>
        <v/>
      </c>
      <c r="T41" s="5">
        <f>ДоляПоступлТек*'04_Доходы'!T103+(1-ДоляПоступлТек)*'04_Доходы'!S103</f>
        <v/>
      </c>
      <c r="U41" s="5">
        <f>ДоляПоступлТек*'04_Доходы'!U103+(1-ДоляПоступлТек)*'04_Доходы'!T103</f>
        <v/>
      </c>
      <c r="V41" s="5">
        <f>ДоляПоступлТек*'04_Доходы'!V103+(1-ДоляПоступлТек)*'04_Доходы'!U103</f>
        <v/>
      </c>
      <c r="W41" s="5">
        <f>ДоляПоступлТек*'04_Доходы'!W103+(1-ДоляПоступлТек)*'04_Доходы'!V103</f>
        <v/>
      </c>
      <c r="X41" s="5">
        <f>ДоляПоступлТек*'04_Доходы'!X103+(1-ДоляПоступлТек)*'04_Доходы'!W103</f>
        <v/>
      </c>
      <c r="Y41" s="5">
        <f>ДоляПоступлТек*'04_Доходы'!Y103+(1-ДоляПоступлТек)*'04_Доходы'!X103</f>
        <v/>
      </c>
      <c r="Z41" s="5">
        <f>ДоляПоступлТек*'04_Доходы'!Z103+(1-ДоляПоступлТек)*'04_Доходы'!Y103</f>
        <v/>
      </c>
      <c r="AA41" s="5">
        <f>ДоляПоступлТек*'04_Доходы'!AA103+(1-ДоляПоступлТек)*'04_Доходы'!Z103</f>
        <v/>
      </c>
      <c r="AB41" s="5">
        <f>ДоляПоступлТек*'04_Доходы'!AB103+(1-ДоляПоступлТек)*'04_Доходы'!AA103</f>
        <v/>
      </c>
      <c r="AC41" s="5">
        <f>ДоляПоступлТек*'04_Доходы'!AC103+(1-ДоляПоступлТек)*'04_Доходы'!AB103</f>
        <v/>
      </c>
      <c r="AD41" s="5">
        <f>ДоляПоступлТек*'04_Доходы'!AD103+(1-ДоляПоступлТек)*'04_Доходы'!AC103</f>
        <v/>
      </c>
      <c r="AE41" s="5">
        <f>ДоляПоступлТек*'04_Доходы'!AE103+(1-ДоляПоступлТек)*'04_Доходы'!AD103</f>
        <v/>
      </c>
      <c r="AF41" s="5">
        <f>ДоляПоступлТек*'04_Доходы'!AF103+(1-ДоляПоступлТек)*'04_Доходы'!AE103</f>
        <v/>
      </c>
      <c r="AG41" s="5">
        <f>ДоляПоступлТек*'04_Доходы'!AG103+(1-ДоляПоступлТек)*'04_Доходы'!AF103</f>
        <v/>
      </c>
      <c r="AH41" s="5">
        <f>ДоляПоступлТек*'04_Доходы'!AH103+(1-ДоляПоступлТек)*'04_Доходы'!AG103</f>
        <v/>
      </c>
      <c r="AI41" s="5">
        <f>ДоляПоступлТек*'04_Доходы'!AI103+(1-ДоляПоступлТек)*'04_Доходы'!AH103</f>
        <v/>
      </c>
      <c r="AJ41" s="5">
        <f>ДоляПоступлТек*'04_Доходы'!AJ103+(1-ДоляПоступлТек)*'04_Доходы'!AI103</f>
        <v/>
      </c>
      <c r="AK41" s="5">
        <f>ДоляПоступлТек*'04_Доходы'!AK103+(1-ДоляПоступлТек)*'04_Доходы'!AJ103</f>
        <v/>
      </c>
      <c r="AL41" s="5">
        <f>ДоляПоступлТек*'04_Доходы'!AL103+(1-ДоляПоступлТек)*'04_Доходы'!AK103</f>
        <v/>
      </c>
      <c r="AM41" s="5">
        <f>ДоляПоступлТек*'04_Доходы'!AM103+(1-ДоляПоступлТек)*'04_Доходы'!AL103</f>
        <v/>
      </c>
      <c r="AN41" s="5">
        <f>ДоляПоступлТек*'04_Доходы'!AN103+(1-ДоляПоступлТек)*'04_Доходы'!AM103</f>
        <v/>
      </c>
      <c r="AO41" s="5">
        <f>ДоляПоступлТек*'04_Доходы'!AO103+(1-ДоляПоступлТек)*'04_Доходы'!AN103</f>
        <v/>
      </c>
      <c r="AP41" s="5">
        <f>ДоляПоступлТек*'04_Доходы'!AP103+(1-ДоляПоступлТек)*'04_Доходы'!AO103</f>
        <v/>
      </c>
      <c r="AQ41" s="5">
        <f>ДоляПоступлТек*'04_Доходы'!AQ103+(1-ДоляПоступлТек)*'04_Доходы'!AP103</f>
        <v/>
      </c>
      <c r="AR41" s="5">
        <f>ДоляПоступлТек*'04_Доходы'!AR103+(1-ДоляПоступлТек)*'04_Доходы'!AQ103</f>
        <v/>
      </c>
      <c r="AS41" s="5">
        <f>ДоляПоступлТек*'04_Доходы'!AS103+(1-ДоляПоступлТек)*'04_Доходы'!AR103</f>
        <v/>
      </c>
      <c r="AT41" s="5">
        <f>ДоляПоступлТек*'04_Доходы'!AT103+(1-ДоляПоступлТек)*'04_Доходы'!AS103</f>
        <v/>
      </c>
      <c r="AU41" s="5">
        <f>ДоляПоступлТек*'04_Доходы'!AU103+(1-ДоляПоступлТек)*'04_Доходы'!AT103</f>
        <v/>
      </c>
      <c r="AV41" s="5">
        <f>ДоляПоступлТек*'04_Доходы'!AV103+(1-ДоляПоступлТек)*'04_Доходы'!AU103</f>
        <v/>
      </c>
      <c r="AW41" s="5">
        <f>ДоляПоступлТек*'04_Доходы'!AW103+(1-ДоляПоступлТек)*'04_Доходы'!AV103</f>
        <v/>
      </c>
      <c r="AX41" s="5">
        <f>ДоляПоступлТек*'04_Доходы'!AX103+(1-ДоляПоступлТек)*'04_Доходы'!AW103</f>
        <v/>
      </c>
      <c r="AY41" s="5">
        <f>ДоляПоступлТек*'04_Доходы'!AY103+(1-ДоляПоступлТек)*'04_Доходы'!AX103</f>
        <v/>
      </c>
      <c r="AZ41" s="5">
        <f>ДоляПоступлТек*'04_Доходы'!AZ103+(1-ДоляПоступлТек)*'04_Доходы'!AY103</f>
        <v/>
      </c>
      <c r="BA41" s="5">
        <f>ДоляПоступлТек*'04_Доходы'!BA103+(1-ДоляПоступлТек)*'04_Доходы'!AZ103</f>
        <v/>
      </c>
      <c r="BB41" s="5">
        <f>ДоляПоступлТек*'04_Доходы'!BB103+(1-ДоляПоступлТек)*'04_Доходы'!BA103</f>
        <v/>
      </c>
      <c r="BC41" s="5">
        <f>ДоляПоступлТек*'04_Доходы'!BC103+(1-ДоляПоступлТек)*'04_Доходы'!BB103</f>
        <v/>
      </c>
      <c r="BD41" s="5">
        <f>ДоляПоступлТек*'04_Доходы'!BD103+(1-ДоляПоступлТек)*'04_Доходы'!BC103</f>
        <v/>
      </c>
      <c r="BE41" s="5">
        <f>ДоляПоступлТек*'04_Доходы'!BE103+(1-ДоляПоступлТек)*'04_Доходы'!BD103</f>
        <v/>
      </c>
      <c r="BF41" s="5">
        <f>ДоляПоступлТек*'04_Доходы'!BF103+(1-ДоляПоступлТек)*'04_Доходы'!BE103</f>
        <v/>
      </c>
      <c r="BG41" s="5">
        <f>ДоляПоступлТек*'04_Доходы'!BG103+(1-ДоляПоступлТек)*'04_Доходы'!BF103</f>
        <v/>
      </c>
      <c r="BH41" s="5">
        <f>ДоляПоступлТек*'04_Доходы'!BH103+(1-ДоляПоступлТек)*'04_Доходы'!BG103</f>
        <v/>
      </c>
      <c r="BI41" s="5">
        <f>ДоляПоступлТек*'04_Доходы'!BI103+(1-ДоляПоступлТек)*'04_Доходы'!BH103</f>
        <v/>
      </c>
      <c r="BJ41" s="5">
        <f>ДоляПоступлТек*'04_Доходы'!BJ103+(1-ДоляПоступлТек)*'04_Доходы'!BI103</f>
        <v/>
      </c>
      <c r="BK41" s="5">
        <f>ДоляПоступлТек*'04_Доходы'!BK103+(1-ДоляПоступлТек)*'04_Доходы'!BJ103</f>
        <v/>
      </c>
      <c r="BL41" s="5">
        <f>ДоляПоступлТек*'04_Доходы'!BL103+(1-ДоляПоступлТек)*'04_Доходы'!BK103</f>
        <v/>
      </c>
      <c r="BM41" s="5">
        <f>ДоляПоступлТек*'04_Доходы'!BM103+(1-ДоляПоступлТек)*'04_Доходы'!BL103</f>
        <v/>
      </c>
      <c r="BN41" s="5">
        <f>ДоляПоступлТек*'04_Доходы'!BN103+(1-ДоляПоступлТек)*'04_Доходы'!BM103</f>
        <v/>
      </c>
      <c r="BO41" s="5">
        <f>ДоляПоступлТек*'04_Доходы'!BO103+(1-ДоляПоступлТек)*'04_Доходы'!BN103</f>
        <v/>
      </c>
      <c r="BP41" s="5">
        <f>ДоляПоступлТек*'04_Доходы'!BP103+(1-ДоляПоступлТек)*'04_Доходы'!BO103</f>
        <v/>
      </c>
      <c r="BQ41" s="5">
        <f>ДоляПоступлТек*'04_Доходы'!BQ103+(1-ДоляПоступлТек)*'04_Доходы'!BP103</f>
        <v/>
      </c>
      <c r="BR41" s="5">
        <f>ДоляПоступлТек*'04_Доходы'!BR103+(1-ДоляПоступлТек)*'04_Доходы'!BQ103</f>
        <v/>
      </c>
      <c r="BS41" s="5">
        <f>ДоляПоступлТек*'04_Доходы'!BS103+(1-ДоляПоступлТек)*'04_Доходы'!BR103</f>
        <v/>
      </c>
      <c r="BT41" s="5">
        <f>ДоляПоступлТек*'04_Доходы'!BT103+(1-ДоляПоступлТек)*'04_Доходы'!BS103</f>
        <v/>
      </c>
      <c r="BU41" s="5">
        <f>ДоляПоступлТек*'04_Доходы'!BU103+(1-ДоляПоступлТек)*'04_Доходы'!BT103</f>
        <v/>
      </c>
      <c r="BV41" s="5">
        <f>ДоляПоступлТек*'04_Доходы'!BV103+(1-ДоляПоступлТек)*'04_Доходы'!BU103</f>
        <v/>
      </c>
      <c r="BW41" s="5">
        <f>ДоляПоступлТек*'04_Доходы'!BW103+(1-ДоляПоступлТек)*'04_Доходы'!BV103</f>
        <v/>
      </c>
      <c r="BX41" s="5">
        <f>ДоляПоступлТек*'04_Доходы'!BX103+(1-ДоляПоступлТек)*'04_Доходы'!BW103</f>
        <v/>
      </c>
      <c r="BY41" s="5">
        <f>ДоляПоступлТек*'04_Доходы'!BY103+(1-ДоляПоступлТек)*'04_Доходы'!BX103</f>
        <v/>
      </c>
    </row>
    <row r="42">
      <c r="B42" t="inlineStr">
        <is>
          <t>Поступления: мерч</t>
        </is>
      </c>
      <c r="C42" t="inlineStr">
        <is>
          <t>₽</t>
        </is>
      </c>
      <c r="D42" s="127" t="inlineStr">
        <is>
          <t>С НДС</t>
        </is>
      </c>
      <c r="E42" s="129">
        <f>SUM(L42:W42)</f>
        <v/>
      </c>
      <c r="F42" s="129">
        <f>SUM(X42:AI42)</f>
        <v/>
      </c>
      <c r="G42" s="129">
        <f>SUM(AJ42:AU42)</f>
        <v/>
      </c>
      <c r="H42" s="129">
        <f>SUM(AV42:BG42)</f>
        <v/>
      </c>
      <c r="I42" s="129">
        <f>SUM(BH42:BS42)</f>
        <v/>
      </c>
      <c r="J42" s="6">
        <f>SUM(L42:BS42)</f>
        <v/>
      </c>
      <c r="L42" s="5">
        <f>'04_Доходы'!L131</f>
        <v/>
      </c>
      <c r="M42" s="5">
        <f>'04_Доходы'!M131</f>
        <v/>
      </c>
      <c r="N42" s="5">
        <f>'04_Доходы'!N131</f>
        <v/>
      </c>
      <c r="O42" s="5">
        <f>'04_Доходы'!O131</f>
        <v/>
      </c>
      <c r="P42" s="5">
        <f>'04_Доходы'!P131</f>
        <v/>
      </c>
      <c r="Q42" s="5">
        <f>'04_Доходы'!Q131</f>
        <v/>
      </c>
      <c r="R42" s="5">
        <f>'04_Доходы'!R131</f>
        <v/>
      </c>
      <c r="S42" s="5">
        <f>'04_Доходы'!S131</f>
        <v/>
      </c>
      <c r="T42" s="5">
        <f>'04_Доходы'!T131</f>
        <v/>
      </c>
      <c r="U42" s="5">
        <f>'04_Доходы'!U131</f>
        <v/>
      </c>
      <c r="V42" s="5">
        <f>'04_Доходы'!V131</f>
        <v/>
      </c>
      <c r="W42" s="5">
        <f>'04_Доходы'!W131</f>
        <v/>
      </c>
      <c r="X42" s="5">
        <f>'04_Доходы'!X131</f>
        <v/>
      </c>
      <c r="Y42" s="5">
        <f>'04_Доходы'!Y131</f>
        <v/>
      </c>
      <c r="Z42" s="5">
        <f>'04_Доходы'!Z131</f>
        <v/>
      </c>
      <c r="AA42" s="5">
        <f>'04_Доходы'!AA131</f>
        <v/>
      </c>
      <c r="AB42" s="5">
        <f>'04_Доходы'!AB131</f>
        <v/>
      </c>
      <c r="AC42" s="5">
        <f>'04_Доходы'!AC131</f>
        <v/>
      </c>
      <c r="AD42" s="5">
        <f>'04_Доходы'!AD131</f>
        <v/>
      </c>
      <c r="AE42" s="5">
        <f>'04_Доходы'!AE131</f>
        <v/>
      </c>
      <c r="AF42" s="5">
        <f>'04_Доходы'!AF131</f>
        <v/>
      </c>
      <c r="AG42" s="5">
        <f>'04_Доходы'!AG131</f>
        <v/>
      </c>
      <c r="AH42" s="5">
        <f>'04_Доходы'!AH131</f>
        <v/>
      </c>
      <c r="AI42" s="5">
        <f>'04_Доходы'!AI131</f>
        <v/>
      </c>
      <c r="AJ42" s="5">
        <f>'04_Доходы'!AJ131</f>
        <v/>
      </c>
      <c r="AK42" s="5">
        <f>'04_Доходы'!AK131</f>
        <v/>
      </c>
      <c r="AL42" s="5">
        <f>'04_Доходы'!AL131</f>
        <v/>
      </c>
      <c r="AM42" s="5">
        <f>'04_Доходы'!AM131</f>
        <v/>
      </c>
      <c r="AN42" s="5">
        <f>'04_Доходы'!AN131</f>
        <v/>
      </c>
      <c r="AO42" s="5">
        <f>'04_Доходы'!AO131</f>
        <v/>
      </c>
      <c r="AP42" s="5">
        <f>'04_Доходы'!AP131</f>
        <v/>
      </c>
      <c r="AQ42" s="5">
        <f>'04_Доходы'!AQ131</f>
        <v/>
      </c>
      <c r="AR42" s="5">
        <f>'04_Доходы'!AR131</f>
        <v/>
      </c>
      <c r="AS42" s="5">
        <f>'04_Доходы'!AS131</f>
        <v/>
      </c>
      <c r="AT42" s="5">
        <f>'04_Доходы'!AT131</f>
        <v/>
      </c>
      <c r="AU42" s="5">
        <f>'04_Доходы'!AU131</f>
        <v/>
      </c>
      <c r="AV42" s="5">
        <f>'04_Доходы'!AV131</f>
        <v/>
      </c>
      <c r="AW42" s="5">
        <f>'04_Доходы'!AW131</f>
        <v/>
      </c>
      <c r="AX42" s="5">
        <f>'04_Доходы'!AX131</f>
        <v/>
      </c>
      <c r="AY42" s="5">
        <f>'04_Доходы'!AY131</f>
        <v/>
      </c>
      <c r="AZ42" s="5">
        <f>'04_Доходы'!AZ131</f>
        <v/>
      </c>
      <c r="BA42" s="5">
        <f>'04_Доходы'!BA131</f>
        <v/>
      </c>
      <c r="BB42" s="5">
        <f>'04_Доходы'!BB131</f>
        <v/>
      </c>
      <c r="BC42" s="5">
        <f>'04_Доходы'!BC131</f>
        <v/>
      </c>
      <c r="BD42" s="5">
        <f>'04_Доходы'!BD131</f>
        <v/>
      </c>
      <c r="BE42" s="5">
        <f>'04_Доходы'!BE131</f>
        <v/>
      </c>
      <c r="BF42" s="5">
        <f>'04_Доходы'!BF131</f>
        <v/>
      </c>
      <c r="BG42" s="5">
        <f>'04_Доходы'!BG131</f>
        <v/>
      </c>
      <c r="BH42" s="5">
        <f>'04_Доходы'!BH131</f>
        <v/>
      </c>
      <c r="BI42" s="5">
        <f>'04_Доходы'!BI131</f>
        <v/>
      </c>
      <c r="BJ42" s="5">
        <f>'04_Доходы'!BJ131</f>
        <v/>
      </c>
      <c r="BK42" s="5">
        <f>'04_Доходы'!BK131</f>
        <v/>
      </c>
      <c r="BL42" s="5">
        <f>'04_Доходы'!BL131</f>
        <v/>
      </c>
      <c r="BM42" s="5">
        <f>'04_Доходы'!BM131</f>
        <v/>
      </c>
      <c r="BN42" s="5">
        <f>'04_Доходы'!BN131</f>
        <v/>
      </c>
      <c r="BO42" s="5">
        <f>'04_Доходы'!BO131</f>
        <v/>
      </c>
      <c r="BP42" s="5">
        <f>'04_Доходы'!BP131</f>
        <v/>
      </c>
      <c r="BQ42" s="5">
        <f>'04_Доходы'!BQ131</f>
        <v/>
      </c>
      <c r="BR42" s="5">
        <f>'04_Доходы'!BR131</f>
        <v/>
      </c>
      <c r="BS42" s="5">
        <f>'04_Доходы'!BS131</f>
        <v/>
      </c>
      <c r="BT42" s="5">
        <f>'04_Доходы'!BT131</f>
        <v/>
      </c>
      <c r="BU42" s="5">
        <f>'04_Доходы'!BU131</f>
        <v/>
      </c>
      <c r="BV42" s="5">
        <f>'04_Доходы'!BV131</f>
        <v/>
      </c>
      <c r="BW42" s="5">
        <f>'04_Доходы'!BW131</f>
        <v/>
      </c>
      <c r="BX42" s="5">
        <f>'04_Доходы'!BX131</f>
        <v/>
      </c>
      <c r="BY42" s="5">
        <f>'04_Доходы'!BY131</f>
        <v/>
      </c>
    </row>
    <row r="43">
      <c r="B43" t="inlineStr">
        <is>
          <t>Поступления: лагеря</t>
        </is>
      </c>
      <c r="C43" t="inlineStr">
        <is>
          <t>₽</t>
        </is>
      </c>
      <c r="D43" s="127" t="inlineStr">
        <is>
          <t>Блок отключён</t>
        </is>
      </c>
      <c r="E43" s="129">
        <f>SUM(L43:W43)</f>
        <v/>
      </c>
      <c r="F43" s="129">
        <f>SUM(X43:AI43)</f>
        <v/>
      </c>
      <c r="G43" s="129">
        <f>SUM(AJ43:AU43)</f>
        <v/>
      </c>
      <c r="H43" s="129">
        <f>SUM(AV43:BG43)</f>
        <v/>
      </c>
      <c r="I43" s="129">
        <f>SUM(BH43:BS43)</f>
        <v/>
      </c>
      <c r="J43" s="6">
        <f>SUM(L43:BS43)</f>
        <v/>
      </c>
      <c r="L43" s="5">
        <f>0</f>
        <v/>
      </c>
      <c r="M43" s="5">
        <f>0</f>
        <v/>
      </c>
      <c r="N43" s="5">
        <f>0</f>
        <v/>
      </c>
      <c r="O43" s="5">
        <f>0</f>
        <v/>
      </c>
      <c r="P43" s="5">
        <f>0</f>
        <v/>
      </c>
      <c r="Q43" s="5">
        <f>0</f>
        <v/>
      </c>
      <c r="R43" s="5">
        <f>0</f>
        <v/>
      </c>
      <c r="S43" s="5">
        <f>0</f>
        <v/>
      </c>
      <c r="T43" s="5">
        <f>0</f>
        <v/>
      </c>
      <c r="U43" s="5">
        <f>0</f>
        <v/>
      </c>
      <c r="V43" s="5">
        <f>0</f>
        <v/>
      </c>
      <c r="W43" s="5">
        <f>0</f>
        <v/>
      </c>
      <c r="X43" s="5">
        <f>0</f>
        <v/>
      </c>
      <c r="Y43" s="5">
        <f>0</f>
        <v/>
      </c>
      <c r="Z43" s="5">
        <f>0</f>
        <v/>
      </c>
      <c r="AA43" s="5">
        <f>0</f>
        <v/>
      </c>
      <c r="AB43" s="5">
        <f>0</f>
        <v/>
      </c>
      <c r="AC43" s="5">
        <f>0</f>
        <v/>
      </c>
      <c r="AD43" s="5">
        <f>0</f>
        <v/>
      </c>
      <c r="AE43" s="5">
        <f>0</f>
        <v/>
      </c>
      <c r="AF43" s="5">
        <f>0</f>
        <v/>
      </c>
      <c r="AG43" s="5">
        <f>0</f>
        <v/>
      </c>
      <c r="AH43" s="5">
        <f>0</f>
        <v/>
      </c>
      <c r="AI43" s="5">
        <f>0</f>
        <v/>
      </c>
      <c r="AJ43" s="5">
        <f>0</f>
        <v/>
      </c>
      <c r="AK43" s="5">
        <f>0</f>
        <v/>
      </c>
      <c r="AL43" s="5">
        <f>0</f>
        <v/>
      </c>
      <c r="AM43" s="5">
        <f>0</f>
        <v/>
      </c>
      <c r="AN43" s="5">
        <f>0</f>
        <v/>
      </c>
      <c r="AO43" s="5">
        <f>0</f>
        <v/>
      </c>
      <c r="AP43" s="5">
        <f>0</f>
        <v/>
      </c>
      <c r="AQ43" s="5">
        <f>0</f>
        <v/>
      </c>
      <c r="AR43" s="5">
        <f>0</f>
        <v/>
      </c>
      <c r="AS43" s="5">
        <f>0</f>
        <v/>
      </c>
      <c r="AT43" s="5">
        <f>0</f>
        <v/>
      </c>
      <c r="AU43" s="5">
        <f>0</f>
        <v/>
      </c>
      <c r="AV43" s="5">
        <f>0</f>
        <v/>
      </c>
      <c r="AW43" s="5">
        <f>0</f>
        <v/>
      </c>
      <c r="AX43" s="5">
        <f>0</f>
        <v/>
      </c>
      <c r="AY43" s="5">
        <f>0</f>
        <v/>
      </c>
      <c r="AZ43" s="5">
        <f>0</f>
        <v/>
      </c>
      <c r="BA43" s="5">
        <f>0</f>
        <v/>
      </c>
      <c r="BB43" s="5">
        <f>0</f>
        <v/>
      </c>
      <c r="BC43" s="5">
        <f>0</f>
        <v/>
      </c>
      <c r="BD43" s="5">
        <f>0</f>
        <v/>
      </c>
      <c r="BE43" s="5">
        <f>0</f>
        <v/>
      </c>
      <c r="BF43" s="5">
        <f>0</f>
        <v/>
      </c>
      <c r="BG43" s="5">
        <f>0</f>
        <v/>
      </c>
      <c r="BH43" s="5">
        <f>0</f>
        <v/>
      </c>
      <c r="BI43" s="5">
        <f>0</f>
        <v/>
      </c>
      <c r="BJ43" s="5">
        <f>0</f>
        <v/>
      </c>
      <c r="BK43" s="5">
        <f>0</f>
        <v/>
      </c>
      <c r="BL43" s="5">
        <f>0</f>
        <v/>
      </c>
      <c r="BM43" s="5">
        <f>0</f>
        <v/>
      </c>
      <c r="BN43" s="5">
        <f>0</f>
        <v/>
      </c>
      <c r="BO43" s="5">
        <f>0</f>
        <v/>
      </c>
      <c r="BP43" s="5">
        <f>0</f>
        <v/>
      </c>
      <c r="BQ43" s="5">
        <f>0</f>
        <v/>
      </c>
      <c r="BR43" s="5">
        <f>0</f>
        <v/>
      </c>
      <c r="BS43" s="5">
        <f>0</f>
        <v/>
      </c>
      <c r="BT43" s="5">
        <f>0</f>
        <v/>
      </c>
      <c r="BU43" s="5">
        <f>0</f>
        <v/>
      </c>
      <c r="BV43" s="5">
        <f>0</f>
        <v/>
      </c>
      <c r="BW43" s="5">
        <f>0</f>
        <v/>
      </c>
      <c r="BX43" s="5">
        <f>0</f>
        <v/>
      </c>
      <c r="BY43" s="5">
        <f>0</f>
        <v/>
      </c>
    </row>
    <row r="44">
      <c r="B44" s="7" t="inlineStr">
        <is>
          <t>Поступления — всего</t>
        </is>
      </c>
      <c r="C44" s="7" t="inlineStr">
        <is>
          <t>₽</t>
        </is>
      </c>
      <c r="D44" s="130" t="inlineStr"/>
      <c r="E44" s="131">
        <f>SUM(L44:W44)</f>
        <v/>
      </c>
      <c r="F44" s="131">
        <f>SUM(X44:AI44)</f>
        <v/>
      </c>
      <c r="G44" s="131">
        <f>SUM(AJ44:AU44)</f>
        <v/>
      </c>
      <c r="H44" s="131">
        <f>SUM(AV44:BG44)</f>
        <v/>
      </c>
      <c r="I44" s="131">
        <f>SUM(BH44:BS44)</f>
        <v/>
      </c>
      <c r="J44" s="10">
        <f>SUM(L44:BS44)</f>
        <v/>
      </c>
      <c r="L44" s="9">
        <f>SUM(L40:L43)</f>
        <v/>
      </c>
      <c r="M44" s="9">
        <f>SUM(M40:M43)</f>
        <v/>
      </c>
      <c r="N44" s="9">
        <f>SUM(N40:N43)</f>
        <v/>
      </c>
      <c r="O44" s="9">
        <f>SUM(O40:O43)</f>
        <v/>
      </c>
      <c r="P44" s="9">
        <f>SUM(P40:P43)</f>
        <v/>
      </c>
      <c r="Q44" s="9">
        <f>SUM(Q40:Q43)</f>
        <v/>
      </c>
      <c r="R44" s="9">
        <f>SUM(R40:R43)</f>
        <v/>
      </c>
      <c r="S44" s="9">
        <f>SUM(S40:S43)</f>
        <v/>
      </c>
      <c r="T44" s="9">
        <f>SUM(T40:T43)</f>
        <v/>
      </c>
      <c r="U44" s="9">
        <f>SUM(U40:U43)</f>
        <v/>
      </c>
      <c r="V44" s="9">
        <f>SUM(V40:V43)</f>
        <v/>
      </c>
      <c r="W44" s="9">
        <f>SUM(W40:W43)</f>
        <v/>
      </c>
      <c r="X44" s="9">
        <f>SUM(X40:X43)</f>
        <v/>
      </c>
      <c r="Y44" s="9">
        <f>SUM(Y40:Y43)</f>
        <v/>
      </c>
      <c r="Z44" s="9">
        <f>SUM(Z40:Z43)</f>
        <v/>
      </c>
      <c r="AA44" s="9">
        <f>SUM(AA40:AA43)</f>
        <v/>
      </c>
      <c r="AB44" s="9">
        <f>SUM(AB40:AB43)</f>
        <v/>
      </c>
      <c r="AC44" s="9">
        <f>SUM(AC40:AC43)</f>
        <v/>
      </c>
      <c r="AD44" s="9">
        <f>SUM(AD40:AD43)</f>
        <v/>
      </c>
      <c r="AE44" s="9">
        <f>SUM(AE40:AE43)</f>
        <v/>
      </c>
      <c r="AF44" s="9">
        <f>SUM(AF40:AF43)</f>
        <v/>
      </c>
      <c r="AG44" s="9">
        <f>SUM(AG40:AG43)</f>
        <v/>
      </c>
      <c r="AH44" s="9">
        <f>SUM(AH40:AH43)</f>
        <v/>
      </c>
      <c r="AI44" s="9">
        <f>SUM(AI40:AI43)</f>
        <v/>
      </c>
      <c r="AJ44" s="9">
        <f>SUM(AJ40:AJ43)</f>
        <v/>
      </c>
      <c r="AK44" s="9">
        <f>SUM(AK40:AK43)</f>
        <v/>
      </c>
      <c r="AL44" s="9">
        <f>SUM(AL40:AL43)</f>
        <v/>
      </c>
      <c r="AM44" s="9">
        <f>SUM(AM40:AM43)</f>
        <v/>
      </c>
      <c r="AN44" s="9">
        <f>SUM(AN40:AN43)</f>
        <v/>
      </c>
      <c r="AO44" s="9">
        <f>SUM(AO40:AO43)</f>
        <v/>
      </c>
      <c r="AP44" s="9">
        <f>SUM(AP40:AP43)</f>
        <v/>
      </c>
      <c r="AQ44" s="9">
        <f>SUM(AQ40:AQ43)</f>
        <v/>
      </c>
      <c r="AR44" s="9">
        <f>SUM(AR40:AR43)</f>
        <v/>
      </c>
      <c r="AS44" s="9">
        <f>SUM(AS40:AS43)</f>
        <v/>
      </c>
      <c r="AT44" s="9">
        <f>SUM(AT40:AT43)</f>
        <v/>
      </c>
      <c r="AU44" s="9">
        <f>SUM(AU40:AU43)</f>
        <v/>
      </c>
      <c r="AV44" s="9">
        <f>SUM(AV40:AV43)</f>
        <v/>
      </c>
      <c r="AW44" s="9">
        <f>SUM(AW40:AW43)</f>
        <v/>
      </c>
      <c r="AX44" s="9">
        <f>SUM(AX40:AX43)</f>
        <v/>
      </c>
      <c r="AY44" s="9">
        <f>SUM(AY40:AY43)</f>
        <v/>
      </c>
      <c r="AZ44" s="9">
        <f>SUM(AZ40:AZ43)</f>
        <v/>
      </c>
      <c r="BA44" s="9">
        <f>SUM(BA40:BA43)</f>
        <v/>
      </c>
      <c r="BB44" s="9">
        <f>SUM(BB40:BB43)</f>
        <v/>
      </c>
      <c r="BC44" s="9">
        <f>SUM(BC40:BC43)</f>
        <v/>
      </c>
      <c r="BD44" s="9">
        <f>SUM(BD40:BD43)</f>
        <v/>
      </c>
      <c r="BE44" s="9">
        <f>SUM(BE40:BE43)</f>
        <v/>
      </c>
      <c r="BF44" s="9">
        <f>SUM(BF40:BF43)</f>
        <v/>
      </c>
      <c r="BG44" s="9">
        <f>SUM(BG40:BG43)</f>
        <v/>
      </c>
      <c r="BH44" s="9">
        <f>SUM(BH40:BH43)</f>
        <v/>
      </c>
      <c r="BI44" s="9">
        <f>SUM(BI40:BI43)</f>
        <v/>
      </c>
      <c r="BJ44" s="9">
        <f>SUM(BJ40:BJ43)</f>
        <v/>
      </c>
      <c r="BK44" s="9">
        <f>SUM(BK40:BK43)</f>
        <v/>
      </c>
      <c r="BL44" s="9">
        <f>SUM(BL40:BL43)</f>
        <v/>
      </c>
      <c r="BM44" s="9">
        <f>SUM(BM40:BM43)</f>
        <v/>
      </c>
      <c r="BN44" s="9">
        <f>SUM(BN40:BN43)</f>
        <v/>
      </c>
      <c r="BO44" s="9">
        <f>SUM(BO40:BO43)</f>
        <v/>
      </c>
      <c r="BP44" s="9">
        <f>SUM(BP40:BP43)</f>
        <v/>
      </c>
      <c r="BQ44" s="9">
        <f>SUM(BQ40:BQ43)</f>
        <v/>
      </c>
      <c r="BR44" s="9">
        <f>SUM(BR40:BR43)</f>
        <v/>
      </c>
      <c r="BS44" s="9">
        <f>SUM(BS40:BS43)</f>
        <v/>
      </c>
      <c r="BT44" s="9">
        <f>SUM(BT40:BT43)</f>
        <v/>
      </c>
      <c r="BU44" s="9">
        <f>SUM(BU40:BU43)</f>
        <v/>
      </c>
      <c r="BV44" s="9">
        <f>SUM(BV40:BV43)</f>
        <v/>
      </c>
      <c r="BW44" s="9">
        <f>SUM(BW40:BW43)</f>
        <v/>
      </c>
      <c r="BX44" s="9">
        <f>SUM(BX40:BX43)</f>
        <v/>
      </c>
      <c r="BY44" s="9">
        <f>SUM(BY40:BY43)</f>
        <v/>
      </c>
    </row>
    <row r="45">
      <c r="B45" t="inlineStr">
        <is>
          <t>Оплата: CAPEX</t>
        </is>
      </c>
      <c r="C45" t="inlineStr">
        <is>
          <t>₽</t>
        </is>
      </c>
      <c r="D45" s="127" t="inlineStr"/>
      <c r="E45" s="129">
        <f>SUM(L45:W45)</f>
        <v/>
      </c>
      <c r="F45" s="129">
        <f>SUM(X45:AI45)</f>
        <v/>
      </c>
      <c r="G45" s="129">
        <f>SUM(AJ45:AU45)</f>
        <v/>
      </c>
      <c r="H45" s="129">
        <f>SUM(AV45:BG45)</f>
        <v/>
      </c>
      <c r="I45" s="129">
        <f>SUM(BH45:BS45)</f>
        <v/>
      </c>
      <c r="J45" s="6">
        <f>SUM(L45:BS45)</f>
        <v/>
      </c>
      <c r="L45" s="5">
        <f>'06_Деньги'!L22</f>
        <v/>
      </c>
      <c r="M45" s="5">
        <f>'06_Деньги'!M22</f>
        <v/>
      </c>
      <c r="N45" s="5">
        <f>'06_Деньги'!N22</f>
        <v/>
      </c>
      <c r="O45" s="5">
        <f>'06_Деньги'!O22</f>
        <v/>
      </c>
      <c r="P45" s="5">
        <f>'06_Деньги'!P22</f>
        <v/>
      </c>
      <c r="Q45" s="5">
        <f>'06_Деньги'!Q22</f>
        <v/>
      </c>
      <c r="R45" s="5">
        <f>'06_Деньги'!R22</f>
        <v/>
      </c>
      <c r="S45" s="5">
        <f>'06_Деньги'!S22</f>
        <v/>
      </c>
      <c r="T45" s="5">
        <f>'06_Деньги'!T22</f>
        <v/>
      </c>
      <c r="U45" s="5">
        <f>'06_Деньги'!U22</f>
        <v/>
      </c>
      <c r="V45" s="5">
        <f>'06_Деньги'!V22</f>
        <v/>
      </c>
      <c r="W45" s="5">
        <f>'06_Деньги'!W22</f>
        <v/>
      </c>
      <c r="X45" s="5">
        <f>'06_Деньги'!X22</f>
        <v/>
      </c>
      <c r="Y45" s="5">
        <f>'06_Деньги'!Y22</f>
        <v/>
      </c>
      <c r="Z45" s="5">
        <f>'06_Деньги'!Z22</f>
        <v/>
      </c>
      <c r="AA45" s="5">
        <f>'06_Деньги'!AA22</f>
        <v/>
      </c>
      <c r="AB45" s="5">
        <f>'06_Деньги'!AB22</f>
        <v/>
      </c>
      <c r="AC45" s="5">
        <f>'06_Деньги'!AC22</f>
        <v/>
      </c>
      <c r="AD45" s="5">
        <f>'06_Деньги'!AD22</f>
        <v/>
      </c>
      <c r="AE45" s="5">
        <f>'06_Деньги'!AE22</f>
        <v/>
      </c>
      <c r="AF45" s="5">
        <f>'06_Деньги'!AF22</f>
        <v/>
      </c>
      <c r="AG45" s="5">
        <f>'06_Деньги'!AG22</f>
        <v/>
      </c>
      <c r="AH45" s="5">
        <f>'06_Деньги'!AH22</f>
        <v/>
      </c>
      <c r="AI45" s="5">
        <f>'06_Деньги'!AI22</f>
        <v/>
      </c>
      <c r="AJ45" s="5">
        <f>'06_Деньги'!AJ22</f>
        <v/>
      </c>
      <c r="AK45" s="5">
        <f>'06_Деньги'!AK22</f>
        <v/>
      </c>
      <c r="AL45" s="5">
        <f>'06_Деньги'!AL22</f>
        <v/>
      </c>
      <c r="AM45" s="5">
        <f>'06_Деньги'!AM22</f>
        <v/>
      </c>
      <c r="AN45" s="5">
        <f>'06_Деньги'!AN22</f>
        <v/>
      </c>
      <c r="AO45" s="5">
        <f>'06_Деньги'!AO22</f>
        <v/>
      </c>
      <c r="AP45" s="5">
        <f>'06_Деньги'!AP22</f>
        <v/>
      </c>
      <c r="AQ45" s="5">
        <f>'06_Деньги'!AQ22</f>
        <v/>
      </c>
      <c r="AR45" s="5">
        <f>'06_Деньги'!AR22</f>
        <v/>
      </c>
      <c r="AS45" s="5">
        <f>'06_Деньги'!AS22</f>
        <v/>
      </c>
      <c r="AT45" s="5">
        <f>'06_Деньги'!AT22</f>
        <v/>
      </c>
      <c r="AU45" s="5">
        <f>'06_Деньги'!AU22</f>
        <v/>
      </c>
      <c r="AV45" s="5">
        <f>'06_Деньги'!AV22</f>
        <v/>
      </c>
      <c r="AW45" s="5">
        <f>'06_Деньги'!AW22</f>
        <v/>
      </c>
      <c r="AX45" s="5">
        <f>'06_Деньги'!AX22</f>
        <v/>
      </c>
      <c r="AY45" s="5">
        <f>'06_Деньги'!AY22</f>
        <v/>
      </c>
      <c r="AZ45" s="5">
        <f>'06_Деньги'!AZ22</f>
        <v/>
      </c>
      <c r="BA45" s="5">
        <f>'06_Деньги'!BA22</f>
        <v/>
      </c>
      <c r="BB45" s="5">
        <f>'06_Деньги'!BB22</f>
        <v/>
      </c>
      <c r="BC45" s="5">
        <f>'06_Деньги'!BC22</f>
        <v/>
      </c>
      <c r="BD45" s="5">
        <f>'06_Деньги'!BD22</f>
        <v/>
      </c>
      <c r="BE45" s="5">
        <f>'06_Деньги'!BE22</f>
        <v/>
      </c>
      <c r="BF45" s="5">
        <f>'06_Деньги'!BF22</f>
        <v/>
      </c>
      <c r="BG45" s="5">
        <f>'06_Деньги'!BG22</f>
        <v/>
      </c>
      <c r="BH45" s="5">
        <f>'06_Деньги'!BH22</f>
        <v/>
      </c>
      <c r="BI45" s="5">
        <f>'06_Деньги'!BI22</f>
        <v/>
      </c>
      <c r="BJ45" s="5">
        <f>'06_Деньги'!BJ22</f>
        <v/>
      </c>
      <c r="BK45" s="5">
        <f>'06_Деньги'!BK22</f>
        <v/>
      </c>
      <c r="BL45" s="5">
        <f>'06_Деньги'!BL22</f>
        <v/>
      </c>
      <c r="BM45" s="5">
        <f>'06_Деньги'!BM22</f>
        <v/>
      </c>
      <c r="BN45" s="5">
        <f>'06_Деньги'!BN22</f>
        <v/>
      </c>
      <c r="BO45" s="5">
        <f>'06_Деньги'!BO22</f>
        <v/>
      </c>
      <c r="BP45" s="5">
        <f>'06_Деньги'!BP22</f>
        <v/>
      </c>
      <c r="BQ45" s="5">
        <f>'06_Деньги'!BQ22</f>
        <v/>
      </c>
      <c r="BR45" s="5">
        <f>'06_Деньги'!BR22</f>
        <v/>
      </c>
      <c r="BS45" s="5">
        <f>'06_Деньги'!BS22</f>
        <v/>
      </c>
      <c r="BT45" s="5">
        <f>'06_Деньги'!BT22</f>
        <v/>
      </c>
      <c r="BU45" s="5">
        <f>'06_Деньги'!BU22</f>
        <v/>
      </c>
      <c r="BV45" s="5">
        <f>'06_Деньги'!BV22</f>
        <v/>
      </c>
      <c r="BW45" s="5">
        <f>'06_Деньги'!BW22</f>
        <v/>
      </c>
      <c r="BX45" s="5">
        <f>'06_Деньги'!BX22</f>
        <v/>
      </c>
      <c r="BY45" s="5">
        <f>'06_Деньги'!BY22</f>
        <v/>
      </c>
    </row>
    <row r="46">
      <c r="B46" t="inlineStr">
        <is>
          <t>Оплата: логистика мерча</t>
        </is>
      </c>
      <c r="C46" t="inlineStr">
        <is>
          <t>₽</t>
        </is>
      </c>
      <c r="D46" s="127" t="inlineStr"/>
      <c r="E46" s="129">
        <f>SUM(L46:W46)</f>
        <v/>
      </c>
      <c r="F46" s="129">
        <f>SUM(X46:AI46)</f>
        <v/>
      </c>
      <c r="G46" s="129">
        <f>SUM(AJ46:AU46)</f>
        <v/>
      </c>
      <c r="H46" s="129">
        <f>SUM(AV46:BG46)</f>
        <v/>
      </c>
      <c r="I46" s="129">
        <f>SUM(BH46:BS46)</f>
        <v/>
      </c>
      <c r="J46" s="6">
        <f>SUM(L46:BS46)</f>
        <v/>
      </c>
      <c r="L46" s="5">
        <f>'04_Доходы'!L134</f>
        <v/>
      </c>
      <c r="M46" s="5">
        <f>'04_Доходы'!M134</f>
        <v/>
      </c>
      <c r="N46" s="5">
        <f>'04_Доходы'!N134</f>
        <v/>
      </c>
      <c r="O46" s="5">
        <f>'04_Доходы'!O134</f>
        <v/>
      </c>
      <c r="P46" s="5">
        <f>'04_Доходы'!P134</f>
        <v/>
      </c>
      <c r="Q46" s="5">
        <f>'04_Доходы'!Q134</f>
        <v/>
      </c>
      <c r="R46" s="5">
        <f>'04_Доходы'!R134</f>
        <v/>
      </c>
      <c r="S46" s="5">
        <f>'04_Доходы'!S134</f>
        <v/>
      </c>
      <c r="T46" s="5">
        <f>'04_Доходы'!T134</f>
        <v/>
      </c>
      <c r="U46" s="5">
        <f>'04_Доходы'!U134</f>
        <v/>
      </c>
      <c r="V46" s="5">
        <f>'04_Доходы'!V134</f>
        <v/>
      </c>
      <c r="W46" s="5">
        <f>'04_Доходы'!W134</f>
        <v/>
      </c>
      <c r="X46" s="5">
        <f>'04_Доходы'!X134</f>
        <v/>
      </c>
      <c r="Y46" s="5">
        <f>'04_Доходы'!Y134</f>
        <v/>
      </c>
      <c r="Z46" s="5">
        <f>'04_Доходы'!Z134</f>
        <v/>
      </c>
      <c r="AA46" s="5">
        <f>'04_Доходы'!AA134</f>
        <v/>
      </c>
      <c r="AB46" s="5">
        <f>'04_Доходы'!AB134</f>
        <v/>
      </c>
      <c r="AC46" s="5">
        <f>'04_Доходы'!AC134</f>
        <v/>
      </c>
      <c r="AD46" s="5">
        <f>'04_Доходы'!AD134</f>
        <v/>
      </c>
      <c r="AE46" s="5">
        <f>'04_Доходы'!AE134</f>
        <v/>
      </c>
      <c r="AF46" s="5">
        <f>'04_Доходы'!AF134</f>
        <v/>
      </c>
      <c r="AG46" s="5">
        <f>'04_Доходы'!AG134</f>
        <v/>
      </c>
      <c r="AH46" s="5">
        <f>'04_Доходы'!AH134</f>
        <v/>
      </c>
      <c r="AI46" s="5">
        <f>'04_Доходы'!AI134</f>
        <v/>
      </c>
      <c r="AJ46" s="5">
        <f>'04_Доходы'!AJ134</f>
        <v/>
      </c>
      <c r="AK46" s="5">
        <f>'04_Доходы'!AK134</f>
        <v/>
      </c>
      <c r="AL46" s="5">
        <f>'04_Доходы'!AL134</f>
        <v/>
      </c>
      <c r="AM46" s="5">
        <f>'04_Доходы'!AM134</f>
        <v/>
      </c>
      <c r="AN46" s="5">
        <f>'04_Доходы'!AN134</f>
        <v/>
      </c>
      <c r="AO46" s="5">
        <f>'04_Доходы'!AO134</f>
        <v/>
      </c>
      <c r="AP46" s="5">
        <f>'04_Доходы'!AP134</f>
        <v/>
      </c>
      <c r="AQ46" s="5">
        <f>'04_Доходы'!AQ134</f>
        <v/>
      </c>
      <c r="AR46" s="5">
        <f>'04_Доходы'!AR134</f>
        <v/>
      </c>
      <c r="AS46" s="5">
        <f>'04_Доходы'!AS134</f>
        <v/>
      </c>
      <c r="AT46" s="5">
        <f>'04_Доходы'!AT134</f>
        <v/>
      </c>
      <c r="AU46" s="5">
        <f>'04_Доходы'!AU134</f>
        <v/>
      </c>
      <c r="AV46" s="5">
        <f>'04_Доходы'!AV134</f>
        <v/>
      </c>
      <c r="AW46" s="5">
        <f>'04_Доходы'!AW134</f>
        <v/>
      </c>
      <c r="AX46" s="5">
        <f>'04_Доходы'!AX134</f>
        <v/>
      </c>
      <c r="AY46" s="5">
        <f>'04_Доходы'!AY134</f>
        <v/>
      </c>
      <c r="AZ46" s="5">
        <f>'04_Доходы'!AZ134</f>
        <v/>
      </c>
      <c r="BA46" s="5">
        <f>'04_Доходы'!BA134</f>
        <v/>
      </c>
      <c r="BB46" s="5">
        <f>'04_Доходы'!BB134</f>
        <v/>
      </c>
      <c r="BC46" s="5">
        <f>'04_Доходы'!BC134</f>
        <v/>
      </c>
      <c r="BD46" s="5">
        <f>'04_Доходы'!BD134</f>
        <v/>
      </c>
      <c r="BE46" s="5">
        <f>'04_Доходы'!BE134</f>
        <v/>
      </c>
      <c r="BF46" s="5">
        <f>'04_Доходы'!BF134</f>
        <v/>
      </c>
      <c r="BG46" s="5">
        <f>'04_Доходы'!BG134</f>
        <v/>
      </c>
      <c r="BH46" s="5">
        <f>'04_Доходы'!BH134</f>
        <v/>
      </c>
      <c r="BI46" s="5">
        <f>'04_Доходы'!BI134</f>
        <v/>
      </c>
      <c r="BJ46" s="5">
        <f>'04_Доходы'!BJ134</f>
        <v/>
      </c>
      <c r="BK46" s="5">
        <f>'04_Доходы'!BK134</f>
        <v/>
      </c>
      <c r="BL46" s="5">
        <f>'04_Доходы'!BL134</f>
        <v/>
      </c>
      <c r="BM46" s="5">
        <f>'04_Доходы'!BM134</f>
        <v/>
      </c>
      <c r="BN46" s="5">
        <f>'04_Доходы'!BN134</f>
        <v/>
      </c>
      <c r="BO46" s="5">
        <f>'04_Доходы'!BO134</f>
        <v/>
      </c>
      <c r="BP46" s="5">
        <f>'04_Доходы'!BP134</f>
        <v/>
      </c>
      <c r="BQ46" s="5">
        <f>'04_Доходы'!BQ134</f>
        <v/>
      </c>
      <c r="BR46" s="5">
        <f>'04_Доходы'!BR134</f>
        <v/>
      </c>
      <c r="BS46" s="5">
        <f>'04_Доходы'!BS134</f>
        <v/>
      </c>
      <c r="BT46" s="5">
        <f>'04_Доходы'!BT134</f>
        <v/>
      </c>
      <c r="BU46" s="5">
        <f>'04_Доходы'!BU134</f>
        <v/>
      </c>
      <c r="BV46" s="5">
        <f>'04_Доходы'!BV134</f>
        <v/>
      </c>
      <c r="BW46" s="5">
        <f>'04_Доходы'!BW134</f>
        <v/>
      </c>
      <c r="BX46" s="5">
        <f>'04_Доходы'!BX134</f>
        <v/>
      </c>
      <c r="BY46" s="5">
        <f>'04_Доходы'!BY134</f>
        <v/>
      </c>
    </row>
    <row r="47">
      <c r="B47" t="inlineStr">
        <is>
          <t>Оплата: поставщики и OPEX</t>
        </is>
      </c>
      <c r="C47" t="inlineStr">
        <is>
          <t>₽</t>
        </is>
      </c>
      <c r="D47" s="127" t="inlineStr">
        <is>
          <t>Кроме ФОТ: он платится сразу. Половина в текущем месяце, половина в следующем</t>
        </is>
      </c>
      <c r="E47" s="129">
        <f>SUM(L47:W47)</f>
        <v/>
      </c>
      <c r="F47" s="129">
        <f>SUM(X47:AI47)</f>
        <v/>
      </c>
      <c r="G47" s="129">
        <f>SUM(AJ47:AU47)</f>
        <v/>
      </c>
      <c r="H47" s="129">
        <f>SUM(AV47:BG47)</f>
        <v/>
      </c>
      <c r="I47" s="129">
        <f>SUM(BH47:BS47)</f>
        <v/>
      </c>
      <c r="J47" s="6">
        <f>SUM(L47:BS47)</f>
        <v/>
      </c>
      <c r="L47" s="5">
        <f>ДоляОплатыТек*('05_Расходы'!$L44-'05_Расходы'!$L30+'06_Деньги'!$L10)</f>
        <v/>
      </c>
      <c r="M47" s="5">
        <f>ДоляОплатыТек*('05_Расходы'!M44-'05_Расходы'!M30+'06_Деньги'!M10)+(1-ДоляОплатыТек)*('05_Расходы'!L44-'05_Расходы'!L30+'06_Деньги'!L10)</f>
        <v/>
      </c>
      <c r="N47" s="5">
        <f>ДоляОплатыТек*('05_Расходы'!N44-'05_Расходы'!N30+'06_Деньги'!N10)+(1-ДоляОплатыТек)*('05_Расходы'!M44-'05_Расходы'!M30+'06_Деньги'!M10)</f>
        <v/>
      </c>
      <c r="O47" s="5">
        <f>ДоляОплатыТек*('05_Расходы'!O44-'05_Расходы'!O30+'06_Деньги'!O10)+(1-ДоляОплатыТек)*('05_Расходы'!N44-'05_Расходы'!N30+'06_Деньги'!N10)</f>
        <v/>
      </c>
      <c r="P47" s="5">
        <f>ДоляОплатыТек*('05_Расходы'!P44-'05_Расходы'!P30+'06_Деньги'!P10)+(1-ДоляОплатыТек)*('05_Расходы'!O44-'05_Расходы'!O30+'06_Деньги'!O10)</f>
        <v/>
      </c>
      <c r="Q47" s="5">
        <f>ДоляОплатыТек*('05_Расходы'!Q44-'05_Расходы'!Q30+'06_Деньги'!Q10)+(1-ДоляОплатыТек)*('05_Расходы'!P44-'05_Расходы'!P30+'06_Деньги'!P10)</f>
        <v/>
      </c>
      <c r="R47" s="5">
        <f>ДоляОплатыТек*('05_Расходы'!R44-'05_Расходы'!R30+'06_Деньги'!R10)+(1-ДоляОплатыТек)*('05_Расходы'!Q44-'05_Расходы'!Q30+'06_Деньги'!Q10)</f>
        <v/>
      </c>
      <c r="S47" s="5">
        <f>ДоляОплатыТек*('05_Расходы'!S44-'05_Расходы'!S30+'06_Деньги'!S10)+(1-ДоляОплатыТек)*('05_Расходы'!R44-'05_Расходы'!R30+'06_Деньги'!R10)</f>
        <v/>
      </c>
      <c r="T47" s="5">
        <f>ДоляОплатыТек*('05_Расходы'!T44-'05_Расходы'!T30+'06_Деньги'!T10)+(1-ДоляОплатыТек)*('05_Расходы'!S44-'05_Расходы'!S30+'06_Деньги'!S10)</f>
        <v/>
      </c>
      <c r="U47" s="5">
        <f>ДоляОплатыТек*('05_Расходы'!U44-'05_Расходы'!U30+'06_Деньги'!U10)+(1-ДоляОплатыТек)*('05_Расходы'!T44-'05_Расходы'!T30+'06_Деньги'!T10)</f>
        <v/>
      </c>
      <c r="V47" s="5">
        <f>ДоляОплатыТек*('05_Расходы'!V44-'05_Расходы'!V30+'06_Деньги'!V10)+(1-ДоляОплатыТек)*('05_Расходы'!U44-'05_Расходы'!U30+'06_Деньги'!U10)</f>
        <v/>
      </c>
      <c r="W47" s="5">
        <f>ДоляОплатыТек*('05_Расходы'!W44-'05_Расходы'!W30+'06_Деньги'!W10)+(1-ДоляОплатыТек)*('05_Расходы'!V44-'05_Расходы'!V30+'06_Деньги'!V10)</f>
        <v/>
      </c>
      <c r="X47" s="5">
        <f>ДоляОплатыТек*('05_Расходы'!X44-'05_Расходы'!X30+'06_Деньги'!X10)+(1-ДоляОплатыТек)*('05_Расходы'!W44-'05_Расходы'!W30+'06_Деньги'!W10)</f>
        <v/>
      </c>
      <c r="Y47" s="5">
        <f>ДоляОплатыТек*('05_Расходы'!Y44-'05_Расходы'!Y30+'06_Деньги'!Y10)+(1-ДоляОплатыТек)*('05_Расходы'!X44-'05_Расходы'!X30+'06_Деньги'!X10)</f>
        <v/>
      </c>
      <c r="Z47" s="5">
        <f>ДоляОплатыТек*('05_Расходы'!Z44-'05_Расходы'!Z30+'06_Деньги'!Z10)+(1-ДоляОплатыТек)*('05_Расходы'!Y44-'05_Расходы'!Y30+'06_Деньги'!Y10)</f>
        <v/>
      </c>
      <c r="AA47" s="5">
        <f>ДоляОплатыТек*('05_Расходы'!AA44-'05_Расходы'!AA30+'06_Деньги'!AA10)+(1-ДоляОплатыТек)*('05_Расходы'!Z44-'05_Расходы'!Z30+'06_Деньги'!Z10)</f>
        <v/>
      </c>
      <c r="AB47" s="5">
        <f>ДоляОплатыТек*('05_Расходы'!AB44-'05_Расходы'!AB30+'06_Деньги'!AB10)+(1-ДоляОплатыТек)*('05_Расходы'!AA44-'05_Расходы'!AA30+'06_Деньги'!AA10)</f>
        <v/>
      </c>
      <c r="AC47" s="5">
        <f>ДоляОплатыТек*('05_Расходы'!AC44-'05_Расходы'!AC30+'06_Деньги'!AC10)+(1-ДоляОплатыТек)*('05_Расходы'!AB44-'05_Расходы'!AB30+'06_Деньги'!AB10)</f>
        <v/>
      </c>
      <c r="AD47" s="5">
        <f>ДоляОплатыТек*('05_Расходы'!AD44-'05_Расходы'!AD30+'06_Деньги'!AD10)+(1-ДоляОплатыТек)*('05_Расходы'!AC44-'05_Расходы'!AC30+'06_Деньги'!AC10)</f>
        <v/>
      </c>
      <c r="AE47" s="5">
        <f>ДоляОплатыТек*('05_Расходы'!AE44-'05_Расходы'!AE30+'06_Деньги'!AE10)+(1-ДоляОплатыТек)*('05_Расходы'!AD44-'05_Расходы'!AD30+'06_Деньги'!AD10)</f>
        <v/>
      </c>
      <c r="AF47" s="5">
        <f>ДоляОплатыТек*('05_Расходы'!AF44-'05_Расходы'!AF30+'06_Деньги'!AF10)+(1-ДоляОплатыТек)*('05_Расходы'!AE44-'05_Расходы'!AE30+'06_Деньги'!AE10)</f>
        <v/>
      </c>
      <c r="AG47" s="5">
        <f>ДоляОплатыТек*('05_Расходы'!AG44-'05_Расходы'!AG30+'06_Деньги'!AG10)+(1-ДоляОплатыТек)*('05_Расходы'!AF44-'05_Расходы'!AF30+'06_Деньги'!AF10)</f>
        <v/>
      </c>
      <c r="AH47" s="5">
        <f>ДоляОплатыТек*('05_Расходы'!AH44-'05_Расходы'!AH30+'06_Деньги'!AH10)+(1-ДоляОплатыТек)*('05_Расходы'!AG44-'05_Расходы'!AG30+'06_Деньги'!AG10)</f>
        <v/>
      </c>
      <c r="AI47" s="5">
        <f>ДоляОплатыТек*('05_Расходы'!AI44-'05_Расходы'!AI30+'06_Деньги'!AI10)+(1-ДоляОплатыТек)*('05_Расходы'!AH44-'05_Расходы'!AH30+'06_Деньги'!AH10)</f>
        <v/>
      </c>
      <c r="AJ47" s="5">
        <f>ДоляОплатыТек*('05_Расходы'!AJ44-'05_Расходы'!AJ30+'06_Деньги'!AJ10)+(1-ДоляОплатыТек)*('05_Расходы'!AI44-'05_Расходы'!AI30+'06_Деньги'!AI10)</f>
        <v/>
      </c>
      <c r="AK47" s="5">
        <f>ДоляОплатыТек*('05_Расходы'!AK44-'05_Расходы'!AK30+'06_Деньги'!AK10)+(1-ДоляОплатыТек)*('05_Расходы'!AJ44-'05_Расходы'!AJ30+'06_Деньги'!AJ10)</f>
        <v/>
      </c>
      <c r="AL47" s="5">
        <f>ДоляОплатыТек*('05_Расходы'!AL44-'05_Расходы'!AL30+'06_Деньги'!AL10)+(1-ДоляОплатыТек)*('05_Расходы'!AK44-'05_Расходы'!AK30+'06_Деньги'!AK10)</f>
        <v/>
      </c>
      <c r="AM47" s="5">
        <f>ДоляОплатыТек*('05_Расходы'!AM44-'05_Расходы'!AM30+'06_Деньги'!AM10)+(1-ДоляОплатыТек)*('05_Расходы'!AL44-'05_Расходы'!AL30+'06_Деньги'!AL10)</f>
        <v/>
      </c>
      <c r="AN47" s="5">
        <f>ДоляОплатыТек*('05_Расходы'!AN44-'05_Расходы'!AN30+'06_Деньги'!AN10)+(1-ДоляОплатыТек)*('05_Расходы'!AM44-'05_Расходы'!AM30+'06_Деньги'!AM10)</f>
        <v/>
      </c>
      <c r="AO47" s="5">
        <f>ДоляОплатыТек*('05_Расходы'!AO44-'05_Расходы'!AO30+'06_Деньги'!AO10)+(1-ДоляОплатыТек)*('05_Расходы'!AN44-'05_Расходы'!AN30+'06_Деньги'!AN10)</f>
        <v/>
      </c>
      <c r="AP47" s="5">
        <f>ДоляОплатыТек*('05_Расходы'!AP44-'05_Расходы'!AP30+'06_Деньги'!AP10)+(1-ДоляОплатыТек)*('05_Расходы'!AO44-'05_Расходы'!AO30+'06_Деньги'!AO10)</f>
        <v/>
      </c>
      <c r="AQ47" s="5">
        <f>ДоляОплатыТек*('05_Расходы'!AQ44-'05_Расходы'!AQ30+'06_Деньги'!AQ10)+(1-ДоляОплатыТек)*('05_Расходы'!AP44-'05_Расходы'!AP30+'06_Деньги'!AP10)</f>
        <v/>
      </c>
      <c r="AR47" s="5">
        <f>ДоляОплатыТек*('05_Расходы'!AR44-'05_Расходы'!AR30+'06_Деньги'!AR10)+(1-ДоляОплатыТек)*('05_Расходы'!AQ44-'05_Расходы'!AQ30+'06_Деньги'!AQ10)</f>
        <v/>
      </c>
      <c r="AS47" s="5">
        <f>ДоляОплатыТек*('05_Расходы'!AS44-'05_Расходы'!AS30+'06_Деньги'!AS10)+(1-ДоляОплатыТек)*('05_Расходы'!AR44-'05_Расходы'!AR30+'06_Деньги'!AR10)</f>
        <v/>
      </c>
      <c r="AT47" s="5">
        <f>ДоляОплатыТек*('05_Расходы'!AT44-'05_Расходы'!AT30+'06_Деньги'!AT10)+(1-ДоляОплатыТек)*('05_Расходы'!AS44-'05_Расходы'!AS30+'06_Деньги'!AS10)</f>
        <v/>
      </c>
      <c r="AU47" s="5">
        <f>ДоляОплатыТек*('05_Расходы'!AU44-'05_Расходы'!AU30+'06_Деньги'!AU10)+(1-ДоляОплатыТек)*('05_Расходы'!AT44-'05_Расходы'!AT30+'06_Деньги'!AT10)</f>
        <v/>
      </c>
      <c r="AV47" s="5">
        <f>ДоляОплатыТек*('05_Расходы'!AV44-'05_Расходы'!AV30+'06_Деньги'!AV10)+(1-ДоляОплатыТек)*('05_Расходы'!AU44-'05_Расходы'!AU30+'06_Деньги'!AU10)</f>
        <v/>
      </c>
      <c r="AW47" s="5">
        <f>ДоляОплатыТек*('05_Расходы'!AW44-'05_Расходы'!AW30+'06_Деньги'!AW10)+(1-ДоляОплатыТек)*('05_Расходы'!AV44-'05_Расходы'!AV30+'06_Деньги'!AV10)</f>
        <v/>
      </c>
      <c r="AX47" s="5">
        <f>ДоляОплатыТек*('05_Расходы'!AX44-'05_Расходы'!AX30+'06_Деньги'!AX10)+(1-ДоляОплатыТек)*('05_Расходы'!AW44-'05_Расходы'!AW30+'06_Деньги'!AW10)</f>
        <v/>
      </c>
      <c r="AY47" s="5">
        <f>ДоляОплатыТек*('05_Расходы'!AY44-'05_Расходы'!AY30+'06_Деньги'!AY10)+(1-ДоляОплатыТек)*('05_Расходы'!AX44-'05_Расходы'!AX30+'06_Деньги'!AX10)</f>
        <v/>
      </c>
      <c r="AZ47" s="5">
        <f>ДоляОплатыТек*('05_Расходы'!AZ44-'05_Расходы'!AZ30+'06_Деньги'!AZ10)+(1-ДоляОплатыТек)*('05_Расходы'!AY44-'05_Расходы'!AY30+'06_Деньги'!AY10)</f>
        <v/>
      </c>
      <c r="BA47" s="5">
        <f>ДоляОплатыТек*('05_Расходы'!BA44-'05_Расходы'!BA30+'06_Деньги'!BA10)+(1-ДоляОплатыТек)*('05_Расходы'!AZ44-'05_Расходы'!AZ30+'06_Деньги'!AZ10)</f>
        <v/>
      </c>
      <c r="BB47" s="5">
        <f>ДоляОплатыТек*('05_Расходы'!BB44-'05_Расходы'!BB30+'06_Деньги'!BB10)+(1-ДоляОплатыТек)*('05_Расходы'!BA44-'05_Расходы'!BA30+'06_Деньги'!BA10)</f>
        <v/>
      </c>
      <c r="BC47" s="5">
        <f>ДоляОплатыТек*('05_Расходы'!BC44-'05_Расходы'!BC30+'06_Деньги'!BC10)+(1-ДоляОплатыТек)*('05_Расходы'!BB44-'05_Расходы'!BB30+'06_Деньги'!BB10)</f>
        <v/>
      </c>
      <c r="BD47" s="5">
        <f>ДоляОплатыТек*('05_Расходы'!BD44-'05_Расходы'!BD30+'06_Деньги'!BD10)+(1-ДоляОплатыТек)*('05_Расходы'!BC44-'05_Расходы'!BC30+'06_Деньги'!BC10)</f>
        <v/>
      </c>
      <c r="BE47" s="5">
        <f>ДоляОплатыТек*('05_Расходы'!BE44-'05_Расходы'!BE30+'06_Деньги'!BE10)+(1-ДоляОплатыТек)*('05_Расходы'!BD44-'05_Расходы'!BD30+'06_Деньги'!BD10)</f>
        <v/>
      </c>
      <c r="BF47" s="5">
        <f>ДоляОплатыТек*('05_Расходы'!BF44-'05_Расходы'!BF30+'06_Деньги'!BF10)+(1-ДоляОплатыТек)*('05_Расходы'!BE44-'05_Расходы'!BE30+'06_Деньги'!BE10)</f>
        <v/>
      </c>
      <c r="BG47" s="5">
        <f>ДоляОплатыТек*('05_Расходы'!BG44-'05_Расходы'!BG30+'06_Деньги'!BG10)+(1-ДоляОплатыТек)*('05_Расходы'!BF44-'05_Расходы'!BF30+'06_Деньги'!BF10)</f>
        <v/>
      </c>
      <c r="BH47" s="5">
        <f>ДоляОплатыТек*('05_Расходы'!BH44-'05_Расходы'!BH30+'06_Деньги'!BH10)+(1-ДоляОплатыТек)*('05_Расходы'!BG44-'05_Расходы'!BG30+'06_Деньги'!BG10)</f>
        <v/>
      </c>
      <c r="BI47" s="5">
        <f>ДоляОплатыТек*('05_Расходы'!BI44-'05_Расходы'!BI30+'06_Деньги'!BI10)+(1-ДоляОплатыТек)*('05_Расходы'!BH44-'05_Расходы'!BH30+'06_Деньги'!BH10)</f>
        <v/>
      </c>
      <c r="BJ47" s="5">
        <f>ДоляОплатыТек*('05_Расходы'!BJ44-'05_Расходы'!BJ30+'06_Деньги'!BJ10)+(1-ДоляОплатыТек)*('05_Расходы'!BI44-'05_Расходы'!BI30+'06_Деньги'!BI10)</f>
        <v/>
      </c>
      <c r="BK47" s="5">
        <f>ДоляОплатыТек*('05_Расходы'!BK44-'05_Расходы'!BK30+'06_Деньги'!BK10)+(1-ДоляОплатыТек)*('05_Расходы'!BJ44-'05_Расходы'!BJ30+'06_Деньги'!BJ10)</f>
        <v/>
      </c>
      <c r="BL47" s="5">
        <f>ДоляОплатыТек*('05_Расходы'!BL44-'05_Расходы'!BL30+'06_Деньги'!BL10)+(1-ДоляОплатыТек)*('05_Расходы'!BK44-'05_Расходы'!BK30+'06_Деньги'!BK10)</f>
        <v/>
      </c>
      <c r="BM47" s="5">
        <f>ДоляОплатыТек*('05_Расходы'!BM44-'05_Расходы'!BM30+'06_Деньги'!BM10)+(1-ДоляОплатыТек)*('05_Расходы'!BL44-'05_Расходы'!BL30+'06_Деньги'!BL10)</f>
        <v/>
      </c>
      <c r="BN47" s="5">
        <f>ДоляОплатыТек*('05_Расходы'!BN44-'05_Расходы'!BN30+'06_Деньги'!BN10)+(1-ДоляОплатыТек)*('05_Расходы'!BM44-'05_Расходы'!BM30+'06_Деньги'!BM10)</f>
        <v/>
      </c>
      <c r="BO47" s="5">
        <f>ДоляОплатыТек*('05_Расходы'!BO44-'05_Расходы'!BO30+'06_Деньги'!BO10)+(1-ДоляОплатыТек)*('05_Расходы'!BN44-'05_Расходы'!BN30+'06_Деньги'!BN10)</f>
        <v/>
      </c>
      <c r="BP47" s="5">
        <f>ДоляОплатыТек*('05_Расходы'!BP44-'05_Расходы'!BP30+'06_Деньги'!BP10)+(1-ДоляОплатыТек)*('05_Расходы'!BO44-'05_Расходы'!BO30+'06_Деньги'!BO10)</f>
        <v/>
      </c>
      <c r="BQ47" s="5">
        <f>ДоляОплатыТек*('05_Расходы'!BQ44-'05_Расходы'!BQ30+'06_Деньги'!BQ10)+(1-ДоляОплатыТек)*('05_Расходы'!BP44-'05_Расходы'!BP30+'06_Деньги'!BP10)</f>
        <v/>
      </c>
      <c r="BR47" s="5">
        <f>ДоляОплатыТек*('05_Расходы'!BR44-'05_Расходы'!BR30+'06_Деньги'!BR10)+(1-ДоляОплатыТек)*('05_Расходы'!BQ44-'05_Расходы'!BQ30+'06_Деньги'!BQ10)</f>
        <v/>
      </c>
      <c r="BS47" s="5">
        <f>ДоляОплатыТек*('05_Расходы'!BS44-'05_Расходы'!BS30+'06_Деньги'!BS10)+(1-ДоляОплатыТек)*('05_Расходы'!BR44-'05_Расходы'!BR30+'06_Деньги'!BR10)</f>
        <v/>
      </c>
      <c r="BT47" s="5">
        <f>ДоляОплатыТек*('05_Расходы'!BT44-'05_Расходы'!BT30+'06_Деньги'!BT10)+(1-ДоляОплатыТек)*('05_Расходы'!BS44-'05_Расходы'!BS30+'06_Деньги'!BS10)</f>
        <v/>
      </c>
      <c r="BU47" s="5">
        <f>ДоляОплатыТек*('05_Расходы'!BU44-'05_Расходы'!BU30+'06_Деньги'!BU10)+(1-ДоляОплатыТек)*('05_Расходы'!BT44-'05_Расходы'!BT30+'06_Деньги'!BT10)</f>
        <v/>
      </c>
      <c r="BV47" s="5">
        <f>ДоляОплатыТек*('05_Расходы'!BV44-'05_Расходы'!BV30+'06_Деньги'!BV10)+(1-ДоляОплатыТек)*('05_Расходы'!BU44-'05_Расходы'!BU30+'06_Деньги'!BU10)</f>
        <v/>
      </c>
      <c r="BW47" s="5">
        <f>ДоляОплатыТек*('05_Расходы'!BW44-'05_Расходы'!BW30+'06_Деньги'!BW10)+(1-ДоляОплатыТек)*('05_Расходы'!BV44-'05_Расходы'!BV30+'06_Деньги'!BV10)</f>
        <v/>
      </c>
      <c r="BX47" s="5">
        <f>ДоляОплатыТек*('05_Расходы'!BX44-'05_Расходы'!BX30+'06_Деньги'!BX10)+(1-ДоляОплатыТек)*('05_Расходы'!BW44-'05_Расходы'!BW30+'06_Деньги'!BW10)</f>
        <v/>
      </c>
      <c r="BY47" s="5">
        <f>ДоляОплатыТек*('05_Расходы'!BY44-'05_Расходы'!BY30+'06_Деньги'!BY10)+(1-ДоляОплатыТек)*('05_Расходы'!BX44-'05_Расходы'!BX30+'06_Деньги'!BX10)</f>
        <v/>
      </c>
    </row>
    <row r="48">
      <c r="B48" t="inlineStr">
        <is>
          <t>Оплата: ФОТ</t>
        </is>
      </c>
      <c r="C48" t="inlineStr">
        <is>
          <t>₽</t>
        </is>
      </c>
      <c r="D48" s="127" t="inlineStr">
        <is>
          <t>Зарплата платится в месяц начисления</t>
        </is>
      </c>
      <c r="E48" s="129">
        <f>SUM(L48:W48)</f>
        <v/>
      </c>
      <c r="F48" s="129">
        <f>SUM(X48:AI48)</f>
        <v/>
      </c>
      <c r="G48" s="129">
        <f>SUM(AJ48:AU48)</f>
        <v/>
      </c>
      <c r="H48" s="129">
        <f>SUM(AV48:BG48)</f>
        <v/>
      </c>
      <c r="I48" s="129">
        <f>SUM(BH48:BS48)</f>
        <v/>
      </c>
      <c r="J48" s="6">
        <f>SUM(L48:BS48)</f>
        <v/>
      </c>
      <c r="L48" s="5">
        <f>'05_Расходы'!L30</f>
        <v/>
      </c>
      <c r="M48" s="5">
        <f>'05_Расходы'!M30</f>
        <v/>
      </c>
      <c r="N48" s="5">
        <f>'05_Расходы'!N30</f>
        <v/>
      </c>
      <c r="O48" s="5">
        <f>'05_Расходы'!O30</f>
        <v/>
      </c>
      <c r="P48" s="5">
        <f>'05_Расходы'!P30</f>
        <v/>
      </c>
      <c r="Q48" s="5">
        <f>'05_Расходы'!Q30</f>
        <v/>
      </c>
      <c r="R48" s="5">
        <f>'05_Расходы'!R30</f>
        <v/>
      </c>
      <c r="S48" s="5">
        <f>'05_Расходы'!S30</f>
        <v/>
      </c>
      <c r="T48" s="5">
        <f>'05_Расходы'!T30</f>
        <v/>
      </c>
      <c r="U48" s="5">
        <f>'05_Расходы'!U30</f>
        <v/>
      </c>
      <c r="V48" s="5">
        <f>'05_Расходы'!V30</f>
        <v/>
      </c>
      <c r="W48" s="5">
        <f>'05_Расходы'!W30</f>
        <v/>
      </c>
      <c r="X48" s="5">
        <f>'05_Расходы'!X30</f>
        <v/>
      </c>
      <c r="Y48" s="5">
        <f>'05_Расходы'!Y30</f>
        <v/>
      </c>
      <c r="Z48" s="5">
        <f>'05_Расходы'!Z30</f>
        <v/>
      </c>
      <c r="AA48" s="5">
        <f>'05_Расходы'!AA30</f>
        <v/>
      </c>
      <c r="AB48" s="5">
        <f>'05_Расходы'!AB30</f>
        <v/>
      </c>
      <c r="AC48" s="5">
        <f>'05_Расходы'!AC30</f>
        <v/>
      </c>
      <c r="AD48" s="5">
        <f>'05_Расходы'!AD30</f>
        <v/>
      </c>
      <c r="AE48" s="5">
        <f>'05_Расходы'!AE30</f>
        <v/>
      </c>
      <c r="AF48" s="5">
        <f>'05_Расходы'!AF30</f>
        <v/>
      </c>
      <c r="AG48" s="5">
        <f>'05_Расходы'!AG30</f>
        <v/>
      </c>
      <c r="AH48" s="5">
        <f>'05_Расходы'!AH30</f>
        <v/>
      </c>
      <c r="AI48" s="5">
        <f>'05_Расходы'!AI30</f>
        <v/>
      </c>
      <c r="AJ48" s="5">
        <f>'05_Расходы'!AJ30</f>
        <v/>
      </c>
      <c r="AK48" s="5">
        <f>'05_Расходы'!AK30</f>
        <v/>
      </c>
      <c r="AL48" s="5">
        <f>'05_Расходы'!AL30</f>
        <v/>
      </c>
      <c r="AM48" s="5">
        <f>'05_Расходы'!AM30</f>
        <v/>
      </c>
      <c r="AN48" s="5">
        <f>'05_Расходы'!AN30</f>
        <v/>
      </c>
      <c r="AO48" s="5">
        <f>'05_Расходы'!AO30</f>
        <v/>
      </c>
      <c r="AP48" s="5">
        <f>'05_Расходы'!AP30</f>
        <v/>
      </c>
      <c r="AQ48" s="5">
        <f>'05_Расходы'!AQ30</f>
        <v/>
      </c>
      <c r="AR48" s="5">
        <f>'05_Расходы'!AR30</f>
        <v/>
      </c>
      <c r="AS48" s="5">
        <f>'05_Расходы'!AS30</f>
        <v/>
      </c>
      <c r="AT48" s="5">
        <f>'05_Расходы'!AT30</f>
        <v/>
      </c>
      <c r="AU48" s="5">
        <f>'05_Расходы'!AU30</f>
        <v/>
      </c>
      <c r="AV48" s="5">
        <f>'05_Расходы'!AV30</f>
        <v/>
      </c>
      <c r="AW48" s="5">
        <f>'05_Расходы'!AW30</f>
        <v/>
      </c>
      <c r="AX48" s="5">
        <f>'05_Расходы'!AX30</f>
        <v/>
      </c>
      <c r="AY48" s="5">
        <f>'05_Расходы'!AY30</f>
        <v/>
      </c>
      <c r="AZ48" s="5">
        <f>'05_Расходы'!AZ30</f>
        <v/>
      </c>
      <c r="BA48" s="5">
        <f>'05_Расходы'!BA30</f>
        <v/>
      </c>
      <c r="BB48" s="5">
        <f>'05_Расходы'!BB30</f>
        <v/>
      </c>
      <c r="BC48" s="5">
        <f>'05_Расходы'!BC30</f>
        <v/>
      </c>
      <c r="BD48" s="5">
        <f>'05_Расходы'!BD30</f>
        <v/>
      </c>
      <c r="BE48" s="5">
        <f>'05_Расходы'!BE30</f>
        <v/>
      </c>
      <c r="BF48" s="5">
        <f>'05_Расходы'!BF30</f>
        <v/>
      </c>
      <c r="BG48" s="5">
        <f>'05_Расходы'!BG30</f>
        <v/>
      </c>
      <c r="BH48" s="5">
        <f>'05_Расходы'!BH30</f>
        <v/>
      </c>
      <c r="BI48" s="5">
        <f>'05_Расходы'!BI30</f>
        <v/>
      </c>
      <c r="BJ48" s="5">
        <f>'05_Расходы'!BJ30</f>
        <v/>
      </c>
      <c r="BK48" s="5">
        <f>'05_Расходы'!BK30</f>
        <v/>
      </c>
      <c r="BL48" s="5">
        <f>'05_Расходы'!BL30</f>
        <v/>
      </c>
      <c r="BM48" s="5">
        <f>'05_Расходы'!BM30</f>
        <v/>
      </c>
      <c r="BN48" s="5">
        <f>'05_Расходы'!BN30</f>
        <v/>
      </c>
      <c r="BO48" s="5">
        <f>'05_Расходы'!BO30</f>
        <v/>
      </c>
      <c r="BP48" s="5">
        <f>'05_Расходы'!BP30</f>
        <v/>
      </c>
      <c r="BQ48" s="5">
        <f>'05_Расходы'!BQ30</f>
        <v/>
      </c>
      <c r="BR48" s="5">
        <f>'05_Расходы'!BR30</f>
        <v/>
      </c>
      <c r="BS48" s="5">
        <f>'05_Расходы'!BS30</f>
        <v/>
      </c>
      <c r="BT48" s="5">
        <f>'05_Расходы'!BT30</f>
        <v/>
      </c>
      <c r="BU48" s="5">
        <f>'05_Расходы'!BU30</f>
        <v/>
      </c>
      <c r="BV48" s="5">
        <f>'05_Расходы'!BV30</f>
        <v/>
      </c>
      <c r="BW48" s="5">
        <f>'05_Расходы'!BW30</f>
        <v/>
      </c>
      <c r="BX48" s="5">
        <f>'05_Расходы'!BX30</f>
        <v/>
      </c>
      <c r="BY48" s="5">
        <f>'05_Расходы'!BY30</f>
        <v/>
      </c>
    </row>
    <row r="49">
      <c r="B49" t="inlineStr">
        <is>
          <t>Оплата: клубу</t>
        </is>
      </c>
      <c r="C49" t="inlineStr">
        <is>
          <t>₽</t>
        </is>
      </c>
      <c r="D49" s="127" t="inlineStr">
        <is>
          <t>Роялти клубу — с поступивших денег, остальное сразу</t>
        </is>
      </c>
      <c r="E49" s="129">
        <f>SUM(L49:W49)</f>
        <v/>
      </c>
      <c r="F49" s="129">
        <f>SUM(X49:AI49)</f>
        <v/>
      </c>
      <c r="G49" s="129">
        <f>SUM(AJ49:AU49)</f>
        <v/>
      </c>
      <c r="H49" s="129">
        <f>SUM(AV49:BG49)</f>
        <v/>
      </c>
      <c r="I49" s="129">
        <f>SUM(BH49:BS49)</f>
        <v/>
      </c>
      <c r="J49" s="6">
        <f>SUM(L49:BS49)</f>
        <v/>
      </c>
      <c r="L49" s="5">
        <f>'05_Расходы'!L47+'05_Расходы'!L49+L41/(1+НДС)*ДоляФКРоялти</f>
        <v/>
      </c>
      <c r="M49" s="5">
        <f>'05_Расходы'!M47+'05_Расходы'!M49+M41/(1+НДС)*ДоляФКРоялти</f>
        <v/>
      </c>
      <c r="N49" s="5">
        <f>'05_Расходы'!N47+'05_Расходы'!N49+N41/(1+НДС)*ДоляФКРоялти</f>
        <v/>
      </c>
      <c r="O49" s="5">
        <f>'05_Расходы'!O47+'05_Расходы'!O49+O41/(1+НДС)*ДоляФКРоялти</f>
        <v/>
      </c>
      <c r="P49" s="5">
        <f>'05_Расходы'!P47+'05_Расходы'!P49+P41/(1+НДС)*ДоляФКРоялти</f>
        <v/>
      </c>
      <c r="Q49" s="5">
        <f>'05_Расходы'!Q47+'05_Расходы'!Q49+Q41/(1+НДС)*ДоляФКРоялти</f>
        <v/>
      </c>
      <c r="R49" s="5">
        <f>'05_Расходы'!R47+'05_Расходы'!R49+R41/(1+НДС)*ДоляФКРоялти</f>
        <v/>
      </c>
      <c r="S49" s="5">
        <f>'05_Расходы'!S47+'05_Расходы'!S49+S41/(1+НДС)*ДоляФКРоялти</f>
        <v/>
      </c>
      <c r="T49" s="5">
        <f>'05_Расходы'!T47+'05_Расходы'!T49+T41/(1+НДС)*ДоляФКРоялти</f>
        <v/>
      </c>
      <c r="U49" s="5">
        <f>'05_Расходы'!U47+'05_Расходы'!U49+U41/(1+НДС)*ДоляФКРоялти</f>
        <v/>
      </c>
      <c r="V49" s="5">
        <f>'05_Расходы'!V47+'05_Расходы'!V49+V41/(1+НДС)*ДоляФКРоялти</f>
        <v/>
      </c>
      <c r="W49" s="5">
        <f>'05_Расходы'!W47+'05_Расходы'!W49+W41/(1+НДС)*ДоляФКРоялти</f>
        <v/>
      </c>
      <c r="X49" s="5">
        <f>'05_Расходы'!X47+'05_Расходы'!X49+X41/(1+НДС)*ДоляФКРоялти</f>
        <v/>
      </c>
      <c r="Y49" s="5">
        <f>'05_Расходы'!Y47+'05_Расходы'!Y49+Y41/(1+НДС)*ДоляФКРоялти</f>
        <v/>
      </c>
      <c r="Z49" s="5">
        <f>'05_Расходы'!Z47+'05_Расходы'!Z49+Z41/(1+НДС)*ДоляФКРоялти</f>
        <v/>
      </c>
      <c r="AA49" s="5">
        <f>'05_Расходы'!AA47+'05_Расходы'!AA49+AA41/(1+НДС)*ДоляФКРоялти</f>
        <v/>
      </c>
      <c r="AB49" s="5">
        <f>'05_Расходы'!AB47+'05_Расходы'!AB49+AB41/(1+НДС)*ДоляФКРоялти</f>
        <v/>
      </c>
      <c r="AC49" s="5">
        <f>'05_Расходы'!AC47+'05_Расходы'!AC49+AC41/(1+НДС)*ДоляФКРоялти</f>
        <v/>
      </c>
      <c r="AD49" s="5">
        <f>'05_Расходы'!AD47+'05_Расходы'!AD49+AD41/(1+НДС)*ДоляФКРоялти</f>
        <v/>
      </c>
      <c r="AE49" s="5">
        <f>'05_Расходы'!AE47+'05_Расходы'!AE49+AE41/(1+НДС)*ДоляФКРоялти</f>
        <v/>
      </c>
      <c r="AF49" s="5">
        <f>'05_Расходы'!AF47+'05_Расходы'!AF49+AF41/(1+НДС)*ДоляФКРоялти</f>
        <v/>
      </c>
      <c r="AG49" s="5">
        <f>'05_Расходы'!AG47+'05_Расходы'!AG49+AG41/(1+НДС)*ДоляФКРоялти</f>
        <v/>
      </c>
      <c r="AH49" s="5">
        <f>'05_Расходы'!AH47+'05_Расходы'!AH49+AH41/(1+НДС)*ДоляФКРоялти</f>
        <v/>
      </c>
      <c r="AI49" s="5">
        <f>'05_Расходы'!AI47+'05_Расходы'!AI49+AI41/(1+НДС)*ДоляФКРоялти</f>
        <v/>
      </c>
      <c r="AJ49" s="5">
        <f>'05_Расходы'!AJ47+'05_Расходы'!AJ49+AJ41/(1+НДС)*ДоляФКРоялти</f>
        <v/>
      </c>
      <c r="AK49" s="5">
        <f>'05_Расходы'!AK47+'05_Расходы'!AK49+AK41/(1+НДС)*ДоляФКРоялти</f>
        <v/>
      </c>
      <c r="AL49" s="5">
        <f>'05_Расходы'!AL47+'05_Расходы'!AL49+AL41/(1+НДС)*ДоляФКРоялти</f>
        <v/>
      </c>
      <c r="AM49" s="5">
        <f>'05_Расходы'!AM47+'05_Расходы'!AM49+AM41/(1+НДС)*ДоляФКРоялти</f>
        <v/>
      </c>
      <c r="AN49" s="5">
        <f>'05_Расходы'!AN47+'05_Расходы'!AN49+AN41/(1+НДС)*ДоляФКРоялти</f>
        <v/>
      </c>
      <c r="AO49" s="5">
        <f>'05_Расходы'!AO47+'05_Расходы'!AO49+AO41/(1+НДС)*ДоляФКРоялти</f>
        <v/>
      </c>
      <c r="AP49" s="5">
        <f>'05_Расходы'!AP47+'05_Расходы'!AP49+AP41/(1+НДС)*ДоляФКРоялти</f>
        <v/>
      </c>
      <c r="AQ49" s="5">
        <f>'05_Расходы'!AQ47+'05_Расходы'!AQ49+AQ41/(1+НДС)*ДоляФКРоялти</f>
        <v/>
      </c>
      <c r="AR49" s="5">
        <f>'05_Расходы'!AR47+'05_Расходы'!AR49+AR41/(1+НДС)*ДоляФКРоялти</f>
        <v/>
      </c>
      <c r="AS49" s="5">
        <f>'05_Расходы'!AS47+'05_Расходы'!AS49+AS41/(1+НДС)*ДоляФКРоялти</f>
        <v/>
      </c>
      <c r="AT49" s="5">
        <f>'05_Расходы'!AT47+'05_Расходы'!AT49+AT41/(1+НДС)*ДоляФКРоялти</f>
        <v/>
      </c>
      <c r="AU49" s="5">
        <f>'05_Расходы'!AU47+'05_Расходы'!AU49+AU41/(1+НДС)*ДоляФКРоялти</f>
        <v/>
      </c>
      <c r="AV49" s="5">
        <f>'05_Расходы'!AV47+'05_Расходы'!AV49+AV41/(1+НДС)*ДоляФКРоялти</f>
        <v/>
      </c>
      <c r="AW49" s="5">
        <f>'05_Расходы'!AW47+'05_Расходы'!AW49+AW41/(1+НДС)*ДоляФКРоялти</f>
        <v/>
      </c>
      <c r="AX49" s="5">
        <f>'05_Расходы'!AX47+'05_Расходы'!AX49+AX41/(1+НДС)*ДоляФКРоялти</f>
        <v/>
      </c>
      <c r="AY49" s="5">
        <f>'05_Расходы'!AY47+'05_Расходы'!AY49+AY41/(1+НДС)*ДоляФКРоялти</f>
        <v/>
      </c>
      <c r="AZ49" s="5">
        <f>'05_Расходы'!AZ47+'05_Расходы'!AZ49+AZ41/(1+НДС)*ДоляФКРоялти</f>
        <v/>
      </c>
      <c r="BA49" s="5">
        <f>'05_Расходы'!BA47+'05_Расходы'!BA49+BA41/(1+НДС)*ДоляФКРоялти</f>
        <v/>
      </c>
      <c r="BB49" s="5">
        <f>'05_Расходы'!BB47+'05_Расходы'!BB49+BB41/(1+НДС)*ДоляФКРоялти</f>
        <v/>
      </c>
      <c r="BC49" s="5">
        <f>'05_Расходы'!BC47+'05_Расходы'!BC49+BC41/(1+НДС)*ДоляФКРоялти</f>
        <v/>
      </c>
      <c r="BD49" s="5">
        <f>'05_Расходы'!BD47+'05_Расходы'!BD49+BD41/(1+НДС)*ДоляФКРоялти</f>
        <v/>
      </c>
      <c r="BE49" s="5">
        <f>'05_Расходы'!BE47+'05_Расходы'!BE49+BE41/(1+НДС)*ДоляФКРоялти</f>
        <v/>
      </c>
      <c r="BF49" s="5">
        <f>'05_Расходы'!BF47+'05_Расходы'!BF49+BF41/(1+НДС)*ДоляФКРоялти</f>
        <v/>
      </c>
      <c r="BG49" s="5">
        <f>'05_Расходы'!BG47+'05_Расходы'!BG49+BG41/(1+НДС)*ДоляФКРоялти</f>
        <v/>
      </c>
      <c r="BH49" s="5">
        <f>'05_Расходы'!BH47+'05_Расходы'!BH49+BH41/(1+НДС)*ДоляФКРоялти</f>
        <v/>
      </c>
      <c r="BI49" s="5">
        <f>'05_Расходы'!BI47+'05_Расходы'!BI49+BI41/(1+НДС)*ДоляФКРоялти</f>
        <v/>
      </c>
      <c r="BJ49" s="5">
        <f>'05_Расходы'!BJ47+'05_Расходы'!BJ49+BJ41/(1+НДС)*ДоляФКРоялти</f>
        <v/>
      </c>
      <c r="BK49" s="5">
        <f>'05_Расходы'!BK47+'05_Расходы'!BK49+BK41/(1+НДС)*ДоляФКРоялти</f>
        <v/>
      </c>
      <c r="BL49" s="5">
        <f>'05_Расходы'!BL47+'05_Расходы'!BL49+BL41/(1+НДС)*ДоляФКРоялти</f>
        <v/>
      </c>
      <c r="BM49" s="5">
        <f>'05_Расходы'!BM47+'05_Расходы'!BM49+BM41/(1+НДС)*ДоляФКРоялти</f>
        <v/>
      </c>
      <c r="BN49" s="5">
        <f>'05_Расходы'!BN47+'05_Расходы'!BN49+BN41/(1+НДС)*ДоляФКРоялти</f>
        <v/>
      </c>
      <c r="BO49" s="5">
        <f>'05_Расходы'!BO47+'05_Расходы'!BO49+BO41/(1+НДС)*ДоляФКРоялти</f>
        <v/>
      </c>
      <c r="BP49" s="5">
        <f>'05_Расходы'!BP47+'05_Расходы'!BP49+BP41/(1+НДС)*ДоляФКРоялти</f>
        <v/>
      </c>
      <c r="BQ49" s="5">
        <f>'05_Расходы'!BQ47+'05_Расходы'!BQ49+BQ41/(1+НДС)*ДоляФКРоялти</f>
        <v/>
      </c>
      <c r="BR49" s="5">
        <f>'05_Расходы'!BR47+'05_Расходы'!BR49+BR41/(1+НДС)*ДоляФКРоялти</f>
        <v/>
      </c>
      <c r="BS49" s="5">
        <f>'05_Расходы'!BS47+'05_Расходы'!BS49+BS41/(1+НДС)*ДоляФКРоялти</f>
        <v/>
      </c>
      <c r="BT49" s="5">
        <f>'05_Расходы'!BT47+'05_Расходы'!BT49+BT41/(1+НДС)*ДоляФКРоялти</f>
        <v/>
      </c>
      <c r="BU49" s="5">
        <f>'05_Расходы'!BU47+'05_Расходы'!BU49+BU41/(1+НДС)*ДоляФКРоялти</f>
        <v/>
      </c>
      <c r="BV49" s="5">
        <f>'05_Расходы'!BV47+'05_Расходы'!BV49+BV41/(1+НДС)*ДоляФКРоялти</f>
        <v/>
      </c>
      <c r="BW49" s="5">
        <f>'05_Расходы'!BW47+'05_Расходы'!BW49+BW41/(1+НДС)*ДоляФКРоялти</f>
        <v/>
      </c>
      <c r="BX49" s="5">
        <f>'05_Расходы'!BX47+'05_Расходы'!BX49+BX41/(1+НДС)*ДоляФКРоялти</f>
        <v/>
      </c>
      <c r="BY49" s="5">
        <f>'05_Расходы'!BY47+'05_Расходы'!BY49+BY41/(1+НДС)*ДоляФКРоялти</f>
        <v/>
      </c>
    </row>
    <row r="50">
      <c r="B50" t="inlineStr">
        <is>
          <t>Оплата: НДС</t>
        </is>
      </c>
      <c r="C50" t="inlineStr">
        <is>
          <t>₽</t>
        </is>
      </c>
      <c r="D50" s="127" t="inlineStr"/>
      <c r="E50" s="129">
        <f>SUM(L50:W50)</f>
        <v/>
      </c>
      <c r="F50" s="129">
        <f>SUM(X50:AI50)</f>
        <v/>
      </c>
      <c r="G50" s="129">
        <f>SUM(AJ50:AU50)</f>
        <v/>
      </c>
      <c r="H50" s="129">
        <f>SUM(AV50:BG50)</f>
        <v/>
      </c>
      <c r="I50" s="129">
        <f>SUM(BH50:BS50)</f>
        <v/>
      </c>
      <c r="J50" s="6">
        <f>SUM(L50:BS50)</f>
        <v/>
      </c>
      <c r="L50" s="5">
        <f>'06_Деньги'!L24</f>
        <v/>
      </c>
      <c r="M50" s="5">
        <f>'06_Деньги'!M24</f>
        <v/>
      </c>
      <c r="N50" s="5">
        <f>'06_Деньги'!N24</f>
        <v/>
      </c>
      <c r="O50" s="5">
        <f>'06_Деньги'!O24</f>
        <v/>
      </c>
      <c r="P50" s="5">
        <f>'06_Деньги'!P24</f>
        <v/>
      </c>
      <c r="Q50" s="5">
        <f>'06_Деньги'!Q24</f>
        <v/>
      </c>
      <c r="R50" s="5">
        <f>'06_Деньги'!R24</f>
        <v/>
      </c>
      <c r="S50" s="5">
        <f>'06_Деньги'!S24</f>
        <v/>
      </c>
      <c r="T50" s="5">
        <f>'06_Деньги'!T24</f>
        <v/>
      </c>
      <c r="U50" s="5">
        <f>'06_Деньги'!U24</f>
        <v/>
      </c>
      <c r="V50" s="5">
        <f>'06_Деньги'!V24</f>
        <v/>
      </c>
      <c r="W50" s="5">
        <f>'06_Деньги'!W24</f>
        <v/>
      </c>
      <c r="X50" s="5">
        <f>'06_Деньги'!X24</f>
        <v/>
      </c>
      <c r="Y50" s="5">
        <f>'06_Деньги'!Y24</f>
        <v/>
      </c>
      <c r="Z50" s="5">
        <f>'06_Деньги'!Z24</f>
        <v/>
      </c>
      <c r="AA50" s="5">
        <f>'06_Деньги'!AA24</f>
        <v/>
      </c>
      <c r="AB50" s="5">
        <f>'06_Деньги'!AB24</f>
        <v/>
      </c>
      <c r="AC50" s="5">
        <f>'06_Деньги'!AC24</f>
        <v/>
      </c>
      <c r="AD50" s="5">
        <f>'06_Деньги'!AD24</f>
        <v/>
      </c>
      <c r="AE50" s="5">
        <f>'06_Деньги'!AE24</f>
        <v/>
      </c>
      <c r="AF50" s="5">
        <f>'06_Деньги'!AF24</f>
        <v/>
      </c>
      <c r="AG50" s="5">
        <f>'06_Деньги'!AG24</f>
        <v/>
      </c>
      <c r="AH50" s="5">
        <f>'06_Деньги'!AH24</f>
        <v/>
      </c>
      <c r="AI50" s="5">
        <f>'06_Деньги'!AI24</f>
        <v/>
      </c>
      <c r="AJ50" s="5">
        <f>'06_Деньги'!AJ24</f>
        <v/>
      </c>
      <c r="AK50" s="5">
        <f>'06_Деньги'!AK24</f>
        <v/>
      </c>
      <c r="AL50" s="5">
        <f>'06_Деньги'!AL24</f>
        <v/>
      </c>
      <c r="AM50" s="5">
        <f>'06_Деньги'!AM24</f>
        <v/>
      </c>
      <c r="AN50" s="5">
        <f>'06_Деньги'!AN24</f>
        <v/>
      </c>
      <c r="AO50" s="5">
        <f>'06_Деньги'!AO24</f>
        <v/>
      </c>
      <c r="AP50" s="5">
        <f>'06_Деньги'!AP24</f>
        <v/>
      </c>
      <c r="AQ50" s="5">
        <f>'06_Деньги'!AQ24</f>
        <v/>
      </c>
      <c r="AR50" s="5">
        <f>'06_Деньги'!AR24</f>
        <v/>
      </c>
      <c r="AS50" s="5">
        <f>'06_Деньги'!AS24</f>
        <v/>
      </c>
      <c r="AT50" s="5">
        <f>'06_Деньги'!AT24</f>
        <v/>
      </c>
      <c r="AU50" s="5">
        <f>'06_Деньги'!AU24</f>
        <v/>
      </c>
      <c r="AV50" s="5">
        <f>'06_Деньги'!AV24</f>
        <v/>
      </c>
      <c r="AW50" s="5">
        <f>'06_Деньги'!AW24</f>
        <v/>
      </c>
      <c r="AX50" s="5">
        <f>'06_Деньги'!AX24</f>
        <v/>
      </c>
      <c r="AY50" s="5">
        <f>'06_Деньги'!AY24</f>
        <v/>
      </c>
      <c r="AZ50" s="5">
        <f>'06_Деньги'!AZ24</f>
        <v/>
      </c>
      <c r="BA50" s="5">
        <f>'06_Деньги'!BA24</f>
        <v/>
      </c>
      <c r="BB50" s="5">
        <f>'06_Деньги'!BB24</f>
        <v/>
      </c>
      <c r="BC50" s="5">
        <f>'06_Деньги'!BC24</f>
        <v/>
      </c>
      <c r="BD50" s="5">
        <f>'06_Деньги'!BD24</f>
        <v/>
      </c>
      <c r="BE50" s="5">
        <f>'06_Деньги'!BE24</f>
        <v/>
      </c>
      <c r="BF50" s="5">
        <f>'06_Деньги'!BF24</f>
        <v/>
      </c>
      <c r="BG50" s="5">
        <f>'06_Деньги'!BG24</f>
        <v/>
      </c>
      <c r="BH50" s="5">
        <f>'06_Деньги'!BH24</f>
        <v/>
      </c>
      <c r="BI50" s="5">
        <f>'06_Деньги'!BI24</f>
        <v/>
      </c>
      <c r="BJ50" s="5">
        <f>'06_Деньги'!BJ24</f>
        <v/>
      </c>
      <c r="BK50" s="5">
        <f>'06_Деньги'!BK24</f>
        <v/>
      </c>
      <c r="BL50" s="5">
        <f>'06_Деньги'!BL24</f>
        <v/>
      </c>
      <c r="BM50" s="5">
        <f>'06_Деньги'!BM24</f>
        <v/>
      </c>
      <c r="BN50" s="5">
        <f>'06_Деньги'!BN24</f>
        <v/>
      </c>
      <c r="BO50" s="5">
        <f>'06_Деньги'!BO24</f>
        <v/>
      </c>
      <c r="BP50" s="5">
        <f>'06_Деньги'!BP24</f>
        <v/>
      </c>
      <c r="BQ50" s="5">
        <f>'06_Деньги'!BQ24</f>
        <v/>
      </c>
      <c r="BR50" s="5">
        <f>'06_Деньги'!BR24</f>
        <v/>
      </c>
      <c r="BS50" s="5">
        <f>'06_Деньги'!BS24</f>
        <v/>
      </c>
      <c r="BT50" s="5">
        <f>'06_Деньги'!BT24</f>
        <v/>
      </c>
      <c r="BU50" s="5">
        <f>'06_Деньги'!BU24</f>
        <v/>
      </c>
      <c r="BV50" s="5">
        <f>'06_Деньги'!BV24</f>
        <v/>
      </c>
      <c r="BW50" s="5">
        <f>'06_Деньги'!BW24</f>
        <v/>
      </c>
      <c r="BX50" s="5">
        <f>'06_Деньги'!BX24</f>
        <v/>
      </c>
      <c r="BY50" s="5">
        <f>'06_Деньги'!BY24</f>
        <v/>
      </c>
    </row>
    <row r="51">
      <c r="B51" t="inlineStr">
        <is>
          <t>Оплата: УСН</t>
        </is>
      </c>
      <c r="C51" t="inlineStr">
        <is>
          <t>₽</t>
        </is>
      </c>
      <c r="D51" s="127" t="inlineStr"/>
      <c r="E51" s="129">
        <f>SUM(L51:W51)</f>
        <v/>
      </c>
      <c r="F51" s="129">
        <f>SUM(X51:AI51)</f>
        <v/>
      </c>
      <c r="G51" s="129">
        <f>SUM(AJ51:AU51)</f>
        <v/>
      </c>
      <c r="H51" s="129">
        <f>SUM(AV51:BG51)</f>
        <v/>
      </c>
      <c r="I51" s="129">
        <f>SUM(BH51:BS51)</f>
        <v/>
      </c>
      <c r="J51" s="6">
        <f>SUM(L51:BS51)</f>
        <v/>
      </c>
      <c r="L51" s="5">
        <f>'06_Деньги'!L23</f>
        <v/>
      </c>
      <c r="M51" s="5">
        <f>'06_Деньги'!M23</f>
        <v/>
      </c>
      <c r="N51" s="5">
        <f>'06_Деньги'!N23</f>
        <v/>
      </c>
      <c r="O51" s="5">
        <f>'06_Деньги'!O23</f>
        <v/>
      </c>
      <c r="P51" s="5">
        <f>'06_Деньги'!P23</f>
        <v/>
      </c>
      <c r="Q51" s="5">
        <f>'06_Деньги'!Q23</f>
        <v/>
      </c>
      <c r="R51" s="5">
        <f>'06_Деньги'!R23</f>
        <v/>
      </c>
      <c r="S51" s="5">
        <f>'06_Деньги'!S23</f>
        <v/>
      </c>
      <c r="T51" s="5">
        <f>'06_Деньги'!T23</f>
        <v/>
      </c>
      <c r="U51" s="5">
        <f>'06_Деньги'!U23</f>
        <v/>
      </c>
      <c r="V51" s="5">
        <f>'06_Деньги'!V23</f>
        <v/>
      </c>
      <c r="W51" s="5">
        <f>'06_Деньги'!W23</f>
        <v/>
      </c>
      <c r="X51" s="5">
        <f>'06_Деньги'!X23</f>
        <v/>
      </c>
      <c r="Y51" s="5">
        <f>'06_Деньги'!Y23</f>
        <v/>
      </c>
      <c r="Z51" s="5">
        <f>'06_Деньги'!Z23</f>
        <v/>
      </c>
      <c r="AA51" s="5">
        <f>'06_Деньги'!AA23</f>
        <v/>
      </c>
      <c r="AB51" s="5">
        <f>'06_Деньги'!AB23</f>
        <v/>
      </c>
      <c r="AC51" s="5">
        <f>'06_Деньги'!AC23</f>
        <v/>
      </c>
      <c r="AD51" s="5">
        <f>'06_Деньги'!AD23</f>
        <v/>
      </c>
      <c r="AE51" s="5">
        <f>'06_Деньги'!AE23</f>
        <v/>
      </c>
      <c r="AF51" s="5">
        <f>'06_Деньги'!AF23</f>
        <v/>
      </c>
      <c r="AG51" s="5">
        <f>'06_Деньги'!AG23</f>
        <v/>
      </c>
      <c r="AH51" s="5">
        <f>'06_Деньги'!AH23</f>
        <v/>
      </c>
      <c r="AI51" s="5">
        <f>'06_Деньги'!AI23</f>
        <v/>
      </c>
      <c r="AJ51" s="5">
        <f>'06_Деньги'!AJ23</f>
        <v/>
      </c>
      <c r="AK51" s="5">
        <f>'06_Деньги'!AK23</f>
        <v/>
      </c>
      <c r="AL51" s="5">
        <f>'06_Деньги'!AL23</f>
        <v/>
      </c>
      <c r="AM51" s="5">
        <f>'06_Деньги'!AM23</f>
        <v/>
      </c>
      <c r="AN51" s="5">
        <f>'06_Деньги'!AN23</f>
        <v/>
      </c>
      <c r="AO51" s="5">
        <f>'06_Деньги'!AO23</f>
        <v/>
      </c>
      <c r="AP51" s="5">
        <f>'06_Деньги'!AP23</f>
        <v/>
      </c>
      <c r="AQ51" s="5">
        <f>'06_Деньги'!AQ23</f>
        <v/>
      </c>
      <c r="AR51" s="5">
        <f>'06_Деньги'!AR23</f>
        <v/>
      </c>
      <c r="AS51" s="5">
        <f>'06_Деньги'!AS23</f>
        <v/>
      </c>
      <c r="AT51" s="5">
        <f>'06_Деньги'!AT23</f>
        <v/>
      </c>
      <c r="AU51" s="5">
        <f>'06_Деньги'!AU23</f>
        <v/>
      </c>
      <c r="AV51" s="5">
        <f>'06_Деньги'!AV23</f>
        <v/>
      </c>
      <c r="AW51" s="5">
        <f>'06_Деньги'!AW23</f>
        <v/>
      </c>
      <c r="AX51" s="5">
        <f>'06_Деньги'!AX23</f>
        <v/>
      </c>
      <c r="AY51" s="5">
        <f>'06_Деньги'!AY23</f>
        <v/>
      </c>
      <c r="AZ51" s="5">
        <f>'06_Деньги'!AZ23</f>
        <v/>
      </c>
      <c r="BA51" s="5">
        <f>'06_Деньги'!BA23</f>
        <v/>
      </c>
      <c r="BB51" s="5">
        <f>'06_Деньги'!BB23</f>
        <v/>
      </c>
      <c r="BC51" s="5">
        <f>'06_Деньги'!BC23</f>
        <v/>
      </c>
      <c r="BD51" s="5">
        <f>'06_Деньги'!BD23</f>
        <v/>
      </c>
      <c r="BE51" s="5">
        <f>'06_Деньги'!BE23</f>
        <v/>
      </c>
      <c r="BF51" s="5">
        <f>'06_Деньги'!BF23</f>
        <v/>
      </c>
      <c r="BG51" s="5">
        <f>'06_Деньги'!BG23</f>
        <v/>
      </c>
      <c r="BH51" s="5">
        <f>'06_Деньги'!BH23</f>
        <v/>
      </c>
      <c r="BI51" s="5">
        <f>'06_Деньги'!BI23</f>
        <v/>
      </c>
      <c r="BJ51" s="5">
        <f>'06_Деньги'!BJ23</f>
        <v/>
      </c>
      <c r="BK51" s="5">
        <f>'06_Деньги'!BK23</f>
        <v/>
      </c>
      <c r="BL51" s="5">
        <f>'06_Деньги'!BL23</f>
        <v/>
      </c>
      <c r="BM51" s="5">
        <f>'06_Деньги'!BM23</f>
        <v/>
      </c>
      <c r="BN51" s="5">
        <f>'06_Деньги'!BN23</f>
        <v/>
      </c>
      <c r="BO51" s="5">
        <f>'06_Деньги'!BO23</f>
        <v/>
      </c>
      <c r="BP51" s="5">
        <f>'06_Деньги'!BP23</f>
        <v/>
      </c>
      <c r="BQ51" s="5">
        <f>'06_Деньги'!BQ23</f>
        <v/>
      </c>
      <c r="BR51" s="5">
        <f>'06_Деньги'!BR23</f>
        <v/>
      </c>
      <c r="BS51" s="5">
        <f>'06_Деньги'!BS23</f>
        <v/>
      </c>
      <c r="BT51" s="5">
        <f>'06_Деньги'!BT23</f>
        <v/>
      </c>
      <c r="BU51" s="5">
        <f>'06_Деньги'!BU23</f>
        <v/>
      </c>
      <c r="BV51" s="5">
        <f>'06_Деньги'!BV23</f>
        <v/>
      </c>
      <c r="BW51" s="5">
        <f>'06_Деньги'!BW23</f>
        <v/>
      </c>
      <c r="BX51" s="5">
        <f>'06_Деньги'!BX23</f>
        <v/>
      </c>
      <c r="BY51" s="5">
        <f>'06_Деньги'!BY23</f>
        <v/>
      </c>
    </row>
    <row r="52">
      <c r="B52" t="inlineStr">
        <is>
          <t>Оплата: лагеря</t>
        </is>
      </c>
      <c r="C52" t="inlineStr">
        <is>
          <t>₽</t>
        </is>
      </c>
      <c r="D52" s="127" t="inlineStr">
        <is>
          <t>Блок отключён</t>
        </is>
      </c>
      <c r="E52" s="129">
        <f>SUM(L52:W52)</f>
        <v/>
      </c>
      <c r="F52" s="129">
        <f>SUM(X52:AI52)</f>
        <v/>
      </c>
      <c r="G52" s="129">
        <f>SUM(AJ52:AU52)</f>
        <v/>
      </c>
      <c r="H52" s="129">
        <f>SUM(AV52:BG52)</f>
        <v/>
      </c>
      <c r="I52" s="129">
        <f>SUM(BH52:BS52)</f>
        <v/>
      </c>
      <c r="J52" s="6">
        <f>SUM(L52:BS52)</f>
        <v/>
      </c>
      <c r="L52" s="5">
        <f>0</f>
        <v/>
      </c>
      <c r="M52" s="5">
        <f>0</f>
        <v/>
      </c>
      <c r="N52" s="5">
        <f>0</f>
        <v/>
      </c>
      <c r="O52" s="5">
        <f>0</f>
        <v/>
      </c>
      <c r="P52" s="5">
        <f>0</f>
        <v/>
      </c>
      <c r="Q52" s="5">
        <f>0</f>
        <v/>
      </c>
      <c r="R52" s="5">
        <f>0</f>
        <v/>
      </c>
      <c r="S52" s="5">
        <f>0</f>
        <v/>
      </c>
      <c r="T52" s="5">
        <f>0</f>
        <v/>
      </c>
      <c r="U52" s="5">
        <f>0</f>
        <v/>
      </c>
      <c r="V52" s="5">
        <f>0</f>
        <v/>
      </c>
      <c r="W52" s="5">
        <f>0</f>
        <v/>
      </c>
      <c r="X52" s="5">
        <f>0</f>
        <v/>
      </c>
      <c r="Y52" s="5">
        <f>0</f>
        <v/>
      </c>
      <c r="Z52" s="5">
        <f>0</f>
        <v/>
      </c>
      <c r="AA52" s="5">
        <f>0</f>
        <v/>
      </c>
      <c r="AB52" s="5">
        <f>0</f>
        <v/>
      </c>
      <c r="AC52" s="5">
        <f>0</f>
        <v/>
      </c>
      <c r="AD52" s="5">
        <f>0</f>
        <v/>
      </c>
      <c r="AE52" s="5">
        <f>0</f>
        <v/>
      </c>
      <c r="AF52" s="5">
        <f>0</f>
        <v/>
      </c>
      <c r="AG52" s="5">
        <f>0</f>
        <v/>
      </c>
      <c r="AH52" s="5">
        <f>0</f>
        <v/>
      </c>
      <c r="AI52" s="5">
        <f>0</f>
        <v/>
      </c>
      <c r="AJ52" s="5">
        <f>0</f>
        <v/>
      </c>
      <c r="AK52" s="5">
        <f>0</f>
        <v/>
      </c>
      <c r="AL52" s="5">
        <f>0</f>
        <v/>
      </c>
      <c r="AM52" s="5">
        <f>0</f>
        <v/>
      </c>
      <c r="AN52" s="5">
        <f>0</f>
        <v/>
      </c>
      <c r="AO52" s="5">
        <f>0</f>
        <v/>
      </c>
      <c r="AP52" s="5">
        <f>0</f>
        <v/>
      </c>
      <c r="AQ52" s="5">
        <f>0</f>
        <v/>
      </c>
      <c r="AR52" s="5">
        <f>0</f>
        <v/>
      </c>
      <c r="AS52" s="5">
        <f>0</f>
        <v/>
      </c>
      <c r="AT52" s="5">
        <f>0</f>
        <v/>
      </c>
      <c r="AU52" s="5">
        <f>0</f>
        <v/>
      </c>
      <c r="AV52" s="5">
        <f>0</f>
        <v/>
      </c>
      <c r="AW52" s="5">
        <f>0</f>
        <v/>
      </c>
      <c r="AX52" s="5">
        <f>0</f>
        <v/>
      </c>
      <c r="AY52" s="5">
        <f>0</f>
        <v/>
      </c>
      <c r="AZ52" s="5">
        <f>0</f>
        <v/>
      </c>
      <c r="BA52" s="5">
        <f>0</f>
        <v/>
      </c>
      <c r="BB52" s="5">
        <f>0</f>
        <v/>
      </c>
      <c r="BC52" s="5">
        <f>0</f>
        <v/>
      </c>
      <c r="BD52" s="5">
        <f>0</f>
        <v/>
      </c>
      <c r="BE52" s="5">
        <f>0</f>
        <v/>
      </c>
      <c r="BF52" s="5">
        <f>0</f>
        <v/>
      </c>
      <c r="BG52" s="5">
        <f>0</f>
        <v/>
      </c>
      <c r="BH52" s="5">
        <f>0</f>
        <v/>
      </c>
      <c r="BI52" s="5">
        <f>0</f>
        <v/>
      </c>
      <c r="BJ52" s="5">
        <f>0</f>
        <v/>
      </c>
      <c r="BK52" s="5">
        <f>0</f>
        <v/>
      </c>
      <c r="BL52" s="5">
        <f>0</f>
        <v/>
      </c>
      <c r="BM52" s="5">
        <f>0</f>
        <v/>
      </c>
      <c r="BN52" s="5">
        <f>0</f>
        <v/>
      </c>
      <c r="BO52" s="5">
        <f>0</f>
        <v/>
      </c>
      <c r="BP52" s="5">
        <f>0</f>
        <v/>
      </c>
      <c r="BQ52" s="5">
        <f>0</f>
        <v/>
      </c>
      <c r="BR52" s="5">
        <f>0</f>
        <v/>
      </c>
      <c r="BS52" s="5">
        <f>0</f>
        <v/>
      </c>
      <c r="BT52" s="5">
        <f>0</f>
        <v/>
      </c>
      <c r="BU52" s="5">
        <f>0</f>
        <v/>
      </c>
      <c r="BV52" s="5">
        <f>0</f>
        <v/>
      </c>
      <c r="BW52" s="5">
        <f>0</f>
        <v/>
      </c>
      <c r="BX52" s="5">
        <f>0</f>
        <v/>
      </c>
      <c r="BY52" s="5">
        <f>0</f>
        <v/>
      </c>
    </row>
    <row r="53">
      <c r="B53" s="7" t="inlineStr">
        <is>
          <t>Расходы до займа — всего</t>
        </is>
      </c>
      <c r="C53" s="7" t="inlineStr">
        <is>
          <t>₽</t>
        </is>
      </c>
      <c r="D53" s="130" t="inlineStr"/>
      <c r="E53" s="131">
        <f>SUM(L53:W53)</f>
        <v/>
      </c>
      <c r="F53" s="131">
        <f>SUM(X53:AI53)</f>
        <v/>
      </c>
      <c r="G53" s="131">
        <f>SUM(AJ53:AU53)</f>
        <v/>
      </c>
      <c r="H53" s="131">
        <f>SUM(AV53:BG53)</f>
        <v/>
      </c>
      <c r="I53" s="131">
        <f>SUM(BH53:BS53)</f>
        <v/>
      </c>
      <c r="J53" s="10">
        <f>SUM(L53:BS53)</f>
        <v/>
      </c>
      <c r="L53" s="9">
        <f>SUM(L45:L52)</f>
        <v/>
      </c>
      <c r="M53" s="9">
        <f>SUM(M45:M52)</f>
        <v/>
      </c>
      <c r="N53" s="9">
        <f>SUM(N45:N52)</f>
        <v/>
      </c>
      <c r="O53" s="9">
        <f>SUM(O45:O52)</f>
        <v/>
      </c>
      <c r="P53" s="9">
        <f>SUM(P45:P52)</f>
        <v/>
      </c>
      <c r="Q53" s="9">
        <f>SUM(Q45:Q52)</f>
        <v/>
      </c>
      <c r="R53" s="9">
        <f>SUM(R45:R52)</f>
        <v/>
      </c>
      <c r="S53" s="9">
        <f>SUM(S45:S52)</f>
        <v/>
      </c>
      <c r="T53" s="9">
        <f>SUM(T45:T52)</f>
        <v/>
      </c>
      <c r="U53" s="9">
        <f>SUM(U45:U52)</f>
        <v/>
      </c>
      <c r="V53" s="9">
        <f>SUM(V45:V52)</f>
        <v/>
      </c>
      <c r="W53" s="9">
        <f>SUM(W45:W52)</f>
        <v/>
      </c>
      <c r="X53" s="9">
        <f>SUM(X45:X52)</f>
        <v/>
      </c>
      <c r="Y53" s="9">
        <f>SUM(Y45:Y52)</f>
        <v/>
      </c>
      <c r="Z53" s="9">
        <f>SUM(Z45:Z52)</f>
        <v/>
      </c>
      <c r="AA53" s="9">
        <f>SUM(AA45:AA52)</f>
        <v/>
      </c>
      <c r="AB53" s="9">
        <f>SUM(AB45:AB52)</f>
        <v/>
      </c>
      <c r="AC53" s="9">
        <f>SUM(AC45:AC52)</f>
        <v/>
      </c>
      <c r="AD53" s="9">
        <f>SUM(AD45:AD52)</f>
        <v/>
      </c>
      <c r="AE53" s="9">
        <f>SUM(AE45:AE52)</f>
        <v/>
      </c>
      <c r="AF53" s="9">
        <f>SUM(AF45:AF52)</f>
        <v/>
      </c>
      <c r="AG53" s="9">
        <f>SUM(AG45:AG52)</f>
        <v/>
      </c>
      <c r="AH53" s="9">
        <f>SUM(AH45:AH52)</f>
        <v/>
      </c>
      <c r="AI53" s="9">
        <f>SUM(AI45:AI52)</f>
        <v/>
      </c>
      <c r="AJ53" s="9">
        <f>SUM(AJ45:AJ52)</f>
        <v/>
      </c>
      <c r="AK53" s="9">
        <f>SUM(AK45:AK52)</f>
        <v/>
      </c>
      <c r="AL53" s="9">
        <f>SUM(AL45:AL52)</f>
        <v/>
      </c>
      <c r="AM53" s="9">
        <f>SUM(AM45:AM52)</f>
        <v/>
      </c>
      <c r="AN53" s="9">
        <f>SUM(AN45:AN52)</f>
        <v/>
      </c>
      <c r="AO53" s="9">
        <f>SUM(AO45:AO52)</f>
        <v/>
      </c>
      <c r="AP53" s="9">
        <f>SUM(AP45:AP52)</f>
        <v/>
      </c>
      <c r="AQ53" s="9">
        <f>SUM(AQ45:AQ52)</f>
        <v/>
      </c>
      <c r="AR53" s="9">
        <f>SUM(AR45:AR52)</f>
        <v/>
      </c>
      <c r="AS53" s="9">
        <f>SUM(AS45:AS52)</f>
        <v/>
      </c>
      <c r="AT53" s="9">
        <f>SUM(AT45:AT52)</f>
        <v/>
      </c>
      <c r="AU53" s="9">
        <f>SUM(AU45:AU52)</f>
        <v/>
      </c>
      <c r="AV53" s="9">
        <f>SUM(AV45:AV52)</f>
        <v/>
      </c>
      <c r="AW53" s="9">
        <f>SUM(AW45:AW52)</f>
        <v/>
      </c>
      <c r="AX53" s="9">
        <f>SUM(AX45:AX52)</f>
        <v/>
      </c>
      <c r="AY53" s="9">
        <f>SUM(AY45:AY52)</f>
        <v/>
      </c>
      <c r="AZ53" s="9">
        <f>SUM(AZ45:AZ52)</f>
        <v/>
      </c>
      <c r="BA53" s="9">
        <f>SUM(BA45:BA52)</f>
        <v/>
      </c>
      <c r="BB53" s="9">
        <f>SUM(BB45:BB52)</f>
        <v/>
      </c>
      <c r="BC53" s="9">
        <f>SUM(BC45:BC52)</f>
        <v/>
      </c>
      <c r="BD53" s="9">
        <f>SUM(BD45:BD52)</f>
        <v/>
      </c>
      <c r="BE53" s="9">
        <f>SUM(BE45:BE52)</f>
        <v/>
      </c>
      <c r="BF53" s="9">
        <f>SUM(BF45:BF52)</f>
        <v/>
      </c>
      <c r="BG53" s="9">
        <f>SUM(BG45:BG52)</f>
        <v/>
      </c>
      <c r="BH53" s="9">
        <f>SUM(BH45:BH52)</f>
        <v/>
      </c>
      <c r="BI53" s="9">
        <f>SUM(BI45:BI52)</f>
        <v/>
      </c>
      <c r="BJ53" s="9">
        <f>SUM(BJ45:BJ52)</f>
        <v/>
      </c>
      <c r="BK53" s="9">
        <f>SUM(BK45:BK52)</f>
        <v/>
      </c>
      <c r="BL53" s="9">
        <f>SUM(BL45:BL52)</f>
        <v/>
      </c>
      <c r="BM53" s="9">
        <f>SUM(BM45:BM52)</f>
        <v/>
      </c>
      <c r="BN53" s="9">
        <f>SUM(BN45:BN52)</f>
        <v/>
      </c>
      <c r="BO53" s="9">
        <f>SUM(BO45:BO52)</f>
        <v/>
      </c>
      <c r="BP53" s="9">
        <f>SUM(BP45:BP52)</f>
        <v/>
      </c>
      <c r="BQ53" s="9">
        <f>SUM(BQ45:BQ52)</f>
        <v/>
      </c>
      <c r="BR53" s="9">
        <f>SUM(BR45:BR52)</f>
        <v/>
      </c>
      <c r="BS53" s="9">
        <f>SUM(BS45:BS52)</f>
        <v/>
      </c>
      <c r="BT53" s="9">
        <f>SUM(BT45:BT52)</f>
        <v/>
      </c>
      <c r="BU53" s="9">
        <f>SUM(BU45:BU52)</f>
        <v/>
      </c>
      <c r="BV53" s="9">
        <f>SUM(BV45:BV52)</f>
        <v/>
      </c>
      <c r="BW53" s="9">
        <f>SUM(BW45:BW52)</f>
        <v/>
      </c>
      <c r="BX53" s="9">
        <f>SUM(BX45:BX52)</f>
        <v/>
      </c>
      <c r="BY53" s="9">
        <f>SUM(BY45:BY52)</f>
        <v/>
      </c>
    </row>
    <row r="54">
      <c r="B54" t="inlineStr">
        <is>
          <t>Справочно: закупка на склад</t>
        </is>
      </c>
      <c r="C54" t="inlineStr">
        <is>
          <t>₽</t>
        </is>
      </c>
      <c r="D54" s="127" t="inlineStr">
        <is>
          <t>Уже входит в оплату поставщикам выше</t>
        </is>
      </c>
      <c r="E54" s="129">
        <f>SUM(L54:W54)</f>
        <v/>
      </c>
      <c r="F54" s="129">
        <f>SUM(X54:AI54)</f>
        <v/>
      </c>
      <c r="G54" s="129">
        <f>SUM(AJ54:AU54)</f>
        <v/>
      </c>
      <c r="H54" s="129">
        <f>SUM(AV54:BG54)</f>
        <v/>
      </c>
      <c r="I54" s="129">
        <f>SUM(BH54:BS54)</f>
        <v/>
      </c>
      <c r="J54" s="6">
        <f>SUM(L54:BS54)</f>
        <v/>
      </c>
      <c r="L54" s="5">
        <f>'06_Деньги'!L10</f>
        <v/>
      </c>
      <c r="M54" s="5">
        <f>'06_Деньги'!M10</f>
        <v/>
      </c>
      <c r="N54" s="5">
        <f>'06_Деньги'!N10</f>
        <v/>
      </c>
      <c r="O54" s="5">
        <f>'06_Деньги'!O10</f>
        <v/>
      </c>
      <c r="P54" s="5">
        <f>'06_Деньги'!P10</f>
        <v/>
      </c>
      <c r="Q54" s="5">
        <f>'06_Деньги'!Q10</f>
        <v/>
      </c>
      <c r="R54" s="5">
        <f>'06_Деньги'!R10</f>
        <v/>
      </c>
      <c r="S54" s="5">
        <f>'06_Деньги'!S10</f>
        <v/>
      </c>
      <c r="T54" s="5">
        <f>'06_Деньги'!T10</f>
        <v/>
      </c>
      <c r="U54" s="5">
        <f>'06_Деньги'!U10</f>
        <v/>
      </c>
      <c r="V54" s="5">
        <f>'06_Деньги'!V10</f>
        <v/>
      </c>
      <c r="W54" s="5">
        <f>'06_Деньги'!W10</f>
        <v/>
      </c>
      <c r="X54" s="5">
        <f>'06_Деньги'!X10</f>
        <v/>
      </c>
      <c r="Y54" s="5">
        <f>'06_Деньги'!Y10</f>
        <v/>
      </c>
      <c r="Z54" s="5">
        <f>'06_Деньги'!Z10</f>
        <v/>
      </c>
      <c r="AA54" s="5">
        <f>'06_Деньги'!AA10</f>
        <v/>
      </c>
      <c r="AB54" s="5">
        <f>'06_Деньги'!AB10</f>
        <v/>
      </c>
      <c r="AC54" s="5">
        <f>'06_Деньги'!AC10</f>
        <v/>
      </c>
      <c r="AD54" s="5">
        <f>'06_Деньги'!AD10</f>
        <v/>
      </c>
      <c r="AE54" s="5">
        <f>'06_Деньги'!AE10</f>
        <v/>
      </c>
      <c r="AF54" s="5">
        <f>'06_Деньги'!AF10</f>
        <v/>
      </c>
      <c r="AG54" s="5">
        <f>'06_Деньги'!AG10</f>
        <v/>
      </c>
      <c r="AH54" s="5">
        <f>'06_Деньги'!AH10</f>
        <v/>
      </c>
      <c r="AI54" s="5">
        <f>'06_Деньги'!AI10</f>
        <v/>
      </c>
      <c r="AJ54" s="5">
        <f>'06_Деньги'!AJ10</f>
        <v/>
      </c>
      <c r="AK54" s="5">
        <f>'06_Деньги'!AK10</f>
        <v/>
      </c>
      <c r="AL54" s="5">
        <f>'06_Деньги'!AL10</f>
        <v/>
      </c>
      <c r="AM54" s="5">
        <f>'06_Деньги'!AM10</f>
        <v/>
      </c>
      <c r="AN54" s="5">
        <f>'06_Деньги'!AN10</f>
        <v/>
      </c>
      <c r="AO54" s="5">
        <f>'06_Деньги'!AO10</f>
        <v/>
      </c>
      <c r="AP54" s="5">
        <f>'06_Деньги'!AP10</f>
        <v/>
      </c>
      <c r="AQ54" s="5">
        <f>'06_Деньги'!AQ10</f>
        <v/>
      </c>
      <c r="AR54" s="5">
        <f>'06_Деньги'!AR10</f>
        <v/>
      </c>
      <c r="AS54" s="5">
        <f>'06_Деньги'!AS10</f>
        <v/>
      </c>
      <c r="AT54" s="5">
        <f>'06_Деньги'!AT10</f>
        <v/>
      </c>
      <c r="AU54" s="5">
        <f>'06_Деньги'!AU10</f>
        <v/>
      </c>
      <c r="AV54" s="5">
        <f>'06_Деньги'!AV10</f>
        <v/>
      </c>
      <c r="AW54" s="5">
        <f>'06_Деньги'!AW10</f>
        <v/>
      </c>
      <c r="AX54" s="5">
        <f>'06_Деньги'!AX10</f>
        <v/>
      </c>
      <c r="AY54" s="5">
        <f>'06_Деньги'!AY10</f>
        <v/>
      </c>
      <c r="AZ54" s="5">
        <f>'06_Деньги'!AZ10</f>
        <v/>
      </c>
      <c r="BA54" s="5">
        <f>'06_Деньги'!BA10</f>
        <v/>
      </c>
      <c r="BB54" s="5">
        <f>'06_Деньги'!BB10</f>
        <v/>
      </c>
      <c r="BC54" s="5">
        <f>'06_Деньги'!BC10</f>
        <v/>
      </c>
      <c r="BD54" s="5">
        <f>'06_Деньги'!BD10</f>
        <v/>
      </c>
      <c r="BE54" s="5">
        <f>'06_Деньги'!BE10</f>
        <v/>
      </c>
      <c r="BF54" s="5">
        <f>'06_Деньги'!BF10</f>
        <v/>
      </c>
      <c r="BG54" s="5">
        <f>'06_Деньги'!BG10</f>
        <v/>
      </c>
      <c r="BH54" s="5">
        <f>'06_Деньги'!BH10</f>
        <v/>
      </c>
      <c r="BI54" s="5">
        <f>'06_Деньги'!BI10</f>
        <v/>
      </c>
      <c r="BJ54" s="5">
        <f>'06_Деньги'!BJ10</f>
        <v/>
      </c>
      <c r="BK54" s="5">
        <f>'06_Деньги'!BK10</f>
        <v/>
      </c>
      <c r="BL54" s="5">
        <f>'06_Деньги'!BL10</f>
        <v/>
      </c>
      <c r="BM54" s="5">
        <f>'06_Деньги'!BM10</f>
        <v/>
      </c>
      <c r="BN54" s="5">
        <f>'06_Деньги'!BN10</f>
        <v/>
      </c>
      <c r="BO54" s="5">
        <f>'06_Деньги'!BO10</f>
        <v/>
      </c>
      <c r="BP54" s="5">
        <f>'06_Деньги'!BP10</f>
        <v/>
      </c>
      <c r="BQ54" s="5">
        <f>'06_Деньги'!BQ10</f>
        <v/>
      </c>
      <c r="BR54" s="5">
        <f>'06_Деньги'!BR10</f>
        <v/>
      </c>
      <c r="BS54" s="5">
        <f>'06_Деньги'!BS10</f>
        <v/>
      </c>
      <c r="BT54" s="5">
        <f>'06_Деньги'!BT10</f>
        <v/>
      </c>
      <c r="BU54" s="5">
        <f>'06_Деньги'!BU10</f>
        <v/>
      </c>
      <c r="BV54" s="5">
        <f>'06_Деньги'!BV10</f>
        <v/>
      </c>
      <c r="BW54" s="5">
        <f>'06_Деньги'!BW10</f>
        <v/>
      </c>
      <c r="BX54" s="5">
        <f>'06_Деньги'!BX10</f>
        <v/>
      </c>
      <c r="BY54" s="5">
        <f>'06_Деньги'!BY10</f>
        <v/>
      </c>
    </row>
    <row r="55">
      <c r="B55" s="7" t="inlineStr">
        <is>
          <t>Поток до возврата займа</t>
        </is>
      </c>
      <c r="C55" s="7" t="inlineStr">
        <is>
          <t>₽</t>
        </is>
      </c>
      <c r="D55" s="130" t="inlineStr"/>
      <c r="E55" s="131">
        <f>SUM(L55:W55)</f>
        <v/>
      </c>
      <c r="F55" s="131">
        <f>SUM(X55:AI55)</f>
        <v/>
      </c>
      <c r="G55" s="131">
        <f>SUM(AJ55:AU55)</f>
        <v/>
      </c>
      <c r="H55" s="131">
        <f>SUM(AV55:BG55)</f>
        <v/>
      </c>
      <c r="I55" s="131">
        <f>SUM(BH55:BS55)</f>
        <v/>
      </c>
      <c r="J55" s="10">
        <f>SUM(L55:BS55)</f>
        <v/>
      </c>
      <c r="L55" s="9">
        <f>L44-L53</f>
        <v/>
      </c>
      <c r="M55" s="9">
        <f>M44-M53</f>
        <v/>
      </c>
      <c r="N55" s="9">
        <f>N44-N53</f>
        <v/>
      </c>
      <c r="O55" s="9">
        <f>O44-O53</f>
        <v/>
      </c>
      <c r="P55" s="9">
        <f>P44-P53</f>
        <v/>
      </c>
      <c r="Q55" s="9">
        <f>Q44-Q53</f>
        <v/>
      </c>
      <c r="R55" s="9">
        <f>R44-R53</f>
        <v/>
      </c>
      <c r="S55" s="9">
        <f>S44-S53</f>
        <v/>
      </c>
      <c r="T55" s="9">
        <f>T44-T53</f>
        <v/>
      </c>
      <c r="U55" s="9">
        <f>U44-U53</f>
        <v/>
      </c>
      <c r="V55" s="9">
        <f>V44-V53</f>
        <v/>
      </c>
      <c r="W55" s="9">
        <f>W44-W53</f>
        <v/>
      </c>
      <c r="X55" s="9">
        <f>X44-X53</f>
        <v/>
      </c>
      <c r="Y55" s="9">
        <f>Y44-Y53</f>
        <v/>
      </c>
      <c r="Z55" s="9">
        <f>Z44-Z53</f>
        <v/>
      </c>
      <c r="AA55" s="9">
        <f>AA44-AA53</f>
        <v/>
      </c>
      <c r="AB55" s="9">
        <f>AB44-AB53</f>
        <v/>
      </c>
      <c r="AC55" s="9">
        <f>AC44-AC53</f>
        <v/>
      </c>
      <c r="AD55" s="9">
        <f>AD44-AD53</f>
        <v/>
      </c>
      <c r="AE55" s="9">
        <f>AE44-AE53</f>
        <v/>
      </c>
      <c r="AF55" s="9">
        <f>AF44-AF53</f>
        <v/>
      </c>
      <c r="AG55" s="9">
        <f>AG44-AG53</f>
        <v/>
      </c>
      <c r="AH55" s="9">
        <f>AH44-AH53</f>
        <v/>
      </c>
      <c r="AI55" s="9">
        <f>AI44-AI53</f>
        <v/>
      </c>
      <c r="AJ55" s="9">
        <f>AJ44-AJ53</f>
        <v/>
      </c>
      <c r="AK55" s="9">
        <f>AK44-AK53</f>
        <v/>
      </c>
      <c r="AL55" s="9">
        <f>AL44-AL53</f>
        <v/>
      </c>
      <c r="AM55" s="9">
        <f>AM44-AM53</f>
        <v/>
      </c>
      <c r="AN55" s="9">
        <f>AN44-AN53</f>
        <v/>
      </c>
      <c r="AO55" s="9">
        <f>AO44-AO53</f>
        <v/>
      </c>
      <c r="AP55" s="9">
        <f>AP44-AP53</f>
        <v/>
      </c>
      <c r="AQ55" s="9">
        <f>AQ44-AQ53</f>
        <v/>
      </c>
      <c r="AR55" s="9">
        <f>AR44-AR53</f>
        <v/>
      </c>
      <c r="AS55" s="9">
        <f>AS44-AS53</f>
        <v/>
      </c>
      <c r="AT55" s="9">
        <f>AT44-AT53</f>
        <v/>
      </c>
      <c r="AU55" s="9">
        <f>AU44-AU53</f>
        <v/>
      </c>
      <c r="AV55" s="9">
        <f>AV44-AV53</f>
        <v/>
      </c>
      <c r="AW55" s="9">
        <f>AW44-AW53</f>
        <v/>
      </c>
      <c r="AX55" s="9">
        <f>AX44-AX53</f>
        <v/>
      </c>
      <c r="AY55" s="9">
        <f>AY44-AY53</f>
        <v/>
      </c>
      <c r="AZ55" s="9">
        <f>AZ44-AZ53</f>
        <v/>
      </c>
      <c r="BA55" s="9">
        <f>BA44-BA53</f>
        <v/>
      </c>
      <c r="BB55" s="9">
        <f>BB44-BB53</f>
        <v/>
      </c>
      <c r="BC55" s="9">
        <f>BC44-BC53</f>
        <v/>
      </c>
      <c r="BD55" s="9">
        <f>BD44-BD53</f>
        <v/>
      </c>
      <c r="BE55" s="9">
        <f>BE44-BE53</f>
        <v/>
      </c>
      <c r="BF55" s="9">
        <f>BF44-BF53</f>
        <v/>
      </c>
      <c r="BG55" s="9">
        <f>BG44-BG53</f>
        <v/>
      </c>
      <c r="BH55" s="9">
        <f>BH44-BH53</f>
        <v/>
      </c>
      <c r="BI55" s="9">
        <f>BI44-BI53</f>
        <v/>
      </c>
      <c r="BJ55" s="9">
        <f>BJ44-BJ53</f>
        <v/>
      </c>
      <c r="BK55" s="9">
        <f>BK44-BK53</f>
        <v/>
      </c>
      <c r="BL55" s="9">
        <f>BL44-BL53</f>
        <v/>
      </c>
      <c r="BM55" s="9">
        <f>BM44-BM53</f>
        <v/>
      </c>
      <c r="BN55" s="9">
        <f>BN44-BN53</f>
        <v/>
      </c>
      <c r="BO55" s="9">
        <f>BO44-BO53</f>
        <v/>
      </c>
      <c r="BP55" s="9">
        <f>BP44-BP53</f>
        <v/>
      </c>
      <c r="BQ55" s="9">
        <f>BQ44-BQ53</f>
        <v/>
      </c>
      <c r="BR55" s="9">
        <f>BR44-BR53</f>
        <v/>
      </c>
      <c r="BS55" s="9">
        <f>BS44-BS53</f>
        <v/>
      </c>
      <c r="BT55" s="9">
        <f>BT44-BT53</f>
        <v/>
      </c>
      <c r="BU55" s="9">
        <f>BU44-BU53</f>
        <v/>
      </c>
      <c r="BV55" s="9">
        <f>BV44-BV53</f>
        <v/>
      </c>
      <c r="BW55" s="9">
        <f>BW44-BW53</f>
        <v/>
      </c>
      <c r="BX55" s="9">
        <f>BX44-BX53</f>
        <v/>
      </c>
      <c r="BY55" s="9">
        <f>BY44-BY53</f>
        <v/>
      </c>
    </row>
    <row r="56">
      <c r="B56" t="inlineStr">
        <is>
          <t>Остаток до возврата займа</t>
        </is>
      </c>
      <c r="C56" t="inlineStr">
        <is>
          <t>₽</t>
        </is>
      </c>
      <c r="D56" s="127" t="inlineStr"/>
      <c r="E56" s="129">
        <f>SUM(L56:W56)</f>
        <v/>
      </c>
      <c r="F56" s="129">
        <f>SUM(X56:AI56)</f>
        <v/>
      </c>
      <c r="G56" s="129">
        <f>SUM(AJ56:AU56)</f>
        <v/>
      </c>
      <c r="H56" s="129">
        <f>SUM(AV56:BG56)</f>
        <v/>
      </c>
      <c r="I56" s="129">
        <f>SUM(BH56:BS56)</f>
        <v/>
      </c>
      <c r="J56" s="6">
        <f>SUM(L56:BS56)</f>
        <v/>
      </c>
      <c r="L56" s="5">
        <f>L39+L55</f>
        <v/>
      </c>
      <c r="M56" s="5">
        <f>M39+M55</f>
        <v/>
      </c>
      <c r="N56" s="5">
        <f>N39+N55</f>
        <v/>
      </c>
      <c r="O56" s="5">
        <f>O39+O55</f>
        <v/>
      </c>
      <c r="P56" s="5">
        <f>P39+P55</f>
        <v/>
      </c>
      <c r="Q56" s="5">
        <f>Q39+Q55</f>
        <v/>
      </c>
      <c r="R56" s="5">
        <f>R39+R55</f>
        <v/>
      </c>
      <c r="S56" s="5">
        <f>S39+S55</f>
        <v/>
      </c>
      <c r="T56" s="5">
        <f>T39+T55</f>
        <v/>
      </c>
      <c r="U56" s="5">
        <f>U39+U55</f>
        <v/>
      </c>
      <c r="V56" s="5">
        <f>V39+V55</f>
        <v/>
      </c>
      <c r="W56" s="5">
        <f>W39+W55</f>
        <v/>
      </c>
      <c r="X56" s="5">
        <f>X39+X55</f>
        <v/>
      </c>
      <c r="Y56" s="5">
        <f>Y39+Y55</f>
        <v/>
      </c>
      <c r="Z56" s="5">
        <f>Z39+Z55</f>
        <v/>
      </c>
      <c r="AA56" s="5">
        <f>AA39+AA55</f>
        <v/>
      </c>
      <c r="AB56" s="5">
        <f>AB39+AB55</f>
        <v/>
      </c>
      <c r="AC56" s="5">
        <f>AC39+AC55</f>
        <v/>
      </c>
      <c r="AD56" s="5">
        <f>AD39+AD55</f>
        <v/>
      </c>
      <c r="AE56" s="5">
        <f>AE39+AE55</f>
        <v/>
      </c>
      <c r="AF56" s="5">
        <f>AF39+AF55</f>
        <v/>
      </c>
      <c r="AG56" s="5">
        <f>AG39+AG55</f>
        <v/>
      </c>
      <c r="AH56" s="5">
        <f>AH39+AH55</f>
        <v/>
      </c>
      <c r="AI56" s="5">
        <f>AI39+AI55</f>
        <v/>
      </c>
      <c r="AJ56" s="5">
        <f>AJ39+AJ55</f>
        <v/>
      </c>
      <c r="AK56" s="5">
        <f>AK39+AK55</f>
        <v/>
      </c>
      <c r="AL56" s="5">
        <f>AL39+AL55</f>
        <v/>
      </c>
      <c r="AM56" s="5">
        <f>AM39+AM55</f>
        <v/>
      </c>
      <c r="AN56" s="5">
        <f>AN39+AN55</f>
        <v/>
      </c>
      <c r="AO56" s="5">
        <f>AO39+AO55</f>
        <v/>
      </c>
      <c r="AP56" s="5">
        <f>AP39+AP55</f>
        <v/>
      </c>
      <c r="AQ56" s="5">
        <f>AQ39+AQ55</f>
        <v/>
      </c>
      <c r="AR56" s="5">
        <f>AR39+AR55</f>
        <v/>
      </c>
      <c r="AS56" s="5">
        <f>AS39+AS55</f>
        <v/>
      </c>
      <c r="AT56" s="5">
        <f>AT39+AT55</f>
        <v/>
      </c>
      <c r="AU56" s="5">
        <f>AU39+AU55</f>
        <v/>
      </c>
      <c r="AV56" s="5">
        <f>AV39+AV55</f>
        <v/>
      </c>
      <c r="AW56" s="5">
        <f>AW39+AW55</f>
        <v/>
      </c>
      <c r="AX56" s="5">
        <f>AX39+AX55</f>
        <v/>
      </c>
      <c r="AY56" s="5">
        <f>AY39+AY55</f>
        <v/>
      </c>
      <c r="AZ56" s="5">
        <f>AZ39+AZ55</f>
        <v/>
      </c>
      <c r="BA56" s="5">
        <f>BA39+BA55</f>
        <v/>
      </c>
      <c r="BB56" s="5">
        <f>BB39+BB55</f>
        <v/>
      </c>
      <c r="BC56" s="5">
        <f>BC39+BC55</f>
        <v/>
      </c>
      <c r="BD56" s="5">
        <f>BD39+BD55</f>
        <v/>
      </c>
      <c r="BE56" s="5">
        <f>BE39+BE55</f>
        <v/>
      </c>
      <c r="BF56" s="5">
        <f>BF39+BF55</f>
        <v/>
      </c>
      <c r="BG56" s="5">
        <f>BG39+BG55</f>
        <v/>
      </c>
      <c r="BH56" s="5">
        <f>BH39+BH55</f>
        <v/>
      </c>
      <c r="BI56" s="5">
        <f>BI39+BI55</f>
        <v/>
      </c>
      <c r="BJ56" s="5">
        <f>BJ39+BJ55</f>
        <v/>
      </c>
      <c r="BK56" s="5">
        <f>BK39+BK55</f>
        <v/>
      </c>
      <c r="BL56" s="5">
        <f>BL39+BL55</f>
        <v/>
      </c>
      <c r="BM56" s="5">
        <f>BM39+BM55</f>
        <v/>
      </c>
      <c r="BN56" s="5">
        <f>BN39+BN55</f>
        <v/>
      </c>
      <c r="BO56" s="5">
        <f>BO39+BO55</f>
        <v/>
      </c>
      <c r="BP56" s="5">
        <f>BP39+BP55</f>
        <v/>
      </c>
      <c r="BQ56" s="5">
        <f>BQ39+BQ55</f>
        <v/>
      </c>
      <c r="BR56" s="5">
        <f>BR39+BR55</f>
        <v/>
      </c>
      <c r="BS56" s="5">
        <f>BS39+BS55</f>
        <v/>
      </c>
      <c r="BT56" s="5">
        <f>BT39+BT55</f>
        <v/>
      </c>
      <c r="BU56" s="5">
        <f>BU39+BU55</f>
        <v/>
      </c>
      <c r="BV56" s="5">
        <f>BV39+BV55</f>
        <v/>
      </c>
      <c r="BW56" s="5">
        <f>BW39+BW55</f>
        <v/>
      </c>
      <c r="BX56" s="5">
        <f>BX39+BX55</f>
        <v/>
      </c>
      <c r="BY56" s="5">
        <f>BY39+BY55</f>
        <v/>
      </c>
    </row>
    <row r="57">
      <c r="B57" t="inlineStr">
        <is>
          <t>Возврат займа клубу</t>
        </is>
      </c>
      <c r="C57" t="inlineStr">
        <is>
          <t>₽</t>
        </is>
      </c>
      <c r="D57" s="127" t="inlineStr"/>
      <c r="E57" s="129">
        <f>SUM(L57:W57)</f>
        <v/>
      </c>
      <c r="F57" s="129">
        <f>SUM(X57:AI57)</f>
        <v/>
      </c>
      <c r="G57" s="129">
        <f>SUM(AJ57:AU57)</f>
        <v/>
      </c>
      <c r="H57" s="129">
        <f>SUM(AV57:BG57)</f>
        <v/>
      </c>
      <c r="I57" s="129">
        <f>SUM(BH57:BS57)</f>
        <v/>
      </c>
      <c r="J57" s="6">
        <f>SUM(L57:BS57)</f>
        <v/>
      </c>
      <c r="L57" s="5">
        <f>'06_Деньги'!L17</f>
        <v/>
      </c>
      <c r="M57" s="5">
        <f>'06_Деньги'!M17</f>
        <v/>
      </c>
      <c r="N57" s="5">
        <f>'06_Деньги'!N17</f>
        <v/>
      </c>
      <c r="O57" s="5">
        <f>'06_Деньги'!O17</f>
        <v/>
      </c>
      <c r="P57" s="5">
        <f>'06_Деньги'!P17</f>
        <v/>
      </c>
      <c r="Q57" s="5">
        <f>'06_Деньги'!Q17</f>
        <v/>
      </c>
      <c r="R57" s="5">
        <f>'06_Деньги'!R17</f>
        <v/>
      </c>
      <c r="S57" s="5">
        <f>'06_Деньги'!S17</f>
        <v/>
      </c>
      <c r="T57" s="5">
        <f>'06_Деньги'!T17</f>
        <v/>
      </c>
      <c r="U57" s="5">
        <f>'06_Деньги'!U17</f>
        <v/>
      </c>
      <c r="V57" s="5">
        <f>'06_Деньги'!V17</f>
        <v/>
      </c>
      <c r="W57" s="5">
        <f>'06_Деньги'!W17</f>
        <v/>
      </c>
      <c r="X57" s="5">
        <f>'06_Деньги'!X17</f>
        <v/>
      </c>
      <c r="Y57" s="5">
        <f>'06_Деньги'!Y17</f>
        <v/>
      </c>
      <c r="Z57" s="5">
        <f>'06_Деньги'!Z17</f>
        <v/>
      </c>
      <c r="AA57" s="5">
        <f>'06_Деньги'!AA17</f>
        <v/>
      </c>
      <c r="AB57" s="5">
        <f>'06_Деньги'!AB17</f>
        <v/>
      </c>
      <c r="AC57" s="5">
        <f>'06_Деньги'!AC17</f>
        <v/>
      </c>
      <c r="AD57" s="5">
        <f>'06_Деньги'!AD17</f>
        <v/>
      </c>
      <c r="AE57" s="5">
        <f>'06_Деньги'!AE17</f>
        <v/>
      </c>
      <c r="AF57" s="5">
        <f>'06_Деньги'!AF17</f>
        <v/>
      </c>
      <c r="AG57" s="5">
        <f>'06_Деньги'!AG17</f>
        <v/>
      </c>
      <c r="AH57" s="5">
        <f>'06_Деньги'!AH17</f>
        <v/>
      </c>
      <c r="AI57" s="5">
        <f>'06_Деньги'!AI17</f>
        <v/>
      </c>
      <c r="AJ57" s="5">
        <f>'06_Деньги'!AJ17</f>
        <v/>
      </c>
      <c r="AK57" s="5">
        <f>'06_Деньги'!AK17</f>
        <v/>
      </c>
      <c r="AL57" s="5">
        <f>'06_Деньги'!AL17</f>
        <v/>
      </c>
      <c r="AM57" s="5">
        <f>'06_Деньги'!AM17</f>
        <v/>
      </c>
      <c r="AN57" s="5">
        <f>'06_Деньги'!AN17</f>
        <v/>
      </c>
      <c r="AO57" s="5">
        <f>'06_Деньги'!AO17</f>
        <v/>
      </c>
      <c r="AP57" s="5">
        <f>'06_Деньги'!AP17</f>
        <v/>
      </c>
      <c r="AQ57" s="5">
        <f>'06_Деньги'!AQ17</f>
        <v/>
      </c>
      <c r="AR57" s="5">
        <f>'06_Деньги'!AR17</f>
        <v/>
      </c>
      <c r="AS57" s="5">
        <f>'06_Деньги'!AS17</f>
        <v/>
      </c>
      <c r="AT57" s="5">
        <f>'06_Деньги'!AT17</f>
        <v/>
      </c>
      <c r="AU57" s="5">
        <f>'06_Деньги'!AU17</f>
        <v/>
      </c>
      <c r="AV57" s="5">
        <f>'06_Деньги'!AV17</f>
        <v/>
      </c>
      <c r="AW57" s="5">
        <f>'06_Деньги'!AW17</f>
        <v/>
      </c>
      <c r="AX57" s="5">
        <f>'06_Деньги'!AX17</f>
        <v/>
      </c>
      <c r="AY57" s="5">
        <f>'06_Деньги'!AY17</f>
        <v/>
      </c>
      <c r="AZ57" s="5">
        <f>'06_Деньги'!AZ17</f>
        <v/>
      </c>
      <c r="BA57" s="5">
        <f>'06_Деньги'!BA17</f>
        <v/>
      </c>
      <c r="BB57" s="5">
        <f>'06_Деньги'!BB17</f>
        <v/>
      </c>
      <c r="BC57" s="5">
        <f>'06_Деньги'!BC17</f>
        <v/>
      </c>
      <c r="BD57" s="5">
        <f>'06_Деньги'!BD17</f>
        <v/>
      </c>
      <c r="BE57" s="5">
        <f>'06_Деньги'!BE17</f>
        <v/>
      </c>
      <c r="BF57" s="5">
        <f>'06_Деньги'!BF17</f>
        <v/>
      </c>
      <c r="BG57" s="5">
        <f>'06_Деньги'!BG17</f>
        <v/>
      </c>
      <c r="BH57" s="5">
        <f>'06_Деньги'!BH17</f>
        <v/>
      </c>
      <c r="BI57" s="5">
        <f>'06_Деньги'!BI17</f>
        <v/>
      </c>
      <c r="BJ57" s="5">
        <f>'06_Деньги'!BJ17</f>
        <v/>
      </c>
      <c r="BK57" s="5">
        <f>'06_Деньги'!BK17</f>
        <v/>
      </c>
      <c r="BL57" s="5">
        <f>'06_Деньги'!BL17</f>
        <v/>
      </c>
      <c r="BM57" s="5">
        <f>'06_Деньги'!BM17</f>
        <v/>
      </c>
      <c r="BN57" s="5">
        <f>'06_Деньги'!BN17</f>
        <v/>
      </c>
      <c r="BO57" s="5">
        <f>'06_Деньги'!BO17</f>
        <v/>
      </c>
      <c r="BP57" s="5">
        <f>'06_Деньги'!BP17</f>
        <v/>
      </c>
      <c r="BQ57" s="5">
        <f>'06_Деньги'!BQ17</f>
        <v/>
      </c>
      <c r="BR57" s="5">
        <f>'06_Деньги'!BR17</f>
        <v/>
      </c>
      <c r="BS57" s="5">
        <f>'06_Деньги'!BS17</f>
        <v/>
      </c>
      <c r="BT57" s="5">
        <f>'06_Деньги'!BT17</f>
        <v/>
      </c>
      <c r="BU57" s="5">
        <f>'06_Деньги'!BU17</f>
        <v/>
      </c>
      <c r="BV57" s="5">
        <f>'06_Деньги'!BV17</f>
        <v/>
      </c>
      <c r="BW57" s="5">
        <f>'06_Деньги'!BW17</f>
        <v/>
      </c>
      <c r="BX57" s="5">
        <f>'06_Деньги'!BX17</f>
        <v/>
      </c>
      <c r="BY57" s="5">
        <f>'06_Деньги'!BY17</f>
        <v/>
      </c>
    </row>
    <row r="58">
      <c r="B58" s="7" t="inlineStr">
        <is>
          <t>Чистый денежный поток</t>
        </is>
      </c>
      <c r="C58" s="7" t="inlineStr">
        <is>
          <t>₽</t>
        </is>
      </c>
      <c r="D58" s="130" t="inlineStr"/>
      <c r="E58" s="131">
        <f>SUM(L58:W58)</f>
        <v/>
      </c>
      <c r="F58" s="131">
        <f>SUM(X58:AI58)</f>
        <v/>
      </c>
      <c r="G58" s="131">
        <f>SUM(AJ58:AU58)</f>
        <v/>
      </c>
      <c r="H58" s="131">
        <f>SUM(AV58:BG58)</f>
        <v/>
      </c>
      <c r="I58" s="131">
        <f>SUM(BH58:BS58)</f>
        <v/>
      </c>
      <c r="J58" s="10">
        <f>SUM(L58:BS58)</f>
        <v/>
      </c>
      <c r="L58" s="9">
        <f>L55-L57</f>
        <v/>
      </c>
      <c r="M58" s="9">
        <f>M55-M57</f>
        <v/>
      </c>
      <c r="N58" s="9">
        <f>N55-N57</f>
        <v/>
      </c>
      <c r="O58" s="9">
        <f>O55-O57</f>
        <v/>
      </c>
      <c r="P58" s="9">
        <f>P55-P57</f>
        <v/>
      </c>
      <c r="Q58" s="9">
        <f>Q55-Q57</f>
        <v/>
      </c>
      <c r="R58" s="9">
        <f>R55-R57</f>
        <v/>
      </c>
      <c r="S58" s="9">
        <f>S55-S57</f>
        <v/>
      </c>
      <c r="T58" s="9">
        <f>T55-T57</f>
        <v/>
      </c>
      <c r="U58" s="9">
        <f>U55-U57</f>
        <v/>
      </c>
      <c r="V58" s="9">
        <f>V55-V57</f>
        <v/>
      </c>
      <c r="W58" s="9">
        <f>W55-W57</f>
        <v/>
      </c>
      <c r="X58" s="9">
        <f>X55-X57</f>
        <v/>
      </c>
      <c r="Y58" s="9">
        <f>Y55-Y57</f>
        <v/>
      </c>
      <c r="Z58" s="9">
        <f>Z55-Z57</f>
        <v/>
      </c>
      <c r="AA58" s="9">
        <f>AA55-AA57</f>
        <v/>
      </c>
      <c r="AB58" s="9">
        <f>AB55-AB57</f>
        <v/>
      </c>
      <c r="AC58" s="9">
        <f>AC55-AC57</f>
        <v/>
      </c>
      <c r="AD58" s="9">
        <f>AD55-AD57</f>
        <v/>
      </c>
      <c r="AE58" s="9">
        <f>AE55-AE57</f>
        <v/>
      </c>
      <c r="AF58" s="9">
        <f>AF55-AF57</f>
        <v/>
      </c>
      <c r="AG58" s="9">
        <f>AG55-AG57</f>
        <v/>
      </c>
      <c r="AH58" s="9">
        <f>AH55-AH57</f>
        <v/>
      </c>
      <c r="AI58" s="9">
        <f>AI55-AI57</f>
        <v/>
      </c>
      <c r="AJ58" s="9">
        <f>AJ55-AJ57</f>
        <v/>
      </c>
      <c r="AK58" s="9">
        <f>AK55-AK57</f>
        <v/>
      </c>
      <c r="AL58" s="9">
        <f>AL55-AL57</f>
        <v/>
      </c>
      <c r="AM58" s="9">
        <f>AM55-AM57</f>
        <v/>
      </c>
      <c r="AN58" s="9">
        <f>AN55-AN57</f>
        <v/>
      </c>
      <c r="AO58" s="9">
        <f>AO55-AO57</f>
        <v/>
      </c>
      <c r="AP58" s="9">
        <f>AP55-AP57</f>
        <v/>
      </c>
      <c r="AQ58" s="9">
        <f>AQ55-AQ57</f>
        <v/>
      </c>
      <c r="AR58" s="9">
        <f>AR55-AR57</f>
        <v/>
      </c>
      <c r="AS58" s="9">
        <f>AS55-AS57</f>
        <v/>
      </c>
      <c r="AT58" s="9">
        <f>AT55-AT57</f>
        <v/>
      </c>
      <c r="AU58" s="9">
        <f>AU55-AU57</f>
        <v/>
      </c>
      <c r="AV58" s="9">
        <f>AV55-AV57</f>
        <v/>
      </c>
      <c r="AW58" s="9">
        <f>AW55-AW57</f>
        <v/>
      </c>
      <c r="AX58" s="9">
        <f>AX55-AX57</f>
        <v/>
      </c>
      <c r="AY58" s="9">
        <f>AY55-AY57</f>
        <v/>
      </c>
      <c r="AZ58" s="9">
        <f>AZ55-AZ57</f>
        <v/>
      </c>
      <c r="BA58" s="9">
        <f>BA55-BA57</f>
        <v/>
      </c>
      <c r="BB58" s="9">
        <f>BB55-BB57</f>
        <v/>
      </c>
      <c r="BC58" s="9">
        <f>BC55-BC57</f>
        <v/>
      </c>
      <c r="BD58" s="9">
        <f>BD55-BD57</f>
        <v/>
      </c>
      <c r="BE58" s="9">
        <f>BE55-BE57</f>
        <v/>
      </c>
      <c r="BF58" s="9">
        <f>BF55-BF57</f>
        <v/>
      </c>
      <c r="BG58" s="9">
        <f>BG55-BG57</f>
        <v/>
      </c>
      <c r="BH58" s="9">
        <f>BH55-BH57</f>
        <v/>
      </c>
      <c r="BI58" s="9">
        <f>BI55-BI57</f>
        <v/>
      </c>
      <c r="BJ58" s="9">
        <f>BJ55-BJ57</f>
        <v/>
      </c>
      <c r="BK58" s="9">
        <f>BK55-BK57</f>
        <v/>
      </c>
      <c r="BL58" s="9">
        <f>BL55-BL57</f>
        <v/>
      </c>
      <c r="BM58" s="9">
        <f>BM55-BM57</f>
        <v/>
      </c>
      <c r="BN58" s="9">
        <f>BN55-BN57</f>
        <v/>
      </c>
      <c r="BO58" s="9">
        <f>BO55-BO57</f>
        <v/>
      </c>
      <c r="BP58" s="9">
        <f>BP55-BP57</f>
        <v/>
      </c>
      <c r="BQ58" s="9">
        <f>BQ55-BQ57</f>
        <v/>
      </c>
      <c r="BR58" s="9">
        <f>BR55-BR57</f>
        <v/>
      </c>
      <c r="BS58" s="9">
        <f>BS55-BS57</f>
        <v/>
      </c>
      <c r="BT58" s="9">
        <f>BT55-BT57</f>
        <v/>
      </c>
      <c r="BU58" s="9">
        <f>BU55-BU57</f>
        <v/>
      </c>
      <c r="BV58" s="9">
        <f>BV55-BV57</f>
        <v/>
      </c>
      <c r="BW58" s="9">
        <f>BW55-BW57</f>
        <v/>
      </c>
      <c r="BX58" s="9">
        <f>BX55-BX57</f>
        <v/>
      </c>
      <c r="BY58" s="9">
        <f>BY55-BY57</f>
        <v/>
      </c>
    </row>
    <row r="59">
      <c r="B59" s="7" t="inlineStr">
        <is>
          <t>Остаток на конец</t>
        </is>
      </c>
      <c r="C59" s="7" t="inlineStr">
        <is>
          <t>₽</t>
        </is>
      </c>
      <c r="D59" s="130" t="inlineStr">
        <is>
          <t>В колонках лет — значение на конец года, в «Итого» — на конец пятого года. Это остаток, а не сумма.</t>
        </is>
      </c>
      <c r="E59" s="131">
        <f>W59</f>
        <v/>
      </c>
      <c r="F59" s="131">
        <f>AI59</f>
        <v/>
      </c>
      <c r="G59" s="131">
        <f>AU59</f>
        <v/>
      </c>
      <c r="H59" s="131">
        <f>BG59</f>
        <v/>
      </c>
      <c r="I59" s="131">
        <f>BS59</f>
        <v/>
      </c>
      <c r="J59" s="10">
        <f>BS59</f>
        <v/>
      </c>
      <c r="L59" s="9">
        <f>L39+L58</f>
        <v/>
      </c>
      <c r="M59" s="9">
        <f>M39+M58</f>
        <v/>
      </c>
      <c r="N59" s="9">
        <f>N39+N58</f>
        <v/>
      </c>
      <c r="O59" s="9">
        <f>O39+O58</f>
        <v/>
      </c>
      <c r="P59" s="9">
        <f>P39+P58</f>
        <v/>
      </c>
      <c r="Q59" s="9">
        <f>Q39+Q58</f>
        <v/>
      </c>
      <c r="R59" s="9">
        <f>R39+R58</f>
        <v/>
      </c>
      <c r="S59" s="9">
        <f>S39+S58</f>
        <v/>
      </c>
      <c r="T59" s="9">
        <f>T39+T58</f>
        <v/>
      </c>
      <c r="U59" s="9">
        <f>U39+U58</f>
        <v/>
      </c>
      <c r="V59" s="9">
        <f>V39+V58</f>
        <v/>
      </c>
      <c r="W59" s="9">
        <f>W39+W58</f>
        <v/>
      </c>
      <c r="X59" s="9">
        <f>X39+X58</f>
        <v/>
      </c>
      <c r="Y59" s="9">
        <f>Y39+Y58</f>
        <v/>
      </c>
      <c r="Z59" s="9">
        <f>Z39+Z58</f>
        <v/>
      </c>
      <c r="AA59" s="9">
        <f>AA39+AA58</f>
        <v/>
      </c>
      <c r="AB59" s="9">
        <f>AB39+AB58</f>
        <v/>
      </c>
      <c r="AC59" s="9">
        <f>AC39+AC58</f>
        <v/>
      </c>
      <c r="AD59" s="9">
        <f>AD39+AD58</f>
        <v/>
      </c>
      <c r="AE59" s="9">
        <f>AE39+AE58</f>
        <v/>
      </c>
      <c r="AF59" s="9">
        <f>AF39+AF58</f>
        <v/>
      </c>
      <c r="AG59" s="9">
        <f>AG39+AG58</f>
        <v/>
      </c>
      <c r="AH59" s="9">
        <f>AH39+AH58</f>
        <v/>
      </c>
      <c r="AI59" s="9">
        <f>AI39+AI58</f>
        <v/>
      </c>
      <c r="AJ59" s="9">
        <f>AJ39+AJ58</f>
        <v/>
      </c>
      <c r="AK59" s="9">
        <f>AK39+AK58</f>
        <v/>
      </c>
      <c r="AL59" s="9">
        <f>AL39+AL58</f>
        <v/>
      </c>
      <c r="AM59" s="9">
        <f>AM39+AM58</f>
        <v/>
      </c>
      <c r="AN59" s="9">
        <f>AN39+AN58</f>
        <v/>
      </c>
      <c r="AO59" s="9">
        <f>AO39+AO58</f>
        <v/>
      </c>
      <c r="AP59" s="9">
        <f>AP39+AP58</f>
        <v/>
      </c>
      <c r="AQ59" s="9">
        <f>AQ39+AQ58</f>
        <v/>
      </c>
      <c r="AR59" s="9">
        <f>AR39+AR58</f>
        <v/>
      </c>
      <c r="AS59" s="9">
        <f>AS39+AS58</f>
        <v/>
      </c>
      <c r="AT59" s="9">
        <f>AT39+AT58</f>
        <v/>
      </c>
      <c r="AU59" s="9">
        <f>AU39+AU58</f>
        <v/>
      </c>
      <c r="AV59" s="9">
        <f>AV39+AV58</f>
        <v/>
      </c>
      <c r="AW59" s="9">
        <f>AW39+AW58</f>
        <v/>
      </c>
      <c r="AX59" s="9">
        <f>AX39+AX58</f>
        <v/>
      </c>
      <c r="AY59" s="9">
        <f>AY39+AY58</f>
        <v/>
      </c>
      <c r="AZ59" s="9">
        <f>AZ39+AZ58</f>
        <v/>
      </c>
      <c r="BA59" s="9">
        <f>BA39+BA58</f>
        <v/>
      </c>
      <c r="BB59" s="9">
        <f>BB39+BB58</f>
        <v/>
      </c>
      <c r="BC59" s="9">
        <f>BC39+BC58</f>
        <v/>
      </c>
      <c r="BD59" s="9">
        <f>BD39+BD58</f>
        <v/>
      </c>
      <c r="BE59" s="9">
        <f>BE39+BE58</f>
        <v/>
      </c>
      <c r="BF59" s="9">
        <f>BF39+BF58</f>
        <v/>
      </c>
      <c r="BG59" s="9">
        <f>BG39+BG58</f>
        <v/>
      </c>
      <c r="BH59" s="9">
        <f>BH39+BH58</f>
        <v/>
      </c>
      <c r="BI59" s="9">
        <f>BI39+BI58</f>
        <v/>
      </c>
      <c r="BJ59" s="9">
        <f>BJ39+BJ58</f>
        <v/>
      </c>
      <c r="BK59" s="9">
        <f>BK39+BK58</f>
        <v/>
      </c>
      <c r="BL59" s="9">
        <f>BL39+BL58</f>
        <v/>
      </c>
      <c r="BM59" s="9">
        <f>BM39+BM58</f>
        <v/>
      </c>
      <c r="BN59" s="9">
        <f>BN39+BN58</f>
        <v/>
      </c>
      <c r="BO59" s="9">
        <f>BO39+BO58</f>
        <v/>
      </c>
      <c r="BP59" s="9">
        <f>BP39+BP58</f>
        <v/>
      </c>
      <c r="BQ59" s="9">
        <f>BQ39+BQ58</f>
        <v/>
      </c>
      <c r="BR59" s="9">
        <f>BR39+BR58</f>
        <v/>
      </c>
      <c r="BS59" s="9">
        <f>BS39+BS58</f>
        <v/>
      </c>
      <c r="BT59" s="9">
        <f>BT39+BT58</f>
        <v/>
      </c>
      <c r="BU59" s="9">
        <f>BU39+BU58</f>
        <v/>
      </c>
      <c r="BV59" s="9">
        <f>BV39+BV58</f>
        <v/>
      </c>
      <c r="BW59" s="9">
        <f>BW39+BW58</f>
        <v/>
      </c>
      <c r="BX59" s="9">
        <f>BX39+BX58</f>
        <v/>
      </c>
      <c r="BY59" s="9">
        <f>BY39+BY58</f>
        <v/>
      </c>
    </row>
  </sheetData>
  <mergeCells count="9">
    <mergeCell ref="B4:B5"/>
    <mergeCell ref="C4:C5"/>
    <mergeCell ref="F4:F5"/>
    <mergeCell ref="E4:E5"/>
    <mergeCell ref="D4:D5"/>
    <mergeCell ref="G4:G5"/>
    <mergeCell ref="H4:H5"/>
    <mergeCell ref="I4:I5"/>
    <mergeCell ref="J4:J5"/>
  </mergeCells>
  <printOptions horizontalCentered="0"/>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B1:BY62"/>
  <sheetViews>
    <sheetView showGridLines="0" workbookViewId="0">
      <pane xSplit="11" ySplit="5" topLeftCell="L6"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22" t="inlineStr">
        <is>
          <t>Сеть: продажи, школы и дети</t>
        </is>
      </c>
    </row>
    <row r="2">
      <c r="B2" s="2" t="inlineStr">
        <is>
          <t>Расшифровка к «Результату». Считается слева направо: план продаж → открытия → когорты школ по месяцам жизни → дети.</t>
        </is>
      </c>
    </row>
    <row r="3"/>
    <row r="4" ht="26" customHeight="1">
      <c r="B4" s="123" t="inlineStr">
        <is>
          <t>Показатель</t>
        </is>
      </c>
      <c r="C4" s="123" t="inlineStr">
        <is>
          <t>Ед.</t>
        </is>
      </c>
      <c r="D4" s="123" t="inlineStr">
        <is>
          <t>Как считается</t>
        </is>
      </c>
      <c r="E4" s="123" t="inlineStr">
        <is>
          <t>Год 1</t>
        </is>
      </c>
      <c r="F4" s="123" t="inlineStr">
        <is>
          <t>Год 2</t>
        </is>
      </c>
      <c r="G4" s="123" t="inlineStr">
        <is>
          <t>Год 3</t>
        </is>
      </c>
      <c r="H4" s="123" t="inlineStr">
        <is>
          <t>Год 4</t>
        </is>
      </c>
      <c r="I4" s="123" t="inlineStr">
        <is>
          <t>Год 5</t>
        </is>
      </c>
      <c r="J4" s="123" t="inlineStr">
        <is>
          <t>Итого 5 лет</t>
        </is>
      </c>
      <c r="K4" s="123" t="n"/>
      <c r="L4" s="123" t="inlineStr">
        <is>
          <t>М1</t>
        </is>
      </c>
      <c r="M4" s="123" t="inlineStr">
        <is>
          <t>М2</t>
        </is>
      </c>
      <c r="N4" s="123" t="inlineStr">
        <is>
          <t>М3</t>
        </is>
      </c>
      <c r="O4" s="123" t="inlineStr">
        <is>
          <t>М4</t>
        </is>
      </c>
      <c r="P4" s="123" t="inlineStr">
        <is>
          <t>М5</t>
        </is>
      </c>
      <c r="Q4" s="123" t="inlineStr">
        <is>
          <t>М6</t>
        </is>
      </c>
      <c r="R4" s="123" t="inlineStr">
        <is>
          <t>М7</t>
        </is>
      </c>
      <c r="S4" s="123" t="inlineStr">
        <is>
          <t>М8</t>
        </is>
      </c>
      <c r="T4" s="123" t="inlineStr">
        <is>
          <t>М9</t>
        </is>
      </c>
      <c r="U4" s="123" t="inlineStr">
        <is>
          <t>М10</t>
        </is>
      </c>
      <c r="V4" s="123" t="inlineStr">
        <is>
          <t>М11</t>
        </is>
      </c>
      <c r="W4" s="123" t="inlineStr">
        <is>
          <t>М12</t>
        </is>
      </c>
      <c r="X4" s="123" t="inlineStr">
        <is>
          <t>М13</t>
        </is>
      </c>
      <c r="Y4" s="123" t="inlineStr">
        <is>
          <t>М14</t>
        </is>
      </c>
      <c r="Z4" s="123" t="inlineStr">
        <is>
          <t>М15</t>
        </is>
      </c>
      <c r="AA4" s="123" t="inlineStr">
        <is>
          <t>М16</t>
        </is>
      </c>
      <c r="AB4" s="123" t="inlineStr">
        <is>
          <t>М17</t>
        </is>
      </c>
      <c r="AC4" s="123" t="inlineStr">
        <is>
          <t>М18</t>
        </is>
      </c>
      <c r="AD4" s="123" t="inlineStr">
        <is>
          <t>М19</t>
        </is>
      </c>
      <c r="AE4" s="123" t="inlineStr">
        <is>
          <t>М20</t>
        </is>
      </c>
      <c r="AF4" s="123" t="inlineStr">
        <is>
          <t>М21</t>
        </is>
      </c>
      <c r="AG4" s="123" t="inlineStr">
        <is>
          <t>М22</t>
        </is>
      </c>
      <c r="AH4" s="123" t="inlineStr">
        <is>
          <t>М23</t>
        </is>
      </c>
      <c r="AI4" s="123" t="inlineStr">
        <is>
          <t>М24</t>
        </is>
      </c>
      <c r="AJ4" s="123" t="inlineStr">
        <is>
          <t>М25</t>
        </is>
      </c>
      <c r="AK4" s="123" t="inlineStr">
        <is>
          <t>М26</t>
        </is>
      </c>
      <c r="AL4" s="123" t="inlineStr">
        <is>
          <t>М27</t>
        </is>
      </c>
      <c r="AM4" s="123" t="inlineStr">
        <is>
          <t>М28</t>
        </is>
      </c>
      <c r="AN4" s="123" t="inlineStr">
        <is>
          <t>М29</t>
        </is>
      </c>
      <c r="AO4" s="123" t="inlineStr">
        <is>
          <t>М30</t>
        </is>
      </c>
      <c r="AP4" s="123" t="inlineStr">
        <is>
          <t>М31</t>
        </is>
      </c>
      <c r="AQ4" s="123" t="inlineStr">
        <is>
          <t>М32</t>
        </is>
      </c>
      <c r="AR4" s="123" t="inlineStr">
        <is>
          <t>М33</t>
        </is>
      </c>
      <c r="AS4" s="123" t="inlineStr">
        <is>
          <t>М34</t>
        </is>
      </c>
      <c r="AT4" s="123" t="inlineStr">
        <is>
          <t>М35</t>
        </is>
      </c>
      <c r="AU4" s="123" t="inlineStr">
        <is>
          <t>М36</t>
        </is>
      </c>
      <c r="AV4" s="123" t="inlineStr">
        <is>
          <t>М37</t>
        </is>
      </c>
      <c r="AW4" s="123" t="inlineStr">
        <is>
          <t>М38</t>
        </is>
      </c>
      <c r="AX4" s="123" t="inlineStr">
        <is>
          <t>М39</t>
        </is>
      </c>
      <c r="AY4" s="123" t="inlineStr">
        <is>
          <t>М40</t>
        </is>
      </c>
      <c r="AZ4" s="123" t="inlineStr">
        <is>
          <t>М41</t>
        </is>
      </c>
      <c r="BA4" s="123" t="inlineStr">
        <is>
          <t>М42</t>
        </is>
      </c>
      <c r="BB4" s="123" t="inlineStr">
        <is>
          <t>М43</t>
        </is>
      </c>
      <c r="BC4" s="123" t="inlineStr">
        <is>
          <t>М44</t>
        </is>
      </c>
      <c r="BD4" s="123" t="inlineStr">
        <is>
          <t>М45</t>
        </is>
      </c>
      <c r="BE4" s="123" t="inlineStr">
        <is>
          <t>М46</t>
        </is>
      </c>
      <c r="BF4" s="123" t="inlineStr">
        <is>
          <t>М47</t>
        </is>
      </c>
      <c r="BG4" s="123" t="inlineStr">
        <is>
          <t>М48</t>
        </is>
      </c>
      <c r="BH4" s="123" t="inlineStr">
        <is>
          <t>М49</t>
        </is>
      </c>
      <c r="BI4" s="123" t="inlineStr">
        <is>
          <t>М50</t>
        </is>
      </c>
      <c r="BJ4" s="123" t="inlineStr">
        <is>
          <t>М51</t>
        </is>
      </c>
      <c r="BK4" s="123" t="inlineStr">
        <is>
          <t>М52</t>
        </is>
      </c>
      <c r="BL4" s="123" t="inlineStr">
        <is>
          <t>М53</t>
        </is>
      </c>
      <c r="BM4" s="123" t="inlineStr">
        <is>
          <t>М54</t>
        </is>
      </c>
      <c r="BN4" s="123" t="inlineStr">
        <is>
          <t>М55</t>
        </is>
      </c>
      <c r="BO4" s="123" t="inlineStr">
        <is>
          <t>М56</t>
        </is>
      </c>
      <c r="BP4" s="123" t="inlineStr">
        <is>
          <t>М57</t>
        </is>
      </c>
      <c r="BQ4" s="123" t="inlineStr">
        <is>
          <t>М58</t>
        </is>
      </c>
      <c r="BR4" s="123" t="inlineStr">
        <is>
          <t>М59</t>
        </is>
      </c>
      <c r="BS4" s="123" t="inlineStr">
        <is>
          <t>М60</t>
        </is>
      </c>
      <c r="BT4" s="123" t="inlineStr">
        <is>
          <t>тех. 1</t>
        </is>
      </c>
      <c r="BU4" s="123" t="inlineStr">
        <is>
          <t>тех. 2</t>
        </is>
      </c>
      <c r="BV4" s="123" t="inlineStr">
        <is>
          <t>тех. 3</t>
        </is>
      </c>
      <c r="BW4" s="123" t="inlineStr">
        <is>
          <t>тех. 4</t>
        </is>
      </c>
      <c r="BX4" s="123" t="inlineStr">
        <is>
          <t>тех. 5</t>
        </is>
      </c>
      <c r="BY4" s="123" t="inlineStr">
        <is>
          <t>тех. 6</t>
        </is>
      </c>
    </row>
    <row r="5" ht="16" customHeight="1">
      <c r="B5" s="123" t="n"/>
      <c r="C5" s="123" t="n"/>
      <c r="D5" s="123" t="n"/>
      <c r="E5" s="123" t="n"/>
      <c r="F5" s="123" t="n"/>
      <c r="G5" s="123" t="n"/>
      <c r="H5" s="123" t="n"/>
      <c r="I5" s="123" t="n"/>
      <c r="J5" s="123" t="n"/>
      <c r="K5" s="123" t="n"/>
      <c r="L5" s="124">
        <f>DATE(YEAR(СтартМодели),MONTH(СтартМодели)+1-1,1)</f>
        <v/>
      </c>
      <c r="M5" s="124">
        <f>DATE(YEAR(СтартМодели),MONTH(СтартМодели)+2-1,1)</f>
        <v/>
      </c>
      <c r="N5" s="124">
        <f>DATE(YEAR(СтартМодели),MONTH(СтартМодели)+3-1,1)</f>
        <v/>
      </c>
      <c r="O5" s="124">
        <f>DATE(YEAR(СтартМодели),MONTH(СтартМодели)+4-1,1)</f>
        <v/>
      </c>
      <c r="P5" s="124">
        <f>DATE(YEAR(СтартМодели),MONTH(СтартМодели)+5-1,1)</f>
        <v/>
      </c>
      <c r="Q5" s="124">
        <f>DATE(YEAR(СтартМодели),MONTH(СтартМодели)+6-1,1)</f>
        <v/>
      </c>
      <c r="R5" s="124">
        <f>DATE(YEAR(СтартМодели),MONTH(СтартМодели)+7-1,1)</f>
        <v/>
      </c>
      <c r="S5" s="124">
        <f>DATE(YEAR(СтартМодели),MONTH(СтартМодели)+8-1,1)</f>
        <v/>
      </c>
      <c r="T5" s="124">
        <f>DATE(YEAR(СтартМодели),MONTH(СтартМодели)+9-1,1)</f>
        <v/>
      </c>
      <c r="U5" s="124">
        <f>DATE(YEAR(СтартМодели),MONTH(СтартМодели)+10-1,1)</f>
        <v/>
      </c>
      <c r="V5" s="124">
        <f>DATE(YEAR(СтартМодели),MONTH(СтартМодели)+11-1,1)</f>
        <v/>
      </c>
      <c r="W5" s="124">
        <f>DATE(YEAR(СтартМодели),MONTH(СтартМодели)+12-1,1)</f>
        <v/>
      </c>
      <c r="X5" s="124">
        <f>DATE(YEAR(СтартМодели),MONTH(СтартМодели)+13-1,1)</f>
        <v/>
      </c>
      <c r="Y5" s="124">
        <f>DATE(YEAR(СтартМодели),MONTH(СтартМодели)+14-1,1)</f>
        <v/>
      </c>
      <c r="Z5" s="124">
        <f>DATE(YEAR(СтартМодели),MONTH(СтартМодели)+15-1,1)</f>
        <v/>
      </c>
      <c r="AA5" s="124">
        <f>DATE(YEAR(СтартМодели),MONTH(СтартМодели)+16-1,1)</f>
        <v/>
      </c>
      <c r="AB5" s="124">
        <f>DATE(YEAR(СтартМодели),MONTH(СтартМодели)+17-1,1)</f>
        <v/>
      </c>
      <c r="AC5" s="124">
        <f>DATE(YEAR(СтартМодели),MONTH(СтартМодели)+18-1,1)</f>
        <v/>
      </c>
      <c r="AD5" s="124">
        <f>DATE(YEAR(СтартМодели),MONTH(СтартМодели)+19-1,1)</f>
        <v/>
      </c>
      <c r="AE5" s="124">
        <f>DATE(YEAR(СтартМодели),MONTH(СтартМодели)+20-1,1)</f>
        <v/>
      </c>
      <c r="AF5" s="124">
        <f>DATE(YEAR(СтартМодели),MONTH(СтартМодели)+21-1,1)</f>
        <v/>
      </c>
      <c r="AG5" s="124">
        <f>DATE(YEAR(СтартМодели),MONTH(СтартМодели)+22-1,1)</f>
        <v/>
      </c>
      <c r="AH5" s="124">
        <f>DATE(YEAR(СтартМодели),MONTH(СтартМодели)+23-1,1)</f>
        <v/>
      </c>
      <c r="AI5" s="124">
        <f>DATE(YEAR(СтартМодели),MONTH(СтартМодели)+24-1,1)</f>
        <v/>
      </c>
      <c r="AJ5" s="124">
        <f>DATE(YEAR(СтартМодели),MONTH(СтартМодели)+25-1,1)</f>
        <v/>
      </c>
      <c r="AK5" s="124">
        <f>DATE(YEAR(СтартМодели),MONTH(СтартМодели)+26-1,1)</f>
        <v/>
      </c>
      <c r="AL5" s="124">
        <f>DATE(YEAR(СтартМодели),MONTH(СтартМодели)+27-1,1)</f>
        <v/>
      </c>
      <c r="AM5" s="124">
        <f>DATE(YEAR(СтартМодели),MONTH(СтартМодели)+28-1,1)</f>
        <v/>
      </c>
      <c r="AN5" s="124">
        <f>DATE(YEAR(СтартМодели),MONTH(СтартМодели)+29-1,1)</f>
        <v/>
      </c>
      <c r="AO5" s="124">
        <f>DATE(YEAR(СтартМодели),MONTH(СтартМодели)+30-1,1)</f>
        <v/>
      </c>
      <c r="AP5" s="124">
        <f>DATE(YEAR(СтартМодели),MONTH(СтартМодели)+31-1,1)</f>
        <v/>
      </c>
      <c r="AQ5" s="124">
        <f>DATE(YEAR(СтартМодели),MONTH(СтартМодели)+32-1,1)</f>
        <v/>
      </c>
      <c r="AR5" s="124">
        <f>DATE(YEAR(СтартМодели),MONTH(СтартМодели)+33-1,1)</f>
        <v/>
      </c>
      <c r="AS5" s="124">
        <f>DATE(YEAR(СтартМодели),MONTH(СтартМодели)+34-1,1)</f>
        <v/>
      </c>
      <c r="AT5" s="124">
        <f>DATE(YEAR(СтартМодели),MONTH(СтартМодели)+35-1,1)</f>
        <v/>
      </c>
      <c r="AU5" s="124">
        <f>DATE(YEAR(СтартМодели),MONTH(СтартМодели)+36-1,1)</f>
        <v/>
      </c>
      <c r="AV5" s="124">
        <f>DATE(YEAR(СтартМодели),MONTH(СтартМодели)+37-1,1)</f>
        <v/>
      </c>
      <c r="AW5" s="124">
        <f>DATE(YEAR(СтартМодели),MONTH(СтартМодели)+38-1,1)</f>
        <v/>
      </c>
      <c r="AX5" s="124">
        <f>DATE(YEAR(СтартМодели),MONTH(СтартМодели)+39-1,1)</f>
        <v/>
      </c>
      <c r="AY5" s="124">
        <f>DATE(YEAR(СтартМодели),MONTH(СтартМодели)+40-1,1)</f>
        <v/>
      </c>
      <c r="AZ5" s="124">
        <f>DATE(YEAR(СтартМодели),MONTH(СтартМодели)+41-1,1)</f>
        <v/>
      </c>
      <c r="BA5" s="124">
        <f>DATE(YEAR(СтартМодели),MONTH(СтартМодели)+42-1,1)</f>
        <v/>
      </c>
      <c r="BB5" s="124">
        <f>DATE(YEAR(СтартМодели),MONTH(СтартМодели)+43-1,1)</f>
        <v/>
      </c>
      <c r="BC5" s="124">
        <f>DATE(YEAR(СтартМодели),MONTH(СтартМодели)+44-1,1)</f>
        <v/>
      </c>
      <c r="BD5" s="124">
        <f>DATE(YEAR(СтартМодели),MONTH(СтартМодели)+45-1,1)</f>
        <v/>
      </c>
      <c r="BE5" s="124">
        <f>DATE(YEAR(СтартМодели),MONTH(СтартМодели)+46-1,1)</f>
        <v/>
      </c>
      <c r="BF5" s="124">
        <f>DATE(YEAR(СтартМодели),MONTH(СтартМодели)+47-1,1)</f>
        <v/>
      </c>
      <c r="BG5" s="124">
        <f>DATE(YEAR(СтартМодели),MONTH(СтартМодели)+48-1,1)</f>
        <v/>
      </c>
      <c r="BH5" s="124">
        <f>DATE(YEAR(СтартМодели),MONTH(СтартМодели)+49-1,1)</f>
        <v/>
      </c>
      <c r="BI5" s="124">
        <f>DATE(YEAR(СтартМодели),MONTH(СтартМодели)+50-1,1)</f>
        <v/>
      </c>
      <c r="BJ5" s="124">
        <f>DATE(YEAR(СтартМодели),MONTH(СтартМодели)+51-1,1)</f>
        <v/>
      </c>
      <c r="BK5" s="124">
        <f>DATE(YEAR(СтартМодели),MONTH(СтартМодели)+52-1,1)</f>
        <v/>
      </c>
      <c r="BL5" s="124">
        <f>DATE(YEAR(СтартМодели),MONTH(СтартМодели)+53-1,1)</f>
        <v/>
      </c>
      <c r="BM5" s="124">
        <f>DATE(YEAR(СтартМодели),MONTH(СтартМодели)+54-1,1)</f>
        <v/>
      </c>
      <c r="BN5" s="124">
        <f>DATE(YEAR(СтартМодели),MONTH(СтартМодели)+55-1,1)</f>
        <v/>
      </c>
      <c r="BO5" s="124">
        <f>DATE(YEAR(СтартМодели),MONTH(СтартМодели)+56-1,1)</f>
        <v/>
      </c>
      <c r="BP5" s="124">
        <f>DATE(YEAR(СтартМодели),MONTH(СтартМодели)+57-1,1)</f>
        <v/>
      </c>
      <c r="BQ5" s="124">
        <f>DATE(YEAR(СтартМодели),MONTH(СтартМодели)+58-1,1)</f>
        <v/>
      </c>
      <c r="BR5" s="124">
        <f>DATE(YEAR(СтартМодели),MONTH(СтартМодели)+59-1,1)</f>
        <v/>
      </c>
      <c r="BS5" s="124">
        <f>DATE(YEAR(СтартМодели),MONTH(СтартМодели)+60-1,1)</f>
        <v/>
      </c>
      <c r="BT5" s="124">
        <f>DATE(YEAR(СтартМодели),MONTH(СтартМодели)+61-1,1)</f>
        <v/>
      </c>
      <c r="BU5" s="124">
        <f>DATE(YEAR(СтартМодели),MONTH(СтартМодели)+62-1,1)</f>
        <v/>
      </c>
      <c r="BV5" s="124">
        <f>DATE(YEAR(СтартМодели),MONTH(СтартМодели)+63-1,1)</f>
        <v/>
      </c>
      <c r="BW5" s="124">
        <f>DATE(YEAR(СтартМодели),MONTH(СтартМодели)+64-1,1)</f>
        <v/>
      </c>
      <c r="BX5" s="124">
        <f>DATE(YEAR(СтартМодели),MONTH(СтартМодели)+65-1,1)</f>
        <v/>
      </c>
      <c r="BY5" s="124">
        <f>DATE(YEAR(СтартМодели),MONTH(СтартМодели)+66-1,1)</f>
        <v/>
      </c>
    </row>
    <row r="6">
      <c r="B6" s="125" t="inlineStr">
        <is>
          <t>Календарь</t>
        </is>
      </c>
      <c r="C6" s="126" t="n"/>
      <c r="D6" s="126" t="n"/>
      <c r="E6" s="126" t="n"/>
      <c r="F6" s="126" t="n"/>
      <c r="G6" s="126" t="n"/>
      <c r="H6" s="126" t="n"/>
      <c r="I6" s="126" t="n"/>
      <c r="J6" s="126" t="n"/>
      <c r="K6" s="126" t="n"/>
      <c r="L6" s="126" t="n"/>
      <c r="M6" s="126" t="n"/>
      <c r="N6" s="126" t="n"/>
      <c r="O6" s="126" t="n"/>
      <c r="P6" s="126" t="n"/>
      <c r="Q6" s="126" t="n"/>
      <c r="R6" s="126" t="n"/>
      <c r="S6" s="126" t="n"/>
      <c r="T6" s="126" t="n"/>
      <c r="U6" s="126" t="n"/>
      <c r="V6" s="126" t="n"/>
      <c r="W6" s="126" t="n"/>
      <c r="X6" s="126" t="n"/>
      <c r="Y6" s="126" t="n"/>
      <c r="Z6" s="126" t="n"/>
      <c r="AA6" s="126" t="n"/>
      <c r="AB6" s="126" t="n"/>
      <c r="AC6" s="126" t="n"/>
      <c r="AD6" s="126" t="n"/>
      <c r="AE6" s="126" t="n"/>
      <c r="AF6" s="126" t="n"/>
      <c r="AG6" s="126" t="n"/>
      <c r="AH6" s="126" t="n"/>
      <c r="AI6" s="126" t="n"/>
      <c r="AJ6" s="126" t="n"/>
      <c r="AK6" s="126" t="n"/>
      <c r="AL6" s="126" t="n"/>
      <c r="AM6" s="126" t="n"/>
      <c r="AN6" s="126" t="n"/>
      <c r="AO6" s="126" t="n"/>
      <c r="AP6" s="126" t="n"/>
      <c r="AQ6" s="126" t="n"/>
      <c r="AR6" s="126" t="n"/>
      <c r="AS6" s="126" t="n"/>
      <c r="AT6" s="126" t="n"/>
      <c r="AU6" s="126" t="n"/>
      <c r="AV6" s="126" t="n"/>
      <c r="AW6" s="126" t="n"/>
      <c r="AX6" s="126" t="n"/>
      <c r="AY6" s="126" t="n"/>
      <c r="AZ6" s="126" t="n"/>
      <c r="BA6" s="126" t="n"/>
      <c r="BB6" s="126" t="n"/>
      <c r="BC6" s="126" t="n"/>
      <c r="BD6" s="126" t="n"/>
      <c r="BE6" s="126" t="n"/>
      <c r="BF6" s="126" t="n"/>
      <c r="BG6" s="126" t="n"/>
      <c r="BH6" s="126" t="n"/>
      <c r="BI6" s="126" t="n"/>
      <c r="BJ6" s="126" t="n"/>
      <c r="BK6" s="126" t="n"/>
      <c r="BL6" s="126" t="n"/>
      <c r="BM6" s="126" t="n"/>
      <c r="BN6" s="126" t="n"/>
      <c r="BO6" s="126" t="n"/>
      <c r="BP6" s="126" t="n"/>
      <c r="BQ6" s="126" t="n"/>
      <c r="BR6" s="126" t="n"/>
      <c r="BS6" s="126" t="n"/>
      <c r="BT6" s="126" t="n"/>
      <c r="BU6" s="126" t="n"/>
      <c r="BV6" s="126" t="n"/>
      <c r="BW6" s="126" t="n"/>
      <c r="BX6" s="126" t="n"/>
      <c r="BY6" s="126" t="n"/>
    </row>
    <row r="7">
      <c r="B7" t="inlineStr">
        <is>
          <t>Месяц</t>
        </is>
      </c>
      <c r="C7" t="inlineStr">
        <is>
          <t>дата</t>
        </is>
      </c>
      <c r="D7" s="127" t="inlineStr">
        <is>
          <t>Отсчёт от даты старта на листе вводных В колонках лет — значение на конец года, в «Итого» — на конец пятого года. Это остаток, а не сумма.</t>
        </is>
      </c>
      <c r="E7" s="134">
        <f>W7</f>
        <v/>
      </c>
      <c r="F7" s="134">
        <f>AI7</f>
        <v/>
      </c>
      <c r="G7" s="134">
        <f>AU7</f>
        <v/>
      </c>
      <c r="H7" s="134">
        <f>BG7</f>
        <v/>
      </c>
      <c r="I7" s="134">
        <f>BS7</f>
        <v/>
      </c>
      <c r="J7" s="135">
        <f>BS7</f>
        <v/>
      </c>
      <c r="L7" s="136">
        <f>DATE(YEAR(СтартМодели),MONTH(СтартМодели)+1-1,1)</f>
        <v/>
      </c>
      <c r="M7" s="136">
        <f>DATE(YEAR(СтартМодели),MONTH(СтартМодели)+2-1,1)</f>
        <v/>
      </c>
      <c r="N7" s="136">
        <f>DATE(YEAR(СтартМодели),MONTH(СтартМодели)+3-1,1)</f>
        <v/>
      </c>
      <c r="O7" s="136">
        <f>DATE(YEAR(СтартМодели),MONTH(СтартМодели)+4-1,1)</f>
        <v/>
      </c>
      <c r="P7" s="136">
        <f>DATE(YEAR(СтартМодели),MONTH(СтартМодели)+5-1,1)</f>
        <v/>
      </c>
      <c r="Q7" s="136">
        <f>DATE(YEAR(СтартМодели),MONTH(СтартМодели)+6-1,1)</f>
        <v/>
      </c>
      <c r="R7" s="136">
        <f>DATE(YEAR(СтартМодели),MONTH(СтартМодели)+7-1,1)</f>
        <v/>
      </c>
      <c r="S7" s="136">
        <f>DATE(YEAR(СтартМодели),MONTH(СтартМодели)+8-1,1)</f>
        <v/>
      </c>
      <c r="T7" s="136">
        <f>DATE(YEAR(СтартМодели),MONTH(СтартМодели)+9-1,1)</f>
        <v/>
      </c>
      <c r="U7" s="136">
        <f>DATE(YEAR(СтартМодели),MONTH(СтартМодели)+10-1,1)</f>
        <v/>
      </c>
      <c r="V7" s="136">
        <f>DATE(YEAR(СтартМодели),MONTH(СтартМодели)+11-1,1)</f>
        <v/>
      </c>
      <c r="W7" s="136">
        <f>DATE(YEAR(СтартМодели),MONTH(СтартМодели)+12-1,1)</f>
        <v/>
      </c>
      <c r="X7" s="136">
        <f>DATE(YEAR(СтартМодели),MONTH(СтартМодели)+13-1,1)</f>
        <v/>
      </c>
      <c r="Y7" s="136">
        <f>DATE(YEAR(СтартМодели),MONTH(СтартМодели)+14-1,1)</f>
        <v/>
      </c>
      <c r="Z7" s="136">
        <f>DATE(YEAR(СтартМодели),MONTH(СтартМодели)+15-1,1)</f>
        <v/>
      </c>
      <c r="AA7" s="136">
        <f>DATE(YEAR(СтартМодели),MONTH(СтартМодели)+16-1,1)</f>
        <v/>
      </c>
      <c r="AB7" s="136">
        <f>DATE(YEAR(СтартМодели),MONTH(СтартМодели)+17-1,1)</f>
        <v/>
      </c>
      <c r="AC7" s="136">
        <f>DATE(YEAR(СтартМодели),MONTH(СтартМодели)+18-1,1)</f>
        <v/>
      </c>
      <c r="AD7" s="136">
        <f>DATE(YEAR(СтартМодели),MONTH(СтартМодели)+19-1,1)</f>
        <v/>
      </c>
      <c r="AE7" s="136">
        <f>DATE(YEAR(СтартМодели),MONTH(СтартМодели)+20-1,1)</f>
        <v/>
      </c>
      <c r="AF7" s="136">
        <f>DATE(YEAR(СтартМодели),MONTH(СтартМодели)+21-1,1)</f>
        <v/>
      </c>
      <c r="AG7" s="136">
        <f>DATE(YEAR(СтартМодели),MONTH(СтартМодели)+22-1,1)</f>
        <v/>
      </c>
      <c r="AH7" s="136">
        <f>DATE(YEAR(СтартМодели),MONTH(СтартМодели)+23-1,1)</f>
        <v/>
      </c>
      <c r="AI7" s="136">
        <f>DATE(YEAR(СтартМодели),MONTH(СтартМодели)+24-1,1)</f>
        <v/>
      </c>
      <c r="AJ7" s="136">
        <f>DATE(YEAR(СтартМодели),MONTH(СтартМодели)+25-1,1)</f>
        <v/>
      </c>
      <c r="AK7" s="136">
        <f>DATE(YEAR(СтартМодели),MONTH(СтартМодели)+26-1,1)</f>
        <v/>
      </c>
      <c r="AL7" s="136">
        <f>DATE(YEAR(СтартМодели),MONTH(СтартМодели)+27-1,1)</f>
        <v/>
      </c>
      <c r="AM7" s="136">
        <f>DATE(YEAR(СтартМодели),MONTH(СтартМодели)+28-1,1)</f>
        <v/>
      </c>
      <c r="AN7" s="136">
        <f>DATE(YEAR(СтартМодели),MONTH(СтартМодели)+29-1,1)</f>
        <v/>
      </c>
      <c r="AO7" s="136">
        <f>DATE(YEAR(СтартМодели),MONTH(СтартМодели)+30-1,1)</f>
        <v/>
      </c>
      <c r="AP7" s="136">
        <f>DATE(YEAR(СтартМодели),MONTH(СтартМодели)+31-1,1)</f>
        <v/>
      </c>
      <c r="AQ7" s="136">
        <f>DATE(YEAR(СтартМодели),MONTH(СтартМодели)+32-1,1)</f>
        <v/>
      </c>
      <c r="AR7" s="136">
        <f>DATE(YEAR(СтартМодели),MONTH(СтартМодели)+33-1,1)</f>
        <v/>
      </c>
      <c r="AS7" s="136">
        <f>DATE(YEAR(СтартМодели),MONTH(СтартМодели)+34-1,1)</f>
        <v/>
      </c>
      <c r="AT7" s="136">
        <f>DATE(YEAR(СтартМодели),MONTH(СтартМодели)+35-1,1)</f>
        <v/>
      </c>
      <c r="AU7" s="136">
        <f>DATE(YEAR(СтартМодели),MONTH(СтартМодели)+36-1,1)</f>
        <v/>
      </c>
      <c r="AV7" s="136">
        <f>DATE(YEAR(СтартМодели),MONTH(СтартМодели)+37-1,1)</f>
        <v/>
      </c>
      <c r="AW7" s="136">
        <f>DATE(YEAR(СтартМодели),MONTH(СтартМодели)+38-1,1)</f>
        <v/>
      </c>
      <c r="AX7" s="136">
        <f>DATE(YEAR(СтартМодели),MONTH(СтартМодели)+39-1,1)</f>
        <v/>
      </c>
      <c r="AY7" s="136">
        <f>DATE(YEAR(СтартМодели),MONTH(СтартМодели)+40-1,1)</f>
        <v/>
      </c>
      <c r="AZ7" s="136">
        <f>DATE(YEAR(СтартМодели),MONTH(СтартМодели)+41-1,1)</f>
        <v/>
      </c>
      <c r="BA7" s="136">
        <f>DATE(YEAR(СтартМодели),MONTH(СтартМодели)+42-1,1)</f>
        <v/>
      </c>
      <c r="BB7" s="136">
        <f>DATE(YEAR(СтартМодели),MONTH(СтартМодели)+43-1,1)</f>
        <v/>
      </c>
      <c r="BC7" s="136">
        <f>DATE(YEAR(СтартМодели),MONTH(СтартМодели)+44-1,1)</f>
        <v/>
      </c>
      <c r="BD7" s="136">
        <f>DATE(YEAR(СтартМодели),MONTH(СтартМодели)+45-1,1)</f>
        <v/>
      </c>
      <c r="BE7" s="136">
        <f>DATE(YEAR(СтартМодели),MONTH(СтартМодели)+46-1,1)</f>
        <v/>
      </c>
      <c r="BF7" s="136">
        <f>DATE(YEAR(СтартМодели),MONTH(СтартМодели)+47-1,1)</f>
        <v/>
      </c>
      <c r="BG7" s="136">
        <f>DATE(YEAR(СтартМодели),MONTH(СтартМодели)+48-1,1)</f>
        <v/>
      </c>
      <c r="BH7" s="136">
        <f>DATE(YEAR(СтартМодели),MONTH(СтартМодели)+49-1,1)</f>
        <v/>
      </c>
      <c r="BI7" s="136">
        <f>DATE(YEAR(СтартМодели),MONTH(СтартМодели)+50-1,1)</f>
        <v/>
      </c>
      <c r="BJ7" s="136">
        <f>DATE(YEAR(СтартМодели),MONTH(СтартМодели)+51-1,1)</f>
        <v/>
      </c>
      <c r="BK7" s="136">
        <f>DATE(YEAR(СтартМодели),MONTH(СтартМодели)+52-1,1)</f>
        <v/>
      </c>
      <c r="BL7" s="136">
        <f>DATE(YEAR(СтартМодели),MONTH(СтартМодели)+53-1,1)</f>
        <v/>
      </c>
      <c r="BM7" s="136">
        <f>DATE(YEAR(СтартМодели),MONTH(СтартМодели)+54-1,1)</f>
        <v/>
      </c>
      <c r="BN7" s="136">
        <f>DATE(YEAR(СтартМодели),MONTH(СтартМодели)+55-1,1)</f>
        <v/>
      </c>
      <c r="BO7" s="136">
        <f>DATE(YEAR(СтартМодели),MONTH(СтартМодели)+56-1,1)</f>
        <v/>
      </c>
      <c r="BP7" s="136">
        <f>DATE(YEAR(СтартМодели),MONTH(СтартМодели)+57-1,1)</f>
        <v/>
      </c>
      <c r="BQ7" s="136">
        <f>DATE(YEAR(СтартМодели),MONTH(СтартМодели)+58-1,1)</f>
        <v/>
      </c>
      <c r="BR7" s="136">
        <f>DATE(YEAR(СтартМодели),MONTH(СтартМодели)+59-1,1)</f>
        <v/>
      </c>
      <c r="BS7" s="136">
        <f>DATE(YEAR(СтартМодели),MONTH(СтартМодели)+60-1,1)</f>
        <v/>
      </c>
      <c r="BT7" s="136">
        <f>DATE(YEAR(СтартМодели),MONTH(СтартМодели)+61-1,1)</f>
        <v/>
      </c>
      <c r="BU7" s="136">
        <f>DATE(YEAR(СтартМодели),MONTH(СтартМодели)+62-1,1)</f>
        <v/>
      </c>
      <c r="BV7" s="136">
        <f>DATE(YEAR(СтартМодели),MONTH(СтартМодели)+63-1,1)</f>
        <v/>
      </c>
      <c r="BW7" s="136">
        <f>DATE(YEAR(СтартМодели),MONTH(СтартМодели)+64-1,1)</f>
        <v/>
      </c>
      <c r="BX7" s="136">
        <f>DATE(YEAR(СтартМодели),MONTH(СтартМодели)+65-1,1)</f>
        <v/>
      </c>
      <c r="BY7" s="136">
        <f>DATE(YEAR(СтартМодели),MONTH(СтартМодели)+66-1,1)</f>
        <v/>
      </c>
    </row>
    <row r="8">
      <c r="B8" t="inlineStr">
        <is>
          <t>Год модели (сезон)</t>
        </is>
      </c>
      <c r="C8" t="inlineStr">
        <is>
          <t>№</t>
        </is>
      </c>
      <c r="D8" s="127" t="inlineStr">
        <is>
          <t>Сезон длится 12 месяцев от старта В колонках лет — значение на конец года, в «Итого» — на конец пятого года. Это остаток, а не сумма.</t>
        </is>
      </c>
      <c r="E8" s="137">
        <f>W8</f>
        <v/>
      </c>
      <c r="F8" s="137">
        <f>AI8</f>
        <v/>
      </c>
      <c r="G8" s="137">
        <f>AU8</f>
        <v/>
      </c>
      <c r="H8" s="137">
        <f>BG8</f>
        <v/>
      </c>
      <c r="I8" s="137">
        <f>BS8</f>
        <v/>
      </c>
      <c r="J8" s="138">
        <f>BS8</f>
        <v/>
      </c>
      <c r="L8" s="139">
        <f>INT((1-1)/12)+1</f>
        <v/>
      </c>
      <c r="M8" s="139">
        <f>INT((2-1)/12)+1</f>
        <v/>
      </c>
      <c r="N8" s="139">
        <f>INT((3-1)/12)+1</f>
        <v/>
      </c>
      <c r="O8" s="139">
        <f>INT((4-1)/12)+1</f>
        <v/>
      </c>
      <c r="P8" s="139">
        <f>INT((5-1)/12)+1</f>
        <v/>
      </c>
      <c r="Q8" s="139">
        <f>INT((6-1)/12)+1</f>
        <v/>
      </c>
      <c r="R8" s="139">
        <f>INT((7-1)/12)+1</f>
        <v/>
      </c>
      <c r="S8" s="139">
        <f>INT((8-1)/12)+1</f>
        <v/>
      </c>
      <c r="T8" s="139">
        <f>INT((9-1)/12)+1</f>
        <v/>
      </c>
      <c r="U8" s="139">
        <f>INT((10-1)/12)+1</f>
        <v/>
      </c>
      <c r="V8" s="139">
        <f>INT((11-1)/12)+1</f>
        <v/>
      </c>
      <c r="W8" s="139">
        <f>INT((12-1)/12)+1</f>
        <v/>
      </c>
      <c r="X8" s="139">
        <f>INT((13-1)/12)+1</f>
        <v/>
      </c>
      <c r="Y8" s="139">
        <f>INT((14-1)/12)+1</f>
        <v/>
      </c>
      <c r="Z8" s="139">
        <f>INT((15-1)/12)+1</f>
        <v/>
      </c>
      <c r="AA8" s="139">
        <f>INT((16-1)/12)+1</f>
        <v/>
      </c>
      <c r="AB8" s="139">
        <f>INT((17-1)/12)+1</f>
        <v/>
      </c>
      <c r="AC8" s="139">
        <f>INT((18-1)/12)+1</f>
        <v/>
      </c>
      <c r="AD8" s="139">
        <f>INT((19-1)/12)+1</f>
        <v/>
      </c>
      <c r="AE8" s="139">
        <f>INT((20-1)/12)+1</f>
        <v/>
      </c>
      <c r="AF8" s="139">
        <f>INT((21-1)/12)+1</f>
        <v/>
      </c>
      <c r="AG8" s="139">
        <f>INT((22-1)/12)+1</f>
        <v/>
      </c>
      <c r="AH8" s="139">
        <f>INT((23-1)/12)+1</f>
        <v/>
      </c>
      <c r="AI8" s="139">
        <f>INT((24-1)/12)+1</f>
        <v/>
      </c>
      <c r="AJ8" s="139">
        <f>INT((25-1)/12)+1</f>
        <v/>
      </c>
      <c r="AK8" s="139">
        <f>INT((26-1)/12)+1</f>
        <v/>
      </c>
      <c r="AL8" s="139">
        <f>INT((27-1)/12)+1</f>
        <v/>
      </c>
      <c r="AM8" s="139">
        <f>INT((28-1)/12)+1</f>
        <v/>
      </c>
      <c r="AN8" s="139">
        <f>INT((29-1)/12)+1</f>
        <v/>
      </c>
      <c r="AO8" s="139">
        <f>INT((30-1)/12)+1</f>
        <v/>
      </c>
      <c r="AP8" s="139">
        <f>INT((31-1)/12)+1</f>
        <v/>
      </c>
      <c r="AQ8" s="139">
        <f>INT((32-1)/12)+1</f>
        <v/>
      </c>
      <c r="AR8" s="139">
        <f>INT((33-1)/12)+1</f>
        <v/>
      </c>
      <c r="AS8" s="139">
        <f>INT((34-1)/12)+1</f>
        <v/>
      </c>
      <c r="AT8" s="139">
        <f>INT((35-1)/12)+1</f>
        <v/>
      </c>
      <c r="AU8" s="139">
        <f>INT((36-1)/12)+1</f>
        <v/>
      </c>
      <c r="AV8" s="139">
        <f>INT((37-1)/12)+1</f>
        <v/>
      </c>
      <c r="AW8" s="139">
        <f>INT((38-1)/12)+1</f>
        <v/>
      </c>
      <c r="AX8" s="139">
        <f>INT((39-1)/12)+1</f>
        <v/>
      </c>
      <c r="AY8" s="139">
        <f>INT((40-1)/12)+1</f>
        <v/>
      </c>
      <c r="AZ8" s="139">
        <f>INT((41-1)/12)+1</f>
        <v/>
      </c>
      <c r="BA8" s="139">
        <f>INT((42-1)/12)+1</f>
        <v/>
      </c>
      <c r="BB8" s="139">
        <f>INT((43-1)/12)+1</f>
        <v/>
      </c>
      <c r="BC8" s="139">
        <f>INT((44-1)/12)+1</f>
        <v/>
      </c>
      <c r="BD8" s="139">
        <f>INT((45-1)/12)+1</f>
        <v/>
      </c>
      <c r="BE8" s="139">
        <f>INT((46-1)/12)+1</f>
        <v/>
      </c>
      <c r="BF8" s="139">
        <f>INT((47-1)/12)+1</f>
        <v/>
      </c>
      <c r="BG8" s="139">
        <f>INT((48-1)/12)+1</f>
        <v/>
      </c>
      <c r="BH8" s="139">
        <f>INT((49-1)/12)+1</f>
        <v/>
      </c>
      <c r="BI8" s="139">
        <f>INT((50-1)/12)+1</f>
        <v/>
      </c>
      <c r="BJ8" s="139">
        <f>INT((51-1)/12)+1</f>
        <v/>
      </c>
      <c r="BK8" s="139">
        <f>INT((52-1)/12)+1</f>
        <v/>
      </c>
      <c r="BL8" s="139">
        <f>INT((53-1)/12)+1</f>
        <v/>
      </c>
      <c r="BM8" s="139">
        <f>INT((54-1)/12)+1</f>
        <v/>
      </c>
      <c r="BN8" s="139">
        <f>INT((55-1)/12)+1</f>
        <v/>
      </c>
      <c r="BO8" s="139">
        <f>INT((56-1)/12)+1</f>
        <v/>
      </c>
      <c r="BP8" s="139">
        <f>INT((57-1)/12)+1</f>
        <v/>
      </c>
      <c r="BQ8" s="139">
        <f>INT((58-1)/12)+1</f>
        <v/>
      </c>
      <c r="BR8" s="139">
        <f>INT((59-1)/12)+1</f>
        <v/>
      </c>
      <c r="BS8" s="139">
        <f>INT((60-1)/12)+1</f>
        <v/>
      </c>
      <c r="BT8" s="139">
        <f>INT((61-1)/12)+1</f>
        <v/>
      </c>
      <c r="BU8" s="139">
        <f>INT((62-1)/12)+1</f>
        <v/>
      </c>
      <c r="BV8" s="139">
        <f>INT((63-1)/12)+1</f>
        <v/>
      </c>
      <c r="BW8" s="139">
        <f>INT((64-1)/12)+1</f>
        <v/>
      </c>
      <c r="BX8" s="139">
        <f>INT((65-1)/12)+1</f>
        <v/>
      </c>
      <c r="BY8" s="139">
        <f>INT((66-1)/12)+1</f>
        <v/>
      </c>
    </row>
    <row r="9">
      <c r="B9" t="inlineStr">
        <is>
          <t>Месяц сезона</t>
        </is>
      </c>
      <c r="C9" t="inlineStr">
        <is>
          <t>№</t>
        </is>
      </c>
      <c r="D9" s="127" t="inlineStr">
        <is>
          <t>1 = первый месяц сезона (сентябрь) В колонках лет — значение на конец года, в «Итого» — на конец пятого года. Это остаток, а не сумма.</t>
        </is>
      </c>
      <c r="E9" s="137">
        <f>W9</f>
        <v/>
      </c>
      <c r="F9" s="137">
        <f>AI9</f>
        <v/>
      </c>
      <c r="G9" s="137">
        <f>AU9</f>
        <v/>
      </c>
      <c r="H9" s="137">
        <f>BG9</f>
        <v/>
      </c>
      <c r="I9" s="137">
        <f>BS9</f>
        <v/>
      </c>
      <c r="J9" s="138">
        <f>BS9</f>
        <v/>
      </c>
      <c r="L9" s="139">
        <f>MOD(1-1,12)+1</f>
        <v/>
      </c>
      <c r="M9" s="139">
        <f>MOD(2-1,12)+1</f>
        <v/>
      </c>
      <c r="N9" s="139">
        <f>MOD(3-1,12)+1</f>
        <v/>
      </c>
      <c r="O9" s="139">
        <f>MOD(4-1,12)+1</f>
        <v/>
      </c>
      <c r="P9" s="139">
        <f>MOD(5-1,12)+1</f>
        <v/>
      </c>
      <c r="Q9" s="139">
        <f>MOD(6-1,12)+1</f>
        <v/>
      </c>
      <c r="R9" s="139">
        <f>MOD(7-1,12)+1</f>
        <v/>
      </c>
      <c r="S9" s="139">
        <f>MOD(8-1,12)+1</f>
        <v/>
      </c>
      <c r="T9" s="139">
        <f>MOD(9-1,12)+1</f>
        <v/>
      </c>
      <c r="U9" s="139">
        <f>MOD(10-1,12)+1</f>
        <v/>
      </c>
      <c r="V9" s="139">
        <f>MOD(11-1,12)+1</f>
        <v/>
      </c>
      <c r="W9" s="139">
        <f>MOD(12-1,12)+1</f>
        <v/>
      </c>
      <c r="X9" s="139">
        <f>MOD(13-1,12)+1</f>
        <v/>
      </c>
      <c r="Y9" s="139">
        <f>MOD(14-1,12)+1</f>
        <v/>
      </c>
      <c r="Z9" s="139">
        <f>MOD(15-1,12)+1</f>
        <v/>
      </c>
      <c r="AA9" s="139">
        <f>MOD(16-1,12)+1</f>
        <v/>
      </c>
      <c r="AB9" s="139">
        <f>MOD(17-1,12)+1</f>
        <v/>
      </c>
      <c r="AC9" s="139">
        <f>MOD(18-1,12)+1</f>
        <v/>
      </c>
      <c r="AD9" s="139">
        <f>MOD(19-1,12)+1</f>
        <v/>
      </c>
      <c r="AE9" s="139">
        <f>MOD(20-1,12)+1</f>
        <v/>
      </c>
      <c r="AF9" s="139">
        <f>MOD(21-1,12)+1</f>
        <v/>
      </c>
      <c r="AG9" s="139">
        <f>MOD(22-1,12)+1</f>
        <v/>
      </c>
      <c r="AH9" s="139">
        <f>MOD(23-1,12)+1</f>
        <v/>
      </c>
      <c r="AI9" s="139">
        <f>MOD(24-1,12)+1</f>
        <v/>
      </c>
      <c r="AJ9" s="139">
        <f>MOD(25-1,12)+1</f>
        <v/>
      </c>
      <c r="AK9" s="139">
        <f>MOD(26-1,12)+1</f>
        <v/>
      </c>
      <c r="AL9" s="139">
        <f>MOD(27-1,12)+1</f>
        <v/>
      </c>
      <c r="AM9" s="139">
        <f>MOD(28-1,12)+1</f>
        <v/>
      </c>
      <c r="AN9" s="139">
        <f>MOD(29-1,12)+1</f>
        <v/>
      </c>
      <c r="AO9" s="139">
        <f>MOD(30-1,12)+1</f>
        <v/>
      </c>
      <c r="AP9" s="139">
        <f>MOD(31-1,12)+1</f>
        <v/>
      </c>
      <c r="AQ9" s="139">
        <f>MOD(32-1,12)+1</f>
        <v/>
      </c>
      <c r="AR9" s="139">
        <f>MOD(33-1,12)+1</f>
        <v/>
      </c>
      <c r="AS9" s="139">
        <f>MOD(34-1,12)+1</f>
        <v/>
      </c>
      <c r="AT9" s="139">
        <f>MOD(35-1,12)+1</f>
        <v/>
      </c>
      <c r="AU9" s="139">
        <f>MOD(36-1,12)+1</f>
        <v/>
      </c>
      <c r="AV9" s="139">
        <f>MOD(37-1,12)+1</f>
        <v/>
      </c>
      <c r="AW9" s="139">
        <f>MOD(38-1,12)+1</f>
        <v/>
      </c>
      <c r="AX9" s="139">
        <f>MOD(39-1,12)+1</f>
        <v/>
      </c>
      <c r="AY9" s="139">
        <f>MOD(40-1,12)+1</f>
        <v/>
      </c>
      <c r="AZ9" s="139">
        <f>MOD(41-1,12)+1</f>
        <v/>
      </c>
      <c r="BA9" s="139">
        <f>MOD(42-1,12)+1</f>
        <v/>
      </c>
      <c r="BB9" s="139">
        <f>MOD(43-1,12)+1</f>
        <v/>
      </c>
      <c r="BC9" s="139">
        <f>MOD(44-1,12)+1</f>
        <v/>
      </c>
      <c r="BD9" s="139">
        <f>MOD(45-1,12)+1</f>
        <v/>
      </c>
      <c r="BE9" s="139">
        <f>MOD(46-1,12)+1</f>
        <v/>
      </c>
      <c r="BF9" s="139">
        <f>MOD(47-1,12)+1</f>
        <v/>
      </c>
      <c r="BG9" s="139">
        <f>MOD(48-1,12)+1</f>
        <v/>
      </c>
      <c r="BH9" s="139">
        <f>MOD(49-1,12)+1</f>
        <v/>
      </c>
      <c r="BI9" s="139">
        <f>MOD(50-1,12)+1</f>
        <v/>
      </c>
      <c r="BJ9" s="139">
        <f>MOD(51-1,12)+1</f>
        <v/>
      </c>
      <c r="BK9" s="139">
        <f>MOD(52-1,12)+1</f>
        <v/>
      </c>
      <c r="BL9" s="139">
        <f>MOD(53-1,12)+1</f>
        <v/>
      </c>
      <c r="BM9" s="139">
        <f>MOD(54-1,12)+1</f>
        <v/>
      </c>
      <c r="BN9" s="139">
        <f>MOD(55-1,12)+1</f>
        <v/>
      </c>
      <c r="BO9" s="139">
        <f>MOD(56-1,12)+1</f>
        <v/>
      </c>
      <c r="BP9" s="139">
        <f>MOD(57-1,12)+1</f>
        <v/>
      </c>
      <c r="BQ9" s="139">
        <f>MOD(58-1,12)+1</f>
        <v/>
      </c>
      <c r="BR9" s="139">
        <f>MOD(59-1,12)+1</f>
        <v/>
      </c>
      <c r="BS9" s="139">
        <f>MOD(60-1,12)+1</f>
        <v/>
      </c>
      <c r="BT9" s="139">
        <f>MOD(61-1,12)+1</f>
        <v/>
      </c>
      <c r="BU9" s="139">
        <f>MOD(62-1,12)+1</f>
        <v/>
      </c>
      <c r="BV9" s="139">
        <f>MOD(63-1,12)+1</f>
        <v/>
      </c>
      <c r="BW9" s="139">
        <f>MOD(64-1,12)+1</f>
        <v/>
      </c>
      <c r="BX9" s="139">
        <f>MOD(65-1,12)+1</f>
        <v/>
      </c>
      <c r="BY9" s="139">
        <f>MOD(66-1,12)+1</f>
        <v/>
      </c>
    </row>
    <row r="10">
      <c r="B10" t="inlineStr">
        <is>
          <t>Сезонность посещаемости</t>
        </is>
      </c>
      <c r="C10" t="inlineStr">
        <is>
          <t>%</t>
        </is>
      </c>
      <c r="D10" s="127" t="inlineStr">
        <is>
          <t>Доля детей, посещающих занятия в этом календарном месяце В колонках лет — среднее за год, в «Итого» — среднее за все 60 месяцев.</t>
        </is>
      </c>
      <c r="E10" s="132">
        <f>AVERAGE(L10:W10)</f>
        <v/>
      </c>
      <c r="F10" s="132">
        <f>AVERAGE(X10:AI10)</f>
        <v/>
      </c>
      <c r="G10" s="132">
        <f>AVERAGE(AJ10:AU10)</f>
        <v/>
      </c>
      <c r="H10" s="132">
        <f>AVERAGE(AV10:BG10)</f>
        <v/>
      </c>
      <c r="I10" s="132">
        <f>AVERAGE(BH10:BS10)</f>
        <v/>
      </c>
      <c r="J10" s="133">
        <f>AVERAGE(L10:BS10)</f>
        <v/>
      </c>
      <c r="L10" s="15">
        <f>INDEX('01_Вводные'!$B$44:$M$44,1,MONTH(L7))</f>
        <v/>
      </c>
      <c r="M10" s="15">
        <f>INDEX('01_Вводные'!$B$44:$M$44,1,MONTH(M7))</f>
        <v/>
      </c>
      <c r="N10" s="15">
        <f>INDEX('01_Вводные'!$B$44:$M$44,1,MONTH(N7))</f>
        <v/>
      </c>
      <c r="O10" s="15">
        <f>INDEX('01_Вводные'!$B$44:$M$44,1,MONTH(O7))</f>
        <v/>
      </c>
      <c r="P10" s="15">
        <f>INDEX('01_Вводные'!$B$44:$M$44,1,MONTH(P7))</f>
        <v/>
      </c>
      <c r="Q10" s="15">
        <f>INDEX('01_Вводные'!$B$44:$M$44,1,MONTH(Q7))</f>
        <v/>
      </c>
      <c r="R10" s="15">
        <f>INDEX('01_Вводные'!$B$44:$M$44,1,MONTH(R7))</f>
        <v/>
      </c>
      <c r="S10" s="15">
        <f>INDEX('01_Вводные'!$B$44:$M$44,1,MONTH(S7))</f>
        <v/>
      </c>
      <c r="T10" s="15">
        <f>INDEX('01_Вводные'!$B$44:$M$44,1,MONTH(T7))</f>
        <v/>
      </c>
      <c r="U10" s="15">
        <f>INDEX('01_Вводные'!$B$44:$M$44,1,MONTH(U7))</f>
        <v/>
      </c>
      <c r="V10" s="15">
        <f>INDEX('01_Вводные'!$B$44:$M$44,1,MONTH(V7))</f>
        <v/>
      </c>
      <c r="W10" s="15">
        <f>INDEX('01_Вводные'!$B$44:$M$44,1,MONTH(W7))</f>
        <v/>
      </c>
      <c r="X10" s="15">
        <f>INDEX('01_Вводные'!$B$44:$M$44,1,MONTH(X7))</f>
        <v/>
      </c>
      <c r="Y10" s="15">
        <f>INDEX('01_Вводные'!$B$44:$M$44,1,MONTH(Y7))</f>
        <v/>
      </c>
      <c r="Z10" s="15">
        <f>INDEX('01_Вводные'!$B$44:$M$44,1,MONTH(Z7))</f>
        <v/>
      </c>
      <c r="AA10" s="15">
        <f>INDEX('01_Вводные'!$B$44:$M$44,1,MONTH(AA7))</f>
        <v/>
      </c>
      <c r="AB10" s="15">
        <f>INDEX('01_Вводные'!$B$44:$M$44,1,MONTH(AB7))</f>
        <v/>
      </c>
      <c r="AC10" s="15">
        <f>INDEX('01_Вводные'!$B$44:$M$44,1,MONTH(AC7))</f>
        <v/>
      </c>
      <c r="AD10" s="15">
        <f>INDEX('01_Вводные'!$B$44:$M$44,1,MONTH(AD7))</f>
        <v/>
      </c>
      <c r="AE10" s="15">
        <f>INDEX('01_Вводные'!$B$44:$M$44,1,MONTH(AE7))</f>
        <v/>
      </c>
      <c r="AF10" s="15">
        <f>INDEX('01_Вводные'!$B$44:$M$44,1,MONTH(AF7))</f>
        <v/>
      </c>
      <c r="AG10" s="15">
        <f>INDEX('01_Вводные'!$B$44:$M$44,1,MONTH(AG7))</f>
        <v/>
      </c>
      <c r="AH10" s="15">
        <f>INDEX('01_Вводные'!$B$44:$M$44,1,MONTH(AH7))</f>
        <v/>
      </c>
      <c r="AI10" s="15">
        <f>INDEX('01_Вводные'!$B$44:$M$44,1,MONTH(AI7))</f>
        <v/>
      </c>
      <c r="AJ10" s="15">
        <f>INDEX('01_Вводные'!$B$44:$M$44,1,MONTH(AJ7))</f>
        <v/>
      </c>
      <c r="AK10" s="15">
        <f>INDEX('01_Вводные'!$B$44:$M$44,1,MONTH(AK7))</f>
        <v/>
      </c>
      <c r="AL10" s="15">
        <f>INDEX('01_Вводные'!$B$44:$M$44,1,MONTH(AL7))</f>
        <v/>
      </c>
      <c r="AM10" s="15">
        <f>INDEX('01_Вводные'!$B$44:$M$44,1,MONTH(AM7))</f>
        <v/>
      </c>
      <c r="AN10" s="15">
        <f>INDEX('01_Вводные'!$B$44:$M$44,1,MONTH(AN7))</f>
        <v/>
      </c>
      <c r="AO10" s="15">
        <f>INDEX('01_Вводные'!$B$44:$M$44,1,MONTH(AO7))</f>
        <v/>
      </c>
      <c r="AP10" s="15">
        <f>INDEX('01_Вводные'!$B$44:$M$44,1,MONTH(AP7))</f>
        <v/>
      </c>
      <c r="AQ10" s="15">
        <f>INDEX('01_Вводные'!$B$44:$M$44,1,MONTH(AQ7))</f>
        <v/>
      </c>
      <c r="AR10" s="15">
        <f>INDEX('01_Вводные'!$B$44:$M$44,1,MONTH(AR7))</f>
        <v/>
      </c>
      <c r="AS10" s="15">
        <f>INDEX('01_Вводные'!$B$44:$M$44,1,MONTH(AS7))</f>
        <v/>
      </c>
      <c r="AT10" s="15">
        <f>INDEX('01_Вводные'!$B$44:$M$44,1,MONTH(AT7))</f>
        <v/>
      </c>
      <c r="AU10" s="15">
        <f>INDEX('01_Вводные'!$B$44:$M$44,1,MONTH(AU7))</f>
        <v/>
      </c>
      <c r="AV10" s="15">
        <f>INDEX('01_Вводные'!$B$44:$M$44,1,MONTH(AV7))</f>
        <v/>
      </c>
      <c r="AW10" s="15">
        <f>INDEX('01_Вводные'!$B$44:$M$44,1,MONTH(AW7))</f>
        <v/>
      </c>
      <c r="AX10" s="15">
        <f>INDEX('01_Вводные'!$B$44:$M$44,1,MONTH(AX7))</f>
        <v/>
      </c>
      <c r="AY10" s="15">
        <f>INDEX('01_Вводные'!$B$44:$M$44,1,MONTH(AY7))</f>
        <v/>
      </c>
      <c r="AZ10" s="15">
        <f>INDEX('01_Вводные'!$B$44:$M$44,1,MONTH(AZ7))</f>
        <v/>
      </c>
      <c r="BA10" s="15">
        <f>INDEX('01_Вводные'!$B$44:$M$44,1,MONTH(BA7))</f>
        <v/>
      </c>
      <c r="BB10" s="15">
        <f>INDEX('01_Вводные'!$B$44:$M$44,1,MONTH(BB7))</f>
        <v/>
      </c>
      <c r="BC10" s="15">
        <f>INDEX('01_Вводные'!$B$44:$M$44,1,MONTH(BC7))</f>
        <v/>
      </c>
      <c r="BD10" s="15">
        <f>INDEX('01_Вводные'!$B$44:$M$44,1,MONTH(BD7))</f>
        <v/>
      </c>
      <c r="BE10" s="15">
        <f>INDEX('01_Вводные'!$B$44:$M$44,1,MONTH(BE7))</f>
        <v/>
      </c>
      <c r="BF10" s="15">
        <f>INDEX('01_Вводные'!$B$44:$M$44,1,MONTH(BF7))</f>
        <v/>
      </c>
      <c r="BG10" s="15">
        <f>INDEX('01_Вводные'!$B$44:$M$44,1,MONTH(BG7))</f>
        <v/>
      </c>
      <c r="BH10" s="15">
        <f>INDEX('01_Вводные'!$B$44:$M$44,1,MONTH(BH7))</f>
        <v/>
      </c>
      <c r="BI10" s="15">
        <f>INDEX('01_Вводные'!$B$44:$M$44,1,MONTH(BI7))</f>
        <v/>
      </c>
      <c r="BJ10" s="15">
        <f>INDEX('01_Вводные'!$B$44:$M$44,1,MONTH(BJ7))</f>
        <v/>
      </c>
      <c r="BK10" s="15">
        <f>INDEX('01_Вводные'!$B$44:$M$44,1,MONTH(BK7))</f>
        <v/>
      </c>
      <c r="BL10" s="15">
        <f>INDEX('01_Вводные'!$B$44:$M$44,1,MONTH(BL7))</f>
        <v/>
      </c>
      <c r="BM10" s="15">
        <f>INDEX('01_Вводные'!$B$44:$M$44,1,MONTH(BM7))</f>
        <v/>
      </c>
      <c r="BN10" s="15">
        <f>INDEX('01_Вводные'!$B$44:$M$44,1,MONTH(BN7))</f>
        <v/>
      </c>
      <c r="BO10" s="15">
        <f>INDEX('01_Вводные'!$B$44:$M$44,1,MONTH(BO7))</f>
        <v/>
      </c>
      <c r="BP10" s="15">
        <f>INDEX('01_Вводные'!$B$44:$M$44,1,MONTH(BP7))</f>
        <v/>
      </c>
      <c r="BQ10" s="15">
        <f>INDEX('01_Вводные'!$B$44:$M$44,1,MONTH(BQ7))</f>
        <v/>
      </c>
      <c r="BR10" s="15">
        <f>INDEX('01_Вводные'!$B$44:$M$44,1,MONTH(BR7))</f>
        <v/>
      </c>
      <c r="BS10" s="15">
        <f>INDEX('01_Вводные'!$B$44:$M$44,1,MONTH(BS7))</f>
        <v/>
      </c>
      <c r="BT10" s="15">
        <f>INDEX('01_Вводные'!$B$44:$M$44,1,MONTH(BT7))</f>
        <v/>
      </c>
      <c r="BU10" s="15">
        <f>INDEX('01_Вводные'!$B$44:$M$44,1,MONTH(BU7))</f>
        <v/>
      </c>
      <c r="BV10" s="15">
        <f>INDEX('01_Вводные'!$B$44:$M$44,1,MONTH(BV7))</f>
        <v/>
      </c>
      <c r="BW10" s="15">
        <f>INDEX('01_Вводные'!$B$44:$M$44,1,MONTH(BW7))</f>
        <v/>
      </c>
      <c r="BX10" s="15">
        <f>INDEX('01_Вводные'!$B$44:$M$44,1,MONTH(BX7))</f>
        <v/>
      </c>
      <c r="BY10" s="15">
        <f>INDEX('01_Вводные'!$B$44:$M$44,1,MONTH(BY7))</f>
        <v/>
      </c>
    </row>
    <row r="11"/>
    <row r="12">
      <c r="B12" s="125" t="inlineStr">
        <is>
          <t>Продажи франшиз и открытия</t>
        </is>
      </c>
      <c r="C12" s="126" t="n"/>
      <c r="D12" s="126" t="n"/>
      <c r="E12" s="126" t="n"/>
      <c r="F12" s="126" t="n"/>
      <c r="G12" s="126" t="n"/>
      <c r="H12" s="126" t="n"/>
      <c r="I12" s="126" t="n"/>
      <c r="J12" s="126" t="n"/>
      <c r="K12" s="126" t="n"/>
      <c r="L12" s="126" t="n"/>
      <c r="M12" s="126" t="n"/>
      <c r="N12" s="126" t="n"/>
      <c r="O12" s="126" t="n"/>
      <c r="P12" s="126" t="n"/>
      <c r="Q12" s="126" t="n"/>
      <c r="R12" s="126" t="n"/>
      <c r="S12" s="126" t="n"/>
      <c r="T12" s="126" t="n"/>
      <c r="U12" s="126" t="n"/>
      <c r="V12" s="126" t="n"/>
      <c r="W12" s="126" t="n"/>
      <c r="X12" s="126" t="n"/>
      <c r="Y12" s="126" t="n"/>
      <c r="Z12" s="126" t="n"/>
      <c r="AA12" s="126" t="n"/>
      <c r="AB12" s="126" t="n"/>
      <c r="AC12" s="126" t="n"/>
      <c r="AD12" s="126" t="n"/>
      <c r="AE12" s="126" t="n"/>
      <c r="AF12" s="126" t="n"/>
      <c r="AG12" s="126" t="n"/>
      <c r="AH12" s="126" t="n"/>
      <c r="AI12" s="126" t="n"/>
      <c r="AJ12" s="126" t="n"/>
      <c r="AK12" s="126" t="n"/>
      <c r="AL12" s="126" t="n"/>
      <c r="AM12" s="126" t="n"/>
      <c r="AN12" s="126" t="n"/>
      <c r="AO12" s="126" t="n"/>
      <c r="AP12" s="126" t="n"/>
      <c r="AQ12" s="126" t="n"/>
      <c r="AR12" s="126" t="n"/>
      <c r="AS12" s="126" t="n"/>
      <c r="AT12" s="126" t="n"/>
      <c r="AU12" s="126" t="n"/>
      <c r="AV12" s="126" t="n"/>
      <c r="AW12" s="126" t="n"/>
      <c r="AX12" s="126" t="n"/>
      <c r="AY12" s="126" t="n"/>
      <c r="AZ12" s="126" t="n"/>
      <c r="BA12" s="126" t="n"/>
      <c r="BB12" s="126" t="n"/>
      <c r="BC12" s="126" t="n"/>
      <c r="BD12" s="126" t="n"/>
      <c r="BE12" s="126" t="n"/>
      <c r="BF12" s="126" t="n"/>
      <c r="BG12" s="126" t="n"/>
      <c r="BH12" s="126" t="n"/>
      <c r="BI12" s="126" t="n"/>
      <c r="BJ12" s="126" t="n"/>
      <c r="BK12" s="126" t="n"/>
      <c r="BL12" s="126" t="n"/>
      <c r="BM12" s="126" t="n"/>
      <c r="BN12" s="126" t="n"/>
      <c r="BO12" s="126" t="n"/>
      <c r="BP12" s="126" t="n"/>
      <c r="BQ12" s="126" t="n"/>
      <c r="BR12" s="126" t="n"/>
      <c r="BS12" s="126" t="n"/>
      <c r="BT12" s="126" t="n"/>
      <c r="BU12" s="126" t="n"/>
      <c r="BV12" s="126" t="n"/>
      <c r="BW12" s="126" t="n"/>
      <c r="BX12" s="126" t="n"/>
      <c r="BY12" s="126" t="n"/>
    </row>
    <row r="13">
      <c r="B13" t="inlineStr">
        <is>
          <t>Продажи франшиз, план</t>
        </is>
      </c>
      <c r="C13" t="inlineStr">
        <is>
          <t>шт.</t>
        </is>
      </c>
      <c r="D13" s="127" t="inlineStr">
        <is>
          <t>Годовой план сезона, разложенный по календарным месяцам весами из таблицы планов. Первый месяц — без продаж. За горизонтом продаж нет: технические месяцы нужны только для склада</t>
        </is>
      </c>
      <c r="E13" s="128">
        <f>SUM(L13:W13)</f>
        <v/>
      </c>
      <c r="F13" s="128">
        <f>SUM(X13:AI13)</f>
        <v/>
      </c>
      <c r="G13" s="128">
        <f>SUM(AJ13:AU13)</f>
        <v/>
      </c>
      <c r="H13" s="128">
        <f>SUM(AV13:BG13)</f>
        <v/>
      </c>
      <c r="I13" s="128">
        <f>SUM(BH13:BS13)</f>
        <v/>
      </c>
      <c r="J13" s="13">
        <f>SUM(L13:BS13)</f>
        <v/>
      </c>
      <c r="L13" s="12">
        <f>IF(OR(1&gt;60,1=1),0,INDEX('01_Вводные'!$B$36:$B$40,L8)*INDEX('01_Вводные'!$C$36:$N$40,L8,MOD(MONTH(L7)-9,12)+1)/(SUM(INDEX('01_Вводные'!$C$36:$N$40,L8,0))-IF(1&lt;=12,INDEX('01_Вводные'!$C$36:$N$40,L8,MOD(MONTH(СтартМодели)-9,12)+1),0)))</f>
        <v/>
      </c>
      <c r="M13" s="12">
        <f>IF(OR(2&gt;60,2=1),0,INDEX('01_Вводные'!$B$36:$B$40,M8)*INDEX('01_Вводные'!$C$36:$N$40,M8,MOD(MONTH(M7)-9,12)+1)/(SUM(INDEX('01_Вводные'!$C$36:$N$40,M8,0))-IF(2&lt;=12,INDEX('01_Вводные'!$C$36:$N$40,M8,MOD(MONTH(СтартМодели)-9,12)+1),0)))</f>
        <v/>
      </c>
      <c r="N13" s="12">
        <f>IF(OR(3&gt;60,3=1),0,INDEX('01_Вводные'!$B$36:$B$40,N8)*INDEX('01_Вводные'!$C$36:$N$40,N8,MOD(MONTH(N7)-9,12)+1)/(SUM(INDEX('01_Вводные'!$C$36:$N$40,N8,0))-IF(3&lt;=12,INDEX('01_Вводные'!$C$36:$N$40,N8,MOD(MONTH(СтартМодели)-9,12)+1),0)))</f>
        <v/>
      </c>
      <c r="O13" s="12">
        <f>IF(OR(4&gt;60,4=1),0,INDEX('01_Вводные'!$B$36:$B$40,O8)*INDEX('01_Вводные'!$C$36:$N$40,O8,MOD(MONTH(O7)-9,12)+1)/(SUM(INDEX('01_Вводные'!$C$36:$N$40,O8,0))-IF(4&lt;=12,INDEX('01_Вводные'!$C$36:$N$40,O8,MOD(MONTH(СтартМодели)-9,12)+1),0)))</f>
        <v/>
      </c>
      <c r="P13" s="12">
        <f>IF(OR(5&gt;60,5=1),0,INDEX('01_Вводные'!$B$36:$B$40,P8)*INDEX('01_Вводные'!$C$36:$N$40,P8,MOD(MONTH(P7)-9,12)+1)/(SUM(INDEX('01_Вводные'!$C$36:$N$40,P8,0))-IF(5&lt;=12,INDEX('01_Вводные'!$C$36:$N$40,P8,MOD(MONTH(СтартМодели)-9,12)+1),0)))</f>
        <v/>
      </c>
      <c r="Q13" s="12">
        <f>IF(OR(6&gt;60,6=1),0,INDEX('01_Вводные'!$B$36:$B$40,Q8)*INDEX('01_Вводные'!$C$36:$N$40,Q8,MOD(MONTH(Q7)-9,12)+1)/(SUM(INDEX('01_Вводные'!$C$36:$N$40,Q8,0))-IF(6&lt;=12,INDEX('01_Вводные'!$C$36:$N$40,Q8,MOD(MONTH(СтартМодели)-9,12)+1),0)))</f>
        <v/>
      </c>
      <c r="R13" s="12">
        <f>IF(OR(7&gt;60,7=1),0,INDEX('01_Вводные'!$B$36:$B$40,R8)*INDEX('01_Вводные'!$C$36:$N$40,R8,MOD(MONTH(R7)-9,12)+1)/(SUM(INDEX('01_Вводные'!$C$36:$N$40,R8,0))-IF(7&lt;=12,INDEX('01_Вводные'!$C$36:$N$40,R8,MOD(MONTH(СтартМодели)-9,12)+1),0)))</f>
        <v/>
      </c>
      <c r="S13" s="12">
        <f>IF(OR(8&gt;60,8=1),0,INDEX('01_Вводные'!$B$36:$B$40,S8)*INDEX('01_Вводные'!$C$36:$N$40,S8,MOD(MONTH(S7)-9,12)+1)/(SUM(INDEX('01_Вводные'!$C$36:$N$40,S8,0))-IF(8&lt;=12,INDEX('01_Вводные'!$C$36:$N$40,S8,MOD(MONTH(СтартМодели)-9,12)+1),0)))</f>
        <v/>
      </c>
      <c r="T13" s="12">
        <f>IF(OR(9&gt;60,9=1),0,INDEX('01_Вводные'!$B$36:$B$40,T8)*INDEX('01_Вводные'!$C$36:$N$40,T8,MOD(MONTH(T7)-9,12)+1)/(SUM(INDEX('01_Вводные'!$C$36:$N$40,T8,0))-IF(9&lt;=12,INDEX('01_Вводные'!$C$36:$N$40,T8,MOD(MONTH(СтартМодели)-9,12)+1),0)))</f>
        <v/>
      </c>
      <c r="U13" s="12">
        <f>IF(OR(10&gt;60,10=1),0,INDEX('01_Вводные'!$B$36:$B$40,U8)*INDEX('01_Вводные'!$C$36:$N$40,U8,MOD(MONTH(U7)-9,12)+1)/(SUM(INDEX('01_Вводные'!$C$36:$N$40,U8,0))-IF(10&lt;=12,INDEX('01_Вводные'!$C$36:$N$40,U8,MOD(MONTH(СтартМодели)-9,12)+1),0)))</f>
        <v/>
      </c>
      <c r="V13" s="12">
        <f>IF(OR(11&gt;60,11=1),0,INDEX('01_Вводные'!$B$36:$B$40,V8)*INDEX('01_Вводные'!$C$36:$N$40,V8,MOD(MONTH(V7)-9,12)+1)/(SUM(INDEX('01_Вводные'!$C$36:$N$40,V8,0))-IF(11&lt;=12,INDEX('01_Вводные'!$C$36:$N$40,V8,MOD(MONTH(СтартМодели)-9,12)+1),0)))</f>
        <v/>
      </c>
      <c r="W13" s="12">
        <f>IF(OR(12&gt;60,12=1),0,INDEX('01_Вводные'!$B$36:$B$40,W8)*INDEX('01_Вводные'!$C$36:$N$40,W8,MOD(MONTH(W7)-9,12)+1)/(SUM(INDEX('01_Вводные'!$C$36:$N$40,W8,0))-IF(12&lt;=12,INDEX('01_Вводные'!$C$36:$N$40,W8,MOD(MONTH(СтартМодели)-9,12)+1),0)))</f>
        <v/>
      </c>
      <c r="X13" s="12">
        <f>IF(OR(13&gt;60,13=1),0,INDEX('01_Вводные'!$B$36:$B$40,X8)*INDEX('01_Вводные'!$C$36:$N$40,X8,MOD(MONTH(X7)-9,12)+1)/(SUM(INDEX('01_Вводные'!$C$36:$N$40,X8,0))-IF(13&lt;=12,INDEX('01_Вводные'!$C$36:$N$40,X8,MOD(MONTH(СтартМодели)-9,12)+1),0)))</f>
        <v/>
      </c>
      <c r="Y13" s="12">
        <f>IF(OR(14&gt;60,14=1),0,INDEX('01_Вводные'!$B$36:$B$40,Y8)*INDEX('01_Вводные'!$C$36:$N$40,Y8,MOD(MONTH(Y7)-9,12)+1)/(SUM(INDEX('01_Вводные'!$C$36:$N$40,Y8,0))-IF(14&lt;=12,INDEX('01_Вводные'!$C$36:$N$40,Y8,MOD(MONTH(СтартМодели)-9,12)+1),0)))</f>
        <v/>
      </c>
      <c r="Z13" s="12">
        <f>IF(OR(15&gt;60,15=1),0,INDEX('01_Вводные'!$B$36:$B$40,Z8)*INDEX('01_Вводные'!$C$36:$N$40,Z8,MOD(MONTH(Z7)-9,12)+1)/(SUM(INDEX('01_Вводные'!$C$36:$N$40,Z8,0))-IF(15&lt;=12,INDEX('01_Вводные'!$C$36:$N$40,Z8,MOD(MONTH(СтартМодели)-9,12)+1),0)))</f>
        <v/>
      </c>
      <c r="AA13" s="12">
        <f>IF(OR(16&gt;60,16=1),0,INDEX('01_Вводные'!$B$36:$B$40,AA8)*INDEX('01_Вводные'!$C$36:$N$40,AA8,MOD(MONTH(AA7)-9,12)+1)/(SUM(INDEX('01_Вводные'!$C$36:$N$40,AA8,0))-IF(16&lt;=12,INDEX('01_Вводные'!$C$36:$N$40,AA8,MOD(MONTH(СтартМодели)-9,12)+1),0)))</f>
        <v/>
      </c>
      <c r="AB13" s="12">
        <f>IF(OR(17&gt;60,17=1),0,INDEX('01_Вводные'!$B$36:$B$40,AB8)*INDEX('01_Вводные'!$C$36:$N$40,AB8,MOD(MONTH(AB7)-9,12)+1)/(SUM(INDEX('01_Вводные'!$C$36:$N$40,AB8,0))-IF(17&lt;=12,INDEX('01_Вводные'!$C$36:$N$40,AB8,MOD(MONTH(СтартМодели)-9,12)+1),0)))</f>
        <v/>
      </c>
      <c r="AC13" s="12">
        <f>IF(OR(18&gt;60,18=1),0,INDEX('01_Вводные'!$B$36:$B$40,AC8)*INDEX('01_Вводные'!$C$36:$N$40,AC8,MOD(MONTH(AC7)-9,12)+1)/(SUM(INDEX('01_Вводные'!$C$36:$N$40,AC8,0))-IF(18&lt;=12,INDEX('01_Вводные'!$C$36:$N$40,AC8,MOD(MONTH(СтартМодели)-9,12)+1),0)))</f>
        <v/>
      </c>
      <c r="AD13" s="12">
        <f>IF(OR(19&gt;60,19=1),0,INDEX('01_Вводные'!$B$36:$B$40,AD8)*INDEX('01_Вводные'!$C$36:$N$40,AD8,MOD(MONTH(AD7)-9,12)+1)/(SUM(INDEX('01_Вводные'!$C$36:$N$40,AD8,0))-IF(19&lt;=12,INDEX('01_Вводные'!$C$36:$N$40,AD8,MOD(MONTH(СтартМодели)-9,12)+1),0)))</f>
        <v/>
      </c>
      <c r="AE13" s="12">
        <f>IF(OR(20&gt;60,20=1),0,INDEX('01_Вводные'!$B$36:$B$40,AE8)*INDEX('01_Вводные'!$C$36:$N$40,AE8,MOD(MONTH(AE7)-9,12)+1)/(SUM(INDEX('01_Вводные'!$C$36:$N$40,AE8,0))-IF(20&lt;=12,INDEX('01_Вводные'!$C$36:$N$40,AE8,MOD(MONTH(СтартМодели)-9,12)+1),0)))</f>
        <v/>
      </c>
      <c r="AF13" s="12">
        <f>IF(OR(21&gt;60,21=1),0,INDEX('01_Вводные'!$B$36:$B$40,AF8)*INDEX('01_Вводные'!$C$36:$N$40,AF8,MOD(MONTH(AF7)-9,12)+1)/(SUM(INDEX('01_Вводные'!$C$36:$N$40,AF8,0))-IF(21&lt;=12,INDEX('01_Вводные'!$C$36:$N$40,AF8,MOD(MONTH(СтартМодели)-9,12)+1),0)))</f>
        <v/>
      </c>
      <c r="AG13" s="12">
        <f>IF(OR(22&gt;60,22=1),0,INDEX('01_Вводные'!$B$36:$B$40,AG8)*INDEX('01_Вводные'!$C$36:$N$40,AG8,MOD(MONTH(AG7)-9,12)+1)/(SUM(INDEX('01_Вводные'!$C$36:$N$40,AG8,0))-IF(22&lt;=12,INDEX('01_Вводные'!$C$36:$N$40,AG8,MOD(MONTH(СтартМодели)-9,12)+1),0)))</f>
        <v/>
      </c>
      <c r="AH13" s="12">
        <f>IF(OR(23&gt;60,23=1),0,INDEX('01_Вводные'!$B$36:$B$40,AH8)*INDEX('01_Вводные'!$C$36:$N$40,AH8,MOD(MONTH(AH7)-9,12)+1)/(SUM(INDEX('01_Вводные'!$C$36:$N$40,AH8,0))-IF(23&lt;=12,INDEX('01_Вводные'!$C$36:$N$40,AH8,MOD(MONTH(СтартМодели)-9,12)+1),0)))</f>
        <v/>
      </c>
      <c r="AI13" s="12">
        <f>IF(OR(24&gt;60,24=1),0,INDEX('01_Вводные'!$B$36:$B$40,AI8)*INDEX('01_Вводные'!$C$36:$N$40,AI8,MOD(MONTH(AI7)-9,12)+1)/(SUM(INDEX('01_Вводные'!$C$36:$N$40,AI8,0))-IF(24&lt;=12,INDEX('01_Вводные'!$C$36:$N$40,AI8,MOD(MONTH(СтартМодели)-9,12)+1),0)))</f>
        <v/>
      </c>
      <c r="AJ13" s="12">
        <f>IF(OR(25&gt;60,25=1),0,INDEX('01_Вводные'!$B$36:$B$40,AJ8)*INDEX('01_Вводные'!$C$36:$N$40,AJ8,MOD(MONTH(AJ7)-9,12)+1)/(SUM(INDEX('01_Вводные'!$C$36:$N$40,AJ8,0))-IF(25&lt;=12,INDEX('01_Вводные'!$C$36:$N$40,AJ8,MOD(MONTH(СтартМодели)-9,12)+1),0)))</f>
        <v/>
      </c>
      <c r="AK13" s="12">
        <f>IF(OR(26&gt;60,26=1),0,INDEX('01_Вводные'!$B$36:$B$40,AK8)*INDEX('01_Вводные'!$C$36:$N$40,AK8,MOD(MONTH(AK7)-9,12)+1)/(SUM(INDEX('01_Вводные'!$C$36:$N$40,AK8,0))-IF(26&lt;=12,INDEX('01_Вводные'!$C$36:$N$40,AK8,MOD(MONTH(СтартМодели)-9,12)+1),0)))</f>
        <v/>
      </c>
      <c r="AL13" s="12">
        <f>IF(OR(27&gt;60,27=1),0,INDEX('01_Вводные'!$B$36:$B$40,AL8)*INDEX('01_Вводные'!$C$36:$N$40,AL8,MOD(MONTH(AL7)-9,12)+1)/(SUM(INDEX('01_Вводные'!$C$36:$N$40,AL8,0))-IF(27&lt;=12,INDEX('01_Вводные'!$C$36:$N$40,AL8,MOD(MONTH(СтартМодели)-9,12)+1),0)))</f>
        <v/>
      </c>
      <c r="AM13" s="12">
        <f>IF(OR(28&gt;60,28=1),0,INDEX('01_Вводные'!$B$36:$B$40,AM8)*INDEX('01_Вводные'!$C$36:$N$40,AM8,MOD(MONTH(AM7)-9,12)+1)/(SUM(INDEX('01_Вводные'!$C$36:$N$40,AM8,0))-IF(28&lt;=12,INDEX('01_Вводные'!$C$36:$N$40,AM8,MOD(MONTH(СтартМодели)-9,12)+1),0)))</f>
        <v/>
      </c>
      <c r="AN13" s="12">
        <f>IF(OR(29&gt;60,29=1),0,INDEX('01_Вводные'!$B$36:$B$40,AN8)*INDEX('01_Вводные'!$C$36:$N$40,AN8,MOD(MONTH(AN7)-9,12)+1)/(SUM(INDEX('01_Вводные'!$C$36:$N$40,AN8,0))-IF(29&lt;=12,INDEX('01_Вводные'!$C$36:$N$40,AN8,MOD(MONTH(СтартМодели)-9,12)+1),0)))</f>
        <v/>
      </c>
      <c r="AO13" s="12">
        <f>IF(OR(30&gt;60,30=1),0,INDEX('01_Вводные'!$B$36:$B$40,AO8)*INDEX('01_Вводные'!$C$36:$N$40,AO8,MOD(MONTH(AO7)-9,12)+1)/(SUM(INDEX('01_Вводные'!$C$36:$N$40,AO8,0))-IF(30&lt;=12,INDEX('01_Вводные'!$C$36:$N$40,AO8,MOD(MONTH(СтартМодели)-9,12)+1),0)))</f>
        <v/>
      </c>
      <c r="AP13" s="12">
        <f>IF(OR(31&gt;60,31=1),0,INDEX('01_Вводные'!$B$36:$B$40,AP8)*INDEX('01_Вводные'!$C$36:$N$40,AP8,MOD(MONTH(AP7)-9,12)+1)/(SUM(INDEX('01_Вводные'!$C$36:$N$40,AP8,0))-IF(31&lt;=12,INDEX('01_Вводные'!$C$36:$N$40,AP8,MOD(MONTH(СтартМодели)-9,12)+1),0)))</f>
        <v/>
      </c>
      <c r="AQ13" s="12">
        <f>IF(OR(32&gt;60,32=1),0,INDEX('01_Вводные'!$B$36:$B$40,AQ8)*INDEX('01_Вводные'!$C$36:$N$40,AQ8,MOD(MONTH(AQ7)-9,12)+1)/(SUM(INDEX('01_Вводные'!$C$36:$N$40,AQ8,0))-IF(32&lt;=12,INDEX('01_Вводные'!$C$36:$N$40,AQ8,MOD(MONTH(СтартМодели)-9,12)+1),0)))</f>
        <v/>
      </c>
      <c r="AR13" s="12">
        <f>IF(OR(33&gt;60,33=1),0,INDEX('01_Вводные'!$B$36:$B$40,AR8)*INDEX('01_Вводные'!$C$36:$N$40,AR8,MOD(MONTH(AR7)-9,12)+1)/(SUM(INDEX('01_Вводные'!$C$36:$N$40,AR8,0))-IF(33&lt;=12,INDEX('01_Вводные'!$C$36:$N$40,AR8,MOD(MONTH(СтартМодели)-9,12)+1),0)))</f>
        <v/>
      </c>
      <c r="AS13" s="12">
        <f>IF(OR(34&gt;60,34=1),0,INDEX('01_Вводные'!$B$36:$B$40,AS8)*INDEX('01_Вводные'!$C$36:$N$40,AS8,MOD(MONTH(AS7)-9,12)+1)/(SUM(INDEX('01_Вводные'!$C$36:$N$40,AS8,0))-IF(34&lt;=12,INDEX('01_Вводные'!$C$36:$N$40,AS8,MOD(MONTH(СтартМодели)-9,12)+1),0)))</f>
        <v/>
      </c>
      <c r="AT13" s="12">
        <f>IF(OR(35&gt;60,35=1),0,INDEX('01_Вводные'!$B$36:$B$40,AT8)*INDEX('01_Вводные'!$C$36:$N$40,AT8,MOD(MONTH(AT7)-9,12)+1)/(SUM(INDEX('01_Вводные'!$C$36:$N$40,AT8,0))-IF(35&lt;=12,INDEX('01_Вводные'!$C$36:$N$40,AT8,MOD(MONTH(СтартМодели)-9,12)+1),0)))</f>
        <v/>
      </c>
      <c r="AU13" s="12">
        <f>IF(OR(36&gt;60,36=1),0,INDEX('01_Вводные'!$B$36:$B$40,AU8)*INDEX('01_Вводные'!$C$36:$N$40,AU8,MOD(MONTH(AU7)-9,12)+1)/(SUM(INDEX('01_Вводные'!$C$36:$N$40,AU8,0))-IF(36&lt;=12,INDEX('01_Вводные'!$C$36:$N$40,AU8,MOD(MONTH(СтартМодели)-9,12)+1),0)))</f>
        <v/>
      </c>
      <c r="AV13" s="12">
        <f>IF(OR(37&gt;60,37=1),0,INDEX('01_Вводные'!$B$36:$B$40,AV8)*INDEX('01_Вводные'!$C$36:$N$40,AV8,MOD(MONTH(AV7)-9,12)+1)/(SUM(INDEX('01_Вводные'!$C$36:$N$40,AV8,0))-IF(37&lt;=12,INDEX('01_Вводные'!$C$36:$N$40,AV8,MOD(MONTH(СтартМодели)-9,12)+1),0)))</f>
        <v/>
      </c>
      <c r="AW13" s="12">
        <f>IF(OR(38&gt;60,38=1),0,INDEX('01_Вводные'!$B$36:$B$40,AW8)*INDEX('01_Вводные'!$C$36:$N$40,AW8,MOD(MONTH(AW7)-9,12)+1)/(SUM(INDEX('01_Вводные'!$C$36:$N$40,AW8,0))-IF(38&lt;=12,INDEX('01_Вводные'!$C$36:$N$40,AW8,MOD(MONTH(СтартМодели)-9,12)+1),0)))</f>
        <v/>
      </c>
      <c r="AX13" s="12">
        <f>IF(OR(39&gt;60,39=1),0,INDEX('01_Вводные'!$B$36:$B$40,AX8)*INDEX('01_Вводные'!$C$36:$N$40,AX8,MOD(MONTH(AX7)-9,12)+1)/(SUM(INDEX('01_Вводные'!$C$36:$N$40,AX8,0))-IF(39&lt;=12,INDEX('01_Вводные'!$C$36:$N$40,AX8,MOD(MONTH(СтартМодели)-9,12)+1),0)))</f>
        <v/>
      </c>
      <c r="AY13" s="12">
        <f>IF(OR(40&gt;60,40=1),0,INDEX('01_Вводные'!$B$36:$B$40,AY8)*INDEX('01_Вводные'!$C$36:$N$40,AY8,MOD(MONTH(AY7)-9,12)+1)/(SUM(INDEX('01_Вводные'!$C$36:$N$40,AY8,0))-IF(40&lt;=12,INDEX('01_Вводные'!$C$36:$N$40,AY8,MOD(MONTH(СтартМодели)-9,12)+1),0)))</f>
        <v/>
      </c>
      <c r="AZ13" s="12">
        <f>IF(OR(41&gt;60,41=1),0,INDEX('01_Вводные'!$B$36:$B$40,AZ8)*INDEX('01_Вводные'!$C$36:$N$40,AZ8,MOD(MONTH(AZ7)-9,12)+1)/(SUM(INDEX('01_Вводные'!$C$36:$N$40,AZ8,0))-IF(41&lt;=12,INDEX('01_Вводные'!$C$36:$N$40,AZ8,MOD(MONTH(СтартМодели)-9,12)+1),0)))</f>
        <v/>
      </c>
      <c r="BA13" s="12">
        <f>IF(OR(42&gt;60,42=1),0,INDEX('01_Вводные'!$B$36:$B$40,BA8)*INDEX('01_Вводные'!$C$36:$N$40,BA8,MOD(MONTH(BA7)-9,12)+1)/(SUM(INDEX('01_Вводные'!$C$36:$N$40,BA8,0))-IF(42&lt;=12,INDEX('01_Вводные'!$C$36:$N$40,BA8,MOD(MONTH(СтартМодели)-9,12)+1),0)))</f>
        <v/>
      </c>
      <c r="BB13" s="12">
        <f>IF(OR(43&gt;60,43=1),0,INDEX('01_Вводные'!$B$36:$B$40,BB8)*INDEX('01_Вводные'!$C$36:$N$40,BB8,MOD(MONTH(BB7)-9,12)+1)/(SUM(INDEX('01_Вводные'!$C$36:$N$40,BB8,0))-IF(43&lt;=12,INDEX('01_Вводные'!$C$36:$N$40,BB8,MOD(MONTH(СтартМодели)-9,12)+1),0)))</f>
        <v/>
      </c>
      <c r="BC13" s="12">
        <f>IF(OR(44&gt;60,44=1),0,INDEX('01_Вводные'!$B$36:$B$40,BC8)*INDEX('01_Вводные'!$C$36:$N$40,BC8,MOD(MONTH(BC7)-9,12)+1)/(SUM(INDEX('01_Вводные'!$C$36:$N$40,BC8,0))-IF(44&lt;=12,INDEX('01_Вводные'!$C$36:$N$40,BC8,MOD(MONTH(СтартМодели)-9,12)+1),0)))</f>
        <v/>
      </c>
      <c r="BD13" s="12">
        <f>IF(OR(45&gt;60,45=1),0,INDEX('01_Вводные'!$B$36:$B$40,BD8)*INDEX('01_Вводные'!$C$36:$N$40,BD8,MOD(MONTH(BD7)-9,12)+1)/(SUM(INDEX('01_Вводные'!$C$36:$N$40,BD8,0))-IF(45&lt;=12,INDEX('01_Вводные'!$C$36:$N$40,BD8,MOD(MONTH(СтартМодели)-9,12)+1),0)))</f>
        <v/>
      </c>
      <c r="BE13" s="12">
        <f>IF(OR(46&gt;60,46=1),0,INDEX('01_Вводные'!$B$36:$B$40,BE8)*INDEX('01_Вводные'!$C$36:$N$40,BE8,MOD(MONTH(BE7)-9,12)+1)/(SUM(INDEX('01_Вводные'!$C$36:$N$40,BE8,0))-IF(46&lt;=12,INDEX('01_Вводные'!$C$36:$N$40,BE8,MOD(MONTH(СтартМодели)-9,12)+1),0)))</f>
        <v/>
      </c>
      <c r="BF13" s="12">
        <f>IF(OR(47&gt;60,47=1),0,INDEX('01_Вводные'!$B$36:$B$40,BF8)*INDEX('01_Вводные'!$C$36:$N$40,BF8,MOD(MONTH(BF7)-9,12)+1)/(SUM(INDEX('01_Вводные'!$C$36:$N$40,BF8,0))-IF(47&lt;=12,INDEX('01_Вводные'!$C$36:$N$40,BF8,MOD(MONTH(СтартМодели)-9,12)+1),0)))</f>
        <v/>
      </c>
      <c r="BG13" s="12">
        <f>IF(OR(48&gt;60,48=1),0,INDEX('01_Вводные'!$B$36:$B$40,BG8)*INDEX('01_Вводные'!$C$36:$N$40,BG8,MOD(MONTH(BG7)-9,12)+1)/(SUM(INDEX('01_Вводные'!$C$36:$N$40,BG8,0))-IF(48&lt;=12,INDEX('01_Вводные'!$C$36:$N$40,BG8,MOD(MONTH(СтартМодели)-9,12)+1),0)))</f>
        <v/>
      </c>
      <c r="BH13" s="12">
        <f>IF(OR(49&gt;60,49=1),0,INDEX('01_Вводные'!$B$36:$B$40,BH8)*INDEX('01_Вводные'!$C$36:$N$40,BH8,MOD(MONTH(BH7)-9,12)+1)/(SUM(INDEX('01_Вводные'!$C$36:$N$40,BH8,0))-IF(49&lt;=12,INDEX('01_Вводные'!$C$36:$N$40,BH8,MOD(MONTH(СтартМодели)-9,12)+1),0)))</f>
        <v/>
      </c>
      <c r="BI13" s="12">
        <f>IF(OR(50&gt;60,50=1),0,INDEX('01_Вводные'!$B$36:$B$40,BI8)*INDEX('01_Вводные'!$C$36:$N$40,BI8,MOD(MONTH(BI7)-9,12)+1)/(SUM(INDEX('01_Вводные'!$C$36:$N$40,BI8,0))-IF(50&lt;=12,INDEX('01_Вводные'!$C$36:$N$40,BI8,MOD(MONTH(СтартМодели)-9,12)+1),0)))</f>
        <v/>
      </c>
      <c r="BJ13" s="12">
        <f>IF(OR(51&gt;60,51=1),0,INDEX('01_Вводные'!$B$36:$B$40,BJ8)*INDEX('01_Вводные'!$C$36:$N$40,BJ8,MOD(MONTH(BJ7)-9,12)+1)/(SUM(INDEX('01_Вводные'!$C$36:$N$40,BJ8,0))-IF(51&lt;=12,INDEX('01_Вводные'!$C$36:$N$40,BJ8,MOD(MONTH(СтартМодели)-9,12)+1),0)))</f>
        <v/>
      </c>
      <c r="BK13" s="12">
        <f>IF(OR(52&gt;60,52=1),0,INDEX('01_Вводные'!$B$36:$B$40,BK8)*INDEX('01_Вводные'!$C$36:$N$40,BK8,MOD(MONTH(BK7)-9,12)+1)/(SUM(INDEX('01_Вводные'!$C$36:$N$40,BK8,0))-IF(52&lt;=12,INDEX('01_Вводные'!$C$36:$N$40,BK8,MOD(MONTH(СтартМодели)-9,12)+1),0)))</f>
        <v/>
      </c>
      <c r="BL13" s="12">
        <f>IF(OR(53&gt;60,53=1),0,INDEX('01_Вводные'!$B$36:$B$40,BL8)*INDEX('01_Вводные'!$C$36:$N$40,BL8,MOD(MONTH(BL7)-9,12)+1)/(SUM(INDEX('01_Вводные'!$C$36:$N$40,BL8,0))-IF(53&lt;=12,INDEX('01_Вводные'!$C$36:$N$40,BL8,MOD(MONTH(СтартМодели)-9,12)+1),0)))</f>
        <v/>
      </c>
      <c r="BM13" s="12">
        <f>IF(OR(54&gt;60,54=1),0,INDEX('01_Вводные'!$B$36:$B$40,BM8)*INDEX('01_Вводные'!$C$36:$N$40,BM8,MOD(MONTH(BM7)-9,12)+1)/(SUM(INDEX('01_Вводные'!$C$36:$N$40,BM8,0))-IF(54&lt;=12,INDEX('01_Вводные'!$C$36:$N$40,BM8,MOD(MONTH(СтартМодели)-9,12)+1),0)))</f>
        <v/>
      </c>
      <c r="BN13" s="12">
        <f>IF(OR(55&gt;60,55=1),0,INDEX('01_Вводные'!$B$36:$B$40,BN8)*INDEX('01_Вводные'!$C$36:$N$40,BN8,MOD(MONTH(BN7)-9,12)+1)/(SUM(INDEX('01_Вводные'!$C$36:$N$40,BN8,0))-IF(55&lt;=12,INDEX('01_Вводные'!$C$36:$N$40,BN8,MOD(MONTH(СтартМодели)-9,12)+1),0)))</f>
        <v/>
      </c>
      <c r="BO13" s="12">
        <f>IF(OR(56&gt;60,56=1),0,INDEX('01_Вводные'!$B$36:$B$40,BO8)*INDEX('01_Вводные'!$C$36:$N$40,BO8,MOD(MONTH(BO7)-9,12)+1)/(SUM(INDEX('01_Вводные'!$C$36:$N$40,BO8,0))-IF(56&lt;=12,INDEX('01_Вводные'!$C$36:$N$40,BO8,MOD(MONTH(СтартМодели)-9,12)+1),0)))</f>
        <v/>
      </c>
      <c r="BP13" s="12">
        <f>IF(OR(57&gt;60,57=1),0,INDEX('01_Вводные'!$B$36:$B$40,BP8)*INDEX('01_Вводные'!$C$36:$N$40,BP8,MOD(MONTH(BP7)-9,12)+1)/(SUM(INDEX('01_Вводные'!$C$36:$N$40,BP8,0))-IF(57&lt;=12,INDEX('01_Вводные'!$C$36:$N$40,BP8,MOD(MONTH(СтартМодели)-9,12)+1),0)))</f>
        <v/>
      </c>
      <c r="BQ13" s="12">
        <f>IF(OR(58&gt;60,58=1),0,INDEX('01_Вводные'!$B$36:$B$40,BQ8)*INDEX('01_Вводные'!$C$36:$N$40,BQ8,MOD(MONTH(BQ7)-9,12)+1)/(SUM(INDEX('01_Вводные'!$C$36:$N$40,BQ8,0))-IF(58&lt;=12,INDEX('01_Вводные'!$C$36:$N$40,BQ8,MOD(MONTH(СтартМодели)-9,12)+1),0)))</f>
        <v/>
      </c>
      <c r="BR13" s="12">
        <f>IF(OR(59&gt;60,59=1),0,INDEX('01_Вводные'!$B$36:$B$40,BR8)*INDEX('01_Вводные'!$C$36:$N$40,BR8,MOD(MONTH(BR7)-9,12)+1)/(SUM(INDEX('01_Вводные'!$C$36:$N$40,BR8,0))-IF(59&lt;=12,INDEX('01_Вводные'!$C$36:$N$40,BR8,MOD(MONTH(СтартМодели)-9,12)+1),0)))</f>
        <v/>
      </c>
      <c r="BS13" s="12">
        <f>IF(OR(60&gt;60,60=1),0,INDEX('01_Вводные'!$B$36:$B$40,BS8)*INDEX('01_Вводные'!$C$36:$N$40,BS8,MOD(MONTH(BS7)-9,12)+1)/(SUM(INDEX('01_Вводные'!$C$36:$N$40,BS8,0))-IF(60&lt;=12,INDEX('01_Вводные'!$C$36:$N$40,BS8,MOD(MONTH(СтартМодели)-9,12)+1),0)))</f>
        <v/>
      </c>
      <c r="BT13" s="12">
        <f>IF(OR(61&gt;60,61=1),0,INDEX('01_Вводные'!$B$36:$B$40,BT8)*INDEX('01_Вводные'!$C$36:$N$40,BT8,MOD(MONTH(BT7)-9,12)+1)/(SUM(INDEX('01_Вводные'!$C$36:$N$40,BT8,0))-IF(61&lt;=12,INDEX('01_Вводные'!$C$36:$N$40,BT8,MOD(MONTH(СтартМодели)-9,12)+1),0)))</f>
        <v/>
      </c>
      <c r="BU13" s="12">
        <f>IF(OR(62&gt;60,62=1),0,INDEX('01_Вводные'!$B$36:$B$40,BU8)*INDEX('01_Вводные'!$C$36:$N$40,BU8,MOD(MONTH(BU7)-9,12)+1)/(SUM(INDEX('01_Вводные'!$C$36:$N$40,BU8,0))-IF(62&lt;=12,INDEX('01_Вводные'!$C$36:$N$40,BU8,MOD(MONTH(СтартМодели)-9,12)+1),0)))</f>
        <v/>
      </c>
      <c r="BV13" s="12">
        <f>IF(OR(63&gt;60,63=1),0,INDEX('01_Вводные'!$B$36:$B$40,BV8)*INDEX('01_Вводные'!$C$36:$N$40,BV8,MOD(MONTH(BV7)-9,12)+1)/(SUM(INDEX('01_Вводные'!$C$36:$N$40,BV8,0))-IF(63&lt;=12,INDEX('01_Вводные'!$C$36:$N$40,BV8,MOD(MONTH(СтартМодели)-9,12)+1),0)))</f>
        <v/>
      </c>
      <c r="BW13" s="12">
        <f>IF(OR(64&gt;60,64=1),0,INDEX('01_Вводные'!$B$36:$B$40,BW8)*INDEX('01_Вводные'!$C$36:$N$40,BW8,MOD(MONTH(BW7)-9,12)+1)/(SUM(INDEX('01_Вводные'!$C$36:$N$40,BW8,0))-IF(64&lt;=12,INDEX('01_Вводные'!$C$36:$N$40,BW8,MOD(MONTH(СтартМодели)-9,12)+1),0)))</f>
        <v/>
      </c>
      <c r="BX13" s="12">
        <f>IF(OR(65&gt;60,65=1),0,INDEX('01_Вводные'!$B$36:$B$40,BX8)*INDEX('01_Вводные'!$C$36:$N$40,BX8,MOD(MONTH(BX7)-9,12)+1)/(SUM(INDEX('01_Вводные'!$C$36:$N$40,BX8,0))-IF(65&lt;=12,INDEX('01_Вводные'!$C$36:$N$40,BX8,MOD(MONTH(СтартМодели)-9,12)+1),0)))</f>
        <v/>
      </c>
      <c r="BY13" s="12">
        <f>IF(OR(66&gt;60,66=1),0,INDEX('01_Вводные'!$B$36:$B$40,BY8)*INDEX('01_Вводные'!$C$36:$N$40,BY8,MOD(MONTH(BY7)-9,12)+1)/(SUM(INDEX('01_Вводные'!$C$36:$N$40,BY8,0))-IF(66&lt;=12,INDEX('01_Вводные'!$C$36:$N$40,BY8,MOD(MONTH(СтартМодели)-9,12)+1),0)))</f>
        <v/>
      </c>
    </row>
    <row r="14">
      <c r="B14" t="inlineStr">
        <is>
          <t>Открытия школ</t>
        </is>
      </c>
      <c r="C14" t="inlineStr">
        <is>
          <t>шт.</t>
        </is>
      </c>
      <c r="D14" s="127" t="inlineStr">
        <is>
          <t>Первая школа партнёра — через лаг открытия, следующие — ещё через лаг B311. Обе ветки с поправкой на конверсию продажи в открытие</t>
        </is>
      </c>
      <c r="E14" s="128">
        <f>SUM(L14:W14)</f>
        <v/>
      </c>
      <c r="F14" s="128">
        <f>SUM(X14:AI14)</f>
        <v/>
      </c>
      <c r="G14" s="128">
        <f>SUM(AJ14:AU14)</f>
        <v/>
      </c>
      <c r="H14" s="128">
        <f>SUM(AV14:BG14)</f>
        <v/>
      </c>
      <c r="I14" s="128">
        <f>SUM(BH14:BS14)</f>
        <v/>
      </c>
      <c r="J14" s="13">
        <f>SUM(L14:BS14)</f>
        <v/>
      </c>
      <c r="L14" s="12">
        <f>IF(1-ЛагОткрытия&lt;1,0,INDEX($L13:$BY13,1,1-ЛагОткрытия))*КонверсияОткрытия*MIN(1,ШколНаПродажу)+IF(1-(ЛагОткрытия+ЛагСледующихШкол)&lt;1,0,INDEX($L13:$BY13,1,1-(ЛагОткрытия+ЛагСледующихШкол)))*КонверсияОткрытия*MAX(0,ШколНаПродажу-1)</f>
        <v/>
      </c>
      <c r="M14" s="12">
        <f>IF(2-ЛагОткрытия&lt;1,0,INDEX($L13:$BY13,1,2-ЛагОткрытия))*КонверсияОткрытия*MIN(1,ШколНаПродажу)+IF(2-(ЛагОткрытия+ЛагСледующихШкол)&lt;1,0,INDEX($L13:$BY13,1,2-(ЛагОткрытия+ЛагСледующихШкол)))*КонверсияОткрытия*MAX(0,ШколНаПродажу-1)</f>
        <v/>
      </c>
      <c r="N14" s="12">
        <f>IF(3-ЛагОткрытия&lt;1,0,INDEX($L13:$BY13,1,3-ЛагОткрытия))*КонверсияОткрытия*MIN(1,ШколНаПродажу)+IF(3-(ЛагОткрытия+ЛагСледующихШкол)&lt;1,0,INDEX($L13:$BY13,1,3-(ЛагОткрытия+ЛагСледующихШкол)))*КонверсияОткрытия*MAX(0,ШколНаПродажу-1)</f>
        <v/>
      </c>
      <c r="O14" s="12">
        <f>IF(4-ЛагОткрытия&lt;1,0,INDEX($L13:$BY13,1,4-ЛагОткрытия))*КонверсияОткрытия*MIN(1,ШколНаПродажу)+IF(4-(ЛагОткрытия+ЛагСледующихШкол)&lt;1,0,INDEX($L13:$BY13,1,4-(ЛагОткрытия+ЛагСледующихШкол)))*КонверсияОткрытия*MAX(0,ШколНаПродажу-1)</f>
        <v/>
      </c>
      <c r="P14" s="12">
        <f>IF(5-ЛагОткрытия&lt;1,0,INDEX($L13:$BY13,1,5-ЛагОткрытия))*КонверсияОткрытия*MIN(1,ШколНаПродажу)+IF(5-(ЛагОткрытия+ЛагСледующихШкол)&lt;1,0,INDEX($L13:$BY13,1,5-(ЛагОткрытия+ЛагСледующихШкол)))*КонверсияОткрытия*MAX(0,ШколНаПродажу-1)</f>
        <v/>
      </c>
      <c r="Q14" s="12">
        <f>IF(6-ЛагОткрытия&lt;1,0,INDEX($L13:$BY13,1,6-ЛагОткрытия))*КонверсияОткрытия*MIN(1,ШколНаПродажу)+IF(6-(ЛагОткрытия+ЛагСледующихШкол)&lt;1,0,INDEX($L13:$BY13,1,6-(ЛагОткрытия+ЛагСледующихШкол)))*КонверсияОткрытия*MAX(0,ШколНаПродажу-1)</f>
        <v/>
      </c>
      <c r="R14" s="12">
        <f>IF(7-ЛагОткрытия&lt;1,0,INDEX($L13:$BY13,1,7-ЛагОткрытия))*КонверсияОткрытия*MIN(1,ШколНаПродажу)+IF(7-(ЛагОткрытия+ЛагСледующихШкол)&lt;1,0,INDEX($L13:$BY13,1,7-(ЛагОткрытия+ЛагСледующихШкол)))*КонверсияОткрытия*MAX(0,ШколНаПродажу-1)</f>
        <v/>
      </c>
      <c r="S14" s="12">
        <f>IF(8-ЛагОткрытия&lt;1,0,INDEX($L13:$BY13,1,8-ЛагОткрытия))*КонверсияОткрытия*MIN(1,ШколНаПродажу)+IF(8-(ЛагОткрытия+ЛагСледующихШкол)&lt;1,0,INDEX($L13:$BY13,1,8-(ЛагОткрытия+ЛагСледующихШкол)))*КонверсияОткрытия*MAX(0,ШколНаПродажу-1)</f>
        <v/>
      </c>
      <c r="T14" s="12">
        <f>IF(9-ЛагОткрытия&lt;1,0,INDEX($L13:$BY13,1,9-ЛагОткрытия))*КонверсияОткрытия*MIN(1,ШколНаПродажу)+IF(9-(ЛагОткрытия+ЛагСледующихШкол)&lt;1,0,INDEX($L13:$BY13,1,9-(ЛагОткрытия+ЛагСледующихШкол)))*КонверсияОткрытия*MAX(0,ШколНаПродажу-1)</f>
        <v/>
      </c>
      <c r="U14" s="12">
        <f>IF(10-ЛагОткрытия&lt;1,0,INDEX($L13:$BY13,1,10-ЛагОткрытия))*КонверсияОткрытия*MIN(1,ШколНаПродажу)+IF(10-(ЛагОткрытия+ЛагСледующихШкол)&lt;1,0,INDEX($L13:$BY13,1,10-(ЛагОткрытия+ЛагСледующихШкол)))*КонверсияОткрытия*MAX(0,ШколНаПродажу-1)</f>
        <v/>
      </c>
      <c r="V14" s="12">
        <f>IF(11-ЛагОткрытия&lt;1,0,INDEX($L13:$BY13,1,11-ЛагОткрытия))*КонверсияОткрытия*MIN(1,ШколНаПродажу)+IF(11-(ЛагОткрытия+ЛагСледующихШкол)&lt;1,0,INDEX($L13:$BY13,1,11-(ЛагОткрытия+ЛагСледующихШкол)))*КонверсияОткрытия*MAX(0,ШколНаПродажу-1)</f>
        <v/>
      </c>
      <c r="W14" s="12">
        <f>IF(12-ЛагОткрытия&lt;1,0,INDEX($L13:$BY13,1,12-ЛагОткрытия))*КонверсияОткрытия*MIN(1,ШколНаПродажу)+IF(12-(ЛагОткрытия+ЛагСледующихШкол)&lt;1,0,INDEX($L13:$BY13,1,12-(ЛагОткрытия+ЛагСледующихШкол)))*КонверсияОткрытия*MAX(0,ШколНаПродажу-1)</f>
        <v/>
      </c>
      <c r="X14" s="12">
        <f>IF(13-ЛагОткрытия&lt;1,0,INDEX($L13:$BY13,1,13-ЛагОткрытия))*КонверсияОткрытия*MIN(1,ШколНаПродажу)+IF(13-(ЛагОткрытия+ЛагСледующихШкол)&lt;1,0,INDEX($L13:$BY13,1,13-(ЛагОткрытия+ЛагСледующихШкол)))*КонверсияОткрытия*MAX(0,ШколНаПродажу-1)</f>
        <v/>
      </c>
      <c r="Y14" s="12">
        <f>IF(14-ЛагОткрытия&lt;1,0,INDEX($L13:$BY13,1,14-ЛагОткрытия))*КонверсияОткрытия*MIN(1,ШколНаПродажу)+IF(14-(ЛагОткрытия+ЛагСледующихШкол)&lt;1,0,INDEX($L13:$BY13,1,14-(ЛагОткрытия+ЛагСледующихШкол)))*КонверсияОткрытия*MAX(0,ШколНаПродажу-1)</f>
        <v/>
      </c>
      <c r="Z14" s="12">
        <f>IF(15-ЛагОткрытия&lt;1,0,INDEX($L13:$BY13,1,15-ЛагОткрытия))*КонверсияОткрытия*MIN(1,ШколНаПродажу)+IF(15-(ЛагОткрытия+ЛагСледующихШкол)&lt;1,0,INDEX($L13:$BY13,1,15-(ЛагОткрытия+ЛагСледующихШкол)))*КонверсияОткрытия*MAX(0,ШколНаПродажу-1)</f>
        <v/>
      </c>
      <c r="AA14" s="12">
        <f>IF(16-ЛагОткрытия&lt;1,0,INDEX($L13:$BY13,1,16-ЛагОткрытия))*КонверсияОткрытия*MIN(1,ШколНаПродажу)+IF(16-(ЛагОткрытия+ЛагСледующихШкол)&lt;1,0,INDEX($L13:$BY13,1,16-(ЛагОткрытия+ЛагСледующихШкол)))*КонверсияОткрытия*MAX(0,ШколНаПродажу-1)</f>
        <v/>
      </c>
      <c r="AB14" s="12">
        <f>IF(17-ЛагОткрытия&lt;1,0,INDEX($L13:$BY13,1,17-ЛагОткрытия))*КонверсияОткрытия*MIN(1,ШколНаПродажу)+IF(17-(ЛагОткрытия+ЛагСледующихШкол)&lt;1,0,INDEX($L13:$BY13,1,17-(ЛагОткрытия+ЛагСледующихШкол)))*КонверсияОткрытия*MAX(0,ШколНаПродажу-1)</f>
        <v/>
      </c>
      <c r="AC14" s="12">
        <f>IF(18-ЛагОткрытия&lt;1,0,INDEX($L13:$BY13,1,18-ЛагОткрытия))*КонверсияОткрытия*MIN(1,ШколНаПродажу)+IF(18-(ЛагОткрытия+ЛагСледующихШкол)&lt;1,0,INDEX($L13:$BY13,1,18-(ЛагОткрытия+ЛагСледующихШкол)))*КонверсияОткрытия*MAX(0,ШколНаПродажу-1)</f>
        <v/>
      </c>
      <c r="AD14" s="12">
        <f>IF(19-ЛагОткрытия&lt;1,0,INDEX($L13:$BY13,1,19-ЛагОткрытия))*КонверсияОткрытия*MIN(1,ШколНаПродажу)+IF(19-(ЛагОткрытия+ЛагСледующихШкол)&lt;1,0,INDEX($L13:$BY13,1,19-(ЛагОткрытия+ЛагСледующихШкол)))*КонверсияОткрытия*MAX(0,ШколНаПродажу-1)</f>
        <v/>
      </c>
      <c r="AE14" s="12">
        <f>IF(20-ЛагОткрытия&lt;1,0,INDEX($L13:$BY13,1,20-ЛагОткрытия))*КонверсияОткрытия*MIN(1,ШколНаПродажу)+IF(20-(ЛагОткрытия+ЛагСледующихШкол)&lt;1,0,INDEX($L13:$BY13,1,20-(ЛагОткрытия+ЛагСледующихШкол)))*КонверсияОткрытия*MAX(0,ШколНаПродажу-1)</f>
        <v/>
      </c>
      <c r="AF14" s="12">
        <f>IF(21-ЛагОткрытия&lt;1,0,INDEX($L13:$BY13,1,21-ЛагОткрытия))*КонверсияОткрытия*MIN(1,ШколНаПродажу)+IF(21-(ЛагОткрытия+ЛагСледующихШкол)&lt;1,0,INDEX($L13:$BY13,1,21-(ЛагОткрытия+ЛагСледующихШкол)))*КонверсияОткрытия*MAX(0,ШколНаПродажу-1)</f>
        <v/>
      </c>
      <c r="AG14" s="12">
        <f>IF(22-ЛагОткрытия&lt;1,0,INDEX($L13:$BY13,1,22-ЛагОткрытия))*КонверсияОткрытия*MIN(1,ШколНаПродажу)+IF(22-(ЛагОткрытия+ЛагСледующихШкол)&lt;1,0,INDEX($L13:$BY13,1,22-(ЛагОткрытия+ЛагСледующихШкол)))*КонверсияОткрытия*MAX(0,ШколНаПродажу-1)</f>
        <v/>
      </c>
      <c r="AH14" s="12">
        <f>IF(23-ЛагОткрытия&lt;1,0,INDEX($L13:$BY13,1,23-ЛагОткрытия))*КонверсияОткрытия*MIN(1,ШколНаПродажу)+IF(23-(ЛагОткрытия+ЛагСледующихШкол)&lt;1,0,INDEX($L13:$BY13,1,23-(ЛагОткрытия+ЛагСледующихШкол)))*КонверсияОткрытия*MAX(0,ШколНаПродажу-1)</f>
        <v/>
      </c>
      <c r="AI14" s="12">
        <f>IF(24-ЛагОткрытия&lt;1,0,INDEX($L13:$BY13,1,24-ЛагОткрытия))*КонверсияОткрытия*MIN(1,ШколНаПродажу)+IF(24-(ЛагОткрытия+ЛагСледующихШкол)&lt;1,0,INDEX($L13:$BY13,1,24-(ЛагОткрытия+ЛагСледующихШкол)))*КонверсияОткрытия*MAX(0,ШколНаПродажу-1)</f>
        <v/>
      </c>
      <c r="AJ14" s="12">
        <f>IF(25-ЛагОткрытия&lt;1,0,INDEX($L13:$BY13,1,25-ЛагОткрытия))*КонверсияОткрытия*MIN(1,ШколНаПродажу)+IF(25-(ЛагОткрытия+ЛагСледующихШкол)&lt;1,0,INDEX($L13:$BY13,1,25-(ЛагОткрытия+ЛагСледующихШкол)))*КонверсияОткрытия*MAX(0,ШколНаПродажу-1)</f>
        <v/>
      </c>
      <c r="AK14" s="12">
        <f>IF(26-ЛагОткрытия&lt;1,0,INDEX($L13:$BY13,1,26-ЛагОткрытия))*КонверсияОткрытия*MIN(1,ШколНаПродажу)+IF(26-(ЛагОткрытия+ЛагСледующихШкол)&lt;1,0,INDEX($L13:$BY13,1,26-(ЛагОткрытия+ЛагСледующихШкол)))*КонверсияОткрытия*MAX(0,ШколНаПродажу-1)</f>
        <v/>
      </c>
      <c r="AL14" s="12">
        <f>IF(27-ЛагОткрытия&lt;1,0,INDEX($L13:$BY13,1,27-ЛагОткрытия))*КонверсияОткрытия*MIN(1,ШколНаПродажу)+IF(27-(ЛагОткрытия+ЛагСледующихШкол)&lt;1,0,INDEX($L13:$BY13,1,27-(ЛагОткрытия+ЛагСледующихШкол)))*КонверсияОткрытия*MAX(0,ШколНаПродажу-1)</f>
        <v/>
      </c>
      <c r="AM14" s="12">
        <f>IF(28-ЛагОткрытия&lt;1,0,INDEX($L13:$BY13,1,28-ЛагОткрытия))*КонверсияОткрытия*MIN(1,ШколНаПродажу)+IF(28-(ЛагОткрытия+ЛагСледующихШкол)&lt;1,0,INDEX($L13:$BY13,1,28-(ЛагОткрытия+ЛагСледующихШкол)))*КонверсияОткрытия*MAX(0,ШколНаПродажу-1)</f>
        <v/>
      </c>
      <c r="AN14" s="12">
        <f>IF(29-ЛагОткрытия&lt;1,0,INDEX($L13:$BY13,1,29-ЛагОткрытия))*КонверсияОткрытия*MIN(1,ШколНаПродажу)+IF(29-(ЛагОткрытия+ЛагСледующихШкол)&lt;1,0,INDEX($L13:$BY13,1,29-(ЛагОткрытия+ЛагСледующихШкол)))*КонверсияОткрытия*MAX(0,ШколНаПродажу-1)</f>
        <v/>
      </c>
      <c r="AO14" s="12">
        <f>IF(30-ЛагОткрытия&lt;1,0,INDEX($L13:$BY13,1,30-ЛагОткрытия))*КонверсияОткрытия*MIN(1,ШколНаПродажу)+IF(30-(ЛагОткрытия+ЛагСледующихШкол)&lt;1,0,INDEX($L13:$BY13,1,30-(ЛагОткрытия+ЛагСледующихШкол)))*КонверсияОткрытия*MAX(0,ШколНаПродажу-1)</f>
        <v/>
      </c>
      <c r="AP14" s="12">
        <f>IF(31-ЛагОткрытия&lt;1,0,INDEX($L13:$BY13,1,31-ЛагОткрытия))*КонверсияОткрытия*MIN(1,ШколНаПродажу)+IF(31-(ЛагОткрытия+ЛагСледующихШкол)&lt;1,0,INDEX($L13:$BY13,1,31-(ЛагОткрытия+ЛагСледующихШкол)))*КонверсияОткрытия*MAX(0,ШколНаПродажу-1)</f>
        <v/>
      </c>
      <c r="AQ14" s="12">
        <f>IF(32-ЛагОткрытия&lt;1,0,INDEX($L13:$BY13,1,32-ЛагОткрытия))*КонверсияОткрытия*MIN(1,ШколНаПродажу)+IF(32-(ЛагОткрытия+ЛагСледующихШкол)&lt;1,0,INDEX($L13:$BY13,1,32-(ЛагОткрытия+ЛагСледующихШкол)))*КонверсияОткрытия*MAX(0,ШколНаПродажу-1)</f>
        <v/>
      </c>
      <c r="AR14" s="12">
        <f>IF(33-ЛагОткрытия&lt;1,0,INDEX($L13:$BY13,1,33-ЛагОткрытия))*КонверсияОткрытия*MIN(1,ШколНаПродажу)+IF(33-(ЛагОткрытия+ЛагСледующихШкол)&lt;1,0,INDEX($L13:$BY13,1,33-(ЛагОткрытия+ЛагСледующихШкол)))*КонверсияОткрытия*MAX(0,ШколНаПродажу-1)</f>
        <v/>
      </c>
      <c r="AS14" s="12">
        <f>IF(34-ЛагОткрытия&lt;1,0,INDEX($L13:$BY13,1,34-ЛагОткрытия))*КонверсияОткрытия*MIN(1,ШколНаПродажу)+IF(34-(ЛагОткрытия+ЛагСледующихШкол)&lt;1,0,INDEX($L13:$BY13,1,34-(ЛагОткрытия+ЛагСледующихШкол)))*КонверсияОткрытия*MAX(0,ШколНаПродажу-1)</f>
        <v/>
      </c>
      <c r="AT14" s="12">
        <f>IF(35-ЛагОткрытия&lt;1,0,INDEX($L13:$BY13,1,35-ЛагОткрытия))*КонверсияОткрытия*MIN(1,ШколНаПродажу)+IF(35-(ЛагОткрытия+ЛагСледующихШкол)&lt;1,0,INDEX($L13:$BY13,1,35-(ЛагОткрытия+ЛагСледующихШкол)))*КонверсияОткрытия*MAX(0,ШколНаПродажу-1)</f>
        <v/>
      </c>
      <c r="AU14" s="12">
        <f>IF(36-ЛагОткрытия&lt;1,0,INDEX($L13:$BY13,1,36-ЛагОткрытия))*КонверсияОткрытия*MIN(1,ШколНаПродажу)+IF(36-(ЛагОткрытия+ЛагСледующихШкол)&lt;1,0,INDEX($L13:$BY13,1,36-(ЛагОткрытия+ЛагСледующихШкол)))*КонверсияОткрытия*MAX(0,ШколНаПродажу-1)</f>
        <v/>
      </c>
      <c r="AV14" s="12">
        <f>IF(37-ЛагОткрытия&lt;1,0,INDEX($L13:$BY13,1,37-ЛагОткрытия))*КонверсияОткрытия*MIN(1,ШколНаПродажу)+IF(37-(ЛагОткрытия+ЛагСледующихШкол)&lt;1,0,INDEX($L13:$BY13,1,37-(ЛагОткрытия+ЛагСледующихШкол)))*КонверсияОткрытия*MAX(0,ШколНаПродажу-1)</f>
        <v/>
      </c>
      <c r="AW14" s="12">
        <f>IF(38-ЛагОткрытия&lt;1,0,INDEX($L13:$BY13,1,38-ЛагОткрытия))*КонверсияОткрытия*MIN(1,ШколНаПродажу)+IF(38-(ЛагОткрытия+ЛагСледующихШкол)&lt;1,0,INDEX($L13:$BY13,1,38-(ЛагОткрытия+ЛагСледующихШкол)))*КонверсияОткрытия*MAX(0,ШколНаПродажу-1)</f>
        <v/>
      </c>
      <c r="AX14" s="12">
        <f>IF(39-ЛагОткрытия&lt;1,0,INDEX($L13:$BY13,1,39-ЛагОткрытия))*КонверсияОткрытия*MIN(1,ШколНаПродажу)+IF(39-(ЛагОткрытия+ЛагСледующихШкол)&lt;1,0,INDEX($L13:$BY13,1,39-(ЛагОткрытия+ЛагСледующихШкол)))*КонверсияОткрытия*MAX(0,ШколНаПродажу-1)</f>
        <v/>
      </c>
      <c r="AY14" s="12">
        <f>IF(40-ЛагОткрытия&lt;1,0,INDEX($L13:$BY13,1,40-ЛагОткрытия))*КонверсияОткрытия*MIN(1,ШколНаПродажу)+IF(40-(ЛагОткрытия+ЛагСледующихШкол)&lt;1,0,INDEX($L13:$BY13,1,40-(ЛагОткрытия+ЛагСледующихШкол)))*КонверсияОткрытия*MAX(0,ШколНаПродажу-1)</f>
        <v/>
      </c>
      <c r="AZ14" s="12">
        <f>IF(41-ЛагОткрытия&lt;1,0,INDEX($L13:$BY13,1,41-ЛагОткрытия))*КонверсияОткрытия*MIN(1,ШколНаПродажу)+IF(41-(ЛагОткрытия+ЛагСледующихШкол)&lt;1,0,INDEX($L13:$BY13,1,41-(ЛагОткрытия+ЛагСледующихШкол)))*КонверсияОткрытия*MAX(0,ШколНаПродажу-1)</f>
        <v/>
      </c>
      <c r="BA14" s="12">
        <f>IF(42-ЛагОткрытия&lt;1,0,INDEX($L13:$BY13,1,42-ЛагОткрытия))*КонверсияОткрытия*MIN(1,ШколНаПродажу)+IF(42-(ЛагОткрытия+ЛагСледующихШкол)&lt;1,0,INDEX($L13:$BY13,1,42-(ЛагОткрытия+ЛагСледующихШкол)))*КонверсияОткрытия*MAX(0,ШколНаПродажу-1)</f>
        <v/>
      </c>
      <c r="BB14" s="12">
        <f>IF(43-ЛагОткрытия&lt;1,0,INDEX($L13:$BY13,1,43-ЛагОткрытия))*КонверсияОткрытия*MIN(1,ШколНаПродажу)+IF(43-(ЛагОткрытия+ЛагСледующихШкол)&lt;1,0,INDEX($L13:$BY13,1,43-(ЛагОткрытия+ЛагСледующихШкол)))*КонверсияОткрытия*MAX(0,ШколНаПродажу-1)</f>
        <v/>
      </c>
      <c r="BC14" s="12">
        <f>IF(44-ЛагОткрытия&lt;1,0,INDEX($L13:$BY13,1,44-ЛагОткрытия))*КонверсияОткрытия*MIN(1,ШколНаПродажу)+IF(44-(ЛагОткрытия+ЛагСледующихШкол)&lt;1,0,INDEX($L13:$BY13,1,44-(ЛагОткрытия+ЛагСледующихШкол)))*КонверсияОткрытия*MAX(0,ШколНаПродажу-1)</f>
        <v/>
      </c>
      <c r="BD14" s="12">
        <f>IF(45-ЛагОткрытия&lt;1,0,INDEX($L13:$BY13,1,45-ЛагОткрытия))*КонверсияОткрытия*MIN(1,ШколНаПродажу)+IF(45-(ЛагОткрытия+ЛагСледующихШкол)&lt;1,0,INDEX($L13:$BY13,1,45-(ЛагОткрытия+ЛагСледующихШкол)))*КонверсияОткрытия*MAX(0,ШколНаПродажу-1)</f>
        <v/>
      </c>
      <c r="BE14" s="12">
        <f>IF(46-ЛагОткрытия&lt;1,0,INDEX($L13:$BY13,1,46-ЛагОткрытия))*КонверсияОткрытия*MIN(1,ШколНаПродажу)+IF(46-(ЛагОткрытия+ЛагСледующихШкол)&lt;1,0,INDEX($L13:$BY13,1,46-(ЛагОткрытия+ЛагСледующихШкол)))*КонверсияОткрытия*MAX(0,ШколНаПродажу-1)</f>
        <v/>
      </c>
      <c r="BF14" s="12">
        <f>IF(47-ЛагОткрытия&lt;1,0,INDEX($L13:$BY13,1,47-ЛагОткрытия))*КонверсияОткрытия*MIN(1,ШколНаПродажу)+IF(47-(ЛагОткрытия+ЛагСледующихШкол)&lt;1,0,INDEX($L13:$BY13,1,47-(ЛагОткрытия+ЛагСледующихШкол)))*КонверсияОткрытия*MAX(0,ШколНаПродажу-1)</f>
        <v/>
      </c>
      <c r="BG14" s="12">
        <f>IF(48-ЛагОткрытия&lt;1,0,INDEX($L13:$BY13,1,48-ЛагОткрытия))*КонверсияОткрытия*MIN(1,ШколНаПродажу)+IF(48-(ЛагОткрытия+ЛагСледующихШкол)&lt;1,0,INDEX($L13:$BY13,1,48-(ЛагОткрытия+ЛагСледующихШкол)))*КонверсияОткрытия*MAX(0,ШколНаПродажу-1)</f>
        <v/>
      </c>
      <c r="BH14" s="12">
        <f>IF(49-ЛагОткрытия&lt;1,0,INDEX($L13:$BY13,1,49-ЛагОткрытия))*КонверсияОткрытия*MIN(1,ШколНаПродажу)+IF(49-(ЛагОткрытия+ЛагСледующихШкол)&lt;1,0,INDEX($L13:$BY13,1,49-(ЛагОткрытия+ЛагСледующихШкол)))*КонверсияОткрытия*MAX(0,ШколНаПродажу-1)</f>
        <v/>
      </c>
      <c r="BI14" s="12">
        <f>IF(50-ЛагОткрытия&lt;1,0,INDEX($L13:$BY13,1,50-ЛагОткрытия))*КонверсияОткрытия*MIN(1,ШколНаПродажу)+IF(50-(ЛагОткрытия+ЛагСледующихШкол)&lt;1,0,INDEX($L13:$BY13,1,50-(ЛагОткрытия+ЛагСледующихШкол)))*КонверсияОткрытия*MAX(0,ШколНаПродажу-1)</f>
        <v/>
      </c>
      <c r="BJ14" s="12">
        <f>IF(51-ЛагОткрытия&lt;1,0,INDEX($L13:$BY13,1,51-ЛагОткрытия))*КонверсияОткрытия*MIN(1,ШколНаПродажу)+IF(51-(ЛагОткрытия+ЛагСледующихШкол)&lt;1,0,INDEX($L13:$BY13,1,51-(ЛагОткрытия+ЛагСледующихШкол)))*КонверсияОткрытия*MAX(0,ШколНаПродажу-1)</f>
        <v/>
      </c>
      <c r="BK14" s="12">
        <f>IF(52-ЛагОткрытия&lt;1,0,INDEX($L13:$BY13,1,52-ЛагОткрытия))*КонверсияОткрытия*MIN(1,ШколНаПродажу)+IF(52-(ЛагОткрытия+ЛагСледующихШкол)&lt;1,0,INDEX($L13:$BY13,1,52-(ЛагОткрытия+ЛагСледующихШкол)))*КонверсияОткрытия*MAX(0,ШколНаПродажу-1)</f>
        <v/>
      </c>
      <c r="BL14" s="12">
        <f>IF(53-ЛагОткрытия&lt;1,0,INDEX($L13:$BY13,1,53-ЛагОткрытия))*КонверсияОткрытия*MIN(1,ШколНаПродажу)+IF(53-(ЛагОткрытия+ЛагСледующихШкол)&lt;1,0,INDEX($L13:$BY13,1,53-(ЛагОткрытия+ЛагСледующихШкол)))*КонверсияОткрытия*MAX(0,ШколНаПродажу-1)</f>
        <v/>
      </c>
      <c r="BM14" s="12">
        <f>IF(54-ЛагОткрытия&lt;1,0,INDEX($L13:$BY13,1,54-ЛагОткрытия))*КонверсияОткрытия*MIN(1,ШколНаПродажу)+IF(54-(ЛагОткрытия+ЛагСледующихШкол)&lt;1,0,INDEX($L13:$BY13,1,54-(ЛагОткрытия+ЛагСледующихШкол)))*КонверсияОткрытия*MAX(0,ШколНаПродажу-1)</f>
        <v/>
      </c>
      <c r="BN14" s="12">
        <f>IF(55-ЛагОткрытия&lt;1,0,INDEX($L13:$BY13,1,55-ЛагОткрытия))*КонверсияОткрытия*MIN(1,ШколНаПродажу)+IF(55-(ЛагОткрытия+ЛагСледующихШкол)&lt;1,0,INDEX($L13:$BY13,1,55-(ЛагОткрытия+ЛагСледующихШкол)))*КонверсияОткрытия*MAX(0,ШколНаПродажу-1)</f>
        <v/>
      </c>
      <c r="BO14" s="12">
        <f>IF(56-ЛагОткрытия&lt;1,0,INDEX($L13:$BY13,1,56-ЛагОткрытия))*КонверсияОткрытия*MIN(1,ШколНаПродажу)+IF(56-(ЛагОткрытия+ЛагСледующихШкол)&lt;1,0,INDEX($L13:$BY13,1,56-(ЛагОткрытия+ЛагСледующихШкол)))*КонверсияОткрытия*MAX(0,ШколНаПродажу-1)</f>
        <v/>
      </c>
      <c r="BP14" s="12">
        <f>IF(57-ЛагОткрытия&lt;1,0,INDEX($L13:$BY13,1,57-ЛагОткрытия))*КонверсияОткрытия*MIN(1,ШколНаПродажу)+IF(57-(ЛагОткрытия+ЛагСледующихШкол)&lt;1,0,INDEX($L13:$BY13,1,57-(ЛагОткрытия+ЛагСледующихШкол)))*КонверсияОткрытия*MAX(0,ШколНаПродажу-1)</f>
        <v/>
      </c>
      <c r="BQ14" s="12">
        <f>IF(58-ЛагОткрытия&lt;1,0,INDEX($L13:$BY13,1,58-ЛагОткрытия))*КонверсияОткрытия*MIN(1,ШколНаПродажу)+IF(58-(ЛагОткрытия+ЛагСледующихШкол)&lt;1,0,INDEX($L13:$BY13,1,58-(ЛагОткрытия+ЛагСледующихШкол)))*КонверсияОткрытия*MAX(0,ШколНаПродажу-1)</f>
        <v/>
      </c>
      <c r="BR14" s="12">
        <f>IF(59-ЛагОткрытия&lt;1,0,INDEX($L13:$BY13,1,59-ЛагОткрытия))*КонверсияОткрытия*MIN(1,ШколНаПродажу)+IF(59-(ЛагОткрытия+ЛагСледующихШкол)&lt;1,0,INDEX($L13:$BY13,1,59-(ЛагОткрытия+ЛагСледующихШкол)))*КонверсияОткрытия*MAX(0,ШколНаПродажу-1)</f>
        <v/>
      </c>
      <c r="BS14" s="12">
        <f>IF(60-ЛагОткрытия&lt;1,0,INDEX($L13:$BY13,1,60-ЛагОткрытия))*КонверсияОткрытия*MIN(1,ШколНаПродажу)+IF(60-(ЛагОткрытия+ЛагСледующихШкол)&lt;1,0,INDEX($L13:$BY13,1,60-(ЛагОткрытия+ЛагСледующихШкол)))*КонверсияОткрытия*MAX(0,ШколНаПродажу-1)</f>
        <v/>
      </c>
      <c r="BT14" s="12">
        <f>IF(61-ЛагОткрытия&lt;1,0,INDEX($L13:$BY13,1,61-ЛагОткрытия))*КонверсияОткрытия*MIN(1,ШколНаПродажу)+IF(61-(ЛагОткрытия+ЛагСледующихШкол)&lt;1,0,INDEX($L13:$BY13,1,61-(ЛагОткрытия+ЛагСледующихШкол)))*КонверсияОткрытия*MAX(0,ШколНаПродажу-1)</f>
        <v/>
      </c>
      <c r="BU14" s="12">
        <f>IF(62-ЛагОткрытия&lt;1,0,INDEX($L13:$BY13,1,62-ЛагОткрытия))*КонверсияОткрытия*MIN(1,ШколНаПродажу)+IF(62-(ЛагОткрытия+ЛагСледующихШкол)&lt;1,0,INDEX($L13:$BY13,1,62-(ЛагОткрытия+ЛагСледующихШкол)))*КонверсияОткрытия*MAX(0,ШколНаПродажу-1)</f>
        <v/>
      </c>
      <c r="BV14" s="12">
        <f>IF(63-ЛагОткрытия&lt;1,0,INDEX($L13:$BY13,1,63-ЛагОткрытия))*КонверсияОткрытия*MIN(1,ШколНаПродажу)+IF(63-(ЛагОткрытия+ЛагСледующихШкол)&lt;1,0,INDEX($L13:$BY13,1,63-(ЛагОткрытия+ЛагСледующихШкол)))*КонверсияОткрытия*MAX(0,ШколНаПродажу-1)</f>
        <v/>
      </c>
      <c r="BW14" s="12">
        <f>IF(64-ЛагОткрытия&lt;1,0,INDEX($L13:$BY13,1,64-ЛагОткрытия))*КонверсияОткрытия*MIN(1,ШколНаПродажу)+IF(64-(ЛагОткрытия+ЛагСледующихШкол)&lt;1,0,INDEX($L13:$BY13,1,64-(ЛагОткрытия+ЛагСледующихШкол)))*КонверсияОткрытия*MAX(0,ШколНаПродажу-1)</f>
        <v/>
      </c>
      <c r="BX14" s="12">
        <f>IF(65-ЛагОткрытия&lt;1,0,INDEX($L13:$BY13,1,65-ЛагОткрытия))*КонверсияОткрытия*MIN(1,ШколНаПродажу)+IF(65-(ЛагОткрытия+ЛагСледующихШкол)&lt;1,0,INDEX($L13:$BY13,1,65-(ЛагОткрытия+ЛагСледующихШкол)))*КонверсияОткрытия*MAX(0,ШколНаПродажу-1)</f>
        <v/>
      </c>
      <c r="BY14" s="12">
        <f>IF(66-ЛагОткрытия&lt;1,0,INDEX($L13:$BY13,1,66-ЛагОткрытия))*КонверсияОткрытия*MIN(1,ШколНаПродажу)+IF(66-(ЛагОткрытия+ЛагСледующихШкол)&lt;1,0,INDEX($L13:$BY13,1,66-(ЛагОткрытия+ЛагСледующихШкол)))*КонверсияОткрытия*MAX(0,ШколНаПродажу-1)</f>
        <v/>
      </c>
    </row>
    <row r="15">
      <c r="B15" t="inlineStr">
        <is>
          <t>Новые юрлица (партнёры)</t>
        </is>
      </c>
      <c r="C15" t="inlineStr">
        <is>
          <t>шт.</t>
        </is>
      </c>
      <c r="D15" s="127" t="inlineStr">
        <is>
          <t>Партнёр появляется в месяц покупки франшизы — без лага: лаг нужен школе, а не договору</t>
        </is>
      </c>
      <c r="E15" s="128">
        <f>SUM(L15:W15)</f>
        <v/>
      </c>
      <c r="F15" s="128">
        <f>SUM(X15:AI15)</f>
        <v/>
      </c>
      <c r="G15" s="128">
        <f>SUM(AJ15:AU15)</f>
        <v/>
      </c>
      <c r="H15" s="128">
        <f>SUM(AV15:BG15)</f>
        <v/>
      </c>
      <c r="I15" s="128">
        <f>SUM(BH15:BS15)</f>
        <v/>
      </c>
      <c r="J15" s="13">
        <f>SUM(L15:BS15)</f>
        <v/>
      </c>
      <c r="L15" s="12">
        <f>L13*ЮрлицНаПродажу</f>
        <v/>
      </c>
      <c r="M15" s="12">
        <f>M13*ЮрлицНаПродажу</f>
        <v/>
      </c>
      <c r="N15" s="12">
        <f>N13*ЮрлицНаПродажу</f>
        <v/>
      </c>
      <c r="O15" s="12">
        <f>O13*ЮрлицНаПродажу</f>
        <v/>
      </c>
      <c r="P15" s="12">
        <f>P13*ЮрлицНаПродажу</f>
        <v/>
      </c>
      <c r="Q15" s="12">
        <f>Q13*ЮрлицНаПродажу</f>
        <v/>
      </c>
      <c r="R15" s="12">
        <f>R13*ЮрлицНаПродажу</f>
        <v/>
      </c>
      <c r="S15" s="12">
        <f>S13*ЮрлицНаПродажу</f>
        <v/>
      </c>
      <c r="T15" s="12">
        <f>T13*ЮрлицНаПродажу</f>
        <v/>
      </c>
      <c r="U15" s="12">
        <f>U13*ЮрлицНаПродажу</f>
        <v/>
      </c>
      <c r="V15" s="12">
        <f>V13*ЮрлицНаПродажу</f>
        <v/>
      </c>
      <c r="W15" s="12">
        <f>W13*ЮрлицНаПродажу</f>
        <v/>
      </c>
      <c r="X15" s="12">
        <f>X13*ЮрлицНаПродажу</f>
        <v/>
      </c>
      <c r="Y15" s="12">
        <f>Y13*ЮрлицНаПродажу</f>
        <v/>
      </c>
      <c r="Z15" s="12">
        <f>Z13*ЮрлицНаПродажу</f>
        <v/>
      </c>
      <c r="AA15" s="12">
        <f>AA13*ЮрлицНаПродажу</f>
        <v/>
      </c>
      <c r="AB15" s="12">
        <f>AB13*ЮрлицНаПродажу</f>
        <v/>
      </c>
      <c r="AC15" s="12">
        <f>AC13*ЮрлицНаПродажу</f>
        <v/>
      </c>
      <c r="AD15" s="12">
        <f>AD13*ЮрлицНаПродажу</f>
        <v/>
      </c>
      <c r="AE15" s="12">
        <f>AE13*ЮрлицНаПродажу</f>
        <v/>
      </c>
      <c r="AF15" s="12">
        <f>AF13*ЮрлицНаПродажу</f>
        <v/>
      </c>
      <c r="AG15" s="12">
        <f>AG13*ЮрлицНаПродажу</f>
        <v/>
      </c>
      <c r="AH15" s="12">
        <f>AH13*ЮрлицНаПродажу</f>
        <v/>
      </c>
      <c r="AI15" s="12">
        <f>AI13*ЮрлицНаПродажу</f>
        <v/>
      </c>
      <c r="AJ15" s="12">
        <f>AJ13*ЮрлицНаПродажу</f>
        <v/>
      </c>
      <c r="AK15" s="12">
        <f>AK13*ЮрлицНаПродажу</f>
        <v/>
      </c>
      <c r="AL15" s="12">
        <f>AL13*ЮрлицНаПродажу</f>
        <v/>
      </c>
      <c r="AM15" s="12">
        <f>AM13*ЮрлицНаПродажу</f>
        <v/>
      </c>
      <c r="AN15" s="12">
        <f>AN13*ЮрлицНаПродажу</f>
        <v/>
      </c>
      <c r="AO15" s="12">
        <f>AO13*ЮрлицНаПродажу</f>
        <v/>
      </c>
      <c r="AP15" s="12">
        <f>AP13*ЮрлицНаПродажу</f>
        <v/>
      </c>
      <c r="AQ15" s="12">
        <f>AQ13*ЮрлицНаПродажу</f>
        <v/>
      </c>
      <c r="AR15" s="12">
        <f>AR13*ЮрлицНаПродажу</f>
        <v/>
      </c>
      <c r="AS15" s="12">
        <f>AS13*ЮрлицНаПродажу</f>
        <v/>
      </c>
      <c r="AT15" s="12">
        <f>AT13*ЮрлицНаПродажу</f>
        <v/>
      </c>
      <c r="AU15" s="12">
        <f>AU13*ЮрлицНаПродажу</f>
        <v/>
      </c>
      <c r="AV15" s="12">
        <f>AV13*ЮрлицНаПродажу</f>
        <v/>
      </c>
      <c r="AW15" s="12">
        <f>AW13*ЮрлицНаПродажу</f>
        <v/>
      </c>
      <c r="AX15" s="12">
        <f>AX13*ЮрлицНаПродажу</f>
        <v/>
      </c>
      <c r="AY15" s="12">
        <f>AY13*ЮрлицНаПродажу</f>
        <v/>
      </c>
      <c r="AZ15" s="12">
        <f>AZ13*ЮрлицНаПродажу</f>
        <v/>
      </c>
      <c r="BA15" s="12">
        <f>BA13*ЮрлицНаПродажу</f>
        <v/>
      </c>
      <c r="BB15" s="12">
        <f>BB13*ЮрлицНаПродажу</f>
        <v/>
      </c>
      <c r="BC15" s="12">
        <f>BC13*ЮрлицНаПродажу</f>
        <v/>
      </c>
      <c r="BD15" s="12">
        <f>BD13*ЮрлицНаПродажу</f>
        <v/>
      </c>
      <c r="BE15" s="12">
        <f>BE13*ЮрлицНаПродажу</f>
        <v/>
      </c>
      <c r="BF15" s="12">
        <f>BF13*ЮрлицНаПродажу</f>
        <v/>
      </c>
      <c r="BG15" s="12">
        <f>BG13*ЮрлицНаПродажу</f>
        <v/>
      </c>
      <c r="BH15" s="12">
        <f>BH13*ЮрлицНаПродажу</f>
        <v/>
      </c>
      <c r="BI15" s="12">
        <f>BI13*ЮрлицНаПродажу</f>
        <v/>
      </c>
      <c r="BJ15" s="12">
        <f>BJ13*ЮрлицНаПродажу</f>
        <v/>
      </c>
      <c r="BK15" s="12">
        <f>BK13*ЮрлицНаПродажу</f>
        <v/>
      </c>
      <c r="BL15" s="12">
        <f>BL13*ЮрлицНаПродажу</f>
        <v/>
      </c>
      <c r="BM15" s="12">
        <f>BM13*ЮрлицНаПродажу</f>
        <v/>
      </c>
      <c r="BN15" s="12">
        <f>BN13*ЮрлицНаПродажу</f>
        <v/>
      </c>
      <c r="BO15" s="12">
        <f>BO13*ЮрлицНаПродажу</f>
        <v/>
      </c>
      <c r="BP15" s="12">
        <f>BP13*ЮрлицНаПродажу</f>
        <v/>
      </c>
      <c r="BQ15" s="12">
        <f>BQ13*ЮрлицНаПродажу</f>
        <v/>
      </c>
      <c r="BR15" s="12">
        <f>BR13*ЮрлицНаПродажу</f>
        <v/>
      </c>
      <c r="BS15" s="12">
        <f>BS13*ЮрлицНаПродажу</f>
        <v/>
      </c>
      <c r="BT15" s="12">
        <f>BT13*ЮрлицНаПродажу</f>
        <v/>
      </c>
      <c r="BU15" s="12">
        <f>BU13*ЮрлицНаПродажу</f>
        <v/>
      </c>
      <c r="BV15" s="12">
        <f>BV13*ЮрлицНаПродажу</f>
        <v/>
      </c>
      <c r="BW15" s="12">
        <f>BW13*ЮрлицНаПродажу</f>
        <v/>
      </c>
      <c r="BX15" s="12">
        <f>BX13*ЮрлицНаПродажу</f>
        <v/>
      </c>
      <c r="BY15" s="12">
        <f>BY13*ЮрлицНаПродажу</f>
        <v/>
      </c>
    </row>
    <row r="16"/>
    <row r="17">
      <c r="B17" s="125" t="inlineStr">
        <is>
          <t>Действующая сеть (та, что была на старте)</t>
        </is>
      </c>
      <c r="C17" s="126" t="n"/>
      <c r="D17" s="126" t="n"/>
      <c r="E17" s="126" t="n"/>
      <c r="F17" s="126" t="n"/>
      <c r="G17" s="126" t="n"/>
      <c r="H17" s="126" t="n"/>
      <c r="I17" s="126" t="n"/>
      <c r="J17" s="126" t="n"/>
      <c r="K17" s="126" t="n"/>
      <c r="L17" s="126" t="n"/>
      <c r="M17" s="126" t="n"/>
      <c r="N17" s="126" t="n"/>
      <c r="O17" s="126" t="n"/>
      <c r="P17" s="126" t="n"/>
      <c r="Q17" s="126" t="n"/>
      <c r="R17" s="126" t="n"/>
      <c r="S17" s="126" t="n"/>
      <c r="T17" s="126" t="n"/>
      <c r="U17" s="126" t="n"/>
      <c r="V17" s="126" t="n"/>
      <c r="W17" s="126" t="n"/>
      <c r="X17" s="126" t="n"/>
      <c r="Y17" s="126" t="n"/>
      <c r="Z17" s="126" t="n"/>
      <c r="AA17" s="126" t="n"/>
      <c r="AB17" s="126" t="n"/>
      <c r="AC17" s="126" t="n"/>
      <c r="AD17" s="126" t="n"/>
      <c r="AE17" s="126" t="n"/>
      <c r="AF17" s="126" t="n"/>
      <c r="AG17" s="126" t="n"/>
      <c r="AH17" s="126" t="n"/>
      <c r="AI17" s="126" t="n"/>
      <c r="AJ17" s="126" t="n"/>
      <c r="AK17" s="126" t="n"/>
      <c r="AL17" s="126" t="n"/>
      <c r="AM17" s="126" t="n"/>
      <c r="AN17" s="126" t="n"/>
      <c r="AO17" s="126" t="n"/>
      <c r="AP17" s="126" t="n"/>
      <c r="AQ17" s="126" t="n"/>
      <c r="AR17" s="126" t="n"/>
      <c r="AS17" s="126" t="n"/>
      <c r="AT17" s="126" t="n"/>
      <c r="AU17" s="126" t="n"/>
      <c r="AV17" s="126" t="n"/>
      <c r="AW17" s="126" t="n"/>
      <c r="AX17" s="126" t="n"/>
      <c r="AY17" s="126" t="n"/>
      <c r="AZ17" s="126" t="n"/>
      <c r="BA17" s="126" t="n"/>
      <c r="BB17" s="126" t="n"/>
      <c r="BC17" s="126" t="n"/>
      <c r="BD17" s="126" t="n"/>
      <c r="BE17" s="126" t="n"/>
      <c r="BF17" s="126" t="n"/>
      <c r="BG17" s="126" t="n"/>
      <c r="BH17" s="126" t="n"/>
      <c r="BI17" s="126" t="n"/>
      <c r="BJ17" s="126" t="n"/>
      <c r="BK17" s="126" t="n"/>
      <c r="BL17" s="126" t="n"/>
      <c r="BM17" s="126" t="n"/>
      <c r="BN17" s="126" t="n"/>
      <c r="BO17" s="126" t="n"/>
      <c r="BP17" s="126" t="n"/>
      <c r="BQ17" s="126" t="n"/>
      <c r="BR17" s="126" t="n"/>
      <c r="BS17" s="126" t="n"/>
      <c r="BT17" s="126" t="n"/>
      <c r="BU17" s="126" t="n"/>
      <c r="BV17" s="126" t="n"/>
      <c r="BW17" s="126" t="n"/>
      <c r="BX17" s="126" t="n"/>
      <c r="BY17" s="126" t="n"/>
    </row>
    <row r="18">
      <c r="B18" t="inlineStr">
        <is>
          <t>Школы действующей сети</t>
        </is>
      </c>
      <c r="C18" t="inlineStr">
        <is>
          <t>шт.</t>
        </is>
      </c>
      <c r="D18" s="127" t="inlineStr">
        <is>
          <t>Каждый месяц убывает на коэффициент закрытия В колонках лет — значение на конец года, в «Итого» — на конец пятого года. Это остаток, а не сумма.</t>
        </is>
      </c>
      <c r="E18" s="128">
        <f>W18</f>
        <v/>
      </c>
      <c r="F18" s="128">
        <f>AI18</f>
        <v/>
      </c>
      <c r="G18" s="128">
        <f>AU18</f>
        <v/>
      </c>
      <c r="H18" s="128">
        <f>BG18</f>
        <v/>
      </c>
      <c r="I18" s="128">
        <f>BS18</f>
        <v/>
      </c>
      <c r="J18" s="13">
        <f>BS18</f>
        <v/>
      </c>
      <c r="L18" s="12">
        <f>ШколыСтарт*КоэффСохранения</f>
        <v/>
      </c>
      <c r="M18" s="12">
        <f>L18*КоэффСохранения</f>
        <v/>
      </c>
      <c r="N18" s="12">
        <f>M18*КоэффСохранения</f>
        <v/>
      </c>
      <c r="O18" s="12">
        <f>N18*КоэффСохранения</f>
        <v/>
      </c>
      <c r="P18" s="12">
        <f>O18*КоэффСохранения</f>
        <v/>
      </c>
      <c r="Q18" s="12">
        <f>P18*КоэффСохранения</f>
        <v/>
      </c>
      <c r="R18" s="12">
        <f>Q18*КоэффСохранения</f>
        <v/>
      </c>
      <c r="S18" s="12">
        <f>R18*КоэффСохранения</f>
        <v/>
      </c>
      <c r="T18" s="12">
        <f>S18*КоэффСохранения</f>
        <v/>
      </c>
      <c r="U18" s="12">
        <f>T18*КоэффСохранения</f>
        <v/>
      </c>
      <c r="V18" s="12">
        <f>U18*КоэффСохранения</f>
        <v/>
      </c>
      <c r="W18" s="12">
        <f>V18*КоэффСохранения</f>
        <v/>
      </c>
      <c r="X18" s="12">
        <f>W18*КоэффСохранения</f>
        <v/>
      </c>
      <c r="Y18" s="12">
        <f>X18*КоэффСохранения</f>
        <v/>
      </c>
      <c r="Z18" s="12">
        <f>Y18*КоэффСохранения</f>
        <v/>
      </c>
      <c r="AA18" s="12">
        <f>Z18*КоэффСохранения</f>
        <v/>
      </c>
      <c r="AB18" s="12">
        <f>AA18*КоэффСохранения</f>
        <v/>
      </c>
      <c r="AC18" s="12">
        <f>AB18*КоэффСохранения</f>
        <v/>
      </c>
      <c r="AD18" s="12">
        <f>AC18*КоэффСохранения</f>
        <v/>
      </c>
      <c r="AE18" s="12">
        <f>AD18*КоэффСохранения</f>
        <v/>
      </c>
      <c r="AF18" s="12">
        <f>AE18*КоэффСохранения</f>
        <v/>
      </c>
      <c r="AG18" s="12">
        <f>AF18*КоэффСохранения</f>
        <v/>
      </c>
      <c r="AH18" s="12">
        <f>AG18*КоэффСохранения</f>
        <v/>
      </c>
      <c r="AI18" s="12">
        <f>AH18*КоэффСохранения</f>
        <v/>
      </c>
      <c r="AJ18" s="12">
        <f>AI18*КоэффСохранения</f>
        <v/>
      </c>
      <c r="AK18" s="12">
        <f>AJ18*КоэффСохранения</f>
        <v/>
      </c>
      <c r="AL18" s="12">
        <f>AK18*КоэффСохранения</f>
        <v/>
      </c>
      <c r="AM18" s="12">
        <f>AL18*КоэффСохранения</f>
        <v/>
      </c>
      <c r="AN18" s="12">
        <f>AM18*КоэффСохранения</f>
        <v/>
      </c>
      <c r="AO18" s="12">
        <f>AN18*КоэффСохранения</f>
        <v/>
      </c>
      <c r="AP18" s="12">
        <f>AO18*КоэффСохранения</f>
        <v/>
      </c>
      <c r="AQ18" s="12">
        <f>AP18*КоэффСохранения</f>
        <v/>
      </c>
      <c r="AR18" s="12">
        <f>AQ18*КоэффСохранения</f>
        <v/>
      </c>
      <c r="AS18" s="12">
        <f>AR18*КоэффСохранения</f>
        <v/>
      </c>
      <c r="AT18" s="12">
        <f>AS18*КоэффСохранения</f>
        <v/>
      </c>
      <c r="AU18" s="12">
        <f>AT18*КоэффСохранения</f>
        <v/>
      </c>
      <c r="AV18" s="12">
        <f>AU18*КоэффСохранения</f>
        <v/>
      </c>
      <c r="AW18" s="12">
        <f>AV18*КоэффСохранения</f>
        <v/>
      </c>
      <c r="AX18" s="12">
        <f>AW18*КоэффСохранения</f>
        <v/>
      </c>
      <c r="AY18" s="12">
        <f>AX18*КоэффСохранения</f>
        <v/>
      </c>
      <c r="AZ18" s="12">
        <f>AY18*КоэффСохранения</f>
        <v/>
      </c>
      <c r="BA18" s="12">
        <f>AZ18*КоэффСохранения</f>
        <v/>
      </c>
      <c r="BB18" s="12">
        <f>BA18*КоэффСохранения</f>
        <v/>
      </c>
      <c r="BC18" s="12">
        <f>BB18*КоэффСохранения</f>
        <v/>
      </c>
      <c r="BD18" s="12">
        <f>BC18*КоэффСохранения</f>
        <v/>
      </c>
      <c r="BE18" s="12">
        <f>BD18*КоэффСохранения</f>
        <v/>
      </c>
      <c r="BF18" s="12">
        <f>BE18*КоэффСохранения</f>
        <v/>
      </c>
      <c r="BG18" s="12">
        <f>BF18*КоэффСохранения</f>
        <v/>
      </c>
      <c r="BH18" s="12">
        <f>BG18*КоэффСохранения</f>
        <v/>
      </c>
      <c r="BI18" s="12">
        <f>BH18*КоэффСохранения</f>
        <v/>
      </c>
      <c r="BJ18" s="12">
        <f>BI18*КоэффСохранения</f>
        <v/>
      </c>
      <c r="BK18" s="12">
        <f>BJ18*КоэффСохранения</f>
        <v/>
      </c>
      <c r="BL18" s="12">
        <f>BK18*КоэффСохранения</f>
        <v/>
      </c>
      <c r="BM18" s="12">
        <f>BL18*КоэффСохранения</f>
        <v/>
      </c>
      <c r="BN18" s="12">
        <f>BM18*КоэффСохранения</f>
        <v/>
      </c>
      <c r="BO18" s="12">
        <f>BN18*КоэффСохранения</f>
        <v/>
      </c>
      <c r="BP18" s="12">
        <f>BO18*КоэффСохранения</f>
        <v/>
      </c>
      <c r="BQ18" s="12">
        <f>BP18*КоэффСохранения</f>
        <v/>
      </c>
      <c r="BR18" s="12">
        <f>BQ18*КоэффСохранения</f>
        <v/>
      </c>
      <c r="BS18" s="12">
        <f>BR18*КоэффСохранения</f>
        <v/>
      </c>
      <c r="BT18" s="12">
        <f>BS18*КоэффСохранения</f>
        <v/>
      </c>
      <c r="BU18" s="12">
        <f>BT18*КоэффСохранения</f>
        <v/>
      </c>
      <c r="BV18" s="12">
        <f>BU18*КоэффСохранения</f>
        <v/>
      </c>
      <c r="BW18" s="12">
        <f>BV18*КоэффСохранения</f>
        <v/>
      </c>
      <c r="BX18" s="12">
        <f>BW18*КоэффСохранения</f>
        <v/>
      </c>
      <c r="BY18" s="12">
        <f>BX18*КоэффСохранения</f>
        <v/>
      </c>
    </row>
    <row r="19">
      <c r="B19" t="inlineStr">
        <is>
          <t>Дети действующей сети, 100% база</t>
        </is>
      </c>
      <c r="C19" t="inlineStr">
        <is>
          <t>чел.</t>
        </is>
      </c>
      <c r="D19" s="127" t="inlineStr">
        <is>
          <t>База растёт по сезонам и уменьшается вместе с числом школ В колонках лет — значение на конец года, в «Итого» — на конец пятого года. Это остаток, а не сумма.</t>
        </is>
      </c>
      <c r="E19" s="129">
        <f>W19</f>
        <v/>
      </c>
      <c r="F19" s="129">
        <f>AI19</f>
        <v/>
      </c>
      <c r="G19" s="129">
        <f>AU19</f>
        <v/>
      </c>
      <c r="H19" s="129">
        <f>BG19</f>
        <v/>
      </c>
      <c r="I19" s="129">
        <f>BS19</f>
        <v/>
      </c>
      <c r="J19" s="6">
        <f>BS19</f>
        <v/>
      </c>
      <c r="L19" s="5">
        <f>ДетиСтарт*(1+РостДетей)^(L8-1)*IF(ШколыСтарт=0,0,L18/ШколыСтарт)</f>
        <v/>
      </c>
      <c r="M19" s="5">
        <f>ДетиСтарт*(1+РостДетей)^(M8-1)*IF(ШколыСтарт=0,0,M18/ШколыСтарт)</f>
        <v/>
      </c>
      <c r="N19" s="5">
        <f>ДетиСтарт*(1+РостДетей)^(N8-1)*IF(ШколыСтарт=0,0,N18/ШколыСтарт)</f>
        <v/>
      </c>
      <c r="O19" s="5">
        <f>ДетиСтарт*(1+РостДетей)^(O8-1)*IF(ШколыСтарт=0,0,O18/ШколыСтарт)</f>
        <v/>
      </c>
      <c r="P19" s="5">
        <f>ДетиСтарт*(1+РостДетей)^(P8-1)*IF(ШколыСтарт=0,0,P18/ШколыСтарт)</f>
        <v/>
      </c>
      <c r="Q19" s="5">
        <f>ДетиСтарт*(1+РостДетей)^(Q8-1)*IF(ШколыСтарт=0,0,Q18/ШколыСтарт)</f>
        <v/>
      </c>
      <c r="R19" s="5">
        <f>ДетиСтарт*(1+РостДетей)^(R8-1)*IF(ШколыСтарт=0,0,R18/ШколыСтарт)</f>
        <v/>
      </c>
      <c r="S19" s="5">
        <f>ДетиСтарт*(1+РостДетей)^(S8-1)*IF(ШколыСтарт=0,0,S18/ШколыСтарт)</f>
        <v/>
      </c>
      <c r="T19" s="5">
        <f>ДетиСтарт*(1+РостДетей)^(T8-1)*IF(ШколыСтарт=0,0,T18/ШколыСтарт)</f>
        <v/>
      </c>
      <c r="U19" s="5">
        <f>ДетиСтарт*(1+РостДетей)^(U8-1)*IF(ШколыСтарт=0,0,U18/ШколыСтарт)</f>
        <v/>
      </c>
      <c r="V19" s="5">
        <f>ДетиСтарт*(1+РостДетей)^(V8-1)*IF(ШколыСтарт=0,0,V18/ШколыСтарт)</f>
        <v/>
      </c>
      <c r="W19" s="5">
        <f>ДетиСтарт*(1+РостДетей)^(W8-1)*IF(ШколыСтарт=0,0,W18/ШколыСтарт)</f>
        <v/>
      </c>
      <c r="X19" s="5">
        <f>ДетиСтарт*(1+РостДетей)^(X8-1)*IF(ШколыСтарт=0,0,X18/ШколыСтарт)</f>
        <v/>
      </c>
      <c r="Y19" s="5">
        <f>ДетиСтарт*(1+РостДетей)^(Y8-1)*IF(ШколыСтарт=0,0,Y18/ШколыСтарт)</f>
        <v/>
      </c>
      <c r="Z19" s="5">
        <f>ДетиСтарт*(1+РостДетей)^(Z8-1)*IF(ШколыСтарт=0,0,Z18/ШколыСтарт)</f>
        <v/>
      </c>
      <c r="AA19" s="5">
        <f>ДетиСтарт*(1+РостДетей)^(AA8-1)*IF(ШколыСтарт=0,0,AA18/ШколыСтарт)</f>
        <v/>
      </c>
      <c r="AB19" s="5">
        <f>ДетиСтарт*(1+РостДетей)^(AB8-1)*IF(ШколыСтарт=0,0,AB18/ШколыСтарт)</f>
        <v/>
      </c>
      <c r="AC19" s="5">
        <f>ДетиСтарт*(1+РостДетей)^(AC8-1)*IF(ШколыСтарт=0,0,AC18/ШколыСтарт)</f>
        <v/>
      </c>
      <c r="AD19" s="5">
        <f>ДетиСтарт*(1+РостДетей)^(AD8-1)*IF(ШколыСтарт=0,0,AD18/ШколыСтарт)</f>
        <v/>
      </c>
      <c r="AE19" s="5">
        <f>ДетиСтарт*(1+РостДетей)^(AE8-1)*IF(ШколыСтарт=0,0,AE18/ШколыСтарт)</f>
        <v/>
      </c>
      <c r="AF19" s="5">
        <f>ДетиСтарт*(1+РостДетей)^(AF8-1)*IF(ШколыСтарт=0,0,AF18/ШколыСтарт)</f>
        <v/>
      </c>
      <c r="AG19" s="5">
        <f>ДетиСтарт*(1+РостДетей)^(AG8-1)*IF(ШколыСтарт=0,0,AG18/ШколыСтарт)</f>
        <v/>
      </c>
      <c r="AH19" s="5">
        <f>ДетиСтарт*(1+РостДетей)^(AH8-1)*IF(ШколыСтарт=0,0,AH18/ШколыСтарт)</f>
        <v/>
      </c>
      <c r="AI19" s="5">
        <f>ДетиСтарт*(1+РостДетей)^(AI8-1)*IF(ШколыСтарт=0,0,AI18/ШколыСтарт)</f>
        <v/>
      </c>
      <c r="AJ19" s="5">
        <f>ДетиСтарт*(1+РостДетей)^(AJ8-1)*IF(ШколыСтарт=0,0,AJ18/ШколыСтарт)</f>
        <v/>
      </c>
      <c r="AK19" s="5">
        <f>ДетиСтарт*(1+РостДетей)^(AK8-1)*IF(ШколыСтарт=0,0,AK18/ШколыСтарт)</f>
        <v/>
      </c>
      <c r="AL19" s="5">
        <f>ДетиСтарт*(1+РостДетей)^(AL8-1)*IF(ШколыСтарт=0,0,AL18/ШколыСтарт)</f>
        <v/>
      </c>
      <c r="AM19" s="5">
        <f>ДетиСтарт*(1+РостДетей)^(AM8-1)*IF(ШколыСтарт=0,0,AM18/ШколыСтарт)</f>
        <v/>
      </c>
      <c r="AN19" s="5">
        <f>ДетиСтарт*(1+РостДетей)^(AN8-1)*IF(ШколыСтарт=0,0,AN18/ШколыСтарт)</f>
        <v/>
      </c>
      <c r="AO19" s="5">
        <f>ДетиСтарт*(1+РостДетей)^(AO8-1)*IF(ШколыСтарт=0,0,AO18/ШколыСтарт)</f>
        <v/>
      </c>
      <c r="AP19" s="5">
        <f>ДетиСтарт*(1+РостДетей)^(AP8-1)*IF(ШколыСтарт=0,0,AP18/ШколыСтарт)</f>
        <v/>
      </c>
      <c r="AQ19" s="5">
        <f>ДетиСтарт*(1+РостДетей)^(AQ8-1)*IF(ШколыСтарт=0,0,AQ18/ШколыСтарт)</f>
        <v/>
      </c>
      <c r="AR19" s="5">
        <f>ДетиСтарт*(1+РостДетей)^(AR8-1)*IF(ШколыСтарт=0,0,AR18/ШколыСтарт)</f>
        <v/>
      </c>
      <c r="AS19" s="5">
        <f>ДетиСтарт*(1+РостДетей)^(AS8-1)*IF(ШколыСтарт=0,0,AS18/ШколыСтарт)</f>
        <v/>
      </c>
      <c r="AT19" s="5">
        <f>ДетиСтарт*(1+РостДетей)^(AT8-1)*IF(ШколыСтарт=0,0,AT18/ШколыСтарт)</f>
        <v/>
      </c>
      <c r="AU19" s="5">
        <f>ДетиСтарт*(1+РостДетей)^(AU8-1)*IF(ШколыСтарт=0,0,AU18/ШколыСтарт)</f>
        <v/>
      </c>
      <c r="AV19" s="5">
        <f>ДетиСтарт*(1+РостДетей)^(AV8-1)*IF(ШколыСтарт=0,0,AV18/ШколыСтарт)</f>
        <v/>
      </c>
      <c r="AW19" s="5">
        <f>ДетиСтарт*(1+РостДетей)^(AW8-1)*IF(ШколыСтарт=0,0,AW18/ШколыСтарт)</f>
        <v/>
      </c>
      <c r="AX19" s="5">
        <f>ДетиСтарт*(1+РостДетей)^(AX8-1)*IF(ШколыСтарт=0,0,AX18/ШколыСтарт)</f>
        <v/>
      </c>
      <c r="AY19" s="5">
        <f>ДетиСтарт*(1+РостДетей)^(AY8-1)*IF(ШколыСтарт=0,0,AY18/ШколыСтарт)</f>
        <v/>
      </c>
      <c r="AZ19" s="5">
        <f>ДетиСтарт*(1+РостДетей)^(AZ8-1)*IF(ШколыСтарт=0,0,AZ18/ШколыСтарт)</f>
        <v/>
      </c>
      <c r="BA19" s="5">
        <f>ДетиСтарт*(1+РостДетей)^(BA8-1)*IF(ШколыСтарт=0,0,BA18/ШколыСтарт)</f>
        <v/>
      </c>
      <c r="BB19" s="5">
        <f>ДетиСтарт*(1+РостДетей)^(BB8-1)*IF(ШколыСтарт=0,0,BB18/ШколыСтарт)</f>
        <v/>
      </c>
      <c r="BC19" s="5">
        <f>ДетиСтарт*(1+РостДетей)^(BC8-1)*IF(ШколыСтарт=0,0,BC18/ШколыСтарт)</f>
        <v/>
      </c>
      <c r="BD19" s="5">
        <f>ДетиСтарт*(1+РостДетей)^(BD8-1)*IF(ШколыСтарт=0,0,BD18/ШколыСтарт)</f>
        <v/>
      </c>
      <c r="BE19" s="5">
        <f>ДетиСтарт*(1+РостДетей)^(BE8-1)*IF(ШколыСтарт=0,0,BE18/ШколыСтарт)</f>
        <v/>
      </c>
      <c r="BF19" s="5">
        <f>ДетиСтарт*(1+РостДетей)^(BF8-1)*IF(ШколыСтарт=0,0,BF18/ШколыСтарт)</f>
        <v/>
      </c>
      <c r="BG19" s="5">
        <f>ДетиСтарт*(1+РостДетей)^(BG8-1)*IF(ШколыСтарт=0,0,BG18/ШколыСтарт)</f>
        <v/>
      </c>
      <c r="BH19" s="5">
        <f>ДетиСтарт*(1+РостДетей)^(BH8-1)*IF(ШколыСтарт=0,0,BH18/ШколыСтарт)</f>
        <v/>
      </c>
      <c r="BI19" s="5">
        <f>ДетиСтарт*(1+РостДетей)^(BI8-1)*IF(ШколыСтарт=0,0,BI18/ШколыСтарт)</f>
        <v/>
      </c>
      <c r="BJ19" s="5">
        <f>ДетиСтарт*(1+РостДетей)^(BJ8-1)*IF(ШколыСтарт=0,0,BJ18/ШколыСтарт)</f>
        <v/>
      </c>
      <c r="BK19" s="5">
        <f>ДетиСтарт*(1+РостДетей)^(BK8-1)*IF(ШколыСтарт=0,0,BK18/ШколыСтарт)</f>
        <v/>
      </c>
      <c r="BL19" s="5">
        <f>ДетиСтарт*(1+РостДетей)^(BL8-1)*IF(ШколыСтарт=0,0,BL18/ШколыСтарт)</f>
        <v/>
      </c>
      <c r="BM19" s="5">
        <f>ДетиСтарт*(1+РостДетей)^(BM8-1)*IF(ШколыСтарт=0,0,BM18/ШколыСтарт)</f>
        <v/>
      </c>
      <c r="BN19" s="5">
        <f>ДетиСтарт*(1+РостДетей)^(BN8-1)*IF(ШколыСтарт=0,0,BN18/ШколыСтарт)</f>
        <v/>
      </c>
      <c r="BO19" s="5">
        <f>ДетиСтарт*(1+РостДетей)^(BO8-1)*IF(ШколыСтарт=0,0,BO18/ШколыСтарт)</f>
        <v/>
      </c>
      <c r="BP19" s="5">
        <f>ДетиСтарт*(1+РостДетей)^(BP8-1)*IF(ШколыСтарт=0,0,BP18/ШколыСтарт)</f>
        <v/>
      </c>
      <c r="BQ19" s="5">
        <f>ДетиСтарт*(1+РостДетей)^(BQ8-1)*IF(ШколыСтарт=0,0,BQ18/ШколыСтарт)</f>
        <v/>
      </c>
      <c r="BR19" s="5">
        <f>ДетиСтарт*(1+РостДетей)^(BR8-1)*IF(ШколыСтарт=0,0,BR18/ШколыСтарт)</f>
        <v/>
      </c>
      <c r="BS19" s="5">
        <f>ДетиСтарт*(1+РостДетей)^(BS8-1)*IF(ШколыСтарт=0,0,BS18/ШколыСтарт)</f>
        <v/>
      </c>
      <c r="BT19" s="5">
        <f>ДетиСтарт*(1+РостДетей)^(BT8-1)*IF(ШколыСтарт=0,0,BT18/ШколыСтарт)</f>
        <v/>
      </c>
      <c r="BU19" s="5">
        <f>ДетиСтарт*(1+РостДетей)^(BU8-1)*IF(ШколыСтарт=0,0,BU18/ШколыСтарт)</f>
        <v/>
      </c>
      <c r="BV19" s="5">
        <f>ДетиСтарт*(1+РостДетей)^(BV8-1)*IF(ШколыСтарт=0,0,BV18/ШколыСтарт)</f>
        <v/>
      </c>
      <c r="BW19" s="5">
        <f>ДетиСтарт*(1+РостДетей)^(BW8-1)*IF(ШколыСтарт=0,0,BW18/ШколыСтарт)</f>
        <v/>
      </c>
      <c r="BX19" s="5">
        <f>ДетиСтарт*(1+РостДетей)^(BX8-1)*IF(ШколыСтарт=0,0,BX18/ШколыСтарт)</f>
        <v/>
      </c>
      <c r="BY19" s="5">
        <f>ДетиСтарт*(1+РостДетей)^(BY8-1)*IF(ШколыСтарт=0,0,BY18/ШколыСтарт)</f>
        <v/>
      </c>
    </row>
    <row r="20">
      <c r="B20" t="inlineStr">
        <is>
          <t>Дети действующей сети, активные</t>
        </is>
      </c>
      <c r="C20" t="inlineStr">
        <is>
          <t>чел.</t>
        </is>
      </c>
      <c r="D20" s="127" t="inlineStr">
        <is>
          <t>База, умноженная на сезонность посещаемости В колонках лет — значение на конец года, в «Итого» — на конец пятого года. Это остаток, а не сумма.</t>
        </is>
      </c>
      <c r="E20" s="129">
        <f>W20</f>
        <v/>
      </c>
      <c r="F20" s="129">
        <f>AI20</f>
        <v/>
      </c>
      <c r="G20" s="129">
        <f>AU20</f>
        <v/>
      </c>
      <c r="H20" s="129">
        <f>BG20</f>
        <v/>
      </c>
      <c r="I20" s="129">
        <f>BS20</f>
        <v/>
      </c>
      <c r="J20" s="6">
        <f>BS20</f>
        <v/>
      </c>
      <c r="L20" s="5">
        <f>L19*L10</f>
        <v/>
      </c>
      <c r="M20" s="5">
        <f>M19*M10</f>
        <v/>
      </c>
      <c r="N20" s="5">
        <f>N19*N10</f>
        <v/>
      </c>
      <c r="O20" s="5">
        <f>O19*O10</f>
        <v/>
      </c>
      <c r="P20" s="5">
        <f>P19*P10</f>
        <v/>
      </c>
      <c r="Q20" s="5">
        <f>Q19*Q10</f>
        <v/>
      </c>
      <c r="R20" s="5">
        <f>R19*R10</f>
        <v/>
      </c>
      <c r="S20" s="5">
        <f>S19*S10</f>
        <v/>
      </c>
      <c r="T20" s="5">
        <f>T19*T10</f>
        <v/>
      </c>
      <c r="U20" s="5">
        <f>U19*U10</f>
        <v/>
      </c>
      <c r="V20" s="5">
        <f>V19*V10</f>
        <v/>
      </c>
      <c r="W20" s="5">
        <f>W19*W10</f>
        <v/>
      </c>
      <c r="X20" s="5">
        <f>X19*X10</f>
        <v/>
      </c>
      <c r="Y20" s="5">
        <f>Y19*Y10</f>
        <v/>
      </c>
      <c r="Z20" s="5">
        <f>Z19*Z10</f>
        <v/>
      </c>
      <c r="AA20" s="5">
        <f>AA19*AA10</f>
        <v/>
      </c>
      <c r="AB20" s="5">
        <f>AB19*AB10</f>
        <v/>
      </c>
      <c r="AC20" s="5">
        <f>AC19*AC10</f>
        <v/>
      </c>
      <c r="AD20" s="5">
        <f>AD19*AD10</f>
        <v/>
      </c>
      <c r="AE20" s="5">
        <f>AE19*AE10</f>
        <v/>
      </c>
      <c r="AF20" s="5">
        <f>AF19*AF10</f>
        <v/>
      </c>
      <c r="AG20" s="5">
        <f>AG19*AG10</f>
        <v/>
      </c>
      <c r="AH20" s="5">
        <f>AH19*AH10</f>
        <v/>
      </c>
      <c r="AI20" s="5">
        <f>AI19*AI10</f>
        <v/>
      </c>
      <c r="AJ20" s="5">
        <f>AJ19*AJ10</f>
        <v/>
      </c>
      <c r="AK20" s="5">
        <f>AK19*AK10</f>
        <v/>
      </c>
      <c r="AL20" s="5">
        <f>AL19*AL10</f>
        <v/>
      </c>
      <c r="AM20" s="5">
        <f>AM19*AM10</f>
        <v/>
      </c>
      <c r="AN20" s="5">
        <f>AN19*AN10</f>
        <v/>
      </c>
      <c r="AO20" s="5">
        <f>AO19*AO10</f>
        <v/>
      </c>
      <c r="AP20" s="5">
        <f>AP19*AP10</f>
        <v/>
      </c>
      <c r="AQ20" s="5">
        <f>AQ19*AQ10</f>
        <v/>
      </c>
      <c r="AR20" s="5">
        <f>AR19*AR10</f>
        <v/>
      </c>
      <c r="AS20" s="5">
        <f>AS19*AS10</f>
        <v/>
      </c>
      <c r="AT20" s="5">
        <f>AT19*AT10</f>
        <v/>
      </c>
      <c r="AU20" s="5">
        <f>AU19*AU10</f>
        <v/>
      </c>
      <c r="AV20" s="5">
        <f>AV19*AV10</f>
        <v/>
      </c>
      <c r="AW20" s="5">
        <f>AW19*AW10</f>
        <v/>
      </c>
      <c r="AX20" s="5">
        <f>AX19*AX10</f>
        <v/>
      </c>
      <c r="AY20" s="5">
        <f>AY19*AY10</f>
        <v/>
      </c>
      <c r="AZ20" s="5">
        <f>AZ19*AZ10</f>
        <v/>
      </c>
      <c r="BA20" s="5">
        <f>BA19*BA10</f>
        <v/>
      </c>
      <c r="BB20" s="5">
        <f>BB19*BB10</f>
        <v/>
      </c>
      <c r="BC20" s="5">
        <f>BC19*BC10</f>
        <v/>
      </c>
      <c r="BD20" s="5">
        <f>BD19*BD10</f>
        <v/>
      </c>
      <c r="BE20" s="5">
        <f>BE19*BE10</f>
        <v/>
      </c>
      <c r="BF20" s="5">
        <f>BF19*BF10</f>
        <v/>
      </c>
      <c r="BG20" s="5">
        <f>BG19*BG10</f>
        <v/>
      </c>
      <c r="BH20" s="5">
        <f>BH19*BH10</f>
        <v/>
      </c>
      <c r="BI20" s="5">
        <f>BI19*BI10</f>
        <v/>
      </c>
      <c r="BJ20" s="5">
        <f>BJ19*BJ10</f>
        <v/>
      </c>
      <c r="BK20" s="5">
        <f>BK19*BK10</f>
        <v/>
      </c>
      <c r="BL20" s="5">
        <f>BL19*BL10</f>
        <v/>
      </c>
      <c r="BM20" s="5">
        <f>BM19*BM10</f>
        <v/>
      </c>
      <c r="BN20" s="5">
        <f>BN19*BN10</f>
        <v/>
      </c>
      <c r="BO20" s="5">
        <f>BO19*BO10</f>
        <v/>
      </c>
      <c r="BP20" s="5">
        <f>BP19*BP10</f>
        <v/>
      </c>
      <c r="BQ20" s="5">
        <f>BQ19*BQ10</f>
        <v/>
      </c>
      <c r="BR20" s="5">
        <f>BR19*BR10</f>
        <v/>
      </c>
      <c r="BS20" s="5">
        <f>BS19*BS10</f>
        <v/>
      </c>
      <c r="BT20" s="5">
        <f>BT19*BT10</f>
        <v/>
      </c>
      <c r="BU20" s="5">
        <f>BU19*BU10</f>
        <v/>
      </c>
      <c r="BV20" s="5">
        <f>BV19*BV10</f>
        <v/>
      </c>
      <c r="BW20" s="5">
        <f>BW19*BW10</f>
        <v/>
      </c>
      <c r="BX20" s="5">
        <f>BX19*BX10</f>
        <v/>
      </c>
      <c r="BY20" s="5">
        <f>BY19*BY10</f>
        <v/>
      </c>
    </row>
    <row r="21"/>
    <row r="22">
      <c r="B22" s="125" t="inlineStr">
        <is>
          <t>Новые школы по месяцам жизни</t>
        </is>
      </c>
      <c r="C22" s="126" t="n"/>
      <c r="D22" s="126" t="n"/>
      <c r="E22" s="126" t="n"/>
      <c r="F22" s="126" t="n"/>
      <c r="G22" s="126" t="n"/>
      <c r="H22" s="126" t="n"/>
      <c r="I22" s="126" t="n"/>
      <c r="J22" s="126" t="n"/>
      <c r="K22" s="126" t="n"/>
      <c r="L22" s="126" t="n"/>
      <c r="M22" s="126" t="n"/>
      <c r="N22" s="126" t="n"/>
      <c r="O22" s="126" t="n"/>
      <c r="P22" s="126" t="n"/>
      <c r="Q22" s="126" t="n"/>
      <c r="R22" s="126" t="n"/>
      <c r="S22" s="126" t="n"/>
      <c r="T22" s="126" t="n"/>
      <c r="U22" s="126" t="n"/>
      <c r="V22" s="126" t="n"/>
      <c r="W22" s="126" t="n"/>
      <c r="X22" s="126" t="n"/>
      <c r="Y22" s="126" t="n"/>
      <c r="Z22" s="126" t="n"/>
      <c r="AA22" s="126" t="n"/>
      <c r="AB22" s="126" t="n"/>
      <c r="AC22" s="126" t="n"/>
      <c r="AD22" s="126" t="n"/>
      <c r="AE22" s="126" t="n"/>
      <c r="AF22" s="126" t="n"/>
      <c r="AG22" s="126" t="n"/>
      <c r="AH22" s="126" t="n"/>
      <c r="AI22" s="126" t="n"/>
      <c r="AJ22" s="126" t="n"/>
      <c r="AK22" s="126" t="n"/>
      <c r="AL22" s="126" t="n"/>
      <c r="AM22" s="126" t="n"/>
      <c r="AN22" s="126" t="n"/>
      <c r="AO22" s="126" t="n"/>
      <c r="AP22" s="126" t="n"/>
      <c r="AQ22" s="126" t="n"/>
      <c r="AR22" s="126" t="n"/>
      <c r="AS22" s="126" t="n"/>
      <c r="AT22" s="126" t="n"/>
      <c r="AU22" s="126" t="n"/>
      <c r="AV22" s="126" t="n"/>
      <c r="AW22" s="126" t="n"/>
      <c r="AX22" s="126" t="n"/>
      <c r="AY22" s="126" t="n"/>
      <c r="AZ22" s="126" t="n"/>
      <c r="BA22" s="126" t="n"/>
      <c r="BB22" s="126" t="n"/>
      <c r="BC22" s="126" t="n"/>
      <c r="BD22" s="126" t="n"/>
      <c r="BE22" s="126" t="n"/>
      <c r="BF22" s="126" t="n"/>
      <c r="BG22" s="126" t="n"/>
      <c r="BH22" s="126" t="n"/>
      <c r="BI22" s="126" t="n"/>
      <c r="BJ22" s="126" t="n"/>
      <c r="BK22" s="126" t="n"/>
      <c r="BL22" s="126" t="n"/>
      <c r="BM22" s="126" t="n"/>
      <c r="BN22" s="126" t="n"/>
      <c r="BO22" s="126" t="n"/>
      <c r="BP22" s="126" t="n"/>
      <c r="BQ22" s="126" t="n"/>
      <c r="BR22" s="126" t="n"/>
      <c r="BS22" s="126" t="n"/>
      <c r="BT22" s="126" t="n"/>
      <c r="BU22" s="126" t="n"/>
      <c r="BV22" s="126" t="n"/>
      <c r="BW22" s="126" t="n"/>
      <c r="BX22" s="126" t="n"/>
      <c r="BY22" s="126" t="n"/>
    </row>
    <row r="23">
      <c r="B23" t="inlineStr">
        <is>
          <t>1 мес.</t>
        </is>
      </c>
      <c r="C23" t="inlineStr">
        <is>
          <t>шт.</t>
        </is>
      </c>
      <c r="D23" s="127" t="inlineStr">
        <is>
          <t>Школы, открывшиеся в этом месяце Внутренняя механика расчёта: годового итога у этой строки нет, смотрите итоговые строки блока ниже.</t>
        </is>
      </c>
      <c r="E23" s="140" t="n"/>
      <c r="F23" s="140" t="n"/>
      <c r="G23" s="140" t="n"/>
      <c r="H23" s="140" t="n"/>
      <c r="I23" s="140" t="n"/>
      <c r="L23" s="12">
        <f>L14</f>
        <v/>
      </c>
      <c r="M23" s="12">
        <f>M14</f>
        <v/>
      </c>
      <c r="N23" s="12">
        <f>N14</f>
        <v/>
      </c>
      <c r="O23" s="12">
        <f>O14</f>
        <v/>
      </c>
      <c r="P23" s="12">
        <f>P14</f>
        <v/>
      </c>
      <c r="Q23" s="12">
        <f>Q14</f>
        <v/>
      </c>
      <c r="R23" s="12">
        <f>R14</f>
        <v/>
      </c>
      <c r="S23" s="12">
        <f>S14</f>
        <v/>
      </c>
      <c r="T23" s="12">
        <f>T14</f>
        <v/>
      </c>
      <c r="U23" s="12">
        <f>U14</f>
        <v/>
      </c>
      <c r="V23" s="12">
        <f>V14</f>
        <v/>
      </c>
      <c r="W23" s="12">
        <f>W14</f>
        <v/>
      </c>
      <c r="X23" s="12">
        <f>X14</f>
        <v/>
      </c>
      <c r="Y23" s="12">
        <f>Y14</f>
        <v/>
      </c>
      <c r="Z23" s="12">
        <f>Z14</f>
        <v/>
      </c>
      <c r="AA23" s="12">
        <f>AA14</f>
        <v/>
      </c>
      <c r="AB23" s="12">
        <f>AB14</f>
        <v/>
      </c>
      <c r="AC23" s="12">
        <f>AC14</f>
        <v/>
      </c>
      <c r="AD23" s="12">
        <f>AD14</f>
        <v/>
      </c>
      <c r="AE23" s="12">
        <f>AE14</f>
        <v/>
      </c>
      <c r="AF23" s="12">
        <f>AF14</f>
        <v/>
      </c>
      <c r="AG23" s="12">
        <f>AG14</f>
        <v/>
      </c>
      <c r="AH23" s="12">
        <f>AH14</f>
        <v/>
      </c>
      <c r="AI23" s="12">
        <f>AI14</f>
        <v/>
      </c>
      <c r="AJ23" s="12">
        <f>AJ14</f>
        <v/>
      </c>
      <c r="AK23" s="12">
        <f>AK14</f>
        <v/>
      </c>
      <c r="AL23" s="12">
        <f>AL14</f>
        <v/>
      </c>
      <c r="AM23" s="12">
        <f>AM14</f>
        <v/>
      </c>
      <c r="AN23" s="12">
        <f>AN14</f>
        <v/>
      </c>
      <c r="AO23" s="12">
        <f>AO14</f>
        <v/>
      </c>
      <c r="AP23" s="12">
        <f>AP14</f>
        <v/>
      </c>
      <c r="AQ23" s="12">
        <f>AQ14</f>
        <v/>
      </c>
      <c r="AR23" s="12">
        <f>AR14</f>
        <v/>
      </c>
      <c r="AS23" s="12">
        <f>AS14</f>
        <v/>
      </c>
      <c r="AT23" s="12">
        <f>AT14</f>
        <v/>
      </c>
      <c r="AU23" s="12">
        <f>AU14</f>
        <v/>
      </c>
      <c r="AV23" s="12">
        <f>AV14</f>
        <v/>
      </c>
      <c r="AW23" s="12">
        <f>AW14</f>
        <v/>
      </c>
      <c r="AX23" s="12">
        <f>AX14</f>
        <v/>
      </c>
      <c r="AY23" s="12">
        <f>AY14</f>
        <v/>
      </c>
      <c r="AZ23" s="12">
        <f>AZ14</f>
        <v/>
      </c>
      <c r="BA23" s="12">
        <f>BA14</f>
        <v/>
      </c>
      <c r="BB23" s="12">
        <f>BB14</f>
        <v/>
      </c>
      <c r="BC23" s="12">
        <f>BC14</f>
        <v/>
      </c>
      <c r="BD23" s="12">
        <f>BD14</f>
        <v/>
      </c>
      <c r="BE23" s="12">
        <f>BE14</f>
        <v/>
      </c>
      <c r="BF23" s="12">
        <f>BF14</f>
        <v/>
      </c>
      <c r="BG23" s="12">
        <f>BG14</f>
        <v/>
      </c>
      <c r="BH23" s="12">
        <f>BH14</f>
        <v/>
      </c>
      <c r="BI23" s="12">
        <f>BI14</f>
        <v/>
      </c>
      <c r="BJ23" s="12">
        <f>BJ14</f>
        <v/>
      </c>
      <c r="BK23" s="12">
        <f>BK14</f>
        <v/>
      </c>
      <c r="BL23" s="12">
        <f>BL14</f>
        <v/>
      </c>
      <c r="BM23" s="12">
        <f>BM14</f>
        <v/>
      </c>
      <c r="BN23" s="12">
        <f>BN14</f>
        <v/>
      </c>
      <c r="BO23" s="12">
        <f>BO14</f>
        <v/>
      </c>
      <c r="BP23" s="12">
        <f>BP14</f>
        <v/>
      </c>
      <c r="BQ23" s="12">
        <f>BQ14</f>
        <v/>
      </c>
      <c r="BR23" s="12">
        <f>BR14</f>
        <v/>
      </c>
      <c r="BS23" s="12">
        <f>BS14</f>
        <v/>
      </c>
      <c r="BT23" s="12">
        <f>BT14</f>
        <v/>
      </c>
      <c r="BU23" s="12">
        <f>BU14</f>
        <v/>
      </c>
      <c r="BV23" s="12">
        <f>BV14</f>
        <v/>
      </c>
      <c r="BW23" s="12">
        <f>BW14</f>
        <v/>
      </c>
      <c r="BX23" s="12">
        <f>BX14</f>
        <v/>
      </c>
      <c r="BY23" s="12">
        <f>BY14</f>
        <v/>
      </c>
    </row>
    <row r="24">
      <c r="B24" t="inlineStr">
        <is>
          <t>2 мес.</t>
        </is>
      </c>
      <c r="C24" t="inlineStr">
        <is>
          <t>шт.</t>
        </is>
      </c>
      <c r="D24" s="127" t="inlineStr">
        <is>
          <t>Внутренняя механика расчёта: годового итога у этой строки нет, смотрите итоговые строки блока ниже.</t>
        </is>
      </c>
      <c r="E24" s="140" t="n"/>
      <c r="F24" s="140" t="n"/>
      <c r="G24" s="140" t="n"/>
      <c r="H24" s="140" t="n"/>
      <c r="I24" s="140" t="n"/>
      <c r="L24" s="12">
        <f>0</f>
        <v/>
      </c>
      <c r="M24" s="12">
        <f>L23*КоэффСохранения</f>
        <v/>
      </c>
      <c r="N24" s="12">
        <f>M23*КоэффСохранения</f>
        <v/>
      </c>
      <c r="O24" s="12">
        <f>N23*КоэффСохранения</f>
        <v/>
      </c>
      <c r="P24" s="12">
        <f>O23*КоэффСохранения</f>
        <v/>
      </c>
      <c r="Q24" s="12">
        <f>P23*КоэффСохранения</f>
        <v/>
      </c>
      <c r="R24" s="12">
        <f>Q23*КоэффСохранения</f>
        <v/>
      </c>
      <c r="S24" s="12">
        <f>R23*КоэффСохранения</f>
        <v/>
      </c>
      <c r="T24" s="12">
        <f>S23*КоэффСохранения</f>
        <v/>
      </c>
      <c r="U24" s="12">
        <f>T23*КоэффСохранения</f>
        <v/>
      </c>
      <c r="V24" s="12">
        <f>U23*КоэффСохранения</f>
        <v/>
      </c>
      <c r="W24" s="12">
        <f>V23*КоэффСохранения</f>
        <v/>
      </c>
      <c r="X24" s="12">
        <f>W23*КоэффСохранения</f>
        <v/>
      </c>
      <c r="Y24" s="12">
        <f>X23*КоэффСохранения</f>
        <v/>
      </c>
      <c r="Z24" s="12">
        <f>Y23*КоэффСохранения</f>
        <v/>
      </c>
      <c r="AA24" s="12">
        <f>Z23*КоэффСохранения</f>
        <v/>
      </c>
      <c r="AB24" s="12">
        <f>AA23*КоэффСохранения</f>
        <v/>
      </c>
      <c r="AC24" s="12">
        <f>AB23*КоэффСохранения</f>
        <v/>
      </c>
      <c r="AD24" s="12">
        <f>AC23*КоэффСохранения</f>
        <v/>
      </c>
      <c r="AE24" s="12">
        <f>AD23*КоэффСохранения</f>
        <v/>
      </c>
      <c r="AF24" s="12">
        <f>AE23*КоэффСохранения</f>
        <v/>
      </c>
      <c r="AG24" s="12">
        <f>AF23*КоэффСохранения</f>
        <v/>
      </c>
      <c r="AH24" s="12">
        <f>AG23*КоэффСохранения</f>
        <v/>
      </c>
      <c r="AI24" s="12">
        <f>AH23*КоэффСохранения</f>
        <v/>
      </c>
      <c r="AJ24" s="12">
        <f>AI23*КоэффСохранения</f>
        <v/>
      </c>
      <c r="AK24" s="12">
        <f>AJ23*КоэффСохранения</f>
        <v/>
      </c>
      <c r="AL24" s="12">
        <f>AK23*КоэффСохранения</f>
        <v/>
      </c>
      <c r="AM24" s="12">
        <f>AL23*КоэффСохранения</f>
        <v/>
      </c>
      <c r="AN24" s="12">
        <f>AM23*КоэффСохранения</f>
        <v/>
      </c>
      <c r="AO24" s="12">
        <f>AN23*КоэффСохранения</f>
        <v/>
      </c>
      <c r="AP24" s="12">
        <f>AO23*КоэффСохранения</f>
        <v/>
      </c>
      <c r="AQ24" s="12">
        <f>AP23*КоэффСохранения</f>
        <v/>
      </c>
      <c r="AR24" s="12">
        <f>AQ23*КоэффСохранения</f>
        <v/>
      </c>
      <c r="AS24" s="12">
        <f>AR23*КоэффСохранения</f>
        <v/>
      </c>
      <c r="AT24" s="12">
        <f>AS23*КоэффСохранения</f>
        <v/>
      </c>
      <c r="AU24" s="12">
        <f>AT23*КоэффСохранения</f>
        <v/>
      </c>
      <c r="AV24" s="12">
        <f>AU23*КоэффСохранения</f>
        <v/>
      </c>
      <c r="AW24" s="12">
        <f>AV23*КоэффСохранения</f>
        <v/>
      </c>
      <c r="AX24" s="12">
        <f>AW23*КоэффСохранения</f>
        <v/>
      </c>
      <c r="AY24" s="12">
        <f>AX23*КоэффСохранения</f>
        <v/>
      </c>
      <c r="AZ24" s="12">
        <f>AY23*КоэффСохранения</f>
        <v/>
      </c>
      <c r="BA24" s="12">
        <f>AZ23*КоэффСохранения</f>
        <v/>
      </c>
      <c r="BB24" s="12">
        <f>BA23*КоэффСохранения</f>
        <v/>
      </c>
      <c r="BC24" s="12">
        <f>BB23*КоэффСохранения</f>
        <v/>
      </c>
      <c r="BD24" s="12">
        <f>BC23*КоэффСохранения</f>
        <v/>
      </c>
      <c r="BE24" s="12">
        <f>BD23*КоэффСохранения</f>
        <v/>
      </c>
      <c r="BF24" s="12">
        <f>BE23*КоэффСохранения</f>
        <v/>
      </c>
      <c r="BG24" s="12">
        <f>BF23*КоэффСохранения</f>
        <v/>
      </c>
      <c r="BH24" s="12">
        <f>BG23*КоэффСохранения</f>
        <v/>
      </c>
      <c r="BI24" s="12">
        <f>BH23*КоэффСохранения</f>
        <v/>
      </c>
      <c r="BJ24" s="12">
        <f>BI23*КоэффСохранения</f>
        <v/>
      </c>
      <c r="BK24" s="12">
        <f>BJ23*КоэффСохранения</f>
        <v/>
      </c>
      <c r="BL24" s="12">
        <f>BK23*КоэффСохранения</f>
        <v/>
      </c>
      <c r="BM24" s="12">
        <f>BL23*КоэффСохранения</f>
        <v/>
      </c>
      <c r="BN24" s="12">
        <f>BM23*КоэффСохранения</f>
        <v/>
      </c>
      <c r="BO24" s="12">
        <f>BN23*КоэффСохранения</f>
        <v/>
      </c>
      <c r="BP24" s="12">
        <f>BO23*КоэффСохранения</f>
        <v/>
      </c>
      <c r="BQ24" s="12">
        <f>BP23*КоэффСохранения</f>
        <v/>
      </c>
      <c r="BR24" s="12">
        <f>BQ23*КоэффСохранения</f>
        <v/>
      </c>
      <c r="BS24" s="12">
        <f>BR23*КоэффСохранения</f>
        <v/>
      </c>
      <c r="BT24" s="12">
        <f>BS23*КоэффСохранения</f>
        <v/>
      </c>
      <c r="BU24" s="12">
        <f>BT23*КоэффСохранения</f>
        <v/>
      </c>
      <c r="BV24" s="12">
        <f>BU23*КоэффСохранения</f>
        <v/>
      </c>
      <c r="BW24" s="12">
        <f>BV23*КоэффСохранения</f>
        <v/>
      </c>
      <c r="BX24" s="12">
        <f>BW23*КоэффСохранения</f>
        <v/>
      </c>
      <c r="BY24" s="12">
        <f>BX23*КоэффСохранения</f>
        <v/>
      </c>
    </row>
    <row r="25">
      <c r="B25" t="inlineStr">
        <is>
          <t>3 мес.</t>
        </is>
      </c>
      <c r="C25" t="inlineStr">
        <is>
          <t>шт.</t>
        </is>
      </c>
      <c r="D25" s="127" t="inlineStr">
        <is>
          <t>Внутренняя механика расчёта: годового итога у этой строки нет, смотрите итоговые строки блока ниже.</t>
        </is>
      </c>
      <c r="E25" s="140" t="n"/>
      <c r="F25" s="140" t="n"/>
      <c r="G25" s="140" t="n"/>
      <c r="H25" s="140" t="n"/>
      <c r="I25" s="140" t="n"/>
      <c r="L25" s="12">
        <f>0</f>
        <v/>
      </c>
      <c r="M25" s="12">
        <f>L24*КоэффСохранения</f>
        <v/>
      </c>
      <c r="N25" s="12">
        <f>M24*КоэффСохранения</f>
        <v/>
      </c>
      <c r="O25" s="12">
        <f>N24*КоэффСохранения</f>
        <v/>
      </c>
      <c r="P25" s="12">
        <f>O24*КоэффСохранения</f>
        <v/>
      </c>
      <c r="Q25" s="12">
        <f>P24*КоэффСохранения</f>
        <v/>
      </c>
      <c r="R25" s="12">
        <f>Q24*КоэффСохранения</f>
        <v/>
      </c>
      <c r="S25" s="12">
        <f>R24*КоэффСохранения</f>
        <v/>
      </c>
      <c r="T25" s="12">
        <f>S24*КоэффСохранения</f>
        <v/>
      </c>
      <c r="U25" s="12">
        <f>T24*КоэффСохранения</f>
        <v/>
      </c>
      <c r="V25" s="12">
        <f>U24*КоэффСохранения</f>
        <v/>
      </c>
      <c r="W25" s="12">
        <f>V24*КоэффСохранения</f>
        <v/>
      </c>
      <c r="X25" s="12">
        <f>W24*КоэффСохранения</f>
        <v/>
      </c>
      <c r="Y25" s="12">
        <f>X24*КоэффСохранения</f>
        <v/>
      </c>
      <c r="Z25" s="12">
        <f>Y24*КоэффСохранения</f>
        <v/>
      </c>
      <c r="AA25" s="12">
        <f>Z24*КоэффСохранения</f>
        <v/>
      </c>
      <c r="AB25" s="12">
        <f>AA24*КоэффСохранения</f>
        <v/>
      </c>
      <c r="AC25" s="12">
        <f>AB24*КоэффСохранения</f>
        <v/>
      </c>
      <c r="AD25" s="12">
        <f>AC24*КоэффСохранения</f>
        <v/>
      </c>
      <c r="AE25" s="12">
        <f>AD24*КоэффСохранения</f>
        <v/>
      </c>
      <c r="AF25" s="12">
        <f>AE24*КоэффСохранения</f>
        <v/>
      </c>
      <c r="AG25" s="12">
        <f>AF24*КоэффСохранения</f>
        <v/>
      </c>
      <c r="AH25" s="12">
        <f>AG24*КоэффСохранения</f>
        <v/>
      </c>
      <c r="AI25" s="12">
        <f>AH24*КоэффСохранения</f>
        <v/>
      </c>
      <c r="AJ25" s="12">
        <f>AI24*КоэффСохранения</f>
        <v/>
      </c>
      <c r="AK25" s="12">
        <f>AJ24*КоэффСохранения</f>
        <v/>
      </c>
      <c r="AL25" s="12">
        <f>AK24*КоэффСохранения</f>
        <v/>
      </c>
      <c r="AM25" s="12">
        <f>AL24*КоэффСохранения</f>
        <v/>
      </c>
      <c r="AN25" s="12">
        <f>AM24*КоэффСохранения</f>
        <v/>
      </c>
      <c r="AO25" s="12">
        <f>AN24*КоэффСохранения</f>
        <v/>
      </c>
      <c r="AP25" s="12">
        <f>AO24*КоэффСохранения</f>
        <v/>
      </c>
      <c r="AQ25" s="12">
        <f>AP24*КоэффСохранения</f>
        <v/>
      </c>
      <c r="AR25" s="12">
        <f>AQ24*КоэффСохранения</f>
        <v/>
      </c>
      <c r="AS25" s="12">
        <f>AR24*КоэффСохранения</f>
        <v/>
      </c>
      <c r="AT25" s="12">
        <f>AS24*КоэффСохранения</f>
        <v/>
      </c>
      <c r="AU25" s="12">
        <f>AT24*КоэффСохранения</f>
        <v/>
      </c>
      <c r="AV25" s="12">
        <f>AU24*КоэффСохранения</f>
        <v/>
      </c>
      <c r="AW25" s="12">
        <f>AV24*КоэффСохранения</f>
        <v/>
      </c>
      <c r="AX25" s="12">
        <f>AW24*КоэффСохранения</f>
        <v/>
      </c>
      <c r="AY25" s="12">
        <f>AX24*КоэффСохранения</f>
        <v/>
      </c>
      <c r="AZ25" s="12">
        <f>AY24*КоэффСохранения</f>
        <v/>
      </c>
      <c r="BA25" s="12">
        <f>AZ24*КоэффСохранения</f>
        <v/>
      </c>
      <c r="BB25" s="12">
        <f>BA24*КоэффСохранения</f>
        <v/>
      </c>
      <c r="BC25" s="12">
        <f>BB24*КоэффСохранения</f>
        <v/>
      </c>
      <c r="BD25" s="12">
        <f>BC24*КоэффСохранения</f>
        <v/>
      </c>
      <c r="BE25" s="12">
        <f>BD24*КоэффСохранения</f>
        <v/>
      </c>
      <c r="BF25" s="12">
        <f>BE24*КоэффСохранения</f>
        <v/>
      </c>
      <c r="BG25" s="12">
        <f>BF24*КоэффСохранения</f>
        <v/>
      </c>
      <c r="BH25" s="12">
        <f>BG24*КоэффСохранения</f>
        <v/>
      </c>
      <c r="BI25" s="12">
        <f>BH24*КоэффСохранения</f>
        <v/>
      </c>
      <c r="BJ25" s="12">
        <f>BI24*КоэффСохранения</f>
        <v/>
      </c>
      <c r="BK25" s="12">
        <f>BJ24*КоэффСохранения</f>
        <v/>
      </c>
      <c r="BL25" s="12">
        <f>BK24*КоэффСохранения</f>
        <v/>
      </c>
      <c r="BM25" s="12">
        <f>BL24*КоэффСохранения</f>
        <v/>
      </c>
      <c r="BN25" s="12">
        <f>BM24*КоэффСохранения</f>
        <v/>
      </c>
      <c r="BO25" s="12">
        <f>BN24*КоэффСохранения</f>
        <v/>
      </c>
      <c r="BP25" s="12">
        <f>BO24*КоэффСохранения</f>
        <v/>
      </c>
      <c r="BQ25" s="12">
        <f>BP24*КоэффСохранения</f>
        <v/>
      </c>
      <c r="BR25" s="12">
        <f>BQ24*КоэффСохранения</f>
        <v/>
      </c>
      <c r="BS25" s="12">
        <f>BR24*КоэффСохранения</f>
        <v/>
      </c>
      <c r="BT25" s="12">
        <f>BS24*КоэффСохранения</f>
        <v/>
      </c>
      <c r="BU25" s="12">
        <f>BT24*КоэффСохранения</f>
        <v/>
      </c>
      <c r="BV25" s="12">
        <f>BU24*КоэффСохранения</f>
        <v/>
      </c>
      <c r="BW25" s="12">
        <f>BV24*КоэффСохранения</f>
        <v/>
      </c>
      <c r="BX25" s="12">
        <f>BW24*КоэффСохранения</f>
        <v/>
      </c>
      <c r="BY25" s="12">
        <f>BX24*КоэффСохранения</f>
        <v/>
      </c>
    </row>
    <row r="26">
      <c r="B26" t="inlineStr">
        <is>
          <t>4 мес.</t>
        </is>
      </c>
      <c r="C26" t="inlineStr">
        <is>
          <t>шт.</t>
        </is>
      </c>
      <c r="D26" s="127" t="inlineStr">
        <is>
          <t>Внутренняя механика расчёта: годового итога у этой строки нет, смотрите итоговые строки блока ниже.</t>
        </is>
      </c>
      <c r="E26" s="140" t="n"/>
      <c r="F26" s="140" t="n"/>
      <c r="G26" s="140" t="n"/>
      <c r="H26" s="140" t="n"/>
      <c r="I26" s="140" t="n"/>
      <c r="L26" s="12">
        <f>0</f>
        <v/>
      </c>
      <c r="M26" s="12">
        <f>L25*КоэффСохранения</f>
        <v/>
      </c>
      <c r="N26" s="12">
        <f>M25*КоэффСохранения</f>
        <v/>
      </c>
      <c r="O26" s="12">
        <f>N25*КоэффСохранения</f>
        <v/>
      </c>
      <c r="P26" s="12">
        <f>O25*КоэффСохранения</f>
        <v/>
      </c>
      <c r="Q26" s="12">
        <f>P25*КоэффСохранения</f>
        <v/>
      </c>
      <c r="R26" s="12">
        <f>Q25*КоэффСохранения</f>
        <v/>
      </c>
      <c r="S26" s="12">
        <f>R25*КоэффСохранения</f>
        <v/>
      </c>
      <c r="T26" s="12">
        <f>S25*КоэффСохранения</f>
        <v/>
      </c>
      <c r="U26" s="12">
        <f>T25*КоэффСохранения</f>
        <v/>
      </c>
      <c r="V26" s="12">
        <f>U25*КоэффСохранения</f>
        <v/>
      </c>
      <c r="W26" s="12">
        <f>V25*КоэффСохранения</f>
        <v/>
      </c>
      <c r="X26" s="12">
        <f>W25*КоэффСохранения</f>
        <v/>
      </c>
      <c r="Y26" s="12">
        <f>X25*КоэффСохранения</f>
        <v/>
      </c>
      <c r="Z26" s="12">
        <f>Y25*КоэффСохранения</f>
        <v/>
      </c>
      <c r="AA26" s="12">
        <f>Z25*КоэффСохранения</f>
        <v/>
      </c>
      <c r="AB26" s="12">
        <f>AA25*КоэффСохранения</f>
        <v/>
      </c>
      <c r="AC26" s="12">
        <f>AB25*КоэффСохранения</f>
        <v/>
      </c>
      <c r="AD26" s="12">
        <f>AC25*КоэффСохранения</f>
        <v/>
      </c>
      <c r="AE26" s="12">
        <f>AD25*КоэффСохранения</f>
        <v/>
      </c>
      <c r="AF26" s="12">
        <f>AE25*КоэффСохранения</f>
        <v/>
      </c>
      <c r="AG26" s="12">
        <f>AF25*КоэффСохранения</f>
        <v/>
      </c>
      <c r="AH26" s="12">
        <f>AG25*КоэффСохранения</f>
        <v/>
      </c>
      <c r="AI26" s="12">
        <f>AH25*КоэффСохранения</f>
        <v/>
      </c>
      <c r="AJ26" s="12">
        <f>AI25*КоэффСохранения</f>
        <v/>
      </c>
      <c r="AK26" s="12">
        <f>AJ25*КоэффСохранения</f>
        <v/>
      </c>
      <c r="AL26" s="12">
        <f>AK25*КоэффСохранения</f>
        <v/>
      </c>
      <c r="AM26" s="12">
        <f>AL25*КоэффСохранения</f>
        <v/>
      </c>
      <c r="AN26" s="12">
        <f>AM25*КоэффСохранения</f>
        <v/>
      </c>
      <c r="AO26" s="12">
        <f>AN25*КоэффСохранения</f>
        <v/>
      </c>
      <c r="AP26" s="12">
        <f>AO25*КоэффСохранения</f>
        <v/>
      </c>
      <c r="AQ26" s="12">
        <f>AP25*КоэффСохранения</f>
        <v/>
      </c>
      <c r="AR26" s="12">
        <f>AQ25*КоэффСохранения</f>
        <v/>
      </c>
      <c r="AS26" s="12">
        <f>AR25*КоэффСохранения</f>
        <v/>
      </c>
      <c r="AT26" s="12">
        <f>AS25*КоэффСохранения</f>
        <v/>
      </c>
      <c r="AU26" s="12">
        <f>AT25*КоэффСохранения</f>
        <v/>
      </c>
      <c r="AV26" s="12">
        <f>AU25*КоэффСохранения</f>
        <v/>
      </c>
      <c r="AW26" s="12">
        <f>AV25*КоэффСохранения</f>
        <v/>
      </c>
      <c r="AX26" s="12">
        <f>AW25*КоэффСохранения</f>
        <v/>
      </c>
      <c r="AY26" s="12">
        <f>AX25*КоэффСохранения</f>
        <v/>
      </c>
      <c r="AZ26" s="12">
        <f>AY25*КоэффСохранения</f>
        <v/>
      </c>
      <c r="BA26" s="12">
        <f>AZ25*КоэффСохранения</f>
        <v/>
      </c>
      <c r="BB26" s="12">
        <f>BA25*КоэффСохранения</f>
        <v/>
      </c>
      <c r="BC26" s="12">
        <f>BB25*КоэффСохранения</f>
        <v/>
      </c>
      <c r="BD26" s="12">
        <f>BC25*КоэффСохранения</f>
        <v/>
      </c>
      <c r="BE26" s="12">
        <f>BD25*КоэффСохранения</f>
        <v/>
      </c>
      <c r="BF26" s="12">
        <f>BE25*КоэффСохранения</f>
        <v/>
      </c>
      <c r="BG26" s="12">
        <f>BF25*КоэффСохранения</f>
        <v/>
      </c>
      <c r="BH26" s="12">
        <f>BG25*КоэффСохранения</f>
        <v/>
      </c>
      <c r="BI26" s="12">
        <f>BH25*КоэффСохранения</f>
        <v/>
      </c>
      <c r="BJ26" s="12">
        <f>BI25*КоэффСохранения</f>
        <v/>
      </c>
      <c r="BK26" s="12">
        <f>BJ25*КоэффСохранения</f>
        <v/>
      </c>
      <c r="BL26" s="12">
        <f>BK25*КоэффСохранения</f>
        <v/>
      </c>
      <c r="BM26" s="12">
        <f>BL25*КоэффСохранения</f>
        <v/>
      </c>
      <c r="BN26" s="12">
        <f>BM25*КоэффСохранения</f>
        <v/>
      </c>
      <c r="BO26" s="12">
        <f>BN25*КоэффСохранения</f>
        <v/>
      </c>
      <c r="BP26" s="12">
        <f>BO25*КоэффСохранения</f>
        <v/>
      </c>
      <c r="BQ26" s="12">
        <f>BP25*КоэффСохранения</f>
        <v/>
      </c>
      <c r="BR26" s="12">
        <f>BQ25*КоэффСохранения</f>
        <v/>
      </c>
      <c r="BS26" s="12">
        <f>BR25*КоэффСохранения</f>
        <v/>
      </c>
      <c r="BT26" s="12">
        <f>BS25*КоэффСохранения</f>
        <v/>
      </c>
      <c r="BU26" s="12">
        <f>BT25*КоэффСохранения</f>
        <v/>
      </c>
      <c r="BV26" s="12">
        <f>BU25*КоэффСохранения</f>
        <v/>
      </c>
      <c r="BW26" s="12">
        <f>BV25*КоэффСохранения</f>
        <v/>
      </c>
      <c r="BX26" s="12">
        <f>BW25*КоэффСохранения</f>
        <v/>
      </c>
      <c r="BY26" s="12">
        <f>BX25*КоэффСохранения</f>
        <v/>
      </c>
    </row>
    <row r="27">
      <c r="B27" t="inlineStr">
        <is>
          <t>5 мес.</t>
        </is>
      </c>
      <c r="C27" t="inlineStr">
        <is>
          <t>шт.</t>
        </is>
      </c>
      <c r="D27" s="127" t="inlineStr">
        <is>
          <t>Внутренняя механика расчёта: годового итога у этой строки нет, смотрите итоговые строки блока ниже.</t>
        </is>
      </c>
      <c r="E27" s="140" t="n"/>
      <c r="F27" s="140" t="n"/>
      <c r="G27" s="140" t="n"/>
      <c r="H27" s="140" t="n"/>
      <c r="I27" s="140" t="n"/>
      <c r="L27" s="12">
        <f>0</f>
        <v/>
      </c>
      <c r="M27" s="12">
        <f>L26*КоэффСохранения</f>
        <v/>
      </c>
      <c r="N27" s="12">
        <f>M26*КоэффСохранения</f>
        <v/>
      </c>
      <c r="O27" s="12">
        <f>N26*КоэффСохранения</f>
        <v/>
      </c>
      <c r="P27" s="12">
        <f>O26*КоэффСохранения</f>
        <v/>
      </c>
      <c r="Q27" s="12">
        <f>P26*КоэффСохранения</f>
        <v/>
      </c>
      <c r="R27" s="12">
        <f>Q26*КоэффСохранения</f>
        <v/>
      </c>
      <c r="S27" s="12">
        <f>R26*КоэффСохранения</f>
        <v/>
      </c>
      <c r="T27" s="12">
        <f>S26*КоэффСохранения</f>
        <v/>
      </c>
      <c r="U27" s="12">
        <f>T26*КоэффСохранения</f>
        <v/>
      </c>
      <c r="V27" s="12">
        <f>U26*КоэффСохранения</f>
        <v/>
      </c>
      <c r="W27" s="12">
        <f>V26*КоэффСохранения</f>
        <v/>
      </c>
      <c r="X27" s="12">
        <f>W26*КоэффСохранения</f>
        <v/>
      </c>
      <c r="Y27" s="12">
        <f>X26*КоэффСохранения</f>
        <v/>
      </c>
      <c r="Z27" s="12">
        <f>Y26*КоэффСохранения</f>
        <v/>
      </c>
      <c r="AA27" s="12">
        <f>Z26*КоэффСохранения</f>
        <v/>
      </c>
      <c r="AB27" s="12">
        <f>AA26*КоэффСохранения</f>
        <v/>
      </c>
      <c r="AC27" s="12">
        <f>AB26*КоэффСохранения</f>
        <v/>
      </c>
      <c r="AD27" s="12">
        <f>AC26*КоэффСохранения</f>
        <v/>
      </c>
      <c r="AE27" s="12">
        <f>AD26*КоэффСохранения</f>
        <v/>
      </c>
      <c r="AF27" s="12">
        <f>AE26*КоэффСохранения</f>
        <v/>
      </c>
      <c r="AG27" s="12">
        <f>AF26*КоэффСохранения</f>
        <v/>
      </c>
      <c r="AH27" s="12">
        <f>AG26*КоэффСохранения</f>
        <v/>
      </c>
      <c r="AI27" s="12">
        <f>AH26*КоэффСохранения</f>
        <v/>
      </c>
      <c r="AJ27" s="12">
        <f>AI26*КоэффСохранения</f>
        <v/>
      </c>
      <c r="AK27" s="12">
        <f>AJ26*КоэффСохранения</f>
        <v/>
      </c>
      <c r="AL27" s="12">
        <f>AK26*КоэффСохранения</f>
        <v/>
      </c>
      <c r="AM27" s="12">
        <f>AL26*КоэффСохранения</f>
        <v/>
      </c>
      <c r="AN27" s="12">
        <f>AM26*КоэффСохранения</f>
        <v/>
      </c>
      <c r="AO27" s="12">
        <f>AN26*КоэффСохранения</f>
        <v/>
      </c>
      <c r="AP27" s="12">
        <f>AO26*КоэффСохранения</f>
        <v/>
      </c>
      <c r="AQ27" s="12">
        <f>AP26*КоэффСохранения</f>
        <v/>
      </c>
      <c r="AR27" s="12">
        <f>AQ26*КоэффСохранения</f>
        <v/>
      </c>
      <c r="AS27" s="12">
        <f>AR26*КоэффСохранения</f>
        <v/>
      </c>
      <c r="AT27" s="12">
        <f>AS26*КоэффСохранения</f>
        <v/>
      </c>
      <c r="AU27" s="12">
        <f>AT26*КоэффСохранения</f>
        <v/>
      </c>
      <c r="AV27" s="12">
        <f>AU26*КоэффСохранения</f>
        <v/>
      </c>
      <c r="AW27" s="12">
        <f>AV26*КоэффСохранения</f>
        <v/>
      </c>
      <c r="AX27" s="12">
        <f>AW26*КоэффСохранения</f>
        <v/>
      </c>
      <c r="AY27" s="12">
        <f>AX26*КоэффСохранения</f>
        <v/>
      </c>
      <c r="AZ27" s="12">
        <f>AY26*КоэффСохранения</f>
        <v/>
      </c>
      <c r="BA27" s="12">
        <f>AZ26*КоэффСохранения</f>
        <v/>
      </c>
      <c r="BB27" s="12">
        <f>BA26*КоэффСохранения</f>
        <v/>
      </c>
      <c r="BC27" s="12">
        <f>BB26*КоэффСохранения</f>
        <v/>
      </c>
      <c r="BD27" s="12">
        <f>BC26*КоэффСохранения</f>
        <v/>
      </c>
      <c r="BE27" s="12">
        <f>BD26*КоэффСохранения</f>
        <v/>
      </c>
      <c r="BF27" s="12">
        <f>BE26*КоэффСохранения</f>
        <v/>
      </c>
      <c r="BG27" s="12">
        <f>BF26*КоэффСохранения</f>
        <v/>
      </c>
      <c r="BH27" s="12">
        <f>BG26*КоэффСохранения</f>
        <v/>
      </c>
      <c r="BI27" s="12">
        <f>BH26*КоэффСохранения</f>
        <v/>
      </c>
      <c r="BJ27" s="12">
        <f>BI26*КоэффСохранения</f>
        <v/>
      </c>
      <c r="BK27" s="12">
        <f>BJ26*КоэффСохранения</f>
        <v/>
      </c>
      <c r="BL27" s="12">
        <f>BK26*КоэффСохранения</f>
        <v/>
      </c>
      <c r="BM27" s="12">
        <f>BL26*КоэффСохранения</f>
        <v/>
      </c>
      <c r="BN27" s="12">
        <f>BM26*КоэффСохранения</f>
        <v/>
      </c>
      <c r="BO27" s="12">
        <f>BN26*КоэффСохранения</f>
        <v/>
      </c>
      <c r="BP27" s="12">
        <f>BO26*КоэффСохранения</f>
        <v/>
      </c>
      <c r="BQ27" s="12">
        <f>BP26*КоэффСохранения</f>
        <v/>
      </c>
      <c r="BR27" s="12">
        <f>BQ26*КоэффСохранения</f>
        <v/>
      </c>
      <c r="BS27" s="12">
        <f>BR26*КоэффСохранения</f>
        <v/>
      </c>
      <c r="BT27" s="12">
        <f>BS26*КоэффСохранения</f>
        <v/>
      </c>
      <c r="BU27" s="12">
        <f>BT26*КоэффСохранения</f>
        <v/>
      </c>
      <c r="BV27" s="12">
        <f>BU26*КоэффСохранения</f>
        <v/>
      </c>
      <c r="BW27" s="12">
        <f>BV26*КоэффСохранения</f>
        <v/>
      </c>
      <c r="BX27" s="12">
        <f>BW26*КоэффСохранения</f>
        <v/>
      </c>
      <c r="BY27" s="12">
        <f>BX26*КоэффСохранения</f>
        <v/>
      </c>
    </row>
    <row r="28">
      <c r="B28" t="inlineStr">
        <is>
          <t>6 мес.</t>
        </is>
      </c>
      <c r="C28" t="inlineStr">
        <is>
          <t>шт.</t>
        </is>
      </c>
      <c r="D28" s="127" t="inlineStr">
        <is>
          <t>Внутренняя механика расчёта: годового итога у этой строки нет, смотрите итоговые строки блока ниже.</t>
        </is>
      </c>
      <c r="E28" s="140" t="n"/>
      <c r="F28" s="140" t="n"/>
      <c r="G28" s="140" t="n"/>
      <c r="H28" s="140" t="n"/>
      <c r="I28" s="140" t="n"/>
      <c r="L28" s="12">
        <f>0</f>
        <v/>
      </c>
      <c r="M28" s="12">
        <f>L27*КоэффСохранения</f>
        <v/>
      </c>
      <c r="N28" s="12">
        <f>M27*КоэффСохранения</f>
        <v/>
      </c>
      <c r="O28" s="12">
        <f>N27*КоэффСохранения</f>
        <v/>
      </c>
      <c r="P28" s="12">
        <f>O27*КоэффСохранения</f>
        <v/>
      </c>
      <c r="Q28" s="12">
        <f>P27*КоэффСохранения</f>
        <v/>
      </c>
      <c r="R28" s="12">
        <f>Q27*КоэффСохранения</f>
        <v/>
      </c>
      <c r="S28" s="12">
        <f>R27*КоэффСохранения</f>
        <v/>
      </c>
      <c r="T28" s="12">
        <f>S27*КоэффСохранения</f>
        <v/>
      </c>
      <c r="U28" s="12">
        <f>T27*КоэффСохранения</f>
        <v/>
      </c>
      <c r="V28" s="12">
        <f>U27*КоэффСохранения</f>
        <v/>
      </c>
      <c r="W28" s="12">
        <f>V27*КоэффСохранения</f>
        <v/>
      </c>
      <c r="X28" s="12">
        <f>W27*КоэффСохранения</f>
        <v/>
      </c>
      <c r="Y28" s="12">
        <f>X27*КоэффСохранения</f>
        <v/>
      </c>
      <c r="Z28" s="12">
        <f>Y27*КоэффСохранения</f>
        <v/>
      </c>
      <c r="AA28" s="12">
        <f>Z27*КоэффСохранения</f>
        <v/>
      </c>
      <c r="AB28" s="12">
        <f>AA27*КоэффСохранения</f>
        <v/>
      </c>
      <c r="AC28" s="12">
        <f>AB27*КоэффСохранения</f>
        <v/>
      </c>
      <c r="AD28" s="12">
        <f>AC27*КоэффСохранения</f>
        <v/>
      </c>
      <c r="AE28" s="12">
        <f>AD27*КоэффСохранения</f>
        <v/>
      </c>
      <c r="AF28" s="12">
        <f>AE27*КоэффСохранения</f>
        <v/>
      </c>
      <c r="AG28" s="12">
        <f>AF27*КоэффСохранения</f>
        <v/>
      </c>
      <c r="AH28" s="12">
        <f>AG27*КоэффСохранения</f>
        <v/>
      </c>
      <c r="AI28" s="12">
        <f>AH27*КоэффСохранения</f>
        <v/>
      </c>
      <c r="AJ28" s="12">
        <f>AI27*КоэффСохранения</f>
        <v/>
      </c>
      <c r="AK28" s="12">
        <f>AJ27*КоэффСохранения</f>
        <v/>
      </c>
      <c r="AL28" s="12">
        <f>AK27*КоэффСохранения</f>
        <v/>
      </c>
      <c r="AM28" s="12">
        <f>AL27*КоэффСохранения</f>
        <v/>
      </c>
      <c r="AN28" s="12">
        <f>AM27*КоэффСохранения</f>
        <v/>
      </c>
      <c r="AO28" s="12">
        <f>AN27*КоэффСохранения</f>
        <v/>
      </c>
      <c r="AP28" s="12">
        <f>AO27*КоэффСохранения</f>
        <v/>
      </c>
      <c r="AQ28" s="12">
        <f>AP27*КоэффСохранения</f>
        <v/>
      </c>
      <c r="AR28" s="12">
        <f>AQ27*КоэффСохранения</f>
        <v/>
      </c>
      <c r="AS28" s="12">
        <f>AR27*КоэффСохранения</f>
        <v/>
      </c>
      <c r="AT28" s="12">
        <f>AS27*КоэффСохранения</f>
        <v/>
      </c>
      <c r="AU28" s="12">
        <f>AT27*КоэффСохранения</f>
        <v/>
      </c>
      <c r="AV28" s="12">
        <f>AU27*КоэффСохранения</f>
        <v/>
      </c>
      <c r="AW28" s="12">
        <f>AV27*КоэффСохранения</f>
        <v/>
      </c>
      <c r="AX28" s="12">
        <f>AW27*КоэффСохранения</f>
        <v/>
      </c>
      <c r="AY28" s="12">
        <f>AX27*КоэффСохранения</f>
        <v/>
      </c>
      <c r="AZ28" s="12">
        <f>AY27*КоэффСохранения</f>
        <v/>
      </c>
      <c r="BA28" s="12">
        <f>AZ27*КоэффСохранения</f>
        <v/>
      </c>
      <c r="BB28" s="12">
        <f>BA27*КоэффСохранения</f>
        <v/>
      </c>
      <c r="BC28" s="12">
        <f>BB27*КоэффСохранения</f>
        <v/>
      </c>
      <c r="BD28" s="12">
        <f>BC27*КоэффСохранения</f>
        <v/>
      </c>
      <c r="BE28" s="12">
        <f>BD27*КоэффСохранения</f>
        <v/>
      </c>
      <c r="BF28" s="12">
        <f>BE27*КоэффСохранения</f>
        <v/>
      </c>
      <c r="BG28" s="12">
        <f>BF27*КоэффСохранения</f>
        <v/>
      </c>
      <c r="BH28" s="12">
        <f>BG27*КоэффСохранения</f>
        <v/>
      </c>
      <c r="BI28" s="12">
        <f>BH27*КоэффСохранения</f>
        <v/>
      </c>
      <c r="BJ28" s="12">
        <f>BI27*КоэффСохранения</f>
        <v/>
      </c>
      <c r="BK28" s="12">
        <f>BJ27*КоэффСохранения</f>
        <v/>
      </c>
      <c r="BL28" s="12">
        <f>BK27*КоэффСохранения</f>
        <v/>
      </c>
      <c r="BM28" s="12">
        <f>BL27*КоэффСохранения</f>
        <v/>
      </c>
      <c r="BN28" s="12">
        <f>BM27*КоэффСохранения</f>
        <v/>
      </c>
      <c r="BO28" s="12">
        <f>BN27*КоэффСохранения</f>
        <v/>
      </c>
      <c r="BP28" s="12">
        <f>BO27*КоэффСохранения</f>
        <v/>
      </c>
      <c r="BQ28" s="12">
        <f>BP27*КоэффСохранения</f>
        <v/>
      </c>
      <c r="BR28" s="12">
        <f>BQ27*КоэффСохранения</f>
        <v/>
      </c>
      <c r="BS28" s="12">
        <f>BR27*КоэффСохранения</f>
        <v/>
      </c>
      <c r="BT28" s="12">
        <f>BS27*КоэффСохранения</f>
        <v/>
      </c>
      <c r="BU28" s="12">
        <f>BT27*КоэффСохранения</f>
        <v/>
      </c>
      <c r="BV28" s="12">
        <f>BU27*КоэффСохранения</f>
        <v/>
      </c>
      <c r="BW28" s="12">
        <f>BV27*КоэффСохранения</f>
        <v/>
      </c>
      <c r="BX28" s="12">
        <f>BW27*КоэффСохранения</f>
        <v/>
      </c>
      <c r="BY28" s="12">
        <f>BX27*КоэффСохранения</f>
        <v/>
      </c>
    </row>
    <row r="29">
      <c r="B29" t="inlineStr">
        <is>
          <t>7 мес.</t>
        </is>
      </c>
      <c r="C29" t="inlineStr">
        <is>
          <t>шт.</t>
        </is>
      </c>
      <c r="D29" s="127" t="inlineStr">
        <is>
          <t>Внутренняя механика расчёта: годового итога у этой строки нет, смотрите итоговые строки блока ниже.</t>
        </is>
      </c>
      <c r="E29" s="140" t="n"/>
      <c r="F29" s="140" t="n"/>
      <c r="G29" s="140" t="n"/>
      <c r="H29" s="140" t="n"/>
      <c r="I29" s="140" t="n"/>
      <c r="L29" s="12">
        <f>0</f>
        <v/>
      </c>
      <c r="M29" s="12">
        <f>L28*КоэффСохранения</f>
        <v/>
      </c>
      <c r="N29" s="12">
        <f>M28*КоэффСохранения</f>
        <v/>
      </c>
      <c r="O29" s="12">
        <f>N28*КоэффСохранения</f>
        <v/>
      </c>
      <c r="P29" s="12">
        <f>O28*КоэффСохранения</f>
        <v/>
      </c>
      <c r="Q29" s="12">
        <f>P28*КоэффСохранения</f>
        <v/>
      </c>
      <c r="R29" s="12">
        <f>Q28*КоэффСохранения</f>
        <v/>
      </c>
      <c r="S29" s="12">
        <f>R28*КоэффСохранения</f>
        <v/>
      </c>
      <c r="T29" s="12">
        <f>S28*КоэффСохранения</f>
        <v/>
      </c>
      <c r="U29" s="12">
        <f>T28*КоэффСохранения</f>
        <v/>
      </c>
      <c r="V29" s="12">
        <f>U28*КоэффСохранения</f>
        <v/>
      </c>
      <c r="W29" s="12">
        <f>V28*КоэффСохранения</f>
        <v/>
      </c>
      <c r="X29" s="12">
        <f>W28*КоэффСохранения</f>
        <v/>
      </c>
      <c r="Y29" s="12">
        <f>X28*КоэффСохранения</f>
        <v/>
      </c>
      <c r="Z29" s="12">
        <f>Y28*КоэффСохранения</f>
        <v/>
      </c>
      <c r="AA29" s="12">
        <f>Z28*КоэффСохранения</f>
        <v/>
      </c>
      <c r="AB29" s="12">
        <f>AA28*КоэффСохранения</f>
        <v/>
      </c>
      <c r="AC29" s="12">
        <f>AB28*КоэффСохранения</f>
        <v/>
      </c>
      <c r="AD29" s="12">
        <f>AC28*КоэффСохранения</f>
        <v/>
      </c>
      <c r="AE29" s="12">
        <f>AD28*КоэффСохранения</f>
        <v/>
      </c>
      <c r="AF29" s="12">
        <f>AE28*КоэффСохранения</f>
        <v/>
      </c>
      <c r="AG29" s="12">
        <f>AF28*КоэффСохранения</f>
        <v/>
      </c>
      <c r="AH29" s="12">
        <f>AG28*КоэффСохранения</f>
        <v/>
      </c>
      <c r="AI29" s="12">
        <f>AH28*КоэффСохранения</f>
        <v/>
      </c>
      <c r="AJ29" s="12">
        <f>AI28*КоэффСохранения</f>
        <v/>
      </c>
      <c r="AK29" s="12">
        <f>AJ28*КоэффСохранения</f>
        <v/>
      </c>
      <c r="AL29" s="12">
        <f>AK28*КоэффСохранения</f>
        <v/>
      </c>
      <c r="AM29" s="12">
        <f>AL28*КоэффСохранения</f>
        <v/>
      </c>
      <c r="AN29" s="12">
        <f>AM28*КоэффСохранения</f>
        <v/>
      </c>
      <c r="AO29" s="12">
        <f>AN28*КоэффСохранения</f>
        <v/>
      </c>
      <c r="AP29" s="12">
        <f>AO28*КоэффСохранения</f>
        <v/>
      </c>
      <c r="AQ29" s="12">
        <f>AP28*КоэффСохранения</f>
        <v/>
      </c>
      <c r="AR29" s="12">
        <f>AQ28*КоэффСохранения</f>
        <v/>
      </c>
      <c r="AS29" s="12">
        <f>AR28*КоэффСохранения</f>
        <v/>
      </c>
      <c r="AT29" s="12">
        <f>AS28*КоэффСохранения</f>
        <v/>
      </c>
      <c r="AU29" s="12">
        <f>AT28*КоэффСохранения</f>
        <v/>
      </c>
      <c r="AV29" s="12">
        <f>AU28*КоэффСохранения</f>
        <v/>
      </c>
      <c r="AW29" s="12">
        <f>AV28*КоэффСохранения</f>
        <v/>
      </c>
      <c r="AX29" s="12">
        <f>AW28*КоэффСохранения</f>
        <v/>
      </c>
      <c r="AY29" s="12">
        <f>AX28*КоэффСохранения</f>
        <v/>
      </c>
      <c r="AZ29" s="12">
        <f>AY28*КоэффСохранения</f>
        <v/>
      </c>
      <c r="BA29" s="12">
        <f>AZ28*КоэффСохранения</f>
        <v/>
      </c>
      <c r="BB29" s="12">
        <f>BA28*КоэффСохранения</f>
        <v/>
      </c>
      <c r="BC29" s="12">
        <f>BB28*КоэффСохранения</f>
        <v/>
      </c>
      <c r="BD29" s="12">
        <f>BC28*КоэффСохранения</f>
        <v/>
      </c>
      <c r="BE29" s="12">
        <f>BD28*КоэффСохранения</f>
        <v/>
      </c>
      <c r="BF29" s="12">
        <f>BE28*КоэффСохранения</f>
        <v/>
      </c>
      <c r="BG29" s="12">
        <f>BF28*КоэффСохранения</f>
        <v/>
      </c>
      <c r="BH29" s="12">
        <f>BG28*КоэффСохранения</f>
        <v/>
      </c>
      <c r="BI29" s="12">
        <f>BH28*КоэффСохранения</f>
        <v/>
      </c>
      <c r="BJ29" s="12">
        <f>BI28*КоэффСохранения</f>
        <v/>
      </c>
      <c r="BK29" s="12">
        <f>BJ28*КоэффСохранения</f>
        <v/>
      </c>
      <c r="BL29" s="12">
        <f>BK28*КоэффСохранения</f>
        <v/>
      </c>
      <c r="BM29" s="12">
        <f>BL28*КоэффСохранения</f>
        <v/>
      </c>
      <c r="BN29" s="12">
        <f>BM28*КоэффСохранения</f>
        <v/>
      </c>
      <c r="BO29" s="12">
        <f>BN28*КоэффСохранения</f>
        <v/>
      </c>
      <c r="BP29" s="12">
        <f>BO28*КоэффСохранения</f>
        <v/>
      </c>
      <c r="BQ29" s="12">
        <f>BP28*КоэффСохранения</f>
        <v/>
      </c>
      <c r="BR29" s="12">
        <f>BQ28*КоэффСохранения</f>
        <v/>
      </c>
      <c r="BS29" s="12">
        <f>BR28*КоэффСохранения</f>
        <v/>
      </c>
      <c r="BT29" s="12">
        <f>BS28*КоэффСохранения</f>
        <v/>
      </c>
      <c r="BU29" s="12">
        <f>BT28*КоэффСохранения</f>
        <v/>
      </c>
      <c r="BV29" s="12">
        <f>BU28*КоэффСохранения</f>
        <v/>
      </c>
      <c r="BW29" s="12">
        <f>BV28*КоэффСохранения</f>
        <v/>
      </c>
      <c r="BX29" s="12">
        <f>BW28*КоэффСохранения</f>
        <v/>
      </c>
      <c r="BY29" s="12">
        <f>BX28*КоэффСохранения</f>
        <v/>
      </c>
    </row>
    <row r="30">
      <c r="B30" t="inlineStr">
        <is>
          <t>8 мес.</t>
        </is>
      </c>
      <c r="C30" t="inlineStr">
        <is>
          <t>шт.</t>
        </is>
      </c>
      <c r="D30" s="127" t="inlineStr">
        <is>
          <t>Внутренняя механика расчёта: годового итога у этой строки нет, смотрите итоговые строки блока ниже.</t>
        </is>
      </c>
      <c r="E30" s="140" t="n"/>
      <c r="F30" s="140" t="n"/>
      <c r="G30" s="140" t="n"/>
      <c r="H30" s="140" t="n"/>
      <c r="I30" s="140" t="n"/>
      <c r="L30" s="12">
        <f>0</f>
        <v/>
      </c>
      <c r="M30" s="12">
        <f>L29*КоэффСохранения</f>
        <v/>
      </c>
      <c r="N30" s="12">
        <f>M29*КоэффСохранения</f>
        <v/>
      </c>
      <c r="O30" s="12">
        <f>N29*КоэффСохранения</f>
        <v/>
      </c>
      <c r="P30" s="12">
        <f>O29*КоэффСохранения</f>
        <v/>
      </c>
      <c r="Q30" s="12">
        <f>P29*КоэффСохранения</f>
        <v/>
      </c>
      <c r="R30" s="12">
        <f>Q29*КоэффСохранения</f>
        <v/>
      </c>
      <c r="S30" s="12">
        <f>R29*КоэффСохранения</f>
        <v/>
      </c>
      <c r="T30" s="12">
        <f>S29*КоэффСохранения</f>
        <v/>
      </c>
      <c r="U30" s="12">
        <f>T29*КоэффСохранения</f>
        <v/>
      </c>
      <c r="V30" s="12">
        <f>U29*КоэффСохранения</f>
        <v/>
      </c>
      <c r="W30" s="12">
        <f>V29*КоэффСохранения</f>
        <v/>
      </c>
      <c r="X30" s="12">
        <f>W29*КоэффСохранения</f>
        <v/>
      </c>
      <c r="Y30" s="12">
        <f>X29*КоэффСохранения</f>
        <v/>
      </c>
      <c r="Z30" s="12">
        <f>Y29*КоэффСохранения</f>
        <v/>
      </c>
      <c r="AA30" s="12">
        <f>Z29*КоэффСохранения</f>
        <v/>
      </c>
      <c r="AB30" s="12">
        <f>AA29*КоэффСохранения</f>
        <v/>
      </c>
      <c r="AC30" s="12">
        <f>AB29*КоэффСохранения</f>
        <v/>
      </c>
      <c r="AD30" s="12">
        <f>AC29*КоэффСохранения</f>
        <v/>
      </c>
      <c r="AE30" s="12">
        <f>AD29*КоэффСохранения</f>
        <v/>
      </c>
      <c r="AF30" s="12">
        <f>AE29*КоэффСохранения</f>
        <v/>
      </c>
      <c r="AG30" s="12">
        <f>AF29*КоэффСохранения</f>
        <v/>
      </c>
      <c r="AH30" s="12">
        <f>AG29*КоэффСохранения</f>
        <v/>
      </c>
      <c r="AI30" s="12">
        <f>AH29*КоэффСохранения</f>
        <v/>
      </c>
      <c r="AJ30" s="12">
        <f>AI29*КоэффСохранения</f>
        <v/>
      </c>
      <c r="AK30" s="12">
        <f>AJ29*КоэффСохранения</f>
        <v/>
      </c>
      <c r="AL30" s="12">
        <f>AK29*КоэффСохранения</f>
        <v/>
      </c>
      <c r="AM30" s="12">
        <f>AL29*КоэффСохранения</f>
        <v/>
      </c>
      <c r="AN30" s="12">
        <f>AM29*КоэффСохранения</f>
        <v/>
      </c>
      <c r="AO30" s="12">
        <f>AN29*КоэффСохранения</f>
        <v/>
      </c>
      <c r="AP30" s="12">
        <f>AO29*КоэффСохранения</f>
        <v/>
      </c>
      <c r="AQ30" s="12">
        <f>AP29*КоэффСохранения</f>
        <v/>
      </c>
      <c r="AR30" s="12">
        <f>AQ29*КоэффСохранения</f>
        <v/>
      </c>
      <c r="AS30" s="12">
        <f>AR29*КоэффСохранения</f>
        <v/>
      </c>
      <c r="AT30" s="12">
        <f>AS29*КоэффСохранения</f>
        <v/>
      </c>
      <c r="AU30" s="12">
        <f>AT29*КоэффСохранения</f>
        <v/>
      </c>
      <c r="AV30" s="12">
        <f>AU29*КоэффСохранения</f>
        <v/>
      </c>
      <c r="AW30" s="12">
        <f>AV29*КоэффСохранения</f>
        <v/>
      </c>
      <c r="AX30" s="12">
        <f>AW29*КоэффСохранения</f>
        <v/>
      </c>
      <c r="AY30" s="12">
        <f>AX29*КоэффСохранения</f>
        <v/>
      </c>
      <c r="AZ30" s="12">
        <f>AY29*КоэффСохранения</f>
        <v/>
      </c>
      <c r="BA30" s="12">
        <f>AZ29*КоэффСохранения</f>
        <v/>
      </c>
      <c r="BB30" s="12">
        <f>BA29*КоэффСохранения</f>
        <v/>
      </c>
      <c r="BC30" s="12">
        <f>BB29*КоэффСохранения</f>
        <v/>
      </c>
      <c r="BD30" s="12">
        <f>BC29*КоэффСохранения</f>
        <v/>
      </c>
      <c r="BE30" s="12">
        <f>BD29*КоэффСохранения</f>
        <v/>
      </c>
      <c r="BF30" s="12">
        <f>BE29*КоэффСохранения</f>
        <v/>
      </c>
      <c r="BG30" s="12">
        <f>BF29*КоэффСохранения</f>
        <v/>
      </c>
      <c r="BH30" s="12">
        <f>BG29*КоэффСохранения</f>
        <v/>
      </c>
      <c r="BI30" s="12">
        <f>BH29*КоэффСохранения</f>
        <v/>
      </c>
      <c r="BJ30" s="12">
        <f>BI29*КоэффСохранения</f>
        <v/>
      </c>
      <c r="BK30" s="12">
        <f>BJ29*КоэффСохранения</f>
        <v/>
      </c>
      <c r="BL30" s="12">
        <f>BK29*КоэффСохранения</f>
        <v/>
      </c>
      <c r="BM30" s="12">
        <f>BL29*КоэффСохранения</f>
        <v/>
      </c>
      <c r="BN30" s="12">
        <f>BM29*КоэффСохранения</f>
        <v/>
      </c>
      <c r="BO30" s="12">
        <f>BN29*КоэффСохранения</f>
        <v/>
      </c>
      <c r="BP30" s="12">
        <f>BO29*КоэффСохранения</f>
        <v/>
      </c>
      <c r="BQ30" s="12">
        <f>BP29*КоэффСохранения</f>
        <v/>
      </c>
      <c r="BR30" s="12">
        <f>BQ29*КоэффСохранения</f>
        <v/>
      </c>
      <c r="BS30" s="12">
        <f>BR29*КоэффСохранения</f>
        <v/>
      </c>
      <c r="BT30" s="12">
        <f>BS29*КоэффСохранения</f>
        <v/>
      </c>
      <c r="BU30" s="12">
        <f>BT29*КоэффСохранения</f>
        <v/>
      </c>
      <c r="BV30" s="12">
        <f>BU29*КоэффСохранения</f>
        <v/>
      </c>
      <c r="BW30" s="12">
        <f>BV29*КоэффСохранения</f>
        <v/>
      </c>
      <c r="BX30" s="12">
        <f>BW29*КоэффСохранения</f>
        <v/>
      </c>
      <c r="BY30" s="12">
        <f>BX29*КоэффСохранения</f>
        <v/>
      </c>
    </row>
    <row r="31">
      <c r="B31" t="inlineStr">
        <is>
          <t>9 мес.</t>
        </is>
      </c>
      <c r="C31" t="inlineStr">
        <is>
          <t>шт.</t>
        </is>
      </c>
      <c r="D31" s="127" t="inlineStr">
        <is>
          <t>Внутренняя механика расчёта: годового итога у этой строки нет, смотрите итоговые строки блока ниже.</t>
        </is>
      </c>
      <c r="E31" s="140" t="n"/>
      <c r="F31" s="140" t="n"/>
      <c r="G31" s="140" t="n"/>
      <c r="H31" s="140" t="n"/>
      <c r="I31" s="140" t="n"/>
      <c r="L31" s="12">
        <f>0</f>
        <v/>
      </c>
      <c r="M31" s="12">
        <f>L30*КоэффСохранения</f>
        <v/>
      </c>
      <c r="N31" s="12">
        <f>M30*КоэффСохранения</f>
        <v/>
      </c>
      <c r="O31" s="12">
        <f>N30*КоэффСохранения</f>
        <v/>
      </c>
      <c r="P31" s="12">
        <f>O30*КоэффСохранения</f>
        <v/>
      </c>
      <c r="Q31" s="12">
        <f>P30*КоэффСохранения</f>
        <v/>
      </c>
      <c r="R31" s="12">
        <f>Q30*КоэффСохранения</f>
        <v/>
      </c>
      <c r="S31" s="12">
        <f>R30*КоэффСохранения</f>
        <v/>
      </c>
      <c r="T31" s="12">
        <f>S30*КоэффСохранения</f>
        <v/>
      </c>
      <c r="U31" s="12">
        <f>T30*КоэффСохранения</f>
        <v/>
      </c>
      <c r="V31" s="12">
        <f>U30*КоэффСохранения</f>
        <v/>
      </c>
      <c r="W31" s="12">
        <f>V30*КоэффСохранения</f>
        <v/>
      </c>
      <c r="X31" s="12">
        <f>W30*КоэффСохранения</f>
        <v/>
      </c>
      <c r="Y31" s="12">
        <f>X30*КоэффСохранения</f>
        <v/>
      </c>
      <c r="Z31" s="12">
        <f>Y30*КоэффСохранения</f>
        <v/>
      </c>
      <c r="AA31" s="12">
        <f>Z30*КоэффСохранения</f>
        <v/>
      </c>
      <c r="AB31" s="12">
        <f>AA30*КоэффСохранения</f>
        <v/>
      </c>
      <c r="AC31" s="12">
        <f>AB30*КоэффСохранения</f>
        <v/>
      </c>
      <c r="AD31" s="12">
        <f>AC30*КоэффСохранения</f>
        <v/>
      </c>
      <c r="AE31" s="12">
        <f>AD30*КоэффСохранения</f>
        <v/>
      </c>
      <c r="AF31" s="12">
        <f>AE30*КоэффСохранения</f>
        <v/>
      </c>
      <c r="AG31" s="12">
        <f>AF30*КоэффСохранения</f>
        <v/>
      </c>
      <c r="AH31" s="12">
        <f>AG30*КоэффСохранения</f>
        <v/>
      </c>
      <c r="AI31" s="12">
        <f>AH30*КоэффСохранения</f>
        <v/>
      </c>
      <c r="AJ31" s="12">
        <f>AI30*КоэффСохранения</f>
        <v/>
      </c>
      <c r="AK31" s="12">
        <f>AJ30*КоэффСохранения</f>
        <v/>
      </c>
      <c r="AL31" s="12">
        <f>AK30*КоэффСохранения</f>
        <v/>
      </c>
      <c r="AM31" s="12">
        <f>AL30*КоэффСохранения</f>
        <v/>
      </c>
      <c r="AN31" s="12">
        <f>AM30*КоэффСохранения</f>
        <v/>
      </c>
      <c r="AO31" s="12">
        <f>AN30*КоэффСохранения</f>
        <v/>
      </c>
      <c r="AP31" s="12">
        <f>AO30*КоэффСохранения</f>
        <v/>
      </c>
      <c r="AQ31" s="12">
        <f>AP30*КоэффСохранения</f>
        <v/>
      </c>
      <c r="AR31" s="12">
        <f>AQ30*КоэффСохранения</f>
        <v/>
      </c>
      <c r="AS31" s="12">
        <f>AR30*КоэффСохранения</f>
        <v/>
      </c>
      <c r="AT31" s="12">
        <f>AS30*КоэффСохранения</f>
        <v/>
      </c>
      <c r="AU31" s="12">
        <f>AT30*КоэффСохранения</f>
        <v/>
      </c>
      <c r="AV31" s="12">
        <f>AU30*КоэффСохранения</f>
        <v/>
      </c>
      <c r="AW31" s="12">
        <f>AV30*КоэффСохранения</f>
        <v/>
      </c>
      <c r="AX31" s="12">
        <f>AW30*КоэффСохранения</f>
        <v/>
      </c>
      <c r="AY31" s="12">
        <f>AX30*КоэффСохранения</f>
        <v/>
      </c>
      <c r="AZ31" s="12">
        <f>AY30*КоэффСохранения</f>
        <v/>
      </c>
      <c r="BA31" s="12">
        <f>AZ30*КоэффСохранения</f>
        <v/>
      </c>
      <c r="BB31" s="12">
        <f>BA30*КоэффСохранения</f>
        <v/>
      </c>
      <c r="BC31" s="12">
        <f>BB30*КоэффСохранения</f>
        <v/>
      </c>
      <c r="BD31" s="12">
        <f>BC30*КоэффСохранения</f>
        <v/>
      </c>
      <c r="BE31" s="12">
        <f>BD30*КоэффСохранения</f>
        <v/>
      </c>
      <c r="BF31" s="12">
        <f>BE30*КоэффСохранения</f>
        <v/>
      </c>
      <c r="BG31" s="12">
        <f>BF30*КоэффСохранения</f>
        <v/>
      </c>
      <c r="BH31" s="12">
        <f>BG30*КоэффСохранения</f>
        <v/>
      </c>
      <c r="BI31" s="12">
        <f>BH30*КоэффСохранения</f>
        <v/>
      </c>
      <c r="BJ31" s="12">
        <f>BI30*КоэффСохранения</f>
        <v/>
      </c>
      <c r="BK31" s="12">
        <f>BJ30*КоэффСохранения</f>
        <v/>
      </c>
      <c r="BL31" s="12">
        <f>BK30*КоэффСохранения</f>
        <v/>
      </c>
      <c r="BM31" s="12">
        <f>BL30*КоэффСохранения</f>
        <v/>
      </c>
      <c r="BN31" s="12">
        <f>BM30*КоэффСохранения</f>
        <v/>
      </c>
      <c r="BO31" s="12">
        <f>BN30*КоэффСохранения</f>
        <v/>
      </c>
      <c r="BP31" s="12">
        <f>BO30*КоэффСохранения</f>
        <v/>
      </c>
      <c r="BQ31" s="12">
        <f>BP30*КоэффСохранения</f>
        <v/>
      </c>
      <c r="BR31" s="12">
        <f>BQ30*КоэффСохранения</f>
        <v/>
      </c>
      <c r="BS31" s="12">
        <f>BR30*КоэффСохранения</f>
        <v/>
      </c>
      <c r="BT31" s="12">
        <f>BS30*КоэффСохранения</f>
        <v/>
      </c>
      <c r="BU31" s="12">
        <f>BT30*КоэффСохранения</f>
        <v/>
      </c>
      <c r="BV31" s="12">
        <f>BU30*КоэффСохранения</f>
        <v/>
      </c>
      <c r="BW31" s="12">
        <f>BV30*КоэффСохранения</f>
        <v/>
      </c>
      <c r="BX31" s="12">
        <f>BW30*КоэффСохранения</f>
        <v/>
      </c>
      <c r="BY31" s="12">
        <f>BX30*КоэффСохранения</f>
        <v/>
      </c>
    </row>
    <row r="32">
      <c r="B32" t="inlineStr">
        <is>
          <t>10 мес.</t>
        </is>
      </c>
      <c r="C32" t="inlineStr">
        <is>
          <t>шт.</t>
        </is>
      </c>
      <c r="D32" s="127" t="inlineStr">
        <is>
          <t>Внутренняя механика расчёта: годового итога у этой строки нет, смотрите итоговые строки блока ниже.</t>
        </is>
      </c>
      <c r="E32" s="140" t="n"/>
      <c r="F32" s="140" t="n"/>
      <c r="G32" s="140" t="n"/>
      <c r="H32" s="140" t="n"/>
      <c r="I32" s="140" t="n"/>
      <c r="L32" s="12">
        <f>0</f>
        <v/>
      </c>
      <c r="M32" s="12">
        <f>L31*КоэффСохранения</f>
        <v/>
      </c>
      <c r="N32" s="12">
        <f>M31*КоэффСохранения</f>
        <v/>
      </c>
      <c r="O32" s="12">
        <f>N31*КоэффСохранения</f>
        <v/>
      </c>
      <c r="P32" s="12">
        <f>O31*КоэффСохранения</f>
        <v/>
      </c>
      <c r="Q32" s="12">
        <f>P31*КоэффСохранения</f>
        <v/>
      </c>
      <c r="R32" s="12">
        <f>Q31*КоэффСохранения</f>
        <v/>
      </c>
      <c r="S32" s="12">
        <f>R31*КоэффСохранения</f>
        <v/>
      </c>
      <c r="T32" s="12">
        <f>S31*КоэффСохранения</f>
        <v/>
      </c>
      <c r="U32" s="12">
        <f>T31*КоэффСохранения</f>
        <v/>
      </c>
      <c r="V32" s="12">
        <f>U31*КоэффСохранения</f>
        <v/>
      </c>
      <c r="W32" s="12">
        <f>V31*КоэффСохранения</f>
        <v/>
      </c>
      <c r="X32" s="12">
        <f>W31*КоэффСохранения</f>
        <v/>
      </c>
      <c r="Y32" s="12">
        <f>X31*КоэффСохранения</f>
        <v/>
      </c>
      <c r="Z32" s="12">
        <f>Y31*КоэффСохранения</f>
        <v/>
      </c>
      <c r="AA32" s="12">
        <f>Z31*КоэффСохранения</f>
        <v/>
      </c>
      <c r="AB32" s="12">
        <f>AA31*КоэффСохранения</f>
        <v/>
      </c>
      <c r="AC32" s="12">
        <f>AB31*КоэффСохранения</f>
        <v/>
      </c>
      <c r="AD32" s="12">
        <f>AC31*КоэффСохранения</f>
        <v/>
      </c>
      <c r="AE32" s="12">
        <f>AD31*КоэффСохранения</f>
        <v/>
      </c>
      <c r="AF32" s="12">
        <f>AE31*КоэффСохранения</f>
        <v/>
      </c>
      <c r="AG32" s="12">
        <f>AF31*КоэффСохранения</f>
        <v/>
      </c>
      <c r="AH32" s="12">
        <f>AG31*КоэффСохранения</f>
        <v/>
      </c>
      <c r="AI32" s="12">
        <f>AH31*КоэффСохранения</f>
        <v/>
      </c>
      <c r="AJ32" s="12">
        <f>AI31*КоэффСохранения</f>
        <v/>
      </c>
      <c r="AK32" s="12">
        <f>AJ31*КоэффСохранения</f>
        <v/>
      </c>
      <c r="AL32" s="12">
        <f>AK31*КоэффСохранения</f>
        <v/>
      </c>
      <c r="AM32" s="12">
        <f>AL31*КоэффСохранения</f>
        <v/>
      </c>
      <c r="AN32" s="12">
        <f>AM31*КоэффСохранения</f>
        <v/>
      </c>
      <c r="AO32" s="12">
        <f>AN31*КоэффСохранения</f>
        <v/>
      </c>
      <c r="AP32" s="12">
        <f>AO31*КоэффСохранения</f>
        <v/>
      </c>
      <c r="AQ32" s="12">
        <f>AP31*КоэффСохранения</f>
        <v/>
      </c>
      <c r="AR32" s="12">
        <f>AQ31*КоэффСохранения</f>
        <v/>
      </c>
      <c r="AS32" s="12">
        <f>AR31*КоэффСохранения</f>
        <v/>
      </c>
      <c r="AT32" s="12">
        <f>AS31*КоэффСохранения</f>
        <v/>
      </c>
      <c r="AU32" s="12">
        <f>AT31*КоэффСохранения</f>
        <v/>
      </c>
      <c r="AV32" s="12">
        <f>AU31*КоэффСохранения</f>
        <v/>
      </c>
      <c r="AW32" s="12">
        <f>AV31*КоэффСохранения</f>
        <v/>
      </c>
      <c r="AX32" s="12">
        <f>AW31*КоэффСохранения</f>
        <v/>
      </c>
      <c r="AY32" s="12">
        <f>AX31*КоэффСохранения</f>
        <v/>
      </c>
      <c r="AZ32" s="12">
        <f>AY31*КоэффСохранения</f>
        <v/>
      </c>
      <c r="BA32" s="12">
        <f>AZ31*КоэффСохранения</f>
        <v/>
      </c>
      <c r="BB32" s="12">
        <f>BA31*КоэффСохранения</f>
        <v/>
      </c>
      <c r="BC32" s="12">
        <f>BB31*КоэффСохранения</f>
        <v/>
      </c>
      <c r="BD32" s="12">
        <f>BC31*КоэффСохранения</f>
        <v/>
      </c>
      <c r="BE32" s="12">
        <f>BD31*КоэффСохранения</f>
        <v/>
      </c>
      <c r="BF32" s="12">
        <f>BE31*КоэффСохранения</f>
        <v/>
      </c>
      <c r="BG32" s="12">
        <f>BF31*КоэффСохранения</f>
        <v/>
      </c>
      <c r="BH32" s="12">
        <f>BG31*КоэффСохранения</f>
        <v/>
      </c>
      <c r="BI32" s="12">
        <f>BH31*КоэффСохранения</f>
        <v/>
      </c>
      <c r="BJ32" s="12">
        <f>BI31*КоэффСохранения</f>
        <v/>
      </c>
      <c r="BK32" s="12">
        <f>BJ31*КоэффСохранения</f>
        <v/>
      </c>
      <c r="BL32" s="12">
        <f>BK31*КоэффСохранения</f>
        <v/>
      </c>
      <c r="BM32" s="12">
        <f>BL31*КоэффСохранения</f>
        <v/>
      </c>
      <c r="BN32" s="12">
        <f>BM31*КоэффСохранения</f>
        <v/>
      </c>
      <c r="BO32" s="12">
        <f>BN31*КоэффСохранения</f>
        <v/>
      </c>
      <c r="BP32" s="12">
        <f>BO31*КоэффСохранения</f>
        <v/>
      </c>
      <c r="BQ32" s="12">
        <f>BP31*КоэффСохранения</f>
        <v/>
      </c>
      <c r="BR32" s="12">
        <f>BQ31*КоэффСохранения</f>
        <v/>
      </c>
      <c r="BS32" s="12">
        <f>BR31*КоэффСохранения</f>
        <v/>
      </c>
      <c r="BT32" s="12">
        <f>BS31*КоэффСохранения</f>
        <v/>
      </c>
      <c r="BU32" s="12">
        <f>BT31*КоэффСохранения</f>
        <v/>
      </c>
      <c r="BV32" s="12">
        <f>BU31*КоэффСохранения</f>
        <v/>
      </c>
      <c r="BW32" s="12">
        <f>BV31*КоэффСохранения</f>
        <v/>
      </c>
      <c r="BX32" s="12">
        <f>BW31*КоэффСохранения</f>
        <v/>
      </c>
      <c r="BY32" s="12">
        <f>BX31*КоэффСохранения</f>
        <v/>
      </c>
    </row>
    <row r="33">
      <c r="B33" t="inlineStr">
        <is>
          <t>11 мес.</t>
        </is>
      </c>
      <c r="C33" t="inlineStr">
        <is>
          <t>шт.</t>
        </is>
      </c>
      <c r="D33" s="127" t="inlineStr">
        <is>
          <t>Внутренняя механика расчёта: годового итога у этой строки нет, смотрите итоговые строки блока ниже.</t>
        </is>
      </c>
      <c r="E33" s="140" t="n"/>
      <c r="F33" s="140" t="n"/>
      <c r="G33" s="140" t="n"/>
      <c r="H33" s="140" t="n"/>
      <c r="I33" s="140" t="n"/>
      <c r="L33" s="12">
        <f>0</f>
        <v/>
      </c>
      <c r="M33" s="12">
        <f>L32*КоэффСохранения</f>
        <v/>
      </c>
      <c r="N33" s="12">
        <f>M32*КоэффСохранения</f>
        <v/>
      </c>
      <c r="O33" s="12">
        <f>N32*КоэффСохранения</f>
        <v/>
      </c>
      <c r="P33" s="12">
        <f>O32*КоэффСохранения</f>
        <v/>
      </c>
      <c r="Q33" s="12">
        <f>P32*КоэффСохранения</f>
        <v/>
      </c>
      <c r="R33" s="12">
        <f>Q32*КоэффСохранения</f>
        <v/>
      </c>
      <c r="S33" s="12">
        <f>R32*КоэффСохранения</f>
        <v/>
      </c>
      <c r="T33" s="12">
        <f>S32*КоэффСохранения</f>
        <v/>
      </c>
      <c r="U33" s="12">
        <f>T32*КоэффСохранения</f>
        <v/>
      </c>
      <c r="V33" s="12">
        <f>U32*КоэффСохранения</f>
        <v/>
      </c>
      <c r="W33" s="12">
        <f>V32*КоэффСохранения</f>
        <v/>
      </c>
      <c r="X33" s="12">
        <f>W32*КоэффСохранения</f>
        <v/>
      </c>
      <c r="Y33" s="12">
        <f>X32*КоэффСохранения</f>
        <v/>
      </c>
      <c r="Z33" s="12">
        <f>Y32*КоэффСохранения</f>
        <v/>
      </c>
      <c r="AA33" s="12">
        <f>Z32*КоэффСохранения</f>
        <v/>
      </c>
      <c r="AB33" s="12">
        <f>AA32*КоэффСохранения</f>
        <v/>
      </c>
      <c r="AC33" s="12">
        <f>AB32*КоэффСохранения</f>
        <v/>
      </c>
      <c r="AD33" s="12">
        <f>AC32*КоэффСохранения</f>
        <v/>
      </c>
      <c r="AE33" s="12">
        <f>AD32*КоэффСохранения</f>
        <v/>
      </c>
      <c r="AF33" s="12">
        <f>AE32*КоэффСохранения</f>
        <v/>
      </c>
      <c r="AG33" s="12">
        <f>AF32*КоэффСохранения</f>
        <v/>
      </c>
      <c r="AH33" s="12">
        <f>AG32*КоэффСохранения</f>
        <v/>
      </c>
      <c r="AI33" s="12">
        <f>AH32*КоэффСохранения</f>
        <v/>
      </c>
      <c r="AJ33" s="12">
        <f>AI32*КоэффСохранения</f>
        <v/>
      </c>
      <c r="AK33" s="12">
        <f>AJ32*КоэффСохранения</f>
        <v/>
      </c>
      <c r="AL33" s="12">
        <f>AK32*КоэффСохранения</f>
        <v/>
      </c>
      <c r="AM33" s="12">
        <f>AL32*КоэффСохранения</f>
        <v/>
      </c>
      <c r="AN33" s="12">
        <f>AM32*КоэффСохранения</f>
        <v/>
      </c>
      <c r="AO33" s="12">
        <f>AN32*КоэффСохранения</f>
        <v/>
      </c>
      <c r="AP33" s="12">
        <f>AO32*КоэффСохранения</f>
        <v/>
      </c>
      <c r="AQ33" s="12">
        <f>AP32*КоэффСохранения</f>
        <v/>
      </c>
      <c r="AR33" s="12">
        <f>AQ32*КоэффСохранения</f>
        <v/>
      </c>
      <c r="AS33" s="12">
        <f>AR32*КоэффСохранения</f>
        <v/>
      </c>
      <c r="AT33" s="12">
        <f>AS32*КоэффСохранения</f>
        <v/>
      </c>
      <c r="AU33" s="12">
        <f>AT32*КоэффСохранения</f>
        <v/>
      </c>
      <c r="AV33" s="12">
        <f>AU32*КоэффСохранения</f>
        <v/>
      </c>
      <c r="AW33" s="12">
        <f>AV32*КоэффСохранения</f>
        <v/>
      </c>
      <c r="AX33" s="12">
        <f>AW32*КоэффСохранения</f>
        <v/>
      </c>
      <c r="AY33" s="12">
        <f>AX32*КоэффСохранения</f>
        <v/>
      </c>
      <c r="AZ33" s="12">
        <f>AY32*КоэффСохранения</f>
        <v/>
      </c>
      <c r="BA33" s="12">
        <f>AZ32*КоэффСохранения</f>
        <v/>
      </c>
      <c r="BB33" s="12">
        <f>BA32*КоэффСохранения</f>
        <v/>
      </c>
      <c r="BC33" s="12">
        <f>BB32*КоэффСохранения</f>
        <v/>
      </c>
      <c r="BD33" s="12">
        <f>BC32*КоэффСохранения</f>
        <v/>
      </c>
      <c r="BE33" s="12">
        <f>BD32*КоэффСохранения</f>
        <v/>
      </c>
      <c r="BF33" s="12">
        <f>BE32*КоэффСохранения</f>
        <v/>
      </c>
      <c r="BG33" s="12">
        <f>BF32*КоэффСохранения</f>
        <v/>
      </c>
      <c r="BH33" s="12">
        <f>BG32*КоэффСохранения</f>
        <v/>
      </c>
      <c r="BI33" s="12">
        <f>BH32*КоэффСохранения</f>
        <v/>
      </c>
      <c r="BJ33" s="12">
        <f>BI32*КоэффСохранения</f>
        <v/>
      </c>
      <c r="BK33" s="12">
        <f>BJ32*КоэффСохранения</f>
        <v/>
      </c>
      <c r="BL33" s="12">
        <f>BK32*КоэффСохранения</f>
        <v/>
      </c>
      <c r="BM33" s="12">
        <f>BL32*КоэффСохранения</f>
        <v/>
      </c>
      <c r="BN33" s="12">
        <f>BM32*КоэффСохранения</f>
        <v/>
      </c>
      <c r="BO33" s="12">
        <f>BN32*КоэффСохранения</f>
        <v/>
      </c>
      <c r="BP33" s="12">
        <f>BO32*КоэффСохранения</f>
        <v/>
      </c>
      <c r="BQ33" s="12">
        <f>BP32*КоэффСохранения</f>
        <v/>
      </c>
      <c r="BR33" s="12">
        <f>BQ32*КоэффСохранения</f>
        <v/>
      </c>
      <c r="BS33" s="12">
        <f>BR32*КоэффСохранения</f>
        <v/>
      </c>
      <c r="BT33" s="12">
        <f>BS32*КоэффСохранения</f>
        <v/>
      </c>
      <c r="BU33" s="12">
        <f>BT32*КоэффСохранения</f>
        <v/>
      </c>
      <c r="BV33" s="12">
        <f>BU32*КоэффСохранения</f>
        <v/>
      </c>
      <c r="BW33" s="12">
        <f>BV32*КоэффСохранения</f>
        <v/>
      </c>
      <c r="BX33" s="12">
        <f>BW32*КоэффСохранения</f>
        <v/>
      </c>
      <c r="BY33" s="12">
        <f>BX32*КоэффСохранения</f>
        <v/>
      </c>
    </row>
    <row r="34">
      <c r="B34" t="inlineStr">
        <is>
          <t>12 мес.</t>
        </is>
      </c>
      <c r="C34" t="inlineStr">
        <is>
          <t>шт.</t>
        </is>
      </c>
      <c r="D34" s="127" t="inlineStr">
        <is>
          <t>Внутренняя механика расчёта: годового итога у этой строки нет, смотрите итоговые строки блока ниже.</t>
        </is>
      </c>
      <c r="E34" s="140" t="n"/>
      <c r="F34" s="140" t="n"/>
      <c r="G34" s="140" t="n"/>
      <c r="H34" s="140" t="n"/>
      <c r="I34" s="140" t="n"/>
      <c r="L34" s="12">
        <f>0</f>
        <v/>
      </c>
      <c r="M34" s="12">
        <f>L33*КоэффСохранения</f>
        <v/>
      </c>
      <c r="N34" s="12">
        <f>M33*КоэффСохранения</f>
        <v/>
      </c>
      <c r="O34" s="12">
        <f>N33*КоэффСохранения</f>
        <v/>
      </c>
      <c r="P34" s="12">
        <f>O33*КоэффСохранения</f>
        <v/>
      </c>
      <c r="Q34" s="12">
        <f>P33*КоэффСохранения</f>
        <v/>
      </c>
      <c r="R34" s="12">
        <f>Q33*КоэффСохранения</f>
        <v/>
      </c>
      <c r="S34" s="12">
        <f>R33*КоэффСохранения</f>
        <v/>
      </c>
      <c r="T34" s="12">
        <f>S33*КоэффСохранения</f>
        <v/>
      </c>
      <c r="U34" s="12">
        <f>T33*КоэффСохранения</f>
        <v/>
      </c>
      <c r="V34" s="12">
        <f>U33*КоэффСохранения</f>
        <v/>
      </c>
      <c r="W34" s="12">
        <f>V33*КоэффСохранения</f>
        <v/>
      </c>
      <c r="X34" s="12">
        <f>W33*КоэффСохранения</f>
        <v/>
      </c>
      <c r="Y34" s="12">
        <f>X33*КоэффСохранения</f>
        <v/>
      </c>
      <c r="Z34" s="12">
        <f>Y33*КоэффСохранения</f>
        <v/>
      </c>
      <c r="AA34" s="12">
        <f>Z33*КоэффСохранения</f>
        <v/>
      </c>
      <c r="AB34" s="12">
        <f>AA33*КоэффСохранения</f>
        <v/>
      </c>
      <c r="AC34" s="12">
        <f>AB33*КоэффСохранения</f>
        <v/>
      </c>
      <c r="AD34" s="12">
        <f>AC33*КоэффСохранения</f>
        <v/>
      </c>
      <c r="AE34" s="12">
        <f>AD33*КоэффСохранения</f>
        <v/>
      </c>
      <c r="AF34" s="12">
        <f>AE33*КоэффСохранения</f>
        <v/>
      </c>
      <c r="AG34" s="12">
        <f>AF33*КоэффСохранения</f>
        <v/>
      </c>
      <c r="AH34" s="12">
        <f>AG33*КоэффСохранения</f>
        <v/>
      </c>
      <c r="AI34" s="12">
        <f>AH33*КоэффСохранения</f>
        <v/>
      </c>
      <c r="AJ34" s="12">
        <f>AI33*КоэффСохранения</f>
        <v/>
      </c>
      <c r="AK34" s="12">
        <f>AJ33*КоэффСохранения</f>
        <v/>
      </c>
      <c r="AL34" s="12">
        <f>AK33*КоэффСохранения</f>
        <v/>
      </c>
      <c r="AM34" s="12">
        <f>AL33*КоэффСохранения</f>
        <v/>
      </c>
      <c r="AN34" s="12">
        <f>AM33*КоэффСохранения</f>
        <v/>
      </c>
      <c r="AO34" s="12">
        <f>AN33*КоэффСохранения</f>
        <v/>
      </c>
      <c r="AP34" s="12">
        <f>AO33*КоэффСохранения</f>
        <v/>
      </c>
      <c r="AQ34" s="12">
        <f>AP33*КоэффСохранения</f>
        <v/>
      </c>
      <c r="AR34" s="12">
        <f>AQ33*КоэффСохранения</f>
        <v/>
      </c>
      <c r="AS34" s="12">
        <f>AR33*КоэффСохранения</f>
        <v/>
      </c>
      <c r="AT34" s="12">
        <f>AS33*КоэффСохранения</f>
        <v/>
      </c>
      <c r="AU34" s="12">
        <f>AT33*КоэффСохранения</f>
        <v/>
      </c>
      <c r="AV34" s="12">
        <f>AU33*КоэффСохранения</f>
        <v/>
      </c>
      <c r="AW34" s="12">
        <f>AV33*КоэффСохранения</f>
        <v/>
      </c>
      <c r="AX34" s="12">
        <f>AW33*КоэффСохранения</f>
        <v/>
      </c>
      <c r="AY34" s="12">
        <f>AX33*КоэффСохранения</f>
        <v/>
      </c>
      <c r="AZ34" s="12">
        <f>AY33*КоэффСохранения</f>
        <v/>
      </c>
      <c r="BA34" s="12">
        <f>AZ33*КоэффСохранения</f>
        <v/>
      </c>
      <c r="BB34" s="12">
        <f>BA33*КоэффСохранения</f>
        <v/>
      </c>
      <c r="BC34" s="12">
        <f>BB33*КоэффСохранения</f>
        <v/>
      </c>
      <c r="BD34" s="12">
        <f>BC33*КоэффСохранения</f>
        <v/>
      </c>
      <c r="BE34" s="12">
        <f>BD33*КоэффСохранения</f>
        <v/>
      </c>
      <c r="BF34" s="12">
        <f>BE33*КоэффСохранения</f>
        <v/>
      </c>
      <c r="BG34" s="12">
        <f>BF33*КоэффСохранения</f>
        <v/>
      </c>
      <c r="BH34" s="12">
        <f>BG33*КоэффСохранения</f>
        <v/>
      </c>
      <c r="BI34" s="12">
        <f>BH33*КоэффСохранения</f>
        <v/>
      </c>
      <c r="BJ34" s="12">
        <f>BI33*КоэффСохранения</f>
        <v/>
      </c>
      <c r="BK34" s="12">
        <f>BJ33*КоэффСохранения</f>
        <v/>
      </c>
      <c r="BL34" s="12">
        <f>BK33*КоэффСохранения</f>
        <v/>
      </c>
      <c r="BM34" s="12">
        <f>BL33*КоэффСохранения</f>
        <v/>
      </c>
      <c r="BN34" s="12">
        <f>BM33*КоэффСохранения</f>
        <v/>
      </c>
      <c r="BO34" s="12">
        <f>BN33*КоэффСохранения</f>
        <v/>
      </c>
      <c r="BP34" s="12">
        <f>BO33*КоэффСохранения</f>
        <v/>
      </c>
      <c r="BQ34" s="12">
        <f>BP33*КоэффСохранения</f>
        <v/>
      </c>
      <c r="BR34" s="12">
        <f>BQ33*КоэффСохранения</f>
        <v/>
      </c>
      <c r="BS34" s="12">
        <f>BR33*КоэффСохранения</f>
        <v/>
      </c>
      <c r="BT34" s="12">
        <f>BS33*КоэффСохранения</f>
        <v/>
      </c>
      <c r="BU34" s="12">
        <f>BT33*КоэффСохранения</f>
        <v/>
      </c>
      <c r="BV34" s="12">
        <f>BU33*КоэффСохранения</f>
        <v/>
      </c>
      <c r="BW34" s="12">
        <f>BV33*КоэффСохранения</f>
        <v/>
      </c>
      <c r="BX34" s="12">
        <f>BW33*КоэффСохранения</f>
        <v/>
      </c>
      <c r="BY34" s="12">
        <f>BX33*КоэффСохранения</f>
        <v/>
      </c>
    </row>
    <row r="35">
      <c r="B35" t="inlineStr">
        <is>
          <t>13 мес.</t>
        </is>
      </c>
      <c r="C35" t="inlineStr">
        <is>
          <t>шт.</t>
        </is>
      </c>
      <c r="D35" s="127" t="inlineStr">
        <is>
          <t>Внутренняя механика расчёта: годового итога у этой строки нет, смотрите итоговые строки блока ниже.</t>
        </is>
      </c>
      <c r="E35" s="140" t="n"/>
      <c r="F35" s="140" t="n"/>
      <c r="G35" s="140" t="n"/>
      <c r="H35" s="140" t="n"/>
      <c r="I35" s="140" t="n"/>
      <c r="L35" s="12">
        <f>0</f>
        <v/>
      </c>
      <c r="M35" s="12">
        <f>L34*КоэффСохранения</f>
        <v/>
      </c>
      <c r="N35" s="12">
        <f>M34*КоэффСохранения</f>
        <v/>
      </c>
      <c r="O35" s="12">
        <f>N34*КоэффСохранения</f>
        <v/>
      </c>
      <c r="P35" s="12">
        <f>O34*КоэффСохранения</f>
        <v/>
      </c>
      <c r="Q35" s="12">
        <f>P34*КоэффСохранения</f>
        <v/>
      </c>
      <c r="R35" s="12">
        <f>Q34*КоэффСохранения</f>
        <v/>
      </c>
      <c r="S35" s="12">
        <f>R34*КоэффСохранения</f>
        <v/>
      </c>
      <c r="T35" s="12">
        <f>S34*КоэффСохранения</f>
        <v/>
      </c>
      <c r="U35" s="12">
        <f>T34*КоэффСохранения</f>
        <v/>
      </c>
      <c r="V35" s="12">
        <f>U34*КоэффСохранения</f>
        <v/>
      </c>
      <c r="W35" s="12">
        <f>V34*КоэффСохранения</f>
        <v/>
      </c>
      <c r="X35" s="12">
        <f>W34*КоэффСохранения</f>
        <v/>
      </c>
      <c r="Y35" s="12">
        <f>X34*КоэффСохранения</f>
        <v/>
      </c>
      <c r="Z35" s="12">
        <f>Y34*КоэффСохранения</f>
        <v/>
      </c>
      <c r="AA35" s="12">
        <f>Z34*КоэффСохранения</f>
        <v/>
      </c>
      <c r="AB35" s="12">
        <f>AA34*КоэффСохранения</f>
        <v/>
      </c>
      <c r="AC35" s="12">
        <f>AB34*КоэффСохранения</f>
        <v/>
      </c>
      <c r="AD35" s="12">
        <f>AC34*КоэффСохранения</f>
        <v/>
      </c>
      <c r="AE35" s="12">
        <f>AD34*КоэффСохранения</f>
        <v/>
      </c>
      <c r="AF35" s="12">
        <f>AE34*КоэффСохранения</f>
        <v/>
      </c>
      <c r="AG35" s="12">
        <f>AF34*КоэффСохранения</f>
        <v/>
      </c>
      <c r="AH35" s="12">
        <f>AG34*КоэффСохранения</f>
        <v/>
      </c>
      <c r="AI35" s="12">
        <f>AH34*КоэффСохранения</f>
        <v/>
      </c>
      <c r="AJ35" s="12">
        <f>AI34*КоэффСохранения</f>
        <v/>
      </c>
      <c r="AK35" s="12">
        <f>AJ34*КоэффСохранения</f>
        <v/>
      </c>
      <c r="AL35" s="12">
        <f>AK34*КоэффСохранения</f>
        <v/>
      </c>
      <c r="AM35" s="12">
        <f>AL34*КоэффСохранения</f>
        <v/>
      </c>
      <c r="AN35" s="12">
        <f>AM34*КоэффСохранения</f>
        <v/>
      </c>
      <c r="AO35" s="12">
        <f>AN34*КоэффСохранения</f>
        <v/>
      </c>
      <c r="AP35" s="12">
        <f>AO34*КоэффСохранения</f>
        <v/>
      </c>
      <c r="AQ35" s="12">
        <f>AP34*КоэффСохранения</f>
        <v/>
      </c>
      <c r="AR35" s="12">
        <f>AQ34*КоэффСохранения</f>
        <v/>
      </c>
      <c r="AS35" s="12">
        <f>AR34*КоэффСохранения</f>
        <v/>
      </c>
      <c r="AT35" s="12">
        <f>AS34*КоэффСохранения</f>
        <v/>
      </c>
      <c r="AU35" s="12">
        <f>AT34*КоэффСохранения</f>
        <v/>
      </c>
      <c r="AV35" s="12">
        <f>AU34*КоэффСохранения</f>
        <v/>
      </c>
      <c r="AW35" s="12">
        <f>AV34*КоэффСохранения</f>
        <v/>
      </c>
      <c r="AX35" s="12">
        <f>AW34*КоэффСохранения</f>
        <v/>
      </c>
      <c r="AY35" s="12">
        <f>AX34*КоэффСохранения</f>
        <v/>
      </c>
      <c r="AZ35" s="12">
        <f>AY34*КоэффСохранения</f>
        <v/>
      </c>
      <c r="BA35" s="12">
        <f>AZ34*КоэффСохранения</f>
        <v/>
      </c>
      <c r="BB35" s="12">
        <f>BA34*КоэффСохранения</f>
        <v/>
      </c>
      <c r="BC35" s="12">
        <f>BB34*КоэффСохранения</f>
        <v/>
      </c>
      <c r="BD35" s="12">
        <f>BC34*КоэффСохранения</f>
        <v/>
      </c>
      <c r="BE35" s="12">
        <f>BD34*КоэффСохранения</f>
        <v/>
      </c>
      <c r="BF35" s="12">
        <f>BE34*КоэффСохранения</f>
        <v/>
      </c>
      <c r="BG35" s="12">
        <f>BF34*КоэффСохранения</f>
        <v/>
      </c>
      <c r="BH35" s="12">
        <f>BG34*КоэффСохранения</f>
        <v/>
      </c>
      <c r="BI35" s="12">
        <f>BH34*КоэффСохранения</f>
        <v/>
      </c>
      <c r="BJ35" s="12">
        <f>BI34*КоэффСохранения</f>
        <v/>
      </c>
      <c r="BK35" s="12">
        <f>BJ34*КоэффСохранения</f>
        <v/>
      </c>
      <c r="BL35" s="12">
        <f>BK34*КоэффСохранения</f>
        <v/>
      </c>
      <c r="BM35" s="12">
        <f>BL34*КоэффСохранения</f>
        <v/>
      </c>
      <c r="BN35" s="12">
        <f>BM34*КоэффСохранения</f>
        <v/>
      </c>
      <c r="BO35" s="12">
        <f>BN34*КоэффСохранения</f>
        <v/>
      </c>
      <c r="BP35" s="12">
        <f>BO34*КоэффСохранения</f>
        <v/>
      </c>
      <c r="BQ35" s="12">
        <f>BP34*КоэффСохранения</f>
        <v/>
      </c>
      <c r="BR35" s="12">
        <f>BQ34*КоэффСохранения</f>
        <v/>
      </c>
      <c r="BS35" s="12">
        <f>BR34*КоэффСохранения</f>
        <v/>
      </c>
      <c r="BT35" s="12">
        <f>BS34*КоэффСохранения</f>
        <v/>
      </c>
      <c r="BU35" s="12">
        <f>BT34*КоэффСохранения</f>
        <v/>
      </c>
      <c r="BV35" s="12">
        <f>BU34*КоэффСохранения</f>
        <v/>
      </c>
      <c r="BW35" s="12">
        <f>BV34*КоэффСохранения</f>
        <v/>
      </c>
      <c r="BX35" s="12">
        <f>BW34*КоэффСохранения</f>
        <v/>
      </c>
      <c r="BY35" s="12">
        <f>BX34*КоэффСохранения</f>
        <v/>
      </c>
    </row>
    <row r="36">
      <c r="B36" t="inlineStr">
        <is>
          <t>14 мес.</t>
        </is>
      </c>
      <c r="C36" t="inlineStr">
        <is>
          <t>шт.</t>
        </is>
      </c>
      <c r="D36" s="127" t="inlineStr">
        <is>
          <t>Внутренняя механика расчёта: годового итога у этой строки нет, смотрите итоговые строки блока ниже.</t>
        </is>
      </c>
      <c r="E36" s="140" t="n"/>
      <c r="F36" s="140" t="n"/>
      <c r="G36" s="140" t="n"/>
      <c r="H36" s="140" t="n"/>
      <c r="I36" s="140" t="n"/>
      <c r="L36" s="12">
        <f>0</f>
        <v/>
      </c>
      <c r="M36" s="12">
        <f>L35*КоэффСохранения</f>
        <v/>
      </c>
      <c r="N36" s="12">
        <f>M35*КоэффСохранения</f>
        <v/>
      </c>
      <c r="O36" s="12">
        <f>N35*КоэффСохранения</f>
        <v/>
      </c>
      <c r="P36" s="12">
        <f>O35*КоэффСохранения</f>
        <v/>
      </c>
      <c r="Q36" s="12">
        <f>P35*КоэффСохранения</f>
        <v/>
      </c>
      <c r="R36" s="12">
        <f>Q35*КоэффСохранения</f>
        <v/>
      </c>
      <c r="S36" s="12">
        <f>R35*КоэффСохранения</f>
        <v/>
      </c>
      <c r="T36" s="12">
        <f>S35*КоэффСохранения</f>
        <v/>
      </c>
      <c r="U36" s="12">
        <f>T35*КоэффСохранения</f>
        <v/>
      </c>
      <c r="V36" s="12">
        <f>U35*КоэффСохранения</f>
        <v/>
      </c>
      <c r="W36" s="12">
        <f>V35*КоэффСохранения</f>
        <v/>
      </c>
      <c r="X36" s="12">
        <f>W35*КоэффСохранения</f>
        <v/>
      </c>
      <c r="Y36" s="12">
        <f>X35*КоэффСохранения</f>
        <v/>
      </c>
      <c r="Z36" s="12">
        <f>Y35*КоэффСохранения</f>
        <v/>
      </c>
      <c r="AA36" s="12">
        <f>Z35*КоэффСохранения</f>
        <v/>
      </c>
      <c r="AB36" s="12">
        <f>AA35*КоэффСохранения</f>
        <v/>
      </c>
      <c r="AC36" s="12">
        <f>AB35*КоэффСохранения</f>
        <v/>
      </c>
      <c r="AD36" s="12">
        <f>AC35*КоэффСохранения</f>
        <v/>
      </c>
      <c r="AE36" s="12">
        <f>AD35*КоэффСохранения</f>
        <v/>
      </c>
      <c r="AF36" s="12">
        <f>AE35*КоэффСохранения</f>
        <v/>
      </c>
      <c r="AG36" s="12">
        <f>AF35*КоэффСохранения</f>
        <v/>
      </c>
      <c r="AH36" s="12">
        <f>AG35*КоэффСохранения</f>
        <v/>
      </c>
      <c r="AI36" s="12">
        <f>AH35*КоэффСохранения</f>
        <v/>
      </c>
      <c r="AJ36" s="12">
        <f>AI35*КоэффСохранения</f>
        <v/>
      </c>
      <c r="AK36" s="12">
        <f>AJ35*КоэффСохранения</f>
        <v/>
      </c>
      <c r="AL36" s="12">
        <f>AK35*КоэффСохранения</f>
        <v/>
      </c>
      <c r="AM36" s="12">
        <f>AL35*КоэффСохранения</f>
        <v/>
      </c>
      <c r="AN36" s="12">
        <f>AM35*КоэффСохранения</f>
        <v/>
      </c>
      <c r="AO36" s="12">
        <f>AN35*КоэффСохранения</f>
        <v/>
      </c>
      <c r="AP36" s="12">
        <f>AO35*КоэффСохранения</f>
        <v/>
      </c>
      <c r="AQ36" s="12">
        <f>AP35*КоэффСохранения</f>
        <v/>
      </c>
      <c r="AR36" s="12">
        <f>AQ35*КоэффСохранения</f>
        <v/>
      </c>
      <c r="AS36" s="12">
        <f>AR35*КоэффСохранения</f>
        <v/>
      </c>
      <c r="AT36" s="12">
        <f>AS35*КоэффСохранения</f>
        <v/>
      </c>
      <c r="AU36" s="12">
        <f>AT35*КоэффСохранения</f>
        <v/>
      </c>
      <c r="AV36" s="12">
        <f>AU35*КоэффСохранения</f>
        <v/>
      </c>
      <c r="AW36" s="12">
        <f>AV35*КоэффСохранения</f>
        <v/>
      </c>
      <c r="AX36" s="12">
        <f>AW35*КоэффСохранения</f>
        <v/>
      </c>
      <c r="AY36" s="12">
        <f>AX35*КоэффСохранения</f>
        <v/>
      </c>
      <c r="AZ36" s="12">
        <f>AY35*КоэффСохранения</f>
        <v/>
      </c>
      <c r="BA36" s="12">
        <f>AZ35*КоэффСохранения</f>
        <v/>
      </c>
      <c r="BB36" s="12">
        <f>BA35*КоэффСохранения</f>
        <v/>
      </c>
      <c r="BC36" s="12">
        <f>BB35*КоэффСохранения</f>
        <v/>
      </c>
      <c r="BD36" s="12">
        <f>BC35*КоэффСохранения</f>
        <v/>
      </c>
      <c r="BE36" s="12">
        <f>BD35*КоэффСохранения</f>
        <v/>
      </c>
      <c r="BF36" s="12">
        <f>BE35*КоэффСохранения</f>
        <v/>
      </c>
      <c r="BG36" s="12">
        <f>BF35*КоэффСохранения</f>
        <v/>
      </c>
      <c r="BH36" s="12">
        <f>BG35*КоэффСохранения</f>
        <v/>
      </c>
      <c r="BI36" s="12">
        <f>BH35*КоэффСохранения</f>
        <v/>
      </c>
      <c r="BJ36" s="12">
        <f>BI35*КоэффСохранения</f>
        <v/>
      </c>
      <c r="BK36" s="12">
        <f>BJ35*КоэффСохранения</f>
        <v/>
      </c>
      <c r="BL36" s="12">
        <f>BK35*КоэффСохранения</f>
        <v/>
      </c>
      <c r="BM36" s="12">
        <f>BL35*КоэффСохранения</f>
        <v/>
      </c>
      <c r="BN36" s="12">
        <f>BM35*КоэффСохранения</f>
        <v/>
      </c>
      <c r="BO36" s="12">
        <f>BN35*КоэффСохранения</f>
        <v/>
      </c>
      <c r="BP36" s="12">
        <f>BO35*КоэффСохранения</f>
        <v/>
      </c>
      <c r="BQ36" s="12">
        <f>BP35*КоэффСохранения</f>
        <v/>
      </c>
      <c r="BR36" s="12">
        <f>BQ35*КоэффСохранения</f>
        <v/>
      </c>
      <c r="BS36" s="12">
        <f>BR35*КоэффСохранения</f>
        <v/>
      </c>
      <c r="BT36" s="12">
        <f>BS35*КоэффСохранения</f>
        <v/>
      </c>
      <c r="BU36" s="12">
        <f>BT35*КоэффСохранения</f>
        <v/>
      </c>
      <c r="BV36" s="12">
        <f>BU35*КоэффСохранения</f>
        <v/>
      </c>
      <c r="BW36" s="12">
        <f>BV35*КоэффСохранения</f>
        <v/>
      </c>
      <c r="BX36" s="12">
        <f>BW35*КоэффСохранения</f>
        <v/>
      </c>
      <c r="BY36" s="12">
        <f>BX35*КоэффСохранения</f>
        <v/>
      </c>
    </row>
    <row r="37">
      <c r="B37" t="inlineStr">
        <is>
          <t>15 мес.</t>
        </is>
      </c>
      <c r="C37" t="inlineStr">
        <is>
          <t>шт.</t>
        </is>
      </c>
      <c r="D37" s="127" t="inlineStr">
        <is>
          <t>Внутренняя механика расчёта: годового итога у этой строки нет, смотрите итоговые строки блока ниже.</t>
        </is>
      </c>
      <c r="E37" s="140" t="n"/>
      <c r="F37" s="140" t="n"/>
      <c r="G37" s="140" t="n"/>
      <c r="H37" s="140" t="n"/>
      <c r="I37" s="140" t="n"/>
      <c r="L37" s="12">
        <f>0</f>
        <v/>
      </c>
      <c r="M37" s="12">
        <f>L36*КоэффСохранения</f>
        <v/>
      </c>
      <c r="N37" s="12">
        <f>M36*КоэффСохранения</f>
        <v/>
      </c>
      <c r="O37" s="12">
        <f>N36*КоэффСохранения</f>
        <v/>
      </c>
      <c r="P37" s="12">
        <f>O36*КоэффСохранения</f>
        <v/>
      </c>
      <c r="Q37" s="12">
        <f>P36*КоэффСохранения</f>
        <v/>
      </c>
      <c r="R37" s="12">
        <f>Q36*КоэффСохранения</f>
        <v/>
      </c>
      <c r="S37" s="12">
        <f>R36*КоэффСохранения</f>
        <v/>
      </c>
      <c r="T37" s="12">
        <f>S36*КоэффСохранения</f>
        <v/>
      </c>
      <c r="U37" s="12">
        <f>T36*КоэффСохранения</f>
        <v/>
      </c>
      <c r="V37" s="12">
        <f>U36*КоэффСохранения</f>
        <v/>
      </c>
      <c r="W37" s="12">
        <f>V36*КоэффСохранения</f>
        <v/>
      </c>
      <c r="X37" s="12">
        <f>W36*КоэффСохранения</f>
        <v/>
      </c>
      <c r="Y37" s="12">
        <f>X36*КоэффСохранения</f>
        <v/>
      </c>
      <c r="Z37" s="12">
        <f>Y36*КоэффСохранения</f>
        <v/>
      </c>
      <c r="AA37" s="12">
        <f>Z36*КоэффСохранения</f>
        <v/>
      </c>
      <c r="AB37" s="12">
        <f>AA36*КоэффСохранения</f>
        <v/>
      </c>
      <c r="AC37" s="12">
        <f>AB36*КоэффСохранения</f>
        <v/>
      </c>
      <c r="AD37" s="12">
        <f>AC36*КоэффСохранения</f>
        <v/>
      </c>
      <c r="AE37" s="12">
        <f>AD36*КоэффСохранения</f>
        <v/>
      </c>
      <c r="AF37" s="12">
        <f>AE36*КоэффСохранения</f>
        <v/>
      </c>
      <c r="AG37" s="12">
        <f>AF36*КоэффСохранения</f>
        <v/>
      </c>
      <c r="AH37" s="12">
        <f>AG36*КоэффСохранения</f>
        <v/>
      </c>
      <c r="AI37" s="12">
        <f>AH36*КоэффСохранения</f>
        <v/>
      </c>
      <c r="AJ37" s="12">
        <f>AI36*КоэффСохранения</f>
        <v/>
      </c>
      <c r="AK37" s="12">
        <f>AJ36*КоэффСохранения</f>
        <v/>
      </c>
      <c r="AL37" s="12">
        <f>AK36*КоэффСохранения</f>
        <v/>
      </c>
      <c r="AM37" s="12">
        <f>AL36*КоэффСохранения</f>
        <v/>
      </c>
      <c r="AN37" s="12">
        <f>AM36*КоэффСохранения</f>
        <v/>
      </c>
      <c r="AO37" s="12">
        <f>AN36*КоэффСохранения</f>
        <v/>
      </c>
      <c r="AP37" s="12">
        <f>AO36*КоэффСохранения</f>
        <v/>
      </c>
      <c r="AQ37" s="12">
        <f>AP36*КоэффСохранения</f>
        <v/>
      </c>
      <c r="AR37" s="12">
        <f>AQ36*КоэффСохранения</f>
        <v/>
      </c>
      <c r="AS37" s="12">
        <f>AR36*КоэффСохранения</f>
        <v/>
      </c>
      <c r="AT37" s="12">
        <f>AS36*КоэффСохранения</f>
        <v/>
      </c>
      <c r="AU37" s="12">
        <f>AT36*КоэффСохранения</f>
        <v/>
      </c>
      <c r="AV37" s="12">
        <f>AU36*КоэффСохранения</f>
        <v/>
      </c>
      <c r="AW37" s="12">
        <f>AV36*КоэффСохранения</f>
        <v/>
      </c>
      <c r="AX37" s="12">
        <f>AW36*КоэффСохранения</f>
        <v/>
      </c>
      <c r="AY37" s="12">
        <f>AX36*КоэффСохранения</f>
        <v/>
      </c>
      <c r="AZ37" s="12">
        <f>AY36*КоэффСохранения</f>
        <v/>
      </c>
      <c r="BA37" s="12">
        <f>AZ36*КоэффСохранения</f>
        <v/>
      </c>
      <c r="BB37" s="12">
        <f>BA36*КоэффСохранения</f>
        <v/>
      </c>
      <c r="BC37" s="12">
        <f>BB36*КоэффСохранения</f>
        <v/>
      </c>
      <c r="BD37" s="12">
        <f>BC36*КоэффСохранения</f>
        <v/>
      </c>
      <c r="BE37" s="12">
        <f>BD36*КоэффСохранения</f>
        <v/>
      </c>
      <c r="BF37" s="12">
        <f>BE36*КоэффСохранения</f>
        <v/>
      </c>
      <c r="BG37" s="12">
        <f>BF36*КоэффСохранения</f>
        <v/>
      </c>
      <c r="BH37" s="12">
        <f>BG36*КоэффСохранения</f>
        <v/>
      </c>
      <c r="BI37" s="12">
        <f>BH36*КоэффСохранения</f>
        <v/>
      </c>
      <c r="BJ37" s="12">
        <f>BI36*КоэффСохранения</f>
        <v/>
      </c>
      <c r="BK37" s="12">
        <f>BJ36*КоэффСохранения</f>
        <v/>
      </c>
      <c r="BL37" s="12">
        <f>BK36*КоэффСохранения</f>
        <v/>
      </c>
      <c r="BM37" s="12">
        <f>BL36*КоэффСохранения</f>
        <v/>
      </c>
      <c r="BN37" s="12">
        <f>BM36*КоэффСохранения</f>
        <v/>
      </c>
      <c r="BO37" s="12">
        <f>BN36*КоэффСохранения</f>
        <v/>
      </c>
      <c r="BP37" s="12">
        <f>BO36*КоэффСохранения</f>
        <v/>
      </c>
      <c r="BQ37" s="12">
        <f>BP36*КоэффСохранения</f>
        <v/>
      </c>
      <c r="BR37" s="12">
        <f>BQ36*КоэффСохранения</f>
        <v/>
      </c>
      <c r="BS37" s="12">
        <f>BR36*КоэффСохранения</f>
        <v/>
      </c>
      <c r="BT37" s="12">
        <f>BS36*КоэффСохранения</f>
        <v/>
      </c>
      <c r="BU37" s="12">
        <f>BT36*КоэффСохранения</f>
        <v/>
      </c>
      <c r="BV37" s="12">
        <f>BU36*КоэффСохранения</f>
        <v/>
      </c>
      <c r="BW37" s="12">
        <f>BV36*КоэффСохранения</f>
        <v/>
      </c>
      <c r="BX37" s="12">
        <f>BW36*КоэффСохранения</f>
        <v/>
      </c>
      <c r="BY37" s="12">
        <f>BX36*КоэффСохранения</f>
        <v/>
      </c>
    </row>
    <row r="38">
      <c r="B38" t="inlineStr">
        <is>
          <t>16 мес.</t>
        </is>
      </c>
      <c r="C38" t="inlineStr">
        <is>
          <t>шт.</t>
        </is>
      </c>
      <c r="D38" s="127" t="inlineStr">
        <is>
          <t>Внутренняя механика расчёта: годового итога у этой строки нет, смотрите итоговые строки блока ниже.</t>
        </is>
      </c>
      <c r="E38" s="140" t="n"/>
      <c r="F38" s="140" t="n"/>
      <c r="G38" s="140" t="n"/>
      <c r="H38" s="140" t="n"/>
      <c r="I38" s="140" t="n"/>
      <c r="L38" s="12">
        <f>0</f>
        <v/>
      </c>
      <c r="M38" s="12">
        <f>L37*КоэффСохранения</f>
        <v/>
      </c>
      <c r="N38" s="12">
        <f>M37*КоэффСохранения</f>
        <v/>
      </c>
      <c r="O38" s="12">
        <f>N37*КоэффСохранения</f>
        <v/>
      </c>
      <c r="P38" s="12">
        <f>O37*КоэффСохранения</f>
        <v/>
      </c>
      <c r="Q38" s="12">
        <f>P37*КоэффСохранения</f>
        <v/>
      </c>
      <c r="R38" s="12">
        <f>Q37*КоэффСохранения</f>
        <v/>
      </c>
      <c r="S38" s="12">
        <f>R37*КоэффСохранения</f>
        <v/>
      </c>
      <c r="T38" s="12">
        <f>S37*КоэффСохранения</f>
        <v/>
      </c>
      <c r="U38" s="12">
        <f>T37*КоэффСохранения</f>
        <v/>
      </c>
      <c r="V38" s="12">
        <f>U37*КоэффСохранения</f>
        <v/>
      </c>
      <c r="W38" s="12">
        <f>V37*КоэффСохранения</f>
        <v/>
      </c>
      <c r="X38" s="12">
        <f>W37*КоэффСохранения</f>
        <v/>
      </c>
      <c r="Y38" s="12">
        <f>X37*КоэффСохранения</f>
        <v/>
      </c>
      <c r="Z38" s="12">
        <f>Y37*КоэффСохранения</f>
        <v/>
      </c>
      <c r="AA38" s="12">
        <f>Z37*КоэффСохранения</f>
        <v/>
      </c>
      <c r="AB38" s="12">
        <f>AA37*КоэффСохранения</f>
        <v/>
      </c>
      <c r="AC38" s="12">
        <f>AB37*КоэффСохранения</f>
        <v/>
      </c>
      <c r="AD38" s="12">
        <f>AC37*КоэффСохранения</f>
        <v/>
      </c>
      <c r="AE38" s="12">
        <f>AD37*КоэффСохранения</f>
        <v/>
      </c>
      <c r="AF38" s="12">
        <f>AE37*КоэффСохранения</f>
        <v/>
      </c>
      <c r="AG38" s="12">
        <f>AF37*КоэффСохранения</f>
        <v/>
      </c>
      <c r="AH38" s="12">
        <f>AG37*КоэффСохранения</f>
        <v/>
      </c>
      <c r="AI38" s="12">
        <f>AH37*КоэффСохранения</f>
        <v/>
      </c>
      <c r="AJ38" s="12">
        <f>AI37*КоэффСохранения</f>
        <v/>
      </c>
      <c r="AK38" s="12">
        <f>AJ37*КоэффСохранения</f>
        <v/>
      </c>
      <c r="AL38" s="12">
        <f>AK37*КоэффСохранения</f>
        <v/>
      </c>
      <c r="AM38" s="12">
        <f>AL37*КоэффСохранения</f>
        <v/>
      </c>
      <c r="AN38" s="12">
        <f>AM37*КоэффСохранения</f>
        <v/>
      </c>
      <c r="AO38" s="12">
        <f>AN37*КоэффСохранения</f>
        <v/>
      </c>
      <c r="AP38" s="12">
        <f>AO37*КоэффСохранения</f>
        <v/>
      </c>
      <c r="AQ38" s="12">
        <f>AP37*КоэффСохранения</f>
        <v/>
      </c>
      <c r="AR38" s="12">
        <f>AQ37*КоэффСохранения</f>
        <v/>
      </c>
      <c r="AS38" s="12">
        <f>AR37*КоэффСохранения</f>
        <v/>
      </c>
      <c r="AT38" s="12">
        <f>AS37*КоэффСохранения</f>
        <v/>
      </c>
      <c r="AU38" s="12">
        <f>AT37*КоэффСохранения</f>
        <v/>
      </c>
      <c r="AV38" s="12">
        <f>AU37*КоэффСохранения</f>
        <v/>
      </c>
      <c r="AW38" s="12">
        <f>AV37*КоэффСохранения</f>
        <v/>
      </c>
      <c r="AX38" s="12">
        <f>AW37*КоэффСохранения</f>
        <v/>
      </c>
      <c r="AY38" s="12">
        <f>AX37*КоэффСохранения</f>
        <v/>
      </c>
      <c r="AZ38" s="12">
        <f>AY37*КоэффСохранения</f>
        <v/>
      </c>
      <c r="BA38" s="12">
        <f>AZ37*КоэффСохранения</f>
        <v/>
      </c>
      <c r="BB38" s="12">
        <f>BA37*КоэффСохранения</f>
        <v/>
      </c>
      <c r="BC38" s="12">
        <f>BB37*КоэффСохранения</f>
        <v/>
      </c>
      <c r="BD38" s="12">
        <f>BC37*КоэффСохранения</f>
        <v/>
      </c>
      <c r="BE38" s="12">
        <f>BD37*КоэффСохранения</f>
        <v/>
      </c>
      <c r="BF38" s="12">
        <f>BE37*КоэффСохранения</f>
        <v/>
      </c>
      <c r="BG38" s="12">
        <f>BF37*КоэффСохранения</f>
        <v/>
      </c>
      <c r="BH38" s="12">
        <f>BG37*КоэффСохранения</f>
        <v/>
      </c>
      <c r="BI38" s="12">
        <f>BH37*КоэффСохранения</f>
        <v/>
      </c>
      <c r="BJ38" s="12">
        <f>BI37*КоэффСохранения</f>
        <v/>
      </c>
      <c r="BK38" s="12">
        <f>BJ37*КоэффСохранения</f>
        <v/>
      </c>
      <c r="BL38" s="12">
        <f>BK37*КоэффСохранения</f>
        <v/>
      </c>
      <c r="BM38" s="12">
        <f>BL37*КоэффСохранения</f>
        <v/>
      </c>
      <c r="BN38" s="12">
        <f>BM37*КоэффСохранения</f>
        <v/>
      </c>
      <c r="BO38" s="12">
        <f>BN37*КоэффСохранения</f>
        <v/>
      </c>
      <c r="BP38" s="12">
        <f>BO37*КоэффСохранения</f>
        <v/>
      </c>
      <c r="BQ38" s="12">
        <f>BP37*КоэффСохранения</f>
        <v/>
      </c>
      <c r="BR38" s="12">
        <f>BQ37*КоэффСохранения</f>
        <v/>
      </c>
      <c r="BS38" s="12">
        <f>BR37*КоэффСохранения</f>
        <v/>
      </c>
      <c r="BT38" s="12">
        <f>BS37*КоэффСохранения</f>
        <v/>
      </c>
      <c r="BU38" s="12">
        <f>BT37*КоэффСохранения</f>
        <v/>
      </c>
      <c r="BV38" s="12">
        <f>BU37*КоэффСохранения</f>
        <v/>
      </c>
      <c r="BW38" s="12">
        <f>BV37*КоэффСохранения</f>
        <v/>
      </c>
      <c r="BX38" s="12">
        <f>BW37*КоэффСохранения</f>
        <v/>
      </c>
      <c r="BY38" s="12">
        <f>BX37*КоэффСохранения</f>
        <v/>
      </c>
    </row>
    <row r="39">
      <c r="B39" t="inlineStr">
        <is>
          <t>17 мес.</t>
        </is>
      </c>
      <c r="C39" t="inlineStr">
        <is>
          <t>шт.</t>
        </is>
      </c>
      <c r="D39" s="127" t="inlineStr">
        <is>
          <t>Внутренняя механика расчёта: годового итога у этой строки нет, смотрите итоговые строки блока ниже.</t>
        </is>
      </c>
      <c r="E39" s="140" t="n"/>
      <c r="F39" s="140" t="n"/>
      <c r="G39" s="140" t="n"/>
      <c r="H39" s="140" t="n"/>
      <c r="I39" s="140" t="n"/>
      <c r="L39" s="12">
        <f>0</f>
        <v/>
      </c>
      <c r="M39" s="12">
        <f>L38*КоэффСохранения</f>
        <v/>
      </c>
      <c r="N39" s="12">
        <f>M38*КоэффСохранения</f>
        <v/>
      </c>
      <c r="O39" s="12">
        <f>N38*КоэффСохранения</f>
        <v/>
      </c>
      <c r="P39" s="12">
        <f>O38*КоэффСохранения</f>
        <v/>
      </c>
      <c r="Q39" s="12">
        <f>P38*КоэффСохранения</f>
        <v/>
      </c>
      <c r="R39" s="12">
        <f>Q38*КоэффСохранения</f>
        <v/>
      </c>
      <c r="S39" s="12">
        <f>R38*КоэффСохранения</f>
        <v/>
      </c>
      <c r="T39" s="12">
        <f>S38*КоэффСохранения</f>
        <v/>
      </c>
      <c r="U39" s="12">
        <f>T38*КоэффСохранения</f>
        <v/>
      </c>
      <c r="V39" s="12">
        <f>U38*КоэффСохранения</f>
        <v/>
      </c>
      <c r="W39" s="12">
        <f>V38*КоэффСохранения</f>
        <v/>
      </c>
      <c r="X39" s="12">
        <f>W38*КоэффСохранения</f>
        <v/>
      </c>
      <c r="Y39" s="12">
        <f>X38*КоэффСохранения</f>
        <v/>
      </c>
      <c r="Z39" s="12">
        <f>Y38*КоэффСохранения</f>
        <v/>
      </c>
      <c r="AA39" s="12">
        <f>Z38*КоэффСохранения</f>
        <v/>
      </c>
      <c r="AB39" s="12">
        <f>AA38*КоэффСохранения</f>
        <v/>
      </c>
      <c r="AC39" s="12">
        <f>AB38*КоэффСохранения</f>
        <v/>
      </c>
      <c r="AD39" s="12">
        <f>AC38*КоэффСохранения</f>
        <v/>
      </c>
      <c r="AE39" s="12">
        <f>AD38*КоэффСохранения</f>
        <v/>
      </c>
      <c r="AF39" s="12">
        <f>AE38*КоэффСохранения</f>
        <v/>
      </c>
      <c r="AG39" s="12">
        <f>AF38*КоэффСохранения</f>
        <v/>
      </c>
      <c r="AH39" s="12">
        <f>AG38*КоэффСохранения</f>
        <v/>
      </c>
      <c r="AI39" s="12">
        <f>AH38*КоэффСохранения</f>
        <v/>
      </c>
      <c r="AJ39" s="12">
        <f>AI38*КоэффСохранения</f>
        <v/>
      </c>
      <c r="AK39" s="12">
        <f>AJ38*КоэффСохранения</f>
        <v/>
      </c>
      <c r="AL39" s="12">
        <f>AK38*КоэффСохранения</f>
        <v/>
      </c>
      <c r="AM39" s="12">
        <f>AL38*КоэффСохранения</f>
        <v/>
      </c>
      <c r="AN39" s="12">
        <f>AM38*КоэффСохранения</f>
        <v/>
      </c>
      <c r="AO39" s="12">
        <f>AN38*КоэффСохранения</f>
        <v/>
      </c>
      <c r="AP39" s="12">
        <f>AO38*КоэффСохранения</f>
        <v/>
      </c>
      <c r="AQ39" s="12">
        <f>AP38*КоэффСохранения</f>
        <v/>
      </c>
      <c r="AR39" s="12">
        <f>AQ38*КоэффСохранения</f>
        <v/>
      </c>
      <c r="AS39" s="12">
        <f>AR38*КоэффСохранения</f>
        <v/>
      </c>
      <c r="AT39" s="12">
        <f>AS38*КоэффСохранения</f>
        <v/>
      </c>
      <c r="AU39" s="12">
        <f>AT38*КоэффСохранения</f>
        <v/>
      </c>
      <c r="AV39" s="12">
        <f>AU38*КоэффСохранения</f>
        <v/>
      </c>
      <c r="AW39" s="12">
        <f>AV38*КоэффСохранения</f>
        <v/>
      </c>
      <c r="AX39" s="12">
        <f>AW38*КоэффСохранения</f>
        <v/>
      </c>
      <c r="AY39" s="12">
        <f>AX38*КоэффСохранения</f>
        <v/>
      </c>
      <c r="AZ39" s="12">
        <f>AY38*КоэффСохранения</f>
        <v/>
      </c>
      <c r="BA39" s="12">
        <f>AZ38*КоэффСохранения</f>
        <v/>
      </c>
      <c r="BB39" s="12">
        <f>BA38*КоэффСохранения</f>
        <v/>
      </c>
      <c r="BC39" s="12">
        <f>BB38*КоэффСохранения</f>
        <v/>
      </c>
      <c r="BD39" s="12">
        <f>BC38*КоэффСохранения</f>
        <v/>
      </c>
      <c r="BE39" s="12">
        <f>BD38*КоэффСохранения</f>
        <v/>
      </c>
      <c r="BF39" s="12">
        <f>BE38*КоэффСохранения</f>
        <v/>
      </c>
      <c r="BG39" s="12">
        <f>BF38*КоэффСохранения</f>
        <v/>
      </c>
      <c r="BH39" s="12">
        <f>BG38*КоэффСохранения</f>
        <v/>
      </c>
      <c r="BI39" s="12">
        <f>BH38*КоэффСохранения</f>
        <v/>
      </c>
      <c r="BJ39" s="12">
        <f>BI38*КоэффСохранения</f>
        <v/>
      </c>
      <c r="BK39" s="12">
        <f>BJ38*КоэффСохранения</f>
        <v/>
      </c>
      <c r="BL39" s="12">
        <f>BK38*КоэффСохранения</f>
        <v/>
      </c>
      <c r="BM39" s="12">
        <f>BL38*КоэффСохранения</f>
        <v/>
      </c>
      <c r="BN39" s="12">
        <f>BM38*КоэффСохранения</f>
        <v/>
      </c>
      <c r="BO39" s="12">
        <f>BN38*КоэффСохранения</f>
        <v/>
      </c>
      <c r="BP39" s="12">
        <f>BO38*КоэффСохранения</f>
        <v/>
      </c>
      <c r="BQ39" s="12">
        <f>BP38*КоэффСохранения</f>
        <v/>
      </c>
      <c r="BR39" s="12">
        <f>BQ38*КоэффСохранения</f>
        <v/>
      </c>
      <c r="BS39" s="12">
        <f>BR38*КоэффСохранения</f>
        <v/>
      </c>
      <c r="BT39" s="12">
        <f>BS38*КоэффСохранения</f>
        <v/>
      </c>
      <c r="BU39" s="12">
        <f>BT38*КоэффСохранения</f>
        <v/>
      </c>
      <c r="BV39" s="12">
        <f>BU38*КоэффСохранения</f>
        <v/>
      </c>
      <c r="BW39" s="12">
        <f>BV38*КоэффСохранения</f>
        <v/>
      </c>
      <c r="BX39" s="12">
        <f>BW38*КоэффСохранения</f>
        <v/>
      </c>
      <c r="BY39" s="12">
        <f>BX38*КоэффСохранения</f>
        <v/>
      </c>
    </row>
    <row r="40">
      <c r="B40" t="inlineStr">
        <is>
          <t>18 мес.</t>
        </is>
      </c>
      <c r="C40" t="inlineStr">
        <is>
          <t>шт.</t>
        </is>
      </c>
      <c r="D40" s="127" t="inlineStr">
        <is>
          <t>Внутренняя механика расчёта: годового итога у этой строки нет, смотрите итоговые строки блока ниже.</t>
        </is>
      </c>
      <c r="E40" s="140" t="n"/>
      <c r="F40" s="140" t="n"/>
      <c r="G40" s="140" t="n"/>
      <c r="H40" s="140" t="n"/>
      <c r="I40" s="140" t="n"/>
      <c r="L40" s="12">
        <f>0</f>
        <v/>
      </c>
      <c r="M40" s="12">
        <f>L39*КоэффСохранения</f>
        <v/>
      </c>
      <c r="N40" s="12">
        <f>M39*КоэффСохранения</f>
        <v/>
      </c>
      <c r="O40" s="12">
        <f>N39*КоэффСохранения</f>
        <v/>
      </c>
      <c r="P40" s="12">
        <f>O39*КоэффСохранения</f>
        <v/>
      </c>
      <c r="Q40" s="12">
        <f>P39*КоэффСохранения</f>
        <v/>
      </c>
      <c r="R40" s="12">
        <f>Q39*КоэффСохранения</f>
        <v/>
      </c>
      <c r="S40" s="12">
        <f>R39*КоэффСохранения</f>
        <v/>
      </c>
      <c r="T40" s="12">
        <f>S39*КоэффСохранения</f>
        <v/>
      </c>
      <c r="U40" s="12">
        <f>T39*КоэффСохранения</f>
        <v/>
      </c>
      <c r="V40" s="12">
        <f>U39*КоэффСохранения</f>
        <v/>
      </c>
      <c r="W40" s="12">
        <f>V39*КоэффСохранения</f>
        <v/>
      </c>
      <c r="X40" s="12">
        <f>W39*КоэффСохранения</f>
        <v/>
      </c>
      <c r="Y40" s="12">
        <f>X39*КоэффСохранения</f>
        <v/>
      </c>
      <c r="Z40" s="12">
        <f>Y39*КоэффСохранения</f>
        <v/>
      </c>
      <c r="AA40" s="12">
        <f>Z39*КоэффСохранения</f>
        <v/>
      </c>
      <c r="AB40" s="12">
        <f>AA39*КоэффСохранения</f>
        <v/>
      </c>
      <c r="AC40" s="12">
        <f>AB39*КоэффСохранения</f>
        <v/>
      </c>
      <c r="AD40" s="12">
        <f>AC39*КоэффСохранения</f>
        <v/>
      </c>
      <c r="AE40" s="12">
        <f>AD39*КоэффСохранения</f>
        <v/>
      </c>
      <c r="AF40" s="12">
        <f>AE39*КоэффСохранения</f>
        <v/>
      </c>
      <c r="AG40" s="12">
        <f>AF39*КоэффСохранения</f>
        <v/>
      </c>
      <c r="AH40" s="12">
        <f>AG39*КоэффСохранения</f>
        <v/>
      </c>
      <c r="AI40" s="12">
        <f>AH39*КоэффСохранения</f>
        <v/>
      </c>
      <c r="AJ40" s="12">
        <f>AI39*КоэффСохранения</f>
        <v/>
      </c>
      <c r="AK40" s="12">
        <f>AJ39*КоэффСохранения</f>
        <v/>
      </c>
      <c r="AL40" s="12">
        <f>AK39*КоэффСохранения</f>
        <v/>
      </c>
      <c r="AM40" s="12">
        <f>AL39*КоэффСохранения</f>
        <v/>
      </c>
      <c r="AN40" s="12">
        <f>AM39*КоэффСохранения</f>
        <v/>
      </c>
      <c r="AO40" s="12">
        <f>AN39*КоэффСохранения</f>
        <v/>
      </c>
      <c r="AP40" s="12">
        <f>AO39*КоэффСохранения</f>
        <v/>
      </c>
      <c r="AQ40" s="12">
        <f>AP39*КоэффСохранения</f>
        <v/>
      </c>
      <c r="AR40" s="12">
        <f>AQ39*КоэффСохранения</f>
        <v/>
      </c>
      <c r="AS40" s="12">
        <f>AR39*КоэффСохранения</f>
        <v/>
      </c>
      <c r="AT40" s="12">
        <f>AS39*КоэффСохранения</f>
        <v/>
      </c>
      <c r="AU40" s="12">
        <f>AT39*КоэффСохранения</f>
        <v/>
      </c>
      <c r="AV40" s="12">
        <f>AU39*КоэффСохранения</f>
        <v/>
      </c>
      <c r="AW40" s="12">
        <f>AV39*КоэффСохранения</f>
        <v/>
      </c>
      <c r="AX40" s="12">
        <f>AW39*КоэффСохранения</f>
        <v/>
      </c>
      <c r="AY40" s="12">
        <f>AX39*КоэффСохранения</f>
        <v/>
      </c>
      <c r="AZ40" s="12">
        <f>AY39*КоэффСохранения</f>
        <v/>
      </c>
      <c r="BA40" s="12">
        <f>AZ39*КоэффСохранения</f>
        <v/>
      </c>
      <c r="BB40" s="12">
        <f>BA39*КоэффСохранения</f>
        <v/>
      </c>
      <c r="BC40" s="12">
        <f>BB39*КоэффСохранения</f>
        <v/>
      </c>
      <c r="BD40" s="12">
        <f>BC39*КоэффСохранения</f>
        <v/>
      </c>
      <c r="BE40" s="12">
        <f>BD39*КоэффСохранения</f>
        <v/>
      </c>
      <c r="BF40" s="12">
        <f>BE39*КоэффСохранения</f>
        <v/>
      </c>
      <c r="BG40" s="12">
        <f>BF39*КоэффСохранения</f>
        <v/>
      </c>
      <c r="BH40" s="12">
        <f>BG39*КоэффСохранения</f>
        <v/>
      </c>
      <c r="BI40" s="12">
        <f>BH39*КоэффСохранения</f>
        <v/>
      </c>
      <c r="BJ40" s="12">
        <f>BI39*КоэффСохранения</f>
        <v/>
      </c>
      <c r="BK40" s="12">
        <f>BJ39*КоэффСохранения</f>
        <v/>
      </c>
      <c r="BL40" s="12">
        <f>BK39*КоэффСохранения</f>
        <v/>
      </c>
      <c r="BM40" s="12">
        <f>BL39*КоэффСохранения</f>
        <v/>
      </c>
      <c r="BN40" s="12">
        <f>BM39*КоэффСохранения</f>
        <v/>
      </c>
      <c r="BO40" s="12">
        <f>BN39*КоэффСохранения</f>
        <v/>
      </c>
      <c r="BP40" s="12">
        <f>BO39*КоэффСохранения</f>
        <v/>
      </c>
      <c r="BQ40" s="12">
        <f>BP39*КоэффСохранения</f>
        <v/>
      </c>
      <c r="BR40" s="12">
        <f>BQ39*КоэффСохранения</f>
        <v/>
      </c>
      <c r="BS40" s="12">
        <f>BR39*КоэффСохранения</f>
        <v/>
      </c>
      <c r="BT40" s="12">
        <f>BS39*КоэффСохранения</f>
        <v/>
      </c>
      <c r="BU40" s="12">
        <f>BT39*КоэффСохранения</f>
        <v/>
      </c>
      <c r="BV40" s="12">
        <f>BU39*КоэффСохранения</f>
        <v/>
      </c>
      <c r="BW40" s="12">
        <f>BV39*КоэффСохранения</f>
        <v/>
      </c>
      <c r="BX40" s="12">
        <f>BW39*КоэффСохранения</f>
        <v/>
      </c>
      <c r="BY40" s="12">
        <f>BX39*КоэффСохранения</f>
        <v/>
      </c>
    </row>
    <row r="41">
      <c r="B41" t="inlineStr">
        <is>
          <t>19 мес.</t>
        </is>
      </c>
      <c r="C41" t="inlineStr">
        <is>
          <t>шт.</t>
        </is>
      </c>
      <c r="D41" s="127" t="inlineStr">
        <is>
          <t>Внутренняя механика расчёта: годового итога у этой строки нет, смотрите итоговые строки блока ниже.</t>
        </is>
      </c>
      <c r="E41" s="140" t="n"/>
      <c r="F41" s="140" t="n"/>
      <c r="G41" s="140" t="n"/>
      <c r="H41" s="140" t="n"/>
      <c r="I41" s="140" t="n"/>
      <c r="L41" s="12">
        <f>0</f>
        <v/>
      </c>
      <c r="M41" s="12">
        <f>L40*КоэффСохранения</f>
        <v/>
      </c>
      <c r="N41" s="12">
        <f>M40*КоэффСохранения</f>
        <v/>
      </c>
      <c r="O41" s="12">
        <f>N40*КоэффСохранения</f>
        <v/>
      </c>
      <c r="P41" s="12">
        <f>O40*КоэффСохранения</f>
        <v/>
      </c>
      <c r="Q41" s="12">
        <f>P40*КоэффСохранения</f>
        <v/>
      </c>
      <c r="R41" s="12">
        <f>Q40*КоэффСохранения</f>
        <v/>
      </c>
      <c r="S41" s="12">
        <f>R40*КоэффСохранения</f>
        <v/>
      </c>
      <c r="T41" s="12">
        <f>S40*КоэффСохранения</f>
        <v/>
      </c>
      <c r="U41" s="12">
        <f>T40*КоэффСохранения</f>
        <v/>
      </c>
      <c r="V41" s="12">
        <f>U40*КоэффСохранения</f>
        <v/>
      </c>
      <c r="W41" s="12">
        <f>V40*КоэффСохранения</f>
        <v/>
      </c>
      <c r="X41" s="12">
        <f>W40*КоэффСохранения</f>
        <v/>
      </c>
      <c r="Y41" s="12">
        <f>X40*КоэффСохранения</f>
        <v/>
      </c>
      <c r="Z41" s="12">
        <f>Y40*КоэффСохранения</f>
        <v/>
      </c>
      <c r="AA41" s="12">
        <f>Z40*КоэффСохранения</f>
        <v/>
      </c>
      <c r="AB41" s="12">
        <f>AA40*КоэффСохранения</f>
        <v/>
      </c>
      <c r="AC41" s="12">
        <f>AB40*КоэффСохранения</f>
        <v/>
      </c>
      <c r="AD41" s="12">
        <f>AC40*КоэффСохранения</f>
        <v/>
      </c>
      <c r="AE41" s="12">
        <f>AD40*КоэффСохранения</f>
        <v/>
      </c>
      <c r="AF41" s="12">
        <f>AE40*КоэффСохранения</f>
        <v/>
      </c>
      <c r="AG41" s="12">
        <f>AF40*КоэффСохранения</f>
        <v/>
      </c>
      <c r="AH41" s="12">
        <f>AG40*КоэффСохранения</f>
        <v/>
      </c>
      <c r="AI41" s="12">
        <f>AH40*КоэффСохранения</f>
        <v/>
      </c>
      <c r="AJ41" s="12">
        <f>AI40*КоэффСохранения</f>
        <v/>
      </c>
      <c r="AK41" s="12">
        <f>AJ40*КоэффСохранения</f>
        <v/>
      </c>
      <c r="AL41" s="12">
        <f>AK40*КоэффСохранения</f>
        <v/>
      </c>
      <c r="AM41" s="12">
        <f>AL40*КоэффСохранения</f>
        <v/>
      </c>
      <c r="AN41" s="12">
        <f>AM40*КоэффСохранения</f>
        <v/>
      </c>
      <c r="AO41" s="12">
        <f>AN40*КоэффСохранения</f>
        <v/>
      </c>
      <c r="AP41" s="12">
        <f>AO40*КоэффСохранения</f>
        <v/>
      </c>
      <c r="AQ41" s="12">
        <f>AP40*КоэффСохранения</f>
        <v/>
      </c>
      <c r="AR41" s="12">
        <f>AQ40*КоэффСохранения</f>
        <v/>
      </c>
      <c r="AS41" s="12">
        <f>AR40*КоэффСохранения</f>
        <v/>
      </c>
      <c r="AT41" s="12">
        <f>AS40*КоэффСохранения</f>
        <v/>
      </c>
      <c r="AU41" s="12">
        <f>AT40*КоэффСохранения</f>
        <v/>
      </c>
      <c r="AV41" s="12">
        <f>AU40*КоэффСохранения</f>
        <v/>
      </c>
      <c r="AW41" s="12">
        <f>AV40*КоэффСохранения</f>
        <v/>
      </c>
      <c r="AX41" s="12">
        <f>AW40*КоэффСохранения</f>
        <v/>
      </c>
      <c r="AY41" s="12">
        <f>AX40*КоэффСохранения</f>
        <v/>
      </c>
      <c r="AZ41" s="12">
        <f>AY40*КоэффСохранения</f>
        <v/>
      </c>
      <c r="BA41" s="12">
        <f>AZ40*КоэффСохранения</f>
        <v/>
      </c>
      <c r="BB41" s="12">
        <f>BA40*КоэффСохранения</f>
        <v/>
      </c>
      <c r="BC41" s="12">
        <f>BB40*КоэффСохранения</f>
        <v/>
      </c>
      <c r="BD41" s="12">
        <f>BC40*КоэффСохранения</f>
        <v/>
      </c>
      <c r="BE41" s="12">
        <f>BD40*КоэффСохранения</f>
        <v/>
      </c>
      <c r="BF41" s="12">
        <f>BE40*КоэффСохранения</f>
        <v/>
      </c>
      <c r="BG41" s="12">
        <f>BF40*КоэффСохранения</f>
        <v/>
      </c>
      <c r="BH41" s="12">
        <f>BG40*КоэффСохранения</f>
        <v/>
      </c>
      <c r="BI41" s="12">
        <f>BH40*КоэффСохранения</f>
        <v/>
      </c>
      <c r="BJ41" s="12">
        <f>BI40*КоэффСохранения</f>
        <v/>
      </c>
      <c r="BK41" s="12">
        <f>BJ40*КоэффСохранения</f>
        <v/>
      </c>
      <c r="BL41" s="12">
        <f>BK40*КоэффСохранения</f>
        <v/>
      </c>
      <c r="BM41" s="12">
        <f>BL40*КоэффСохранения</f>
        <v/>
      </c>
      <c r="BN41" s="12">
        <f>BM40*КоэффСохранения</f>
        <v/>
      </c>
      <c r="BO41" s="12">
        <f>BN40*КоэффСохранения</f>
        <v/>
      </c>
      <c r="BP41" s="12">
        <f>BO40*КоэффСохранения</f>
        <v/>
      </c>
      <c r="BQ41" s="12">
        <f>BP40*КоэффСохранения</f>
        <v/>
      </c>
      <c r="BR41" s="12">
        <f>BQ40*КоэффСохранения</f>
        <v/>
      </c>
      <c r="BS41" s="12">
        <f>BR40*КоэффСохранения</f>
        <v/>
      </c>
      <c r="BT41" s="12">
        <f>BS40*КоэффСохранения</f>
        <v/>
      </c>
      <c r="BU41" s="12">
        <f>BT40*КоэффСохранения</f>
        <v/>
      </c>
      <c r="BV41" s="12">
        <f>BU40*КоэффСохранения</f>
        <v/>
      </c>
      <c r="BW41" s="12">
        <f>BV40*КоэффСохранения</f>
        <v/>
      </c>
      <c r="BX41" s="12">
        <f>BW40*КоэффСохранения</f>
        <v/>
      </c>
      <c r="BY41" s="12">
        <f>BX40*КоэффСохранения</f>
        <v/>
      </c>
    </row>
    <row r="42">
      <c r="B42" t="inlineStr">
        <is>
          <t>20 мес.</t>
        </is>
      </c>
      <c r="C42" t="inlineStr">
        <is>
          <t>шт.</t>
        </is>
      </c>
      <c r="D42" s="127" t="inlineStr">
        <is>
          <t>Внутренняя механика расчёта: годового итога у этой строки нет, смотрите итоговые строки блока ниже.</t>
        </is>
      </c>
      <c r="E42" s="140" t="n"/>
      <c r="F42" s="140" t="n"/>
      <c r="G42" s="140" t="n"/>
      <c r="H42" s="140" t="n"/>
      <c r="I42" s="140" t="n"/>
      <c r="L42" s="12">
        <f>0</f>
        <v/>
      </c>
      <c r="M42" s="12">
        <f>L41*КоэффСохранения</f>
        <v/>
      </c>
      <c r="N42" s="12">
        <f>M41*КоэффСохранения</f>
        <v/>
      </c>
      <c r="O42" s="12">
        <f>N41*КоэффСохранения</f>
        <v/>
      </c>
      <c r="P42" s="12">
        <f>O41*КоэффСохранения</f>
        <v/>
      </c>
      <c r="Q42" s="12">
        <f>P41*КоэффСохранения</f>
        <v/>
      </c>
      <c r="R42" s="12">
        <f>Q41*КоэффСохранения</f>
        <v/>
      </c>
      <c r="S42" s="12">
        <f>R41*КоэффСохранения</f>
        <v/>
      </c>
      <c r="T42" s="12">
        <f>S41*КоэффСохранения</f>
        <v/>
      </c>
      <c r="U42" s="12">
        <f>T41*КоэффСохранения</f>
        <v/>
      </c>
      <c r="V42" s="12">
        <f>U41*КоэффСохранения</f>
        <v/>
      </c>
      <c r="W42" s="12">
        <f>V41*КоэффСохранения</f>
        <v/>
      </c>
      <c r="X42" s="12">
        <f>W41*КоэффСохранения</f>
        <v/>
      </c>
      <c r="Y42" s="12">
        <f>X41*КоэффСохранения</f>
        <v/>
      </c>
      <c r="Z42" s="12">
        <f>Y41*КоэффСохранения</f>
        <v/>
      </c>
      <c r="AA42" s="12">
        <f>Z41*КоэффСохранения</f>
        <v/>
      </c>
      <c r="AB42" s="12">
        <f>AA41*КоэффСохранения</f>
        <v/>
      </c>
      <c r="AC42" s="12">
        <f>AB41*КоэффСохранения</f>
        <v/>
      </c>
      <c r="AD42" s="12">
        <f>AC41*КоэффСохранения</f>
        <v/>
      </c>
      <c r="AE42" s="12">
        <f>AD41*КоэффСохранения</f>
        <v/>
      </c>
      <c r="AF42" s="12">
        <f>AE41*КоэффСохранения</f>
        <v/>
      </c>
      <c r="AG42" s="12">
        <f>AF41*КоэффСохранения</f>
        <v/>
      </c>
      <c r="AH42" s="12">
        <f>AG41*КоэффСохранения</f>
        <v/>
      </c>
      <c r="AI42" s="12">
        <f>AH41*КоэффСохранения</f>
        <v/>
      </c>
      <c r="AJ42" s="12">
        <f>AI41*КоэффСохранения</f>
        <v/>
      </c>
      <c r="AK42" s="12">
        <f>AJ41*КоэффСохранения</f>
        <v/>
      </c>
      <c r="AL42" s="12">
        <f>AK41*КоэффСохранения</f>
        <v/>
      </c>
      <c r="AM42" s="12">
        <f>AL41*КоэффСохранения</f>
        <v/>
      </c>
      <c r="AN42" s="12">
        <f>AM41*КоэффСохранения</f>
        <v/>
      </c>
      <c r="AO42" s="12">
        <f>AN41*КоэффСохранения</f>
        <v/>
      </c>
      <c r="AP42" s="12">
        <f>AO41*КоэффСохранения</f>
        <v/>
      </c>
      <c r="AQ42" s="12">
        <f>AP41*КоэффСохранения</f>
        <v/>
      </c>
      <c r="AR42" s="12">
        <f>AQ41*КоэффСохранения</f>
        <v/>
      </c>
      <c r="AS42" s="12">
        <f>AR41*КоэффСохранения</f>
        <v/>
      </c>
      <c r="AT42" s="12">
        <f>AS41*КоэффСохранения</f>
        <v/>
      </c>
      <c r="AU42" s="12">
        <f>AT41*КоэффСохранения</f>
        <v/>
      </c>
      <c r="AV42" s="12">
        <f>AU41*КоэффСохранения</f>
        <v/>
      </c>
      <c r="AW42" s="12">
        <f>AV41*КоэффСохранения</f>
        <v/>
      </c>
      <c r="AX42" s="12">
        <f>AW41*КоэффСохранения</f>
        <v/>
      </c>
      <c r="AY42" s="12">
        <f>AX41*КоэффСохранения</f>
        <v/>
      </c>
      <c r="AZ42" s="12">
        <f>AY41*КоэффСохранения</f>
        <v/>
      </c>
      <c r="BA42" s="12">
        <f>AZ41*КоэффСохранения</f>
        <v/>
      </c>
      <c r="BB42" s="12">
        <f>BA41*КоэффСохранения</f>
        <v/>
      </c>
      <c r="BC42" s="12">
        <f>BB41*КоэффСохранения</f>
        <v/>
      </c>
      <c r="BD42" s="12">
        <f>BC41*КоэффСохранения</f>
        <v/>
      </c>
      <c r="BE42" s="12">
        <f>BD41*КоэффСохранения</f>
        <v/>
      </c>
      <c r="BF42" s="12">
        <f>BE41*КоэффСохранения</f>
        <v/>
      </c>
      <c r="BG42" s="12">
        <f>BF41*КоэффСохранения</f>
        <v/>
      </c>
      <c r="BH42" s="12">
        <f>BG41*КоэффСохранения</f>
        <v/>
      </c>
      <c r="BI42" s="12">
        <f>BH41*КоэффСохранения</f>
        <v/>
      </c>
      <c r="BJ42" s="12">
        <f>BI41*КоэффСохранения</f>
        <v/>
      </c>
      <c r="BK42" s="12">
        <f>BJ41*КоэффСохранения</f>
        <v/>
      </c>
      <c r="BL42" s="12">
        <f>BK41*КоэффСохранения</f>
        <v/>
      </c>
      <c r="BM42" s="12">
        <f>BL41*КоэффСохранения</f>
        <v/>
      </c>
      <c r="BN42" s="12">
        <f>BM41*КоэффСохранения</f>
        <v/>
      </c>
      <c r="BO42" s="12">
        <f>BN41*КоэффСохранения</f>
        <v/>
      </c>
      <c r="BP42" s="12">
        <f>BO41*КоэффСохранения</f>
        <v/>
      </c>
      <c r="BQ42" s="12">
        <f>BP41*КоэффСохранения</f>
        <v/>
      </c>
      <c r="BR42" s="12">
        <f>BQ41*КоэффСохранения</f>
        <v/>
      </c>
      <c r="BS42" s="12">
        <f>BR41*КоэффСохранения</f>
        <v/>
      </c>
      <c r="BT42" s="12">
        <f>BS41*КоэффСохранения</f>
        <v/>
      </c>
      <c r="BU42" s="12">
        <f>BT41*КоэффСохранения</f>
        <v/>
      </c>
      <c r="BV42" s="12">
        <f>BU41*КоэффСохранения</f>
        <v/>
      </c>
      <c r="BW42" s="12">
        <f>BV41*КоэффСохранения</f>
        <v/>
      </c>
      <c r="BX42" s="12">
        <f>BW41*КоэффСохранения</f>
        <v/>
      </c>
      <c r="BY42" s="12">
        <f>BX41*КоэффСохранения</f>
        <v/>
      </c>
    </row>
    <row r="43">
      <c r="B43" t="inlineStr">
        <is>
          <t>21 мес.</t>
        </is>
      </c>
      <c r="C43" t="inlineStr">
        <is>
          <t>шт.</t>
        </is>
      </c>
      <c r="D43" s="127" t="inlineStr">
        <is>
          <t>Внутренняя механика расчёта: годового итога у этой строки нет, смотрите итоговые строки блока ниже.</t>
        </is>
      </c>
      <c r="E43" s="140" t="n"/>
      <c r="F43" s="140" t="n"/>
      <c r="G43" s="140" t="n"/>
      <c r="H43" s="140" t="n"/>
      <c r="I43" s="140" t="n"/>
      <c r="L43" s="12">
        <f>0</f>
        <v/>
      </c>
      <c r="M43" s="12">
        <f>L42*КоэффСохранения</f>
        <v/>
      </c>
      <c r="N43" s="12">
        <f>M42*КоэффСохранения</f>
        <v/>
      </c>
      <c r="O43" s="12">
        <f>N42*КоэффСохранения</f>
        <v/>
      </c>
      <c r="P43" s="12">
        <f>O42*КоэффСохранения</f>
        <v/>
      </c>
      <c r="Q43" s="12">
        <f>P42*КоэффСохранения</f>
        <v/>
      </c>
      <c r="R43" s="12">
        <f>Q42*КоэффСохранения</f>
        <v/>
      </c>
      <c r="S43" s="12">
        <f>R42*КоэффСохранения</f>
        <v/>
      </c>
      <c r="T43" s="12">
        <f>S42*КоэффСохранения</f>
        <v/>
      </c>
      <c r="U43" s="12">
        <f>T42*КоэффСохранения</f>
        <v/>
      </c>
      <c r="V43" s="12">
        <f>U42*КоэффСохранения</f>
        <v/>
      </c>
      <c r="W43" s="12">
        <f>V42*КоэффСохранения</f>
        <v/>
      </c>
      <c r="X43" s="12">
        <f>W42*КоэффСохранения</f>
        <v/>
      </c>
      <c r="Y43" s="12">
        <f>X42*КоэффСохранения</f>
        <v/>
      </c>
      <c r="Z43" s="12">
        <f>Y42*КоэффСохранения</f>
        <v/>
      </c>
      <c r="AA43" s="12">
        <f>Z42*КоэффСохранения</f>
        <v/>
      </c>
      <c r="AB43" s="12">
        <f>AA42*КоэффСохранения</f>
        <v/>
      </c>
      <c r="AC43" s="12">
        <f>AB42*КоэффСохранения</f>
        <v/>
      </c>
      <c r="AD43" s="12">
        <f>AC42*КоэффСохранения</f>
        <v/>
      </c>
      <c r="AE43" s="12">
        <f>AD42*КоэффСохранения</f>
        <v/>
      </c>
      <c r="AF43" s="12">
        <f>AE42*КоэффСохранения</f>
        <v/>
      </c>
      <c r="AG43" s="12">
        <f>AF42*КоэффСохранения</f>
        <v/>
      </c>
      <c r="AH43" s="12">
        <f>AG42*КоэффСохранения</f>
        <v/>
      </c>
      <c r="AI43" s="12">
        <f>AH42*КоэффСохранения</f>
        <v/>
      </c>
      <c r="AJ43" s="12">
        <f>AI42*КоэффСохранения</f>
        <v/>
      </c>
      <c r="AK43" s="12">
        <f>AJ42*КоэффСохранения</f>
        <v/>
      </c>
      <c r="AL43" s="12">
        <f>AK42*КоэффСохранения</f>
        <v/>
      </c>
      <c r="AM43" s="12">
        <f>AL42*КоэффСохранения</f>
        <v/>
      </c>
      <c r="AN43" s="12">
        <f>AM42*КоэффСохранения</f>
        <v/>
      </c>
      <c r="AO43" s="12">
        <f>AN42*КоэффСохранения</f>
        <v/>
      </c>
      <c r="AP43" s="12">
        <f>AO42*КоэффСохранения</f>
        <v/>
      </c>
      <c r="AQ43" s="12">
        <f>AP42*КоэффСохранения</f>
        <v/>
      </c>
      <c r="AR43" s="12">
        <f>AQ42*КоэффСохранения</f>
        <v/>
      </c>
      <c r="AS43" s="12">
        <f>AR42*КоэффСохранения</f>
        <v/>
      </c>
      <c r="AT43" s="12">
        <f>AS42*КоэффСохранения</f>
        <v/>
      </c>
      <c r="AU43" s="12">
        <f>AT42*КоэффСохранения</f>
        <v/>
      </c>
      <c r="AV43" s="12">
        <f>AU42*КоэффСохранения</f>
        <v/>
      </c>
      <c r="AW43" s="12">
        <f>AV42*КоэффСохранения</f>
        <v/>
      </c>
      <c r="AX43" s="12">
        <f>AW42*КоэффСохранения</f>
        <v/>
      </c>
      <c r="AY43" s="12">
        <f>AX42*КоэффСохранения</f>
        <v/>
      </c>
      <c r="AZ43" s="12">
        <f>AY42*КоэффСохранения</f>
        <v/>
      </c>
      <c r="BA43" s="12">
        <f>AZ42*КоэффСохранения</f>
        <v/>
      </c>
      <c r="BB43" s="12">
        <f>BA42*КоэффСохранения</f>
        <v/>
      </c>
      <c r="BC43" s="12">
        <f>BB42*КоэффСохранения</f>
        <v/>
      </c>
      <c r="BD43" s="12">
        <f>BC42*КоэффСохранения</f>
        <v/>
      </c>
      <c r="BE43" s="12">
        <f>BD42*КоэффСохранения</f>
        <v/>
      </c>
      <c r="BF43" s="12">
        <f>BE42*КоэффСохранения</f>
        <v/>
      </c>
      <c r="BG43" s="12">
        <f>BF42*КоэффСохранения</f>
        <v/>
      </c>
      <c r="BH43" s="12">
        <f>BG42*КоэффСохранения</f>
        <v/>
      </c>
      <c r="BI43" s="12">
        <f>BH42*КоэффСохранения</f>
        <v/>
      </c>
      <c r="BJ43" s="12">
        <f>BI42*КоэффСохранения</f>
        <v/>
      </c>
      <c r="BK43" s="12">
        <f>BJ42*КоэффСохранения</f>
        <v/>
      </c>
      <c r="BL43" s="12">
        <f>BK42*КоэффСохранения</f>
        <v/>
      </c>
      <c r="BM43" s="12">
        <f>BL42*КоэффСохранения</f>
        <v/>
      </c>
      <c r="BN43" s="12">
        <f>BM42*КоэффСохранения</f>
        <v/>
      </c>
      <c r="BO43" s="12">
        <f>BN42*КоэффСохранения</f>
        <v/>
      </c>
      <c r="BP43" s="12">
        <f>BO42*КоэффСохранения</f>
        <v/>
      </c>
      <c r="BQ43" s="12">
        <f>BP42*КоэффСохранения</f>
        <v/>
      </c>
      <c r="BR43" s="12">
        <f>BQ42*КоэффСохранения</f>
        <v/>
      </c>
      <c r="BS43" s="12">
        <f>BR42*КоэффСохранения</f>
        <v/>
      </c>
      <c r="BT43" s="12">
        <f>BS42*КоэффСохранения</f>
        <v/>
      </c>
      <c r="BU43" s="12">
        <f>BT42*КоэффСохранения</f>
        <v/>
      </c>
      <c r="BV43" s="12">
        <f>BU42*КоэффСохранения</f>
        <v/>
      </c>
      <c r="BW43" s="12">
        <f>BV42*КоэффСохранения</f>
        <v/>
      </c>
      <c r="BX43" s="12">
        <f>BW42*КоэффСохранения</f>
        <v/>
      </c>
      <c r="BY43" s="12">
        <f>BX42*КоэффСохранения</f>
        <v/>
      </c>
    </row>
    <row r="44">
      <c r="B44" t="inlineStr">
        <is>
          <t>22 мес.</t>
        </is>
      </c>
      <c r="C44" t="inlineStr">
        <is>
          <t>шт.</t>
        </is>
      </c>
      <c r="D44" s="127" t="inlineStr">
        <is>
          <t>Внутренняя механика расчёта: годового итога у этой строки нет, смотрите итоговые строки блока ниже.</t>
        </is>
      </c>
      <c r="E44" s="140" t="n"/>
      <c r="F44" s="140" t="n"/>
      <c r="G44" s="140" t="n"/>
      <c r="H44" s="140" t="n"/>
      <c r="I44" s="140" t="n"/>
      <c r="L44" s="12">
        <f>0</f>
        <v/>
      </c>
      <c r="M44" s="12">
        <f>L43*КоэффСохранения</f>
        <v/>
      </c>
      <c r="N44" s="12">
        <f>M43*КоэффСохранения</f>
        <v/>
      </c>
      <c r="O44" s="12">
        <f>N43*КоэффСохранения</f>
        <v/>
      </c>
      <c r="P44" s="12">
        <f>O43*КоэффСохранения</f>
        <v/>
      </c>
      <c r="Q44" s="12">
        <f>P43*КоэффСохранения</f>
        <v/>
      </c>
      <c r="R44" s="12">
        <f>Q43*КоэффСохранения</f>
        <v/>
      </c>
      <c r="S44" s="12">
        <f>R43*КоэффСохранения</f>
        <v/>
      </c>
      <c r="T44" s="12">
        <f>S43*КоэффСохранения</f>
        <v/>
      </c>
      <c r="U44" s="12">
        <f>T43*КоэффСохранения</f>
        <v/>
      </c>
      <c r="V44" s="12">
        <f>U43*КоэффСохранения</f>
        <v/>
      </c>
      <c r="W44" s="12">
        <f>V43*КоэффСохранения</f>
        <v/>
      </c>
      <c r="X44" s="12">
        <f>W43*КоэффСохранения</f>
        <v/>
      </c>
      <c r="Y44" s="12">
        <f>X43*КоэффСохранения</f>
        <v/>
      </c>
      <c r="Z44" s="12">
        <f>Y43*КоэффСохранения</f>
        <v/>
      </c>
      <c r="AA44" s="12">
        <f>Z43*КоэффСохранения</f>
        <v/>
      </c>
      <c r="AB44" s="12">
        <f>AA43*КоэффСохранения</f>
        <v/>
      </c>
      <c r="AC44" s="12">
        <f>AB43*КоэффСохранения</f>
        <v/>
      </c>
      <c r="AD44" s="12">
        <f>AC43*КоэффСохранения</f>
        <v/>
      </c>
      <c r="AE44" s="12">
        <f>AD43*КоэффСохранения</f>
        <v/>
      </c>
      <c r="AF44" s="12">
        <f>AE43*КоэффСохранения</f>
        <v/>
      </c>
      <c r="AG44" s="12">
        <f>AF43*КоэффСохранения</f>
        <v/>
      </c>
      <c r="AH44" s="12">
        <f>AG43*КоэффСохранения</f>
        <v/>
      </c>
      <c r="AI44" s="12">
        <f>AH43*КоэффСохранения</f>
        <v/>
      </c>
      <c r="AJ44" s="12">
        <f>AI43*КоэффСохранения</f>
        <v/>
      </c>
      <c r="AK44" s="12">
        <f>AJ43*КоэффСохранения</f>
        <v/>
      </c>
      <c r="AL44" s="12">
        <f>AK43*КоэффСохранения</f>
        <v/>
      </c>
      <c r="AM44" s="12">
        <f>AL43*КоэффСохранения</f>
        <v/>
      </c>
      <c r="AN44" s="12">
        <f>AM43*КоэффСохранения</f>
        <v/>
      </c>
      <c r="AO44" s="12">
        <f>AN43*КоэффСохранения</f>
        <v/>
      </c>
      <c r="AP44" s="12">
        <f>AO43*КоэффСохранения</f>
        <v/>
      </c>
      <c r="AQ44" s="12">
        <f>AP43*КоэффСохранения</f>
        <v/>
      </c>
      <c r="AR44" s="12">
        <f>AQ43*КоэффСохранения</f>
        <v/>
      </c>
      <c r="AS44" s="12">
        <f>AR43*КоэффСохранения</f>
        <v/>
      </c>
      <c r="AT44" s="12">
        <f>AS43*КоэффСохранения</f>
        <v/>
      </c>
      <c r="AU44" s="12">
        <f>AT43*КоэффСохранения</f>
        <v/>
      </c>
      <c r="AV44" s="12">
        <f>AU43*КоэффСохранения</f>
        <v/>
      </c>
      <c r="AW44" s="12">
        <f>AV43*КоэффСохранения</f>
        <v/>
      </c>
      <c r="AX44" s="12">
        <f>AW43*КоэффСохранения</f>
        <v/>
      </c>
      <c r="AY44" s="12">
        <f>AX43*КоэффСохранения</f>
        <v/>
      </c>
      <c r="AZ44" s="12">
        <f>AY43*КоэффСохранения</f>
        <v/>
      </c>
      <c r="BA44" s="12">
        <f>AZ43*КоэффСохранения</f>
        <v/>
      </c>
      <c r="BB44" s="12">
        <f>BA43*КоэффСохранения</f>
        <v/>
      </c>
      <c r="BC44" s="12">
        <f>BB43*КоэффСохранения</f>
        <v/>
      </c>
      <c r="BD44" s="12">
        <f>BC43*КоэффСохранения</f>
        <v/>
      </c>
      <c r="BE44" s="12">
        <f>BD43*КоэффСохранения</f>
        <v/>
      </c>
      <c r="BF44" s="12">
        <f>BE43*КоэффСохранения</f>
        <v/>
      </c>
      <c r="BG44" s="12">
        <f>BF43*КоэффСохранения</f>
        <v/>
      </c>
      <c r="BH44" s="12">
        <f>BG43*КоэффСохранения</f>
        <v/>
      </c>
      <c r="BI44" s="12">
        <f>BH43*КоэффСохранения</f>
        <v/>
      </c>
      <c r="BJ44" s="12">
        <f>BI43*КоэффСохранения</f>
        <v/>
      </c>
      <c r="BK44" s="12">
        <f>BJ43*КоэффСохранения</f>
        <v/>
      </c>
      <c r="BL44" s="12">
        <f>BK43*КоэффСохранения</f>
        <v/>
      </c>
      <c r="BM44" s="12">
        <f>BL43*КоэффСохранения</f>
        <v/>
      </c>
      <c r="BN44" s="12">
        <f>BM43*КоэффСохранения</f>
        <v/>
      </c>
      <c r="BO44" s="12">
        <f>BN43*КоэффСохранения</f>
        <v/>
      </c>
      <c r="BP44" s="12">
        <f>BO43*КоэффСохранения</f>
        <v/>
      </c>
      <c r="BQ44" s="12">
        <f>BP43*КоэффСохранения</f>
        <v/>
      </c>
      <c r="BR44" s="12">
        <f>BQ43*КоэффСохранения</f>
        <v/>
      </c>
      <c r="BS44" s="12">
        <f>BR43*КоэффСохранения</f>
        <v/>
      </c>
      <c r="BT44" s="12">
        <f>BS43*КоэффСохранения</f>
        <v/>
      </c>
      <c r="BU44" s="12">
        <f>BT43*КоэффСохранения</f>
        <v/>
      </c>
      <c r="BV44" s="12">
        <f>BU43*КоэффСохранения</f>
        <v/>
      </c>
      <c r="BW44" s="12">
        <f>BV43*КоэффСохранения</f>
        <v/>
      </c>
      <c r="BX44" s="12">
        <f>BW43*КоэффСохранения</f>
        <v/>
      </c>
      <c r="BY44" s="12">
        <f>BX43*КоэффСохранения</f>
        <v/>
      </c>
    </row>
    <row r="45">
      <c r="B45" t="inlineStr">
        <is>
          <t>23 мес.</t>
        </is>
      </c>
      <c r="C45" t="inlineStr">
        <is>
          <t>шт.</t>
        </is>
      </c>
      <c r="D45" s="127" t="inlineStr">
        <is>
          <t>Внутренняя механика расчёта: годового итога у этой строки нет, смотрите итоговые строки блока ниже.</t>
        </is>
      </c>
      <c r="E45" s="140" t="n"/>
      <c r="F45" s="140" t="n"/>
      <c r="G45" s="140" t="n"/>
      <c r="H45" s="140" t="n"/>
      <c r="I45" s="140" t="n"/>
      <c r="L45" s="12">
        <f>0</f>
        <v/>
      </c>
      <c r="M45" s="12">
        <f>L44*КоэффСохранения</f>
        <v/>
      </c>
      <c r="N45" s="12">
        <f>M44*КоэффСохранения</f>
        <v/>
      </c>
      <c r="O45" s="12">
        <f>N44*КоэффСохранения</f>
        <v/>
      </c>
      <c r="P45" s="12">
        <f>O44*КоэффСохранения</f>
        <v/>
      </c>
      <c r="Q45" s="12">
        <f>P44*КоэффСохранения</f>
        <v/>
      </c>
      <c r="R45" s="12">
        <f>Q44*КоэффСохранения</f>
        <v/>
      </c>
      <c r="S45" s="12">
        <f>R44*КоэффСохранения</f>
        <v/>
      </c>
      <c r="T45" s="12">
        <f>S44*КоэффСохранения</f>
        <v/>
      </c>
      <c r="U45" s="12">
        <f>T44*КоэффСохранения</f>
        <v/>
      </c>
      <c r="V45" s="12">
        <f>U44*КоэффСохранения</f>
        <v/>
      </c>
      <c r="W45" s="12">
        <f>V44*КоэффСохранения</f>
        <v/>
      </c>
      <c r="X45" s="12">
        <f>W44*КоэффСохранения</f>
        <v/>
      </c>
      <c r="Y45" s="12">
        <f>X44*КоэффСохранения</f>
        <v/>
      </c>
      <c r="Z45" s="12">
        <f>Y44*КоэффСохранения</f>
        <v/>
      </c>
      <c r="AA45" s="12">
        <f>Z44*КоэффСохранения</f>
        <v/>
      </c>
      <c r="AB45" s="12">
        <f>AA44*КоэффСохранения</f>
        <v/>
      </c>
      <c r="AC45" s="12">
        <f>AB44*КоэффСохранения</f>
        <v/>
      </c>
      <c r="AD45" s="12">
        <f>AC44*КоэффСохранения</f>
        <v/>
      </c>
      <c r="AE45" s="12">
        <f>AD44*КоэффСохранения</f>
        <v/>
      </c>
      <c r="AF45" s="12">
        <f>AE44*КоэффСохранения</f>
        <v/>
      </c>
      <c r="AG45" s="12">
        <f>AF44*КоэффСохранения</f>
        <v/>
      </c>
      <c r="AH45" s="12">
        <f>AG44*КоэффСохранения</f>
        <v/>
      </c>
      <c r="AI45" s="12">
        <f>AH44*КоэффСохранения</f>
        <v/>
      </c>
      <c r="AJ45" s="12">
        <f>AI44*КоэффСохранения</f>
        <v/>
      </c>
      <c r="AK45" s="12">
        <f>AJ44*КоэффСохранения</f>
        <v/>
      </c>
      <c r="AL45" s="12">
        <f>AK44*КоэффСохранения</f>
        <v/>
      </c>
      <c r="AM45" s="12">
        <f>AL44*КоэффСохранения</f>
        <v/>
      </c>
      <c r="AN45" s="12">
        <f>AM44*КоэффСохранения</f>
        <v/>
      </c>
      <c r="AO45" s="12">
        <f>AN44*КоэффСохранения</f>
        <v/>
      </c>
      <c r="AP45" s="12">
        <f>AO44*КоэффСохранения</f>
        <v/>
      </c>
      <c r="AQ45" s="12">
        <f>AP44*КоэффСохранения</f>
        <v/>
      </c>
      <c r="AR45" s="12">
        <f>AQ44*КоэффСохранения</f>
        <v/>
      </c>
      <c r="AS45" s="12">
        <f>AR44*КоэффСохранения</f>
        <v/>
      </c>
      <c r="AT45" s="12">
        <f>AS44*КоэффСохранения</f>
        <v/>
      </c>
      <c r="AU45" s="12">
        <f>AT44*КоэффСохранения</f>
        <v/>
      </c>
      <c r="AV45" s="12">
        <f>AU44*КоэффСохранения</f>
        <v/>
      </c>
      <c r="AW45" s="12">
        <f>AV44*КоэффСохранения</f>
        <v/>
      </c>
      <c r="AX45" s="12">
        <f>AW44*КоэффСохранения</f>
        <v/>
      </c>
      <c r="AY45" s="12">
        <f>AX44*КоэффСохранения</f>
        <v/>
      </c>
      <c r="AZ45" s="12">
        <f>AY44*КоэффСохранения</f>
        <v/>
      </c>
      <c r="BA45" s="12">
        <f>AZ44*КоэффСохранения</f>
        <v/>
      </c>
      <c r="BB45" s="12">
        <f>BA44*КоэффСохранения</f>
        <v/>
      </c>
      <c r="BC45" s="12">
        <f>BB44*КоэффСохранения</f>
        <v/>
      </c>
      <c r="BD45" s="12">
        <f>BC44*КоэффСохранения</f>
        <v/>
      </c>
      <c r="BE45" s="12">
        <f>BD44*КоэффСохранения</f>
        <v/>
      </c>
      <c r="BF45" s="12">
        <f>BE44*КоэффСохранения</f>
        <v/>
      </c>
      <c r="BG45" s="12">
        <f>BF44*КоэффСохранения</f>
        <v/>
      </c>
      <c r="BH45" s="12">
        <f>BG44*КоэффСохранения</f>
        <v/>
      </c>
      <c r="BI45" s="12">
        <f>BH44*КоэффСохранения</f>
        <v/>
      </c>
      <c r="BJ45" s="12">
        <f>BI44*КоэффСохранения</f>
        <v/>
      </c>
      <c r="BK45" s="12">
        <f>BJ44*КоэффСохранения</f>
        <v/>
      </c>
      <c r="BL45" s="12">
        <f>BK44*КоэффСохранения</f>
        <v/>
      </c>
      <c r="BM45" s="12">
        <f>BL44*КоэффСохранения</f>
        <v/>
      </c>
      <c r="BN45" s="12">
        <f>BM44*КоэффСохранения</f>
        <v/>
      </c>
      <c r="BO45" s="12">
        <f>BN44*КоэффСохранения</f>
        <v/>
      </c>
      <c r="BP45" s="12">
        <f>BO44*КоэффСохранения</f>
        <v/>
      </c>
      <c r="BQ45" s="12">
        <f>BP44*КоэффСохранения</f>
        <v/>
      </c>
      <c r="BR45" s="12">
        <f>BQ44*КоэффСохранения</f>
        <v/>
      </c>
      <c r="BS45" s="12">
        <f>BR44*КоэффСохранения</f>
        <v/>
      </c>
      <c r="BT45" s="12">
        <f>BS44*КоэффСохранения</f>
        <v/>
      </c>
      <c r="BU45" s="12">
        <f>BT44*КоэффСохранения</f>
        <v/>
      </c>
      <c r="BV45" s="12">
        <f>BU44*КоэффСохранения</f>
        <v/>
      </c>
      <c r="BW45" s="12">
        <f>BV44*КоэффСохранения</f>
        <v/>
      </c>
      <c r="BX45" s="12">
        <f>BW44*КоэффСохранения</f>
        <v/>
      </c>
      <c r="BY45" s="12">
        <f>BX44*КоэффСохранения</f>
        <v/>
      </c>
    </row>
    <row r="46">
      <c r="B46" t="inlineStr">
        <is>
          <t>24 мес.</t>
        </is>
      </c>
      <c r="C46" t="inlineStr">
        <is>
          <t>шт.</t>
        </is>
      </c>
      <c r="D46" s="127" t="inlineStr">
        <is>
          <t>Внутренняя механика расчёта: годового итога у этой строки нет, смотрите итоговые строки блока ниже.</t>
        </is>
      </c>
      <c r="E46" s="140" t="n"/>
      <c r="F46" s="140" t="n"/>
      <c r="G46" s="140" t="n"/>
      <c r="H46" s="140" t="n"/>
      <c r="I46" s="140" t="n"/>
      <c r="L46" s="12">
        <f>0</f>
        <v/>
      </c>
      <c r="M46" s="12">
        <f>L45*КоэффСохранения</f>
        <v/>
      </c>
      <c r="N46" s="12">
        <f>M45*КоэффСохранения</f>
        <v/>
      </c>
      <c r="O46" s="12">
        <f>N45*КоэффСохранения</f>
        <v/>
      </c>
      <c r="P46" s="12">
        <f>O45*КоэффСохранения</f>
        <v/>
      </c>
      <c r="Q46" s="12">
        <f>P45*КоэффСохранения</f>
        <v/>
      </c>
      <c r="R46" s="12">
        <f>Q45*КоэффСохранения</f>
        <v/>
      </c>
      <c r="S46" s="12">
        <f>R45*КоэффСохранения</f>
        <v/>
      </c>
      <c r="T46" s="12">
        <f>S45*КоэффСохранения</f>
        <v/>
      </c>
      <c r="U46" s="12">
        <f>T45*КоэффСохранения</f>
        <v/>
      </c>
      <c r="V46" s="12">
        <f>U45*КоэффСохранения</f>
        <v/>
      </c>
      <c r="W46" s="12">
        <f>V45*КоэффСохранения</f>
        <v/>
      </c>
      <c r="X46" s="12">
        <f>W45*КоэффСохранения</f>
        <v/>
      </c>
      <c r="Y46" s="12">
        <f>X45*КоэффСохранения</f>
        <v/>
      </c>
      <c r="Z46" s="12">
        <f>Y45*КоэффСохранения</f>
        <v/>
      </c>
      <c r="AA46" s="12">
        <f>Z45*КоэффСохранения</f>
        <v/>
      </c>
      <c r="AB46" s="12">
        <f>AA45*КоэффСохранения</f>
        <v/>
      </c>
      <c r="AC46" s="12">
        <f>AB45*КоэффСохранения</f>
        <v/>
      </c>
      <c r="AD46" s="12">
        <f>AC45*КоэффСохранения</f>
        <v/>
      </c>
      <c r="AE46" s="12">
        <f>AD45*КоэффСохранения</f>
        <v/>
      </c>
      <c r="AF46" s="12">
        <f>AE45*КоэффСохранения</f>
        <v/>
      </c>
      <c r="AG46" s="12">
        <f>AF45*КоэффСохранения</f>
        <v/>
      </c>
      <c r="AH46" s="12">
        <f>AG45*КоэффСохранения</f>
        <v/>
      </c>
      <c r="AI46" s="12">
        <f>AH45*КоэффСохранения</f>
        <v/>
      </c>
      <c r="AJ46" s="12">
        <f>AI45*КоэффСохранения</f>
        <v/>
      </c>
      <c r="AK46" s="12">
        <f>AJ45*КоэффСохранения</f>
        <v/>
      </c>
      <c r="AL46" s="12">
        <f>AK45*КоэффСохранения</f>
        <v/>
      </c>
      <c r="AM46" s="12">
        <f>AL45*КоэффСохранения</f>
        <v/>
      </c>
      <c r="AN46" s="12">
        <f>AM45*КоэффСохранения</f>
        <v/>
      </c>
      <c r="AO46" s="12">
        <f>AN45*КоэффСохранения</f>
        <v/>
      </c>
      <c r="AP46" s="12">
        <f>AO45*КоэффСохранения</f>
        <v/>
      </c>
      <c r="AQ46" s="12">
        <f>AP45*КоэффСохранения</f>
        <v/>
      </c>
      <c r="AR46" s="12">
        <f>AQ45*КоэффСохранения</f>
        <v/>
      </c>
      <c r="AS46" s="12">
        <f>AR45*КоэффСохранения</f>
        <v/>
      </c>
      <c r="AT46" s="12">
        <f>AS45*КоэффСохранения</f>
        <v/>
      </c>
      <c r="AU46" s="12">
        <f>AT45*КоэффСохранения</f>
        <v/>
      </c>
      <c r="AV46" s="12">
        <f>AU45*КоэффСохранения</f>
        <v/>
      </c>
      <c r="AW46" s="12">
        <f>AV45*КоэффСохранения</f>
        <v/>
      </c>
      <c r="AX46" s="12">
        <f>AW45*КоэффСохранения</f>
        <v/>
      </c>
      <c r="AY46" s="12">
        <f>AX45*КоэффСохранения</f>
        <v/>
      </c>
      <c r="AZ46" s="12">
        <f>AY45*КоэффСохранения</f>
        <v/>
      </c>
      <c r="BA46" s="12">
        <f>AZ45*КоэффСохранения</f>
        <v/>
      </c>
      <c r="BB46" s="12">
        <f>BA45*КоэффСохранения</f>
        <v/>
      </c>
      <c r="BC46" s="12">
        <f>BB45*КоэффСохранения</f>
        <v/>
      </c>
      <c r="BD46" s="12">
        <f>BC45*КоэффСохранения</f>
        <v/>
      </c>
      <c r="BE46" s="12">
        <f>BD45*КоэффСохранения</f>
        <v/>
      </c>
      <c r="BF46" s="12">
        <f>BE45*КоэффСохранения</f>
        <v/>
      </c>
      <c r="BG46" s="12">
        <f>BF45*КоэффСохранения</f>
        <v/>
      </c>
      <c r="BH46" s="12">
        <f>BG45*КоэффСохранения</f>
        <v/>
      </c>
      <c r="BI46" s="12">
        <f>BH45*КоэффСохранения</f>
        <v/>
      </c>
      <c r="BJ46" s="12">
        <f>BI45*КоэффСохранения</f>
        <v/>
      </c>
      <c r="BK46" s="12">
        <f>BJ45*КоэффСохранения</f>
        <v/>
      </c>
      <c r="BL46" s="12">
        <f>BK45*КоэффСохранения</f>
        <v/>
      </c>
      <c r="BM46" s="12">
        <f>BL45*КоэффСохранения</f>
        <v/>
      </c>
      <c r="BN46" s="12">
        <f>BM45*КоэффСохранения</f>
        <v/>
      </c>
      <c r="BO46" s="12">
        <f>BN45*КоэффСохранения</f>
        <v/>
      </c>
      <c r="BP46" s="12">
        <f>BO45*КоэффСохранения</f>
        <v/>
      </c>
      <c r="BQ46" s="12">
        <f>BP45*КоэффСохранения</f>
        <v/>
      </c>
      <c r="BR46" s="12">
        <f>BQ45*КоэффСохранения</f>
        <v/>
      </c>
      <c r="BS46" s="12">
        <f>BR45*КоэффСохранения</f>
        <v/>
      </c>
      <c r="BT46" s="12">
        <f>BS45*КоэффСохранения</f>
        <v/>
      </c>
      <c r="BU46" s="12">
        <f>BT45*КоэффСохранения</f>
        <v/>
      </c>
      <c r="BV46" s="12">
        <f>BU45*КоэффСохранения</f>
        <v/>
      </c>
      <c r="BW46" s="12">
        <f>BV45*КоэффСохранения</f>
        <v/>
      </c>
      <c r="BX46" s="12">
        <f>BW45*КоэффСохранения</f>
        <v/>
      </c>
      <c r="BY46" s="12">
        <f>BX45*КоэффСохранения</f>
        <v/>
      </c>
    </row>
    <row r="47">
      <c r="B47" t="inlineStr">
        <is>
          <t>25+ мес. (зрелые)</t>
        </is>
      </c>
      <c r="C47" t="inlineStr">
        <is>
          <t>шт.</t>
        </is>
      </c>
      <c r="D47" s="127" t="inlineStr">
        <is>
          <t>Школы старше двух лет копятся здесь Внутренняя механика расчёта: годового итога у этой строки нет, смотрите итоговые строки блока ниже.</t>
        </is>
      </c>
      <c r="E47" s="140" t="n"/>
      <c r="F47" s="140" t="n"/>
      <c r="G47" s="140" t="n"/>
      <c r="H47" s="140" t="n"/>
      <c r="I47" s="140" t="n"/>
      <c r="L47" s="12">
        <f>0</f>
        <v/>
      </c>
      <c r="M47" s="12">
        <f>(L46+L47)*КоэффСохранения</f>
        <v/>
      </c>
      <c r="N47" s="12">
        <f>(M46+M47)*КоэффСохранения</f>
        <v/>
      </c>
      <c r="O47" s="12">
        <f>(N46+N47)*КоэффСохранения</f>
        <v/>
      </c>
      <c r="P47" s="12">
        <f>(O46+O47)*КоэффСохранения</f>
        <v/>
      </c>
      <c r="Q47" s="12">
        <f>(P46+P47)*КоэффСохранения</f>
        <v/>
      </c>
      <c r="R47" s="12">
        <f>(Q46+Q47)*КоэффСохранения</f>
        <v/>
      </c>
      <c r="S47" s="12">
        <f>(R46+R47)*КоэффСохранения</f>
        <v/>
      </c>
      <c r="T47" s="12">
        <f>(S46+S47)*КоэффСохранения</f>
        <v/>
      </c>
      <c r="U47" s="12">
        <f>(T46+T47)*КоэффСохранения</f>
        <v/>
      </c>
      <c r="V47" s="12">
        <f>(U46+U47)*КоэффСохранения</f>
        <v/>
      </c>
      <c r="W47" s="12">
        <f>(V46+V47)*КоэффСохранения</f>
        <v/>
      </c>
      <c r="X47" s="12">
        <f>(W46+W47)*КоэффСохранения</f>
        <v/>
      </c>
      <c r="Y47" s="12">
        <f>(X46+X47)*КоэффСохранения</f>
        <v/>
      </c>
      <c r="Z47" s="12">
        <f>(Y46+Y47)*КоэффСохранения</f>
        <v/>
      </c>
      <c r="AA47" s="12">
        <f>(Z46+Z47)*КоэффСохранения</f>
        <v/>
      </c>
      <c r="AB47" s="12">
        <f>(AA46+AA47)*КоэффСохранения</f>
        <v/>
      </c>
      <c r="AC47" s="12">
        <f>(AB46+AB47)*КоэффСохранения</f>
        <v/>
      </c>
      <c r="AD47" s="12">
        <f>(AC46+AC47)*КоэффСохранения</f>
        <v/>
      </c>
      <c r="AE47" s="12">
        <f>(AD46+AD47)*КоэффСохранения</f>
        <v/>
      </c>
      <c r="AF47" s="12">
        <f>(AE46+AE47)*КоэффСохранения</f>
        <v/>
      </c>
      <c r="AG47" s="12">
        <f>(AF46+AF47)*КоэффСохранения</f>
        <v/>
      </c>
      <c r="AH47" s="12">
        <f>(AG46+AG47)*КоэффСохранения</f>
        <v/>
      </c>
      <c r="AI47" s="12">
        <f>(AH46+AH47)*КоэффСохранения</f>
        <v/>
      </c>
      <c r="AJ47" s="12">
        <f>(AI46+AI47)*КоэффСохранения</f>
        <v/>
      </c>
      <c r="AK47" s="12">
        <f>(AJ46+AJ47)*КоэффСохранения</f>
        <v/>
      </c>
      <c r="AL47" s="12">
        <f>(AK46+AK47)*КоэффСохранения</f>
        <v/>
      </c>
      <c r="AM47" s="12">
        <f>(AL46+AL47)*КоэффСохранения</f>
        <v/>
      </c>
      <c r="AN47" s="12">
        <f>(AM46+AM47)*КоэффСохранения</f>
        <v/>
      </c>
      <c r="AO47" s="12">
        <f>(AN46+AN47)*КоэффСохранения</f>
        <v/>
      </c>
      <c r="AP47" s="12">
        <f>(AO46+AO47)*КоэффСохранения</f>
        <v/>
      </c>
      <c r="AQ47" s="12">
        <f>(AP46+AP47)*КоэффСохранения</f>
        <v/>
      </c>
      <c r="AR47" s="12">
        <f>(AQ46+AQ47)*КоэффСохранения</f>
        <v/>
      </c>
      <c r="AS47" s="12">
        <f>(AR46+AR47)*КоэффСохранения</f>
        <v/>
      </c>
      <c r="AT47" s="12">
        <f>(AS46+AS47)*КоэффСохранения</f>
        <v/>
      </c>
      <c r="AU47" s="12">
        <f>(AT46+AT47)*КоэффСохранения</f>
        <v/>
      </c>
      <c r="AV47" s="12">
        <f>(AU46+AU47)*КоэффСохранения</f>
        <v/>
      </c>
      <c r="AW47" s="12">
        <f>(AV46+AV47)*КоэффСохранения</f>
        <v/>
      </c>
      <c r="AX47" s="12">
        <f>(AW46+AW47)*КоэффСохранения</f>
        <v/>
      </c>
      <c r="AY47" s="12">
        <f>(AX46+AX47)*КоэффСохранения</f>
        <v/>
      </c>
      <c r="AZ47" s="12">
        <f>(AY46+AY47)*КоэффСохранения</f>
        <v/>
      </c>
      <c r="BA47" s="12">
        <f>(AZ46+AZ47)*КоэффСохранения</f>
        <v/>
      </c>
      <c r="BB47" s="12">
        <f>(BA46+BA47)*КоэффСохранения</f>
        <v/>
      </c>
      <c r="BC47" s="12">
        <f>(BB46+BB47)*КоэффСохранения</f>
        <v/>
      </c>
      <c r="BD47" s="12">
        <f>(BC46+BC47)*КоэффСохранения</f>
        <v/>
      </c>
      <c r="BE47" s="12">
        <f>(BD46+BD47)*КоэффСохранения</f>
        <v/>
      </c>
      <c r="BF47" s="12">
        <f>(BE46+BE47)*КоэффСохранения</f>
        <v/>
      </c>
      <c r="BG47" s="12">
        <f>(BF46+BF47)*КоэффСохранения</f>
        <v/>
      </c>
      <c r="BH47" s="12">
        <f>(BG46+BG47)*КоэффСохранения</f>
        <v/>
      </c>
      <c r="BI47" s="12">
        <f>(BH46+BH47)*КоэффСохранения</f>
        <v/>
      </c>
      <c r="BJ47" s="12">
        <f>(BI46+BI47)*КоэффСохранения</f>
        <v/>
      </c>
      <c r="BK47" s="12">
        <f>(BJ46+BJ47)*КоэффСохранения</f>
        <v/>
      </c>
      <c r="BL47" s="12">
        <f>(BK46+BK47)*КоэффСохранения</f>
        <v/>
      </c>
      <c r="BM47" s="12">
        <f>(BL46+BL47)*КоэффСохранения</f>
        <v/>
      </c>
      <c r="BN47" s="12">
        <f>(BM46+BM47)*КоэффСохранения</f>
        <v/>
      </c>
      <c r="BO47" s="12">
        <f>(BN46+BN47)*КоэффСохранения</f>
        <v/>
      </c>
      <c r="BP47" s="12">
        <f>(BO46+BO47)*КоэффСохранения</f>
        <v/>
      </c>
      <c r="BQ47" s="12">
        <f>(BP46+BP47)*КоэффСохранения</f>
        <v/>
      </c>
      <c r="BR47" s="12">
        <f>(BQ46+BQ47)*КоэффСохранения</f>
        <v/>
      </c>
      <c r="BS47" s="12">
        <f>(BR46+BR47)*КоэффСохранения</f>
        <v/>
      </c>
      <c r="BT47" s="12">
        <f>(BS46+BS47)*КоэффСохранения</f>
        <v/>
      </c>
      <c r="BU47" s="12">
        <f>(BT46+BT47)*КоэффСохранения</f>
        <v/>
      </c>
      <c r="BV47" s="12">
        <f>(BU46+BU47)*КоэффСохранения</f>
        <v/>
      </c>
      <c r="BW47" s="12">
        <f>(BV46+BV47)*КоэффСохранения</f>
        <v/>
      </c>
      <c r="BX47" s="12">
        <f>(BW46+BW47)*КоэффСохранения</f>
        <v/>
      </c>
      <c r="BY47" s="12">
        <f>(BX46+BX47)*КоэффСохранения</f>
        <v/>
      </c>
    </row>
    <row r="48"/>
    <row r="49">
      <c r="B49" s="125" t="inlineStr">
        <is>
          <t>Новые школы и их дети</t>
        </is>
      </c>
      <c r="C49" s="126" t="n"/>
      <c r="D49" s="126" t="n"/>
      <c r="E49" s="126" t="n"/>
      <c r="F49" s="126" t="n"/>
      <c r="G49" s="126" t="n"/>
      <c r="H49" s="126" t="n"/>
      <c r="I49" s="126" t="n"/>
      <c r="J49" s="126" t="n"/>
      <c r="K49" s="126" t="n"/>
      <c r="L49" s="126" t="n"/>
      <c r="M49" s="126" t="n"/>
      <c r="N49" s="126" t="n"/>
      <c r="O49" s="126" t="n"/>
      <c r="P49" s="126" t="n"/>
      <c r="Q49" s="126" t="n"/>
      <c r="R49" s="126" t="n"/>
      <c r="S49" s="126" t="n"/>
      <c r="T49" s="126" t="n"/>
      <c r="U49" s="126" t="n"/>
      <c r="V49" s="126" t="n"/>
      <c r="W49" s="126" t="n"/>
      <c r="X49" s="126" t="n"/>
      <c r="Y49" s="126" t="n"/>
      <c r="Z49" s="126" t="n"/>
      <c r="AA49" s="126" t="n"/>
      <c r="AB49" s="126" t="n"/>
      <c r="AC49" s="126" t="n"/>
      <c r="AD49" s="126" t="n"/>
      <c r="AE49" s="126" t="n"/>
      <c r="AF49" s="126" t="n"/>
      <c r="AG49" s="126" t="n"/>
      <c r="AH49" s="126" t="n"/>
      <c r="AI49" s="126" t="n"/>
      <c r="AJ49" s="126" t="n"/>
      <c r="AK49" s="126" t="n"/>
      <c r="AL49" s="126" t="n"/>
      <c r="AM49" s="126" t="n"/>
      <c r="AN49" s="126" t="n"/>
      <c r="AO49" s="126" t="n"/>
      <c r="AP49" s="126" t="n"/>
      <c r="AQ49" s="126" t="n"/>
      <c r="AR49" s="126" t="n"/>
      <c r="AS49" s="126" t="n"/>
      <c r="AT49" s="126" t="n"/>
      <c r="AU49" s="126" t="n"/>
      <c r="AV49" s="126" t="n"/>
      <c r="AW49" s="126" t="n"/>
      <c r="AX49" s="126" t="n"/>
      <c r="AY49" s="126" t="n"/>
      <c r="AZ49" s="126" t="n"/>
      <c r="BA49" s="126" t="n"/>
      <c r="BB49" s="126" t="n"/>
      <c r="BC49" s="126" t="n"/>
      <c r="BD49" s="126" t="n"/>
      <c r="BE49" s="126" t="n"/>
      <c r="BF49" s="126" t="n"/>
      <c r="BG49" s="126" t="n"/>
      <c r="BH49" s="126" t="n"/>
      <c r="BI49" s="126" t="n"/>
      <c r="BJ49" s="126" t="n"/>
      <c r="BK49" s="126" t="n"/>
      <c r="BL49" s="126" t="n"/>
      <c r="BM49" s="126" t="n"/>
      <c r="BN49" s="126" t="n"/>
      <c r="BO49" s="126" t="n"/>
      <c r="BP49" s="126" t="n"/>
      <c r="BQ49" s="126" t="n"/>
      <c r="BR49" s="126" t="n"/>
      <c r="BS49" s="126" t="n"/>
      <c r="BT49" s="126" t="n"/>
      <c r="BU49" s="126" t="n"/>
      <c r="BV49" s="126" t="n"/>
      <c r="BW49" s="126" t="n"/>
      <c r="BX49" s="126" t="n"/>
      <c r="BY49" s="126" t="n"/>
    </row>
    <row r="50">
      <c r="B50" t="inlineStr">
        <is>
          <t>Новые школы 1–12 мес.</t>
        </is>
      </c>
      <c r="C50" t="inlineStr">
        <is>
          <t>шт.</t>
        </is>
      </c>
      <c r="D50" s="127" t="inlineStr">
        <is>
          <t>Сумма первых двенадцати когорт В колонках лет — значение на конец года, в «Итого» — на конец пятого года. Это остаток, а не сумма.</t>
        </is>
      </c>
      <c r="E50" s="128">
        <f>W50</f>
        <v/>
      </c>
      <c r="F50" s="128">
        <f>AI50</f>
        <v/>
      </c>
      <c r="G50" s="128">
        <f>AU50</f>
        <v/>
      </c>
      <c r="H50" s="128">
        <f>BG50</f>
        <v/>
      </c>
      <c r="I50" s="128">
        <f>BS50</f>
        <v/>
      </c>
      <c r="J50" s="13">
        <f>BS50</f>
        <v/>
      </c>
      <c r="L50" s="12">
        <f>SUM(L23:L34)</f>
        <v/>
      </c>
      <c r="M50" s="12">
        <f>SUM(M23:M34)</f>
        <v/>
      </c>
      <c r="N50" s="12">
        <f>SUM(N23:N34)</f>
        <v/>
      </c>
      <c r="O50" s="12">
        <f>SUM(O23:O34)</f>
        <v/>
      </c>
      <c r="P50" s="12">
        <f>SUM(P23:P34)</f>
        <v/>
      </c>
      <c r="Q50" s="12">
        <f>SUM(Q23:Q34)</f>
        <v/>
      </c>
      <c r="R50" s="12">
        <f>SUM(R23:R34)</f>
        <v/>
      </c>
      <c r="S50" s="12">
        <f>SUM(S23:S34)</f>
        <v/>
      </c>
      <c r="T50" s="12">
        <f>SUM(T23:T34)</f>
        <v/>
      </c>
      <c r="U50" s="12">
        <f>SUM(U23:U34)</f>
        <v/>
      </c>
      <c r="V50" s="12">
        <f>SUM(V23:V34)</f>
        <v/>
      </c>
      <c r="W50" s="12">
        <f>SUM(W23:W34)</f>
        <v/>
      </c>
      <c r="X50" s="12">
        <f>SUM(X23:X34)</f>
        <v/>
      </c>
      <c r="Y50" s="12">
        <f>SUM(Y23:Y34)</f>
        <v/>
      </c>
      <c r="Z50" s="12">
        <f>SUM(Z23:Z34)</f>
        <v/>
      </c>
      <c r="AA50" s="12">
        <f>SUM(AA23:AA34)</f>
        <v/>
      </c>
      <c r="AB50" s="12">
        <f>SUM(AB23:AB34)</f>
        <v/>
      </c>
      <c r="AC50" s="12">
        <f>SUM(AC23:AC34)</f>
        <v/>
      </c>
      <c r="AD50" s="12">
        <f>SUM(AD23:AD34)</f>
        <v/>
      </c>
      <c r="AE50" s="12">
        <f>SUM(AE23:AE34)</f>
        <v/>
      </c>
      <c r="AF50" s="12">
        <f>SUM(AF23:AF34)</f>
        <v/>
      </c>
      <c r="AG50" s="12">
        <f>SUM(AG23:AG34)</f>
        <v/>
      </c>
      <c r="AH50" s="12">
        <f>SUM(AH23:AH34)</f>
        <v/>
      </c>
      <c r="AI50" s="12">
        <f>SUM(AI23:AI34)</f>
        <v/>
      </c>
      <c r="AJ50" s="12">
        <f>SUM(AJ23:AJ34)</f>
        <v/>
      </c>
      <c r="AK50" s="12">
        <f>SUM(AK23:AK34)</f>
        <v/>
      </c>
      <c r="AL50" s="12">
        <f>SUM(AL23:AL34)</f>
        <v/>
      </c>
      <c r="AM50" s="12">
        <f>SUM(AM23:AM34)</f>
        <v/>
      </c>
      <c r="AN50" s="12">
        <f>SUM(AN23:AN34)</f>
        <v/>
      </c>
      <c r="AO50" s="12">
        <f>SUM(AO23:AO34)</f>
        <v/>
      </c>
      <c r="AP50" s="12">
        <f>SUM(AP23:AP34)</f>
        <v/>
      </c>
      <c r="AQ50" s="12">
        <f>SUM(AQ23:AQ34)</f>
        <v/>
      </c>
      <c r="AR50" s="12">
        <f>SUM(AR23:AR34)</f>
        <v/>
      </c>
      <c r="AS50" s="12">
        <f>SUM(AS23:AS34)</f>
        <v/>
      </c>
      <c r="AT50" s="12">
        <f>SUM(AT23:AT34)</f>
        <v/>
      </c>
      <c r="AU50" s="12">
        <f>SUM(AU23:AU34)</f>
        <v/>
      </c>
      <c r="AV50" s="12">
        <f>SUM(AV23:AV34)</f>
        <v/>
      </c>
      <c r="AW50" s="12">
        <f>SUM(AW23:AW34)</f>
        <v/>
      </c>
      <c r="AX50" s="12">
        <f>SUM(AX23:AX34)</f>
        <v/>
      </c>
      <c r="AY50" s="12">
        <f>SUM(AY23:AY34)</f>
        <v/>
      </c>
      <c r="AZ50" s="12">
        <f>SUM(AZ23:AZ34)</f>
        <v/>
      </c>
      <c r="BA50" s="12">
        <f>SUM(BA23:BA34)</f>
        <v/>
      </c>
      <c r="BB50" s="12">
        <f>SUM(BB23:BB34)</f>
        <v/>
      </c>
      <c r="BC50" s="12">
        <f>SUM(BC23:BC34)</f>
        <v/>
      </c>
      <c r="BD50" s="12">
        <f>SUM(BD23:BD34)</f>
        <v/>
      </c>
      <c r="BE50" s="12">
        <f>SUM(BE23:BE34)</f>
        <v/>
      </c>
      <c r="BF50" s="12">
        <f>SUM(BF23:BF34)</f>
        <v/>
      </c>
      <c r="BG50" s="12">
        <f>SUM(BG23:BG34)</f>
        <v/>
      </c>
      <c r="BH50" s="12">
        <f>SUM(BH23:BH34)</f>
        <v/>
      </c>
      <c r="BI50" s="12">
        <f>SUM(BI23:BI34)</f>
        <v/>
      </c>
      <c r="BJ50" s="12">
        <f>SUM(BJ23:BJ34)</f>
        <v/>
      </c>
      <c r="BK50" s="12">
        <f>SUM(BK23:BK34)</f>
        <v/>
      </c>
      <c r="BL50" s="12">
        <f>SUM(BL23:BL34)</f>
        <v/>
      </c>
      <c r="BM50" s="12">
        <f>SUM(BM23:BM34)</f>
        <v/>
      </c>
      <c r="BN50" s="12">
        <f>SUM(BN23:BN34)</f>
        <v/>
      </c>
      <c r="BO50" s="12">
        <f>SUM(BO23:BO34)</f>
        <v/>
      </c>
      <c r="BP50" s="12">
        <f>SUM(BP23:BP34)</f>
        <v/>
      </c>
      <c r="BQ50" s="12">
        <f>SUM(BQ23:BQ34)</f>
        <v/>
      </c>
      <c r="BR50" s="12">
        <f>SUM(BR23:BR34)</f>
        <v/>
      </c>
      <c r="BS50" s="12">
        <f>SUM(BS23:BS34)</f>
        <v/>
      </c>
      <c r="BT50" s="12">
        <f>SUM(BT23:BT34)</f>
        <v/>
      </c>
      <c r="BU50" s="12">
        <f>SUM(BU23:BU34)</f>
        <v/>
      </c>
      <c r="BV50" s="12">
        <f>SUM(BV23:BV34)</f>
        <v/>
      </c>
      <c r="BW50" s="12">
        <f>SUM(BW23:BW34)</f>
        <v/>
      </c>
      <c r="BX50" s="12">
        <f>SUM(BX23:BX34)</f>
        <v/>
      </c>
      <c r="BY50" s="12">
        <f>SUM(BY23:BY34)</f>
        <v/>
      </c>
    </row>
    <row r="51">
      <c r="B51" t="inlineStr">
        <is>
          <t>Новые школы 13–24 мес.</t>
        </is>
      </c>
      <c r="C51" t="inlineStr">
        <is>
          <t>шт.</t>
        </is>
      </c>
      <c r="D51" s="127" t="inlineStr">
        <is>
          <t>Второй год жизни В колонках лет — значение на конец года, в «Итого» — на конец пятого года. Это остаток, а не сумма.</t>
        </is>
      </c>
      <c r="E51" s="128">
        <f>W51</f>
        <v/>
      </c>
      <c r="F51" s="128">
        <f>AI51</f>
        <v/>
      </c>
      <c r="G51" s="128">
        <f>AU51</f>
        <v/>
      </c>
      <c r="H51" s="128">
        <f>BG51</f>
        <v/>
      </c>
      <c r="I51" s="128">
        <f>BS51</f>
        <v/>
      </c>
      <c r="J51" s="13">
        <f>BS51</f>
        <v/>
      </c>
      <c r="L51" s="12">
        <f>SUM(L35:L46)</f>
        <v/>
      </c>
      <c r="M51" s="12">
        <f>SUM(M35:M46)</f>
        <v/>
      </c>
      <c r="N51" s="12">
        <f>SUM(N35:N46)</f>
        <v/>
      </c>
      <c r="O51" s="12">
        <f>SUM(O35:O46)</f>
        <v/>
      </c>
      <c r="P51" s="12">
        <f>SUM(P35:P46)</f>
        <v/>
      </c>
      <c r="Q51" s="12">
        <f>SUM(Q35:Q46)</f>
        <v/>
      </c>
      <c r="R51" s="12">
        <f>SUM(R35:R46)</f>
        <v/>
      </c>
      <c r="S51" s="12">
        <f>SUM(S35:S46)</f>
        <v/>
      </c>
      <c r="T51" s="12">
        <f>SUM(T35:T46)</f>
        <v/>
      </c>
      <c r="U51" s="12">
        <f>SUM(U35:U46)</f>
        <v/>
      </c>
      <c r="V51" s="12">
        <f>SUM(V35:V46)</f>
        <v/>
      </c>
      <c r="W51" s="12">
        <f>SUM(W35:W46)</f>
        <v/>
      </c>
      <c r="X51" s="12">
        <f>SUM(X35:X46)</f>
        <v/>
      </c>
      <c r="Y51" s="12">
        <f>SUM(Y35:Y46)</f>
        <v/>
      </c>
      <c r="Z51" s="12">
        <f>SUM(Z35:Z46)</f>
        <v/>
      </c>
      <c r="AA51" s="12">
        <f>SUM(AA35:AA46)</f>
        <v/>
      </c>
      <c r="AB51" s="12">
        <f>SUM(AB35:AB46)</f>
        <v/>
      </c>
      <c r="AC51" s="12">
        <f>SUM(AC35:AC46)</f>
        <v/>
      </c>
      <c r="AD51" s="12">
        <f>SUM(AD35:AD46)</f>
        <v/>
      </c>
      <c r="AE51" s="12">
        <f>SUM(AE35:AE46)</f>
        <v/>
      </c>
      <c r="AF51" s="12">
        <f>SUM(AF35:AF46)</f>
        <v/>
      </c>
      <c r="AG51" s="12">
        <f>SUM(AG35:AG46)</f>
        <v/>
      </c>
      <c r="AH51" s="12">
        <f>SUM(AH35:AH46)</f>
        <v/>
      </c>
      <c r="AI51" s="12">
        <f>SUM(AI35:AI46)</f>
        <v/>
      </c>
      <c r="AJ51" s="12">
        <f>SUM(AJ35:AJ46)</f>
        <v/>
      </c>
      <c r="AK51" s="12">
        <f>SUM(AK35:AK46)</f>
        <v/>
      </c>
      <c r="AL51" s="12">
        <f>SUM(AL35:AL46)</f>
        <v/>
      </c>
      <c r="AM51" s="12">
        <f>SUM(AM35:AM46)</f>
        <v/>
      </c>
      <c r="AN51" s="12">
        <f>SUM(AN35:AN46)</f>
        <v/>
      </c>
      <c r="AO51" s="12">
        <f>SUM(AO35:AO46)</f>
        <v/>
      </c>
      <c r="AP51" s="12">
        <f>SUM(AP35:AP46)</f>
        <v/>
      </c>
      <c r="AQ51" s="12">
        <f>SUM(AQ35:AQ46)</f>
        <v/>
      </c>
      <c r="AR51" s="12">
        <f>SUM(AR35:AR46)</f>
        <v/>
      </c>
      <c r="AS51" s="12">
        <f>SUM(AS35:AS46)</f>
        <v/>
      </c>
      <c r="AT51" s="12">
        <f>SUM(AT35:AT46)</f>
        <v/>
      </c>
      <c r="AU51" s="12">
        <f>SUM(AU35:AU46)</f>
        <v/>
      </c>
      <c r="AV51" s="12">
        <f>SUM(AV35:AV46)</f>
        <v/>
      </c>
      <c r="AW51" s="12">
        <f>SUM(AW35:AW46)</f>
        <v/>
      </c>
      <c r="AX51" s="12">
        <f>SUM(AX35:AX46)</f>
        <v/>
      </c>
      <c r="AY51" s="12">
        <f>SUM(AY35:AY46)</f>
        <v/>
      </c>
      <c r="AZ51" s="12">
        <f>SUM(AZ35:AZ46)</f>
        <v/>
      </c>
      <c r="BA51" s="12">
        <f>SUM(BA35:BA46)</f>
        <v/>
      </c>
      <c r="BB51" s="12">
        <f>SUM(BB35:BB46)</f>
        <v/>
      </c>
      <c r="BC51" s="12">
        <f>SUM(BC35:BC46)</f>
        <v/>
      </c>
      <c r="BD51" s="12">
        <f>SUM(BD35:BD46)</f>
        <v/>
      </c>
      <c r="BE51" s="12">
        <f>SUM(BE35:BE46)</f>
        <v/>
      </c>
      <c r="BF51" s="12">
        <f>SUM(BF35:BF46)</f>
        <v/>
      </c>
      <c r="BG51" s="12">
        <f>SUM(BG35:BG46)</f>
        <v/>
      </c>
      <c r="BH51" s="12">
        <f>SUM(BH35:BH46)</f>
        <v/>
      </c>
      <c r="BI51" s="12">
        <f>SUM(BI35:BI46)</f>
        <v/>
      </c>
      <c r="BJ51" s="12">
        <f>SUM(BJ35:BJ46)</f>
        <v/>
      </c>
      <c r="BK51" s="12">
        <f>SUM(BK35:BK46)</f>
        <v/>
      </c>
      <c r="BL51" s="12">
        <f>SUM(BL35:BL46)</f>
        <v/>
      </c>
      <c r="BM51" s="12">
        <f>SUM(BM35:BM46)</f>
        <v/>
      </c>
      <c r="BN51" s="12">
        <f>SUM(BN35:BN46)</f>
        <v/>
      </c>
      <c r="BO51" s="12">
        <f>SUM(BO35:BO46)</f>
        <v/>
      </c>
      <c r="BP51" s="12">
        <f>SUM(BP35:BP46)</f>
        <v/>
      </c>
      <c r="BQ51" s="12">
        <f>SUM(BQ35:BQ46)</f>
        <v/>
      </c>
      <c r="BR51" s="12">
        <f>SUM(BR35:BR46)</f>
        <v/>
      </c>
      <c r="BS51" s="12">
        <f>SUM(BS35:BS46)</f>
        <v/>
      </c>
      <c r="BT51" s="12">
        <f>SUM(BT35:BT46)</f>
        <v/>
      </c>
      <c r="BU51" s="12">
        <f>SUM(BU35:BU46)</f>
        <v/>
      </c>
      <c r="BV51" s="12">
        <f>SUM(BV35:BV46)</f>
        <v/>
      </c>
      <c r="BW51" s="12">
        <f>SUM(BW35:BW46)</f>
        <v/>
      </c>
      <c r="BX51" s="12">
        <f>SUM(BX35:BX46)</f>
        <v/>
      </c>
      <c r="BY51" s="12">
        <f>SUM(BY35:BY46)</f>
        <v/>
      </c>
    </row>
    <row r="52">
      <c r="B52" t="inlineStr">
        <is>
          <t>Новые школы зрелые</t>
        </is>
      </c>
      <c r="C52" t="inlineStr">
        <is>
          <t>шт.</t>
        </is>
      </c>
      <c r="D52" s="127" t="inlineStr">
        <is>
          <t>Старше двух лет В колонках лет — значение на конец года, в «Итого» — на конец пятого года. Это остаток, а не сумма.</t>
        </is>
      </c>
      <c r="E52" s="128">
        <f>W52</f>
        <v/>
      </c>
      <c r="F52" s="128">
        <f>AI52</f>
        <v/>
      </c>
      <c r="G52" s="128">
        <f>AU52</f>
        <v/>
      </c>
      <c r="H52" s="128">
        <f>BG52</f>
        <v/>
      </c>
      <c r="I52" s="128">
        <f>BS52</f>
        <v/>
      </c>
      <c r="J52" s="13">
        <f>BS52</f>
        <v/>
      </c>
      <c r="L52" s="12">
        <f>L47</f>
        <v/>
      </c>
      <c r="M52" s="12">
        <f>M47</f>
        <v/>
      </c>
      <c r="N52" s="12">
        <f>N47</f>
        <v/>
      </c>
      <c r="O52" s="12">
        <f>O47</f>
        <v/>
      </c>
      <c r="P52" s="12">
        <f>P47</f>
        <v/>
      </c>
      <c r="Q52" s="12">
        <f>Q47</f>
        <v/>
      </c>
      <c r="R52" s="12">
        <f>R47</f>
        <v/>
      </c>
      <c r="S52" s="12">
        <f>S47</f>
        <v/>
      </c>
      <c r="T52" s="12">
        <f>T47</f>
        <v/>
      </c>
      <c r="U52" s="12">
        <f>U47</f>
        <v/>
      </c>
      <c r="V52" s="12">
        <f>V47</f>
        <v/>
      </c>
      <c r="W52" s="12">
        <f>W47</f>
        <v/>
      </c>
      <c r="X52" s="12">
        <f>X47</f>
        <v/>
      </c>
      <c r="Y52" s="12">
        <f>Y47</f>
        <v/>
      </c>
      <c r="Z52" s="12">
        <f>Z47</f>
        <v/>
      </c>
      <c r="AA52" s="12">
        <f>AA47</f>
        <v/>
      </c>
      <c r="AB52" s="12">
        <f>AB47</f>
        <v/>
      </c>
      <c r="AC52" s="12">
        <f>AC47</f>
        <v/>
      </c>
      <c r="AD52" s="12">
        <f>AD47</f>
        <v/>
      </c>
      <c r="AE52" s="12">
        <f>AE47</f>
        <v/>
      </c>
      <c r="AF52" s="12">
        <f>AF47</f>
        <v/>
      </c>
      <c r="AG52" s="12">
        <f>AG47</f>
        <v/>
      </c>
      <c r="AH52" s="12">
        <f>AH47</f>
        <v/>
      </c>
      <c r="AI52" s="12">
        <f>AI47</f>
        <v/>
      </c>
      <c r="AJ52" s="12">
        <f>AJ47</f>
        <v/>
      </c>
      <c r="AK52" s="12">
        <f>AK47</f>
        <v/>
      </c>
      <c r="AL52" s="12">
        <f>AL47</f>
        <v/>
      </c>
      <c r="AM52" s="12">
        <f>AM47</f>
        <v/>
      </c>
      <c r="AN52" s="12">
        <f>AN47</f>
        <v/>
      </c>
      <c r="AO52" s="12">
        <f>AO47</f>
        <v/>
      </c>
      <c r="AP52" s="12">
        <f>AP47</f>
        <v/>
      </c>
      <c r="AQ52" s="12">
        <f>AQ47</f>
        <v/>
      </c>
      <c r="AR52" s="12">
        <f>AR47</f>
        <v/>
      </c>
      <c r="AS52" s="12">
        <f>AS47</f>
        <v/>
      </c>
      <c r="AT52" s="12">
        <f>AT47</f>
        <v/>
      </c>
      <c r="AU52" s="12">
        <f>AU47</f>
        <v/>
      </c>
      <c r="AV52" s="12">
        <f>AV47</f>
        <v/>
      </c>
      <c r="AW52" s="12">
        <f>AW47</f>
        <v/>
      </c>
      <c r="AX52" s="12">
        <f>AX47</f>
        <v/>
      </c>
      <c r="AY52" s="12">
        <f>AY47</f>
        <v/>
      </c>
      <c r="AZ52" s="12">
        <f>AZ47</f>
        <v/>
      </c>
      <c r="BA52" s="12">
        <f>BA47</f>
        <v/>
      </c>
      <c r="BB52" s="12">
        <f>BB47</f>
        <v/>
      </c>
      <c r="BC52" s="12">
        <f>BC47</f>
        <v/>
      </c>
      <c r="BD52" s="12">
        <f>BD47</f>
        <v/>
      </c>
      <c r="BE52" s="12">
        <f>BE47</f>
        <v/>
      </c>
      <c r="BF52" s="12">
        <f>BF47</f>
        <v/>
      </c>
      <c r="BG52" s="12">
        <f>BG47</f>
        <v/>
      </c>
      <c r="BH52" s="12">
        <f>BH47</f>
        <v/>
      </c>
      <c r="BI52" s="12">
        <f>BI47</f>
        <v/>
      </c>
      <c r="BJ52" s="12">
        <f>BJ47</f>
        <v/>
      </c>
      <c r="BK52" s="12">
        <f>BK47</f>
        <v/>
      </c>
      <c r="BL52" s="12">
        <f>BL47</f>
        <v/>
      </c>
      <c r="BM52" s="12">
        <f>BM47</f>
        <v/>
      </c>
      <c r="BN52" s="12">
        <f>BN47</f>
        <v/>
      </c>
      <c r="BO52" s="12">
        <f>BO47</f>
        <v/>
      </c>
      <c r="BP52" s="12">
        <f>BP47</f>
        <v/>
      </c>
      <c r="BQ52" s="12">
        <f>BQ47</f>
        <v/>
      </c>
      <c r="BR52" s="12">
        <f>BR47</f>
        <v/>
      </c>
      <c r="BS52" s="12">
        <f>BS47</f>
        <v/>
      </c>
      <c r="BT52" s="12">
        <f>BT47</f>
        <v/>
      </c>
      <c r="BU52" s="12">
        <f>BU47</f>
        <v/>
      </c>
      <c r="BV52" s="12">
        <f>BV47</f>
        <v/>
      </c>
      <c r="BW52" s="12">
        <f>BW47</f>
        <v/>
      </c>
      <c r="BX52" s="12">
        <f>BX47</f>
        <v/>
      </c>
      <c r="BY52" s="12">
        <f>BY47</f>
        <v/>
      </c>
    </row>
    <row r="53">
      <c r="B53" s="7" t="inlineStr">
        <is>
          <t>Новые школы — всего</t>
        </is>
      </c>
      <c r="C53" s="7" t="inlineStr">
        <is>
          <t>шт.</t>
        </is>
      </c>
      <c r="D53" s="130" t="inlineStr">
        <is>
          <t>В колонках лет — значение на конец года, в «Итого» — на конец пятого года. Это остаток, а не сумма.</t>
        </is>
      </c>
      <c r="E53" s="141">
        <f>W53</f>
        <v/>
      </c>
      <c r="F53" s="141">
        <f>AI53</f>
        <v/>
      </c>
      <c r="G53" s="141">
        <f>AU53</f>
        <v/>
      </c>
      <c r="H53" s="141">
        <f>BG53</f>
        <v/>
      </c>
      <c r="I53" s="141">
        <f>BS53</f>
        <v/>
      </c>
      <c r="J53" s="142">
        <f>BS53</f>
        <v/>
      </c>
      <c r="L53" s="143">
        <f>SUM(L50:L52)</f>
        <v/>
      </c>
      <c r="M53" s="143">
        <f>SUM(M50:M52)</f>
        <v/>
      </c>
      <c r="N53" s="143">
        <f>SUM(N50:N52)</f>
        <v/>
      </c>
      <c r="O53" s="143">
        <f>SUM(O50:O52)</f>
        <v/>
      </c>
      <c r="P53" s="143">
        <f>SUM(P50:P52)</f>
        <v/>
      </c>
      <c r="Q53" s="143">
        <f>SUM(Q50:Q52)</f>
        <v/>
      </c>
      <c r="R53" s="143">
        <f>SUM(R50:R52)</f>
        <v/>
      </c>
      <c r="S53" s="143">
        <f>SUM(S50:S52)</f>
        <v/>
      </c>
      <c r="T53" s="143">
        <f>SUM(T50:T52)</f>
        <v/>
      </c>
      <c r="U53" s="143">
        <f>SUM(U50:U52)</f>
        <v/>
      </c>
      <c r="V53" s="143">
        <f>SUM(V50:V52)</f>
        <v/>
      </c>
      <c r="W53" s="143">
        <f>SUM(W50:W52)</f>
        <v/>
      </c>
      <c r="X53" s="143">
        <f>SUM(X50:X52)</f>
        <v/>
      </c>
      <c r="Y53" s="143">
        <f>SUM(Y50:Y52)</f>
        <v/>
      </c>
      <c r="Z53" s="143">
        <f>SUM(Z50:Z52)</f>
        <v/>
      </c>
      <c r="AA53" s="143">
        <f>SUM(AA50:AA52)</f>
        <v/>
      </c>
      <c r="AB53" s="143">
        <f>SUM(AB50:AB52)</f>
        <v/>
      </c>
      <c r="AC53" s="143">
        <f>SUM(AC50:AC52)</f>
        <v/>
      </c>
      <c r="AD53" s="143">
        <f>SUM(AD50:AD52)</f>
        <v/>
      </c>
      <c r="AE53" s="143">
        <f>SUM(AE50:AE52)</f>
        <v/>
      </c>
      <c r="AF53" s="143">
        <f>SUM(AF50:AF52)</f>
        <v/>
      </c>
      <c r="AG53" s="143">
        <f>SUM(AG50:AG52)</f>
        <v/>
      </c>
      <c r="AH53" s="143">
        <f>SUM(AH50:AH52)</f>
        <v/>
      </c>
      <c r="AI53" s="143">
        <f>SUM(AI50:AI52)</f>
        <v/>
      </c>
      <c r="AJ53" s="143">
        <f>SUM(AJ50:AJ52)</f>
        <v/>
      </c>
      <c r="AK53" s="143">
        <f>SUM(AK50:AK52)</f>
        <v/>
      </c>
      <c r="AL53" s="143">
        <f>SUM(AL50:AL52)</f>
        <v/>
      </c>
      <c r="AM53" s="143">
        <f>SUM(AM50:AM52)</f>
        <v/>
      </c>
      <c r="AN53" s="143">
        <f>SUM(AN50:AN52)</f>
        <v/>
      </c>
      <c r="AO53" s="143">
        <f>SUM(AO50:AO52)</f>
        <v/>
      </c>
      <c r="AP53" s="143">
        <f>SUM(AP50:AP52)</f>
        <v/>
      </c>
      <c r="AQ53" s="143">
        <f>SUM(AQ50:AQ52)</f>
        <v/>
      </c>
      <c r="AR53" s="143">
        <f>SUM(AR50:AR52)</f>
        <v/>
      </c>
      <c r="AS53" s="143">
        <f>SUM(AS50:AS52)</f>
        <v/>
      </c>
      <c r="AT53" s="143">
        <f>SUM(AT50:AT52)</f>
        <v/>
      </c>
      <c r="AU53" s="143">
        <f>SUM(AU50:AU52)</f>
        <v/>
      </c>
      <c r="AV53" s="143">
        <f>SUM(AV50:AV52)</f>
        <v/>
      </c>
      <c r="AW53" s="143">
        <f>SUM(AW50:AW52)</f>
        <v/>
      </c>
      <c r="AX53" s="143">
        <f>SUM(AX50:AX52)</f>
        <v/>
      </c>
      <c r="AY53" s="143">
        <f>SUM(AY50:AY52)</f>
        <v/>
      </c>
      <c r="AZ53" s="143">
        <f>SUM(AZ50:AZ52)</f>
        <v/>
      </c>
      <c r="BA53" s="143">
        <f>SUM(BA50:BA52)</f>
        <v/>
      </c>
      <c r="BB53" s="143">
        <f>SUM(BB50:BB52)</f>
        <v/>
      </c>
      <c r="BC53" s="143">
        <f>SUM(BC50:BC52)</f>
        <v/>
      </c>
      <c r="BD53" s="143">
        <f>SUM(BD50:BD52)</f>
        <v/>
      </c>
      <c r="BE53" s="143">
        <f>SUM(BE50:BE52)</f>
        <v/>
      </c>
      <c r="BF53" s="143">
        <f>SUM(BF50:BF52)</f>
        <v/>
      </c>
      <c r="BG53" s="143">
        <f>SUM(BG50:BG52)</f>
        <v/>
      </c>
      <c r="BH53" s="143">
        <f>SUM(BH50:BH52)</f>
        <v/>
      </c>
      <c r="BI53" s="143">
        <f>SUM(BI50:BI52)</f>
        <v/>
      </c>
      <c r="BJ53" s="143">
        <f>SUM(BJ50:BJ52)</f>
        <v/>
      </c>
      <c r="BK53" s="143">
        <f>SUM(BK50:BK52)</f>
        <v/>
      </c>
      <c r="BL53" s="143">
        <f>SUM(BL50:BL52)</f>
        <v/>
      </c>
      <c r="BM53" s="143">
        <f>SUM(BM50:BM52)</f>
        <v/>
      </c>
      <c r="BN53" s="143">
        <f>SUM(BN50:BN52)</f>
        <v/>
      </c>
      <c r="BO53" s="143">
        <f>SUM(BO50:BO52)</f>
        <v/>
      </c>
      <c r="BP53" s="143">
        <f>SUM(BP50:BP52)</f>
        <v/>
      </c>
      <c r="BQ53" s="143">
        <f>SUM(BQ50:BQ52)</f>
        <v/>
      </c>
      <c r="BR53" s="143">
        <f>SUM(BR50:BR52)</f>
        <v/>
      </c>
      <c r="BS53" s="143">
        <f>SUM(BS50:BS52)</f>
        <v/>
      </c>
      <c r="BT53" s="143">
        <f>SUM(BT50:BT52)</f>
        <v/>
      </c>
      <c r="BU53" s="143">
        <f>SUM(BU50:BU52)</f>
        <v/>
      </c>
      <c r="BV53" s="143">
        <f>SUM(BV50:BV52)</f>
        <v/>
      </c>
      <c r="BW53" s="143">
        <f>SUM(BW50:BW52)</f>
        <v/>
      </c>
      <c r="BX53" s="143">
        <f>SUM(BX50:BX52)</f>
        <v/>
      </c>
      <c r="BY53" s="143">
        <f>SUM(BY50:BY52)</f>
        <v/>
      </c>
    </row>
    <row r="54">
      <c r="B54" t="inlineStr">
        <is>
          <t>Дети новых школ, 1–12 мес.</t>
        </is>
      </c>
      <c r="C54" t="inlineStr">
        <is>
          <t>чел.</t>
        </is>
      </c>
      <c r="D54" s="127" t="inlineStr">
        <is>
          <t>Каждая когорта умножается на ёмкость своего возраста из справочника тарифов В колонках лет — значение на конец года, в «Итого» — на конец пятого года. Это остаток, а не сумма.</t>
        </is>
      </c>
      <c r="E54" s="129">
        <f>W54</f>
        <v/>
      </c>
      <c r="F54" s="129">
        <f>AI54</f>
        <v/>
      </c>
      <c r="G54" s="129">
        <f>AU54</f>
        <v/>
      </c>
      <c r="H54" s="129">
        <f>BG54</f>
        <v/>
      </c>
      <c r="I54" s="129">
        <f>BS54</f>
        <v/>
      </c>
      <c r="J54" s="6">
        <f>BS54</f>
        <v/>
      </c>
      <c r="L54" s="5">
        <f>SUMPRODUCT(L23:L34,CapacityYear1)*МножительДетей*L10</f>
        <v/>
      </c>
      <c r="M54" s="5">
        <f>SUMPRODUCT(M23:M34,CapacityYear1)*МножительДетей*M10</f>
        <v/>
      </c>
      <c r="N54" s="5">
        <f>SUMPRODUCT(N23:N34,CapacityYear1)*МножительДетей*N10</f>
        <v/>
      </c>
      <c r="O54" s="5">
        <f>SUMPRODUCT(O23:O34,CapacityYear1)*МножительДетей*O10</f>
        <v/>
      </c>
      <c r="P54" s="5">
        <f>SUMPRODUCT(P23:P34,CapacityYear1)*МножительДетей*P10</f>
        <v/>
      </c>
      <c r="Q54" s="5">
        <f>SUMPRODUCT(Q23:Q34,CapacityYear1)*МножительДетей*Q10</f>
        <v/>
      </c>
      <c r="R54" s="5">
        <f>SUMPRODUCT(R23:R34,CapacityYear1)*МножительДетей*R10</f>
        <v/>
      </c>
      <c r="S54" s="5">
        <f>SUMPRODUCT(S23:S34,CapacityYear1)*МножительДетей*S10</f>
        <v/>
      </c>
      <c r="T54" s="5">
        <f>SUMPRODUCT(T23:T34,CapacityYear1)*МножительДетей*T10</f>
        <v/>
      </c>
      <c r="U54" s="5">
        <f>SUMPRODUCT(U23:U34,CapacityYear1)*МножительДетей*U10</f>
        <v/>
      </c>
      <c r="V54" s="5">
        <f>SUMPRODUCT(V23:V34,CapacityYear1)*МножительДетей*V10</f>
        <v/>
      </c>
      <c r="W54" s="5">
        <f>SUMPRODUCT(W23:W34,CapacityYear1)*МножительДетей*W10</f>
        <v/>
      </c>
      <c r="X54" s="5">
        <f>SUMPRODUCT(X23:X34,CapacityYear1)*МножительДетей*X10</f>
        <v/>
      </c>
      <c r="Y54" s="5">
        <f>SUMPRODUCT(Y23:Y34,CapacityYear1)*МножительДетей*Y10</f>
        <v/>
      </c>
      <c r="Z54" s="5">
        <f>SUMPRODUCT(Z23:Z34,CapacityYear1)*МножительДетей*Z10</f>
        <v/>
      </c>
      <c r="AA54" s="5">
        <f>SUMPRODUCT(AA23:AA34,CapacityYear1)*МножительДетей*AA10</f>
        <v/>
      </c>
      <c r="AB54" s="5">
        <f>SUMPRODUCT(AB23:AB34,CapacityYear1)*МножительДетей*AB10</f>
        <v/>
      </c>
      <c r="AC54" s="5">
        <f>SUMPRODUCT(AC23:AC34,CapacityYear1)*МножительДетей*AC10</f>
        <v/>
      </c>
      <c r="AD54" s="5">
        <f>SUMPRODUCT(AD23:AD34,CapacityYear1)*МножительДетей*AD10</f>
        <v/>
      </c>
      <c r="AE54" s="5">
        <f>SUMPRODUCT(AE23:AE34,CapacityYear1)*МножительДетей*AE10</f>
        <v/>
      </c>
      <c r="AF54" s="5">
        <f>SUMPRODUCT(AF23:AF34,CapacityYear1)*МножительДетей*AF10</f>
        <v/>
      </c>
      <c r="AG54" s="5">
        <f>SUMPRODUCT(AG23:AG34,CapacityYear1)*МножительДетей*AG10</f>
        <v/>
      </c>
      <c r="AH54" s="5">
        <f>SUMPRODUCT(AH23:AH34,CapacityYear1)*МножительДетей*AH10</f>
        <v/>
      </c>
      <c r="AI54" s="5">
        <f>SUMPRODUCT(AI23:AI34,CapacityYear1)*МножительДетей*AI10</f>
        <v/>
      </c>
      <c r="AJ54" s="5">
        <f>SUMPRODUCT(AJ23:AJ34,CapacityYear1)*МножительДетей*AJ10</f>
        <v/>
      </c>
      <c r="AK54" s="5">
        <f>SUMPRODUCT(AK23:AK34,CapacityYear1)*МножительДетей*AK10</f>
        <v/>
      </c>
      <c r="AL54" s="5">
        <f>SUMPRODUCT(AL23:AL34,CapacityYear1)*МножительДетей*AL10</f>
        <v/>
      </c>
      <c r="AM54" s="5">
        <f>SUMPRODUCT(AM23:AM34,CapacityYear1)*МножительДетей*AM10</f>
        <v/>
      </c>
      <c r="AN54" s="5">
        <f>SUMPRODUCT(AN23:AN34,CapacityYear1)*МножительДетей*AN10</f>
        <v/>
      </c>
      <c r="AO54" s="5">
        <f>SUMPRODUCT(AO23:AO34,CapacityYear1)*МножительДетей*AO10</f>
        <v/>
      </c>
      <c r="AP54" s="5">
        <f>SUMPRODUCT(AP23:AP34,CapacityYear1)*МножительДетей*AP10</f>
        <v/>
      </c>
      <c r="AQ54" s="5">
        <f>SUMPRODUCT(AQ23:AQ34,CapacityYear1)*МножительДетей*AQ10</f>
        <v/>
      </c>
      <c r="AR54" s="5">
        <f>SUMPRODUCT(AR23:AR34,CapacityYear1)*МножительДетей*AR10</f>
        <v/>
      </c>
      <c r="AS54" s="5">
        <f>SUMPRODUCT(AS23:AS34,CapacityYear1)*МножительДетей*AS10</f>
        <v/>
      </c>
      <c r="AT54" s="5">
        <f>SUMPRODUCT(AT23:AT34,CapacityYear1)*МножительДетей*AT10</f>
        <v/>
      </c>
      <c r="AU54" s="5">
        <f>SUMPRODUCT(AU23:AU34,CapacityYear1)*МножительДетей*AU10</f>
        <v/>
      </c>
      <c r="AV54" s="5">
        <f>SUMPRODUCT(AV23:AV34,CapacityYear1)*МножительДетей*AV10</f>
        <v/>
      </c>
      <c r="AW54" s="5">
        <f>SUMPRODUCT(AW23:AW34,CapacityYear1)*МножительДетей*AW10</f>
        <v/>
      </c>
      <c r="AX54" s="5">
        <f>SUMPRODUCT(AX23:AX34,CapacityYear1)*МножительДетей*AX10</f>
        <v/>
      </c>
      <c r="AY54" s="5">
        <f>SUMPRODUCT(AY23:AY34,CapacityYear1)*МножительДетей*AY10</f>
        <v/>
      </c>
      <c r="AZ54" s="5">
        <f>SUMPRODUCT(AZ23:AZ34,CapacityYear1)*МножительДетей*AZ10</f>
        <v/>
      </c>
      <c r="BA54" s="5">
        <f>SUMPRODUCT(BA23:BA34,CapacityYear1)*МножительДетей*BA10</f>
        <v/>
      </c>
      <c r="BB54" s="5">
        <f>SUMPRODUCT(BB23:BB34,CapacityYear1)*МножительДетей*BB10</f>
        <v/>
      </c>
      <c r="BC54" s="5">
        <f>SUMPRODUCT(BC23:BC34,CapacityYear1)*МножительДетей*BC10</f>
        <v/>
      </c>
      <c r="BD54" s="5">
        <f>SUMPRODUCT(BD23:BD34,CapacityYear1)*МножительДетей*BD10</f>
        <v/>
      </c>
      <c r="BE54" s="5">
        <f>SUMPRODUCT(BE23:BE34,CapacityYear1)*МножительДетей*BE10</f>
        <v/>
      </c>
      <c r="BF54" s="5">
        <f>SUMPRODUCT(BF23:BF34,CapacityYear1)*МножительДетей*BF10</f>
        <v/>
      </c>
      <c r="BG54" s="5">
        <f>SUMPRODUCT(BG23:BG34,CapacityYear1)*МножительДетей*BG10</f>
        <v/>
      </c>
      <c r="BH54" s="5">
        <f>SUMPRODUCT(BH23:BH34,CapacityYear1)*МножительДетей*BH10</f>
        <v/>
      </c>
      <c r="BI54" s="5">
        <f>SUMPRODUCT(BI23:BI34,CapacityYear1)*МножительДетей*BI10</f>
        <v/>
      </c>
      <c r="BJ54" s="5">
        <f>SUMPRODUCT(BJ23:BJ34,CapacityYear1)*МножительДетей*BJ10</f>
        <v/>
      </c>
      <c r="BK54" s="5">
        <f>SUMPRODUCT(BK23:BK34,CapacityYear1)*МножительДетей*BK10</f>
        <v/>
      </c>
      <c r="BL54" s="5">
        <f>SUMPRODUCT(BL23:BL34,CapacityYear1)*МножительДетей*BL10</f>
        <v/>
      </c>
      <c r="BM54" s="5">
        <f>SUMPRODUCT(BM23:BM34,CapacityYear1)*МножительДетей*BM10</f>
        <v/>
      </c>
      <c r="BN54" s="5">
        <f>SUMPRODUCT(BN23:BN34,CapacityYear1)*МножительДетей*BN10</f>
        <v/>
      </c>
      <c r="BO54" s="5">
        <f>SUMPRODUCT(BO23:BO34,CapacityYear1)*МножительДетей*BO10</f>
        <v/>
      </c>
      <c r="BP54" s="5">
        <f>SUMPRODUCT(BP23:BP34,CapacityYear1)*МножительДетей*BP10</f>
        <v/>
      </c>
      <c r="BQ54" s="5">
        <f>SUMPRODUCT(BQ23:BQ34,CapacityYear1)*МножительДетей*BQ10</f>
        <v/>
      </c>
      <c r="BR54" s="5">
        <f>SUMPRODUCT(BR23:BR34,CapacityYear1)*МножительДетей*BR10</f>
        <v/>
      </c>
      <c r="BS54" s="5">
        <f>SUMPRODUCT(BS23:BS34,CapacityYear1)*МножительДетей*BS10</f>
        <v/>
      </c>
      <c r="BT54" s="5">
        <f>SUMPRODUCT(BT23:BT34,CapacityYear1)*МножительДетей*BT10</f>
        <v/>
      </c>
      <c r="BU54" s="5">
        <f>SUMPRODUCT(BU23:BU34,CapacityYear1)*МножительДетей*BU10</f>
        <v/>
      </c>
      <c r="BV54" s="5">
        <f>SUMPRODUCT(BV23:BV34,CapacityYear1)*МножительДетей*BV10</f>
        <v/>
      </c>
      <c r="BW54" s="5">
        <f>SUMPRODUCT(BW23:BW34,CapacityYear1)*МножительДетей*BW10</f>
        <v/>
      </c>
      <c r="BX54" s="5">
        <f>SUMPRODUCT(BX23:BX34,CapacityYear1)*МножительДетей*BX10</f>
        <v/>
      </c>
      <c r="BY54" s="5">
        <f>SUMPRODUCT(BY23:BY34,CapacityYear1)*МножительДетей*BY10</f>
        <v/>
      </c>
    </row>
    <row r="55">
      <c r="B55" t="inlineStr">
        <is>
          <t>Дети новых школ, 13–24 мес.</t>
        </is>
      </c>
      <c r="C55" t="inlineStr">
        <is>
          <t>чел.</t>
        </is>
      </c>
      <c r="D55" s="127" t="inlineStr">
        <is>
          <t>В колонках лет — значение на конец года, в «Итого» — на конец пятого года. Это остаток, а не сумма.</t>
        </is>
      </c>
      <c r="E55" s="129">
        <f>W55</f>
        <v/>
      </c>
      <c r="F55" s="129">
        <f>AI55</f>
        <v/>
      </c>
      <c r="G55" s="129">
        <f>AU55</f>
        <v/>
      </c>
      <c r="H55" s="129">
        <f>BG55</f>
        <v/>
      </c>
      <c r="I55" s="129">
        <f>BS55</f>
        <v/>
      </c>
      <c r="J55" s="6">
        <f>BS55</f>
        <v/>
      </c>
      <c r="L55" s="5">
        <f>SUMPRODUCT(L35:L46,CapacityYear2)*МножительДетей*L10</f>
        <v/>
      </c>
      <c r="M55" s="5">
        <f>SUMPRODUCT(M35:M46,CapacityYear2)*МножительДетей*M10</f>
        <v/>
      </c>
      <c r="N55" s="5">
        <f>SUMPRODUCT(N35:N46,CapacityYear2)*МножительДетей*N10</f>
        <v/>
      </c>
      <c r="O55" s="5">
        <f>SUMPRODUCT(O35:O46,CapacityYear2)*МножительДетей*O10</f>
        <v/>
      </c>
      <c r="P55" s="5">
        <f>SUMPRODUCT(P35:P46,CapacityYear2)*МножительДетей*P10</f>
        <v/>
      </c>
      <c r="Q55" s="5">
        <f>SUMPRODUCT(Q35:Q46,CapacityYear2)*МножительДетей*Q10</f>
        <v/>
      </c>
      <c r="R55" s="5">
        <f>SUMPRODUCT(R35:R46,CapacityYear2)*МножительДетей*R10</f>
        <v/>
      </c>
      <c r="S55" s="5">
        <f>SUMPRODUCT(S35:S46,CapacityYear2)*МножительДетей*S10</f>
        <v/>
      </c>
      <c r="T55" s="5">
        <f>SUMPRODUCT(T35:T46,CapacityYear2)*МножительДетей*T10</f>
        <v/>
      </c>
      <c r="U55" s="5">
        <f>SUMPRODUCT(U35:U46,CapacityYear2)*МножительДетей*U10</f>
        <v/>
      </c>
      <c r="V55" s="5">
        <f>SUMPRODUCT(V35:V46,CapacityYear2)*МножительДетей*V10</f>
        <v/>
      </c>
      <c r="W55" s="5">
        <f>SUMPRODUCT(W35:W46,CapacityYear2)*МножительДетей*W10</f>
        <v/>
      </c>
      <c r="X55" s="5">
        <f>SUMPRODUCT(X35:X46,CapacityYear2)*МножительДетей*X10</f>
        <v/>
      </c>
      <c r="Y55" s="5">
        <f>SUMPRODUCT(Y35:Y46,CapacityYear2)*МножительДетей*Y10</f>
        <v/>
      </c>
      <c r="Z55" s="5">
        <f>SUMPRODUCT(Z35:Z46,CapacityYear2)*МножительДетей*Z10</f>
        <v/>
      </c>
      <c r="AA55" s="5">
        <f>SUMPRODUCT(AA35:AA46,CapacityYear2)*МножительДетей*AA10</f>
        <v/>
      </c>
      <c r="AB55" s="5">
        <f>SUMPRODUCT(AB35:AB46,CapacityYear2)*МножительДетей*AB10</f>
        <v/>
      </c>
      <c r="AC55" s="5">
        <f>SUMPRODUCT(AC35:AC46,CapacityYear2)*МножительДетей*AC10</f>
        <v/>
      </c>
      <c r="AD55" s="5">
        <f>SUMPRODUCT(AD35:AD46,CapacityYear2)*МножительДетей*AD10</f>
        <v/>
      </c>
      <c r="AE55" s="5">
        <f>SUMPRODUCT(AE35:AE46,CapacityYear2)*МножительДетей*AE10</f>
        <v/>
      </c>
      <c r="AF55" s="5">
        <f>SUMPRODUCT(AF35:AF46,CapacityYear2)*МножительДетей*AF10</f>
        <v/>
      </c>
      <c r="AG55" s="5">
        <f>SUMPRODUCT(AG35:AG46,CapacityYear2)*МножительДетей*AG10</f>
        <v/>
      </c>
      <c r="AH55" s="5">
        <f>SUMPRODUCT(AH35:AH46,CapacityYear2)*МножительДетей*AH10</f>
        <v/>
      </c>
      <c r="AI55" s="5">
        <f>SUMPRODUCT(AI35:AI46,CapacityYear2)*МножительДетей*AI10</f>
        <v/>
      </c>
      <c r="AJ55" s="5">
        <f>SUMPRODUCT(AJ35:AJ46,CapacityYear2)*МножительДетей*AJ10</f>
        <v/>
      </c>
      <c r="AK55" s="5">
        <f>SUMPRODUCT(AK35:AK46,CapacityYear2)*МножительДетей*AK10</f>
        <v/>
      </c>
      <c r="AL55" s="5">
        <f>SUMPRODUCT(AL35:AL46,CapacityYear2)*МножительДетей*AL10</f>
        <v/>
      </c>
      <c r="AM55" s="5">
        <f>SUMPRODUCT(AM35:AM46,CapacityYear2)*МножительДетей*AM10</f>
        <v/>
      </c>
      <c r="AN55" s="5">
        <f>SUMPRODUCT(AN35:AN46,CapacityYear2)*МножительДетей*AN10</f>
        <v/>
      </c>
      <c r="AO55" s="5">
        <f>SUMPRODUCT(AO35:AO46,CapacityYear2)*МножительДетей*AO10</f>
        <v/>
      </c>
      <c r="AP55" s="5">
        <f>SUMPRODUCT(AP35:AP46,CapacityYear2)*МножительДетей*AP10</f>
        <v/>
      </c>
      <c r="AQ55" s="5">
        <f>SUMPRODUCT(AQ35:AQ46,CapacityYear2)*МножительДетей*AQ10</f>
        <v/>
      </c>
      <c r="AR55" s="5">
        <f>SUMPRODUCT(AR35:AR46,CapacityYear2)*МножительДетей*AR10</f>
        <v/>
      </c>
      <c r="AS55" s="5">
        <f>SUMPRODUCT(AS35:AS46,CapacityYear2)*МножительДетей*AS10</f>
        <v/>
      </c>
      <c r="AT55" s="5">
        <f>SUMPRODUCT(AT35:AT46,CapacityYear2)*МножительДетей*AT10</f>
        <v/>
      </c>
      <c r="AU55" s="5">
        <f>SUMPRODUCT(AU35:AU46,CapacityYear2)*МножительДетей*AU10</f>
        <v/>
      </c>
      <c r="AV55" s="5">
        <f>SUMPRODUCT(AV35:AV46,CapacityYear2)*МножительДетей*AV10</f>
        <v/>
      </c>
      <c r="AW55" s="5">
        <f>SUMPRODUCT(AW35:AW46,CapacityYear2)*МножительДетей*AW10</f>
        <v/>
      </c>
      <c r="AX55" s="5">
        <f>SUMPRODUCT(AX35:AX46,CapacityYear2)*МножительДетей*AX10</f>
        <v/>
      </c>
      <c r="AY55" s="5">
        <f>SUMPRODUCT(AY35:AY46,CapacityYear2)*МножительДетей*AY10</f>
        <v/>
      </c>
      <c r="AZ55" s="5">
        <f>SUMPRODUCT(AZ35:AZ46,CapacityYear2)*МножительДетей*AZ10</f>
        <v/>
      </c>
      <c r="BA55" s="5">
        <f>SUMPRODUCT(BA35:BA46,CapacityYear2)*МножительДетей*BA10</f>
        <v/>
      </c>
      <c r="BB55" s="5">
        <f>SUMPRODUCT(BB35:BB46,CapacityYear2)*МножительДетей*BB10</f>
        <v/>
      </c>
      <c r="BC55" s="5">
        <f>SUMPRODUCT(BC35:BC46,CapacityYear2)*МножительДетей*BC10</f>
        <v/>
      </c>
      <c r="BD55" s="5">
        <f>SUMPRODUCT(BD35:BD46,CapacityYear2)*МножительДетей*BD10</f>
        <v/>
      </c>
      <c r="BE55" s="5">
        <f>SUMPRODUCT(BE35:BE46,CapacityYear2)*МножительДетей*BE10</f>
        <v/>
      </c>
      <c r="BF55" s="5">
        <f>SUMPRODUCT(BF35:BF46,CapacityYear2)*МножительДетей*BF10</f>
        <v/>
      </c>
      <c r="BG55" s="5">
        <f>SUMPRODUCT(BG35:BG46,CapacityYear2)*МножительДетей*BG10</f>
        <v/>
      </c>
      <c r="BH55" s="5">
        <f>SUMPRODUCT(BH35:BH46,CapacityYear2)*МножительДетей*BH10</f>
        <v/>
      </c>
      <c r="BI55" s="5">
        <f>SUMPRODUCT(BI35:BI46,CapacityYear2)*МножительДетей*BI10</f>
        <v/>
      </c>
      <c r="BJ55" s="5">
        <f>SUMPRODUCT(BJ35:BJ46,CapacityYear2)*МножительДетей*BJ10</f>
        <v/>
      </c>
      <c r="BK55" s="5">
        <f>SUMPRODUCT(BK35:BK46,CapacityYear2)*МножительДетей*BK10</f>
        <v/>
      </c>
      <c r="BL55" s="5">
        <f>SUMPRODUCT(BL35:BL46,CapacityYear2)*МножительДетей*BL10</f>
        <v/>
      </c>
      <c r="BM55" s="5">
        <f>SUMPRODUCT(BM35:BM46,CapacityYear2)*МножительДетей*BM10</f>
        <v/>
      </c>
      <c r="BN55" s="5">
        <f>SUMPRODUCT(BN35:BN46,CapacityYear2)*МножительДетей*BN10</f>
        <v/>
      </c>
      <c r="BO55" s="5">
        <f>SUMPRODUCT(BO35:BO46,CapacityYear2)*МножительДетей*BO10</f>
        <v/>
      </c>
      <c r="BP55" s="5">
        <f>SUMPRODUCT(BP35:BP46,CapacityYear2)*МножительДетей*BP10</f>
        <v/>
      </c>
      <c r="BQ55" s="5">
        <f>SUMPRODUCT(BQ35:BQ46,CapacityYear2)*МножительДетей*BQ10</f>
        <v/>
      </c>
      <c r="BR55" s="5">
        <f>SUMPRODUCT(BR35:BR46,CapacityYear2)*МножительДетей*BR10</f>
        <v/>
      </c>
      <c r="BS55" s="5">
        <f>SUMPRODUCT(BS35:BS46,CapacityYear2)*МножительДетей*BS10</f>
        <v/>
      </c>
      <c r="BT55" s="5">
        <f>SUMPRODUCT(BT35:BT46,CapacityYear2)*МножительДетей*BT10</f>
        <v/>
      </c>
      <c r="BU55" s="5">
        <f>SUMPRODUCT(BU35:BU46,CapacityYear2)*МножительДетей*BU10</f>
        <v/>
      </c>
      <c r="BV55" s="5">
        <f>SUMPRODUCT(BV35:BV46,CapacityYear2)*МножительДетей*BV10</f>
        <v/>
      </c>
      <c r="BW55" s="5">
        <f>SUMPRODUCT(BW35:BW46,CapacityYear2)*МножительДетей*BW10</f>
        <v/>
      </c>
      <c r="BX55" s="5">
        <f>SUMPRODUCT(BX35:BX46,CapacityYear2)*МножительДетей*BX10</f>
        <v/>
      </c>
      <c r="BY55" s="5">
        <f>SUMPRODUCT(BY35:BY46,CapacityYear2)*МножительДетей*BY10</f>
        <v/>
      </c>
    </row>
    <row r="56">
      <c r="B56" t="inlineStr">
        <is>
          <t>Дети новых школ, зрелые</t>
        </is>
      </c>
      <c r="C56" t="inlineStr">
        <is>
          <t>чел.</t>
        </is>
      </c>
      <c r="D56" s="127" t="inlineStr">
        <is>
          <t>В колонках лет — значение на конец года, в «Итого» — на конец пятого года. Это остаток, а не сумма.</t>
        </is>
      </c>
      <c r="E56" s="129">
        <f>W56</f>
        <v/>
      </c>
      <c r="F56" s="129">
        <f>AI56</f>
        <v/>
      </c>
      <c r="G56" s="129">
        <f>AU56</f>
        <v/>
      </c>
      <c r="H56" s="129">
        <f>BG56</f>
        <v/>
      </c>
      <c r="I56" s="129">
        <f>BS56</f>
        <v/>
      </c>
      <c r="J56" s="6">
        <f>BS56</f>
        <v/>
      </c>
      <c r="L56" s="5">
        <f>L47*CapacityAge25*МножительДетей*L10</f>
        <v/>
      </c>
      <c r="M56" s="5">
        <f>M47*CapacityAge25*МножительДетей*M10</f>
        <v/>
      </c>
      <c r="N56" s="5">
        <f>N47*CapacityAge25*МножительДетей*N10</f>
        <v/>
      </c>
      <c r="O56" s="5">
        <f>O47*CapacityAge25*МножительДетей*O10</f>
        <v/>
      </c>
      <c r="P56" s="5">
        <f>P47*CapacityAge25*МножительДетей*P10</f>
        <v/>
      </c>
      <c r="Q56" s="5">
        <f>Q47*CapacityAge25*МножительДетей*Q10</f>
        <v/>
      </c>
      <c r="R56" s="5">
        <f>R47*CapacityAge25*МножительДетей*R10</f>
        <v/>
      </c>
      <c r="S56" s="5">
        <f>S47*CapacityAge25*МножительДетей*S10</f>
        <v/>
      </c>
      <c r="T56" s="5">
        <f>T47*CapacityAge25*МножительДетей*T10</f>
        <v/>
      </c>
      <c r="U56" s="5">
        <f>U47*CapacityAge25*МножительДетей*U10</f>
        <v/>
      </c>
      <c r="V56" s="5">
        <f>V47*CapacityAge25*МножительДетей*V10</f>
        <v/>
      </c>
      <c r="W56" s="5">
        <f>W47*CapacityAge25*МножительДетей*W10</f>
        <v/>
      </c>
      <c r="X56" s="5">
        <f>X47*CapacityAge25*МножительДетей*X10</f>
        <v/>
      </c>
      <c r="Y56" s="5">
        <f>Y47*CapacityAge25*МножительДетей*Y10</f>
        <v/>
      </c>
      <c r="Z56" s="5">
        <f>Z47*CapacityAge25*МножительДетей*Z10</f>
        <v/>
      </c>
      <c r="AA56" s="5">
        <f>AA47*CapacityAge25*МножительДетей*AA10</f>
        <v/>
      </c>
      <c r="AB56" s="5">
        <f>AB47*CapacityAge25*МножительДетей*AB10</f>
        <v/>
      </c>
      <c r="AC56" s="5">
        <f>AC47*CapacityAge25*МножительДетей*AC10</f>
        <v/>
      </c>
      <c r="AD56" s="5">
        <f>AD47*CapacityAge25*МножительДетей*AD10</f>
        <v/>
      </c>
      <c r="AE56" s="5">
        <f>AE47*CapacityAge25*МножительДетей*AE10</f>
        <v/>
      </c>
      <c r="AF56" s="5">
        <f>AF47*CapacityAge25*МножительДетей*AF10</f>
        <v/>
      </c>
      <c r="AG56" s="5">
        <f>AG47*CapacityAge25*МножительДетей*AG10</f>
        <v/>
      </c>
      <c r="AH56" s="5">
        <f>AH47*CapacityAge25*МножительДетей*AH10</f>
        <v/>
      </c>
      <c r="AI56" s="5">
        <f>AI47*CapacityAge25*МножительДетей*AI10</f>
        <v/>
      </c>
      <c r="AJ56" s="5">
        <f>AJ47*CapacityAge25*МножительДетей*AJ10</f>
        <v/>
      </c>
      <c r="AK56" s="5">
        <f>AK47*CapacityAge25*МножительДетей*AK10</f>
        <v/>
      </c>
      <c r="AL56" s="5">
        <f>AL47*CapacityAge25*МножительДетей*AL10</f>
        <v/>
      </c>
      <c r="AM56" s="5">
        <f>AM47*CapacityAge25*МножительДетей*AM10</f>
        <v/>
      </c>
      <c r="AN56" s="5">
        <f>AN47*CapacityAge25*МножительДетей*AN10</f>
        <v/>
      </c>
      <c r="AO56" s="5">
        <f>AO47*CapacityAge25*МножительДетей*AO10</f>
        <v/>
      </c>
      <c r="AP56" s="5">
        <f>AP47*CapacityAge25*МножительДетей*AP10</f>
        <v/>
      </c>
      <c r="AQ56" s="5">
        <f>AQ47*CapacityAge25*МножительДетей*AQ10</f>
        <v/>
      </c>
      <c r="AR56" s="5">
        <f>AR47*CapacityAge25*МножительДетей*AR10</f>
        <v/>
      </c>
      <c r="AS56" s="5">
        <f>AS47*CapacityAge25*МножительДетей*AS10</f>
        <v/>
      </c>
      <c r="AT56" s="5">
        <f>AT47*CapacityAge25*МножительДетей*AT10</f>
        <v/>
      </c>
      <c r="AU56" s="5">
        <f>AU47*CapacityAge25*МножительДетей*AU10</f>
        <v/>
      </c>
      <c r="AV56" s="5">
        <f>AV47*CapacityAge25*МножительДетей*AV10</f>
        <v/>
      </c>
      <c r="AW56" s="5">
        <f>AW47*CapacityAge25*МножительДетей*AW10</f>
        <v/>
      </c>
      <c r="AX56" s="5">
        <f>AX47*CapacityAge25*МножительДетей*AX10</f>
        <v/>
      </c>
      <c r="AY56" s="5">
        <f>AY47*CapacityAge25*МножительДетей*AY10</f>
        <v/>
      </c>
      <c r="AZ56" s="5">
        <f>AZ47*CapacityAge25*МножительДетей*AZ10</f>
        <v/>
      </c>
      <c r="BA56" s="5">
        <f>BA47*CapacityAge25*МножительДетей*BA10</f>
        <v/>
      </c>
      <c r="BB56" s="5">
        <f>BB47*CapacityAge25*МножительДетей*BB10</f>
        <v/>
      </c>
      <c r="BC56" s="5">
        <f>BC47*CapacityAge25*МножительДетей*BC10</f>
        <v/>
      </c>
      <c r="BD56" s="5">
        <f>BD47*CapacityAge25*МножительДетей*BD10</f>
        <v/>
      </c>
      <c r="BE56" s="5">
        <f>BE47*CapacityAge25*МножительДетей*BE10</f>
        <v/>
      </c>
      <c r="BF56" s="5">
        <f>BF47*CapacityAge25*МножительДетей*BF10</f>
        <v/>
      </c>
      <c r="BG56" s="5">
        <f>BG47*CapacityAge25*МножительДетей*BG10</f>
        <v/>
      </c>
      <c r="BH56" s="5">
        <f>BH47*CapacityAge25*МножительДетей*BH10</f>
        <v/>
      </c>
      <c r="BI56" s="5">
        <f>BI47*CapacityAge25*МножительДетей*BI10</f>
        <v/>
      </c>
      <c r="BJ56" s="5">
        <f>BJ47*CapacityAge25*МножительДетей*BJ10</f>
        <v/>
      </c>
      <c r="BK56" s="5">
        <f>BK47*CapacityAge25*МножительДетей*BK10</f>
        <v/>
      </c>
      <c r="BL56" s="5">
        <f>BL47*CapacityAge25*МножительДетей*BL10</f>
        <v/>
      </c>
      <c r="BM56" s="5">
        <f>BM47*CapacityAge25*МножительДетей*BM10</f>
        <v/>
      </c>
      <c r="BN56" s="5">
        <f>BN47*CapacityAge25*МножительДетей*BN10</f>
        <v/>
      </c>
      <c r="BO56" s="5">
        <f>BO47*CapacityAge25*МножительДетей*BO10</f>
        <v/>
      </c>
      <c r="BP56" s="5">
        <f>BP47*CapacityAge25*МножительДетей*BP10</f>
        <v/>
      </c>
      <c r="BQ56" s="5">
        <f>BQ47*CapacityAge25*МножительДетей*BQ10</f>
        <v/>
      </c>
      <c r="BR56" s="5">
        <f>BR47*CapacityAge25*МножительДетей*BR10</f>
        <v/>
      </c>
      <c r="BS56" s="5">
        <f>BS47*CapacityAge25*МножительДетей*BS10</f>
        <v/>
      </c>
      <c r="BT56" s="5">
        <f>BT47*CapacityAge25*МножительДетей*BT10</f>
        <v/>
      </c>
      <c r="BU56" s="5">
        <f>BU47*CapacityAge25*МножительДетей*BU10</f>
        <v/>
      </c>
      <c r="BV56" s="5">
        <f>BV47*CapacityAge25*МножительДетей*BV10</f>
        <v/>
      </c>
      <c r="BW56" s="5">
        <f>BW47*CapacityAge25*МножительДетей*BW10</f>
        <v/>
      </c>
      <c r="BX56" s="5">
        <f>BX47*CapacityAge25*МножительДетей*BX10</f>
        <v/>
      </c>
      <c r="BY56" s="5">
        <f>BY47*CapacityAge25*МножительДетей*BY10</f>
        <v/>
      </c>
    </row>
    <row r="57">
      <c r="B57" s="7" t="inlineStr">
        <is>
          <t>Дети новых школ — всего</t>
        </is>
      </c>
      <c r="C57" s="7" t="inlineStr">
        <is>
          <t>чел.</t>
        </is>
      </c>
      <c r="D57" s="130" t="inlineStr">
        <is>
          <t>В колонках лет — значение на конец года, в «Итого» — на конец пятого года. Это остаток, а не сумма.</t>
        </is>
      </c>
      <c r="E57" s="131">
        <f>W57</f>
        <v/>
      </c>
      <c r="F57" s="131">
        <f>AI57</f>
        <v/>
      </c>
      <c r="G57" s="131">
        <f>AU57</f>
        <v/>
      </c>
      <c r="H57" s="131">
        <f>BG57</f>
        <v/>
      </c>
      <c r="I57" s="131">
        <f>BS57</f>
        <v/>
      </c>
      <c r="J57" s="10">
        <f>BS57</f>
        <v/>
      </c>
      <c r="L57" s="9">
        <f>SUM(L54:L56)</f>
        <v/>
      </c>
      <c r="M57" s="9">
        <f>SUM(M54:M56)</f>
        <v/>
      </c>
      <c r="N57" s="9">
        <f>SUM(N54:N56)</f>
        <v/>
      </c>
      <c r="O57" s="9">
        <f>SUM(O54:O56)</f>
        <v/>
      </c>
      <c r="P57" s="9">
        <f>SUM(P54:P56)</f>
        <v/>
      </c>
      <c r="Q57" s="9">
        <f>SUM(Q54:Q56)</f>
        <v/>
      </c>
      <c r="R57" s="9">
        <f>SUM(R54:R56)</f>
        <v/>
      </c>
      <c r="S57" s="9">
        <f>SUM(S54:S56)</f>
        <v/>
      </c>
      <c r="T57" s="9">
        <f>SUM(T54:T56)</f>
        <v/>
      </c>
      <c r="U57" s="9">
        <f>SUM(U54:U56)</f>
        <v/>
      </c>
      <c r="V57" s="9">
        <f>SUM(V54:V56)</f>
        <v/>
      </c>
      <c r="W57" s="9">
        <f>SUM(W54:W56)</f>
        <v/>
      </c>
      <c r="X57" s="9">
        <f>SUM(X54:X56)</f>
        <v/>
      </c>
      <c r="Y57" s="9">
        <f>SUM(Y54:Y56)</f>
        <v/>
      </c>
      <c r="Z57" s="9">
        <f>SUM(Z54:Z56)</f>
        <v/>
      </c>
      <c r="AA57" s="9">
        <f>SUM(AA54:AA56)</f>
        <v/>
      </c>
      <c r="AB57" s="9">
        <f>SUM(AB54:AB56)</f>
        <v/>
      </c>
      <c r="AC57" s="9">
        <f>SUM(AC54:AC56)</f>
        <v/>
      </c>
      <c r="AD57" s="9">
        <f>SUM(AD54:AD56)</f>
        <v/>
      </c>
      <c r="AE57" s="9">
        <f>SUM(AE54:AE56)</f>
        <v/>
      </c>
      <c r="AF57" s="9">
        <f>SUM(AF54:AF56)</f>
        <v/>
      </c>
      <c r="AG57" s="9">
        <f>SUM(AG54:AG56)</f>
        <v/>
      </c>
      <c r="AH57" s="9">
        <f>SUM(AH54:AH56)</f>
        <v/>
      </c>
      <c r="AI57" s="9">
        <f>SUM(AI54:AI56)</f>
        <v/>
      </c>
      <c r="AJ57" s="9">
        <f>SUM(AJ54:AJ56)</f>
        <v/>
      </c>
      <c r="AK57" s="9">
        <f>SUM(AK54:AK56)</f>
        <v/>
      </c>
      <c r="AL57" s="9">
        <f>SUM(AL54:AL56)</f>
        <v/>
      </c>
      <c r="AM57" s="9">
        <f>SUM(AM54:AM56)</f>
        <v/>
      </c>
      <c r="AN57" s="9">
        <f>SUM(AN54:AN56)</f>
        <v/>
      </c>
      <c r="AO57" s="9">
        <f>SUM(AO54:AO56)</f>
        <v/>
      </c>
      <c r="AP57" s="9">
        <f>SUM(AP54:AP56)</f>
        <v/>
      </c>
      <c r="AQ57" s="9">
        <f>SUM(AQ54:AQ56)</f>
        <v/>
      </c>
      <c r="AR57" s="9">
        <f>SUM(AR54:AR56)</f>
        <v/>
      </c>
      <c r="AS57" s="9">
        <f>SUM(AS54:AS56)</f>
        <v/>
      </c>
      <c r="AT57" s="9">
        <f>SUM(AT54:AT56)</f>
        <v/>
      </c>
      <c r="AU57" s="9">
        <f>SUM(AU54:AU56)</f>
        <v/>
      </c>
      <c r="AV57" s="9">
        <f>SUM(AV54:AV56)</f>
        <v/>
      </c>
      <c r="AW57" s="9">
        <f>SUM(AW54:AW56)</f>
        <v/>
      </c>
      <c r="AX57" s="9">
        <f>SUM(AX54:AX56)</f>
        <v/>
      </c>
      <c r="AY57" s="9">
        <f>SUM(AY54:AY56)</f>
        <v/>
      </c>
      <c r="AZ57" s="9">
        <f>SUM(AZ54:AZ56)</f>
        <v/>
      </c>
      <c r="BA57" s="9">
        <f>SUM(BA54:BA56)</f>
        <v/>
      </c>
      <c r="BB57" s="9">
        <f>SUM(BB54:BB56)</f>
        <v/>
      </c>
      <c r="BC57" s="9">
        <f>SUM(BC54:BC56)</f>
        <v/>
      </c>
      <c r="BD57" s="9">
        <f>SUM(BD54:BD56)</f>
        <v/>
      </c>
      <c r="BE57" s="9">
        <f>SUM(BE54:BE56)</f>
        <v/>
      </c>
      <c r="BF57" s="9">
        <f>SUM(BF54:BF56)</f>
        <v/>
      </c>
      <c r="BG57" s="9">
        <f>SUM(BG54:BG56)</f>
        <v/>
      </c>
      <c r="BH57" s="9">
        <f>SUM(BH54:BH56)</f>
        <v/>
      </c>
      <c r="BI57" s="9">
        <f>SUM(BI54:BI56)</f>
        <v/>
      </c>
      <c r="BJ57" s="9">
        <f>SUM(BJ54:BJ56)</f>
        <v/>
      </c>
      <c r="BK57" s="9">
        <f>SUM(BK54:BK56)</f>
        <v/>
      </c>
      <c r="BL57" s="9">
        <f>SUM(BL54:BL56)</f>
        <v/>
      </c>
      <c r="BM57" s="9">
        <f>SUM(BM54:BM56)</f>
        <v/>
      </c>
      <c r="BN57" s="9">
        <f>SUM(BN54:BN56)</f>
        <v/>
      </c>
      <c r="BO57" s="9">
        <f>SUM(BO54:BO56)</f>
        <v/>
      </c>
      <c r="BP57" s="9">
        <f>SUM(BP54:BP56)</f>
        <v/>
      </c>
      <c r="BQ57" s="9">
        <f>SUM(BQ54:BQ56)</f>
        <v/>
      </c>
      <c r="BR57" s="9">
        <f>SUM(BR54:BR56)</f>
        <v/>
      </c>
      <c r="BS57" s="9">
        <f>SUM(BS54:BS56)</f>
        <v/>
      </c>
      <c r="BT57" s="9">
        <f>SUM(BT54:BT56)</f>
        <v/>
      </c>
      <c r="BU57" s="9">
        <f>SUM(BU54:BU56)</f>
        <v/>
      </c>
      <c r="BV57" s="9">
        <f>SUM(BV54:BV56)</f>
        <v/>
      </c>
      <c r="BW57" s="9">
        <f>SUM(BW54:BW56)</f>
        <v/>
      </c>
      <c r="BX57" s="9">
        <f>SUM(BX54:BX56)</f>
        <v/>
      </c>
      <c r="BY57" s="9">
        <f>SUM(BY54:BY56)</f>
        <v/>
      </c>
    </row>
    <row r="58"/>
    <row r="59">
      <c r="B59" s="125" t="inlineStr">
        <is>
          <t>Итог по сети</t>
        </is>
      </c>
      <c r="C59" s="126" t="n"/>
      <c r="D59" s="126" t="n"/>
      <c r="E59" s="126" t="n"/>
      <c r="F59" s="126" t="n"/>
      <c r="G59" s="126" t="n"/>
      <c r="H59" s="126" t="n"/>
      <c r="I59" s="126" t="n"/>
      <c r="J59" s="126" t="n"/>
      <c r="K59" s="126" t="n"/>
      <c r="L59" s="126" t="n"/>
      <c r="M59" s="126" t="n"/>
      <c r="N59" s="126" t="n"/>
      <c r="O59" s="126" t="n"/>
      <c r="P59" s="126" t="n"/>
      <c r="Q59" s="126" t="n"/>
      <c r="R59" s="126" t="n"/>
      <c r="S59" s="126" t="n"/>
      <c r="T59" s="126" t="n"/>
      <c r="U59" s="126" t="n"/>
      <c r="V59" s="126" t="n"/>
      <c r="W59" s="126" t="n"/>
      <c r="X59" s="126" t="n"/>
      <c r="Y59" s="126" t="n"/>
      <c r="Z59" s="126" t="n"/>
      <c r="AA59" s="126" t="n"/>
      <c r="AB59" s="126" t="n"/>
      <c r="AC59" s="126" t="n"/>
      <c r="AD59" s="126" t="n"/>
      <c r="AE59" s="126" t="n"/>
      <c r="AF59" s="126" t="n"/>
      <c r="AG59" s="126" t="n"/>
      <c r="AH59" s="126" t="n"/>
      <c r="AI59" s="126" t="n"/>
      <c r="AJ59" s="126" t="n"/>
      <c r="AK59" s="126" t="n"/>
      <c r="AL59" s="126" t="n"/>
      <c r="AM59" s="126" t="n"/>
      <c r="AN59" s="126" t="n"/>
      <c r="AO59" s="126" t="n"/>
      <c r="AP59" s="126" t="n"/>
      <c r="AQ59" s="126" t="n"/>
      <c r="AR59" s="126" t="n"/>
      <c r="AS59" s="126" t="n"/>
      <c r="AT59" s="126" t="n"/>
      <c r="AU59" s="126" t="n"/>
      <c r="AV59" s="126" t="n"/>
      <c r="AW59" s="126" t="n"/>
      <c r="AX59" s="126" t="n"/>
      <c r="AY59" s="126" t="n"/>
      <c r="AZ59" s="126" t="n"/>
      <c r="BA59" s="126" t="n"/>
      <c r="BB59" s="126" t="n"/>
      <c r="BC59" s="126" t="n"/>
      <c r="BD59" s="126" t="n"/>
      <c r="BE59" s="126" t="n"/>
      <c r="BF59" s="126" t="n"/>
      <c r="BG59" s="126" t="n"/>
      <c r="BH59" s="126" t="n"/>
      <c r="BI59" s="126" t="n"/>
      <c r="BJ59" s="126" t="n"/>
      <c r="BK59" s="126" t="n"/>
      <c r="BL59" s="126" t="n"/>
      <c r="BM59" s="126" t="n"/>
      <c r="BN59" s="126" t="n"/>
      <c r="BO59" s="126" t="n"/>
      <c r="BP59" s="126" t="n"/>
      <c r="BQ59" s="126" t="n"/>
      <c r="BR59" s="126" t="n"/>
      <c r="BS59" s="126" t="n"/>
      <c r="BT59" s="126" t="n"/>
      <c r="BU59" s="126" t="n"/>
      <c r="BV59" s="126" t="n"/>
      <c r="BW59" s="126" t="n"/>
      <c r="BX59" s="126" t="n"/>
      <c r="BY59" s="126" t="n"/>
    </row>
    <row r="60">
      <c r="B60" s="7" t="inlineStr">
        <is>
          <t>Школы всего</t>
        </is>
      </c>
      <c r="C60" s="7" t="inlineStr">
        <is>
          <t>шт.</t>
        </is>
      </c>
      <c r="D60" s="130" t="inlineStr">
        <is>
          <t>Действующая сеть плюс новые школы В колонках лет — значение на конец года, в «Итого» — на конец пятого года. Это остаток, а не сумма.</t>
        </is>
      </c>
      <c r="E60" s="141">
        <f>W60</f>
        <v/>
      </c>
      <c r="F60" s="141">
        <f>AI60</f>
        <v/>
      </c>
      <c r="G60" s="141">
        <f>AU60</f>
        <v/>
      </c>
      <c r="H60" s="141">
        <f>BG60</f>
        <v/>
      </c>
      <c r="I60" s="141">
        <f>BS60</f>
        <v/>
      </c>
      <c r="J60" s="142">
        <f>BS60</f>
        <v/>
      </c>
      <c r="L60" s="143">
        <f>L18+L53</f>
        <v/>
      </c>
      <c r="M60" s="143">
        <f>M18+M53</f>
        <v/>
      </c>
      <c r="N60" s="143">
        <f>N18+N53</f>
        <v/>
      </c>
      <c r="O60" s="143">
        <f>O18+O53</f>
        <v/>
      </c>
      <c r="P60" s="143">
        <f>P18+P53</f>
        <v/>
      </c>
      <c r="Q60" s="143">
        <f>Q18+Q53</f>
        <v/>
      </c>
      <c r="R60" s="143">
        <f>R18+R53</f>
        <v/>
      </c>
      <c r="S60" s="143">
        <f>S18+S53</f>
        <v/>
      </c>
      <c r="T60" s="143">
        <f>T18+T53</f>
        <v/>
      </c>
      <c r="U60" s="143">
        <f>U18+U53</f>
        <v/>
      </c>
      <c r="V60" s="143">
        <f>V18+V53</f>
        <v/>
      </c>
      <c r="W60" s="143">
        <f>W18+W53</f>
        <v/>
      </c>
      <c r="X60" s="143">
        <f>X18+X53</f>
        <v/>
      </c>
      <c r="Y60" s="143">
        <f>Y18+Y53</f>
        <v/>
      </c>
      <c r="Z60" s="143">
        <f>Z18+Z53</f>
        <v/>
      </c>
      <c r="AA60" s="143">
        <f>AA18+AA53</f>
        <v/>
      </c>
      <c r="AB60" s="143">
        <f>AB18+AB53</f>
        <v/>
      </c>
      <c r="AC60" s="143">
        <f>AC18+AC53</f>
        <v/>
      </c>
      <c r="AD60" s="143">
        <f>AD18+AD53</f>
        <v/>
      </c>
      <c r="AE60" s="143">
        <f>AE18+AE53</f>
        <v/>
      </c>
      <c r="AF60" s="143">
        <f>AF18+AF53</f>
        <v/>
      </c>
      <c r="AG60" s="143">
        <f>AG18+AG53</f>
        <v/>
      </c>
      <c r="AH60" s="143">
        <f>AH18+AH53</f>
        <v/>
      </c>
      <c r="AI60" s="143">
        <f>AI18+AI53</f>
        <v/>
      </c>
      <c r="AJ60" s="143">
        <f>AJ18+AJ53</f>
        <v/>
      </c>
      <c r="AK60" s="143">
        <f>AK18+AK53</f>
        <v/>
      </c>
      <c r="AL60" s="143">
        <f>AL18+AL53</f>
        <v/>
      </c>
      <c r="AM60" s="143">
        <f>AM18+AM53</f>
        <v/>
      </c>
      <c r="AN60" s="143">
        <f>AN18+AN53</f>
        <v/>
      </c>
      <c r="AO60" s="143">
        <f>AO18+AO53</f>
        <v/>
      </c>
      <c r="AP60" s="143">
        <f>AP18+AP53</f>
        <v/>
      </c>
      <c r="AQ60" s="143">
        <f>AQ18+AQ53</f>
        <v/>
      </c>
      <c r="AR60" s="143">
        <f>AR18+AR53</f>
        <v/>
      </c>
      <c r="AS60" s="143">
        <f>AS18+AS53</f>
        <v/>
      </c>
      <c r="AT60" s="143">
        <f>AT18+AT53</f>
        <v/>
      </c>
      <c r="AU60" s="143">
        <f>AU18+AU53</f>
        <v/>
      </c>
      <c r="AV60" s="143">
        <f>AV18+AV53</f>
        <v/>
      </c>
      <c r="AW60" s="143">
        <f>AW18+AW53</f>
        <v/>
      </c>
      <c r="AX60" s="143">
        <f>AX18+AX53</f>
        <v/>
      </c>
      <c r="AY60" s="143">
        <f>AY18+AY53</f>
        <v/>
      </c>
      <c r="AZ60" s="143">
        <f>AZ18+AZ53</f>
        <v/>
      </c>
      <c r="BA60" s="143">
        <f>BA18+BA53</f>
        <v/>
      </c>
      <c r="BB60" s="143">
        <f>BB18+BB53</f>
        <v/>
      </c>
      <c r="BC60" s="143">
        <f>BC18+BC53</f>
        <v/>
      </c>
      <c r="BD60" s="143">
        <f>BD18+BD53</f>
        <v/>
      </c>
      <c r="BE60" s="143">
        <f>BE18+BE53</f>
        <v/>
      </c>
      <c r="BF60" s="143">
        <f>BF18+BF53</f>
        <v/>
      </c>
      <c r="BG60" s="143">
        <f>BG18+BG53</f>
        <v/>
      </c>
      <c r="BH60" s="143">
        <f>BH18+BH53</f>
        <v/>
      </c>
      <c r="BI60" s="143">
        <f>BI18+BI53</f>
        <v/>
      </c>
      <c r="BJ60" s="143">
        <f>BJ18+BJ53</f>
        <v/>
      </c>
      <c r="BK60" s="143">
        <f>BK18+BK53</f>
        <v/>
      </c>
      <c r="BL60" s="143">
        <f>BL18+BL53</f>
        <v/>
      </c>
      <c r="BM60" s="143">
        <f>BM18+BM53</f>
        <v/>
      </c>
      <c r="BN60" s="143">
        <f>BN18+BN53</f>
        <v/>
      </c>
      <c r="BO60" s="143">
        <f>BO18+BO53</f>
        <v/>
      </c>
      <c r="BP60" s="143">
        <f>BP18+BP53</f>
        <v/>
      </c>
      <c r="BQ60" s="143">
        <f>BQ18+BQ53</f>
        <v/>
      </c>
      <c r="BR60" s="143">
        <f>BR18+BR53</f>
        <v/>
      </c>
      <c r="BS60" s="143">
        <f>BS18+BS53</f>
        <v/>
      </c>
      <c r="BT60" s="143">
        <f>BT18+BT53</f>
        <v/>
      </c>
      <c r="BU60" s="143">
        <f>BU18+BU53</f>
        <v/>
      </c>
      <c r="BV60" s="143">
        <f>BV18+BV53</f>
        <v/>
      </c>
      <c r="BW60" s="143">
        <f>BW18+BW53</f>
        <v/>
      </c>
      <c r="BX60" s="143">
        <f>BX18+BX53</f>
        <v/>
      </c>
      <c r="BY60" s="143">
        <f>BY18+BY53</f>
        <v/>
      </c>
    </row>
    <row r="61">
      <c r="B61" s="7" t="inlineStr">
        <is>
          <t>Юрлица (партнёры) всего</t>
        </is>
      </c>
      <c r="C61" s="7" t="inlineStr">
        <is>
          <t>шт.</t>
        </is>
      </c>
      <c r="D61" s="130" t="inlineStr">
        <is>
          <t>Накопленные партнёры за вычетом закрытий В колонках лет — значение на конец года, в «Итого» — на конец пятого года. Это остаток, а не сумма.</t>
        </is>
      </c>
      <c r="E61" s="141">
        <f>W61</f>
        <v/>
      </c>
      <c r="F61" s="141">
        <f>AI61</f>
        <v/>
      </c>
      <c r="G61" s="141">
        <f>AU61</f>
        <v/>
      </c>
      <c r="H61" s="141">
        <f>BG61</f>
        <v/>
      </c>
      <c r="I61" s="141">
        <f>BS61</f>
        <v/>
      </c>
      <c r="J61" s="142">
        <f>BS61</f>
        <v/>
      </c>
      <c r="L61" s="143">
        <f>ЮрлицаСтарт*КоэффСохранения+$L15</f>
        <v/>
      </c>
      <c r="M61" s="143">
        <f>L61*КоэффСохранения+M15</f>
        <v/>
      </c>
      <c r="N61" s="143">
        <f>M61*КоэффСохранения+N15</f>
        <v/>
      </c>
      <c r="O61" s="143">
        <f>N61*КоэффСохранения+O15</f>
        <v/>
      </c>
      <c r="P61" s="143">
        <f>O61*КоэффСохранения+P15</f>
        <v/>
      </c>
      <c r="Q61" s="143">
        <f>P61*КоэффСохранения+Q15</f>
        <v/>
      </c>
      <c r="R61" s="143">
        <f>Q61*КоэффСохранения+R15</f>
        <v/>
      </c>
      <c r="S61" s="143">
        <f>R61*КоэффСохранения+S15</f>
        <v/>
      </c>
      <c r="T61" s="143">
        <f>S61*КоэффСохранения+T15</f>
        <v/>
      </c>
      <c r="U61" s="143">
        <f>T61*КоэффСохранения+U15</f>
        <v/>
      </c>
      <c r="V61" s="143">
        <f>U61*КоэффСохранения+V15</f>
        <v/>
      </c>
      <c r="W61" s="143">
        <f>V61*КоэффСохранения+W15</f>
        <v/>
      </c>
      <c r="X61" s="143">
        <f>W61*КоэффСохранения+X15</f>
        <v/>
      </c>
      <c r="Y61" s="143">
        <f>X61*КоэффСохранения+Y15</f>
        <v/>
      </c>
      <c r="Z61" s="143">
        <f>Y61*КоэффСохранения+Z15</f>
        <v/>
      </c>
      <c r="AA61" s="143">
        <f>Z61*КоэффСохранения+AA15</f>
        <v/>
      </c>
      <c r="AB61" s="143">
        <f>AA61*КоэффСохранения+AB15</f>
        <v/>
      </c>
      <c r="AC61" s="143">
        <f>AB61*КоэффСохранения+AC15</f>
        <v/>
      </c>
      <c r="AD61" s="143">
        <f>AC61*КоэффСохранения+AD15</f>
        <v/>
      </c>
      <c r="AE61" s="143">
        <f>AD61*КоэффСохранения+AE15</f>
        <v/>
      </c>
      <c r="AF61" s="143">
        <f>AE61*КоэффСохранения+AF15</f>
        <v/>
      </c>
      <c r="AG61" s="143">
        <f>AF61*КоэффСохранения+AG15</f>
        <v/>
      </c>
      <c r="AH61" s="143">
        <f>AG61*КоэффСохранения+AH15</f>
        <v/>
      </c>
      <c r="AI61" s="143">
        <f>AH61*КоэффСохранения+AI15</f>
        <v/>
      </c>
      <c r="AJ61" s="143">
        <f>AI61*КоэффСохранения+AJ15</f>
        <v/>
      </c>
      <c r="AK61" s="143">
        <f>AJ61*КоэффСохранения+AK15</f>
        <v/>
      </c>
      <c r="AL61" s="143">
        <f>AK61*КоэффСохранения+AL15</f>
        <v/>
      </c>
      <c r="AM61" s="143">
        <f>AL61*КоэффСохранения+AM15</f>
        <v/>
      </c>
      <c r="AN61" s="143">
        <f>AM61*КоэффСохранения+AN15</f>
        <v/>
      </c>
      <c r="AO61" s="143">
        <f>AN61*КоэффСохранения+AO15</f>
        <v/>
      </c>
      <c r="AP61" s="143">
        <f>AO61*КоэффСохранения+AP15</f>
        <v/>
      </c>
      <c r="AQ61" s="143">
        <f>AP61*КоэффСохранения+AQ15</f>
        <v/>
      </c>
      <c r="AR61" s="143">
        <f>AQ61*КоэффСохранения+AR15</f>
        <v/>
      </c>
      <c r="AS61" s="143">
        <f>AR61*КоэффСохранения+AS15</f>
        <v/>
      </c>
      <c r="AT61" s="143">
        <f>AS61*КоэффСохранения+AT15</f>
        <v/>
      </c>
      <c r="AU61" s="143">
        <f>AT61*КоэффСохранения+AU15</f>
        <v/>
      </c>
      <c r="AV61" s="143">
        <f>AU61*КоэффСохранения+AV15</f>
        <v/>
      </c>
      <c r="AW61" s="143">
        <f>AV61*КоэффСохранения+AW15</f>
        <v/>
      </c>
      <c r="AX61" s="143">
        <f>AW61*КоэффСохранения+AX15</f>
        <v/>
      </c>
      <c r="AY61" s="143">
        <f>AX61*КоэффСохранения+AY15</f>
        <v/>
      </c>
      <c r="AZ61" s="143">
        <f>AY61*КоэффСохранения+AZ15</f>
        <v/>
      </c>
      <c r="BA61" s="143">
        <f>AZ61*КоэффСохранения+BA15</f>
        <v/>
      </c>
      <c r="BB61" s="143">
        <f>BA61*КоэффСохранения+BB15</f>
        <v/>
      </c>
      <c r="BC61" s="143">
        <f>BB61*КоэффСохранения+BC15</f>
        <v/>
      </c>
      <c r="BD61" s="143">
        <f>BC61*КоэффСохранения+BD15</f>
        <v/>
      </c>
      <c r="BE61" s="143">
        <f>BD61*КоэффСохранения+BE15</f>
        <v/>
      </c>
      <c r="BF61" s="143">
        <f>BE61*КоэффСохранения+BF15</f>
        <v/>
      </c>
      <c r="BG61" s="143">
        <f>BF61*КоэффСохранения+BG15</f>
        <v/>
      </c>
      <c r="BH61" s="143">
        <f>BG61*КоэффСохранения+BH15</f>
        <v/>
      </c>
      <c r="BI61" s="143">
        <f>BH61*КоэффСохранения+BI15</f>
        <v/>
      </c>
      <c r="BJ61" s="143">
        <f>BI61*КоэффСохранения+BJ15</f>
        <v/>
      </c>
      <c r="BK61" s="143">
        <f>BJ61*КоэффСохранения+BK15</f>
        <v/>
      </c>
      <c r="BL61" s="143">
        <f>BK61*КоэффСохранения+BL15</f>
        <v/>
      </c>
      <c r="BM61" s="143">
        <f>BL61*КоэффСохранения+BM15</f>
        <v/>
      </c>
      <c r="BN61" s="143">
        <f>BM61*КоэффСохранения+BN15</f>
        <v/>
      </c>
      <c r="BO61" s="143">
        <f>BN61*КоэффСохранения+BO15</f>
        <v/>
      </c>
      <c r="BP61" s="143">
        <f>BO61*КоэффСохранения+BP15</f>
        <v/>
      </c>
      <c r="BQ61" s="143">
        <f>BP61*КоэффСохранения+BQ15</f>
        <v/>
      </c>
      <c r="BR61" s="143">
        <f>BQ61*КоэффСохранения+BR15</f>
        <v/>
      </c>
      <c r="BS61" s="143">
        <f>BR61*КоэффСохранения+BS15</f>
        <v/>
      </c>
      <c r="BT61" s="143">
        <f>BS61*КоэффСохранения+BT15</f>
        <v/>
      </c>
      <c r="BU61" s="143">
        <f>BT61*КоэффСохранения+BU15</f>
        <v/>
      </c>
      <c r="BV61" s="143">
        <f>BU61*КоэффСохранения+BV15</f>
        <v/>
      </c>
      <c r="BW61" s="143">
        <f>BV61*КоэффСохранения+BW15</f>
        <v/>
      </c>
      <c r="BX61" s="143">
        <f>BW61*КоэффСохранения+BX15</f>
        <v/>
      </c>
      <c r="BY61" s="143">
        <f>BX61*КоэффСохранения+BY15</f>
        <v/>
      </c>
    </row>
    <row r="62">
      <c r="B62" s="7" t="inlineStr">
        <is>
          <t>Дети всего, активные</t>
        </is>
      </c>
      <c r="C62" s="7" t="inlineStr">
        <is>
          <t>чел.</t>
        </is>
      </c>
      <c r="D62" s="130" t="inlineStr">
        <is>
          <t>Действующая сеть плюс новые школы В колонках лет — значение на конец года, в «Итого» — на конец пятого года. Это остаток, а не сумма.</t>
        </is>
      </c>
      <c r="E62" s="131">
        <f>W62</f>
        <v/>
      </c>
      <c r="F62" s="131">
        <f>AI62</f>
        <v/>
      </c>
      <c r="G62" s="131">
        <f>AU62</f>
        <v/>
      </c>
      <c r="H62" s="131">
        <f>BG62</f>
        <v/>
      </c>
      <c r="I62" s="131">
        <f>BS62</f>
        <v/>
      </c>
      <c r="J62" s="10">
        <f>BS62</f>
        <v/>
      </c>
      <c r="L62" s="9">
        <f>L20+L57</f>
        <v/>
      </c>
      <c r="M62" s="9">
        <f>M20+M57</f>
        <v/>
      </c>
      <c r="N62" s="9">
        <f>N20+N57</f>
        <v/>
      </c>
      <c r="O62" s="9">
        <f>O20+O57</f>
        <v/>
      </c>
      <c r="P62" s="9">
        <f>P20+P57</f>
        <v/>
      </c>
      <c r="Q62" s="9">
        <f>Q20+Q57</f>
        <v/>
      </c>
      <c r="R62" s="9">
        <f>R20+R57</f>
        <v/>
      </c>
      <c r="S62" s="9">
        <f>S20+S57</f>
        <v/>
      </c>
      <c r="T62" s="9">
        <f>T20+T57</f>
        <v/>
      </c>
      <c r="U62" s="9">
        <f>U20+U57</f>
        <v/>
      </c>
      <c r="V62" s="9">
        <f>V20+V57</f>
        <v/>
      </c>
      <c r="W62" s="9">
        <f>W20+W57</f>
        <v/>
      </c>
      <c r="X62" s="9">
        <f>X20+X57</f>
        <v/>
      </c>
      <c r="Y62" s="9">
        <f>Y20+Y57</f>
        <v/>
      </c>
      <c r="Z62" s="9">
        <f>Z20+Z57</f>
        <v/>
      </c>
      <c r="AA62" s="9">
        <f>AA20+AA57</f>
        <v/>
      </c>
      <c r="AB62" s="9">
        <f>AB20+AB57</f>
        <v/>
      </c>
      <c r="AC62" s="9">
        <f>AC20+AC57</f>
        <v/>
      </c>
      <c r="AD62" s="9">
        <f>AD20+AD57</f>
        <v/>
      </c>
      <c r="AE62" s="9">
        <f>AE20+AE57</f>
        <v/>
      </c>
      <c r="AF62" s="9">
        <f>AF20+AF57</f>
        <v/>
      </c>
      <c r="AG62" s="9">
        <f>AG20+AG57</f>
        <v/>
      </c>
      <c r="AH62" s="9">
        <f>AH20+AH57</f>
        <v/>
      </c>
      <c r="AI62" s="9">
        <f>AI20+AI57</f>
        <v/>
      </c>
      <c r="AJ62" s="9">
        <f>AJ20+AJ57</f>
        <v/>
      </c>
      <c r="AK62" s="9">
        <f>AK20+AK57</f>
        <v/>
      </c>
      <c r="AL62" s="9">
        <f>AL20+AL57</f>
        <v/>
      </c>
      <c r="AM62" s="9">
        <f>AM20+AM57</f>
        <v/>
      </c>
      <c r="AN62" s="9">
        <f>AN20+AN57</f>
        <v/>
      </c>
      <c r="AO62" s="9">
        <f>AO20+AO57</f>
        <v/>
      </c>
      <c r="AP62" s="9">
        <f>AP20+AP57</f>
        <v/>
      </c>
      <c r="AQ62" s="9">
        <f>AQ20+AQ57</f>
        <v/>
      </c>
      <c r="AR62" s="9">
        <f>AR20+AR57</f>
        <v/>
      </c>
      <c r="AS62" s="9">
        <f>AS20+AS57</f>
        <v/>
      </c>
      <c r="AT62" s="9">
        <f>AT20+AT57</f>
        <v/>
      </c>
      <c r="AU62" s="9">
        <f>AU20+AU57</f>
        <v/>
      </c>
      <c r="AV62" s="9">
        <f>AV20+AV57</f>
        <v/>
      </c>
      <c r="AW62" s="9">
        <f>AW20+AW57</f>
        <v/>
      </c>
      <c r="AX62" s="9">
        <f>AX20+AX57</f>
        <v/>
      </c>
      <c r="AY62" s="9">
        <f>AY20+AY57</f>
        <v/>
      </c>
      <c r="AZ62" s="9">
        <f>AZ20+AZ57</f>
        <v/>
      </c>
      <c r="BA62" s="9">
        <f>BA20+BA57</f>
        <v/>
      </c>
      <c r="BB62" s="9">
        <f>BB20+BB57</f>
        <v/>
      </c>
      <c r="BC62" s="9">
        <f>BC20+BC57</f>
        <v/>
      </c>
      <c r="BD62" s="9">
        <f>BD20+BD57</f>
        <v/>
      </c>
      <c r="BE62" s="9">
        <f>BE20+BE57</f>
        <v/>
      </c>
      <c r="BF62" s="9">
        <f>BF20+BF57</f>
        <v/>
      </c>
      <c r="BG62" s="9">
        <f>BG20+BG57</f>
        <v/>
      </c>
      <c r="BH62" s="9">
        <f>BH20+BH57</f>
        <v/>
      </c>
      <c r="BI62" s="9">
        <f>BI20+BI57</f>
        <v/>
      </c>
      <c r="BJ62" s="9">
        <f>BJ20+BJ57</f>
        <v/>
      </c>
      <c r="BK62" s="9">
        <f>BK20+BK57</f>
        <v/>
      </c>
      <c r="BL62" s="9">
        <f>BL20+BL57</f>
        <v/>
      </c>
      <c r="BM62" s="9">
        <f>BM20+BM57</f>
        <v/>
      </c>
      <c r="BN62" s="9">
        <f>BN20+BN57</f>
        <v/>
      </c>
      <c r="BO62" s="9">
        <f>BO20+BO57</f>
        <v/>
      </c>
      <c r="BP62" s="9">
        <f>BP20+BP57</f>
        <v/>
      </c>
      <c r="BQ62" s="9">
        <f>BQ20+BQ57</f>
        <v/>
      </c>
      <c r="BR62" s="9">
        <f>BR20+BR57</f>
        <v/>
      </c>
      <c r="BS62" s="9">
        <f>BS20+BS57</f>
        <v/>
      </c>
      <c r="BT62" s="9">
        <f>BT20+BT57</f>
        <v/>
      </c>
      <c r="BU62" s="9">
        <f>BU20+BU57</f>
        <v/>
      </c>
      <c r="BV62" s="9">
        <f>BV20+BV57</f>
        <v/>
      </c>
      <c r="BW62" s="9">
        <f>BW20+BW57</f>
        <v/>
      </c>
      <c r="BX62" s="9">
        <f>BX20+BX57</f>
        <v/>
      </c>
      <c r="BY62" s="9">
        <f>BY20+BY57</f>
        <v/>
      </c>
    </row>
  </sheetData>
  <mergeCells count="9">
    <mergeCell ref="B4:B5"/>
    <mergeCell ref="C4:C5"/>
    <mergeCell ref="F4:F5"/>
    <mergeCell ref="E4:E5"/>
    <mergeCell ref="D4:D5"/>
    <mergeCell ref="G4:G5"/>
    <mergeCell ref="H4:H5"/>
    <mergeCell ref="I4:I5"/>
    <mergeCell ref="J4:J5"/>
  </mergeCells>
  <printOptions horizontalCentered="0"/>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B1:BY135"/>
  <sheetViews>
    <sheetView showGridLines="0" workbookViewId="0">
      <pane xSplit="11" ySplit="5" topLeftCell="L6"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22" t="inlineStr">
        <is>
          <t>Доходы: паушальные, роялти, мерч</t>
        </is>
      </c>
    </row>
    <row r="2">
      <c r="B2" s="2" t="inlineStr">
        <is>
          <t>Расшифровка к «Результату». Роялти новых школ разложено по возрасту школы: чем старше школа, тем больше в ней детей.</t>
        </is>
      </c>
    </row>
    <row r="3"/>
    <row r="4" ht="26" customHeight="1">
      <c r="B4" s="123" t="inlineStr">
        <is>
          <t>Показатель</t>
        </is>
      </c>
      <c r="C4" s="123" t="inlineStr">
        <is>
          <t>Ед.</t>
        </is>
      </c>
      <c r="D4" s="123" t="inlineStr">
        <is>
          <t>Как считается</t>
        </is>
      </c>
      <c r="E4" s="123" t="inlineStr">
        <is>
          <t>Год 1</t>
        </is>
      </c>
      <c r="F4" s="123" t="inlineStr">
        <is>
          <t>Год 2</t>
        </is>
      </c>
      <c r="G4" s="123" t="inlineStr">
        <is>
          <t>Год 3</t>
        </is>
      </c>
      <c r="H4" s="123" t="inlineStr">
        <is>
          <t>Год 4</t>
        </is>
      </c>
      <c r="I4" s="123" t="inlineStr">
        <is>
          <t>Год 5</t>
        </is>
      </c>
      <c r="J4" s="123" t="inlineStr">
        <is>
          <t>Итого 5 лет</t>
        </is>
      </c>
      <c r="K4" s="123" t="n"/>
      <c r="L4" s="123" t="inlineStr">
        <is>
          <t>М1</t>
        </is>
      </c>
      <c r="M4" s="123" t="inlineStr">
        <is>
          <t>М2</t>
        </is>
      </c>
      <c r="N4" s="123" t="inlineStr">
        <is>
          <t>М3</t>
        </is>
      </c>
      <c r="O4" s="123" t="inlineStr">
        <is>
          <t>М4</t>
        </is>
      </c>
      <c r="P4" s="123" t="inlineStr">
        <is>
          <t>М5</t>
        </is>
      </c>
      <c r="Q4" s="123" t="inlineStr">
        <is>
          <t>М6</t>
        </is>
      </c>
      <c r="R4" s="123" t="inlineStr">
        <is>
          <t>М7</t>
        </is>
      </c>
      <c r="S4" s="123" t="inlineStr">
        <is>
          <t>М8</t>
        </is>
      </c>
      <c r="T4" s="123" t="inlineStr">
        <is>
          <t>М9</t>
        </is>
      </c>
      <c r="U4" s="123" t="inlineStr">
        <is>
          <t>М10</t>
        </is>
      </c>
      <c r="V4" s="123" t="inlineStr">
        <is>
          <t>М11</t>
        </is>
      </c>
      <c r="W4" s="123" t="inlineStr">
        <is>
          <t>М12</t>
        </is>
      </c>
      <c r="X4" s="123" t="inlineStr">
        <is>
          <t>М13</t>
        </is>
      </c>
      <c r="Y4" s="123" t="inlineStr">
        <is>
          <t>М14</t>
        </is>
      </c>
      <c r="Z4" s="123" t="inlineStr">
        <is>
          <t>М15</t>
        </is>
      </c>
      <c r="AA4" s="123" t="inlineStr">
        <is>
          <t>М16</t>
        </is>
      </c>
      <c r="AB4" s="123" t="inlineStr">
        <is>
          <t>М17</t>
        </is>
      </c>
      <c r="AC4" s="123" t="inlineStr">
        <is>
          <t>М18</t>
        </is>
      </c>
      <c r="AD4" s="123" t="inlineStr">
        <is>
          <t>М19</t>
        </is>
      </c>
      <c r="AE4" s="123" t="inlineStr">
        <is>
          <t>М20</t>
        </is>
      </c>
      <c r="AF4" s="123" t="inlineStr">
        <is>
          <t>М21</t>
        </is>
      </c>
      <c r="AG4" s="123" t="inlineStr">
        <is>
          <t>М22</t>
        </is>
      </c>
      <c r="AH4" s="123" t="inlineStr">
        <is>
          <t>М23</t>
        </is>
      </c>
      <c r="AI4" s="123" t="inlineStr">
        <is>
          <t>М24</t>
        </is>
      </c>
      <c r="AJ4" s="123" t="inlineStr">
        <is>
          <t>М25</t>
        </is>
      </c>
      <c r="AK4" s="123" t="inlineStr">
        <is>
          <t>М26</t>
        </is>
      </c>
      <c r="AL4" s="123" t="inlineStr">
        <is>
          <t>М27</t>
        </is>
      </c>
      <c r="AM4" s="123" t="inlineStr">
        <is>
          <t>М28</t>
        </is>
      </c>
      <c r="AN4" s="123" t="inlineStr">
        <is>
          <t>М29</t>
        </is>
      </c>
      <c r="AO4" s="123" t="inlineStr">
        <is>
          <t>М30</t>
        </is>
      </c>
      <c r="AP4" s="123" t="inlineStr">
        <is>
          <t>М31</t>
        </is>
      </c>
      <c r="AQ4" s="123" t="inlineStr">
        <is>
          <t>М32</t>
        </is>
      </c>
      <c r="AR4" s="123" t="inlineStr">
        <is>
          <t>М33</t>
        </is>
      </c>
      <c r="AS4" s="123" t="inlineStr">
        <is>
          <t>М34</t>
        </is>
      </c>
      <c r="AT4" s="123" t="inlineStr">
        <is>
          <t>М35</t>
        </is>
      </c>
      <c r="AU4" s="123" t="inlineStr">
        <is>
          <t>М36</t>
        </is>
      </c>
      <c r="AV4" s="123" t="inlineStr">
        <is>
          <t>М37</t>
        </is>
      </c>
      <c r="AW4" s="123" t="inlineStr">
        <is>
          <t>М38</t>
        </is>
      </c>
      <c r="AX4" s="123" t="inlineStr">
        <is>
          <t>М39</t>
        </is>
      </c>
      <c r="AY4" s="123" t="inlineStr">
        <is>
          <t>М40</t>
        </is>
      </c>
      <c r="AZ4" s="123" t="inlineStr">
        <is>
          <t>М41</t>
        </is>
      </c>
      <c r="BA4" s="123" t="inlineStr">
        <is>
          <t>М42</t>
        </is>
      </c>
      <c r="BB4" s="123" t="inlineStr">
        <is>
          <t>М43</t>
        </is>
      </c>
      <c r="BC4" s="123" t="inlineStr">
        <is>
          <t>М44</t>
        </is>
      </c>
      <c r="BD4" s="123" t="inlineStr">
        <is>
          <t>М45</t>
        </is>
      </c>
      <c r="BE4" s="123" t="inlineStr">
        <is>
          <t>М46</t>
        </is>
      </c>
      <c r="BF4" s="123" t="inlineStr">
        <is>
          <t>М47</t>
        </is>
      </c>
      <c r="BG4" s="123" t="inlineStr">
        <is>
          <t>М48</t>
        </is>
      </c>
      <c r="BH4" s="123" t="inlineStr">
        <is>
          <t>М49</t>
        </is>
      </c>
      <c r="BI4" s="123" t="inlineStr">
        <is>
          <t>М50</t>
        </is>
      </c>
      <c r="BJ4" s="123" t="inlineStr">
        <is>
          <t>М51</t>
        </is>
      </c>
      <c r="BK4" s="123" t="inlineStr">
        <is>
          <t>М52</t>
        </is>
      </c>
      <c r="BL4" s="123" t="inlineStr">
        <is>
          <t>М53</t>
        </is>
      </c>
      <c r="BM4" s="123" t="inlineStr">
        <is>
          <t>М54</t>
        </is>
      </c>
      <c r="BN4" s="123" t="inlineStr">
        <is>
          <t>М55</t>
        </is>
      </c>
      <c r="BO4" s="123" t="inlineStr">
        <is>
          <t>М56</t>
        </is>
      </c>
      <c r="BP4" s="123" t="inlineStr">
        <is>
          <t>М57</t>
        </is>
      </c>
      <c r="BQ4" s="123" t="inlineStr">
        <is>
          <t>М58</t>
        </is>
      </c>
      <c r="BR4" s="123" t="inlineStr">
        <is>
          <t>М59</t>
        </is>
      </c>
      <c r="BS4" s="123" t="inlineStr">
        <is>
          <t>М60</t>
        </is>
      </c>
      <c r="BT4" s="123" t="inlineStr">
        <is>
          <t>тех. 1</t>
        </is>
      </c>
      <c r="BU4" s="123" t="inlineStr">
        <is>
          <t>тех. 2</t>
        </is>
      </c>
      <c r="BV4" s="123" t="inlineStr">
        <is>
          <t>тех. 3</t>
        </is>
      </c>
      <c r="BW4" s="123" t="inlineStr">
        <is>
          <t>тех. 4</t>
        </is>
      </c>
      <c r="BX4" s="123" t="inlineStr">
        <is>
          <t>тех. 5</t>
        </is>
      </c>
      <c r="BY4" s="123" t="inlineStr">
        <is>
          <t>тех. 6</t>
        </is>
      </c>
    </row>
    <row r="5" ht="16" customHeight="1">
      <c r="B5" s="123" t="n"/>
      <c r="C5" s="123" t="n"/>
      <c r="D5" s="123" t="n"/>
      <c r="E5" s="123" t="n"/>
      <c r="F5" s="123" t="n"/>
      <c r="G5" s="123" t="n"/>
      <c r="H5" s="123" t="n"/>
      <c r="I5" s="123" t="n"/>
      <c r="J5" s="123" t="n"/>
      <c r="K5" s="123" t="n"/>
      <c r="L5" s="124">
        <f>DATE(YEAR(СтартМодели),MONTH(СтартМодели)+1-1,1)</f>
        <v/>
      </c>
      <c r="M5" s="124">
        <f>DATE(YEAR(СтартМодели),MONTH(СтартМодели)+2-1,1)</f>
        <v/>
      </c>
      <c r="N5" s="124">
        <f>DATE(YEAR(СтартМодели),MONTH(СтартМодели)+3-1,1)</f>
        <v/>
      </c>
      <c r="O5" s="124">
        <f>DATE(YEAR(СтартМодели),MONTH(СтартМодели)+4-1,1)</f>
        <v/>
      </c>
      <c r="P5" s="124">
        <f>DATE(YEAR(СтартМодели),MONTH(СтартМодели)+5-1,1)</f>
        <v/>
      </c>
      <c r="Q5" s="124">
        <f>DATE(YEAR(СтартМодели),MONTH(СтартМодели)+6-1,1)</f>
        <v/>
      </c>
      <c r="R5" s="124">
        <f>DATE(YEAR(СтартМодели),MONTH(СтартМодели)+7-1,1)</f>
        <v/>
      </c>
      <c r="S5" s="124">
        <f>DATE(YEAR(СтартМодели),MONTH(СтартМодели)+8-1,1)</f>
        <v/>
      </c>
      <c r="T5" s="124">
        <f>DATE(YEAR(СтартМодели),MONTH(СтартМодели)+9-1,1)</f>
        <v/>
      </c>
      <c r="U5" s="124">
        <f>DATE(YEAR(СтартМодели),MONTH(СтартМодели)+10-1,1)</f>
        <v/>
      </c>
      <c r="V5" s="124">
        <f>DATE(YEAR(СтартМодели),MONTH(СтартМодели)+11-1,1)</f>
        <v/>
      </c>
      <c r="W5" s="124">
        <f>DATE(YEAR(СтартМодели),MONTH(СтартМодели)+12-1,1)</f>
        <v/>
      </c>
      <c r="X5" s="124">
        <f>DATE(YEAR(СтартМодели),MONTH(СтартМодели)+13-1,1)</f>
        <v/>
      </c>
      <c r="Y5" s="124">
        <f>DATE(YEAR(СтартМодели),MONTH(СтартМодели)+14-1,1)</f>
        <v/>
      </c>
      <c r="Z5" s="124">
        <f>DATE(YEAR(СтартМодели),MONTH(СтартМодели)+15-1,1)</f>
        <v/>
      </c>
      <c r="AA5" s="124">
        <f>DATE(YEAR(СтартМодели),MONTH(СтартМодели)+16-1,1)</f>
        <v/>
      </c>
      <c r="AB5" s="124">
        <f>DATE(YEAR(СтартМодели),MONTH(СтартМодели)+17-1,1)</f>
        <v/>
      </c>
      <c r="AC5" s="124">
        <f>DATE(YEAR(СтартМодели),MONTH(СтартМодели)+18-1,1)</f>
        <v/>
      </c>
      <c r="AD5" s="124">
        <f>DATE(YEAR(СтартМодели),MONTH(СтартМодели)+19-1,1)</f>
        <v/>
      </c>
      <c r="AE5" s="124">
        <f>DATE(YEAR(СтартМодели),MONTH(СтартМодели)+20-1,1)</f>
        <v/>
      </c>
      <c r="AF5" s="124">
        <f>DATE(YEAR(СтартМодели),MONTH(СтартМодели)+21-1,1)</f>
        <v/>
      </c>
      <c r="AG5" s="124">
        <f>DATE(YEAR(СтартМодели),MONTH(СтартМодели)+22-1,1)</f>
        <v/>
      </c>
      <c r="AH5" s="124">
        <f>DATE(YEAR(СтартМодели),MONTH(СтартМодели)+23-1,1)</f>
        <v/>
      </c>
      <c r="AI5" s="124">
        <f>DATE(YEAR(СтартМодели),MONTH(СтартМодели)+24-1,1)</f>
        <v/>
      </c>
      <c r="AJ5" s="124">
        <f>DATE(YEAR(СтартМодели),MONTH(СтартМодели)+25-1,1)</f>
        <v/>
      </c>
      <c r="AK5" s="124">
        <f>DATE(YEAR(СтартМодели),MONTH(СтартМодели)+26-1,1)</f>
        <v/>
      </c>
      <c r="AL5" s="124">
        <f>DATE(YEAR(СтартМодели),MONTH(СтартМодели)+27-1,1)</f>
        <v/>
      </c>
      <c r="AM5" s="124">
        <f>DATE(YEAR(СтартМодели),MONTH(СтартМодели)+28-1,1)</f>
        <v/>
      </c>
      <c r="AN5" s="124">
        <f>DATE(YEAR(СтартМодели),MONTH(СтартМодели)+29-1,1)</f>
        <v/>
      </c>
      <c r="AO5" s="124">
        <f>DATE(YEAR(СтартМодели),MONTH(СтартМодели)+30-1,1)</f>
        <v/>
      </c>
      <c r="AP5" s="124">
        <f>DATE(YEAR(СтартМодели),MONTH(СтартМодели)+31-1,1)</f>
        <v/>
      </c>
      <c r="AQ5" s="124">
        <f>DATE(YEAR(СтартМодели),MONTH(СтартМодели)+32-1,1)</f>
        <v/>
      </c>
      <c r="AR5" s="124">
        <f>DATE(YEAR(СтартМодели),MONTH(СтартМодели)+33-1,1)</f>
        <v/>
      </c>
      <c r="AS5" s="124">
        <f>DATE(YEAR(СтартМодели),MONTH(СтартМодели)+34-1,1)</f>
        <v/>
      </c>
      <c r="AT5" s="124">
        <f>DATE(YEAR(СтартМодели),MONTH(СтартМодели)+35-1,1)</f>
        <v/>
      </c>
      <c r="AU5" s="124">
        <f>DATE(YEAR(СтартМодели),MONTH(СтартМодели)+36-1,1)</f>
        <v/>
      </c>
      <c r="AV5" s="124">
        <f>DATE(YEAR(СтартМодели),MONTH(СтартМодели)+37-1,1)</f>
        <v/>
      </c>
      <c r="AW5" s="124">
        <f>DATE(YEAR(СтартМодели),MONTH(СтартМодели)+38-1,1)</f>
        <v/>
      </c>
      <c r="AX5" s="124">
        <f>DATE(YEAR(СтартМодели),MONTH(СтартМодели)+39-1,1)</f>
        <v/>
      </c>
      <c r="AY5" s="124">
        <f>DATE(YEAR(СтартМодели),MONTH(СтартМодели)+40-1,1)</f>
        <v/>
      </c>
      <c r="AZ5" s="124">
        <f>DATE(YEAR(СтартМодели),MONTH(СтартМодели)+41-1,1)</f>
        <v/>
      </c>
      <c r="BA5" s="124">
        <f>DATE(YEAR(СтартМодели),MONTH(СтартМодели)+42-1,1)</f>
        <v/>
      </c>
      <c r="BB5" s="124">
        <f>DATE(YEAR(СтартМодели),MONTH(СтартМодели)+43-1,1)</f>
        <v/>
      </c>
      <c r="BC5" s="124">
        <f>DATE(YEAR(СтартМодели),MONTH(СтартМодели)+44-1,1)</f>
        <v/>
      </c>
      <c r="BD5" s="124">
        <f>DATE(YEAR(СтартМодели),MONTH(СтартМодели)+45-1,1)</f>
        <v/>
      </c>
      <c r="BE5" s="124">
        <f>DATE(YEAR(СтартМодели),MONTH(СтартМодели)+46-1,1)</f>
        <v/>
      </c>
      <c r="BF5" s="124">
        <f>DATE(YEAR(СтартМодели),MONTH(СтартМодели)+47-1,1)</f>
        <v/>
      </c>
      <c r="BG5" s="124">
        <f>DATE(YEAR(СтартМодели),MONTH(СтартМодели)+48-1,1)</f>
        <v/>
      </c>
      <c r="BH5" s="124">
        <f>DATE(YEAR(СтартМодели),MONTH(СтартМодели)+49-1,1)</f>
        <v/>
      </c>
      <c r="BI5" s="124">
        <f>DATE(YEAR(СтартМодели),MONTH(СтартМодели)+50-1,1)</f>
        <v/>
      </c>
      <c r="BJ5" s="124">
        <f>DATE(YEAR(СтартМодели),MONTH(СтартМодели)+51-1,1)</f>
        <v/>
      </c>
      <c r="BK5" s="124">
        <f>DATE(YEAR(СтартМодели),MONTH(СтартМодели)+52-1,1)</f>
        <v/>
      </c>
      <c r="BL5" s="124">
        <f>DATE(YEAR(СтартМодели),MONTH(СтартМодели)+53-1,1)</f>
        <v/>
      </c>
      <c r="BM5" s="124">
        <f>DATE(YEAR(СтартМодели),MONTH(СтартМодели)+54-1,1)</f>
        <v/>
      </c>
      <c r="BN5" s="124">
        <f>DATE(YEAR(СтартМодели),MONTH(СтартМодели)+55-1,1)</f>
        <v/>
      </c>
      <c r="BO5" s="124">
        <f>DATE(YEAR(СтартМодели),MONTH(СтартМодели)+56-1,1)</f>
        <v/>
      </c>
      <c r="BP5" s="124">
        <f>DATE(YEAR(СтартМодели),MONTH(СтартМодели)+57-1,1)</f>
        <v/>
      </c>
      <c r="BQ5" s="124">
        <f>DATE(YEAR(СтартМодели),MONTH(СтартМодели)+58-1,1)</f>
        <v/>
      </c>
      <c r="BR5" s="124">
        <f>DATE(YEAR(СтартМодели),MONTH(СтартМодели)+59-1,1)</f>
        <v/>
      </c>
      <c r="BS5" s="124">
        <f>DATE(YEAR(СтартМодели),MONTH(СтартМодели)+60-1,1)</f>
        <v/>
      </c>
      <c r="BT5" s="124">
        <f>DATE(YEAR(СтартМодели),MONTH(СтартМодели)+61-1,1)</f>
        <v/>
      </c>
      <c r="BU5" s="124">
        <f>DATE(YEAR(СтартМодели),MONTH(СтартМодели)+62-1,1)</f>
        <v/>
      </c>
      <c r="BV5" s="124">
        <f>DATE(YEAR(СтартМодели),MONTH(СтартМодели)+63-1,1)</f>
        <v/>
      </c>
      <c r="BW5" s="124">
        <f>DATE(YEAR(СтартМодели),MONTH(СтартМодели)+64-1,1)</f>
        <v/>
      </c>
      <c r="BX5" s="124">
        <f>DATE(YEAR(СтартМодели),MONTH(СтартМодели)+65-1,1)</f>
        <v/>
      </c>
      <c r="BY5" s="124">
        <f>DATE(YEAR(СтартМодели),MONTH(СтартМодели)+66-1,1)</f>
        <v/>
      </c>
    </row>
    <row r="6">
      <c r="B6" s="125" t="inlineStr">
        <is>
          <t>Множители периода</t>
        </is>
      </c>
      <c r="C6" s="126" t="n"/>
      <c r="D6" s="126" t="n"/>
      <c r="E6" s="126" t="n"/>
      <c r="F6" s="126" t="n"/>
      <c r="G6" s="126" t="n"/>
      <c r="H6" s="126" t="n"/>
      <c r="I6" s="126" t="n"/>
      <c r="J6" s="126" t="n"/>
      <c r="K6" s="126" t="n"/>
      <c r="L6" s="126" t="n"/>
      <c r="M6" s="126" t="n"/>
      <c r="N6" s="126" t="n"/>
      <c r="O6" s="126" t="n"/>
      <c r="P6" s="126" t="n"/>
      <c r="Q6" s="126" t="n"/>
      <c r="R6" s="126" t="n"/>
      <c r="S6" s="126" t="n"/>
      <c r="T6" s="126" t="n"/>
      <c r="U6" s="126" t="n"/>
      <c r="V6" s="126" t="n"/>
      <c r="W6" s="126" t="n"/>
      <c r="X6" s="126" t="n"/>
      <c r="Y6" s="126" t="n"/>
      <c r="Z6" s="126" t="n"/>
      <c r="AA6" s="126" t="n"/>
      <c r="AB6" s="126" t="n"/>
      <c r="AC6" s="126" t="n"/>
      <c r="AD6" s="126" t="n"/>
      <c r="AE6" s="126" t="n"/>
      <c r="AF6" s="126" t="n"/>
      <c r="AG6" s="126" t="n"/>
      <c r="AH6" s="126" t="n"/>
      <c r="AI6" s="126" t="n"/>
      <c r="AJ6" s="126" t="n"/>
      <c r="AK6" s="126" t="n"/>
      <c r="AL6" s="126" t="n"/>
      <c r="AM6" s="126" t="n"/>
      <c r="AN6" s="126" t="n"/>
      <c r="AO6" s="126" t="n"/>
      <c r="AP6" s="126" t="n"/>
      <c r="AQ6" s="126" t="n"/>
      <c r="AR6" s="126" t="n"/>
      <c r="AS6" s="126" t="n"/>
      <c r="AT6" s="126" t="n"/>
      <c r="AU6" s="126" t="n"/>
      <c r="AV6" s="126" t="n"/>
      <c r="AW6" s="126" t="n"/>
      <c r="AX6" s="126" t="n"/>
      <c r="AY6" s="126" t="n"/>
      <c r="AZ6" s="126" t="n"/>
      <c r="BA6" s="126" t="n"/>
      <c r="BB6" s="126" t="n"/>
      <c r="BC6" s="126" t="n"/>
      <c r="BD6" s="126" t="n"/>
      <c r="BE6" s="126" t="n"/>
      <c r="BF6" s="126" t="n"/>
      <c r="BG6" s="126" t="n"/>
      <c r="BH6" s="126" t="n"/>
      <c r="BI6" s="126" t="n"/>
      <c r="BJ6" s="126" t="n"/>
      <c r="BK6" s="126" t="n"/>
      <c r="BL6" s="126" t="n"/>
      <c r="BM6" s="126" t="n"/>
      <c r="BN6" s="126" t="n"/>
      <c r="BO6" s="126" t="n"/>
      <c r="BP6" s="126" t="n"/>
      <c r="BQ6" s="126" t="n"/>
      <c r="BR6" s="126" t="n"/>
      <c r="BS6" s="126" t="n"/>
      <c r="BT6" s="126" t="n"/>
      <c r="BU6" s="126" t="n"/>
      <c r="BV6" s="126" t="n"/>
      <c r="BW6" s="126" t="n"/>
      <c r="BX6" s="126" t="n"/>
      <c r="BY6" s="126" t="n"/>
    </row>
    <row r="7">
      <c r="B7" t="inlineStr">
        <is>
          <t>Индекс цен</t>
        </is>
      </c>
      <c r="C7" t="inlineStr">
        <is>
          <t>коэфф.</t>
        </is>
      </c>
      <c r="D7" s="127" t="inlineStr">
        <is>
          <t>Накопленная индексация из справочника тарифов В колонках лет — значение на конец года, в «Итого» — на конец пятого года. Это остаток, а не сумма.</t>
        </is>
      </c>
      <c r="E7" s="144">
        <f>W7</f>
        <v/>
      </c>
      <c r="F7" s="144">
        <f>AI7</f>
        <v/>
      </c>
      <c r="G7" s="144">
        <f>AU7</f>
        <v/>
      </c>
      <c r="H7" s="144">
        <f>BG7</f>
        <v/>
      </c>
      <c r="I7" s="144">
        <f>BS7</f>
        <v/>
      </c>
      <c r="J7" s="145">
        <f>BS7</f>
        <v/>
      </c>
      <c r="L7" s="146">
        <f>'07_Тарифы'!B$4</f>
        <v/>
      </c>
      <c r="M7" s="146">
        <f>'07_Тарифы'!C$4</f>
        <v/>
      </c>
      <c r="N7" s="146">
        <f>'07_Тарифы'!D$4</f>
        <v/>
      </c>
      <c r="O7" s="146">
        <f>'07_Тарифы'!E$4</f>
        <v/>
      </c>
      <c r="P7" s="146">
        <f>'07_Тарифы'!F$4</f>
        <v/>
      </c>
      <c r="Q7" s="146">
        <f>'07_Тарифы'!G$4</f>
        <v/>
      </c>
      <c r="R7" s="146">
        <f>'07_Тарифы'!H$4</f>
        <v/>
      </c>
      <c r="S7" s="146">
        <f>'07_Тарифы'!I$4</f>
        <v/>
      </c>
      <c r="T7" s="146">
        <f>'07_Тарифы'!J$4</f>
        <v/>
      </c>
      <c r="U7" s="146">
        <f>'07_Тарифы'!K$4</f>
        <v/>
      </c>
      <c r="V7" s="146">
        <f>'07_Тарифы'!L$4</f>
        <v/>
      </c>
      <c r="W7" s="146">
        <f>'07_Тарифы'!M$4</f>
        <v/>
      </c>
      <c r="X7" s="146">
        <f>'07_Тарифы'!N$4</f>
        <v/>
      </c>
      <c r="Y7" s="146">
        <f>'07_Тарифы'!O$4</f>
        <v/>
      </c>
      <c r="Z7" s="146">
        <f>'07_Тарифы'!P$4</f>
        <v/>
      </c>
      <c r="AA7" s="146">
        <f>'07_Тарифы'!Q$4</f>
        <v/>
      </c>
      <c r="AB7" s="146">
        <f>'07_Тарифы'!R$4</f>
        <v/>
      </c>
      <c r="AC7" s="146">
        <f>'07_Тарифы'!S$4</f>
        <v/>
      </c>
      <c r="AD7" s="146">
        <f>'07_Тарифы'!T$4</f>
        <v/>
      </c>
      <c r="AE7" s="146">
        <f>'07_Тарифы'!U$4</f>
        <v/>
      </c>
      <c r="AF7" s="146">
        <f>'07_Тарифы'!V$4</f>
        <v/>
      </c>
      <c r="AG7" s="146">
        <f>'07_Тарифы'!W$4</f>
        <v/>
      </c>
      <c r="AH7" s="146">
        <f>'07_Тарифы'!X$4</f>
        <v/>
      </c>
      <c r="AI7" s="146">
        <f>'07_Тарифы'!Y$4</f>
        <v/>
      </c>
      <c r="AJ7" s="146">
        <f>'07_Тарифы'!Z$4</f>
        <v/>
      </c>
      <c r="AK7" s="146">
        <f>'07_Тарифы'!AA$4</f>
        <v/>
      </c>
      <c r="AL7" s="146">
        <f>'07_Тарифы'!AB$4</f>
        <v/>
      </c>
      <c r="AM7" s="146">
        <f>'07_Тарифы'!AC$4</f>
        <v/>
      </c>
      <c r="AN7" s="146">
        <f>'07_Тарифы'!AD$4</f>
        <v/>
      </c>
      <c r="AO7" s="146">
        <f>'07_Тарифы'!AE$4</f>
        <v/>
      </c>
      <c r="AP7" s="146">
        <f>'07_Тарифы'!AF$4</f>
        <v/>
      </c>
      <c r="AQ7" s="146">
        <f>'07_Тарифы'!AG$4</f>
        <v/>
      </c>
      <c r="AR7" s="146">
        <f>'07_Тарифы'!AH$4</f>
        <v/>
      </c>
      <c r="AS7" s="146">
        <f>'07_Тарифы'!AI$4</f>
        <v/>
      </c>
      <c r="AT7" s="146">
        <f>'07_Тарифы'!AJ$4</f>
        <v/>
      </c>
      <c r="AU7" s="146">
        <f>'07_Тарифы'!AK$4</f>
        <v/>
      </c>
      <c r="AV7" s="146">
        <f>'07_Тарифы'!AL$4</f>
        <v/>
      </c>
      <c r="AW7" s="146">
        <f>'07_Тарифы'!AM$4</f>
        <v/>
      </c>
      <c r="AX7" s="146">
        <f>'07_Тарифы'!AN$4</f>
        <v/>
      </c>
      <c r="AY7" s="146">
        <f>'07_Тарифы'!AO$4</f>
        <v/>
      </c>
      <c r="AZ7" s="146">
        <f>'07_Тарифы'!AP$4</f>
        <v/>
      </c>
      <c r="BA7" s="146">
        <f>'07_Тарифы'!AQ$4</f>
        <v/>
      </c>
      <c r="BB7" s="146">
        <f>'07_Тарифы'!AR$4</f>
        <v/>
      </c>
      <c r="BC7" s="146">
        <f>'07_Тарифы'!AS$4</f>
        <v/>
      </c>
      <c r="BD7" s="146">
        <f>'07_Тарифы'!AT$4</f>
        <v/>
      </c>
      <c r="BE7" s="146">
        <f>'07_Тарифы'!AU$4</f>
        <v/>
      </c>
      <c r="BF7" s="146">
        <f>'07_Тарифы'!AV$4</f>
        <v/>
      </c>
      <c r="BG7" s="146">
        <f>'07_Тарифы'!AW$4</f>
        <v/>
      </c>
      <c r="BH7" s="146">
        <f>'07_Тарифы'!AX$4</f>
        <v/>
      </c>
      <c r="BI7" s="146">
        <f>'07_Тарифы'!AY$4</f>
        <v/>
      </c>
      <c r="BJ7" s="146">
        <f>'07_Тарифы'!AZ$4</f>
        <v/>
      </c>
      <c r="BK7" s="146">
        <f>'07_Тарифы'!BA$4</f>
        <v/>
      </c>
      <c r="BL7" s="146">
        <f>'07_Тарифы'!BB$4</f>
        <v/>
      </c>
      <c r="BM7" s="146">
        <f>'07_Тарифы'!BC$4</f>
        <v/>
      </c>
      <c r="BN7" s="146">
        <f>'07_Тарифы'!BD$4</f>
        <v/>
      </c>
      <c r="BO7" s="146">
        <f>'07_Тарифы'!BE$4</f>
        <v/>
      </c>
      <c r="BP7" s="146">
        <f>'07_Тарифы'!BF$4</f>
        <v/>
      </c>
      <c r="BQ7" s="146">
        <f>'07_Тарифы'!BG$4</f>
        <v/>
      </c>
      <c r="BR7" s="146">
        <f>'07_Тарифы'!BH$4</f>
        <v/>
      </c>
      <c r="BS7" s="146">
        <f>'07_Тарифы'!BI$4</f>
        <v/>
      </c>
      <c r="BT7" s="146">
        <f>'07_Тарифы'!BJ$4</f>
        <v/>
      </c>
      <c r="BU7" s="146">
        <f>'07_Тарифы'!BK$4</f>
        <v/>
      </c>
      <c r="BV7" s="146">
        <f>'07_Тарифы'!BL$4</f>
        <v/>
      </c>
      <c r="BW7" s="146">
        <f>'07_Тарифы'!BM$4</f>
        <v/>
      </c>
      <c r="BX7" s="146">
        <f>'07_Тарифы'!BN$4</f>
        <v/>
      </c>
      <c r="BY7" s="146">
        <f>'07_Тарифы'!BO$4</f>
        <v/>
      </c>
    </row>
    <row r="8">
      <c r="B8" t="inlineStr">
        <is>
          <t>Множитель оборота</t>
        </is>
      </c>
      <c r="C8" t="inlineStr">
        <is>
          <t>коэфф.</t>
        </is>
      </c>
      <c r="D8" s="127" t="inlineStr">
        <is>
          <t>Сезонность, сценарные множители и индексация в одном числе В колонках лет — среднее за год, в «Итого» — среднее за все 60 месяцев.</t>
        </is>
      </c>
      <c r="E8" s="144">
        <f>AVERAGE(L8:W8)</f>
        <v/>
      </c>
      <c r="F8" s="144">
        <f>AVERAGE(X8:AI8)</f>
        <v/>
      </c>
      <c r="G8" s="144">
        <f>AVERAGE(AJ8:AU8)</f>
        <v/>
      </c>
      <c r="H8" s="144">
        <f>AVERAGE(AV8:BG8)</f>
        <v/>
      </c>
      <c r="I8" s="144">
        <f>AVERAGE(BH8:BS8)</f>
        <v/>
      </c>
      <c r="J8" s="145">
        <f>AVERAGE(L8:BS8)</f>
        <v/>
      </c>
      <c r="L8" s="146">
        <f>'03_Сеть'!L10*МножительДетей*МножительЦен*L7</f>
        <v/>
      </c>
      <c r="M8" s="146">
        <f>'03_Сеть'!M10*МножительДетей*МножительЦен*M7</f>
        <v/>
      </c>
      <c r="N8" s="146">
        <f>'03_Сеть'!N10*МножительДетей*МножительЦен*N7</f>
        <v/>
      </c>
      <c r="O8" s="146">
        <f>'03_Сеть'!O10*МножительДетей*МножительЦен*O7</f>
        <v/>
      </c>
      <c r="P8" s="146">
        <f>'03_Сеть'!P10*МножительДетей*МножительЦен*P7</f>
        <v/>
      </c>
      <c r="Q8" s="146">
        <f>'03_Сеть'!Q10*МножительДетей*МножительЦен*Q7</f>
        <v/>
      </c>
      <c r="R8" s="146">
        <f>'03_Сеть'!R10*МножительДетей*МножительЦен*R7</f>
        <v/>
      </c>
      <c r="S8" s="146">
        <f>'03_Сеть'!S10*МножительДетей*МножительЦен*S7</f>
        <v/>
      </c>
      <c r="T8" s="146">
        <f>'03_Сеть'!T10*МножительДетей*МножительЦен*T7</f>
        <v/>
      </c>
      <c r="U8" s="146">
        <f>'03_Сеть'!U10*МножительДетей*МножительЦен*U7</f>
        <v/>
      </c>
      <c r="V8" s="146">
        <f>'03_Сеть'!V10*МножительДетей*МножительЦен*V7</f>
        <v/>
      </c>
      <c r="W8" s="146">
        <f>'03_Сеть'!W10*МножительДетей*МножительЦен*W7</f>
        <v/>
      </c>
      <c r="X8" s="146">
        <f>'03_Сеть'!X10*МножительДетей*МножительЦен*X7</f>
        <v/>
      </c>
      <c r="Y8" s="146">
        <f>'03_Сеть'!Y10*МножительДетей*МножительЦен*Y7</f>
        <v/>
      </c>
      <c r="Z8" s="146">
        <f>'03_Сеть'!Z10*МножительДетей*МножительЦен*Z7</f>
        <v/>
      </c>
      <c r="AA8" s="146">
        <f>'03_Сеть'!AA10*МножительДетей*МножительЦен*AA7</f>
        <v/>
      </c>
      <c r="AB8" s="146">
        <f>'03_Сеть'!AB10*МножительДетей*МножительЦен*AB7</f>
        <v/>
      </c>
      <c r="AC8" s="146">
        <f>'03_Сеть'!AC10*МножительДетей*МножительЦен*AC7</f>
        <v/>
      </c>
      <c r="AD8" s="146">
        <f>'03_Сеть'!AD10*МножительДетей*МножительЦен*AD7</f>
        <v/>
      </c>
      <c r="AE8" s="146">
        <f>'03_Сеть'!AE10*МножительДетей*МножительЦен*AE7</f>
        <v/>
      </c>
      <c r="AF8" s="146">
        <f>'03_Сеть'!AF10*МножительДетей*МножительЦен*AF7</f>
        <v/>
      </c>
      <c r="AG8" s="146">
        <f>'03_Сеть'!AG10*МножительДетей*МножительЦен*AG7</f>
        <v/>
      </c>
      <c r="AH8" s="146">
        <f>'03_Сеть'!AH10*МножительДетей*МножительЦен*AH7</f>
        <v/>
      </c>
      <c r="AI8" s="146">
        <f>'03_Сеть'!AI10*МножительДетей*МножительЦен*AI7</f>
        <v/>
      </c>
      <c r="AJ8" s="146">
        <f>'03_Сеть'!AJ10*МножительДетей*МножительЦен*AJ7</f>
        <v/>
      </c>
      <c r="AK8" s="146">
        <f>'03_Сеть'!AK10*МножительДетей*МножительЦен*AK7</f>
        <v/>
      </c>
      <c r="AL8" s="146">
        <f>'03_Сеть'!AL10*МножительДетей*МножительЦен*AL7</f>
        <v/>
      </c>
      <c r="AM8" s="146">
        <f>'03_Сеть'!AM10*МножительДетей*МножительЦен*AM7</f>
        <v/>
      </c>
      <c r="AN8" s="146">
        <f>'03_Сеть'!AN10*МножительДетей*МножительЦен*AN7</f>
        <v/>
      </c>
      <c r="AO8" s="146">
        <f>'03_Сеть'!AO10*МножительДетей*МножительЦен*AO7</f>
        <v/>
      </c>
      <c r="AP8" s="146">
        <f>'03_Сеть'!AP10*МножительДетей*МножительЦен*AP7</f>
        <v/>
      </c>
      <c r="AQ8" s="146">
        <f>'03_Сеть'!AQ10*МножительДетей*МножительЦен*AQ7</f>
        <v/>
      </c>
      <c r="AR8" s="146">
        <f>'03_Сеть'!AR10*МножительДетей*МножительЦен*AR7</f>
        <v/>
      </c>
      <c r="AS8" s="146">
        <f>'03_Сеть'!AS10*МножительДетей*МножительЦен*AS7</f>
        <v/>
      </c>
      <c r="AT8" s="146">
        <f>'03_Сеть'!AT10*МножительДетей*МножительЦен*AT7</f>
        <v/>
      </c>
      <c r="AU8" s="146">
        <f>'03_Сеть'!AU10*МножительДетей*МножительЦен*AU7</f>
        <v/>
      </c>
      <c r="AV8" s="146">
        <f>'03_Сеть'!AV10*МножительДетей*МножительЦен*AV7</f>
        <v/>
      </c>
      <c r="AW8" s="146">
        <f>'03_Сеть'!AW10*МножительДетей*МножительЦен*AW7</f>
        <v/>
      </c>
      <c r="AX8" s="146">
        <f>'03_Сеть'!AX10*МножительДетей*МножительЦен*AX7</f>
        <v/>
      </c>
      <c r="AY8" s="146">
        <f>'03_Сеть'!AY10*МножительДетей*МножительЦен*AY7</f>
        <v/>
      </c>
      <c r="AZ8" s="146">
        <f>'03_Сеть'!AZ10*МножительДетей*МножительЦен*AZ7</f>
        <v/>
      </c>
      <c r="BA8" s="146">
        <f>'03_Сеть'!BA10*МножительДетей*МножительЦен*BA7</f>
        <v/>
      </c>
      <c r="BB8" s="146">
        <f>'03_Сеть'!BB10*МножительДетей*МножительЦен*BB7</f>
        <v/>
      </c>
      <c r="BC8" s="146">
        <f>'03_Сеть'!BC10*МножительДетей*МножительЦен*BC7</f>
        <v/>
      </c>
      <c r="BD8" s="146">
        <f>'03_Сеть'!BD10*МножительДетей*МножительЦен*BD7</f>
        <v/>
      </c>
      <c r="BE8" s="146">
        <f>'03_Сеть'!BE10*МножительДетей*МножительЦен*BE7</f>
        <v/>
      </c>
      <c r="BF8" s="146">
        <f>'03_Сеть'!BF10*МножительДетей*МножительЦен*BF7</f>
        <v/>
      </c>
      <c r="BG8" s="146">
        <f>'03_Сеть'!BG10*МножительДетей*МножительЦен*BG7</f>
        <v/>
      </c>
      <c r="BH8" s="146">
        <f>'03_Сеть'!BH10*МножительДетей*МножительЦен*BH7</f>
        <v/>
      </c>
      <c r="BI8" s="146">
        <f>'03_Сеть'!BI10*МножительДетей*МножительЦен*BI7</f>
        <v/>
      </c>
      <c r="BJ8" s="146">
        <f>'03_Сеть'!BJ10*МножительДетей*МножительЦен*BJ7</f>
        <v/>
      </c>
      <c r="BK8" s="146">
        <f>'03_Сеть'!BK10*МножительДетей*МножительЦен*BK7</f>
        <v/>
      </c>
      <c r="BL8" s="146">
        <f>'03_Сеть'!BL10*МножительДетей*МножительЦен*BL7</f>
        <v/>
      </c>
      <c r="BM8" s="146">
        <f>'03_Сеть'!BM10*МножительДетей*МножительЦен*BM7</f>
        <v/>
      </c>
      <c r="BN8" s="146">
        <f>'03_Сеть'!BN10*МножительДетей*МножительЦен*BN7</f>
        <v/>
      </c>
      <c r="BO8" s="146">
        <f>'03_Сеть'!BO10*МножительДетей*МножительЦен*BO7</f>
        <v/>
      </c>
      <c r="BP8" s="146">
        <f>'03_Сеть'!BP10*МножительДетей*МножительЦен*BP7</f>
        <v/>
      </c>
      <c r="BQ8" s="146">
        <f>'03_Сеть'!BQ10*МножительДетей*МножительЦен*BQ7</f>
        <v/>
      </c>
      <c r="BR8" s="146">
        <f>'03_Сеть'!BR10*МножительДетей*МножительЦен*BR7</f>
        <v/>
      </c>
      <c r="BS8" s="146">
        <f>'03_Сеть'!BS10*МножительДетей*МножительЦен*BS7</f>
        <v/>
      </c>
      <c r="BT8" s="146">
        <f>'03_Сеть'!BT10*МножительДетей*МножительЦен*BT7</f>
        <v/>
      </c>
      <c r="BU8" s="146">
        <f>'03_Сеть'!BU10*МножительДетей*МножительЦен*BU7</f>
        <v/>
      </c>
      <c r="BV8" s="146">
        <f>'03_Сеть'!BV10*МножительДетей*МножительЦен*BV7</f>
        <v/>
      </c>
      <c r="BW8" s="146">
        <f>'03_Сеть'!BW10*МножительДетей*МножительЦен*BW7</f>
        <v/>
      </c>
      <c r="BX8" s="146">
        <f>'03_Сеть'!BX10*МножительДетей*МножительЦен*BX7</f>
        <v/>
      </c>
      <c r="BY8" s="146">
        <f>'03_Сеть'!BY10*МножительДетей*МножительЦен*BY7</f>
        <v/>
      </c>
    </row>
    <row r="9">
      <c r="B9" t="inlineStr">
        <is>
          <t>Ставка роялти: договоры до перехода</t>
        </is>
      </c>
      <c r="C9" t="inlineStr">
        <is>
          <t>коэфф.</t>
        </is>
      </c>
      <c r="D9" s="127" t="inlineStr">
        <is>
          <t>После общей даты все переходят на единую ставку В колонках лет — среднее за год, в «Итого» — среднее за все 60 месяцев.</t>
        </is>
      </c>
      <c r="E9" s="147">
        <f>AVERAGE(L9:W9)</f>
        <v/>
      </c>
      <c r="F9" s="147">
        <f>AVERAGE(X9:AI9)</f>
        <v/>
      </c>
      <c r="G9" s="147">
        <f>AVERAGE(AJ9:AU9)</f>
        <v/>
      </c>
      <c r="H9" s="147">
        <f>AVERAGE(AV9:BG9)</f>
        <v/>
      </c>
      <c r="I9" s="147">
        <f>AVERAGE(BH9:BS9)</f>
        <v/>
      </c>
      <c r="J9" s="148">
        <f>AVERAGE(L9:BS9)</f>
        <v/>
      </c>
      <c r="L9" s="149">
        <f>L8*IF('03_Сеть'!L7&gt;=ДатаПереходаСтавки,СтавкаРоялтиВсех,СтавкаРоялтиСтарых)</f>
        <v/>
      </c>
      <c r="M9" s="149">
        <f>M8*IF('03_Сеть'!M7&gt;=ДатаПереходаСтавки,СтавкаРоялтиВсех,СтавкаРоялтиСтарых)</f>
        <v/>
      </c>
      <c r="N9" s="149">
        <f>N8*IF('03_Сеть'!N7&gt;=ДатаПереходаСтавки,СтавкаРоялтиВсех,СтавкаРоялтиСтарых)</f>
        <v/>
      </c>
      <c r="O9" s="149">
        <f>O8*IF('03_Сеть'!O7&gt;=ДатаПереходаСтавки,СтавкаРоялтиВсех,СтавкаРоялтиСтарых)</f>
        <v/>
      </c>
      <c r="P9" s="149">
        <f>P8*IF('03_Сеть'!P7&gt;=ДатаПереходаСтавки,СтавкаРоялтиВсех,СтавкаРоялтиСтарых)</f>
        <v/>
      </c>
      <c r="Q9" s="149">
        <f>Q8*IF('03_Сеть'!Q7&gt;=ДатаПереходаСтавки,СтавкаРоялтиВсех,СтавкаРоялтиСтарых)</f>
        <v/>
      </c>
      <c r="R9" s="149">
        <f>R8*IF('03_Сеть'!R7&gt;=ДатаПереходаСтавки,СтавкаРоялтиВсех,СтавкаРоялтиСтарых)</f>
        <v/>
      </c>
      <c r="S9" s="149">
        <f>S8*IF('03_Сеть'!S7&gt;=ДатаПереходаСтавки,СтавкаРоялтиВсех,СтавкаРоялтиСтарых)</f>
        <v/>
      </c>
      <c r="T9" s="149">
        <f>T8*IF('03_Сеть'!T7&gt;=ДатаПереходаСтавки,СтавкаРоялтиВсех,СтавкаРоялтиСтарых)</f>
        <v/>
      </c>
      <c r="U9" s="149">
        <f>U8*IF('03_Сеть'!U7&gt;=ДатаПереходаСтавки,СтавкаРоялтиВсех,СтавкаРоялтиСтарых)</f>
        <v/>
      </c>
      <c r="V9" s="149">
        <f>V8*IF('03_Сеть'!V7&gt;=ДатаПереходаСтавки,СтавкаРоялтиВсех,СтавкаРоялтиСтарых)</f>
        <v/>
      </c>
      <c r="W9" s="149">
        <f>W8*IF('03_Сеть'!W7&gt;=ДатаПереходаСтавки,СтавкаРоялтиВсех,СтавкаРоялтиСтарых)</f>
        <v/>
      </c>
      <c r="X9" s="149">
        <f>X8*IF('03_Сеть'!X7&gt;=ДатаПереходаСтавки,СтавкаРоялтиВсех,СтавкаРоялтиСтарых)</f>
        <v/>
      </c>
      <c r="Y9" s="149">
        <f>Y8*IF('03_Сеть'!Y7&gt;=ДатаПереходаСтавки,СтавкаРоялтиВсех,СтавкаРоялтиСтарых)</f>
        <v/>
      </c>
      <c r="Z9" s="149">
        <f>Z8*IF('03_Сеть'!Z7&gt;=ДатаПереходаСтавки,СтавкаРоялтиВсех,СтавкаРоялтиСтарых)</f>
        <v/>
      </c>
      <c r="AA9" s="149">
        <f>AA8*IF('03_Сеть'!AA7&gt;=ДатаПереходаСтавки,СтавкаРоялтиВсех,СтавкаРоялтиСтарых)</f>
        <v/>
      </c>
      <c r="AB9" s="149">
        <f>AB8*IF('03_Сеть'!AB7&gt;=ДатаПереходаСтавки,СтавкаРоялтиВсех,СтавкаРоялтиСтарых)</f>
        <v/>
      </c>
      <c r="AC9" s="149">
        <f>AC8*IF('03_Сеть'!AC7&gt;=ДатаПереходаСтавки,СтавкаРоялтиВсех,СтавкаРоялтиСтарых)</f>
        <v/>
      </c>
      <c r="AD9" s="149">
        <f>AD8*IF('03_Сеть'!AD7&gt;=ДатаПереходаСтавки,СтавкаРоялтиВсех,СтавкаРоялтиСтарых)</f>
        <v/>
      </c>
      <c r="AE9" s="149">
        <f>AE8*IF('03_Сеть'!AE7&gt;=ДатаПереходаСтавки,СтавкаРоялтиВсех,СтавкаРоялтиСтарых)</f>
        <v/>
      </c>
      <c r="AF9" s="149">
        <f>AF8*IF('03_Сеть'!AF7&gt;=ДатаПереходаСтавки,СтавкаРоялтиВсех,СтавкаРоялтиСтарых)</f>
        <v/>
      </c>
      <c r="AG9" s="149">
        <f>AG8*IF('03_Сеть'!AG7&gt;=ДатаПереходаСтавки,СтавкаРоялтиВсех,СтавкаРоялтиСтарых)</f>
        <v/>
      </c>
      <c r="AH9" s="149">
        <f>AH8*IF('03_Сеть'!AH7&gt;=ДатаПереходаСтавки,СтавкаРоялтиВсех,СтавкаРоялтиСтарых)</f>
        <v/>
      </c>
      <c r="AI9" s="149">
        <f>AI8*IF('03_Сеть'!AI7&gt;=ДатаПереходаСтавки,СтавкаРоялтиВсех,СтавкаРоялтиСтарых)</f>
        <v/>
      </c>
      <c r="AJ9" s="149">
        <f>AJ8*IF('03_Сеть'!AJ7&gt;=ДатаПереходаСтавки,СтавкаРоялтиВсех,СтавкаРоялтиСтарых)</f>
        <v/>
      </c>
      <c r="AK9" s="149">
        <f>AK8*IF('03_Сеть'!AK7&gt;=ДатаПереходаСтавки,СтавкаРоялтиВсех,СтавкаРоялтиСтарых)</f>
        <v/>
      </c>
      <c r="AL9" s="149">
        <f>AL8*IF('03_Сеть'!AL7&gt;=ДатаПереходаСтавки,СтавкаРоялтиВсех,СтавкаРоялтиСтарых)</f>
        <v/>
      </c>
      <c r="AM9" s="149">
        <f>AM8*IF('03_Сеть'!AM7&gt;=ДатаПереходаСтавки,СтавкаРоялтиВсех,СтавкаРоялтиСтарых)</f>
        <v/>
      </c>
      <c r="AN9" s="149">
        <f>AN8*IF('03_Сеть'!AN7&gt;=ДатаПереходаСтавки,СтавкаРоялтиВсех,СтавкаРоялтиСтарых)</f>
        <v/>
      </c>
      <c r="AO9" s="149">
        <f>AO8*IF('03_Сеть'!AO7&gt;=ДатаПереходаСтавки,СтавкаРоялтиВсех,СтавкаРоялтиСтарых)</f>
        <v/>
      </c>
      <c r="AP9" s="149">
        <f>AP8*IF('03_Сеть'!AP7&gt;=ДатаПереходаСтавки,СтавкаРоялтиВсех,СтавкаРоялтиСтарых)</f>
        <v/>
      </c>
      <c r="AQ9" s="149">
        <f>AQ8*IF('03_Сеть'!AQ7&gt;=ДатаПереходаСтавки,СтавкаРоялтиВсех,СтавкаРоялтиСтарых)</f>
        <v/>
      </c>
      <c r="AR9" s="149">
        <f>AR8*IF('03_Сеть'!AR7&gt;=ДатаПереходаСтавки,СтавкаРоялтиВсех,СтавкаРоялтиСтарых)</f>
        <v/>
      </c>
      <c r="AS9" s="149">
        <f>AS8*IF('03_Сеть'!AS7&gt;=ДатаПереходаСтавки,СтавкаРоялтиВсех,СтавкаРоялтиСтарых)</f>
        <v/>
      </c>
      <c r="AT9" s="149">
        <f>AT8*IF('03_Сеть'!AT7&gt;=ДатаПереходаСтавки,СтавкаРоялтиВсех,СтавкаРоялтиСтарых)</f>
        <v/>
      </c>
      <c r="AU9" s="149">
        <f>AU8*IF('03_Сеть'!AU7&gt;=ДатаПереходаСтавки,СтавкаРоялтиВсех,СтавкаРоялтиСтарых)</f>
        <v/>
      </c>
      <c r="AV9" s="149">
        <f>AV8*IF('03_Сеть'!AV7&gt;=ДатаПереходаСтавки,СтавкаРоялтиВсех,СтавкаРоялтиСтарых)</f>
        <v/>
      </c>
      <c r="AW9" s="149">
        <f>AW8*IF('03_Сеть'!AW7&gt;=ДатаПереходаСтавки,СтавкаРоялтиВсех,СтавкаРоялтиСтарых)</f>
        <v/>
      </c>
      <c r="AX9" s="149">
        <f>AX8*IF('03_Сеть'!AX7&gt;=ДатаПереходаСтавки,СтавкаРоялтиВсех,СтавкаРоялтиСтарых)</f>
        <v/>
      </c>
      <c r="AY9" s="149">
        <f>AY8*IF('03_Сеть'!AY7&gt;=ДатаПереходаСтавки,СтавкаРоялтиВсех,СтавкаРоялтиСтарых)</f>
        <v/>
      </c>
      <c r="AZ9" s="149">
        <f>AZ8*IF('03_Сеть'!AZ7&gt;=ДатаПереходаСтавки,СтавкаРоялтиВсех,СтавкаРоялтиСтарых)</f>
        <v/>
      </c>
      <c r="BA9" s="149">
        <f>BA8*IF('03_Сеть'!BA7&gt;=ДатаПереходаСтавки,СтавкаРоялтиВсех,СтавкаРоялтиСтарых)</f>
        <v/>
      </c>
      <c r="BB9" s="149">
        <f>BB8*IF('03_Сеть'!BB7&gt;=ДатаПереходаСтавки,СтавкаРоялтиВсех,СтавкаРоялтиСтарых)</f>
        <v/>
      </c>
      <c r="BC9" s="149">
        <f>BC8*IF('03_Сеть'!BC7&gt;=ДатаПереходаСтавки,СтавкаРоялтиВсех,СтавкаРоялтиСтарых)</f>
        <v/>
      </c>
      <c r="BD9" s="149">
        <f>BD8*IF('03_Сеть'!BD7&gt;=ДатаПереходаСтавки,СтавкаРоялтиВсех,СтавкаРоялтиСтарых)</f>
        <v/>
      </c>
      <c r="BE9" s="149">
        <f>BE8*IF('03_Сеть'!BE7&gt;=ДатаПереходаСтавки,СтавкаРоялтиВсех,СтавкаРоялтиСтарых)</f>
        <v/>
      </c>
      <c r="BF9" s="149">
        <f>BF8*IF('03_Сеть'!BF7&gt;=ДатаПереходаСтавки,СтавкаРоялтиВсех,СтавкаРоялтиСтарых)</f>
        <v/>
      </c>
      <c r="BG9" s="149">
        <f>BG8*IF('03_Сеть'!BG7&gt;=ДатаПереходаСтавки,СтавкаРоялтиВсех,СтавкаРоялтиСтарых)</f>
        <v/>
      </c>
      <c r="BH9" s="149">
        <f>BH8*IF('03_Сеть'!BH7&gt;=ДатаПереходаСтавки,СтавкаРоялтиВсех,СтавкаРоялтиСтарых)</f>
        <v/>
      </c>
      <c r="BI9" s="149">
        <f>BI8*IF('03_Сеть'!BI7&gt;=ДатаПереходаСтавки,СтавкаРоялтиВсех,СтавкаРоялтиСтарых)</f>
        <v/>
      </c>
      <c r="BJ9" s="149">
        <f>BJ8*IF('03_Сеть'!BJ7&gt;=ДатаПереходаСтавки,СтавкаРоялтиВсех,СтавкаРоялтиСтарых)</f>
        <v/>
      </c>
      <c r="BK9" s="149">
        <f>BK8*IF('03_Сеть'!BK7&gt;=ДатаПереходаСтавки,СтавкаРоялтиВсех,СтавкаРоялтиСтарых)</f>
        <v/>
      </c>
      <c r="BL9" s="149">
        <f>BL8*IF('03_Сеть'!BL7&gt;=ДатаПереходаСтавки,СтавкаРоялтиВсех,СтавкаРоялтиСтарых)</f>
        <v/>
      </c>
      <c r="BM9" s="149">
        <f>BM8*IF('03_Сеть'!BM7&gt;=ДатаПереходаСтавки,СтавкаРоялтиВсех,СтавкаРоялтиСтарых)</f>
        <v/>
      </c>
      <c r="BN9" s="149">
        <f>BN8*IF('03_Сеть'!BN7&gt;=ДатаПереходаСтавки,СтавкаРоялтиВсех,СтавкаРоялтиСтарых)</f>
        <v/>
      </c>
      <c r="BO9" s="149">
        <f>BO8*IF('03_Сеть'!BO7&gt;=ДатаПереходаСтавки,СтавкаРоялтиВсех,СтавкаРоялтиСтарых)</f>
        <v/>
      </c>
      <c r="BP9" s="149">
        <f>BP8*IF('03_Сеть'!BP7&gt;=ДатаПереходаСтавки,СтавкаРоялтиВсех,СтавкаРоялтиСтарых)</f>
        <v/>
      </c>
      <c r="BQ9" s="149">
        <f>BQ8*IF('03_Сеть'!BQ7&gt;=ДатаПереходаСтавки,СтавкаРоялтиВсех,СтавкаРоялтиСтарых)</f>
        <v/>
      </c>
      <c r="BR9" s="149">
        <f>BR8*IF('03_Сеть'!BR7&gt;=ДатаПереходаСтавки,СтавкаРоялтиВсех,СтавкаРоялтиСтарых)</f>
        <v/>
      </c>
      <c r="BS9" s="149">
        <f>BS8*IF('03_Сеть'!BS7&gt;=ДатаПереходаСтавки,СтавкаРоялтиВсех,СтавкаРоялтиСтарых)</f>
        <v/>
      </c>
      <c r="BT9" s="149">
        <f>BT8*IF('03_Сеть'!BT7&gt;=ДатаПереходаСтавки,СтавкаРоялтиВсех,СтавкаРоялтиСтарых)</f>
        <v/>
      </c>
      <c r="BU9" s="149">
        <f>BU8*IF('03_Сеть'!BU7&gt;=ДатаПереходаСтавки,СтавкаРоялтиВсех,СтавкаРоялтиСтарых)</f>
        <v/>
      </c>
      <c r="BV9" s="149">
        <f>BV8*IF('03_Сеть'!BV7&gt;=ДатаПереходаСтавки,СтавкаРоялтиВсех,СтавкаРоялтиСтарых)</f>
        <v/>
      </c>
      <c r="BW9" s="149">
        <f>BW8*IF('03_Сеть'!BW7&gt;=ДатаПереходаСтавки,СтавкаРоялтиВсех,СтавкаРоялтиСтарых)</f>
        <v/>
      </c>
      <c r="BX9" s="149">
        <f>BX8*IF('03_Сеть'!BX7&gt;=ДатаПереходаСтавки,СтавкаРоялтиВсех,СтавкаРоялтиСтарых)</f>
        <v/>
      </c>
      <c r="BY9" s="149">
        <f>BY8*IF('03_Сеть'!BY7&gt;=ДатаПереходаСтавки,СтавкаРоялтиВсех,СтавкаРоялтиСтарых)</f>
        <v/>
      </c>
    </row>
    <row r="10">
      <c r="B10" t="inlineStr">
        <is>
          <t>Ставка роялти: договоры после перехода</t>
        </is>
      </c>
      <c r="C10" t="inlineStr">
        <is>
          <t>коэфф.</t>
        </is>
      </c>
      <c r="D10" s="127" t="inlineStr">
        <is>
          <t>В колонках лет — среднее за год, в «Итого» — среднее за все 60 месяцев.</t>
        </is>
      </c>
      <c r="E10" s="147">
        <f>AVERAGE(L10:W10)</f>
        <v/>
      </c>
      <c r="F10" s="147">
        <f>AVERAGE(X10:AI10)</f>
        <v/>
      </c>
      <c r="G10" s="147">
        <f>AVERAGE(AJ10:AU10)</f>
        <v/>
      </c>
      <c r="H10" s="147">
        <f>AVERAGE(AV10:BG10)</f>
        <v/>
      </c>
      <c r="I10" s="147">
        <f>AVERAGE(BH10:BS10)</f>
        <v/>
      </c>
      <c r="J10" s="148">
        <f>AVERAGE(L10:BS10)</f>
        <v/>
      </c>
      <c r="L10" s="149">
        <f>L8*IF('03_Сеть'!L7&gt;=ДатаПереходаСтавки,СтавкаРоялтиВсех,СтавкаРоялтиНовых)</f>
        <v/>
      </c>
      <c r="M10" s="149">
        <f>M8*IF('03_Сеть'!M7&gt;=ДатаПереходаСтавки,СтавкаРоялтиВсех,СтавкаРоялтиНовых)</f>
        <v/>
      </c>
      <c r="N10" s="149">
        <f>N8*IF('03_Сеть'!N7&gt;=ДатаПереходаСтавки,СтавкаРоялтиВсех,СтавкаРоялтиНовых)</f>
        <v/>
      </c>
      <c r="O10" s="149">
        <f>O8*IF('03_Сеть'!O7&gt;=ДатаПереходаСтавки,СтавкаРоялтиВсех,СтавкаРоялтиНовых)</f>
        <v/>
      </c>
      <c r="P10" s="149">
        <f>P8*IF('03_Сеть'!P7&gt;=ДатаПереходаСтавки,СтавкаРоялтиВсех,СтавкаРоялтиНовых)</f>
        <v/>
      </c>
      <c r="Q10" s="149">
        <f>Q8*IF('03_Сеть'!Q7&gt;=ДатаПереходаСтавки,СтавкаРоялтиВсех,СтавкаРоялтиНовых)</f>
        <v/>
      </c>
      <c r="R10" s="149">
        <f>R8*IF('03_Сеть'!R7&gt;=ДатаПереходаСтавки,СтавкаРоялтиВсех,СтавкаРоялтиНовых)</f>
        <v/>
      </c>
      <c r="S10" s="149">
        <f>S8*IF('03_Сеть'!S7&gt;=ДатаПереходаСтавки,СтавкаРоялтиВсех,СтавкаРоялтиНовых)</f>
        <v/>
      </c>
      <c r="T10" s="149">
        <f>T8*IF('03_Сеть'!T7&gt;=ДатаПереходаСтавки,СтавкаРоялтиВсех,СтавкаРоялтиНовых)</f>
        <v/>
      </c>
      <c r="U10" s="149">
        <f>U8*IF('03_Сеть'!U7&gt;=ДатаПереходаСтавки,СтавкаРоялтиВсех,СтавкаРоялтиНовых)</f>
        <v/>
      </c>
      <c r="V10" s="149">
        <f>V8*IF('03_Сеть'!V7&gt;=ДатаПереходаСтавки,СтавкаРоялтиВсех,СтавкаРоялтиНовых)</f>
        <v/>
      </c>
      <c r="W10" s="149">
        <f>W8*IF('03_Сеть'!W7&gt;=ДатаПереходаСтавки,СтавкаРоялтиВсех,СтавкаРоялтиНовых)</f>
        <v/>
      </c>
      <c r="X10" s="149">
        <f>X8*IF('03_Сеть'!X7&gt;=ДатаПереходаСтавки,СтавкаРоялтиВсех,СтавкаРоялтиНовых)</f>
        <v/>
      </c>
      <c r="Y10" s="149">
        <f>Y8*IF('03_Сеть'!Y7&gt;=ДатаПереходаСтавки,СтавкаРоялтиВсех,СтавкаРоялтиНовых)</f>
        <v/>
      </c>
      <c r="Z10" s="149">
        <f>Z8*IF('03_Сеть'!Z7&gt;=ДатаПереходаСтавки,СтавкаРоялтиВсех,СтавкаРоялтиНовых)</f>
        <v/>
      </c>
      <c r="AA10" s="149">
        <f>AA8*IF('03_Сеть'!AA7&gt;=ДатаПереходаСтавки,СтавкаРоялтиВсех,СтавкаРоялтиНовых)</f>
        <v/>
      </c>
      <c r="AB10" s="149">
        <f>AB8*IF('03_Сеть'!AB7&gt;=ДатаПереходаСтавки,СтавкаРоялтиВсех,СтавкаРоялтиНовых)</f>
        <v/>
      </c>
      <c r="AC10" s="149">
        <f>AC8*IF('03_Сеть'!AC7&gt;=ДатаПереходаСтавки,СтавкаРоялтиВсех,СтавкаРоялтиНовых)</f>
        <v/>
      </c>
      <c r="AD10" s="149">
        <f>AD8*IF('03_Сеть'!AD7&gt;=ДатаПереходаСтавки,СтавкаРоялтиВсех,СтавкаРоялтиНовых)</f>
        <v/>
      </c>
      <c r="AE10" s="149">
        <f>AE8*IF('03_Сеть'!AE7&gt;=ДатаПереходаСтавки,СтавкаРоялтиВсех,СтавкаРоялтиНовых)</f>
        <v/>
      </c>
      <c r="AF10" s="149">
        <f>AF8*IF('03_Сеть'!AF7&gt;=ДатаПереходаСтавки,СтавкаРоялтиВсех,СтавкаРоялтиНовых)</f>
        <v/>
      </c>
      <c r="AG10" s="149">
        <f>AG8*IF('03_Сеть'!AG7&gt;=ДатаПереходаСтавки,СтавкаРоялтиВсех,СтавкаРоялтиНовых)</f>
        <v/>
      </c>
      <c r="AH10" s="149">
        <f>AH8*IF('03_Сеть'!AH7&gt;=ДатаПереходаСтавки,СтавкаРоялтиВсех,СтавкаРоялтиНовых)</f>
        <v/>
      </c>
      <c r="AI10" s="149">
        <f>AI8*IF('03_Сеть'!AI7&gt;=ДатаПереходаСтавки,СтавкаРоялтиВсех,СтавкаРоялтиНовых)</f>
        <v/>
      </c>
      <c r="AJ10" s="149">
        <f>AJ8*IF('03_Сеть'!AJ7&gt;=ДатаПереходаСтавки,СтавкаРоялтиВсех,СтавкаРоялтиНовых)</f>
        <v/>
      </c>
      <c r="AK10" s="149">
        <f>AK8*IF('03_Сеть'!AK7&gt;=ДатаПереходаСтавки,СтавкаРоялтиВсех,СтавкаРоялтиНовых)</f>
        <v/>
      </c>
      <c r="AL10" s="149">
        <f>AL8*IF('03_Сеть'!AL7&gt;=ДатаПереходаСтавки,СтавкаРоялтиВсех,СтавкаРоялтиНовых)</f>
        <v/>
      </c>
      <c r="AM10" s="149">
        <f>AM8*IF('03_Сеть'!AM7&gt;=ДатаПереходаСтавки,СтавкаРоялтиВсех,СтавкаРоялтиНовых)</f>
        <v/>
      </c>
      <c r="AN10" s="149">
        <f>AN8*IF('03_Сеть'!AN7&gt;=ДатаПереходаСтавки,СтавкаРоялтиВсех,СтавкаРоялтиНовых)</f>
        <v/>
      </c>
      <c r="AO10" s="149">
        <f>AO8*IF('03_Сеть'!AO7&gt;=ДатаПереходаСтавки,СтавкаРоялтиВсех,СтавкаРоялтиНовых)</f>
        <v/>
      </c>
      <c r="AP10" s="149">
        <f>AP8*IF('03_Сеть'!AP7&gt;=ДатаПереходаСтавки,СтавкаРоялтиВсех,СтавкаРоялтиНовых)</f>
        <v/>
      </c>
      <c r="AQ10" s="149">
        <f>AQ8*IF('03_Сеть'!AQ7&gt;=ДатаПереходаСтавки,СтавкаРоялтиВсех,СтавкаРоялтиНовых)</f>
        <v/>
      </c>
      <c r="AR10" s="149">
        <f>AR8*IF('03_Сеть'!AR7&gt;=ДатаПереходаСтавки,СтавкаРоялтиВсех,СтавкаРоялтиНовых)</f>
        <v/>
      </c>
      <c r="AS10" s="149">
        <f>AS8*IF('03_Сеть'!AS7&gt;=ДатаПереходаСтавки,СтавкаРоялтиВсех,СтавкаРоялтиНовых)</f>
        <v/>
      </c>
      <c r="AT10" s="149">
        <f>AT8*IF('03_Сеть'!AT7&gt;=ДатаПереходаСтавки,СтавкаРоялтиВсех,СтавкаРоялтиНовых)</f>
        <v/>
      </c>
      <c r="AU10" s="149">
        <f>AU8*IF('03_Сеть'!AU7&gt;=ДатаПереходаСтавки,СтавкаРоялтиВсех,СтавкаРоялтиНовых)</f>
        <v/>
      </c>
      <c r="AV10" s="149">
        <f>AV8*IF('03_Сеть'!AV7&gt;=ДатаПереходаСтавки,СтавкаРоялтиВсех,СтавкаРоялтиНовых)</f>
        <v/>
      </c>
      <c r="AW10" s="149">
        <f>AW8*IF('03_Сеть'!AW7&gt;=ДатаПереходаСтавки,СтавкаРоялтиВсех,СтавкаРоялтиНовых)</f>
        <v/>
      </c>
      <c r="AX10" s="149">
        <f>AX8*IF('03_Сеть'!AX7&gt;=ДатаПереходаСтавки,СтавкаРоялтиВсех,СтавкаРоялтиНовых)</f>
        <v/>
      </c>
      <c r="AY10" s="149">
        <f>AY8*IF('03_Сеть'!AY7&gt;=ДатаПереходаСтавки,СтавкаРоялтиВсех,СтавкаРоялтиНовых)</f>
        <v/>
      </c>
      <c r="AZ10" s="149">
        <f>AZ8*IF('03_Сеть'!AZ7&gt;=ДатаПереходаСтавки,СтавкаРоялтиВсех,СтавкаРоялтиНовых)</f>
        <v/>
      </c>
      <c r="BA10" s="149">
        <f>BA8*IF('03_Сеть'!BA7&gt;=ДатаПереходаСтавки,СтавкаРоялтиВсех,СтавкаРоялтиНовых)</f>
        <v/>
      </c>
      <c r="BB10" s="149">
        <f>BB8*IF('03_Сеть'!BB7&gt;=ДатаПереходаСтавки,СтавкаРоялтиВсех,СтавкаРоялтиНовых)</f>
        <v/>
      </c>
      <c r="BC10" s="149">
        <f>BC8*IF('03_Сеть'!BC7&gt;=ДатаПереходаСтавки,СтавкаРоялтиВсех,СтавкаРоялтиНовых)</f>
        <v/>
      </c>
      <c r="BD10" s="149">
        <f>BD8*IF('03_Сеть'!BD7&gt;=ДатаПереходаСтавки,СтавкаРоялтиВсех,СтавкаРоялтиНовых)</f>
        <v/>
      </c>
      <c r="BE10" s="149">
        <f>BE8*IF('03_Сеть'!BE7&gt;=ДатаПереходаСтавки,СтавкаРоялтиВсех,СтавкаРоялтиНовых)</f>
        <v/>
      </c>
      <c r="BF10" s="149">
        <f>BF8*IF('03_Сеть'!BF7&gt;=ДатаПереходаСтавки,СтавкаРоялтиВсех,СтавкаРоялтиНовых)</f>
        <v/>
      </c>
      <c r="BG10" s="149">
        <f>BG8*IF('03_Сеть'!BG7&gt;=ДатаПереходаСтавки,СтавкаРоялтиВсех,СтавкаРоялтиНовых)</f>
        <v/>
      </c>
      <c r="BH10" s="149">
        <f>BH8*IF('03_Сеть'!BH7&gt;=ДатаПереходаСтавки,СтавкаРоялтиВсех,СтавкаРоялтиНовых)</f>
        <v/>
      </c>
      <c r="BI10" s="149">
        <f>BI8*IF('03_Сеть'!BI7&gt;=ДатаПереходаСтавки,СтавкаРоялтиВсех,СтавкаРоялтиНовых)</f>
        <v/>
      </c>
      <c r="BJ10" s="149">
        <f>BJ8*IF('03_Сеть'!BJ7&gt;=ДатаПереходаСтавки,СтавкаРоялтиВсех,СтавкаРоялтиНовых)</f>
        <v/>
      </c>
      <c r="BK10" s="149">
        <f>BK8*IF('03_Сеть'!BK7&gt;=ДатаПереходаСтавки,СтавкаРоялтиВсех,СтавкаРоялтиНовых)</f>
        <v/>
      </c>
      <c r="BL10" s="149">
        <f>BL8*IF('03_Сеть'!BL7&gt;=ДатаПереходаСтавки,СтавкаРоялтиВсех,СтавкаРоялтиНовых)</f>
        <v/>
      </c>
      <c r="BM10" s="149">
        <f>BM8*IF('03_Сеть'!BM7&gt;=ДатаПереходаСтавки,СтавкаРоялтиВсех,СтавкаРоялтиНовых)</f>
        <v/>
      </c>
      <c r="BN10" s="149">
        <f>BN8*IF('03_Сеть'!BN7&gt;=ДатаПереходаСтавки,СтавкаРоялтиВсех,СтавкаРоялтиНовых)</f>
        <v/>
      </c>
      <c r="BO10" s="149">
        <f>BO8*IF('03_Сеть'!BO7&gt;=ДатаПереходаСтавки,СтавкаРоялтиВсех,СтавкаРоялтиНовых)</f>
        <v/>
      </c>
      <c r="BP10" s="149">
        <f>BP8*IF('03_Сеть'!BP7&gt;=ДатаПереходаСтавки,СтавкаРоялтиВсех,СтавкаРоялтиНовых)</f>
        <v/>
      </c>
      <c r="BQ10" s="149">
        <f>BQ8*IF('03_Сеть'!BQ7&gt;=ДатаПереходаСтавки,СтавкаРоялтиВсех,СтавкаРоялтиНовых)</f>
        <v/>
      </c>
      <c r="BR10" s="149">
        <f>BR8*IF('03_Сеть'!BR7&gt;=ДатаПереходаСтавки,СтавкаРоялтиВсех,СтавкаРоялтиНовых)</f>
        <v/>
      </c>
      <c r="BS10" s="149">
        <f>BS8*IF('03_Сеть'!BS7&gt;=ДатаПереходаСтавки,СтавкаРоялтиВсех,СтавкаРоялтиНовых)</f>
        <v/>
      </c>
      <c r="BT10" s="149">
        <f>BT8*IF('03_Сеть'!BT7&gt;=ДатаПереходаСтавки,СтавкаРоялтиВсех,СтавкаРоялтиНовых)</f>
        <v/>
      </c>
      <c r="BU10" s="149">
        <f>BU8*IF('03_Сеть'!BU7&gt;=ДатаПереходаСтавки,СтавкаРоялтиВсех,СтавкаРоялтиНовых)</f>
        <v/>
      </c>
      <c r="BV10" s="149">
        <f>BV8*IF('03_Сеть'!BV7&gt;=ДатаПереходаСтавки,СтавкаРоялтиВсех,СтавкаРоялтиНовых)</f>
        <v/>
      </c>
      <c r="BW10" s="149">
        <f>BW8*IF('03_Сеть'!BW7&gt;=ДатаПереходаСтавки,СтавкаРоялтиВсех,СтавкаРоялтиНовых)</f>
        <v/>
      </c>
      <c r="BX10" s="149">
        <f>BX8*IF('03_Сеть'!BX7&gt;=ДатаПереходаСтавки,СтавкаРоялтиВсех,СтавкаРоялтиНовых)</f>
        <v/>
      </c>
      <c r="BY10" s="149">
        <f>BY8*IF('03_Сеть'!BY7&gt;=ДатаПереходаСтавки,СтавкаРоялтиВсех,СтавкаРоялтиНовых)</f>
        <v/>
      </c>
    </row>
    <row r="11"/>
    <row r="12">
      <c r="B12" s="125" t="inlineStr">
        <is>
          <t>Паушальные взносы</t>
        </is>
      </c>
      <c r="C12" s="126" t="n"/>
      <c r="D12" s="126" t="n"/>
      <c r="E12" s="126" t="n"/>
      <c r="F12" s="126" t="n"/>
      <c r="G12" s="126" t="n"/>
      <c r="H12" s="126" t="n"/>
      <c r="I12" s="126" t="n"/>
      <c r="J12" s="126" t="n"/>
      <c r="K12" s="126" t="n"/>
      <c r="L12" s="126" t="n"/>
      <c r="M12" s="126" t="n"/>
      <c r="N12" s="126" t="n"/>
      <c r="O12" s="126" t="n"/>
      <c r="P12" s="126" t="n"/>
      <c r="Q12" s="126" t="n"/>
      <c r="R12" s="126" t="n"/>
      <c r="S12" s="126" t="n"/>
      <c r="T12" s="126" t="n"/>
      <c r="U12" s="126" t="n"/>
      <c r="V12" s="126" t="n"/>
      <c r="W12" s="126" t="n"/>
      <c r="X12" s="126" t="n"/>
      <c r="Y12" s="126" t="n"/>
      <c r="Z12" s="126" t="n"/>
      <c r="AA12" s="126" t="n"/>
      <c r="AB12" s="126" t="n"/>
      <c r="AC12" s="126" t="n"/>
      <c r="AD12" s="126" t="n"/>
      <c r="AE12" s="126" t="n"/>
      <c r="AF12" s="126" t="n"/>
      <c r="AG12" s="126" t="n"/>
      <c r="AH12" s="126" t="n"/>
      <c r="AI12" s="126" t="n"/>
      <c r="AJ12" s="126" t="n"/>
      <c r="AK12" s="126" t="n"/>
      <c r="AL12" s="126" t="n"/>
      <c r="AM12" s="126" t="n"/>
      <c r="AN12" s="126" t="n"/>
      <c r="AO12" s="126" t="n"/>
      <c r="AP12" s="126" t="n"/>
      <c r="AQ12" s="126" t="n"/>
      <c r="AR12" s="126" t="n"/>
      <c r="AS12" s="126" t="n"/>
      <c r="AT12" s="126" t="n"/>
      <c r="AU12" s="126" t="n"/>
      <c r="AV12" s="126" t="n"/>
      <c r="AW12" s="126" t="n"/>
      <c r="AX12" s="126" t="n"/>
      <c r="AY12" s="126" t="n"/>
      <c r="AZ12" s="126" t="n"/>
      <c r="BA12" s="126" t="n"/>
      <c r="BB12" s="126" t="n"/>
      <c r="BC12" s="126" t="n"/>
      <c r="BD12" s="126" t="n"/>
      <c r="BE12" s="126" t="n"/>
      <c r="BF12" s="126" t="n"/>
      <c r="BG12" s="126" t="n"/>
      <c r="BH12" s="126" t="n"/>
      <c r="BI12" s="126" t="n"/>
      <c r="BJ12" s="126" t="n"/>
      <c r="BK12" s="126" t="n"/>
      <c r="BL12" s="126" t="n"/>
      <c r="BM12" s="126" t="n"/>
      <c r="BN12" s="126" t="n"/>
      <c r="BO12" s="126" t="n"/>
      <c r="BP12" s="126" t="n"/>
      <c r="BQ12" s="126" t="n"/>
      <c r="BR12" s="126" t="n"/>
      <c r="BS12" s="126" t="n"/>
      <c r="BT12" s="126" t="n"/>
      <c r="BU12" s="126" t="n"/>
      <c r="BV12" s="126" t="n"/>
      <c r="BW12" s="126" t="n"/>
      <c r="BX12" s="126" t="n"/>
      <c r="BY12" s="126" t="n"/>
    </row>
    <row r="13">
      <c r="B13" t="inlineStr">
        <is>
          <t>Паушальные взносы, с НДС</t>
        </is>
      </c>
      <c r="C13" t="inlineStr">
        <is>
          <t>₽</t>
        </is>
      </c>
      <c r="D13" s="127" t="inlineStr">
        <is>
          <t>Продажи месяца по тарифу из справочника</t>
        </is>
      </c>
      <c r="E13" s="129">
        <f>SUM(L13:W13)</f>
        <v/>
      </c>
      <c r="F13" s="129">
        <f>SUM(X13:AI13)</f>
        <v/>
      </c>
      <c r="G13" s="129">
        <f>SUM(AJ13:AU13)</f>
        <v/>
      </c>
      <c r="H13" s="129">
        <f>SUM(AV13:BG13)</f>
        <v/>
      </c>
      <c r="I13" s="129">
        <f>SUM(BH13:BS13)</f>
        <v/>
      </c>
      <c r="J13" s="6">
        <f>SUM(L13:BS13)</f>
        <v/>
      </c>
      <c r="L13" s="5">
        <f>'03_Сеть'!L13*'07_Тарифы'!B$6</f>
        <v/>
      </c>
      <c r="M13" s="5">
        <f>'03_Сеть'!M13*'07_Тарифы'!C$6</f>
        <v/>
      </c>
      <c r="N13" s="5">
        <f>'03_Сеть'!N13*'07_Тарифы'!D$6</f>
        <v/>
      </c>
      <c r="O13" s="5">
        <f>'03_Сеть'!O13*'07_Тарифы'!E$6</f>
        <v/>
      </c>
      <c r="P13" s="5">
        <f>'03_Сеть'!P13*'07_Тарифы'!F$6</f>
        <v/>
      </c>
      <c r="Q13" s="5">
        <f>'03_Сеть'!Q13*'07_Тарифы'!G$6</f>
        <v/>
      </c>
      <c r="R13" s="5">
        <f>'03_Сеть'!R13*'07_Тарифы'!H$6</f>
        <v/>
      </c>
      <c r="S13" s="5">
        <f>'03_Сеть'!S13*'07_Тарифы'!I$6</f>
        <v/>
      </c>
      <c r="T13" s="5">
        <f>'03_Сеть'!T13*'07_Тарифы'!J$6</f>
        <v/>
      </c>
      <c r="U13" s="5">
        <f>'03_Сеть'!U13*'07_Тарифы'!K$6</f>
        <v/>
      </c>
      <c r="V13" s="5">
        <f>'03_Сеть'!V13*'07_Тарифы'!L$6</f>
        <v/>
      </c>
      <c r="W13" s="5">
        <f>'03_Сеть'!W13*'07_Тарифы'!M$6</f>
        <v/>
      </c>
      <c r="X13" s="5">
        <f>'03_Сеть'!X13*'07_Тарифы'!N$6</f>
        <v/>
      </c>
      <c r="Y13" s="5">
        <f>'03_Сеть'!Y13*'07_Тарифы'!O$6</f>
        <v/>
      </c>
      <c r="Z13" s="5">
        <f>'03_Сеть'!Z13*'07_Тарифы'!P$6</f>
        <v/>
      </c>
      <c r="AA13" s="5">
        <f>'03_Сеть'!AA13*'07_Тарифы'!Q$6</f>
        <v/>
      </c>
      <c r="AB13" s="5">
        <f>'03_Сеть'!AB13*'07_Тарифы'!R$6</f>
        <v/>
      </c>
      <c r="AC13" s="5">
        <f>'03_Сеть'!AC13*'07_Тарифы'!S$6</f>
        <v/>
      </c>
      <c r="AD13" s="5">
        <f>'03_Сеть'!AD13*'07_Тарифы'!T$6</f>
        <v/>
      </c>
      <c r="AE13" s="5">
        <f>'03_Сеть'!AE13*'07_Тарифы'!U$6</f>
        <v/>
      </c>
      <c r="AF13" s="5">
        <f>'03_Сеть'!AF13*'07_Тарифы'!V$6</f>
        <v/>
      </c>
      <c r="AG13" s="5">
        <f>'03_Сеть'!AG13*'07_Тарифы'!W$6</f>
        <v/>
      </c>
      <c r="AH13" s="5">
        <f>'03_Сеть'!AH13*'07_Тарифы'!X$6</f>
        <v/>
      </c>
      <c r="AI13" s="5">
        <f>'03_Сеть'!AI13*'07_Тарифы'!Y$6</f>
        <v/>
      </c>
      <c r="AJ13" s="5">
        <f>'03_Сеть'!AJ13*'07_Тарифы'!Z$6</f>
        <v/>
      </c>
      <c r="AK13" s="5">
        <f>'03_Сеть'!AK13*'07_Тарифы'!AA$6</f>
        <v/>
      </c>
      <c r="AL13" s="5">
        <f>'03_Сеть'!AL13*'07_Тарифы'!AB$6</f>
        <v/>
      </c>
      <c r="AM13" s="5">
        <f>'03_Сеть'!AM13*'07_Тарифы'!AC$6</f>
        <v/>
      </c>
      <c r="AN13" s="5">
        <f>'03_Сеть'!AN13*'07_Тарифы'!AD$6</f>
        <v/>
      </c>
      <c r="AO13" s="5">
        <f>'03_Сеть'!AO13*'07_Тарифы'!AE$6</f>
        <v/>
      </c>
      <c r="AP13" s="5">
        <f>'03_Сеть'!AP13*'07_Тарифы'!AF$6</f>
        <v/>
      </c>
      <c r="AQ13" s="5">
        <f>'03_Сеть'!AQ13*'07_Тарифы'!AG$6</f>
        <v/>
      </c>
      <c r="AR13" s="5">
        <f>'03_Сеть'!AR13*'07_Тарифы'!AH$6</f>
        <v/>
      </c>
      <c r="AS13" s="5">
        <f>'03_Сеть'!AS13*'07_Тарифы'!AI$6</f>
        <v/>
      </c>
      <c r="AT13" s="5">
        <f>'03_Сеть'!AT13*'07_Тарифы'!AJ$6</f>
        <v/>
      </c>
      <c r="AU13" s="5">
        <f>'03_Сеть'!AU13*'07_Тарифы'!AK$6</f>
        <v/>
      </c>
      <c r="AV13" s="5">
        <f>'03_Сеть'!AV13*'07_Тарифы'!AL$6</f>
        <v/>
      </c>
      <c r="AW13" s="5">
        <f>'03_Сеть'!AW13*'07_Тарифы'!AM$6</f>
        <v/>
      </c>
      <c r="AX13" s="5">
        <f>'03_Сеть'!AX13*'07_Тарифы'!AN$6</f>
        <v/>
      </c>
      <c r="AY13" s="5">
        <f>'03_Сеть'!AY13*'07_Тарифы'!AO$6</f>
        <v/>
      </c>
      <c r="AZ13" s="5">
        <f>'03_Сеть'!AZ13*'07_Тарифы'!AP$6</f>
        <v/>
      </c>
      <c r="BA13" s="5">
        <f>'03_Сеть'!BA13*'07_Тарифы'!AQ$6</f>
        <v/>
      </c>
      <c r="BB13" s="5">
        <f>'03_Сеть'!BB13*'07_Тарифы'!AR$6</f>
        <v/>
      </c>
      <c r="BC13" s="5">
        <f>'03_Сеть'!BC13*'07_Тарифы'!AS$6</f>
        <v/>
      </c>
      <c r="BD13" s="5">
        <f>'03_Сеть'!BD13*'07_Тарифы'!AT$6</f>
        <v/>
      </c>
      <c r="BE13" s="5">
        <f>'03_Сеть'!BE13*'07_Тарифы'!AU$6</f>
        <v/>
      </c>
      <c r="BF13" s="5">
        <f>'03_Сеть'!BF13*'07_Тарифы'!AV$6</f>
        <v/>
      </c>
      <c r="BG13" s="5">
        <f>'03_Сеть'!BG13*'07_Тарифы'!AW$6</f>
        <v/>
      </c>
      <c r="BH13" s="5">
        <f>'03_Сеть'!BH13*'07_Тарифы'!AX$6</f>
        <v/>
      </c>
      <c r="BI13" s="5">
        <f>'03_Сеть'!BI13*'07_Тарифы'!AY$6</f>
        <v/>
      </c>
      <c r="BJ13" s="5">
        <f>'03_Сеть'!BJ13*'07_Тарифы'!AZ$6</f>
        <v/>
      </c>
      <c r="BK13" s="5">
        <f>'03_Сеть'!BK13*'07_Тарифы'!BA$6</f>
        <v/>
      </c>
      <c r="BL13" s="5">
        <f>'03_Сеть'!BL13*'07_Тарифы'!BB$6</f>
        <v/>
      </c>
      <c r="BM13" s="5">
        <f>'03_Сеть'!BM13*'07_Тарифы'!BC$6</f>
        <v/>
      </c>
      <c r="BN13" s="5">
        <f>'03_Сеть'!BN13*'07_Тарифы'!BD$6</f>
        <v/>
      </c>
      <c r="BO13" s="5">
        <f>'03_Сеть'!BO13*'07_Тарифы'!BE$6</f>
        <v/>
      </c>
      <c r="BP13" s="5">
        <f>'03_Сеть'!BP13*'07_Тарифы'!BF$6</f>
        <v/>
      </c>
      <c r="BQ13" s="5">
        <f>'03_Сеть'!BQ13*'07_Тарифы'!BG$6</f>
        <v/>
      </c>
      <c r="BR13" s="5">
        <f>'03_Сеть'!BR13*'07_Тарифы'!BH$6</f>
        <v/>
      </c>
      <c r="BS13" s="5">
        <f>'03_Сеть'!BS13*'07_Тарифы'!BI$6</f>
        <v/>
      </c>
      <c r="BT13" s="5">
        <f>'03_Сеть'!BT13*'07_Тарифы'!BJ$6</f>
        <v/>
      </c>
      <c r="BU13" s="5">
        <f>'03_Сеть'!BU13*'07_Тарифы'!BK$6</f>
        <v/>
      </c>
      <c r="BV13" s="5">
        <f>'03_Сеть'!BV13*'07_Тарифы'!BL$6</f>
        <v/>
      </c>
      <c r="BW13" s="5">
        <f>'03_Сеть'!BW13*'07_Тарифы'!BM$6</f>
        <v/>
      </c>
      <c r="BX13" s="5">
        <f>'03_Сеть'!BX13*'07_Тарифы'!BN$6</f>
        <v/>
      </c>
      <c r="BY13" s="5">
        <f>'03_Сеть'!BY13*'07_Тарифы'!BO$6</f>
        <v/>
      </c>
    </row>
    <row r="14">
      <c r="B14" s="7" t="inlineStr">
        <is>
          <t>Паушальные взносы, без НДС</t>
        </is>
      </c>
      <c r="C14" s="7" t="inlineStr">
        <is>
          <t>₽</t>
        </is>
      </c>
      <c r="D14" s="130" t="inlineStr"/>
      <c r="E14" s="131">
        <f>SUM(L14:W14)</f>
        <v/>
      </c>
      <c r="F14" s="131">
        <f>SUM(X14:AI14)</f>
        <v/>
      </c>
      <c r="G14" s="131">
        <f>SUM(AJ14:AU14)</f>
        <v/>
      </c>
      <c r="H14" s="131">
        <f>SUM(AV14:BG14)</f>
        <v/>
      </c>
      <c r="I14" s="131">
        <f>SUM(BH14:BS14)</f>
        <v/>
      </c>
      <c r="J14" s="10">
        <f>SUM(L14:BS14)</f>
        <v/>
      </c>
      <c r="L14" s="9">
        <f>L13/(1+НДС)</f>
        <v/>
      </c>
      <c r="M14" s="9">
        <f>M13/(1+НДС)</f>
        <v/>
      </c>
      <c r="N14" s="9">
        <f>N13/(1+НДС)</f>
        <v/>
      </c>
      <c r="O14" s="9">
        <f>O13/(1+НДС)</f>
        <v/>
      </c>
      <c r="P14" s="9">
        <f>P13/(1+НДС)</f>
        <v/>
      </c>
      <c r="Q14" s="9">
        <f>Q13/(1+НДС)</f>
        <v/>
      </c>
      <c r="R14" s="9">
        <f>R13/(1+НДС)</f>
        <v/>
      </c>
      <c r="S14" s="9">
        <f>S13/(1+НДС)</f>
        <v/>
      </c>
      <c r="T14" s="9">
        <f>T13/(1+НДС)</f>
        <v/>
      </c>
      <c r="U14" s="9">
        <f>U13/(1+НДС)</f>
        <v/>
      </c>
      <c r="V14" s="9">
        <f>V13/(1+НДС)</f>
        <v/>
      </c>
      <c r="W14" s="9">
        <f>W13/(1+НДС)</f>
        <v/>
      </c>
      <c r="X14" s="9">
        <f>X13/(1+НДС)</f>
        <v/>
      </c>
      <c r="Y14" s="9">
        <f>Y13/(1+НДС)</f>
        <v/>
      </c>
      <c r="Z14" s="9">
        <f>Z13/(1+НДС)</f>
        <v/>
      </c>
      <c r="AA14" s="9">
        <f>AA13/(1+НДС)</f>
        <v/>
      </c>
      <c r="AB14" s="9">
        <f>AB13/(1+НДС)</f>
        <v/>
      </c>
      <c r="AC14" s="9">
        <f>AC13/(1+НДС)</f>
        <v/>
      </c>
      <c r="AD14" s="9">
        <f>AD13/(1+НДС)</f>
        <v/>
      </c>
      <c r="AE14" s="9">
        <f>AE13/(1+НДС)</f>
        <v/>
      </c>
      <c r="AF14" s="9">
        <f>AF13/(1+НДС)</f>
        <v/>
      </c>
      <c r="AG14" s="9">
        <f>AG13/(1+НДС)</f>
        <v/>
      </c>
      <c r="AH14" s="9">
        <f>AH13/(1+НДС)</f>
        <v/>
      </c>
      <c r="AI14" s="9">
        <f>AI13/(1+НДС)</f>
        <v/>
      </c>
      <c r="AJ14" s="9">
        <f>AJ13/(1+НДС)</f>
        <v/>
      </c>
      <c r="AK14" s="9">
        <f>AK13/(1+НДС)</f>
        <v/>
      </c>
      <c r="AL14" s="9">
        <f>AL13/(1+НДС)</f>
        <v/>
      </c>
      <c r="AM14" s="9">
        <f>AM13/(1+НДС)</f>
        <v/>
      </c>
      <c r="AN14" s="9">
        <f>AN13/(1+НДС)</f>
        <v/>
      </c>
      <c r="AO14" s="9">
        <f>AO13/(1+НДС)</f>
        <v/>
      </c>
      <c r="AP14" s="9">
        <f>AP13/(1+НДС)</f>
        <v/>
      </c>
      <c r="AQ14" s="9">
        <f>AQ13/(1+НДС)</f>
        <v/>
      </c>
      <c r="AR14" s="9">
        <f>AR13/(1+НДС)</f>
        <v/>
      </c>
      <c r="AS14" s="9">
        <f>AS13/(1+НДС)</f>
        <v/>
      </c>
      <c r="AT14" s="9">
        <f>AT13/(1+НДС)</f>
        <v/>
      </c>
      <c r="AU14" s="9">
        <f>AU13/(1+НДС)</f>
        <v/>
      </c>
      <c r="AV14" s="9">
        <f>AV13/(1+НДС)</f>
        <v/>
      </c>
      <c r="AW14" s="9">
        <f>AW13/(1+НДС)</f>
        <v/>
      </c>
      <c r="AX14" s="9">
        <f>AX13/(1+НДС)</f>
        <v/>
      </c>
      <c r="AY14" s="9">
        <f>AY13/(1+НДС)</f>
        <v/>
      </c>
      <c r="AZ14" s="9">
        <f>AZ13/(1+НДС)</f>
        <v/>
      </c>
      <c r="BA14" s="9">
        <f>BA13/(1+НДС)</f>
        <v/>
      </c>
      <c r="BB14" s="9">
        <f>BB13/(1+НДС)</f>
        <v/>
      </c>
      <c r="BC14" s="9">
        <f>BC13/(1+НДС)</f>
        <v/>
      </c>
      <c r="BD14" s="9">
        <f>BD13/(1+НДС)</f>
        <v/>
      </c>
      <c r="BE14" s="9">
        <f>BE13/(1+НДС)</f>
        <v/>
      </c>
      <c r="BF14" s="9">
        <f>BF13/(1+НДС)</f>
        <v/>
      </c>
      <c r="BG14" s="9">
        <f>BG13/(1+НДС)</f>
        <v/>
      </c>
      <c r="BH14" s="9">
        <f>BH13/(1+НДС)</f>
        <v/>
      </c>
      <c r="BI14" s="9">
        <f>BI13/(1+НДС)</f>
        <v/>
      </c>
      <c r="BJ14" s="9">
        <f>BJ13/(1+НДС)</f>
        <v/>
      </c>
      <c r="BK14" s="9">
        <f>BK13/(1+НДС)</f>
        <v/>
      </c>
      <c r="BL14" s="9">
        <f>BL13/(1+НДС)</f>
        <v/>
      </c>
      <c r="BM14" s="9">
        <f>BM13/(1+НДС)</f>
        <v/>
      </c>
      <c r="BN14" s="9">
        <f>BN13/(1+НДС)</f>
        <v/>
      </c>
      <c r="BO14" s="9">
        <f>BO13/(1+НДС)</f>
        <v/>
      </c>
      <c r="BP14" s="9">
        <f>BP13/(1+НДС)</f>
        <v/>
      </c>
      <c r="BQ14" s="9">
        <f>BQ13/(1+НДС)</f>
        <v/>
      </c>
      <c r="BR14" s="9">
        <f>BR13/(1+НДС)</f>
        <v/>
      </c>
      <c r="BS14" s="9">
        <f>BS13/(1+НДС)</f>
        <v/>
      </c>
      <c r="BT14" s="9">
        <f>BT13/(1+НДС)</f>
        <v/>
      </c>
      <c r="BU14" s="9">
        <f>BU13/(1+НДС)</f>
        <v/>
      </c>
      <c r="BV14" s="9">
        <f>BV13/(1+НДС)</f>
        <v/>
      </c>
      <c r="BW14" s="9">
        <f>BW13/(1+НДС)</f>
        <v/>
      </c>
      <c r="BX14" s="9">
        <f>BX13/(1+НДС)</f>
        <v/>
      </c>
      <c r="BY14" s="9">
        <f>BY13/(1+НДС)</f>
        <v/>
      </c>
    </row>
    <row r="15"/>
    <row r="16">
      <c r="B16" s="125" t="inlineStr">
        <is>
          <t>Роялти действующей сети</t>
        </is>
      </c>
      <c r="C16" s="126" t="n"/>
      <c r="D16" s="126" t="n"/>
      <c r="E16" s="126" t="n"/>
      <c r="F16" s="126" t="n"/>
      <c r="G16" s="126" t="n"/>
      <c r="H16" s="126" t="n"/>
      <c r="I16" s="126" t="n"/>
      <c r="J16" s="126" t="n"/>
      <c r="K16" s="126" t="n"/>
      <c r="L16" s="126" t="n"/>
      <c r="M16" s="126" t="n"/>
      <c r="N16" s="126" t="n"/>
      <c r="O16" s="126" t="n"/>
      <c r="P16" s="126" t="n"/>
      <c r="Q16" s="126" t="n"/>
      <c r="R16" s="126" t="n"/>
      <c r="S16" s="126" t="n"/>
      <c r="T16" s="126" t="n"/>
      <c r="U16" s="126" t="n"/>
      <c r="V16" s="126" t="n"/>
      <c r="W16" s="126" t="n"/>
      <c r="X16" s="126" t="n"/>
      <c r="Y16" s="126" t="n"/>
      <c r="Z16" s="126" t="n"/>
      <c r="AA16" s="126" t="n"/>
      <c r="AB16" s="126" t="n"/>
      <c r="AC16" s="126" t="n"/>
      <c r="AD16" s="126" t="n"/>
      <c r="AE16" s="126" t="n"/>
      <c r="AF16" s="126" t="n"/>
      <c r="AG16" s="126" t="n"/>
      <c r="AH16" s="126" t="n"/>
      <c r="AI16" s="126" t="n"/>
      <c r="AJ16" s="126" t="n"/>
      <c r="AK16" s="126" t="n"/>
      <c r="AL16" s="126" t="n"/>
      <c r="AM16" s="126" t="n"/>
      <c r="AN16" s="126" t="n"/>
      <c r="AO16" s="126" t="n"/>
      <c r="AP16" s="126" t="n"/>
      <c r="AQ16" s="126" t="n"/>
      <c r="AR16" s="126" t="n"/>
      <c r="AS16" s="126" t="n"/>
      <c r="AT16" s="126" t="n"/>
      <c r="AU16" s="126" t="n"/>
      <c r="AV16" s="126" t="n"/>
      <c r="AW16" s="126" t="n"/>
      <c r="AX16" s="126" t="n"/>
      <c r="AY16" s="126" t="n"/>
      <c r="AZ16" s="126" t="n"/>
      <c r="BA16" s="126" t="n"/>
      <c r="BB16" s="126" t="n"/>
      <c r="BC16" s="126" t="n"/>
      <c r="BD16" s="126" t="n"/>
      <c r="BE16" s="126" t="n"/>
      <c r="BF16" s="126" t="n"/>
      <c r="BG16" s="126" t="n"/>
      <c r="BH16" s="126" t="n"/>
      <c r="BI16" s="126" t="n"/>
      <c r="BJ16" s="126" t="n"/>
      <c r="BK16" s="126" t="n"/>
      <c r="BL16" s="126" t="n"/>
      <c r="BM16" s="126" t="n"/>
      <c r="BN16" s="126" t="n"/>
      <c r="BO16" s="126" t="n"/>
      <c r="BP16" s="126" t="n"/>
      <c r="BQ16" s="126" t="n"/>
      <c r="BR16" s="126" t="n"/>
      <c r="BS16" s="126" t="n"/>
      <c r="BT16" s="126" t="n"/>
      <c r="BU16" s="126" t="n"/>
      <c r="BV16" s="126" t="n"/>
      <c r="BW16" s="126" t="n"/>
      <c r="BX16" s="126" t="n"/>
      <c r="BY16" s="126" t="n"/>
    </row>
    <row r="17">
      <c r="B17" t="inlineStr">
        <is>
          <t>Роялти действующей сети, с НДС</t>
        </is>
      </c>
      <c r="C17" t="inlineStr">
        <is>
          <t>₽</t>
        </is>
      </c>
      <c r="D17" s="127" t="inlineStr">
        <is>
          <t>По каждой группе точек начисления: процент с выручки группы, но не меньше суммы фиксов этой группы. Профиль групп — раздел 16 вводных.</t>
        </is>
      </c>
      <c r="E17" s="129">
        <f>SUM(L17:W17)</f>
        <v/>
      </c>
      <c r="F17" s="129">
        <f>SUM(X17:AI17)</f>
        <v/>
      </c>
      <c r="G17" s="129">
        <f>SUM(AJ17:AU17)</f>
        <v/>
      </c>
      <c r="H17" s="129">
        <f>SUM(AV17:BG17)</f>
        <v/>
      </c>
      <c r="I17" s="129">
        <f>SUM(BH17:BS17)</f>
        <v/>
      </c>
      <c r="J17" s="6">
        <f>SUM(L17:BS17)</f>
        <v/>
      </c>
      <c r="L17" s="5">
        <f>SUMPRODUCT((ГруппыФикс*ГруппыТочек*IF(ШколыСтарт=0,0,'03_Сеть'!L18/ШколыСтарт)+('03_Сеть'!L20*'07_Тарифы'!B$8)*ГруппыДоля*(ГруппыСтавка*('03_Сеть'!L7&lt;ДатаПереходаСтавки)+СтавкаРоялтиВсех*('03_Сеть'!L7&gt;=ДатаПереходаСтавки))+ABS(ГруппыФикс*ГруппыТочек*IF(ШколыСтарт=0,0,'03_Сеть'!L18/ШколыСтарт)-('03_Сеть'!L20*'07_Тарифы'!B$8)*ГруппыДоля*(ГруппыСтавка*('03_Сеть'!L7&lt;ДатаПереходаСтавки)+СтавкаРоялтиВсех*('03_Сеть'!L7&gt;=ДатаПереходаСтавки))))/2)</f>
        <v/>
      </c>
      <c r="M17" s="5">
        <f>SUMPRODUCT((ГруппыФикс*ГруппыТочек*IF(ШколыСтарт=0,0,'03_Сеть'!M18/ШколыСтарт)+('03_Сеть'!M20*'07_Тарифы'!C$8)*ГруппыДоля*(ГруппыСтавка*('03_Сеть'!M7&lt;ДатаПереходаСтавки)+СтавкаРоялтиВсех*('03_Сеть'!M7&gt;=ДатаПереходаСтавки))+ABS(ГруппыФикс*ГруппыТочек*IF(ШколыСтарт=0,0,'03_Сеть'!M18/ШколыСтарт)-('03_Сеть'!M20*'07_Тарифы'!C$8)*ГруппыДоля*(ГруппыСтавка*('03_Сеть'!M7&lt;ДатаПереходаСтавки)+СтавкаРоялтиВсех*('03_Сеть'!M7&gt;=ДатаПереходаСтавки))))/2)</f>
        <v/>
      </c>
      <c r="N17" s="5">
        <f>SUMPRODUCT((ГруппыФикс*ГруппыТочек*IF(ШколыСтарт=0,0,'03_Сеть'!N18/ШколыСтарт)+('03_Сеть'!N20*'07_Тарифы'!D$8)*ГруппыДоля*(ГруппыСтавка*('03_Сеть'!N7&lt;ДатаПереходаСтавки)+СтавкаРоялтиВсех*('03_Сеть'!N7&gt;=ДатаПереходаСтавки))+ABS(ГруппыФикс*ГруппыТочек*IF(ШколыСтарт=0,0,'03_Сеть'!N18/ШколыСтарт)-('03_Сеть'!N20*'07_Тарифы'!D$8)*ГруппыДоля*(ГруппыСтавка*('03_Сеть'!N7&lt;ДатаПереходаСтавки)+СтавкаРоялтиВсех*('03_Сеть'!N7&gt;=ДатаПереходаСтавки))))/2)</f>
        <v/>
      </c>
      <c r="O17" s="5">
        <f>SUMPRODUCT((ГруппыФикс*ГруппыТочек*IF(ШколыСтарт=0,0,'03_Сеть'!O18/ШколыСтарт)+('03_Сеть'!O20*'07_Тарифы'!E$8)*ГруппыДоля*(ГруппыСтавка*('03_Сеть'!O7&lt;ДатаПереходаСтавки)+СтавкаРоялтиВсех*('03_Сеть'!O7&gt;=ДатаПереходаСтавки))+ABS(ГруппыФикс*ГруппыТочек*IF(ШколыСтарт=0,0,'03_Сеть'!O18/ШколыСтарт)-('03_Сеть'!O20*'07_Тарифы'!E$8)*ГруппыДоля*(ГруппыСтавка*('03_Сеть'!O7&lt;ДатаПереходаСтавки)+СтавкаРоялтиВсех*('03_Сеть'!O7&gt;=ДатаПереходаСтавки))))/2)</f>
        <v/>
      </c>
      <c r="P17" s="5">
        <f>SUMPRODUCT((ГруппыФикс*ГруппыТочек*IF(ШколыСтарт=0,0,'03_Сеть'!P18/ШколыСтарт)+('03_Сеть'!P20*'07_Тарифы'!F$8)*ГруппыДоля*(ГруппыСтавка*('03_Сеть'!P7&lt;ДатаПереходаСтавки)+СтавкаРоялтиВсех*('03_Сеть'!P7&gt;=ДатаПереходаСтавки))+ABS(ГруппыФикс*ГруппыТочек*IF(ШколыСтарт=0,0,'03_Сеть'!P18/ШколыСтарт)-('03_Сеть'!P20*'07_Тарифы'!F$8)*ГруппыДоля*(ГруппыСтавка*('03_Сеть'!P7&lt;ДатаПереходаСтавки)+СтавкаРоялтиВсех*('03_Сеть'!P7&gt;=ДатаПереходаСтавки))))/2)</f>
        <v/>
      </c>
      <c r="Q17" s="5">
        <f>SUMPRODUCT((ГруппыФикс*ГруппыТочек*IF(ШколыСтарт=0,0,'03_Сеть'!Q18/ШколыСтарт)+('03_Сеть'!Q20*'07_Тарифы'!G$8)*ГруппыДоля*(ГруппыСтавка*('03_Сеть'!Q7&lt;ДатаПереходаСтавки)+СтавкаРоялтиВсех*('03_Сеть'!Q7&gt;=ДатаПереходаСтавки))+ABS(ГруппыФикс*ГруппыТочек*IF(ШколыСтарт=0,0,'03_Сеть'!Q18/ШколыСтарт)-('03_Сеть'!Q20*'07_Тарифы'!G$8)*ГруппыДоля*(ГруппыСтавка*('03_Сеть'!Q7&lt;ДатаПереходаСтавки)+СтавкаРоялтиВсех*('03_Сеть'!Q7&gt;=ДатаПереходаСтавки))))/2)</f>
        <v/>
      </c>
      <c r="R17" s="5">
        <f>SUMPRODUCT((ГруппыФикс*ГруппыТочек*IF(ШколыСтарт=0,0,'03_Сеть'!R18/ШколыСтарт)+('03_Сеть'!R20*'07_Тарифы'!H$8)*ГруппыДоля*(ГруппыСтавка*('03_Сеть'!R7&lt;ДатаПереходаСтавки)+СтавкаРоялтиВсех*('03_Сеть'!R7&gt;=ДатаПереходаСтавки))+ABS(ГруппыФикс*ГруппыТочек*IF(ШколыСтарт=0,0,'03_Сеть'!R18/ШколыСтарт)-('03_Сеть'!R20*'07_Тарифы'!H$8)*ГруппыДоля*(ГруппыСтавка*('03_Сеть'!R7&lt;ДатаПереходаСтавки)+СтавкаРоялтиВсех*('03_Сеть'!R7&gt;=ДатаПереходаСтавки))))/2)</f>
        <v/>
      </c>
      <c r="S17" s="5">
        <f>SUMPRODUCT((ГруппыФикс*ГруппыТочек*IF(ШколыСтарт=0,0,'03_Сеть'!S18/ШколыСтарт)+('03_Сеть'!S20*'07_Тарифы'!I$8)*ГруппыДоля*(ГруппыСтавка*('03_Сеть'!S7&lt;ДатаПереходаСтавки)+СтавкаРоялтиВсех*('03_Сеть'!S7&gt;=ДатаПереходаСтавки))+ABS(ГруппыФикс*ГруппыТочек*IF(ШколыСтарт=0,0,'03_Сеть'!S18/ШколыСтарт)-('03_Сеть'!S20*'07_Тарифы'!I$8)*ГруппыДоля*(ГруппыСтавка*('03_Сеть'!S7&lt;ДатаПереходаСтавки)+СтавкаРоялтиВсех*('03_Сеть'!S7&gt;=ДатаПереходаСтавки))))/2)</f>
        <v/>
      </c>
      <c r="T17" s="5">
        <f>SUMPRODUCT((ГруппыФикс*ГруппыТочек*IF(ШколыСтарт=0,0,'03_Сеть'!T18/ШколыСтарт)+('03_Сеть'!T20*'07_Тарифы'!J$8)*ГруппыДоля*(ГруппыСтавка*('03_Сеть'!T7&lt;ДатаПереходаСтавки)+СтавкаРоялтиВсех*('03_Сеть'!T7&gt;=ДатаПереходаСтавки))+ABS(ГруппыФикс*ГруппыТочек*IF(ШколыСтарт=0,0,'03_Сеть'!T18/ШколыСтарт)-('03_Сеть'!T20*'07_Тарифы'!J$8)*ГруппыДоля*(ГруппыСтавка*('03_Сеть'!T7&lt;ДатаПереходаСтавки)+СтавкаРоялтиВсех*('03_Сеть'!T7&gt;=ДатаПереходаСтавки))))/2)</f>
        <v/>
      </c>
      <c r="U17" s="5">
        <f>SUMPRODUCT((ГруппыФикс*ГруппыТочек*IF(ШколыСтарт=0,0,'03_Сеть'!U18/ШколыСтарт)+('03_Сеть'!U20*'07_Тарифы'!K$8)*ГруппыДоля*(ГруппыСтавка*('03_Сеть'!U7&lt;ДатаПереходаСтавки)+СтавкаРоялтиВсех*('03_Сеть'!U7&gt;=ДатаПереходаСтавки))+ABS(ГруппыФикс*ГруппыТочек*IF(ШколыСтарт=0,0,'03_Сеть'!U18/ШколыСтарт)-('03_Сеть'!U20*'07_Тарифы'!K$8)*ГруппыДоля*(ГруппыСтавка*('03_Сеть'!U7&lt;ДатаПереходаСтавки)+СтавкаРоялтиВсех*('03_Сеть'!U7&gt;=ДатаПереходаСтавки))))/2)</f>
        <v/>
      </c>
      <c r="V17" s="5">
        <f>SUMPRODUCT((ГруппыФикс*ГруппыТочек*IF(ШколыСтарт=0,0,'03_Сеть'!V18/ШколыСтарт)+('03_Сеть'!V20*'07_Тарифы'!L$8)*ГруппыДоля*(ГруппыСтавка*('03_Сеть'!V7&lt;ДатаПереходаСтавки)+СтавкаРоялтиВсех*('03_Сеть'!V7&gt;=ДатаПереходаСтавки))+ABS(ГруппыФикс*ГруппыТочек*IF(ШколыСтарт=0,0,'03_Сеть'!V18/ШколыСтарт)-('03_Сеть'!V20*'07_Тарифы'!L$8)*ГруппыДоля*(ГруппыСтавка*('03_Сеть'!V7&lt;ДатаПереходаСтавки)+СтавкаРоялтиВсех*('03_Сеть'!V7&gt;=ДатаПереходаСтавки))))/2)</f>
        <v/>
      </c>
      <c r="W17" s="5">
        <f>SUMPRODUCT((ГруппыФикс*ГруппыТочек*IF(ШколыСтарт=0,0,'03_Сеть'!W18/ШколыСтарт)+('03_Сеть'!W20*'07_Тарифы'!M$8)*ГруппыДоля*(ГруппыСтавка*('03_Сеть'!W7&lt;ДатаПереходаСтавки)+СтавкаРоялтиВсех*('03_Сеть'!W7&gt;=ДатаПереходаСтавки))+ABS(ГруппыФикс*ГруппыТочек*IF(ШколыСтарт=0,0,'03_Сеть'!W18/ШколыСтарт)-('03_Сеть'!W20*'07_Тарифы'!M$8)*ГруппыДоля*(ГруппыСтавка*('03_Сеть'!W7&lt;ДатаПереходаСтавки)+СтавкаРоялтиВсех*('03_Сеть'!W7&gt;=ДатаПереходаСтавки))))/2)</f>
        <v/>
      </c>
      <c r="X17" s="5">
        <f>SUMPRODUCT((ГруппыФикс*ГруппыТочек*IF(ШколыСтарт=0,0,'03_Сеть'!X18/ШколыСтарт)+('03_Сеть'!X20*'07_Тарифы'!N$8)*ГруппыДоля*(ГруппыСтавка*('03_Сеть'!X7&lt;ДатаПереходаСтавки)+СтавкаРоялтиВсех*('03_Сеть'!X7&gt;=ДатаПереходаСтавки))+ABS(ГруппыФикс*ГруппыТочек*IF(ШколыСтарт=0,0,'03_Сеть'!X18/ШколыСтарт)-('03_Сеть'!X20*'07_Тарифы'!N$8)*ГруппыДоля*(ГруппыСтавка*('03_Сеть'!X7&lt;ДатаПереходаСтавки)+СтавкаРоялтиВсех*('03_Сеть'!X7&gt;=ДатаПереходаСтавки))))/2)</f>
        <v/>
      </c>
      <c r="Y17" s="5">
        <f>SUMPRODUCT((ГруппыФикс*ГруппыТочек*IF(ШколыСтарт=0,0,'03_Сеть'!Y18/ШколыСтарт)+('03_Сеть'!Y20*'07_Тарифы'!O$8)*ГруппыДоля*(ГруппыСтавка*('03_Сеть'!Y7&lt;ДатаПереходаСтавки)+СтавкаРоялтиВсех*('03_Сеть'!Y7&gt;=ДатаПереходаСтавки))+ABS(ГруппыФикс*ГруппыТочек*IF(ШколыСтарт=0,0,'03_Сеть'!Y18/ШколыСтарт)-('03_Сеть'!Y20*'07_Тарифы'!O$8)*ГруппыДоля*(ГруппыСтавка*('03_Сеть'!Y7&lt;ДатаПереходаСтавки)+СтавкаРоялтиВсех*('03_Сеть'!Y7&gt;=ДатаПереходаСтавки))))/2)</f>
        <v/>
      </c>
      <c r="Z17" s="5">
        <f>SUMPRODUCT((ГруппыФикс*ГруппыТочек*IF(ШколыСтарт=0,0,'03_Сеть'!Z18/ШколыСтарт)+('03_Сеть'!Z20*'07_Тарифы'!P$8)*ГруппыДоля*(ГруппыСтавка*('03_Сеть'!Z7&lt;ДатаПереходаСтавки)+СтавкаРоялтиВсех*('03_Сеть'!Z7&gt;=ДатаПереходаСтавки))+ABS(ГруппыФикс*ГруппыТочек*IF(ШколыСтарт=0,0,'03_Сеть'!Z18/ШколыСтарт)-('03_Сеть'!Z20*'07_Тарифы'!P$8)*ГруппыДоля*(ГруппыСтавка*('03_Сеть'!Z7&lt;ДатаПереходаСтавки)+СтавкаРоялтиВсех*('03_Сеть'!Z7&gt;=ДатаПереходаСтавки))))/2)</f>
        <v/>
      </c>
      <c r="AA17" s="5">
        <f>SUMPRODUCT((ГруппыФикс*ГруппыТочек*IF(ШколыСтарт=0,0,'03_Сеть'!AA18/ШколыСтарт)+('03_Сеть'!AA20*'07_Тарифы'!Q$8)*ГруппыДоля*(ГруппыСтавка*('03_Сеть'!AA7&lt;ДатаПереходаСтавки)+СтавкаРоялтиВсех*('03_Сеть'!AA7&gt;=ДатаПереходаСтавки))+ABS(ГруппыФикс*ГруппыТочек*IF(ШколыСтарт=0,0,'03_Сеть'!AA18/ШколыСтарт)-('03_Сеть'!AA20*'07_Тарифы'!Q$8)*ГруппыДоля*(ГруппыСтавка*('03_Сеть'!AA7&lt;ДатаПереходаСтавки)+СтавкаРоялтиВсех*('03_Сеть'!AA7&gt;=ДатаПереходаСтавки))))/2)</f>
        <v/>
      </c>
      <c r="AB17" s="5">
        <f>SUMPRODUCT((ГруппыФикс*ГруппыТочек*IF(ШколыСтарт=0,0,'03_Сеть'!AB18/ШколыСтарт)+('03_Сеть'!AB20*'07_Тарифы'!R$8)*ГруппыДоля*(ГруппыСтавка*('03_Сеть'!AB7&lt;ДатаПереходаСтавки)+СтавкаРоялтиВсех*('03_Сеть'!AB7&gt;=ДатаПереходаСтавки))+ABS(ГруппыФикс*ГруппыТочек*IF(ШколыСтарт=0,0,'03_Сеть'!AB18/ШколыСтарт)-('03_Сеть'!AB20*'07_Тарифы'!R$8)*ГруппыДоля*(ГруппыСтавка*('03_Сеть'!AB7&lt;ДатаПереходаСтавки)+СтавкаРоялтиВсех*('03_Сеть'!AB7&gt;=ДатаПереходаСтавки))))/2)</f>
        <v/>
      </c>
      <c r="AC17" s="5">
        <f>SUMPRODUCT((ГруппыФикс*ГруппыТочек*IF(ШколыСтарт=0,0,'03_Сеть'!AC18/ШколыСтарт)+('03_Сеть'!AC20*'07_Тарифы'!S$8)*ГруппыДоля*(ГруппыСтавка*('03_Сеть'!AC7&lt;ДатаПереходаСтавки)+СтавкаРоялтиВсех*('03_Сеть'!AC7&gt;=ДатаПереходаСтавки))+ABS(ГруппыФикс*ГруппыТочек*IF(ШколыСтарт=0,0,'03_Сеть'!AC18/ШколыСтарт)-('03_Сеть'!AC20*'07_Тарифы'!S$8)*ГруппыДоля*(ГруппыСтавка*('03_Сеть'!AC7&lt;ДатаПереходаСтавки)+СтавкаРоялтиВсех*('03_Сеть'!AC7&gt;=ДатаПереходаСтавки))))/2)</f>
        <v/>
      </c>
      <c r="AD17" s="5">
        <f>SUMPRODUCT((ГруппыФикс*ГруппыТочек*IF(ШколыСтарт=0,0,'03_Сеть'!AD18/ШколыСтарт)+('03_Сеть'!AD20*'07_Тарифы'!T$8)*ГруппыДоля*(ГруппыСтавка*('03_Сеть'!AD7&lt;ДатаПереходаСтавки)+СтавкаРоялтиВсех*('03_Сеть'!AD7&gt;=ДатаПереходаСтавки))+ABS(ГруппыФикс*ГруппыТочек*IF(ШколыСтарт=0,0,'03_Сеть'!AD18/ШколыСтарт)-('03_Сеть'!AD20*'07_Тарифы'!T$8)*ГруппыДоля*(ГруппыСтавка*('03_Сеть'!AD7&lt;ДатаПереходаСтавки)+СтавкаРоялтиВсех*('03_Сеть'!AD7&gt;=ДатаПереходаСтавки))))/2)</f>
        <v/>
      </c>
      <c r="AE17" s="5">
        <f>SUMPRODUCT((ГруппыФикс*ГруппыТочек*IF(ШколыСтарт=0,0,'03_Сеть'!AE18/ШколыСтарт)+('03_Сеть'!AE20*'07_Тарифы'!U$8)*ГруппыДоля*(ГруппыСтавка*('03_Сеть'!AE7&lt;ДатаПереходаСтавки)+СтавкаРоялтиВсех*('03_Сеть'!AE7&gt;=ДатаПереходаСтавки))+ABS(ГруппыФикс*ГруппыТочек*IF(ШколыСтарт=0,0,'03_Сеть'!AE18/ШколыСтарт)-('03_Сеть'!AE20*'07_Тарифы'!U$8)*ГруппыДоля*(ГруппыСтавка*('03_Сеть'!AE7&lt;ДатаПереходаСтавки)+СтавкаРоялтиВсех*('03_Сеть'!AE7&gt;=ДатаПереходаСтавки))))/2)</f>
        <v/>
      </c>
      <c r="AF17" s="5">
        <f>SUMPRODUCT((ГруппыФикс*ГруппыТочек*IF(ШколыСтарт=0,0,'03_Сеть'!AF18/ШколыСтарт)+('03_Сеть'!AF20*'07_Тарифы'!V$8)*ГруппыДоля*(ГруппыСтавка*('03_Сеть'!AF7&lt;ДатаПереходаСтавки)+СтавкаРоялтиВсех*('03_Сеть'!AF7&gt;=ДатаПереходаСтавки))+ABS(ГруппыФикс*ГруппыТочек*IF(ШколыСтарт=0,0,'03_Сеть'!AF18/ШколыСтарт)-('03_Сеть'!AF20*'07_Тарифы'!V$8)*ГруппыДоля*(ГруппыСтавка*('03_Сеть'!AF7&lt;ДатаПереходаСтавки)+СтавкаРоялтиВсех*('03_Сеть'!AF7&gt;=ДатаПереходаСтавки))))/2)</f>
        <v/>
      </c>
      <c r="AG17" s="5">
        <f>SUMPRODUCT((ГруппыФикс*ГруппыТочек*IF(ШколыСтарт=0,0,'03_Сеть'!AG18/ШколыСтарт)+('03_Сеть'!AG20*'07_Тарифы'!W$8)*ГруппыДоля*(ГруппыСтавка*('03_Сеть'!AG7&lt;ДатаПереходаСтавки)+СтавкаРоялтиВсех*('03_Сеть'!AG7&gt;=ДатаПереходаСтавки))+ABS(ГруппыФикс*ГруппыТочек*IF(ШколыСтарт=0,0,'03_Сеть'!AG18/ШколыСтарт)-('03_Сеть'!AG20*'07_Тарифы'!W$8)*ГруппыДоля*(ГруппыСтавка*('03_Сеть'!AG7&lt;ДатаПереходаСтавки)+СтавкаРоялтиВсех*('03_Сеть'!AG7&gt;=ДатаПереходаСтавки))))/2)</f>
        <v/>
      </c>
      <c r="AH17" s="5">
        <f>SUMPRODUCT((ГруппыФикс*ГруппыТочек*IF(ШколыСтарт=0,0,'03_Сеть'!AH18/ШколыСтарт)+('03_Сеть'!AH20*'07_Тарифы'!X$8)*ГруппыДоля*(ГруппыСтавка*('03_Сеть'!AH7&lt;ДатаПереходаСтавки)+СтавкаРоялтиВсех*('03_Сеть'!AH7&gt;=ДатаПереходаСтавки))+ABS(ГруппыФикс*ГруппыТочек*IF(ШколыСтарт=0,0,'03_Сеть'!AH18/ШколыСтарт)-('03_Сеть'!AH20*'07_Тарифы'!X$8)*ГруппыДоля*(ГруппыСтавка*('03_Сеть'!AH7&lt;ДатаПереходаСтавки)+СтавкаРоялтиВсех*('03_Сеть'!AH7&gt;=ДатаПереходаСтавки))))/2)</f>
        <v/>
      </c>
      <c r="AI17" s="5">
        <f>SUMPRODUCT((ГруппыФикс*ГруппыТочек*IF(ШколыСтарт=0,0,'03_Сеть'!AI18/ШколыСтарт)+('03_Сеть'!AI20*'07_Тарифы'!Y$8)*ГруппыДоля*(ГруппыСтавка*('03_Сеть'!AI7&lt;ДатаПереходаСтавки)+СтавкаРоялтиВсех*('03_Сеть'!AI7&gt;=ДатаПереходаСтавки))+ABS(ГруппыФикс*ГруппыТочек*IF(ШколыСтарт=0,0,'03_Сеть'!AI18/ШколыСтарт)-('03_Сеть'!AI20*'07_Тарифы'!Y$8)*ГруппыДоля*(ГруппыСтавка*('03_Сеть'!AI7&lt;ДатаПереходаСтавки)+СтавкаРоялтиВсех*('03_Сеть'!AI7&gt;=ДатаПереходаСтавки))))/2)</f>
        <v/>
      </c>
      <c r="AJ17" s="5">
        <f>SUMPRODUCT((ГруппыФикс*ГруппыТочек*IF(ШколыСтарт=0,0,'03_Сеть'!AJ18/ШколыСтарт)+('03_Сеть'!AJ20*'07_Тарифы'!Z$8)*ГруппыДоля*(ГруппыСтавка*('03_Сеть'!AJ7&lt;ДатаПереходаСтавки)+СтавкаРоялтиВсех*('03_Сеть'!AJ7&gt;=ДатаПереходаСтавки))+ABS(ГруппыФикс*ГруппыТочек*IF(ШколыСтарт=0,0,'03_Сеть'!AJ18/ШколыСтарт)-('03_Сеть'!AJ20*'07_Тарифы'!Z$8)*ГруппыДоля*(ГруппыСтавка*('03_Сеть'!AJ7&lt;ДатаПереходаСтавки)+СтавкаРоялтиВсех*('03_Сеть'!AJ7&gt;=ДатаПереходаСтавки))))/2)</f>
        <v/>
      </c>
      <c r="AK17" s="5">
        <f>SUMPRODUCT((ГруппыФикс*ГруппыТочек*IF(ШколыСтарт=0,0,'03_Сеть'!AK18/ШколыСтарт)+('03_Сеть'!AK20*'07_Тарифы'!AA$8)*ГруппыДоля*(ГруппыСтавка*('03_Сеть'!AK7&lt;ДатаПереходаСтавки)+СтавкаРоялтиВсех*('03_Сеть'!AK7&gt;=ДатаПереходаСтавки))+ABS(ГруппыФикс*ГруппыТочек*IF(ШколыСтарт=0,0,'03_Сеть'!AK18/ШколыСтарт)-('03_Сеть'!AK20*'07_Тарифы'!AA$8)*ГруппыДоля*(ГруппыСтавка*('03_Сеть'!AK7&lt;ДатаПереходаСтавки)+СтавкаРоялтиВсех*('03_Сеть'!AK7&gt;=ДатаПереходаСтавки))))/2)</f>
        <v/>
      </c>
      <c r="AL17" s="5">
        <f>SUMPRODUCT((ГруппыФикс*ГруппыТочек*IF(ШколыСтарт=0,0,'03_Сеть'!AL18/ШколыСтарт)+('03_Сеть'!AL20*'07_Тарифы'!AB$8)*ГруппыДоля*(ГруппыСтавка*('03_Сеть'!AL7&lt;ДатаПереходаСтавки)+СтавкаРоялтиВсех*('03_Сеть'!AL7&gt;=ДатаПереходаСтавки))+ABS(ГруппыФикс*ГруппыТочек*IF(ШколыСтарт=0,0,'03_Сеть'!AL18/ШколыСтарт)-('03_Сеть'!AL20*'07_Тарифы'!AB$8)*ГруппыДоля*(ГруппыСтавка*('03_Сеть'!AL7&lt;ДатаПереходаСтавки)+СтавкаРоялтиВсех*('03_Сеть'!AL7&gt;=ДатаПереходаСтавки))))/2)</f>
        <v/>
      </c>
      <c r="AM17" s="5">
        <f>SUMPRODUCT((ГруппыФикс*ГруппыТочек*IF(ШколыСтарт=0,0,'03_Сеть'!AM18/ШколыСтарт)+('03_Сеть'!AM20*'07_Тарифы'!AC$8)*ГруппыДоля*(ГруппыСтавка*('03_Сеть'!AM7&lt;ДатаПереходаСтавки)+СтавкаРоялтиВсех*('03_Сеть'!AM7&gt;=ДатаПереходаСтавки))+ABS(ГруппыФикс*ГруппыТочек*IF(ШколыСтарт=0,0,'03_Сеть'!AM18/ШколыСтарт)-('03_Сеть'!AM20*'07_Тарифы'!AC$8)*ГруппыДоля*(ГруппыСтавка*('03_Сеть'!AM7&lt;ДатаПереходаСтавки)+СтавкаРоялтиВсех*('03_Сеть'!AM7&gt;=ДатаПереходаСтавки))))/2)</f>
        <v/>
      </c>
      <c r="AN17" s="5">
        <f>SUMPRODUCT((ГруппыФикс*ГруппыТочек*IF(ШколыСтарт=0,0,'03_Сеть'!AN18/ШколыСтарт)+('03_Сеть'!AN20*'07_Тарифы'!AD$8)*ГруппыДоля*(ГруппыСтавка*('03_Сеть'!AN7&lt;ДатаПереходаСтавки)+СтавкаРоялтиВсех*('03_Сеть'!AN7&gt;=ДатаПереходаСтавки))+ABS(ГруппыФикс*ГруппыТочек*IF(ШколыСтарт=0,0,'03_Сеть'!AN18/ШколыСтарт)-('03_Сеть'!AN20*'07_Тарифы'!AD$8)*ГруппыДоля*(ГруппыСтавка*('03_Сеть'!AN7&lt;ДатаПереходаСтавки)+СтавкаРоялтиВсех*('03_Сеть'!AN7&gt;=ДатаПереходаСтавки))))/2)</f>
        <v/>
      </c>
      <c r="AO17" s="5">
        <f>SUMPRODUCT((ГруппыФикс*ГруппыТочек*IF(ШколыСтарт=0,0,'03_Сеть'!AO18/ШколыСтарт)+('03_Сеть'!AO20*'07_Тарифы'!AE$8)*ГруппыДоля*(ГруппыСтавка*('03_Сеть'!AO7&lt;ДатаПереходаСтавки)+СтавкаРоялтиВсех*('03_Сеть'!AO7&gt;=ДатаПереходаСтавки))+ABS(ГруппыФикс*ГруппыТочек*IF(ШколыСтарт=0,0,'03_Сеть'!AO18/ШколыСтарт)-('03_Сеть'!AO20*'07_Тарифы'!AE$8)*ГруппыДоля*(ГруппыСтавка*('03_Сеть'!AO7&lt;ДатаПереходаСтавки)+СтавкаРоялтиВсех*('03_Сеть'!AO7&gt;=ДатаПереходаСтавки))))/2)</f>
        <v/>
      </c>
      <c r="AP17" s="5">
        <f>SUMPRODUCT((ГруппыФикс*ГруппыТочек*IF(ШколыСтарт=0,0,'03_Сеть'!AP18/ШколыСтарт)+('03_Сеть'!AP20*'07_Тарифы'!AF$8)*ГруппыДоля*(ГруппыСтавка*('03_Сеть'!AP7&lt;ДатаПереходаСтавки)+СтавкаРоялтиВсех*('03_Сеть'!AP7&gt;=ДатаПереходаСтавки))+ABS(ГруппыФикс*ГруппыТочек*IF(ШколыСтарт=0,0,'03_Сеть'!AP18/ШколыСтарт)-('03_Сеть'!AP20*'07_Тарифы'!AF$8)*ГруппыДоля*(ГруппыСтавка*('03_Сеть'!AP7&lt;ДатаПереходаСтавки)+СтавкаРоялтиВсех*('03_Сеть'!AP7&gt;=ДатаПереходаСтавки))))/2)</f>
        <v/>
      </c>
      <c r="AQ17" s="5">
        <f>SUMPRODUCT((ГруппыФикс*ГруппыТочек*IF(ШколыСтарт=0,0,'03_Сеть'!AQ18/ШколыСтарт)+('03_Сеть'!AQ20*'07_Тарифы'!AG$8)*ГруппыДоля*(ГруппыСтавка*('03_Сеть'!AQ7&lt;ДатаПереходаСтавки)+СтавкаРоялтиВсех*('03_Сеть'!AQ7&gt;=ДатаПереходаСтавки))+ABS(ГруппыФикс*ГруппыТочек*IF(ШколыСтарт=0,0,'03_Сеть'!AQ18/ШколыСтарт)-('03_Сеть'!AQ20*'07_Тарифы'!AG$8)*ГруппыДоля*(ГруппыСтавка*('03_Сеть'!AQ7&lt;ДатаПереходаСтавки)+СтавкаРоялтиВсех*('03_Сеть'!AQ7&gt;=ДатаПереходаСтавки))))/2)</f>
        <v/>
      </c>
      <c r="AR17" s="5">
        <f>SUMPRODUCT((ГруппыФикс*ГруппыТочек*IF(ШколыСтарт=0,0,'03_Сеть'!AR18/ШколыСтарт)+('03_Сеть'!AR20*'07_Тарифы'!AH$8)*ГруппыДоля*(ГруппыСтавка*('03_Сеть'!AR7&lt;ДатаПереходаСтавки)+СтавкаРоялтиВсех*('03_Сеть'!AR7&gt;=ДатаПереходаСтавки))+ABS(ГруппыФикс*ГруппыТочек*IF(ШколыСтарт=0,0,'03_Сеть'!AR18/ШколыСтарт)-('03_Сеть'!AR20*'07_Тарифы'!AH$8)*ГруппыДоля*(ГруппыСтавка*('03_Сеть'!AR7&lt;ДатаПереходаСтавки)+СтавкаРоялтиВсех*('03_Сеть'!AR7&gt;=ДатаПереходаСтавки))))/2)</f>
        <v/>
      </c>
      <c r="AS17" s="5">
        <f>SUMPRODUCT((ГруппыФикс*ГруппыТочек*IF(ШколыСтарт=0,0,'03_Сеть'!AS18/ШколыСтарт)+('03_Сеть'!AS20*'07_Тарифы'!AI$8)*ГруппыДоля*(ГруппыСтавка*('03_Сеть'!AS7&lt;ДатаПереходаСтавки)+СтавкаРоялтиВсех*('03_Сеть'!AS7&gt;=ДатаПереходаСтавки))+ABS(ГруппыФикс*ГруппыТочек*IF(ШколыСтарт=0,0,'03_Сеть'!AS18/ШколыСтарт)-('03_Сеть'!AS20*'07_Тарифы'!AI$8)*ГруппыДоля*(ГруппыСтавка*('03_Сеть'!AS7&lt;ДатаПереходаСтавки)+СтавкаРоялтиВсех*('03_Сеть'!AS7&gt;=ДатаПереходаСтавки))))/2)</f>
        <v/>
      </c>
      <c r="AT17" s="5">
        <f>SUMPRODUCT((ГруппыФикс*ГруппыТочек*IF(ШколыСтарт=0,0,'03_Сеть'!AT18/ШколыСтарт)+('03_Сеть'!AT20*'07_Тарифы'!AJ$8)*ГруппыДоля*(ГруппыСтавка*('03_Сеть'!AT7&lt;ДатаПереходаСтавки)+СтавкаРоялтиВсех*('03_Сеть'!AT7&gt;=ДатаПереходаСтавки))+ABS(ГруппыФикс*ГруппыТочек*IF(ШколыСтарт=0,0,'03_Сеть'!AT18/ШколыСтарт)-('03_Сеть'!AT20*'07_Тарифы'!AJ$8)*ГруппыДоля*(ГруппыСтавка*('03_Сеть'!AT7&lt;ДатаПереходаСтавки)+СтавкаРоялтиВсех*('03_Сеть'!AT7&gt;=ДатаПереходаСтавки))))/2)</f>
        <v/>
      </c>
      <c r="AU17" s="5">
        <f>SUMPRODUCT((ГруппыФикс*ГруппыТочек*IF(ШколыСтарт=0,0,'03_Сеть'!AU18/ШколыСтарт)+('03_Сеть'!AU20*'07_Тарифы'!AK$8)*ГруппыДоля*(ГруппыСтавка*('03_Сеть'!AU7&lt;ДатаПереходаСтавки)+СтавкаРоялтиВсех*('03_Сеть'!AU7&gt;=ДатаПереходаСтавки))+ABS(ГруппыФикс*ГруппыТочек*IF(ШколыСтарт=0,0,'03_Сеть'!AU18/ШколыСтарт)-('03_Сеть'!AU20*'07_Тарифы'!AK$8)*ГруппыДоля*(ГруппыСтавка*('03_Сеть'!AU7&lt;ДатаПереходаСтавки)+СтавкаРоялтиВсех*('03_Сеть'!AU7&gt;=ДатаПереходаСтавки))))/2)</f>
        <v/>
      </c>
      <c r="AV17" s="5">
        <f>SUMPRODUCT((ГруппыФикс*ГруппыТочек*IF(ШколыСтарт=0,0,'03_Сеть'!AV18/ШколыСтарт)+('03_Сеть'!AV20*'07_Тарифы'!AL$8)*ГруппыДоля*(ГруппыСтавка*('03_Сеть'!AV7&lt;ДатаПереходаСтавки)+СтавкаРоялтиВсех*('03_Сеть'!AV7&gt;=ДатаПереходаСтавки))+ABS(ГруппыФикс*ГруппыТочек*IF(ШколыСтарт=0,0,'03_Сеть'!AV18/ШколыСтарт)-('03_Сеть'!AV20*'07_Тарифы'!AL$8)*ГруппыДоля*(ГруппыСтавка*('03_Сеть'!AV7&lt;ДатаПереходаСтавки)+СтавкаРоялтиВсех*('03_Сеть'!AV7&gt;=ДатаПереходаСтавки))))/2)</f>
        <v/>
      </c>
      <c r="AW17" s="5">
        <f>SUMPRODUCT((ГруппыФикс*ГруппыТочек*IF(ШколыСтарт=0,0,'03_Сеть'!AW18/ШколыСтарт)+('03_Сеть'!AW20*'07_Тарифы'!AM$8)*ГруппыДоля*(ГруппыСтавка*('03_Сеть'!AW7&lt;ДатаПереходаСтавки)+СтавкаРоялтиВсех*('03_Сеть'!AW7&gt;=ДатаПереходаСтавки))+ABS(ГруппыФикс*ГруппыТочек*IF(ШколыСтарт=0,0,'03_Сеть'!AW18/ШколыСтарт)-('03_Сеть'!AW20*'07_Тарифы'!AM$8)*ГруппыДоля*(ГруппыСтавка*('03_Сеть'!AW7&lt;ДатаПереходаСтавки)+СтавкаРоялтиВсех*('03_Сеть'!AW7&gt;=ДатаПереходаСтавки))))/2)</f>
        <v/>
      </c>
      <c r="AX17" s="5">
        <f>SUMPRODUCT((ГруппыФикс*ГруппыТочек*IF(ШколыСтарт=0,0,'03_Сеть'!AX18/ШколыСтарт)+('03_Сеть'!AX20*'07_Тарифы'!AN$8)*ГруппыДоля*(ГруппыСтавка*('03_Сеть'!AX7&lt;ДатаПереходаСтавки)+СтавкаРоялтиВсех*('03_Сеть'!AX7&gt;=ДатаПереходаСтавки))+ABS(ГруппыФикс*ГруппыТочек*IF(ШколыСтарт=0,0,'03_Сеть'!AX18/ШколыСтарт)-('03_Сеть'!AX20*'07_Тарифы'!AN$8)*ГруппыДоля*(ГруппыСтавка*('03_Сеть'!AX7&lt;ДатаПереходаСтавки)+СтавкаРоялтиВсех*('03_Сеть'!AX7&gt;=ДатаПереходаСтавки))))/2)</f>
        <v/>
      </c>
      <c r="AY17" s="5">
        <f>SUMPRODUCT((ГруппыФикс*ГруппыТочек*IF(ШколыСтарт=0,0,'03_Сеть'!AY18/ШколыСтарт)+('03_Сеть'!AY20*'07_Тарифы'!AO$8)*ГруппыДоля*(ГруппыСтавка*('03_Сеть'!AY7&lt;ДатаПереходаСтавки)+СтавкаРоялтиВсех*('03_Сеть'!AY7&gt;=ДатаПереходаСтавки))+ABS(ГруппыФикс*ГруппыТочек*IF(ШколыСтарт=0,0,'03_Сеть'!AY18/ШколыСтарт)-('03_Сеть'!AY20*'07_Тарифы'!AO$8)*ГруппыДоля*(ГруппыСтавка*('03_Сеть'!AY7&lt;ДатаПереходаСтавки)+СтавкаРоялтиВсех*('03_Сеть'!AY7&gt;=ДатаПереходаСтавки))))/2)</f>
        <v/>
      </c>
      <c r="AZ17" s="5">
        <f>SUMPRODUCT((ГруппыФикс*ГруппыТочек*IF(ШколыСтарт=0,0,'03_Сеть'!AZ18/ШколыСтарт)+('03_Сеть'!AZ20*'07_Тарифы'!AP$8)*ГруппыДоля*(ГруппыСтавка*('03_Сеть'!AZ7&lt;ДатаПереходаСтавки)+СтавкаРоялтиВсех*('03_Сеть'!AZ7&gt;=ДатаПереходаСтавки))+ABS(ГруппыФикс*ГруппыТочек*IF(ШколыСтарт=0,0,'03_Сеть'!AZ18/ШколыСтарт)-('03_Сеть'!AZ20*'07_Тарифы'!AP$8)*ГруппыДоля*(ГруппыСтавка*('03_Сеть'!AZ7&lt;ДатаПереходаСтавки)+СтавкаРоялтиВсех*('03_Сеть'!AZ7&gt;=ДатаПереходаСтавки))))/2)</f>
        <v/>
      </c>
      <c r="BA17" s="5">
        <f>SUMPRODUCT((ГруппыФикс*ГруппыТочек*IF(ШколыСтарт=0,0,'03_Сеть'!BA18/ШколыСтарт)+('03_Сеть'!BA20*'07_Тарифы'!AQ$8)*ГруппыДоля*(ГруппыСтавка*('03_Сеть'!BA7&lt;ДатаПереходаСтавки)+СтавкаРоялтиВсех*('03_Сеть'!BA7&gt;=ДатаПереходаСтавки))+ABS(ГруппыФикс*ГруппыТочек*IF(ШколыСтарт=0,0,'03_Сеть'!BA18/ШколыСтарт)-('03_Сеть'!BA20*'07_Тарифы'!AQ$8)*ГруппыДоля*(ГруппыСтавка*('03_Сеть'!BA7&lt;ДатаПереходаСтавки)+СтавкаРоялтиВсех*('03_Сеть'!BA7&gt;=ДатаПереходаСтавки))))/2)</f>
        <v/>
      </c>
      <c r="BB17" s="5">
        <f>SUMPRODUCT((ГруппыФикс*ГруппыТочек*IF(ШколыСтарт=0,0,'03_Сеть'!BB18/ШколыСтарт)+('03_Сеть'!BB20*'07_Тарифы'!AR$8)*ГруппыДоля*(ГруппыСтавка*('03_Сеть'!BB7&lt;ДатаПереходаСтавки)+СтавкаРоялтиВсех*('03_Сеть'!BB7&gt;=ДатаПереходаСтавки))+ABS(ГруппыФикс*ГруппыТочек*IF(ШколыСтарт=0,0,'03_Сеть'!BB18/ШколыСтарт)-('03_Сеть'!BB20*'07_Тарифы'!AR$8)*ГруппыДоля*(ГруппыСтавка*('03_Сеть'!BB7&lt;ДатаПереходаСтавки)+СтавкаРоялтиВсех*('03_Сеть'!BB7&gt;=ДатаПереходаСтавки))))/2)</f>
        <v/>
      </c>
      <c r="BC17" s="5">
        <f>SUMPRODUCT((ГруппыФикс*ГруппыТочек*IF(ШколыСтарт=0,0,'03_Сеть'!BC18/ШколыСтарт)+('03_Сеть'!BC20*'07_Тарифы'!AS$8)*ГруппыДоля*(ГруппыСтавка*('03_Сеть'!BC7&lt;ДатаПереходаСтавки)+СтавкаРоялтиВсех*('03_Сеть'!BC7&gt;=ДатаПереходаСтавки))+ABS(ГруппыФикс*ГруппыТочек*IF(ШколыСтарт=0,0,'03_Сеть'!BC18/ШколыСтарт)-('03_Сеть'!BC20*'07_Тарифы'!AS$8)*ГруппыДоля*(ГруппыСтавка*('03_Сеть'!BC7&lt;ДатаПереходаСтавки)+СтавкаРоялтиВсех*('03_Сеть'!BC7&gt;=ДатаПереходаСтавки))))/2)</f>
        <v/>
      </c>
      <c r="BD17" s="5">
        <f>SUMPRODUCT((ГруппыФикс*ГруппыТочек*IF(ШколыСтарт=0,0,'03_Сеть'!BD18/ШколыСтарт)+('03_Сеть'!BD20*'07_Тарифы'!AT$8)*ГруппыДоля*(ГруппыСтавка*('03_Сеть'!BD7&lt;ДатаПереходаСтавки)+СтавкаРоялтиВсех*('03_Сеть'!BD7&gt;=ДатаПереходаСтавки))+ABS(ГруппыФикс*ГруппыТочек*IF(ШколыСтарт=0,0,'03_Сеть'!BD18/ШколыСтарт)-('03_Сеть'!BD20*'07_Тарифы'!AT$8)*ГруппыДоля*(ГруппыСтавка*('03_Сеть'!BD7&lt;ДатаПереходаСтавки)+СтавкаРоялтиВсех*('03_Сеть'!BD7&gt;=ДатаПереходаСтавки))))/2)</f>
        <v/>
      </c>
      <c r="BE17" s="5">
        <f>SUMPRODUCT((ГруппыФикс*ГруппыТочек*IF(ШколыСтарт=0,0,'03_Сеть'!BE18/ШколыСтарт)+('03_Сеть'!BE20*'07_Тарифы'!AU$8)*ГруппыДоля*(ГруппыСтавка*('03_Сеть'!BE7&lt;ДатаПереходаСтавки)+СтавкаРоялтиВсех*('03_Сеть'!BE7&gt;=ДатаПереходаСтавки))+ABS(ГруппыФикс*ГруппыТочек*IF(ШколыСтарт=0,0,'03_Сеть'!BE18/ШколыСтарт)-('03_Сеть'!BE20*'07_Тарифы'!AU$8)*ГруппыДоля*(ГруппыСтавка*('03_Сеть'!BE7&lt;ДатаПереходаСтавки)+СтавкаРоялтиВсех*('03_Сеть'!BE7&gt;=ДатаПереходаСтавки))))/2)</f>
        <v/>
      </c>
      <c r="BF17" s="5">
        <f>SUMPRODUCT((ГруппыФикс*ГруппыТочек*IF(ШколыСтарт=0,0,'03_Сеть'!BF18/ШколыСтарт)+('03_Сеть'!BF20*'07_Тарифы'!AV$8)*ГруппыДоля*(ГруппыСтавка*('03_Сеть'!BF7&lt;ДатаПереходаСтавки)+СтавкаРоялтиВсех*('03_Сеть'!BF7&gt;=ДатаПереходаСтавки))+ABS(ГруппыФикс*ГруппыТочек*IF(ШколыСтарт=0,0,'03_Сеть'!BF18/ШколыСтарт)-('03_Сеть'!BF20*'07_Тарифы'!AV$8)*ГруппыДоля*(ГруппыСтавка*('03_Сеть'!BF7&lt;ДатаПереходаСтавки)+СтавкаРоялтиВсех*('03_Сеть'!BF7&gt;=ДатаПереходаСтавки))))/2)</f>
        <v/>
      </c>
      <c r="BG17" s="5">
        <f>SUMPRODUCT((ГруппыФикс*ГруппыТочек*IF(ШколыСтарт=0,0,'03_Сеть'!BG18/ШколыСтарт)+('03_Сеть'!BG20*'07_Тарифы'!AW$8)*ГруппыДоля*(ГруппыСтавка*('03_Сеть'!BG7&lt;ДатаПереходаСтавки)+СтавкаРоялтиВсех*('03_Сеть'!BG7&gt;=ДатаПереходаСтавки))+ABS(ГруппыФикс*ГруппыТочек*IF(ШколыСтарт=0,0,'03_Сеть'!BG18/ШколыСтарт)-('03_Сеть'!BG20*'07_Тарифы'!AW$8)*ГруппыДоля*(ГруппыСтавка*('03_Сеть'!BG7&lt;ДатаПереходаСтавки)+СтавкаРоялтиВсех*('03_Сеть'!BG7&gt;=ДатаПереходаСтавки))))/2)</f>
        <v/>
      </c>
      <c r="BH17" s="5">
        <f>SUMPRODUCT((ГруппыФикс*ГруппыТочек*IF(ШколыСтарт=0,0,'03_Сеть'!BH18/ШколыСтарт)+('03_Сеть'!BH20*'07_Тарифы'!AX$8)*ГруппыДоля*(ГруппыСтавка*('03_Сеть'!BH7&lt;ДатаПереходаСтавки)+СтавкаРоялтиВсех*('03_Сеть'!BH7&gt;=ДатаПереходаСтавки))+ABS(ГруппыФикс*ГруппыТочек*IF(ШколыСтарт=0,0,'03_Сеть'!BH18/ШколыСтарт)-('03_Сеть'!BH20*'07_Тарифы'!AX$8)*ГруппыДоля*(ГруппыСтавка*('03_Сеть'!BH7&lt;ДатаПереходаСтавки)+СтавкаРоялтиВсех*('03_Сеть'!BH7&gt;=ДатаПереходаСтавки))))/2)</f>
        <v/>
      </c>
      <c r="BI17" s="5">
        <f>SUMPRODUCT((ГруппыФикс*ГруппыТочек*IF(ШколыСтарт=0,0,'03_Сеть'!BI18/ШколыСтарт)+('03_Сеть'!BI20*'07_Тарифы'!AY$8)*ГруппыДоля*(ГруппыСтавка*('03_Сеть'!BI7&lt;ДатаПереходаСтавки)+СтавкаРоялтиВсех*('03_Сеть'!BI7&gt;=ДатаПереходаСтавки))+ABS(ГруппыФикс*ГруппыТочек*IF(ШколыСтарт=0,0,'03_Сеть'!BI18/ШколыСтарт)-('03_Сеть'!BI20*'07_Тарифы'!AY$8)*ГруппыДоля*(ГруппыСтавка*('03_Сеть'!BI7&lt;ДатаПереходаСтавки)+СтавкаРоялтиВсех*('03_Сеть'!BI7&gt;=ДатаПереходаСтавки))))/2)</f>
        <v/>
      </c>
      <c r="BJ17" s="5">
        <f>SUMPRODUCT((ГруппыФикс*ГруппыТочек*IF(ШколыСтарт=0,0,'03_Сеть'!BJ18/ШколыСтарт)+('03_Сеть'!BJ20*'07_Тарифы'!AZ$8)*ГруппыДоля*(ГруппыСтавка*('03_Сеть'!BJ7&lt;ДатаПереходаСтавки)+СтавкаРоялтиВсех*('03_Сеть'!BJ7&gt;=ДатаПереходаСтавки))+ABS(ГруппыФикс*ГруппыТочек*IF(ШколыСтарт=0,0,'03_Сеть'!BJ18/ШколыСтарт)-('03_Сеть'!BJ20*'07_Тарифы'!AZ$8)*ГруппыДоля*(ГруппыСтавка*('03_Сеть'!BJ7&lt;ДатаПереходаСтавки)+СтавкаРоялтиВсех*('03_Сеть'!BJ7&gt;=ДатаПереходаСтавки))))/2)</f>
        <v/>
      </c>
      <c r="BK17" s="5">
        <f>SUMPRODUCT((ГруппыФикс*ГруппыТочек*IF(ШколыСтарт=0,0,'03_Сеть'!BK18/ШколыСтарт)+('03_Сеть'!BK20*'07_Тарифы'!BA$8)*ГруппыДоля*(ГруппыСтавка*('03_Сеть'!BK7&lt;ДатаПереходаСтавки)+СтавкаРоялтиВсех*('03_Сеть'!BK7&gt;=ДатаПереходаСтавки))+ABS(ГруппыФикс*ГруппыТочек*IF(ШколыСтарт=0,0,'03_Сеть'!BK18/ШколыСтарт)-('03_Сеть'!BK20*'07_Тарифы'!BA$8)*ГруппыДоля*(ГруппыСтавка*('03_Сеть'!BK7&lt;ДатаПереходаСтавки)+СтавкаРоялтиВсех*('03_Сеть'!BK7&gt;=ДатаПереходаСтавки))))/2)</f>
        <v/>
      </c>
      <c r="BL17" s="5">
        <f>SUMPRODUCT((ГруппыФикс*ГруппыТочек*IF(ШколыСтарт=0,0,'03_Сеть'!BL18/ШколыСтарт)+('03_Сеть'!BL20*'07_Тарифы'!BB$8)*ГруппыДоля*(ГруппыСтавка*('03_Сеть'!BL7&lt;ДатаПереходаСтавки)+СтавкаРоялтиВсех*('03_Сеть'!BL7&gt;=ДатаПереходаСтавки))+ABS(ГруппыФикс*ГруппыТочек*IF(ШколыСтарт=0,0,'03_Сеть'!BL18/ШколыСтарт)-('03_Сеть'!BL20*'07_Тарифы'!BB$8)*ГруппыДоля*(ГруппыСтавка*('03_Сеть'!BL7&lt;ДатаПереходаСтавки)+СтавкаРоялтиВсех*('03_Сеть'!BL7&gt;=ДатаПереходаСтавки))))/2)</f>
        <v/>
      </c>
      <c r="BM17" s="5">
        <f>SUMPRODUCT((ГруппыФикс*ГруппыТочек*IF(ШколыСтарт=0,0,'03_Сеть'!BM18/ШколыСтарт)+('03_Сеть'!BM20*'07_Тарифы'!BC$8)*ГруппыДоля*(ГруппыСтавка*('03_Сеть'!BM7&lt;ДатаПереходаСтавки)+СтавкаРоялтиВсех*('03_Сеть'!BM7&gt;=ДатаПереходаСтавки))+ABS(ГруппыФикс*ГруппыТочек*IF(ШколыСтарт=0,0,'03_Сеть'!BM18/ШколыСтарт)-('03_Сеть'!BM20*'07_Тарифы'!BC$8)*ГруппыДоля*(ГруппыСтавка*('03_Сеть'!BM7&lt;ДатаПереходаСтавки)+СтавкаРоялтиВсех*('03_Сеть'!BM7&gt;=ДатаПереходаСтавки))))/2)</f>
        <v/>
      </c>
      <c r="BN17" s="5">
        <f>SUMPRODUCT((ГруппыФикс*ГруппыТочек*IF(ШколыСтарт=0,0,'03_Сеть'!BN18/ШколыСтарт)+('03_Сеть'!BN20*'07_Тарифы'!BD$8)*ГруппыДоля*(ГруппыСтавка*('03_Сеть'!BN7&lt;ДатаПереходаСтавки)+СтавкаРоялтиВсех*('03_Сеть'!BN7&gt;=ДатаПереходаСтавки))+ABS(ГруппыФикс*ГруппыТочек*IF(ШколыСтарт=0,0,'03_Сеть'!BN18/ШколыСтарт)-('03_Сеть'!BN20*'07_Тарифы'!BD$8)*ГруппыДоля*(ГруппыСтавка*('03_Сеть'!BN7&lt;ДатаПереходаСтавки)+СтавкаРоялтиВсех*('03_Сеть'!BN7&gt;=ДатаПереходаСтавки))))/2)</f>
        <v/>
      </c>
      <c r="BO17" s="5">
        <f>SUMPRODUCT((ГруппыФикс*ГруппыТочек*IF(ШколыСтарт=0,0,'03_Сеть'!BO18/ШколыСтарт)+('03_Сеть'!BO20*'07_Тарифы'!BE$8)*ГруппыДоля*(ГруппыСтавка*('03_Сеть'!BO7&lt;ДатаПереходаСтавки)+СтавкаРоялтиВсех*('03_Сеть'!BO7&gt;=ДатаПереходаСтавки))+ABS(ГруппыФикс*ГруппыТочек*IF(ШколыСтарт=0,0,'03_Сеть'!BO18/ШколыСтарт)-('03_Сеть'!BO20*'07_Тарифы'!BE$8)*ГруппыДоля*(ГруппыСтавка*('03_Сеть'!BO7&lt;ДатаПереходаСтавки)+СтавкаРоялтиВсех*('03_Сеть'!BO7&gt;=ДатаПереходаСтавки))))/2)</f>
        <v/>
      </c>
      <c r="BP17" s="5">
        <f>SUMPRODUCT((ГруппыФикс*ГруппыТочек*IF(ШколыСтарт=0,0,'03_Сеть'!BP18/ШколыСтарт)+('03_Сеть'!BP20*'07_Тарифы'!BF$8)*ГруппыДоля*(ГруппыСтавка*('03_Сеть'!BP7&lt;ДатаПереходаСтавки)+СтавкаРоялтиВсех*('03_Сеть'!BP7&gt;=ДатаПереходаСтавки))+ABS(ГруппыФикс*ГруппыТочек*IF(ШколыСтарт=0,0,'03_Сеть'!BP18/ШколыСтарт)-('03_Сеть'!BP20*'07_Тарифы'!BF$8)*ГруппыДоля*(ГруппыСтавка*('03_Сеть'!BP7&lt;ДатаПереходаСтавки)+СтавкаРоялтиВсех*('03_Сеть'!BP7&gt;=ДатаПереходаСтавки))))/2)</f>
        <v/>
      </c>
      <c r="BQ17" s="5">
        <f>SUMPRODUCT((ГруппыФикс*ГруппыТочек*IF(ШколыСтарт=0,0,'03_Сеть'!BQ18/ШколыСтарт)+('03_Сеть'!BQ20*'07_Тарифы'!BG$8)*ГруппыДоля*(ГруппыСтавка*('03_Сеть'!BQ7&lt;ДатаПереходаСтавки)+СтавкаРоялтиВсех*('03_Сеть'!BQ7&gt;=ДатаПереходаСтавки))+ABS(ГруппыФикс*ГруппыТочек*IF(ШколыСтарт=0,0,'03_Сеть'!BQ18/ШколыСтарт)-('03_Сеть'!BQ20*'07_Тарифы'!BG$8)*ГруппыДоля*(ГруппыСтавка*('03_Сеть'!BQ7&lt;ДатаПереходаСтавки)+СтавкаРоялтиВсех*('03_Сеть'!BQ7&gt;=ДатаПереходаСтавки))))/2)</f>
        <v/>
      </c>
      <c r="BR17" s="5">
        <f>SUMPRODUCT((ГруппыФикс*ГруппыТочек*IF(ШколыСтарт=0,0,'03_Сеть'!BR18/ШколыСтарт)+('03_Сеть'!BR20*'07_Тарифы'!BH$8)*ГруппыДоля*(ГруппыСтавка*('03_Сеть'!BR7&lt;ДатаПереходаСтавки)+СтавкаРоялтиВсех*('03_Сеть'!BR7&gt;=ДатаПереходаСтавки))+ABS(ГруппыФикс*ГруппыТочек*IF(ШколыСтарт=0,0,'03_Сеть'!BR18/ШколыСтарт)-('03_Сеть'!BR20*'07_Тарифы'!BH$8)*ГруппыДоля*(ГруппыСтавка*('03_Сеть'!BR7&lt;ДатаПереходаСтавки)+СтавкаРоялтиВсех*('03_Сеть'!BR7&gt;=ДатаПереходаСтавки))))/2)</f>
        <v/>
      </c>
      <c r="BS17" s="5">
        <f>SUMPRODUCT((ГруппыФикс*ГруппыТочек*IF(ШколыСтарт=0,0,'03_Сеть'!BS18/ШколыСтарт)+('03_Сеть'!BS20*'07_Тарифы'!BI$8)*ГруппыДоля*(ГруппыСтавка*('03_Сеть'!BS7&lt;ДатаПереходаСтавки)+СтавкаРоялтиВсех*('03_Сеть'!BS7&gt;=ДатаПереходаСтавки))+ABS(ГруппыФикс*ГруппыТочек*IF(ШколыСтарт=0,0,'03_Сеть'!BS18/ШколыСтарт)-('03_Сеть'!BS20*'07_Тарифы'!BI$8)*ГруппыДоля*(ГруппыСтавка*('03_Сеть'!BS7&lt;ДатаПереходаСтавки)+СтавкаРоялтиВсех*('03_Сеть'!BS7&gt;=ДатаПереходаСтавки))))/2)</f>
        <v/>
      </c>
      <c r="BT17" s="5">
        <f>SUMPRODUCT((ГруппыФикс*ГруппыТочек*IF(ШколыСтарт=0,0,'03_Сеть'!BT18/ШколыСтарт)+('03_Сеть'!BT20*'07_Тарифы'!BJ$8)*ГруппыДоля*(ГруппыСтавка*('03_Сеть'!BT7&lt;ДатаПереходаСтавки)+СтавкаРоялтиВсех*('03_Сеть'!BT7&gt;=ДатаПереходаСтавки))+ABS(ГруппыФикс*ГруппыТочек*IF(ШколыСтарт=0,0,'03_Сеть'!BT18/ШколыСтарт)-('03_Сеть'!BT20*'07_Тарифы'!BJ$8)*ГруппыДоля*(ГруппыСтавка*('03_Сеть'!BT7&lt;ДатаПереходаСтавки)+СтавкаРоялтиВсех*('03_Сеть'!BT7&gt;=ДатаПереходаСтавки))))/2)</f>
        <v/>
      </c>
      <c r="BU17" s="5">
        <f>SUMPRODUCT((ГруппыФикс*ГруппыТочек*IF(ШколыСтарт=0,0,'03_Сеть'!BU18/ШколыСтарт)+('03_Сеть'!BU20*'07_Тарифы'!BK$8)*ГруппыДоля*(ГруппыСтавка*('03_Сеть'!BU7&lt;ДатаПереходаСтавки)+СтавкаРоялтиВсех*('03_Сеть'!BU7&gt;=ДатаПереходаСтавки))+ABS(ГруппыФикс*ГруппыТочек*IF(ШколыСтарт=0,0,'03_Сеть'!BU18/ШколыСтарт)-('03_Сеть'!BU20*'07_Тарифы'!BK$8)*ГруппыДоля*(ГруппыСтавка*('03_Сеть'!BU7&lt;ДатаПереходаСтавки)+СтавкаРоялтиВсех*('03_Сеть'!BU7&gt;=ДатаПереходаСтавки))))/2)</f>
        <v/>
      </c>
      <c r="BV17" s="5">
        <f>SUMPRODUCT((ГруппыФикс*ГруппыТочек*IF(ШколыСтарт=0,0,'03_Сеть'!BV18/ШколыСтарт)+('03_Сеть'!BV20*'07_Тарифы'!BL$8)*ГруппыДоля*(ГруппыСтавка*('03_Сеть'!BV7&lt;ДатаПереходаСтавки)+СтавкаРоялтиВсех*('03_Сеть'!BV7&gt;=ДатаПереходаСтавки))+ABS(ГруппыФикс*ГруппыТочек*IF(ШколыСтарт=0,0,'03_Сеть'!BV18/ШколыСтарт)-('03_Сеть'!BV20*'07_Тарифы'!BL$8)*ГруппыДоля*(ГруппыСтавка*('03_Сеть'!BV7&lt;ДатаПереходаСтавки)+СтавкаРоялтиВсех*('03_Сеть'!BV7&gt;=ДатаПереходаСтавки))))/2)</f>
        <v/>
      </c>
      <c r="BW17" s="5">
        <f>SUMPRODUCT((ГруппыФикс*ГруппыТочек*IF(ШколыСтарт=0,0,'03_Сеть'!BW18/ШколыСтарт)+('03_Сеть'!BW20*'07_Тарифы'!BM$8)*ГруппыДоля*(ГруппыСтавка*('03_Сеть'!BW7&lt;ДатаПереходаСтавки)+СтавкаРоялтиВсех*('03_Сеть'!BW7&gt;=ДатаПереходаСтавки))+ABS(ГруппыФикс*ГруппыТочек*IF(ШколыСтарт=0,0,'03_Сеть'!BW18/ШколыСтарт)-('03_Сеть'!BW20*'07_Тарифы'!BM$8)*ГруппыДоля*(ГруппыСтавка*('03_Сеть'!BW7&lt;ДатаПереходаСтавки)+СтавкаРоялтиВсех*('03_Сеть'!BW7&gt;=ДатаПереходаСтавки))))/2)</f>
        <v/>
      </c>
      <c r="BX17" s="5">
        <f>SUMPRODUCT((ГруппыФикс*ГруппыТочек*IF(ШколыСтарт=0,0,'03_Сеть'!BX18/ШколыСтарт)+('03_Сеть'!BX20*'07_Тарифы'!BN$8)*ГруппыДоля*(ГруппыСтавка*('03_Сеть'!BX7&lt;ДатаПереходаСтавки)+СтавкаРоялтиВсех*('03_Сеть'!BX7&gt;=ДатаПереходаСтавки))+ABS(ГруппыФикс*ГруппыТочек*IF(ШколыСтарт=0,0,'03_Сеть'!BX18/ШколыСтарт)-('03_Сеть'!BX20*'07_Тарифы'!BN$8)*ГруппыДоля*(ГруппыСтавка*('03_Сеть'!BX7&lt;ДатаПереходаСтавки)+СтавкаРоялтиВсех*('03_Сеть'!BX7&gt;=ДатаПереходаСтавки))))/2)</f>
        <v/>
      </c>
      <c r="BY17" s="5">
        <f>SUMPRODUCT((ГруппыФикс*ГруппыТочек*IF(ШколыСтарт=0,0,'03_Сеть'!BY18/ШколыСтарт)+('03_Сеть'!BY20*'07_Тарифы'!BO$8)*ГруппыДоля*(ГруппыСтавка*('03_Сеть'!BY7&lt;ДатаПереходаСтавки)+СтавкаРоялтиВсех*('03_Сеть'!BY7&gt;=ДатаПереходаСтавки))+ABS(ГруппыФикс*ГруппыТочек*IF(ШколыСтарт=0,0,'03_Сеть'!BY18/ШколыСтарт)-('03_Сеть'!BY20*'07_Тарифы'!BO$8)*ГруппыДоля*(ГруппыСтавка*('03_Сеть'!BY7&lt;ДатаПереходаСтавки)+СтавкаРоялтиВсех*('03_Сеть'!BY7&gt;=ДатаПереходаСтавки))))/2)</f>
        <v/>
      </c>
    </row>
    <row r="18"/>
    <row r="19">
      <c r="B19" s="125" t="inlineStr">
        <is>
          <t>Школы по возрасту: договоры до перехода на новую ставку</t>
        </is>
      </c>
      <c r="C19" s="126" t="n"/>
      <c r="D19" s="126" t="n"/>
      <c r="E19" s="126" t="n"/>
      <c r="F19" s="126" t="n"/>
      <c r="G19" s="126" t="n"/>
      <c r="H19" s="126" t="n"/>
      <c r="I19" s="126" t="n"/>
      <c r="J19" s="126" t="n"/>
      <c r="K19" s="126" t="n"/>
      <c r="L19" s="126" t="n"/>
      <c r="M19" s="126" t="n"/>
      <c r="N19" s="126" t="n"/>
      <c r="O19" s="126" t="n"/>
      <c r="P19" s="126" t="n"/>
      <c r="Q19" s="126" t="n"/>
      <c r="R19" s="126" t="n"/>
      <c r="S19" s="126" t="n"/>
      <c r="T19" s="126" t="n"/>
      <c r="U19" s="126" t="n"/>
      <c r="V19" s="126" t="n"/>
      <c r="W19" s="126" t="n"/>
      <c r="X19" s="126" t="n"/>
      <c r="Y19" s="126" t="n"/>
      <c r="Z19" s="126" t="n"/>
      <c r="AA19" s="126" t="n"/>
      <c r="AB19" s="126" t="n"/>
      <c r="AC19" s="126" t="n"/>
      <c r="AD19" s="126" t="n"/>
      <c r="AE19" s="126" t="n"/>
      <c r="AF19" s="126" t="n"/>
      <c r="AG19" s="126" t="n"/>
      <c r="AH19" s="126" t="n"/>
      <c r="AI19" s="126" t="n"/>
      <c r="AJ19" s="126" t="n"/>
      <c r="AK19" s="126" t="n"/>
      <c r="AL19" s="126" t="n"/>
      <c r="AM19" s="126" t="n"/>
      <c r="AN19" s="126" t="n"/>
      <c r="AO19" s="126" t="n"/>
      <c r="AP19" s="126" t="n"/>
      <c r="AQ19" s="126" t="n"/>
      <c r="AR19" s="126" t="n"/>
      <c r="AS19" s="126" t="n"/>
      <c r="AT19" s="126" t="n"/>
      <c r="AU19" s="126" t="n"/>
      <c r="AV19" s="126" t="n"/>
      <c r="AW19" s="126" t="n"/>
      <c r="AX19" s="126" t="n"/>
      <c r="AY19" s="126" t="n"/>
      <c r="AZ19" s="126" t="n"/>
      <c r="BA19" s="126" t="n"/>
      <c r="BB19" s="126" t="n"/>
      <c r="BC19" s="126" t="n"/>
      <c r="BD19" s="126" t="n"/>
      <c r="BE19" s="126" t="n"/>
      <c r="BF19" s="126" t="n"/>
      <c r="BG19" s="126" t="n"/>
      <c r="BH19" s="126" t="n"/>
      <c r="BI19" s="126" t="n"/>
      <c r="BJ19" s="126" t="n"/>
      <c r="BK19" s="126" t="n"/>
      <c r="BL19" s="126" t="n"/>
      <c r="BM19" s="126" t="n"/>
      <c r="BN19" s="126" t="n"/>
      <c r="BO19" s="126" t="n"/>
      <c r="BP19" s="126" t="n"/>
      <c r="BQ19" s="126" t="n"/>
      <c r="BR19" s="126" t="n"/>
      <c r="BS19" s="126" t="n"/>
      <c r="BT19" s="126" t="n"/>
      <c r="BU19" s="126" t="n"/>
      <c r="BV19" s="126" t="n"/>
      <c r="BW19" s="126" t="n"/>
      <c r="BX19" s="126" t="n"/>
      <c r="BY19" s="126" t="n"/>
    </row>
    <row r="20">
      <c r="B20" t="inlineStr">
        <is>
          <t>Открытия по старым договорам</t>
        </is>
      </c>
      <c r="C20" t="inlineStr">
        <is>
          <t>шт.</t>
        </is>
      </c>
      <c r="D20" s="127" t="inlineStr">
        <is>
          <t>Школа считается «старой», если франшизу купили до граничной даты</t>
        </is>
      </c>
      <c r="E20" s="128">
        <f>SUM(L20:W20)</f>
        <v/>
      </c>
      <c r="F20" s="128">
        <f>SUM(X20:AI20)</f>
        <v/>
      </c>
      <c r="G20" s="128">
        <f>SUM(AJ20:AU20)</f>
        <v/>
      </c>
      <c r="H20" s="128">
        <f>SUM(AV20:BG20)</f>
        <v/>
      </c>
      <c r="I20" s="128">
        <f>SUM(BH20:BS20)</f>
        <v/>
      </c>
      <c r="J20" s="13">
        <f>SUM(L20:BS20)</f>
        <v/>
      </c>
      <c r="L20" s="12">
        <f>IF(1-ЛагОткрытия&lt;1,0,IF(INDEX('03_Сеть'!$L7:$BY7,1,1-ЛагОткрытия)&lt;=ДатаLegacy,'03_Сеть'!L14,0))</f>
        <v/>
      </c>
      <c r="M20" s="12">
        <f>IF(2-ЛагОткрытия&lt;1,0,IF(INDEX('03_Сеть'!$L7:$BY7,1,2-ЛагОткрытия)&lt;=ДатаLegacy,'03_Сеть'!M14,0))</f>
        <v/>
      </c>
      <c r="N20" s="12">
        <f>IF(3-ЛагОткрытия&lt;1,0,IF(INDEX('03_Сеть'!$L7:$BY7,1,3-ЛагОткрытия)&lt;=ДатаLegacy,'03_Сеть'!N14,0))</f>
        <v/>
      </c>
      <c r="O20" s="12">
        <f>IF(4-ЛагОткрытия&lt;1,0,IF(INDEX('03_Сеть'!$L7:$BY7,1,4-ЛагОткрытия)&lt;=ДатаLegacy,'03_Сеть'!O14,0))</f>
        <v/>
      </c>
      <c r="P20" s="12">
        <f>IF(5-ЛагОткрытия&lt;1,0,IF(INDEX('03_Сеть'!$L7:$BY7,1,5-ЛагОткрытия)&lt;=ДатаLegacy,'03_Сеть'!P14,0))</f>
        <v/>
      </c>
      <c r="Q20" s="12">
        <f>IF(6-ЛагОткрытия&lt;1,0,IF(INDEX('03_Сеть'!$L7:$BY7,1,6-ЛагОткрытия)&lt;=ДатаLegacy,'03_Сеть'!Q14,0))</f>
        <v/>
      </c>
      <c r="R20" s="12">
        <f>IF(7-ЛагОткрытия&lt;1,0,IF(INDEX('03_Сеть'!$L7:$BY7,1,7-ЛагОткрытия)&lt;=ДатаLegacy,'03_Сеть'!R14,0))</f>
        <v/>
      </c>
      <c r="S20" s="12">
        <f>IF(8-ЛагОткрытия&lt;1,0,IF(INDEX('03_Сеть'!$L7:$BY7,1,8-ЛагОткрытия)&lt;=ДатаLegacy,'03_Сеть'!S14,0))</f>
        <v/>
      </c>
      <c r="T20" s="12">
        <f>IF(9-ЛагОткрытия&lt;1,0,IF(INDEX('03_Сеть'!$L7:$BY7,1,9-ЛагОткрытия)&lt;=ДатаLegacy,'03_Сеть'!T14,0))</f>
        <v/>
      </c>
      <c r="U20" s="12">
        <f>IF(10-ЛагОткрытия&lt;1,0,IF(INDEX('03_Сеть'!$L7:$BY7,1,10-ЛагОткрытия)&lt;=ДатаLegacy,'03_Сеть'!U14,0))</f>
        <v/>
      </c>
      <c r="V20" s="12">
        <f>IF(11-ЛагОткрытия&lt;1,0,IF(INDEX('03_Сеть'!$L7:$BY7,1,11-ЛагОткрытия)&lt;=ДатаLegacy,'03_Сеть'!V14,0))</f>
        <v/>
      </c>
      <c r="W20" s="12">
        <f>IF(12-ЛагОткрытия&lt;1,0,IF(INDEX('03_Сеть'!$L7:$BY7,1,12-ЛагОткрытия)&lt;=ДатаLegacy,'03_Сеть'!W14,0))</f>
        <v/>
      </c>
      <c r="X20" s="12">
        <f>IF(13-ЛагОткрытия&lt;1,0,IF(INDEX('03_Сеть'!$L7:$BY7,1,13-ЛагОткрытия)&lt;=ДатаLegacy,'03_Сеть'!X14,0))</f>
        <v/>
      </c>
      <c r="Y20" s="12">
        <f>IF(14-ЛагОткрытия&lt;1,0,IF(INDEX('03_Сеть'!$L7:$BY7,1,14-ЛагОткрытия)&lt;=ДатаLegacy,'03_Сеть'!Y14,0))</f>
        <v/>
      </c>
      <c r="Z20" s="12">
        <f>IF(15-ЛагОткрытия&lt;1,0,IF(INDEX('03_Сеть'!$L7:$BY7,1,15-ЛагОткрытия)&lt;=ДатаLegacy,'03_Сеть'!Z14,0))</f>
        <v/>
      </c>
      <c r="AA20" s="12">
        <f>IF(16-ЛагОткрытия&lt;1,0,IF(INDEX('03_Сеть'!$L7:$BY7,1,16-ЛагОткрытия)&lt;=ДатаLegacy,'03_Сеть'!AA14,0))</f>
        <v/>
      </c>
      <c r="AB20" s="12">
        <f>IF(17-ЛагОткрытия&lt;1,0,IF(INDEX('03_Сеть'!$L7:$BY7,1,17-ЛагОткрытия)&lt;=ДатаLegacy,'03_Сеть'!AB14,0))</f>
        <v/>
      </c>
      <c r="AC20" s="12">
        <f>IF(18-ЛагОткрытия&lt;1,0,IF(INDEX('03_Сеть'!$L7:$BY7,1,18-ЛагОткрытия)&lt;=ДатаLegacy,'03_Сеть'!AC14,0))</f>
        <v/>
      </c>
      <c r="AD20" s="12">
        <f>IF(19-ЛагОткрытия&lt;1,0,IF(INDEX('03_Сеть'!$L7:$BY7,1,19-ЛагОткрытия)&lt;=ДатаLegacy,'03_Сеть'!AD14,0))</f>
        <v/>
      </c>
      <c r="AE20" s="12">
        <f>IF(20-ЛагОткрытия&lt;1,0,IF(INDEX('03_Сеть'!$L7:$BY7,1,20-ЛагОткрытия)&lt;=ДатаLegacy,'03_Сеть'!AE14,0))</f>
        <v/>
      </c>
      <c r="AF20" s="12">
        <f>IF(21-ЛагОткрытия&lt;1,0,IF(INDEX('03_Сеть'!$L7:$BY7,1,21-ЛагОткрытия)&lt;=ДатаLegacy,'03_Сеть'!AF14,0))</f>
        <v/>
      </c>
      <c r="AG20" s="12">
        <f>IF(22-ЛагОткрытия&lt;1,0,IF(INDEX('03_Сеть'!$L7:$BY7,1,22-ЛагОткрытия)&lt;=ДатаLegacy,'03_Сеть'!AG14,0))</f>
        <v/>
      </c>
      <c r="AH20" s="12">
        <f>IF(23-ЛагОткрытия&lt;1,0,IF(INDEX('03_Сеть'!$L7:$BY7,1,23-ЛагОткрытия)&lt;=ДатаLegacy,'03_Сеть'!AH14,0))</f>
        <v/>
      </c>
      <c r="AI20" s="12">
        <f>IF(24-ЛагОткрытия&lt;1,0,IF(INDEX('03_Сеть'!$L7:$BY7,1,24-ЛагОткрытия)&lt;=ДатаLegacy,'03_Сеть'!AI14,0))</f>
        <v/>
      </c>
      <c r="AJ20" s="12">
        <f>IF(25-ЛагОткрытия&lt;1,0,IF(INDEX('03_Сеть'!$L7:$BY7,1,25-ЛагОткрытия)&lt;=ДатаLegacy,'03_Сеть'!AJ14,0))</f>
        <v/>
      </c>
      <c r="AK20" s="12">
        <f>IF(26-ЛагОткрытия&lt;1,0,IF(INDEX('03_Сеть'!$L7:$BY7,1,26-ЛагОткрытия)&lt;=ДатаLegacy,'03_Сеть'!AK14,0))</f>
        <v/>
      </c>
      <c r="AL20" s="12">
        <f>IF(27-ЛагОткрытия&lt;1,0,IF(INDEX('03_Сеть'!$L7:$BY7,1,27-ЛагОткрытия)&lt;=ДатаLegacy,'03_Сеть'!AL14,0))</f>
        <v/>
      </c>
      <c r="AM20" s="12">
        <f>IF(28-ЛагОткрытия&lt;1,0,IF(INDEX('03_Сеть'!$L7:$BY7,1,28-ЛагОткрытия)&lt;=ДатаLegacy,'03_Сеть'!AM14,0))</f>
        <v/>
      </c>
      <c r="AN20" s="12">
        <f>IF(29-ЛагОткрытия&lt;1,0,IF(INDEX('03_Сеть'!$L7:$BY7,1,29-ЛагОткрытия)&lt;=ДатаLegacy,'03_Сеть'!AN14,0))</f>
        <v/>
      </c>
      <c r="AO20" s="12">
        <f>IF(30-ЛагОткрытия&lt;1,0,IF(INDEX('03_Сеть'!$L7:$BY7,1,30-ЛагОткрытия)&lt;=ДатаLegacy,'03_Сеть'!AO14,0))</f>
        <v/>
      </c>
      <c r="AP20" s="12">
        <f>IF(31-ЛагОткрытия&lt;1,0,IF(INDEX('03_Сеть'!$L7:$BY7,1,31-ЛагОткрытия)&lt;=ДатаLegacy,'03_Сеть'!AP14,0))</f>
        <v/>
      </c>
      <c r="AQ20" s="12">
        <f>IF(32-ЛагОткрытия&lt;1,0,IF(INDEX('03_Сеть'!$L7:$BY7,1,32-ЛагОткрытия)&lt;=ДатаLegacy,'03_Сеть'!AQ14,0))</f>
        <v/>
      </c>
      <c r="AR20" s="12">
        <f>IF(33-ЛагОткрытия&lt;1,0,IF(INDEX('03_Сеть'!$L7:$BY7,1,33-ЛагОткрытия)&lt;=ДатаLegacy,'03_Сеть'!AR14,0))</f>
        <v/>
      </c>
      <c r="AS20" s="12">
        <f>IF(34-ЛагОткрытия&lt;1,0,IF(INDEX('03_Сеть'!$L7:$BY7,1,34-ЛагОткрытия)&lt;=ДатаLegacy,'03_Сеть'!AS14,0))</f>
        <v/>
      </c>
      <c r="AT20" s="12">
        <f>IF(35-ЛагОткрытия&lt;1,0,IF(INDEX('03_Сеть'!$L7:$BY7,1,35-ЛагОткрытия)&lt;=ДатаLegacy,'03_Сеть'!AT14,0))</f>
        <v/>
      </c>
      <c r="AU20" s="12">
        <f>IF(36-ЛагОткрытия&lt;1,0,IF(INDEX('03_Сеть'!$L7:$BY7,1,36-ЛагОткрытия)&lt;=ДатаLegacy,'03_Сеть'!AU14,0))</f>
        <v/>
      </c>
      <c r="AV20" s="12">
        <f>IF(37-ЛагОткрытия&lt;1,0,IF(INDEX('03_Сеть'!$L7:$BY7,1,37-ЛагОткрытия)&lt;=ДатаLegacy,'03_Сеть'!AV14,0))</f>
        <v/>
      </c>
      <c r="AW20" s="12">
        <f>IF(38-ЛагОткрытия&lt;1,0,IF(INDEX('03_Сеть'!$L7:$BY7,1,38-ЛагОткрытия)&lt;=ДатаLegacy,'03_Сеть'!AW14,0))</f>
        <v/>
      </c>
      <c r="AX20" s="12">
        <f>IF(39-ЛагОткрытия&lt;1,0,IF(INDEX('03_Сеть'!$L7:$BY7,1,39-ЛагОткрытия)&lt;=ДатаLegacy,'03_Сеть'!AX14,0))</f>
        <v/>
      </c>
      <c r="AY20" s="12">
        <f>IF(40-ЛагОткрытия&lt;1,0,IF(INDEX('03_Сеть'!$L7:$BY7,1,40-ЛагОткрытия)&lt;=ДатаLegacy,'03_Сеть'!AY14,0))</f>
        <v/>
      </c>
      <c r="AZ20" s="12">
        <f>IF(41-ЛагОткрытия&lt;1,0,IF(INDEX('03_Сеть'!$L7:$BY7,1,41-ЛагОткрытия)&lt;=ДатаLegacy,'03_Сеть'!AZ14,0))</f>
        <v/>
      </c>
      <c r="BA20" s="12">
        <f>IF(42-ЛагОткрытия&lt;1,0,IF(INDEX('03_Сеть'!$L7:$BY7,1,42-ЛагОткрытия)&lt;=ДатаLegacy,'03_Сеть'!BA14,0))</f>
        <v/>
      </c>
      <c r="BB20" s="12">
        <f>IF(43-ЛагОткрытия&lt;1,0,IF(INDEX('03_Сеть'!$L7:$BY7,1,43-ЛагОткрытия)&lt;=ДатаLegacy,'03_Сеть'!BB14,0))</f>
        <v/>
      </c>
      <c r="BC20" s="12">
        <f>IF(44-ЛагОткрытия&lt;1,0,IF(INDEX('03_Сеть'!$L7:$BY7,1,44-ЛагОткрытия)&lt;=ДатаLegacy,'03_Сеть'!BC14,0))</f>
        <v/>
      </c>
      <c r="BD20" s="12">
        <f>IF(45-ЛагОткрытия&lt;1,0,IF(INDEX('03_Сеть'!$L7:$BY7,1,45-ЛагОткрытия)&lt;=ДатаLegacy,'03_Сеть'!BD14,0))</f>
        <v/>
      </c>
      <c r="BE20" s="12">
        <f>IF(46-ЛагОткрытия&lt;1,0,IF(INDEX('03_Сеть'!$L7:$BY7,1,46-ЛагОткрытия)&lt;=ДатаLegacy,'03_Сеть'!BE14,0))</f>
        <v/>
      </c>
      <c r="BF20" s="12">
        <f>IF(47-ЛагОткрытия&lt;1,0,IF(INDEX('03_Сеть'!$L7:$BY7,1,47-ЛагОткрытия)&lt;=ДатаLegacy,'03_Сеть'!BF14,0))</f>
        <v/>
      </c>
      <c r="BG20" s="12">
        <f>IF(48-ЛагОткрытия&lt;1,0,IF(INDEX('03_Сеть'!$L7:$BY7,1,48-ЛагОткрытия)&lt;=ДатаLegacy,'03_Сеть'!BG14,0))</f>
        <v/>
      </c>
      <c r="BH20" s="12">
        <f>IF(49-ЛагОткрытия&lt;1,0,IF(INDEX('03_Сеть'!$L7:$BY7,1,49-ЛагОткрытия)&lt;=ДатаLegacy,'03_Сеть'!BH14,0))</f>
        <v/>
      </c>
      <c r="BI20" s="12">
        <f>IF(50-ЛагОткрытия&lt;1,0,IF(INDEX('03_Сеть'!$L7:$BY7,1,50-ЛагОткрытия)&lt;=ДатаLegacy,'03_Сеть'!BI14,0))</f>
        <v/>
      </c>
      <c r="BJ20" s="12">
        <f>IF(51-ЛагОткрытия&lt;1,0,IF(INDEX('03_Сеть'!$L7:$BY7,1,51-ЛагОткрытия)&lt;=ДатаLegacy,'03_Сеть'!BJ14,0))</f>
        <v/>
      </c>
      <c r="BK20" s="12">
        <f>IF(52-ЛагОткрытия&lt;1,0,IF(INDEX('03_Сеть'!$L7:$BY7,1,52-ЛагОткрытия)&lt;=ДатаLegacy,'03_Сеть'!BK14,0))</f>
        <v/>
      </c>
      <c r="BL20" s="12">
        <f>IF(53-ЛагОткрытия&lt;1,0,IF(INDEX('03_Сеть'!$L7:$BY7,1,53-ЛагОткрытия)&lt;=ДатаLegacy,'03_Сеть'!BL14,0))</f>
        <v/>
      </c>
      <c r="BM20" s="12">
        <f>IF(54-ЛагОткрытия&lt;1,0,IF(INDEX('03_Сеть'!$L7:$BY7,1,54-ЛагОткрытия)&lt;=ДатаLegacy,'03_Сеть'!BM14,0))</f>
        <v/>
      </c>
      <c r="BN20" s="12">
        <f>IF(55-ЛагОткрытия&lt;1,0,IF(INDEX('03_Сеть'!$L7:$BY7,1,55-ЛагОткрытия)&lt;=ДатаLegacy,'03_Сеть'!BN14,0))</f>
        <v/>
      </c>
      <c r="BO20" s="12">
        <f>IF(56-ЛагОткрытия&lt;1,0,IF(INDEX('03_Сеть'!$L7:$BY7,1,56-ЛагОткрытия)&lt;=ДатаLegacy,'03_Сеть'!BO14,0))</f>
        <v/>
      </c>
      <c r="BP20" s="12">
        <f>IF(57-ЛагОткрытия&lt;1,0,IF(INDEX('03_Сеть'!$L7:$BY7,1,57-ЛагОткрытия)&lt;=ДатаLegacy,'03_Сеть'!BP14,0))</f>
        <v/>
      </c>
      <c r="BQ20" s="12">
        <f>IF(58-ЛагОткрытия&lt;1,0,IF(INDEX('03_Сеть'!$L7:$BY7,1,58-ЛагОткрытия)&lt;=ДатаLegacy,'03_Сеть'!BQ14,0))</f>
        <v/>
      </c>
      <c r="BR20" s="12">
        <f>IF(59-ЛагОткрытия&lt;1,0,IF(INDEX('03_Сеть'!$L7:$BY7,1,59-ЛагОткрытия)&lt;=ДатаLegacy,'03_Сеть'!BR14,0))</f>
        <v/>
      </c>
      <c r="BS20" s="12">
        <f>IF(60-ЛагОткрытия&lt;1,0,IF(INDEX('03_Сеть'!$L7:$BY7,1,60-ЛагОткрытия)&lt;=ДатаLegacy,'03_Сеть'!BS14,0))</f>
        <v/>
      </c>
      <c r="BT20" s="12">
        <f>IF(61-ЛагОткрытия&lt;1,0,IF(INDEX('03_Сеть'!$L7:$BY7,1,61-ЛагОткрытия)&lt;=ДатаLegacy,'03_Сеть'!BT14,0))</f>
        <v/>
      </c>
      <c r="BU20" s="12">
        <f>IF(62-ЛагОткрытия&lt;1,0,IF(INDEX('03_Сеть'!$L7:$BY7,1,62-ЛагОткрытия)&lt;=ДатаLegacy,'03_Сеть'!BU14,0))</f>
        <v/>
      </c>
      <c r="BV20" s="12">
        <f>IF(63-ЛагОткрытия&lt;1,0,IF(INDEX('03_Сеть'!$L7:$BY7,1,63-ЛагОткрытия)&lt;=ДатаLegacy,'03_Сеть'!BV14,0))</f>
        <v/>
      </c>
      <c r="BW20" s="12">
        <f>IF(64-ЛагОткрытия&lt;1,0,IF(INDEX('03_Сеть'!$L7:$BY7,1,64-ЛагОткрытия)&lt;=ДатаLegacy,'03_Сеть'!BW14,0))</f>
        <v/>
      </c>
      <c r="BX20" s="12">
        <f>IF(65-ЛагОткрытия&lt;1,0,IF(INDEX('03_Сеть'!$L7:$BY7,1,65-ЛагОткрытия)&lt;=ДатаLegacy,'03_Сеть'!BX14,0))</f>
        <v/>
      </c>
      <c r="BY20" s="12">
        <f>IF(66-ЛагОткрытия&lt;1,0,IF(INDEX('03_Сеть'!$L7:$BY7,1,66-ЛагОткрытия)&lt;=ДатаLegacy,'03_Сеть'!BY14,0))</f>
        <v/>
      </c>
    </row>
    <row r="21">
      <c r="B21" t="inlineStr">
        <is>
          <t>1 мес.</t>
        </is>
      </c>
      <c r="C21" t="inlineStr">
        <is>
          <t>шт.</t>
        </is>
      </c>
      <c r="D21" s="127" t="inlineStr">
        <is>
          <t>В колонках лет — значение на конец года, в «Итого» — на конец пятого года. Это остаток, а не сумма.</t>
        </is>
      </c>
      <c r="E21" s="128">
        <f>W21</f>
        <v/>
      </c>
      <c r="F21" s="128">
        <f>AI21</f>
        <v/>
      </c>
      <c r="G21" s="128">
        <f>AU21</f>
        <v/>
      </c>
      <c r="H21" s="128">
        <f>BG21</f>
        <v/>
      </c>
      <c r="I21" s="128">
        <f>BS21</f>
        <v/>
      </c>
      <c r="J21" s="13">
        <f>BS21</f>
        <v/>
      </c>
      <c r="L21" s="12">
        <f>L20</f>
        <v/>
      </c>
      <c r="M21" s="12">
        <f>M20</f>
        <v/>
      </c>
      <c r="N21" s="12">
        <f>N20</f>
        <v/>
      </c>
      <c r="O21" s="12">
        <f>O20</f>
        <v/>
      </c>
      <c r="P21" s="12">
        <f>P20</f>
        <v/>
      </c>
      <c r="Q21" s="12">
        <f>Q20</f>
        <v/>
      </c>
      <c r="R21" s="12">
        <f>R20</f>
        <v/>
      </c>
      <c r="S21" s="12">
        <f>S20</f>
        <v/>
      </c>
      <c r="T21" s="12">
        <f>T20</f>
        <v/>
      </c>
      <c r="U21" s="12">
        <f>U20</f>
        <v/>
      </c>
      <c r="V21" s="12">
        <f>V20</f>
        <v/>
      </c>
      <c r="W21" s="12">
        <f>W20</f>
        <v/>
      </c>
      <c r="X21" s="12">
        <f>X20</f>
        <v/>
      </c>
      <c r="Y21" s="12">
        <f>Y20</f>
        <v/>
      </c>
      <c r="Z21" s="12">
        <f>Z20</f>
        <v/>
      </c>
      <c r="AA21" s="12">
        <f>AA20</f>
        <v/>
      </c>
      <c r="AB21" s="12">
        <f>AB20</f>
        <v/>
      </c>
      <c r="AC21" s="12">
        <f>AC20</f>
        <v/>
      </c>
      <c r="AD21" s="12">
        <f>AD20</f>
        <v/>
      </c>
      <c r="AE21" s="12">
        <f>AE20</f>
        <v/>
      </c>
      <c r="AF21" s="12">
        <f>AF20</f>
        <v/>
      </c>
      <c r="AG21" s="12">
        <f>AG20</f>
        <v/>
      </c>
      <c r="AH21" s="12">
        <f>AH20</f>
        <v/>
      </c>
      <c r="AI21" s="12">
        <f>AI20</f>
        <v/>
      </c>
      <c r="AJ21" s="12">
        <f>AJ20</f>
        <v/>
      </c>
      <c r="AK21" s="12">
        <f>AK20</f>
        <v/>
      </c>
      <c r="AL21" s="12">
        <f>AL20</f>
        <v/>
      </c>
      <c r="AM21" s="12">
        <f>AM20</f>
        <v/>
      </c>
      <c r="AN21" s="12">
        <f>AN20</f>
        <v/>
      </c>
      <c r="AO21" s="12">
        <f>AO20</f>
        <v/>
      </c>
      <c r="AP21" s="12">
        <f>AP20</f>
        <v/>
      </c>
      <c r="AQ21" s="12">
        <f>AQ20</f>
        <v/>
      </c>
      <c r="AR21" s="12">
        <f>AR20</f>
        <v/>
      </c>
      <c r="AS21" s="12">
        <f>AS20</f>
        <v/>
      </c>
      <c r="AT21" s="12">
        <f>AT20</f>
        <v/>
      </c>
      <c r="AU21" s="12">
        <f>AU20</f>
        <v/>
      </c>
      <c r="AV21" s="12">
        <f>AV20</f>
        <v/>
      </c>
      <c r="AW21" s="12">
        <f>AW20</f>
        <v/>
      </c>
      <c r="AX21" s="12">
        <f>AX20</f>
        <v/>
      </c>
      <c r="AY21" s="12">
        <f>AY20</f>
        <v/>
      </c>
      <c r="AZ21" s="12">
        <f>AZ20</f>
        <v/>
      </c>
      <c r="BA21" s="12">
        <f>BA20</f>
        <v/>
      </c>
      <c r="BB21" s="12">
        <f>BB20</f>
        <v/>
      </c>
      <c r="BC21" s="12">
        <f>BC20</f>
        <v/>
      </c>
      <c r="BD21" s="12">
        <f>BD20</f>
        <v/>
      </c>
      <c r="BE21" s="12">
        <f>BE20</f>
        <v/>
      </c>
      <c r="BF21" s="12">
        <f>BF20</f>
        <v/>
      </c>
      <c r="BG21" s="12">
        <f>BG20</f>
        <v/>
      </c>
      <c r="BH21" s="12">
        <f>BH20</f>
        <v/>
      </c>
      <c r="BI21" s="12">
        <f>BI20</f>
        <v/>
      </c>
      <c r="BJ21" s="12">
        <f>BJ20</f>
        <v/>
      </c>
      <c r="BK21" s="12">
        <f>BK20</f>
        <v/>
      </c>
      <c r="BL21" s="12">
        <f>BL20</f>
        <v/>
      </c>
      <c r="BM21" s="12">
        <f>BM20</f>
        <v/>
      </c>
      <c r="BN21" s="12">
        <f>BN20</f>
        <v/>
      </c>
      <c r="BO21" s="12">
        <f>BO20</f>
        <v/>
      </c>
      <c r="BP21" s="12">
        <f>BP20</f>
        <v/>
      </c>
      <c r="BQ21" s="12">
        <f>BQ20</f>
        <v/>
      </c>
      <c r="BR21" s="12">
        <f>BR20</f>
        <v/>
      </c>
      <c r="BS21" s="12">
        <f>BS20</f>
        <v/>
      </c>
      <c r="BT21" s="12">
        <f>BT20</f>
        <v/>
      </c>
      <c r="BU21" s="12">
        <f>BU20</f>
        <v/>
      </c>
      <c r="BV21" s="12">
        <f>BV20</f>
        <v/>
      </c>
      <c r="BW21" s="12">
        <f>BW20</f>
        <v/>
      </c>
      <c r="BX21" s="12">
        <f>BX20</f>
        <v/>
      </c>
      <c r="BY21" s="12">
        <f>BY20</f>
        <v/>
      </c>
    </row>
    <row r="22">
      <c r="B22" t="inlineStr">
        <is>
          <t>2 мес.</t>
        </is>
      </c>
      <c r="C22" t="inlineStr">
        <is>
          <t>шт.</t>
        </is>
      </c>
      <c r="D22" s="127" t="inlineStr">
        <is>
          <t>В колонках лет — значение на конец года, в «Итого» — на конец пятого года. Это остаток, а не сумма.</t>
        </is>
      </c>
      <c r="E22" s="128">
        <f>W22</f>
        <v/>
      </c>
      <c r="F22" s="128">
        <f>AI22</f>
        <v/>
      </c>
      <c r="G22" s="128">
        <f>AU22</f>
        <v/>
      </c>
      <c r="H22" s="128">
        <f>BG22</f>
        <v/>
      </c>
      <c r="I22" s="128">
        <f>BS22</f>
        <v/>
      </c>
      <c r="J22" s="13">
        <f>BS22</f>
        <v/>
      </c>
      <c r="L22" s="12">
        <f>0</f>
        <v/>
      </c>
      <c r="M22" s="12">
        <f>L21*КоэффСохранения</f>
        <v/>
      </c>
      <c r="N22" s="12">
        <f>M21*КоэффСохранения</f>
        <v/>
      </c>
      <c r="O22" s="12">
        <f>N21*КоэффСохранения</f>
        <v/>
      </c>
      <c r="P22" s="12">
        <f>O21*КоэффСохранения</f>
        <v/>
      </c>
      <c r="Q22" s="12">
        <f>P21*КоэффСохранения</f>
        <v/>
      </c>
      <c r="R22" s="12">
        <f>Q21*КоэффСохранения</f>
        <v/>
      </c>
      <c r="S22" s="12">
        <f>R21*КоэффСохранения</f>
        <v/>
      </c>
      <c r="T22" s="12">
        <f>S21*КоэффСохранения</f>
        <v/>
      </c>
      <c r="U22" s="12">
        <f>T21*КоэффСохранения</f>
        <v/>
      </c>
      <c r="V22" s="12">
        <f>U21*КоэффСохранения</f>
        <v/>
      </c>
      <c r="W22" s="12">
        <f>V21*КоэффСохранения</f>
        <v/>
      </c>
      <c r="X22" s="12">
        <f>W21*КоэффСохранения</f>
        <v/>
      </c>
      <c r="Y22" s="12">
        <f>X21*КоэффСохранения</f>
        <v/>
      </c>
      <c r="Z22" s="12">
        <f>Y21*КоэффСохранения</f>
        <v/>
      </c>
      <c r="AA22" s="12">
        <f>Z21*КоэффСохранения</f>
        <v/>
      </c>
      <c r="AB22" s="12">
        <f>AA21*КоэффСохранения</f>
        <v/>
      </c>
      <c r="AC22" s="12">
        <f>AB21*КоэффСохранения</f>
        <v/>
      </c>
      <c r="AD22" s="12">
        <f>AC21*КоэффСохранения</f>
        <v/>
      </c>
      <c r="AE22" s="12">
        <f>AD21*КоэффСохранения</f>
        <v/>
      </c>
      <c r="AF22" s="12">
        <f>AE21*КоэффСохранения</f>
        <v/>
      </c>
      <c r="AG22" s="12">
        <f>AF21*КоэффСохранения</f>
        <v/>
      </c>
      <c r="AH22" s="12">
        <f>AG21*КоэффСохранения</f>
        <v/>
      </c>
      <c r="AI22" s="12">
        <f>AH21*КоэффСохранения</f>
        <v/>
      </c>
      <c r="AJ22" s="12">
        <f>AI21*КоэффСохранения</f>
        <v/>
      </c>
      <c r="AK22" s="12">
        <f>AJ21*КоэффСохранения</f>
        <v/>
      </c>
      <c r="AL22" s="12">
        <f>AK21*КоэффСохранения</f>
        <v/>
      </c>
      <c r="AM22" s="12">
        <f>AL21*КоэффСохранения</f>
        <v/>
      </c>
      <c r="AN22" s="12">
        <f>AM21*КоэффСохранения</f>
        <v/>
      </c>
      <c r="AO22" s="12">
        <f>AN21*КоэффСохранения</f>
        <v/>
      </c>
      <c r="AP22" s="12">
        <f>AO21*КоэффСохранения</f>
        <v/>
      </c>
      <c r="AQ22" s="12">
        <f>AP21*КоэффСохранения</f>
        <v/>
      </c>
      <c r="AR22" s="12">
        <f>AQ21*КоэффСохранения</f>
        <v/>
      </c>
      <c r="AS22" s="12">
        <f>AR21*КоэффСохранения</f>
        <v/>
      </c>
      <c r="AT22" s="12">
        <f>AS21*КоэффСохранения</f>
        <v/>
      </c>
      <c r="AU22" s="12">
        <f>AT21*КоэффСохранения</f>
        <v/>
      </c>
      <c r="AV22" s="12">
        <f>AU21*КоэффСохранения</f>
        <v/>
      </c>
      <c r="AW22" s="12">
        <f>AV21*КоэффСохранения</f>
        <v/>
      </c>
      <c r="AX22" s="12">
        <f>AW21*КоэффСохранения</f>
        <v/>
      </c>
      <c r="AY22" s="12">
        <f>AX21*КоэффСохранения</f>
        <v/>
      </c>
      <c r="AZ22" s="12">
        <f>AY21*КоэффСохранения</f>
        <v/>
      </c>
      <c r="BA22" s="12">
        <f>AZ21*КоэффСохранения</f>
        <v/>
      </c>
      <c r="BB22" s="12">
        <f>BA21*КоэффСохранения</f>
        <v/>
      </c>
      <c r="BC22" s="12">
        <f>BB21*КоэффСохранения</f>
        <v/>
      </c>
      <c r="BD22" s="12">
        <f>BC21*КоэффСохранения</f>
        <v/>
      </c>
      <c r="BE22" s="12">
        <f>BD21*КоэффСохранения</f>
        <v/>
      </c>
      <c r="BF22" s="12">
        <f>BE21*КоэффСохранения</f>
        <v/>
      </c>
      <c r="BG22" s="12">
        <f>BF21*КоэффСохранения</f>
        <v/>
      </c>
      <c r="BH22" s="12">
        <f>BG21*КоэффСохранения</f>
        <v/>
      </c>
      <c r="BI22" s="12">
        <f>BH21*КоэффСохранения</f>
        <v/>
      </c>
      <c r="BJ22" s="12">
        <f>BI21*КоэффСохранения</f>
        <v/>
      </c>
      <c r="BK22" s="12">
        <f>BJ21*КоэффСохранения</f>
        <v/>
      </c>
      <c r="BL22" s="12">
        <f>BK21*КоэффСохранения</f>
        <v/>
      </c>
      <c r="BM22" s="12">
        <f>BL21*КоэффСохранения</f>
        <v/>
      </c>
      <c r="BN22" s="12">
        <f>BM21*КоэффСохранения</f>
        <v/>
      </c>
      <c r="BO22" s="12">
        <f>BN21*КоэффСохранения</f>
        <v/>
      </c>
      <c r="BP22" s="12">
        <f>BO21*КоэффСохранения</f>
        <v/>
      </c>
      <c r="BQ22" s="12">
        <f>BP21*КоэффСохранения</f>
        <v/>
      </c>
      <c r="BR22" s="12">
        <f>BQ21*КоэффСохранения</f>
        <v/>
      </c>
      <c r="BS22" s="12">
        <f>BR21*КоэффСохранения</f>
        <v/>
      </c>
      <c r="BT22" s="12">
        <f>BS21*КоэффСохранения</f>
        <v/>
      </c>
      <c r="BU22" s="12">
        <f>BT21*КоэффСохранения</f>
        <v/>
      </c>
      <c r="BV22" s="12">
        <f>BU21*КоэффСохранения</f>
        <v/>
      </c>
      <c r="BW22" s="12">
        <f>BV21*КоэффСохранения</f>
        <v/>
      </c>
      <c r="BX22" s="12">
        <f>BW21*КоэффСохранения</f>
        <v/>
      </c>
      <c r="BY22" s="12">
        <f>BX21*КоэффСохранения</f>
        <v/>
      </c>
    </row>
    <row r="23">
      <c r="B23" t="inlineStr">
        <is>
          <t>3 мес.</t>
        </is>
      </c>
      <c r="C23" t="inlineStr">
        <is>
          <t>шт.</t>
        </is>
      </c>
      <c r="D23" s="127" t="inlineStr">
        <is>
          <t>В колонках лет — значение на конец года, в «Итого» — на конец пятого года. Это остаток, а не сумма.</t>
        </is>
      </c>
      <c r="E23" s="128">
        <f>W23</f>
        <v/>
      </c>
      <c r="F23" s="128">
        <f>AI23</f>
        <v/>
      </c>
      <c r="G23" s="128">
        <f>AU23</f>
        <v/>
      </c>
      <c r="H23" s="128">
        <f>BG23</f>
        <v/>
      </c>
      <c r="I23" s="128">
        <f>BS23</f>
        <v/>
      </c>
      <c r="J23" s="13">
        <f>BS23</f>
        <v/>
      </c>
      <c r="L23" s="12">
        <f>0</f>
        <v/>
      </c>
      <c r="M23" s="12">
        <f>L22*КоэффСохранения</f>
        <v/>
      </c>
      <c r="N23" s="12">
        <f>M22*КоэффСохранения</f>
        <v/>
      </c>
      <c r="O23" s="12">
        <f>N22*КоэффСохранения</f>
        <v/>
      </c>
      <c r="P23" s="12">
        <f>O22*КоэффСохранения</f>
        <v/>
      </c>
      <c r="Q23" s="12">
        <f>P22*КоэффСохранения</f>
        <v/>
      </c>
      <c r="R23" s="12">
        <f>Q22*КоэффСохранения</f>
        <v/>
      </c>
      <c r="S23" s="12">
        <f>R22*КоэффСохранения</f>
        <v/>
      </c>
      <c r="T23" s="12">
        <f>S22*КоэффСохранения</f>
        <v/>
      </c>
      <c r="U23" s="12">
        <f>T22*КоэффСохранения</f>
        <v/>
      </c>
      <c r="V23" s="12">
        <f>U22*КоэффСохранения</f>
        <v/>
      </c>
      <c r="W23" s="12">
        <f>V22*КоэффСохранения</f>
        <v/>
      </c>
      <c r="X23" s="12">
        <f>W22*КоэффСохранения</f>
        <v/>
      </c>
      <c r="Y23" s="12">
        <f>X22*КоэффСохранения</f>
        <v/>
      </c>
      <c r="Z23" s="12">
        <f>Y22*КоэффСохранения</f>
        <v/>
      </c>
      <c r="AA23" s="12">
        <f>Z22*КоэффСохранения</f>
        <v/>
      </c>
      <c r="AB23" s="12">
        <f>AA22*КоэффСохранения</f>
        <v/>
      </c>
      <c r="AC23" s="12">
        <f>AB22*КоэффСохранения</f>
        <v/>
      </c>
      <c r="AD23" s="12">
        <f>AC22*КоэффСохранения</f>
        <v/>
      </c>
      <c r="AE23" s="12">
        <f>AD22*КоэффСохранения</f>
        <v/>
      </c>
      <c r="AF23" s="12">
        <f>AE22*КоэффСохранения</f>
        <v/>
      </c>
      <c r="AG23" s="12">
        <f>AF22*КоэффСохранения</f>
        <v/>
      </c>
      <c r="AH23" s="12">
        <f>AG22*КоэффСохранения</f>
        <v/>
      </c>
      <c r="AI23" s="12">
        <f>AH22*КоэффСохранения</f>
        <v/>
      </c>
      <c r="AJ23" s="12">
        <f>AI22*КоэффСохранения</f>
        <v/>
      </c>
      <c r="AK23" s="12">
        <f>AJ22*КоэффСохранения</f>
        <v/>
      </c>
      <c r="AL23" s="12">
        <f>AK22*КоэффСохранения</f>
        <v/>
      </c>
      <c r="AM23" s="12">
        <f>AL22*КоэффСохранения</f>
        <v/>
      </c>
      <c r="AN23" s="12">
        <f>AM22*КоэффСохранения</f>
        <v/>
      </c>
      <c r="AO23" s="12">
        <f>AN22*КоэффСохранения</f>
        <v/>
      </c>
      <c r="AP23" s="12">
        <f>AO22*КоэффСохранения</f>
        <v/>
      </c>
      <c r="AQ23" s="12">
        <f>AP22*КоэффСохранения</f>
        <v/>
      </c>
      <c r="AR23" s="12">
        <f>AQ22*КоэффСохранения</f>
        <v/>
      </c>
      <c r="AS23" s="12">
        <f>AR22*КоэффСохранения</f>
        <v/>
      </c>
      <c r="AT23" s="12">
        <f>AS22*КоэффСохранения</f>
        <v/>
      </c>
      <c r="AU23" s="12">
        <f>AT22*КоэффСохранения</f>
        <v/>
      </c>
      <c r="AV23" s="12">
        <f>AU22*КоэффСохранения</f>
        <v/>
      </c>
      <c r="AW23" s="12">
        <f>AV22*КоэффСохранения</f>
        <v/>
      </c>
      <c r="AX23" s="12">
        <f>AW22*КоэффСохранения</f>
        <v/>
      </c>
      <c r="AY23" s="12">
        <f>AX22*КоэффСохранения</f>
        <v/>
      </c>
      <c r="AZ23" s="12">
        <f>AY22*КоэффСохранения</f>
        <v/>
      </c>
      <c r="BA23" s="12">
        <f>AZ22*КоэффСохранения</f>
        <v/>
      </c>
      <c r="BB23" s="12">
        <f>BA22*КоэффСохранения</f>
        <v/>
      </c>
      <c r="BC23" s="12">
        <f>BB22*КоэффСохранения</f>
        <v/>
      </c>
      <c r="BD23" s="12">
        <f>BC22*КоэффСохранения</f>
        <v/>
      </c>
      <c r="BE23" s="12">
        <f>BD22*КоэффСохранения</f>
        <v/>
      </c>
      <c r="BF23" s="12">
        <f>BE22*КоэффСохранения</f>
        <v/>
      </c>
      <c r="BG23" s="12">
        <f>BF22*КоэффСохранения</f>
        <v/>
      </c>
      <c r="BH23" s="12">
        <f>BG22*КоэффСохранения</f>
        <v/>
      </c>
      <c r="BI23" s="12">
        <f>BH22*КоэффСохранения</f>
        <v/>
      </c>
      <c r="BJ23" s="12">
        <f>BI22*КоэффСохранения</f>
        <v/>
      </c>
      <c r="BK23" s="12">
        <f>BJ22*КоэффСохранения</f>
        <v/>
      </c>
      <c r="BL23" s="12">
        <f>BK22*КоэффСохранения</f>
        <v/>
      </c>
      <c r="BM23" s="12">
        <f>BL22*КоэффСохранения</f>
        <v/>
      </c>
      <c r="BN23" s="12">
        <f>BM22*КоэффСохранения</f>
        <v/>
      </c>
      <c r="BO23" s="12">
        <f>BN22*КоэффСохранения</f>
        <v/>
      </c>
      <c r="BP23" s="12">
        <f>BO22*КоэффСохранения</f>
        <v/>
      </c>
      <c r="BQ23" s="12">
        <f>BP22*КоэффСохранения</f>
        <v/>
      </c>
      <c r="BR23" s="12">
        <f>BQ22*КоэффСохранения</f>
        <v/>
      </c>
      <c r="BS23" s="12">
        <f>BR22*КоэффСохранения</f>
        <v/>
      </c>
      <c r="BT23" s="12">
        <f>BS22*КоэффСохранения</f>
        <v/>
      </c>
      <c r="BU23" s="12">
        <f>BT22*КоэффСохранения</f>
        <v/>
      </c>
      <c r="BV23" s="12">
        <f>BU22*КоэффСохранения</f>
        <v/>
      </c>
      <c r="BW23" s="12">
        <f>BV22*КоэффСохранения</f>
        <v/>
      </c>
      <c r="BX23" s="12">
        <f>BW22*КоэффСохранения</f>
        <v/>
      </c>
      <c r="BY23" s="12">
        <f>BX22*КоэффСохранения</f>
        <v/>
      </c>
    </row>
    <row r="24">
      <c r="B24" t="inlineStr">
        <is>
          <t>4 мес.</t>
        </is>
      </c>
      <c r="C24" t="inlineStr">
        <is>
          <t>шт.</t>
        </is>
      </c>
      <c r="D24" s="127" t="inlineStr">
        <is>
          <t>В колонках лет — значение на конец года, в «Итого» — на конец пятого года. Это остаток, а не сумма.</t>
        </is>
      </c>
      <c r="E24" s="128">
        <f>W24</f>
        <v/>
      </c>
      <c r="F24" s="128">
        <f>AI24</f>
        <v/>
      </c>
      <c r="G24" s="128">
        <f>AU24</f>
        <v/>
      </c>
      <c r="H24" s="128">
        <f>BG24</f>
        <v/>
      </c>
      <c r="I24" s="128">
        <f>BS24</f>
        <v/>
      </c>
      <c r="J24" s="13">
        <f>BS24</f>
        <v/>
      </c>
      <c r="L24" s="12">
        <f>0</f>
        <v/>
      </c>
      <c r="M24" s="12">
        <f>L23*КоэффСохранения</f>
        <v/>
      </c>
      <c r="N24" s="12">
        <f>M23*КоэффСохранения</f>
        <v/>
      </c>
      <c r="O24" s="12">
        <f>N23*КоэффСохранения</f>
        <v/>
      </c>
      <c r="P24" s="12">
        <f>O23*КоэффСохранения</f>
        <v/>
      </c>
      <c r="Q24" s="12">
        <f>P23*КоэффСохранения</f>
        <v/>
      </c>
      <c r="R24" s="12">
        <f>Q23*КоэффСохранения</f>
        <v/>
      </c>
      <c r="S24" s="12">
        <f>R23*КоэффСохранения</f>
        <v/>
      </c>
      <c r="T24" s="12">
        <f>S23*КоэффСохранения</f>
        <v/>
      </c>
      <c r="U24" s="12">
        <f>T23*КоэффСохранения</f>
        <v/>
      </c>
      <c r="V24" s="12">
        <f>U23*КоэффСохранения</f>
        <v/>
      </c>
      <c r="W24" s="12">
        <f>V23*КоэффСохранения</f>
        <v/>
      </c>
      <c r="X24" s="12">
        <f>W23*КоэффСохранения</f>
        <v/>
      </c>
      <c r="Y24" s="12">
        <f>X23*КоэффСохранения</f>
        <v/>
      </c>
      <c r="Z24" s="12">
        <f>Y23*КоэффСохранения</f>
        <v/>
      </c>
      <c r="AA24" s="12">
        <f>Z23*КоэффСохранения</f>
        <v/>
      </c>
      <c r="AB24" s="12">
        <f>AA23*КоэффСохранения</f>
        <v/>
      </c>
      <c r="AC24" s="12">
        <f>AB23*КоэффСохранения</f>
        <v/>
      </c>
      <c r="AD24" s="12">
        <f>AC23*КоэффСохранения</f>
        <v/>
      </c>
      <c r="AE24" s="12">
        <f>AD23*КоэффСохранения</f>
        <v/>
      </c>
      <c r="AF24" s="12">
        <f>AE23*КоэффСохранения</f>
        <v/>
      </c>
      <c r="AG24" s="12">
        <f>AF23*КоэффСохранения</f>
        <v/>
      </c>
      <c r="AH24" s="12">
        <f>AG23*КоэффСохранения</f>
        <v/>
      </c>
      <c r="AI24" s="12">
        <f>AH23*КоэффСохранения</f>
        <v/>
      </c>
      <c r="AJ24" s="12">
        <f>AI23*КоэффСохранения</f>
        <v/>
      </c>
      <c r="AK24" s="12">
        <f>AJ23*КоэффСохранения</f>
        <v/>
      </c>
      <c r="AL24" s="12">
        <f>AK23*КоэффСохранения</f>
        <v/>
      </c>
      <c r="AM24" s="12">
        <f>AL23*КоэффСохранения</f>
        <v/>
      </c>
      <c r="AN24" s="12">
        <f>AM23*КоэффСохранения</f>
        <v/>
      </c>
      <c r="AO24" s="12">
        <f>AN23*КоэффСохранения</f>
        <v/>
      </c>
      <c r="AP24" s="12">
        <f>AO23*КоэффСохранения</f>
        <v/>
      </c>
      <c r="AQ24" s="12">
        <f>AP23*КоэффСохранения</f>
        <v/>
      </c>
      <c r="AR24" s="12">
        <f>AQ23*КоэффСохранения</f>
        <v/>
      </c>
      <c r="AS24" s="12">
        <f>AR23*КоэффСохранения</f>
        <v/>
      </c>
      <c r="AT24" s="12">
        <f>AS23*КоэффСохранения</f>
        <v/>
      </c>
      <c r="AU24" s="12">
        <f>AT23*КоэффСохранения</f>
        <v/>
      </c>
      <c r="AV24" s="12">
        <f>AU23*КоэффСохранения</f>
        <v/>
      </c>
      <c r="AW24" s="12">
        <f>AV23*КоэффСохранения</f>
        <v/>
      </c>
      <c r="AX24" s="12">
        <f>AW23*КоэффСохранения</f>
        <v/>
      </c>
      <c r="AY24" s="12">
        <f>AX23*КоэффСохранения</f>
        <v/>
      </c>
      <c r="AZ24" s="12">
        <f>AY23*КоэффСохранения</f>
        <v/>
      </c>
      <c r="BA24" s="12">
        <f>AZ23*КоэффСохранения</f>
        <v/>
      </c>
      <c r="BB24" s="12">
        <f>BA23*КоэффСохранения</f>
        <v/>
      </c>
      <c r="BC24" s="12">
        <f>BB23*КоэффСохранения</f>
        <v/>
      </c>
      <c r="BD24" s="12">
        <f>BC23*КоэффСохранения</f>
        <v/>
      </c>
      <c r="BE24" s="12">
        <f>BD23*КоэффСохранения</f>
        <v/>
      </c>
      <c r="BF24" s="12">
        <f>BE23*КоэффСохранения</f>
        <v/>
      </c>
      <c r="BG24" s="12">
        <f>BF23*КоэффСохранения</f>
        <v/>
      </c>
      <c r="BH24" s="12">
        <f>BG23*КоэффСохранения</f>
        <v/>
      </c>
      <c r="BI24" s="12">
        <f>BH23*КоэффСохранения</f>
        <v/>
      </c>
      <c r="BJ24" s="12">
        <f>BI23*КоэффСохранения</f>
        <v/>
      </c>
      <c r="BK24" s="12">
        <f>BJ23*КоэффСохранения</f>
        <v/>
      </c>
      <c r="BL24" s="12">
        <f>BK23*КоэффСохранения</f>
        <v/>
      </c>
      <c r="BM24" s="12">
        <f>BL23*КоэффСохранения</f>
        <v/>
      </c>
      <c r="BN24" s="12">
        <f>BM23*КоэффСохранения</f>
        <v/>
      </c>
      <c r="BO24" s="12">
        <f>BN23*КоэффСохранения</f>
        <v/>
      </c>
      <c r="BP24" s="12">
        <f>BO23*КоэффСохранения</f>
        <v/>
      </c>
      <c r="BQ24" s="12">
        <f>BP23*КоэффСохранения</f>
        <v/>
      </c>
      <c r="BR24" s="12">
        <f>BQ23*КоэффСохранения</f>
        <v/>
      </c>
      <c r="BS24" s="12">
        <f>BR23*КоэффСохранения</f>
        <v/>
      </c>
      <c r="BT24" s="12">
        <f>BS23*КоэффСохранения</f>
        <v/>
      </c>
      <c r="BU24" s="12">
        <f>BT23*КоэффСохранения</f>
        <v/>
      </c>
      <c r="BV24" s="12">
        <f>BU23*КоэффСохранения</f>
        <v/>
      </c>
      <c r="BW24" s="12">
        <f>BV23*КоэффСохранения</f>
        <v/>
      </c>
      <c r="BX24" s="12">
        <f>BW23*КоэффСохранения</f>
        <v/>
      </c>
      <c r="BY24" s="12">
        <f>BX23*КоэффСохранения</f>
        <v/>
      </c>
    </row>
    <row r="25">
      <c r="B25" t="inlineStr">
        <is>
          <t>5 мес.</t>
        </is>
      </c>
      <c r="C25" t="inlineStr">
        <is>
          <t>шт.</t>
        </is>
      </c>
      <c r="D25" s="127" t="inlineStr">
        <is>
          <t>В колонках лет — значение на конец года, в «Итого» — на конец пятого года. Это остаток, а не сумма.</t>
        </is>
      </c>
      <c r="E25" s="128">
        <f>W25</f>
        <v/>
      </c>
      <c r="F25" s="128">
        <f>AI25</f>
        <v/>
      </c>
      <c r="G25" s="128">
        <f>AU25</f>
        <v/>
      </c>
      <c r="H25" s="128">
        <f>BG25</f>
        <v/>
      </c>
      <c r="I25" s="128">
        <f>BS25</f>
        <v/>
      </c>
      <c r="J25" s="13">
        <f>BS25</f>
        <v/>
      </c>
      <c r="L25" s="12">
        <f>0</f>
        <v/>
      </c>
      <c r="M25" s="12">
        <f>L24*КоэффСохранения</f>
        <v/>
      </c>
      <c r="N25" s="12">
        <f>M24*КоэффСохранения</f>
        <v/>
      </c>
      <c r="O25" s="12">
        <f>N24*КоэффСохранения</f>
        <v/>
      </c>
      <c r="P25" s="12">
        <f>O24*КоэффСохранения</f>
        <v/>
      </c>
      <c r="Q25" s="12">
        <f>P24*КоэффСохранения</f>
        <v/>
      </c>
      <c r="R25" s="12">
        <f>Q24*КоэффСохранения</f>
        <v/>
      </c>
      <c r="S25" s="12">
        <f>R24*КоэффСохранения</f>
        <v/>
      </c>
      <c r="T25" s="12">
        <f>S24*КоэффСохранения</f>
        <v/>
      </c>
      <c r="U25" s="12">
        <f>T24*КоэффСохранения</f>
        <v/>
      </c>
      <c r="V25" s="12">
        <f>U24*КоэффСохранения</f>
        <v/>
      </c>
      <c r="W25" s="12">
        <f>V24*КоэффСохранения</f>
        <v/>
      </c>
      <c r="X25" s="12">
        <f>W24*КоэффСохранения</f>
        <v/>
      </c>
      <c r="Y25" s="12">
        <f>X24*КоэффСохранения</f>
        <v/>
      </c>
      <c r="Z25" s="12">
        <f>Y24*КоэффСохранения</f>
        <v/>
      </c>
      <c r="AA25" s="12">
        <f>Z24*КоэффСохранения</f>
        <v/>
      </c>
      <c r="AB25" s="12">
        <f>AA24*КоэффСохранения</f>
        <v/>
      </c>
      <c r="AC25" s="12">
        <f>AB24*КоэффСохранения</f>
        <v/>
      </c>
      <c r="AD25" s="12">
        <f>AC24*КоэффСохранения</f>
        <v/>
      </c>
      <c r="AE25" s="12">
        <f>AD24*КоэффСохранения</f>
        <v/>
      </c>
      <c r="AF25" s="12">
        <f>AE24*КоэффСохранения</f>
        <v/>
      </c>
      <c r="AG25" s="12">
        <f>AF24*КоэффСохранения</f>
        <v/>
      </c>
      <c r="AH25" s="12">
        <f>AG24*КоэффСохранения</f>
        <v/>
      </c>
      <c r="AI25" s="12">
        <f>AH24*КоэффСохранения</f>
        <v/>
      </c>
      <c r="AJ25" s="12">
        <f>AI24*КоэффСохранения</f>
        <v/>
      </c>
      <c r="AK25" s="12">
        <f>AJ24*КоэффСохранения</f>
        <v/>
      </c>
      <c r="AL25" s="12">
        <f>AK24*КоэффСохранения</f>
        <v/>
      </c>
      <c r="AM25" s="12">
        <f>AL24*КоэффСохранения</f>
        <v/>
      </c>
      <c r="AN25" s="12">
        <f>AM24*КоэффСохранения</f>
        <v/>
      </c>
      <c r="AO25" s="12">
        <f>AN24*КоэффСохранения</f>
        <v/>
      </c>
      <c r="AP25" s="12">
        <f>AO24*КоэффСохранения</f>
        <v/>
      </c>
      <c r="AQ25" s="12">
        <f>AP24*КоэффСохранения</f>
        <v/>
      </c>
      <c r="AR25" s="12">
        <f>AQ24*КоэффСохранения</f>
        <v/>
      </c>
      <c r="AS25" s="12">
        <f>AR24*КоэффСохранения</f>
        <v/>
      </c>
      <c r="AT25" s="12">
        <f>AS24*КоэффСохранения</f>
        <v/>
      </c>
      <c r="AU25" s="12">
        <f>AT24*КоэффСохранения</f>
        <v/>
      </c>
      <c r="AV25" s="12">
        <f>AU24*КоэффСохранения</f>
        <v/>
      </c>
      <c r="AW25" s="12">
        <f>AV24*КоэффСохранения</f>
        <v/>
      </c>
      <c r="AX25" s="12">
        <f>AW24*КоэффСохранения</f>
        <v/>
      </c>
      <c r="AY25" s="12">
        <f>AX24*КоэффСохранения</f>
        <v/>
      </c>
      <c r="AZ25" s="12">
        <f>AY24*КоэффСохранения</f>
        <v/>
      </c>
      <c r="BA25" s="12">
        <f>AZ24*КоэффСохранения</f>
        <v/>
      </c>
      <c r="BB25" s="12">
        <f>BA24*КоэффСохранения</f>
        <v/>
      </c>
      <c r="BC25" s="12">
        <f>BB24*КоэффСохранения</f>
        <v/>
      </c>
      <c r="BD25" s="12">
        <f>BC24*КоэффСохранения</f>
        <v/>
      </c>
      <c r="BE25" s="12">
        <f>BD24*КоэффСохранения</f>
        <v/>
      </c>
      <c r="BF25" s="12">
        <f>BE24*КоэффСохранения</f>
        <v/>
      </c>
      <c r="BG25" s="12">
        <f>BF24*КоэффСохранения</f>
        <v/>
      </c>
      <c r="BH25" s="12">
        <f>BG24*КоэффСохранения</f>
        <v/>
      </c>
      <c r="BI25" s="12">
        <f>BH24*КоэффСохранения</f>
        <v/>
      </c>
      <c r="BJ25" s="12">
        <f>BI24*КоэффСохранения</f>
        <v/>
      </c>
      <c r="BK25" s="12">
        <f>BJ24*КоэффСохранения</f>
        <v/>
      </c>
      <c r="BL25" s="12">
        <f>BK24*КоэффСохранения</f>
        <v/>
      </c>
      <c r="BM25" s="12">
        <f>BL24*КоэффСохранения</f>
        <v/>
      </c>
      <c r="BN25" s="12">
        <f>BM24*КоэффСохранения</f>
        <v/>
      </c>
      <c r="BO25" s="12">
        <f>BN24*КоэффСохранения</f>
        <v/>
      </c>
      <c r="BP25" s="12">
        <f>BO24*КоэффСохранения</f>
        <v/>
      </c>
      <c r="BQ25" s="12">
        <f>BP24*КоэффСохранения</f>
        <v/>
      </c>
      <c r="BR25" s="12">
        <f>BQ24*КоэффСохранения</f>
        <v/>
      </c>
      <c r="BS25" s="12">
        <f>BR24*КоэффСохранения</f>
        <v/>
      </c>
      <c r="BT25" s="12">
        <f>BS24*КоэффСохранения</f>
        <v/>
      </c>
      <c r="BU25" s="12">
        <f>BT24*КоэффСохранения</f>
        <v/>
      </c>
      <c r="BV25" s="12">
        <f>BU24*КоэффСохранения</f>
        <v/>
      </c>
      <c r="BW25" s="12">
        <f>BV24*КоэффСохранения</f>
        <v/>
      </c>
      <c r="BX25" s="12">
        <f>BW24*КоэффСохранения</f>
        <v/>
      </c>
      <c r="BY25" s="12">
        <f>BX24*КоэффСохранения</f>
        <v/>
      </c>
    </row>
    <row r="26">
      <c r="B26" t="inlineStr">
        <is>
          <t>6 мес.</t>
        </is>
      </c>
      <c r="C26" t="inlineStr">
        <is>
          <t>шт.</t>
        </is>
      </c>
      <c r="D26" s="127" t="inlineStr">
        <is>
          <t>В колонках лет — значение на конец года, в «Итого» — на конец пятого года. Это остаток, а не сумма.</t>
        </is>
      </c>
      <c r="E26" s="128">
        <f>W26</f>
        <v/>
      </c>
      <c r="F26" s="128">
        <f>AI26</f>
        <v/>
      </c>
      <c r="G26" s="128">
        <f>AU26</f>
        <v/>
      </c>
      <c r="H26" s="128">
        <f>BG26</f>
        <v/>
      </c>
      <c r="I26" s="128">
        <f>BS26</f>
        <v/>
      </c>
      <c r="J26" s="13">
        <f>BS26</f>
        <v/>
      </c>
      <c r="L26" s="12">
        <f>0</f>
        <v/>
      </c>
      <c r="M26" s="12">
        <f>L25*КоэффСохранения</f>
        <v/>
      </c>
      <c r="N26" s="12">
        <f>M25*КоэффСохранения</f>
        <v/>
      </c>
      <c r="O26" s="12">
        <f>N25*КоэффСохранения</f>
        <v/>
      </c>
      <c r="P26" s="12">
        <f>O25*КоэффСохранения</f>
        <v/>
      </c>
      <c r="Q26" s="12">
        <f>P25*КоэффСохранения</f>
        <v/>
      </c>
      <c r="R26" s="12">
        <f>Q25*КоэффСохранения</f>
        <v/>
      </c>
      <c r="S26" s="12">
        <f>R25*КоэффСохранения</f>
        <v/>
      </c>
      <c r="T26" s="12">
        <f>S25*КоэффСохранения</f>
        <v/>
      </c>
      <c r="U26" s="12">
        <f>T25*КоэффСохранения</f>
        <v/>
      </c>
      <c r="V26" s="12">
        <f>U25*КоэффСохранения</f>
        <v/>
      </c>
      <c r="W26" s="12">
        <f>V25*КоэффСохранения</f>
        <v/>
      </c>
      <c r="X26" s="12">
        <f>W25*КоэффСохранения</f>
        <v/>
      </c>
      <c r="Y26" s="12">
        <f>X25*КоэффСохранения</f>
        <v/>
      </c>
      <c r="Z26" s="12">
        <f>Y25*КоэффСохранения</f>
        <v/>
      </c>
      <c r="AA26" s="12">
        <f>Z25*КоэффСохранения</f>
        <v/>
      </c>
      <c r="AB26" s="12">
        <f>AA25*КоэффСохранения</f>
        <v/>
      </c>
      <c r="AC26" s="12">
        <f>AB25*КоэффСохранения</f>
        <v/>
      </c>
      <c r="AD26" s="12">
        <f>AC25*КоэффСохранения</f>
        <v/>
      </c>
      <c r="AE26" s="12">
        <f>AD25*КоэффСохранения</f>
        <v/>
      </c>
      <c r="AF26" s="12">
        <f>AE25*КоэффСохранения</f>
        <v/>
      </c>
      <c r="AG26" s="12">
        <f>AF25*КоэффСохранения</f>
        <v/>
      </c>
      <c r="AH26" s="12">
        <f>AG25*КоэффСохранения</f>
        <v/>
      </c>
      <c r="AI26" s="12">
        <f>AH25*КоэффСохранения</f>
        <v/>
      </c>
      <c r="AJ26" s="12">
        <f>AI25*КоэффСохранения</f>
        <v/>
      </c>
      <c r="AK26" s="12">
        <f>AJ25*КоэффСохранения</f>
        <v/>
      </c>
      <c r="AL26" s="12">
        <f>AK25*КоэффСохранения</f>
        <v/>
      </c>
      <c r="AM26" s="12">
        <f>AL25*КоэффСохранения</f>
        <v/>
      </c>
      <c r="AN26" s="12">
        <f>AM25*КоэффСохранения</f>
        <v/>
      </c>
      <c r="AO26" s="12">
        <f>AN25*КоэффСохранения</f>
        <v/>
      </c>
      <c r="AP26" s="12">
        <f>AO25*КоэффСохранения</f>
        <v/>
      </c>
      <c r="AQ26" s="12">
        <f>AP25*КоэффСохранения</f>
        <v/>
      </c>
      <c r="AR26" s="12">
        <f>AQ25*КоэффСохранения</f>
        <v/>
      </c>
      <c r="AS26" s="12">
        <f>AR25*КоэффСохранения</f>
        <v/>
      </c>
      <c r="AT26" s="12">
        <f>AS25*КоэффСохранения</f>
        <v/>
      </c>
      <c r="AU26" s="12">
        <f>AT25*КоэффСохранения</f>
        <v/>
      </c>
      <c r="AV26" s="12">
        <f>AU25*КоэффСохранения</f>
        <v/>
      </c>
      <c r="AW26" s="12">
        <f>AV25*КоэффСохранения</f>
        <v/>
      </c>
      <c r="AX26" s="12">
        <f>AW25*КоэффСохранения</f>
        <v/>
      </c>
      <c r="AY26" s="12">
        <f>AX25*КоэффСохранения</f>
        <v/>
      </c>
      <c r="AZ26" s="12">
        <f>AY25*КоэффСохранения</f>
        <v/>
      </c>
      <c r="BA26" s="12">
        <f>AZ25*КоэффСохранения</f>
        <v/>
      </c>
      <c r="BB26" s="12">
        <f>BA25*КоэффСохранения</f>
        <v/>
      </c>
      <c r="BC26" s="12">
        <f>BB25*КоэффСохранения</f>
        <v/>
      </c>
      <c r="BD26" s="12">
        <f>BC25*КоэффСохранения</f>
        <v/>
      </c>
      <c r="BE26" s="12">
        <f>BD25*КоэффСохранения</f>
        <v/>
      </c>
      <c r="BF26" s="12">
        <f>BE25*КоэффСохранения</f>
        <v/>
      </c>
      <c r="BG26" s="12">
        <f>BF25*КоэффСохранения</f>
        <v/>
      </c>
      <c r="BH26" s="12">
        <f>BG25*КоэффСохранения</f>
        <v/>
      </c>
      <c r="BI26" s="12">
        <f>BH25*КоэффСохранения</f>
        <v/>
      </c>
      <c r="BJ26" s="12">
        <f>BI25*КоэффСохранения</f>
        <v/>
      </c>
      <c r="BK26" s="12">
        <f>BJ25*КоэффСохранения</f>
        <v/>
      </c>
      <c r="BL26" s="12">
        <f>BK25*КоэффСохранения</f>
        <v/>
      </c>
      <c r="BM26" s="12">
        <f>BL25*КоэффСохранения</f>
        <v/>
      </c>
      <c r="BN26" s="12">
        <f>BM25*КоэффСохранения</f>
        <v/>
      </c>
      <c r="BO26" s="12">
        <f>BN25*КоэффСохранения</f>
        <v/>
      </c>
      <c r="BP26" s="12">
        <f>BO25*КоэффСохранения</f>
        <v/>
      </c>
      <c r="BQ26" s="12">
        <f>BP25*КоэффСохранения</f>
        <v/>
      </c>
      <c r="BR26" s="12">
        <f>BQ25*КоэффСохранения</f>
        <v/>
      </c>
      <c r="BS26" s="12">
        <f>BR25*КоэффСохранения</f>
        <v/>
      </c>
      <c r="BT26" s="12">
        <f>BS25*КоэффСохранения</f>
        <v/>
      </c>
      <c r="BU26" s="12">
        <f>BT25*КоэффСохранения</f>
        <v/>
      </c>
      <c r="BV26" s="12">
        <f>BU25*КоэффСохранения</f>
        <v/>
      </c>
      <c r="BW26" s="12">
        <f>BV25*КоэффСохранения</f>
        <v/>
      </c>
      <c r="BX26" s="12">
        <f>BW25*КоэффСохранения</f>
        <v/>
      </c>
      <c r="BY26" s="12">
        <f>BX25*КоэффСохранения</f>
        <v/>
      </c>
    </row>
    <row r="27">
      <c r="B27" t="inlineStr">
        <is>
          <t>7 мес.</t>
        </is>
      </c>
      <c r="C27" t="inlineStr">
        <is>
          <t>шт.</t>
        </is>
      </c>
      <c r="D27" s="127" t="inlineStr">
        <is>
          <t>В колонках лет — значение на конец года, в «Итого» — на конец пятого года. Это остаток, а не сумма.</t>
        </is>
      </c>
      <c r="E27" s="128">
        <f>W27</f>
        <v/>
      </c>
      <c r="F27" s="128">
        <f>AI27</f>
        <v/>
      </c>
      <c r="G27" s="128">
        <f>AU27</f>
        <v/>
      </c>
      <c r="H27" s="128">
        <f>BG27</f>
        <v/>
      </c>
      <c r="I27" s="128">
        <f>BS27</f>
        <v/>
      </c>
      <c r="J27" s="13">
        <f>BS27</f>
        <v/>
      </c>
      <c r="L27" s="12">
        <f>0</f>
        <v/>
      </c>
      <c r="M27" s="12">
        <f>L26*КоэффСохранения</f>
        <v/>
      </c>
      <c r="N27" s="12">
        <f>M26*КоэффСохранения</f>
        <v/>
      </c>
      <c r="O27" s="12">
        <f>N26*КоэффСохранения</f>
        <v/>
      </c>
      <c r="P27" s="12">
        <f>O26*КоэффСохранения</f>
        <v/>
      </c>
      <c r="Q27" s="12">
        <f>P26*КоэффСохранения</f>
        <v/>
      </c>
      <c r="R27" s="12">
        <f>Q26*КоэффСохранения</f>
        <v/>
      </c>
      <c r="S27" s="12">
        <f>R26*КоэффСохранения</f>
        <v/>
      </c>
      <c r="T27" s="12">
        <f>S26*КоэффСохранения</f>
        <v/>
      </c>
      <c r="U27" s="12">
        <f>T26*КоэффСохранения</f>
        <v/>
      </c>
      <c r="V27" s="12">
        <f>U26*КоэффСохранения</f>
        <v/>
      </c>
      <c r="W27" s="12">
        <f>V26*КоэффСохранения</f>
        <v/>
      </c>
      <c r="X27" s="12">
        <f>W26*КоэффСохранения</f>
        <v/>
      </c>
      <c r="Y27" s="12">
        <f>X26*КоэффСохранения</f>
        <v/>
      </c>
      <c r="Z27" s="12">
        <f>Y26*КоэффСохранения</f>
        <v/>
      </c>
      <c r="AA27" s="12">
        <f>Z26*КоэффСохранения</f>
        <v/>
      </c>
      <c r="AB27" s="12">
        <f>AA26*КоэффСохранения</f>
        <v/>
      </c>
      <c r="AC27" s="12">
        <f>AB26*КоэффСохранения</f>
        <v/>
      </c>
      <c r="AD27" s="12">
        <f>AC26*КоэффСохранения</f>
        <v/>
      </c>
      <c r="AE27" s="12">
        <f>AD26*КоэффСохранения</f>
        <v/>
      </c>
      <c r="AF27" s="12">
        <f>AE26*КоэффСохранения</f>
        <v/>
      </c>
      <c r="AG27" s="12">
        <f>AF26*КоэффСохранения</f>
        <v/>
      </c>
      <c r="AH27" s="12">
        <f>AG26*КоэффСохранения</f>
        <v/>
      </c>
      <c r="AI27" s="12">
        <f>AH26*КоэффСохранения</f>
        <v/>
      </c>
      <c r="AJ27" s="12">
        <f>AI26*КоэффСохранения</f>
        <v/>
      </c>
      <c r="AK27" s="12">
        <f>AJ26*КоэффСохранения</f>
        <v/>
      </c>
      <c r="AL27" s="12">
        <f>AK26*КоэффСохранения</f>
        <v/>
      </c>
      <c r="AM27" s="12">
        <f>AL26*КоэффСохранения</f>
        <v/>
      </c>
      <c r="AN27" s="12">
        <f>AM26*КоэффСохранения</f>
        <v/>
      </c>
      <c r="AO27" s="12">
        <f>AN26*КоэффСохранения</f>
        <v/>
      </c>
      <c r="AP27" s="12">
        <f>AO26*КоэффСохранения</f>
        <v/>
      </c>
      <c r="AQ27" s="12">
        <f>AP26*КоэффСохранения</f>
        <v/>
      </c>
      <c r="AR27" s="12">
        <f>AQ26*КоэффСохранения</f>
        <v/>
      </c>
      <c r="AS27" s="12">
        <f>AR26*КоэффСохранения</f>
        <v/>
      </c>
      <c r="AT27" s="12">
        <f>AS26*КоэффСохранения</f>
        <v/>
      </c>
      <c r="AU27" s="12">
        <f>AT26*КоэффСохранения</f>
        <v/>
      </c>
      <c r="AV27" s="12">
        <f>AU26*КоэффСохранения</f>
        <v/>
      </c>
      <c r="AW27" s="12">
        <f>AV26*КоэффСохранения</f>
        <v/>
      </c>
      <c r="AX27" s="12">
        <f>AW26*КоэффСохранения</f>
        <v/>
      </c>
      <c r="AY27" s="12">
        <f>AX26*КоэффСохранения</f>
        <v/>
      </c>
      <c r="AZ27" s="12">
        <f>AY26*КоэффСохранения</f>
        <v/>
      </c>
      <c r="BA27" s="12">
        <f>AZ26*КоэффСохранения</f>
        <v/>
      </c>
      <c r="BB27" s="12">
        <f>BA26*КоэффСохранения</f>
        <v/>
      </c>
      <c r="BC27" s="12">
        <f>BB26*КоэффСохранения</f>
        <v/>
      </c>
      <c r="BD27" s="12">
        <f>BC26*КоэффСохранения</f>
        <v/>
      </c>
      <c r="BE27" s="12">
        <f>BD26*КоэффСохранения</f>
        <v/>
      </c>
      <c r="BF27" s="12">
        <f>BE26*КоэффСохранения</f>
        <v/>
      </c>
      <c r="BG27" s="12">
        <f>BF26*КоэффСохранения</f>
        <v/>
      </c>
      <c r="BH27" s="12">
        <f>BG26*КоэффСохранения</f>
        <v/>
      </c>
      <c r="BI27" s="12">
        <f>BH26*КоэффСохранения</f>
        <v/>
      </c>
      <c r="BJ27" s="12">
        <f>BI26*КоэффСохранения</f>
        <v/>
      </c>
      <c r="BK27" s="12">
        <f>BJ26*КоэффСохранения</f>
        <v/>
      </c>
      <c r="BL27" s="12">
        <f>BK26*КоэффСохранения</f>
        <v/>
      </c>
      <c r="BM27" s="12">
        <f>BL26*КоэффСохранения</f>
        <v/>
      </c>
      <c r="BN27" s="12">
        <f>BM26*КоэффСохранения</f>
        <v/>
      </c>
      <c r="BO27" s="12">
        <f>BN26*КоэффСохранения</f>
        <v/>
      </c>
      <c r="BP27" s="12">
        <f>BO26*КоэффСохранения</f>
        <v/>
      </c>
      <c r="BQ27" s="12">
        <f>BP26*КоэффСохранения</f>
        <v/>
      </c>
      <c r="BR27" s="12">
        <f>BQ26*КоэффСохранения</f>
        <v/>
      </c>
      <c r="BS27" s="12">
        <f>BR26*КоэффСохранения</f>
        <v/>
      </c>
      <c r="BT27" s="12">
        <f>BS26*КоэффСохранения</f>
        <v/>
      </c>
      <c r="BU27" s="12">
        <f>BT26*КоэффСохранения</f>
        <v/>
      </c>
      <c r="BV27" s="12">
        <f>BU26*КоэффСохранения</f>
        <v/>
      </c>
      <c r="BW27" s="12">
        <f>BV26*КоэффСохранения</f>
        <v/>
      </c>
      <c r="BX27" s="12">
        <f>BW26*КоэффСохранения</f>
        <v/>
      </c>
      <c r="BY27" s="12">
        <f>BX26*КоэффСохранения</f>
        <v/>
      </c>
    </row>
    <row r="28">
      <c r="B28" t="inlineStr">
        <is>
          <t>8 мес.</t>
        </is>
      </c>
      <c r="C28" t="inlineStr">
        <is>
          <t>шт.</t>
        </is>
      </c>
      <c r="D28" s="127" t="inlineStr">
        <is>
          <t>В колонках лет — значение на конец года, в «Итого» — на конец пятого года. Это остаток, а не сумма.</t>
        </is>
      </c>
      <c r="E28" s="128">
        <f>W28</f>
        <v/>
      </c>
      <c r="F28" s="128">
        <f>AI28</f>
        <v/>
      </c>
      <c r="G28" s="128">
        <f>AU28</f>
        <v/>
      </c>
      <c r="H28" s="128">
        <f>BG28</f>
        <v/>
      </c>
      <c r="I28" s="128">
        <f>BS28</f>
        <v/>
      </c>
      <c r="J28" s="13">
        <f>BS28</f>
        <v/>
      </c>
      <c r="L28" s="12">
        <f>0</f>
        <v/>
      </c>
      <c r="M28" s="12">
        <f>L27*КоэффСохранения</f>
        <v/>
      </c>
      <c r="N28" s="12">
        <f>M27*КоэффСохранения</f>
        <v/>
      </c>
      <c r="O28" s="12">
        <f>N27*КоэффСохранения</f>
        <v/>
      </c>
      <c r="P28" s="12">
        <f>O27*КоэффСохранения</f>
        <v/>
      </c>
      <c r="Q28" s="12">
        <f>P27*КоэффСохранения</f>
        <v/>
      </c>
      <c r="R28" s="12">
        <f>Q27*КоэффСохранения</f>
        <v/>
      </c>
      <c r="S28" s="12">
        <f>R27*КоэффСохранения</f>
        <v/>
      </c>
      <c r="T28" s="12">
        <f>S27*КоэффСохранения</f>
        <v/>
      </c>
      <c r="U28" s="12">
        <f>T27*КоэффСохранения</f>
        <v/>
      </c>
      <c r="V28" s="12">
        <f>U27*КоэффСохранения</f>
        <v/>
      </c>
      <c r="W28" s="12">
        <f>V27*КоэффСохранения</f>
        <v/>
      </c>
      <c r="X28" s="12">
        <f>W27*КоэффСохранения</f>
        <v/>
      </c>
      <c r="Y28" s="12">
        <f>X27*КоэффСохранения</f>
        <v/>
      </c>
      <c r="Z28" s="12">
        <f>Y27*КоэффСохранения</f>
        <v/>
      </c>
      <c r="AA28" s="12">
        <f>Z27*КоэффСохранения</f>
        <v/>
      </c>
      <c r="AB28" s="12">
        <f>AA27*КоэффСохранения</f>
        <v/>
      </c>
      <c r="AC28" s="12">
        <f>AB27*КоэффСохранения</f>
        <v/>
      </c>
      <c r="AD28" s="12">
        <f>AC27*КоэффСохранения</f>
        <v/>
      </c>
      <c r="AE28" s="12">
        <f>AD27*КоэффСохранения</f>
        <v/>
      </c>
      <c r="AF28" s="12">
        <f>AE27*КоэффСохранения</f>
        <v/>
      </c>
      <c r="AG28" s="12">
        <f>AF27*КоэффСохранения</f>
        <v/>
      </c>
      <c r="AH28" s="12">
        <f>AG27*КоэффСохранения</f>
        <v/>
      </c>
      <c r="AI28" s="12">
        <f>AH27*КоэффСохранения</f>
        <v/>
      </c>
      <c r="AJ28" s="12">
        <f>AI27*КоэффСохранения</f>
        <v/>
      </c>
      <c r="AK28" s="12">
        <f>AJ27*КоэффСохранения</f>
        <v/>
      </c>
      <c r="AL28" s="12">
        <f>AK27*КоэффСохранения</f>
        <v/>
      </c>
      <c r="AM28" s="12">
        <f>AL27*КоэффСохранения</f>
        <v/>
      </c>
      <c r="AN28" s="12">
        <f>AM27*КоэффСохранения</f>
        <v/>
      </c>
      <c r="AO28" s="12">
        <f>AN27*КоэффСохранения</f>
        <v/>
      </c>
      <c r="AP28" s="12">
        <f>AO27*КоэффСохранения</f>
        <v/>
      </c>
      <c r="AQ28" s="12">
        <f>AP27*КоэффСохранения</f>
        <v/>
      </c>
      <c r="AR28" s="12">
        <f>AQ27*КоэффСохранения</f>
        <v/>
      </c>
      <c r="AS28" s="12">
        <f>AR27*КоэффСохранения</f>
        <v/>
      </c>
      <c r="AT28" s="12">
        <f>AS27*КоэффСохранения</f>
        <v/>
      </c>
      <c r="AU28" s="12">
        <f>AT27*КоэффСохранения</f>
        <v/>
      </c>
      <c r="AV28" s="12">
        <f>AU27*КоэффСохранения</f>
        <v/>
      </c>
      <c r="AW28" s="12">
        <f>AV27*КоэффСохранения</f>
        <v/>
      </c>
      <c r="AX28" s="12">
        <f>AW27*КоэффСохранения</f>
        <v/>
      </c>
      <c r="AY28" s="12">
        <f>AX27*КоэффСохранения</f>
        <v/>
      </c>
      <c r="AZ28" s="12">
        <f>AY27*КоэффСохранения</f>
        <v/>
      </c>
      <c r="BA28" s="12">
        <f>AZ27*КоэффСохранения</f>
        <v/>
      </c>
      <c r="BB28" s="12">
        <f>BA27*КоэффСохранения</f>
        <v/>
      </c>
      <c r="BC28" s="12">
        <f>BB27*КоэффСохранения</f>
        <v/>
      </c>
      <c r="BD28" s="12">
        <f>BC27*КоэффСохранения</f>
        <v/>
      </c>
      <c r="BE28" s="12">
        <f>BD27*КоэффСохранения</f>
        <v/>
      </c>
      <c r="BF28" s="12">
        <f>BE27*КоэффСохранения</f>
        <v/>
      </c>
      <c r="BG28" s="12">
        <f>BF27*КоэффСохранения</f>
        <v/>
      </c>
      <c r="BH28" s="12">
        <f>BG27*КоэффСохранения</f>
        <v/>
      </c>
      <c r="BI28" s="12">
        <f>BH27*КоэффСохранения</f>
        <v/>
      </c>
      <c r="BJ28" s="12">
        <f>BI27*КоэффСохранения</f>
        <v/>
      </c>
      <c r="BK28" s="12">
        <f>BJ27*КоэффСохранения</f>
        <v/>
      </c>
      <c r="BL28" s="12">
        <f>BK27*КоэффСохранения</f>
        <v/>
      </c>
      <c r="BM28" s="12">
        <f>BL27*КоэффСохранения</f>
        <v/>
      </c>
      <c r="BN28" s="12">
        <f>BM27*КоэффСохранения</f>
        <v/>
      </c>
      <c r="BO28" s="12">
        <f>BN27*КоэффСохранения</f>
        <v/>
      </c>
      <c r="BP28" s="12">
        <f>BO27*КоэффСохранения</f>
        <v/>
      </c>
      <c r="BQ28" s="12">
        <f>BP27*КоэффСохранения</f>
        <v/>
      </c>
      <c r="BR28" s="12">
        <f>BQ27*КоэффСохранения</f>
        <v/>
      </c>
      <c r="BS28" s="12">
        <f>BR27*КоэффСохранения</f>
        <v/>
      </c>
      <c r="BT28" s="12">
        <f>BS27*КоэффСохранения</f>
        <v/>
      </c>
      <c r="BU28" s="12">
        <f>BT27*КоэффСохранения</f>
        <v/>
      </c>
      <c r="BV28" s="12">
        <f>BU27*КоэффСохранения</f>
        <v/>
      </c>
      <c r="BW28" s="12">
        <f>BV27*КоэффСохранения</f>
        <v/>
      </c>
      <c r="BX28" s="12">
        <f>BW27*КоэффСохранения</f>
        <v/>
      </c>
      <c r="BY28" s="12">
        <f>BX27*КоэффСохранения</f>
        <v/>
      </c>
    </row>
    <row r="29">
      <c r="B29" t="inlineStr">
        <is>
          <t>9 мес.</t>
        </is>
      </c>
      <c r="C29" t="inlineStr">
        <is>
          <t>шт.</t>
        </is>
      </c>
      <c r="D29" s="127" t="inlineStr">
        <is>
          <t>В колонках лет — значение на конец года, в «Итого» — на конец пятого года. Это остаток, а не сумма.</t>
        </is>
      </c>
      <c r="E29" s="128">
        <f>W29</f>
        <v/>
      </c>
      <c r="F29" s="128">
        <f>AI29</f>
        <v/>
      </c>
      <c r="G29" s="128">
        <f>AU29</f>
        <v/>
      </c>
      <c r="H29" s="128">
        <f>BG29</f>
        <v/>
      </c>
      <c r="I29" s="128">
        <f>BS29</f>
        <v/>
      </c>
      <c r="J29" s="13">
        <f>BS29</f>
        <v/>
      </c>
      <c r="L29" s="12">
        <f>0</f>
        <v/>
      </c>
      <c r="M29" s="12">
        <f>L28*КоэффСохранения</f>
        <v/>
      </c>
      <c r="N29" s="12">
        <f>M28*КоэффСохранения</f>
        <v/>
      </c>
      <c r="O29" s="12">
        <f>N28*КоэффСохранения</f>
        <v/>
      </c>
      <c r="P29" s="12">
        <f>O28*КоэффСохранения</f>
        <v/>
      </c>
      <c r="Q29" s="12">
        <f>P28*КоэффСохранения</f>
        <v/>
      </c>
      <c r="R29" s="12">
        <f>Q28*КоэффСохранения</f>
        <v/>
      </c>
      <c r="S29" s="12">
        <f>R28*КоэффСохранения</f>
        <v/>
      </c>
      <c r="T29" s="12">
        <f>S28*КоэффСохранения</f>
        <v/>
      </c>
      <c r="U29" s="12">
        <f>T28*КоэффСохранения</f>
        <v/>
      </c>
      <c r="V29" s="12">
        <f>U28*КоэффСохранения</f>
        <v/>
      </c>
      <c r="W29" s="12">
        <f>V28*КоэффСохранения</f>
        <v/>
      </c>
      <c r="X29" s="12">
        <f>W28*КоэффСохранения</f>
        <v/>
      </c>
      <c r="Y29" s="12">
        <f>X28*КоэффСохранения</f>
        <v/>
      </c>
      <c r="Z29" s="12">
        <f>Y28*КоэффСохранения</f>
        <v/>
      </c>
      <c r="AA29" s="12">
        <f>Z28*КоэффСохранения</f>
        <v/>
      </c>
      <c r="AB29" s="12">
        <f>AA28*КоэффСохранения</f>
        <v/>
      </c>
      <c r="AC29" s="12">
        <f>AB28*КоэффСохранения</f>
        <v/>
      </c>
      <c r="AD29" s="12">
        <f>AC28*КоэффСохранения</f>
        <v/>
      </c>
      <c r="AE29" s="12">
        <f>AD28*КоэффСохранения</f>
        <v/>
      </c>
      <c r="AF29" s="12">
        <f>AE28*КоэффСохранения</f>
        <v/>
      </c>
      <c r="AG29" s="12">
        <f>AF28*КоэффСохранения</f>
        <v/>
      </c>
      <c r="AH29" s="12">
        <f>AG28*КоэффСохранения</f>
        <v/>
      </c>
      <c r="AI29" s="12">
        <f>AH28*КоэффСохранения</f>
        <v/>
      </c>
      <c r="AJ29" s="12">
        <f>AI28*КоэффСохранения</f>
        <v/>
      </c>
      <c r="AK29" s="12">
        <f>AJ28*КоэффСохранения</f>
        <v/>
      </c>
      <c r="AL29" s="12">
        <f>AK28*КоэффСохранения</f>
        <v/>
      </c>
      <c r="AM29" s="12">
        <f>AL28*КоэффСохранения</f>
        <v/>
      </c>
      <c r="AN29" s="12">
        <f>AM28*КоэффСохранения</f>
        <v/>
      </c>
      <c r="AO29" s="12">
        <f>AN28*КоэффСохранения</f>
        <v/>
      </c>
      <c r="AP29" s="12">
        <f>AO28*КоэффСохранения</f>
        <v/>
      </c>
      <c r="AQ29" s="12">
        <f>AP28*КоэффСохранения</f>
        <v/>
      </c>
      <c r="AR29" s="12">
        <f>AQ28*КоэффСохранения</f>
        <v/>
      </c>
      <c r="AS29" s="12">
        <f>AR28*КоэффСохранения</f>
        <v/>
      </c>
      <c r="AT29" s="12">
        <f>AS28*КоэффСохранения</f>
        <v/>
      </c>
      <c r="AU29" s="12">
        <f>AT28*КоэффСохранения</f>
        <v/>
      </c>
      <c r="AV29" s="12">
        <f>AU28*КоэффСохранения</f>
        <v/>
      </c>
      <c r="AW29" s="12">
        <f>AV28*КоэффСохранения</f>
        <v/>
      </c>
      <c r="AX29" s="12">
        <f>AW28*КоэффСохранения</f>
        <v/>
      </c>
      <c r="AY29" s="12">
        <f>AX28*КоэффСохранения</f>
        <v/>
      </c>
      <c r="AZ29" s="12">
        <f>AY28*КоэффСохранения</f>
        <v/>
      </c>
      <c r="BA29" s="12">
        <f>AZ28*КоэффСохранения</f>
        <v/>
      </c>
      <c r="BB29" s="12">
        <f>BA28*КоэффСохранения</f>
        <v/>
      </c>
      <c r="BC29" s="12">
        <f>BB28*КоэффСохранения</f>
        <v/>
      </c>
      <c r="BD29" s="12">
        <f>BC28*КоэффСохранения</f>
        <v/>
      </c>
      <c r="BE29" s="12">
        <f>BD28*КоэффСохранения</f>
        <v/>
      </c>
      <c r="BF29" s="12">
        <f>BE28*КоэффСохранения</f>
        <v/>
      </c>
      <c r="BG29" s="12">
        <f>BF28*КоэффСохранения</f>
        <v/>
      </c>
      <c r="BH29" s="12">
        <f>BG28*КоэффСохранения</f>
        <v/>
      </c>
      <c r="BI29" s="12">
        <f>BH28*КоэффСохранения</f>
        <v/>
      </c>
      <c r="BJ29" s="12">
        <f>BI28*КоэффСохранения</f>
        <v/>
      </c>
      <c r="BK29" s="12">
        <f>BJ28*КоэффСохранения</f>
        <v/>
      </c>
      <c r="BL29" s="12">
        <f>BK28*КоэффСохранения</f>
        <v/>
      </c>
      <c r="BM29" s="12">
        <f>BL28*КоэффСохранения</f>
        <v/>
      </c>
      <c r="BN29" s="12">
        <f>BM28*КоэффСохранения</f>
        <v/>
      </c>
      <c r="BO29" s="12">
        <f>BN28*КоэффСохранения</f>
        <v/>
      </c>
      <c r="BP29" s="12">
        <f>BO28*КоэффСохранения</f>
        <v/>
      </c>
      <c r="BQ29" s="12">
        <f>BP28*КоэффСохранения</f>
        <v/>
      </c>
      <c r="BR29" s="12">
        <f>BQ28*КоэффСохранения</f>
        <v/>
      </c>
      <c r="BS29" s="12">
        <f>BR28*КоэффСохранения</f>
        <v/>
      </c>
      <c r="BT29" s="12">
        <f>BS28*КоэффСохранения</f>
        <v/>
      </c>
      <c r="BU29" s="12">
        <f>BT28*КоэффСохранения</f>
        <v/>
      </c>
      <c r="BV29" s="12">
        <f>BU28*КоэффСохранения</f>
        <v/>
      </c>
      <c r="BW29" s="12">
        <f>BV28*КоэффСохранения</f>
        <v/>
      </c>
      <c r="BX29" s="12">
        <f>BW28*КоэффСохранения</f>
        <v/>
      </c>
      <c r="BY29" s="12">
        <f>BX28*КоэффСохранения</f>
        <v/>
      </c>
    </row>
    <row r="30">
      <c r="B30" t="inlineStr">
        <is>
          <t>10 мес.</t>
        </is>
      </c>
      <c r="C30" t="inlineStr">
        <is>
          <t>шт.</t>
        </is>
      </c>
      <c r="D30" s="127" t="inlineStr">
        <is>
          <t>В колонках лет — значение на конец года, в «Итого» — на конец пятого года. Это остаток, а не сумма.</t>
        </is>
      </c>
      <c r="E30" s="128">
        <f>W30</f>
        <v/>
      </c>
      <c r="F30" s="128">
        <f>AI30</f>
        <v/>
      </c>
      <c r="G30" s="128">
        <f>AU30</f>
        <v/>
      </c>
      <c r="H30" s="128">
        <f>BG30</f>
        <v/>
      </c>
      <c r="I30" s="128">
        <f>BS30</f>
        <v/>
      </c>
      <c r="J30" s="13">
        <f>BS30</f>
        <v/>
      </c>
      <c r="L30" s="12">
        <f>0</f>
        <v/>
      </c>
      <c r="M30" s="12">
        <f>L29*КоэффСохранения</f>
        <v/>
      </c>
      <c r="N30" s="12">
        <f>M29*КоэффСохранения</f>
        <v/>
      </c>
      <c r="O30" s="12">
        <f>N29*КоэффСохранения</f>
        <v/>
      </c>
      <c r="P30" s="12">
        <f>O29*КоэффСохранения</f>
        <v/>
      </c>
      <c r="Q30" s="12">
        <f>P29*КоэффСохранения</f>
        <v/>
      </c>
      <c r="R30" s="12">
        <f>Q29*КоэффСохранения</f>
        <v/>
      </c>
      <c r="S30" s="12">
        <f>R29*КоэффСохранения</f>
        <v/>
      </c>
      <c r="T30" s="12">
        <f>S29*КоэффСохранения</f>
        <v/>
      </c>
      <c r="U30" s="12">
        <f>T29*КоэффСохранения</f>
        <v/>
      </c>
      <c r="V30" s="12">
        <f>U29*КоэффСохранения</f>
        <v/>
      </c>
      <c r="W30" s="12">
        <f>V29*КоэффСохранения</f>
        <v/>
      </c>
      <c r="X30" s="12">
        <f>W29*КоэффСохранения</f>
        <v/>
      </c>
      <c r="Y30" s="12">
        <f>X29*КоэффСохранения</f>
        <v/>
      </c>
      <c r="Z30" s="12">
        <f>Y29*КоэффСохранения</f>
        <v/>
      </c>
      <c r="AA30" s="12">
        <f>Z29*КоэффСохранения</f>
        <v/>
      </c>
      <c r="AB30" s="12">
        <f>AA29*КоэффСохранения</f>
        <v/>
      </c>
      <c r="AC30" s="12">
        <f>AB29*КоэффСохранения</f>
        <v/>
      </c>
      <c r="AD30" s="12">
        <f>AC29*КоэффСохранения</f>
        <v/>
      </c>
      <c r="AE30" s="12">
        <f>AD29*КоэффСохранения</f>
        <v/>
      </c>
      <c r="AF30" s="12">
        <f>AE29*КоэффСохранения</f>
        <v/>
      </c>
      <c r="AG30" s="12">
        <f>AF29*КоэффСохранения</f>
        <v/>
      </c>
      <c r="AH30" s="12">
        <f>AG29*КоэффСохранения</f>
        <v/>
      </c>
      <c r="AI30" s="12">
        <f>AH29*КоэффСохранения</f>
        <v/>
      </c>
      <c r="AJ30" s="12">
        <f>AI29*КоэффСохранения</f>
        <v/>
      </c>
      <c r="AK30" s="12">
        <f>AJ29*КоэффСохранения</f>
        <v/>
      </c>
      <c r="AL30" s="12">
        <f>AK29*КоэффСохранения</f>
        <v/>
      </c>
      <c r="AM30" s="12">
        <f>AL29*КоэффСохранения</f>
        <v/>
      </c>
      <c r="AN30" s="12">
        <f>AM29*КоэффСохранения</f>
        <v/>
      </c>
      <c r="AO30" s="12">
        <f>AN29*КоэффСохранения</f>
        <v/>
      </c>
      <c r="AP30" s="12">
        <f>AO29*КоэффСохранения</f>
        <v/>
      </c>
      <c r="AQ30" s="12">
        <f>AP29*КоэффСохранения</f>
        <v/>
      </c>
      <c r="AR30" s="12">
        <f>AQ29*КоэффСохранения</f>
        <v/>
      </c>
      <c r="AS30" s="12">
        <f>AR29*КоэффСохранения</f>
        <v/>
      </c>
      <c r="AT30" s="12">
        <f>AS29*КоэффСохранения</f>
        <v/>
      </c>
      <c r="AU30" s="12">
        <f>AT29*КоэффСохранения</f>
        <v/>
      </c>
      <c r="AV30" s="12">
        <f>AU29*КоэффСохранения</f>
        <v/>
      </c>
      <c r="AW30" s="12">
        <f>AV29*КоэффСохранения</f>
        <v/>
      </c>
      <c r="AX30" s="12">
        <f>AW29*КоэффСохранения</f>
        <v/>
      </c>
      <c r="AY30" s="12">
        <f>AX29*КоэффСохранения</f>
        <v/>
      </c>
      <c r="AZ30" s="12">
        <f>AY29*КоэффСохранения</f>
        <v/>
      </c>
      <c r="BA30" s="12">
        <f>AZ29*КоэффСохранения</f>
        <v/>
      </c>
      <c r="BB30" s="12">
        <f>BA29*КоэффСохранения</f>
        <v/>
      </c>
      <c r="BC30" s="12">
        <f>BB29*КоэффСохранения</f>
        <v/>
      </c>
      <c r="BD30" s="12">
        <f>BC29*КоэффСохранения</f>
        <v/>
      </c>
      <c r="BE30" s="12">
        <f>BD29*КоэффСохранения</f>
        <v/>
      </c>
      <c r="BF30" s="12">
        <f>BE29*КоэффСохранения</f>
        <v/>
      </c>
      <c r="BG30" s="12">
        <f>BF29*КоэффСохранения</f>
        <v/>
      </c>
      <c r="BH30" s="12">
        <f>BG29*КоэффСохранения</f>
        <v/>
      </c>
      <c r="BI30" s="12">
        <f>BH29*КоэффСохранения</f>
        <v/>
      </c>
      <c r="BJ30" s="12">
        <f>BI29*КоэффСохранения</f>
        <v/>
      </c>
      <c r="BK30" s="12">
        <f>BJ29*КоэффСохранения</f>
        <v/>
      </c>
      <c r="BL30" s="12">
        <f>BK29*КоэффСохранения</f>
        <v/>
      </c>
      <c r="BM30" s="12">
        <f>BL29*КоэффСохранения</f>
        <v/>
      </c>
      <c r="BN30" s="12">
        <f>BM29*КоэффСохранения</f>
        <v/>
      </c>
      <c r="BO30" s="12">
        <f>BN29*КоэффСохранения</f>
        <v/>
      </c>
      <c r="BP30" s="12">
        <f>BO29*КоэффСохранения</f>
        <v/>
      </c>
      <c r="BQ30" s="12">
        <f>BP29*КоэффСохранения</f>
        <v/>
      </c>
      <c r="BR30" s="12">
        <f>BQ29*КоэффСохранения</f>
        <v/>
      </c>
      <c r="BS30" s="12">
        <f>BR29*КоэффСохранения</f>
        <v/>
      </c>
      <c r="BT30" s="12">
        <f>BS29*КоэффСохранения</f>
        <v/>
      </c>
      <c r="BU30" s="12">
        <f>BT29*КоэффСохранения</f>
        <v/>
      </c>
      <c r="BV30" s="12">
        <f>BU29*КоэффСохранения</f>
        <v/>
      </c>
      <c r="BW30" s="12">
        <f>BV29*КоэффСохранения</f>
        <v/>
      </c>
      <c r="BX30" s="12">
        <f>BW29*КоэффСохранения</f>
        <v/>
      </c>
      <c r="BY30" s="12">
        <f>BX29*КоэффСохранения</f>
        <v/>
      </c>
    </row>
    <row r="31">
      <c r="B31" t="inlineStr">
        <is>
          <t>11 мес.</t>
        </is>
      </c>
      <c r="C31" t="inlineStr">
        <is>
          <t>шт.</t>
        </is>
      </c>
      <c r="D31" s="127" t="inlineStr">
        <is>
          <t>В колонках лет — значение на конец года, в «Итого» — на конец пятого года. Это остаток, а не сумма.</t>
        </is>
      </c>
      <c r="E31" s="128">
        <f>W31</f>
        <v/>
      </c>
      <c r="F31" s="128">
        <f>AI31</f>
        <v/>
      </c>
      <c r="G31" s="128">
        <f>AU31</f>
        <v/>
      </c>
      <c r="H31" s="128">
        <f>BG31</f>
        <v/>
      </c>
      <c r="I31" s="128">
        <f>BS31</f>
        <v/>
      </c>
      <c r="J31" s="13">
        <f>BS31</f>
        <v/>
      </c>
      <c r="L31" s="12">
        <f>0</f>
        <v/>
      </c>
      <c r="M31" s="12">
        <f>L30*КоэффСохранения</f>
        <v/>
      </c>
      <c r="N31" s="12">
        <f>M30*КоэффСохранения</f>
        <v/>
      </c>
      <c r="O31" s="12">
        <f>N30*КоэффСохранения</f>
        <v/>
      </c>
      <c r="P31" s="12">
        <f>O30*КоэффСохранения</f>
        <v/>
      </c>
      <c r="Q31" s="12">
        <f>P30*КоэффСохранения</f>
        <v/>
      </c>
      <c r="R31" s="12">
        <f>Q30*КоэффСохранения</f>
        <v/>
      </c>
      <c r="S31" s="12">
        <f>R30*КоэффСохранения</f>
        <v/>
      </c>
      <c r="T31" s="12">
        <f>S30*КоэффСохранения</f>
        <v/>
      </c>
      <c r="U31" s="12">
        <f>T30*КоэффСохранения</f>
        <v/>
      </c>
      <c r="V31" s="12">
        <f>U30*КоэффСохранения</f>
        <v/>
      </c>
      <c r="W31" s="12">
        <f>V30*КоэффСохранения</f>
        <v/>
      </c>
      <c r="X31" s="12">
        <f>W30*КоэффСохранения</f>
        <v/>
      </c>
      <c r="Y31" s="12">
        <f>X30*КоэффСохранения</f>
        <v/>
      </c>
      <c r="Z31" s="12">
        <f>Y30*КоэффСохранения</f>
        <v/>
      </c>
      <c r="AA31" s="12">
        <f>Z30*КоэффСохранения</f>
        <v/>
      </c>
      <c r="AB31" s="12">
        <f>AA30*КоэффСохранения</f>
        <v/>
      </c>
      <c r="AC31" s="12">
        <f>AB30*КоэффСохранения</f>
        <v/>
      </c>
      <c r="AD31" s="12">
        <f>AC30*КоэффСохранения</f>
        <v/>
      </c>
      <c r="AE31" s="12">
        <f>AD30*КоэффСохранения</f>
        <v/>
      </c>
      <c r="AF31" s="12">
        <f>AE30*КоэффСохранения</f>
        <v/>
      </c>
      <c r="AG31" s="12">
        <f>AF30*КоэффСохранения</f>
        <v/>
      </c>
      <c r="AH31" s="12">
        <f>AG30*КоэффСохранения</f>
        <v/>
      </c>
      <c r="AI31" s="12">
        <f>AH30*КоэффСохранения</f>
        <v/>
      </c>
      <c r="AJ31" s="12">
        <f>AI30*КоэффСохранения</f>
        <v/>
      </c>
      <c r="AK31" s="12">
        <f>AJ30*КоэффСохранения</f>
        <v/>
      </c>
      <c r="AL31" s="12">
        <f>AK30*КоэффСохранения</f>
        <v/>
      </c>
      <c r="AM31" s="12">
        <f>AL30*КоэффСохранения</f>
        <v/>
      </c>
      <c r="AN31" s="12">
        <f>AM30*КоэффСохранения</f>
        <v/>
      </c>
      <c r="AO31" s="12">
        <f>AN30*КоэффСохранения</f>
        <v/>
      </c>
      <c r="AP31" s="12">
        <f>AO30*КоэффСохранения</f>
        <v/>
      </c>
      <c r="AQ31" s="12">
        <f>AP30*КоэффСохранения</f>
        <v/>
      </c>
      <c r="AR31" s="12">
        <f>AQ30*КоэффСохранения</f>
        <v/>
      </c>
      <c r="AS31" s="12">
        <f>AR30*КоэффСохранения</f>
        <v/>
      </c>
      <c r="AT31" s="12">
        <f>AS30*КоэффСохранения</f>
        <v/>
      </c>
      <c r="AU31" s="12">
        <f>AT30*КоэффСохранения</f>
        <v/>
      </c>
      <c r="AV31" s="12">
        <f>AU30*КоэффСохранения</f>
        <v/>
      </c>
      <c r="AW31" s="12">
        <f>AV30*КоэффСохранения</f>
        <v/>
      </c>
      <c r="AX31" s="12">
        <f>AW30*КоэффСохранения</f>
        <v/>
      </c>
      <c r="AY31" s="12">
        <f>AX30*КоэффСохранения</f>
        <v/>
      </c>
      <c r="AZ31" s="12">
        <f>AY30*КоэффСохранения</f>
        <v/>
      </c>
      <c r="BA31" s="12">
        <f>AZ30*КоэффСохранения</f>
        <v/>
      </c>
      <c r="BB31" s="12">
        <f>BA30*КоэффСохранения</f>
        <v/>
      </c>
      <c r="BC31" s="12">
        <f>BB30*КоэффСохранения</f>
        <v/>
      </c>
      <c r="BD31" s="12">
        <f>BC30*КоэффСохранения</f>
        <v/>
      </c>
      <c r="BE31" s="12">
        <f>BD30*КоэффСохранения</f>
        <v/>
      </c>
      <c r="BF31" s="12">
        <f>BE30*КоэффСохранения</f>
        <v/>
      </c>
      <c r="BG31" s="12">
        <f>BF30*КоэффСохранения</f>
        <v/>
      </c>
      <c r="BH31" s="12">
        <f>BG30*КоэффСохранения</f>
        <v/>
      </c>
      <c r="BI31" s="12">
        <f>BH30*КоэффСохранения</f>
        <v/>
      </c>
      <c r="BJ31" s="12">
        <f>BI30*КоэффСохранения</f>
        <v/>
      </c>
      <c r="BK31" s="12">
        <f>BJ30*КоэффСохранения</f>
        <v/>
      </c>
      <c r="BL31" s="12">
        <f>BK30*КоэффСохранения</f>
        <v/>
      </c>
      <c r="BM31" s="12">
        <f>BL30*КоэффСохранения</f>
        <v/>
      </c>
      <c r="BN31" s="12">
        <f>BM30*КоэффСохранения</f>
        <v/>
      </c>
      <c r="BO31" s="12">
        <f>BN30*КоэффСохранения</f>
        <v/>
      </c>
      <c r="BP31" s="12">
        <f>BO30*КоэффСохранения</f>
        <v/>
      </c>
      <c r="BQ31" s="12">
        <f>BP30*КоэффСохранения</f>
        <v/>
      </c>
      <c r="BR31" s="12">
        <f>BQ30*КоэффСохранения</f>
        <v/>
      </c>
      <c r="BS31" s="12">
        <f>BR30*КоэффСохранения</f>
        <v/>
      </c>
      <c r="BT31" s="12">
        <f>BS30*КоэффСохранения</f>
        <v/>
      </c>
      <c r="BU31" s="12">
        <f>BT30*КоэффСохранения</f>
        <v/>
      </c>
      <c r="BV31" s="12">
        <f>BU30*КоэффСохранения</f>
        <v/>
      </c>
      <c r="BW31" s="12">
        <f>BV30*КоэффСохранения</f>
        <v/>
      </c>
      <c r="BX31" s="12">
        <f>BW30*КоэффСохранения</f>
        <v/>
      </c>
      <c r="BY31" s="12">
        <f>BX30*КоэффСохранения</f>
        <v/>
      </c>
    </row>
    <row r="32">
      <c r="B32" t="inlineStr">
        <is>
          <t>12 мес.</t>
        </is>
      </c>
      <c r="C32" t="inlineStr">
        <is>
          <t>шт.</t>
        </is>
      </c>
      <c r="D32" s="127" t="inlineStr">
        <is>
          <t>В колонках лет — значение на конец года, в «Итого» — на конец пятого года. Это остаток, а не сумма.</t>
        </is>
      </c>
      <c r="E32" s="128">
        <f>W32</f>
        <v/>
      </c>
      <c r="F32" s="128">
        <f>AI32</f>
        <v/>
      </c>
      <c r="G32" s="128">
        <f>AU32</f>
        <v/>
      </c>
      <c r="H32" s="128">
        <f>BG32</f>
        <v/>
      </c>
      <c r="I32" s="128">
        <f>BS32</f>
        <v/>
      </c>
      <c r="J32" s="13">
        <f>BS32</f>
        <v/>
      </c>
      <c r="L32" s="12">
        <f>0</f>
        <v/>
      </c>
      <c r="M32" s="12">
        <f>L31*КоэффСохранения</f>
        <v/>
      </c>
      <c r="N32" s="12">
        <f>M31*КоэффСохранения</f>
        <v/>
      </c>
      <c r="O32" s="12">
        <f>N31*КоэффСохранения</f>
        <v/>
      </c>
      <c r="P32" s="12">
        <f>O31*КоэффСохранения</f>
        <v/>
      </c>
      <c r="Q32" s="12">
        <f>P31*КоэффСохранения</f>
        <v/>
      </c>
      <c r="R32" s="12">
        <f>Q31*КоэффСохранения</f>
        <v/>
      </c>
      <c r="S32" s="12">
        <f>R31*КоэффСохранения</f>
        <v/>
      </c>
      <c r="T32" s="12">
        <f>S31*КоэффСохранения</f>
        <v/>
      </c>
      <c r="U32" s="12">
        <f>T31*КоэффСохранения</f>
        <v/>
      </c>
      <c r="V32" s="12">
        <f>U31*КоэффСохранения</f>
        <v/>
      </c>
      <c r="W32" s="12">
        <f>V31*КоэффСохранения</f>
        <v/>
      </c>
      <c r="X32" s="12">
        <f>W31*КоэффСохранения</f>
        <v/>
      </c>
      <c r="Y32" s="12">
        <f>X31*КоэффСохранения</f>
        <v/>
      </c>
      <c r="Z32" s="12">
        <f>Y31*КоэффСохранения</f>
        <v/>
      </c>
      <c r="AA32" s="12">
        <f>Z31*КоэффСохранения</f>
        <v/>
      </c>
      <c r="AB32" s="12">
        <f>AA31*КоэффСохранения</f>
        <v/>
      </c>
      <c r="AC32" s="12">
        <f>AB31*КоэффСохранения</f>
        <v/>
      </c>
      <c r="AD32" s="12">
        <f>AC31*КоэффСохранения</f>
        <v/>
      </c>
      <c r="AE32" s="12">
        <f>AD31*КоэффСохранения</f>
        <v/>
      </c>
      <c r="AF32" s="12">
        <f>AE31*КоэффСохранения</f>
        <v/>
      </c>
      <c r="AG32" s="12">
        <f>AF31*КоэффСохранения</f>
        <v/>
      </c>
      <c r="AH32" s="12">
        <f>AG31*КоэффСохранения</f>
        <v/>
      </c>
      <c r="AI32" s="12">
        <f>AH31*КоэффСохранения</f>
        <v/>
      </c>
      <c r="AJ32" s="12">
        <f>AI31*КоэффСохранения</f>
        <v/>
      </c>
      <c r="AK32" s="12">
        <f>AJ31*КоэффСохранения</f>
        <v/>
      </c>
      <c r="AL32" s="12">
        <f>AK31*КоэффСохранения</f>
        <v/>
      </c>
      <c r="AM32" s="12">
        <f>AL31*КоэффСохранения</f>
        <v/>
      </c>
      <c r="AN32" s="12">
        <f>AM31*КоэффСохранения</f>
        <v/>
      </c>
      <c r="AO32" s="12">
        <f>AN31*КоэффСохранения</f>
        <v/>
      </c>
      <c r="AP32" s="12">
        <f>AO31*КоэффСохранения</f>
        <v/>
      </c>
      <c r="AQ32" s="12">
        <f>AP31*КоэффСохранения</f>
        <v/>
      </c>
      <c r="AR32" s="12">
        <f>AQ31*КоэффСохранения</f>
        <v/>
      </c>
      <c r="AS32" s="12">
        <f>AR31*КоэффСохранения</f>
        <v/>
      </c>
      <c r="AT32" s="12">
        <f>AS31*КоэффСохранения</f>
        <v/>
      </c>
      <c r="AU32" s="12">
        <f>AT31*КоэффСохранения</f>
        <v/>
      </c>
      <c r="AV32" s="12">
        <f>AU31*КоэффСохранения</f>
        <v/>
      </c>
      <c r="AW32" s="12">
        <f>AV31*КоэффСохранения</f>
        <v/>
      </c>
      <c r="AX32" s="12">
        <f>AW31*КоэффСохранения</f>
        <v/>
      </c>
      <c r="AY32" s="12">
        <f>AX31*КоэффСохранения</f>
        <v/>
      </c>
      <c r="AZ32" s="12">
        <f>AY31*КоэффСохранения</f>
        <v/>
      </c>
      <c r="BA32" s="12">
        <f>AZ31*КоэффСохранения</f>
        <v/>
      </c>
      <c r="BB32" s="12">
        <f>BA31*КоэффСохранения</f>
        <v/>
      </c>
      <c r="BC32" s="12">
        <f>BB31*КоэффСохранения</f>
        <v/>
      </c>
      <c r="BD32" s="12">
        <f>BC31*КоэффСохранения</f>
        <v/>
      </c>
      <c r="BE32" s="12">
        <f>BD31*КоэффСохранения</f>
        <v/>
      </c>
      <c r="BF32" s="12">
        <f>BE31*КоэффСохранения</f>
        <v/>
      </c>
      <c r="BG32" s="12">
        <f>BF31*КоэффСохранения</f>
        <v/>
      </c>
      <c r="BH32" s="12">
        <f>BG31*КоэффСохранения</f>
        <v/>
      </c>
      <c r="BI32" s="12">
        <f>BH31*КоэффСохранения</f>
        <v/>
      </c>
      <c r="BJ32" s="12">
        <f>BI31*КоэффСохранения</f>
        <v/>
      </c>
      <c r="BK32" s="12">
        <f>BJ31*КоэффСохранения</f>
        <v/>
      </c>
      <c r="BL32" s="12">
        <f>BK31*КоэффСохранения</f>
        <v/>
      </c>
      <c r="BM32" s="12">
        <f>BL31*КоэффСохранения</f>
        <v/>
      </c>
      <c r="BN32" s="12">
        <f>BM31*КоэффСохранения</f>
        <v/>
      </c>
      <c r="BO32" s="12">
        <f>BN31*КоэффСохранения</f>
        <v/>
      </c>
      <c r="BP32" s="12">
        <f>BO31*КоэффСохранения</f>
        <v/>
      </c>
      <c r="BQ32" s="12">
        <f>BP31*КоэффСохранения</f>
        <v/>
      </c>
      <c r="BR32" s="12">
        <f>BQ31*КоэффСохранения</f>
        <v/>
      </c>
      <c r="BS32" s="12">
        <f>BR31*КоэффСохранения</f>
        <v/>
      </c>
      <c r="BT32" s="12">
        <f>BS31*КоэффСохранения</f>
        <v/>
      </c>
      <c r="BU32" s="12">
        <f>BT31*КоэффСохранения</f>
        <v/>
      </c>
      <c r="BV32" s="12">
        <f>BU31*КоэффСохранения</f>
        <v/>
      </c>
      <c r="BW32" s="12">
        <f>BV31*КоэффСохранения</f>
        <v/>
      </c>
      <c r="BX32" s="12">
        <f>BW31*КоэффСохранения</f>
        <v/>
      </c>
      <c r="BY32" s="12">
        <f>BX31*КоэффСохранения</f>
        <v/>
      </c>
    </row>
    <row r="33">
      <c r="B33" t="inlineStr">
        <is>
          <t>13 мес.</t>
        </is>
      </c>
      <c r="C33" t="inlineStr">
        <is>
          <t>шт.</t>
        </is>
      </c>
      <c r="D33" s="127" t="inlineStr">
        <is>
          <t>В колонках лет — значение на конец года, в «Итого» — на конец пятого года. Это остаток, а не сумма.</t>
        </is>
      </c>
      <c r="E33" s="128">
        <f>W33</f>
        <v/>
      </c>
      <c r="F33" s="128">
        <f>AI33</f>
        <v/>
      </c>
      <c r="G33" s="128">
        <f>AU33</f>
        <v/>
      </c>
      <c r="H33" s="128">
        <f>BG33</f>
        <v/>
      </c>
      <c r="I33" s="128">
        <f>BS33</f>
        <v/>
      </c>
      <c r="J33" s="13">
        <f>BS33</f>
        <v/>
      </c>
      <c r="L33" s="12">
        <f>0</f>
        <v/>
      </c>
      <c r="M33" s="12">
        <f>L32*КоэффСохранения</f>
        <v/>
      </c>
      <c r="N33" s="12">
        <f>M32*КоэффСохранения</f>
        <v/>
      </c>
      <c r="O33" s="12">
        <f>N32*КоэффСохранения</f>
        <v/>
      </c>
      <c r="P33" s="12">
        <f>O32*КоэффСохранения</f>
        <v/>
      </c>
      <c r="Q33" s="12">
        <f>P32*КоэффСохранения</f>
        <v/>
      </c>
      <c r="R33" s="12">
        <f>Q32*КоэффСохранения</f>
        <v/>
      </c>
      <c r="S33" s="12">
        <f>R32*КоэффСохранения</f>
        <v/>
      </c>
      <c r="T33" s="12">
        <f>S32*КоэффСохранения</f>
        <v/>
      </c>
      <c r="U33" s="12">
        <f>T32*КоэффСохранения</f>
        <v/>
      </c>
      <c r="V33" s="12">
        <f>U32*КоэффСохранения</f>
        <v/>
      </c>
      <c r="W33" s="12">
        <f>V32*КоэффСохранения</f>
        <v/>
      </c>
      <c r="X33" s="12">
        <f>W32*КоэффСохранения</f>
        <v/>
      </c>
      <c r="Y33" s="12">
        <f>X32*КоэффСохранения</f>
        <v/>
      </c>
      <c r="Z33" s="12">
        <f>Y32*КоэффСохранения</f>
        <v/>
      </c>
      <c r="AA33" s="12">
        <f>Z32*КоэффСохранения</f>
        <v/>
      </c>
      <c r="AB33" s="12">
        <f>AA32*КоэффСохранения</f>
        <v/>
      </c>
      <c r="AC33" s="12">
        <f>AB32*КоэффСохранения</f>
        <v/>
      </c>
      <c r="AD33" s="12">
        <f>AC32*КоэффСохранения</f>
        <v/>
      </c>
      <c r="AE33" s="12">
        <f>AD32*КоэффСохранения</f>
        <v/>
      </c>
      <c r="AF33" s="12">
        <f>AE32*КоэффСохранения</f>
        <v/>
      </c>
      <c r="AG33" s="12">
        <f>AF32*КоэффСохранения</f>
        <v/>
      </c>
      <c r="AH33" s="12">
        <f>AG32*КоэффСохранения</f>
        <v/>
      </c>
      <c r="AI33" s="12">
        <f>AH32*КоэффСохранения</f>
        <v/>
      </c>
      <c r="AJ33" s="12">
        <f>AI32*КоэффСохранения</f>
        <v/>
      </c>
      <c r="AK33" s="12">
        <f>AJ32*КоэффСохранения</f>
        <v/>
      </c>
      <c r="AL33" s="12">
        <f>AK32*КоэффСохранения</f>
        <v/>
      </c>
      <c r="AM33" s="12">
        <f>AL32*КоэффСохранения</f>
        <v/>
      </c>
      <c r="AN33" s="12">
        <f>AM32*КоэффСохранения</f>
        <v/>
      </c>
      <c r="AO33" s="12">
        <f>AN32*КоэффСохранения</f>
        <v/>
      </c>
      <c r="AP33" s="12">
        <f>AO32*КоэффСохранения</f>
        <v/>
      </c>
      <c r="AQ33" s="12">
        <f>AP32*КоэффСохранения</f>
        <v/>
      </c>
      <c r="AR33" s="12">
        <f>AQ32*КоэффСохранения</f>
        <v/>
      </c>
      <c r="AS33" s="12">
        <f>AR32*КоэффСохранения</f>
        <v/>
      </c>
      <c r="AT33" s="12">
        <f>AS32*КоэффСохранения</f>
        <v/>
      </c>
      <c r="AU33" s="12">
        <f>AT32*КоэффСохранения</f>
        <v/>
      </c>
      <c r="AV33" s="12">
        <f>AU32*КоэффСохранения</f>
        <v/>
      </c>
      <c r="AW33" s="12">
        <f>AV32*КоэффСохранения</f>
        <v/>
      </c>
      <c r="AX33" s="12">
        <f>AW32*КоэффСохранения</f>
        <v/>
      </c>
      <c r="AY33" s="12">
        <f>AX32*КоэффСохранения</f>
        <v/>
      </c>
      <c r="AZ33" s="12">
        <f>AY32*КоэффСохранения</f>
        <v/>
      </c>
      <c r="BA33" s="12">
        <f>AZ32*КоэффСохранения</f>
        <v/>
      </c>
      <c r="BB33" s="12">
        <f>BA32*КоэффСохранения</f>
        <v/>
      </c>
      <c r="BC33" s="12">
        <f>BB32*КоэффСохранения</f>
        <v/>
      </c>
      <c r="BD33" s="12">
        <f>BC32*КоэффСохранения</f>
        <v/>
      </c>
      <c r="BE33" s="12">
        <f>BD32*КоэффСохранения</f>
        <v/>
      </c>
      <c r="BF33" s="12">
        <f>BE32*КоэффСохранения</f>
        <v/>
      </c>
      <c r="BG33" s="12">
        <f>BF32*КоэффСохранения</f>
        <v/>
      </c>
      <c r="BH33" s="12">
        <f>BG32*КоэффСохранения</f>
        <v/>
      </c>
      <c r="BI33" s="12">
        <f>BH32*КоэффСохранения</f>
        <v/>
      </c>
      <c r="BJ33" s="12">
        <f>BI32*КоэффСохранения</f>
        <v/>
      </c>
      <c r="BK33" s="12">
        <f>BJ32*КоэффСохранения</f>
        <v/>
      </c>
      <c r="BL33" s="12">
        <f>BK32*КоэффСохранения</f>
        <v/>
      </c>
      <c r="BM33" s="12">
        <f>BL32*КоэффСохранения</f>
        <v/>
      </c>
      <c r="BN33" s="12">
        <f>BM32*КоэффСохранения</f>
        <v/>
      </c>
      <c r="BO33" s="12">
        <f>BN32*КоэффСохранения</f>
        <v/>
      </c>
      <c r="BP33" s="12">
        <f>BO32*КоэффСохранения</f>
        <v/>
      </c>
      <c r="BQ33" s="12">
        <f>BP32*КоэффСохранения</f>
        <v/>
      </c>
      <c r="BR33" s="12">
        <f>BQ32*КоэффСохранения</f>
        <v/>
      </c>
      <c r="BS33" s="12">
        <f>BR32*КоэффСохранения</f>
        <v/>
      </c>
      <c r="BT33" s="12">
        <f>BS32*КоэффСохранения</f>
        <v/>
      </c>
      <c r="BU33" s="12">
        <f>BT32*КоэффСохранения</f>
        <v/>
      </c>
      <c r="BV33" s="12">
        <f>BU32*КоэффСохранения</f>
        <v/>
      </c>
      <c r="BW33" s="12">
        <f>BV32*КоэффСохранения</f>
        <v/>
      </c>
      <c r="BX33" s="12">
        <f>BW32*КоэффСохранения</f>
        <v/>
      </c>
      <c r="BY33" s="12">
        <f>BX32*КоэффСохранения</f>
        <v/>
      </c>
    </row>
    <row r="34">
      <c r="B34" t="inlineStr">
        <is>
          <t>14 мес.</t>
        </is>
      </c>
      <c r="C34" t="inlineStr">
        <is>
          <t>шт.</t>
        </is>
      </c>
      <c r="D34" s="127" t="inlineStr">
        <is>
          <t>В колонках лет — значение на конец года, в «Итого» — на конец пятого года. Это остаток, а не сумма.</t>
        </is>
      </c>
      <c r="E34" s="128">
        <f>W34</f>
        <v/>
      </c>
      <c r="F34" s="128">
        <f>AI34</f>
        <v/>
      </c>
      <c r="G34" s="128">
        <f>AU34</f>
        <v/>
      </c>
      <c r="H34" s="128">
        <f>BG34</f>
        <v/>
      </c>
      <c r="I34" s="128">
        <f>BS34</f>
        <v/>
      </c>
      <c r="J34" s="13">
        <f>BS34</f>
        <v/>
      </c>
      <c r="L34" s="12">
        <f>0</f>
        <v/>
      </c>
      <c r="M34" s="12">
        <f>L33*КоэффСохранения</f>
        <v/>
      </c>
      <c r="N34" s="12">
        <f>M33*КоэффСохранения</f>
        <v/>
      </c>
      <c r="O34" s="12">
        <f>N33*КоэффСохранения</f>
        <v/>
      </c>
      <c r="P34" s="12">
        <f>O33*КоэффСохранения</f>
        <v/>
      </c>
      <c r="Q34" s="12">
        <f>P33*КоэффСохранения</f>
        <v/>
      </c>
      <c r="R34" s="12">
        <f>Q33*КоэффСохранения</f>
        <v/>
      </c>
      <c r="S34" s="12">
        <f>R33*КоэффСохранения</f>
        <v/>
      </c>
      <c r="T34" s="12">
        <f>S33*КоэффСохранения</f>
        <v/>
      </c>
      <c r="U34" s="12">
        <f>T33*КоэффСохранения</f>
        <v/>
      </c>
      <c r="V34" s="12">
        <f>U33*КоэффСохранения</f>
        <v/>
      </c>
      <c r="W34" s="12">
        <f>V33*КоэффСохранения</f>
        <v/>
      </c>
      <c r="X34" s="12">
        <f>W33*КоэффСохранения</f>
        <v/>
      </c>
      <c r="Y34" s="12">
        <f>X33*КоэффСохранения</f>
        <v/>
      </c>
      <c r="Z34" s="12">
        <f>Y33*КоэффСохранения</f>
        <v/>
      </c>
      <c r="AA34" s="12">
        <f>Z33*КоэффСохранения</f>
        <v/>
      </c>
      <c r="AB34" s="12">
        <f>AA33*КоэффСохранения</f>
        <v/>
      </c>
      <c r="AC34" s="12">
        <f>AB33*КоэффСохранения</f>
        <v/>
      </c>
      <c r="AD34" s="12">
        <f>AC33*КоэффСохранения</f>
        <v/>
      </c>
      <c r="AE34" s="12">
        <f>AD33*КоэффСохранения</f>
        <v/>
      </c>
      <c r="AF34" s="12">
        <f>AE33*КоэффСохранения</f>
        <v/>
      </c>
      <c r="AG34" s="12">
        <f>AF33*КоэффСохранения</f>
        <v/>
      </c>
      <c r="AH34" s="12">
        <f>AG33*КоэффСохранения</f>
        <v/>
      </c>
      <c r="AI34" s="12">
        <f>AH33*КоэффСохранения</f>
        <v/>
      </c>
      <c r="AJ34" s="12">
        <f>AI33*КоэффСохранения</f>
        <v/>
      </c>
      <c r="AK34" s="12">
        <f>AJ33*КоэффСохранения</f>
        <v/>
      </c>
      <c r="AL34" s="12">
        <f>AK33*КоэффСохранения</f>
        <v/>
      </c>
      <c r="AM34" s="12">
        <f>AL33*КоэффСохранения</f>
        <v/>
      </c>
      <c r="AN34" s="12">
        <f>AM33*КоэффСохранения</f>
        <v/>
      </c>
      <c r="AO34" s="12">
        <f>AN33*КоэффСохранения</f>
        <v/>
      </c>
      <c r="AP34" s="12">
        <f>AO33*КоэффСохранения</f>
        <v/>
      </c>
      <c r="AQ34" s="12">
        <f>AP33*КоэффСохранения</f>
        <v/>
      </c>
      <c r="AR34" s="12">
        <f>AQ33*КоэффСохранения</f>
        <v/>
      </c>
      <c r="AS34" s="12">
        <f>AR33*КоэффСохранения</f>
        <v/>
      </c>
      <c r="AT34" s="12">
        <f>AS33*КоэффСохранения</f>
        <v/>
      </c>
      <c r="AU34" s="12">
        <f>AT33*КоэффСохранения</f>
        <v/>
      </c>
      <c r="AV34" s="12">
        <f>AU33*КоэффСохранения</f>
        <v/>
      </c>
      <c r="AW34" s="12">
        <f>AV33*КоэффСохранения</f>
        <v/>
      </c>
      <c r="AX34" s="12">
        <f>AW33*КоэффСохранения</f>
        <v/>
      </c>
      <c r="AY34" s="12">
        <f>AX33*КоэффСохранения</f>
        <v/>
      </c>
      <c r="AZ34" s="12">
        <f>AY33*КоэффСохранения</f>
        <v/>
      </c>
      <c r="BA34" s="12">
        <f>AZ33*КоэффСохранения</f>
        <v/>
      </c>
      <c r="BB34" s="12">
        <f>BA33*КоэффСохранения</f>
        <v/>
      </c>
      <c r="BC34" s="12">
        <f>BB33*КоэффСохранения</f>
        <v/>
      </c>
      <c r="BD34" s="12">
        <f>BC33*КоэффСохранения</f>
        <v/>
      </c>
      <c r="BE34" s="12">
        <f>BD33*КоэффСохранения</f>
        <v/>
      </c>
      <c r="BF34" s="12">
        <f>BE33*КоэффСохранения</f>
        <v/>
      </c>
      <c r="BG34" s="12">
        <f>BF33*КоэффСохранения</f>
        <v/>
      </c>
      <c r="BH34" s="12">
        <f>BG33*КоэффСохранения</f>
        <v/>
      </c>
      <c r="BI34" s="12">
        <f>BH33*КоэффСохранения</f>
        <v/>
      </c>
      <c r="BJ34" s="12">
        <f>BI33*КоэффСохранения</f>
        <v/>
      </c>
      <c r="BK34" s="12">
        <f>BJ33*КоэффСохранения</f>
        <v/>
      </c>
      <c r="BL34" s="12">
        <f>BK33*КоэффСохранения</f>
        <v/>
      </c>
      <c r="BM34" s="12">
        <f>BL33*КоэффСохранения</f>
        <v/>
      </c>
      <c r="BN34" s="12">
        <f>BM33*КоэффСохранения</f>
        <v/>
      </c>
      <c r="BO34" s="12">
        <f>BN33*КоэффСохранения</f>
        <v/>
      </c>
      <c r="BP34" s="12">
        <f>BO33*КоэффСохранения</f>
        <v/>
      </c>
      <c r="BQ34" s="12">
        <f>BP33*КоэффСохранения</f>
        <v/>
      </c>
      <c r="BR34" s="12">
        <f>BQ33*КоэффСохранения</f>
        <v/>
      </c>
      <c r="BS34" s="12">
        <f>BR33*КоэффСохранения</f>
        <v/>
      </c>
      <c r="BT34" s="12">
        <f>BS33*КоэффСохранения</f>
        <v/>
      </c>
      <c r="BU34" s="12">
        <f>BT33*КоэффСохранения</f>
        <v/>
      </c>
      <c r="BV34" s="12">
        <f>BU33*КоэффСохранения</f>
        <v/>
      </c>
      <c r="BW34" s="12">
        <f>BV33*КоэффСохранения</f>
        <v/>
      </c>
      <c r="BX34" s="12">
        <f>BW33*КоэффСохранения</f>
        <v/>
      </c>
      <c r="BY34" s="12">
        <f>BX33*КоэффСохранения</f>
        <v/>
      </c>
    </row>
    <row r="35">
      <c r="B35" t="inlineStr">
        <is>
          <t>15 мес.</t>
        </is>
      </c>
      <c r="C35" t="inlineStr">
        <is>
          <t>шт.</t>
        </is>
      </c>
      <c r="D35" s="127" t="inlineStr">
        <is>
          <t>В колонках лет — значение на конец года, в «Итого» — на конец пятого года. Это остаток, а не сумма.</t>
        </is>
      </c>
      <c r="E35" s="128">
        <f>W35</f>
        <v/>
      </c>
      <c r="F35" s="128">
        <f>AI35</f>
        <v/>
      </c>
      <c r="G35" s="128">
        <f>AU35</f>
        <v/>
      </c>
      <c r="H35" s="128">
        <f>BG35</f>
        <v/>
      </c>
      <c r="I35" s="128">
        <f>BS35</f>
        <v/>
      </c>
      <c r="J35" s="13">
        <f>BS35</f>
        <v/>
      </c>
      <c r="L35" s="12">
        <f>0</f>
        <v/>
      </c>
      <c r="M35" s="12">
        <f>L34*КоэффСохранения</f>
        <v/>
      </c>
      <c r="N35" s="12">
        <f>M34*КоэффСохранения</f>
        <v/>
      </c>
      <c r="O35" s="12">
        <f>N34*КоэффСохранения</f>
        <v/>
      </c>
      <c r="P35" s="12">
        <f>O34*КоэффСохранения</f>
        <v/>
      </c>
      <c r="Q35" s="12">
        <f>P34*КоэффСохранения</f>
        <v/>
      </c>
      <c r="R35" s="12">
        <f>Q34*КоэффСохранения</f>
        <v/>
      </c>
      <c r="S35" s="12">
        <f>R34*КоэффСохранения</f>
        <v/>
      </c>
      <c r="T35" s="12">
        <f>S34*КоэффСохранения</f>
        <v/>
      </c>
      <c r="U35" s="12">
        <f>T34*КоэффСохранения</f>
        <v/>
      </c>
      <c r="V35" s="12">
        <f>U34*КоэффСохранения</f>
        <v/>
      </c>
      <c r="W35" s="12">
        <f>V34*КоэффСохранения</f>
        <v/>
      </c>
      <c r="X35" s="12">
        <f>W34*КоэффСохранения</f>
        <v/>
      </c>
      <c r="Y35" s="12">
        <f>X34*КоэффСохранения</f>
        <v/>
      </c>
      <c r="Z35" s="12">
        <f>Y34*КоэффСохранения</f>
        <v/>
      </c>
      <c r="AA35" s="12">
        <f>Z34*КоэффСохранения</f>
        <v/>
      </c>
      <c r="AB35" s="12">
        <f>AA34*КоэффСохранения</f>
        <v/>
      </c>
      <c r="AC35" s="12">
        <f>AB34*КоэффСохранения</f>
        <v/>
      </c>
      <c r="AD35" s="12">
        <f>AC34*КоэффСохранения</f>
        <v/>
      </c>
      <c r="AE35" s="12">
        <f>AD34*КоэффСохранения</f>
        <v/>
      </c>
      <c r="AF35" s="12">
        <f>AE34*КоэффСохранения</f>
        <v/>
      </c>
      <c r="AG35" s="12">
        <f>AF34*КоэффСохранения</f>
        <v/>
      </c>
      <c r="AH35" s="12">
        <f>AG34*КоэффСохранения</f>
        <v/>
      </c>
      <c r="AI35" s="12">
        <f>AH34*КоэффСохранения</f>
        <v/>
      </c>
      <c r="AJ35" s="12">
        <f>AI34*КоэффСохранения</f>
        <v/>
      </c>
      <c r="AK35" s="12">
        <f>AJ34*КоэффСохранения</f>
        <v/>
      </c>
      <c r="AL35" s="12">
        <f>AK34*КоэффСохранения</f>
        <v/>
      </c>
      <c r="AM35" s="12">
        <f>AL34*КоэффСохранения</f>
        <v/>
      </c>
      <c r="AN35" s="12">
        <f>AM34*КоэффСохранения</f>
        <v/>
      </c>
      <c r="AO35" s="12">
        <f>AN34*КоэффСохранения</f>
        <v/>
      </c>
      <c r="AP35" s="12">
        <f>AO34*КоэффСохранения</f>
        <v/>
      </c>
      <c r="AQ35" s="12">
        <f>AP34*КоэффСохранения</f>
        <v/>
      </c>
      <c r="AR35" s="12">
        <f>AQ34*КоэффСохранения</f>
        <v/>
      </c>
      <c r="AS35" s="12">
        <f>AR34*КоэффСохранения</f>
        <v/>
      </c>
      <c r="AT35" s="12">
        <f>AS34*КоэффСохранения</f>
        <v/>
      </c>
      <c r="AU35" s="12">
        <f>AT34*КоэффСохранения</f>
        <v/>
      </c>
      <c r="AV35" s="12">
        <f>AU34*КоэффСохранения</f>
        <v/>
      </c>
      <c r="AW35" s="12">
        <f>AV34*КоэффСохранения</f>
        <v/>
      </c>
      <c r="AX35" s="12">
        <f>AW34*КоэффСохранения</f>
        <v/>
      </c>
      <c r="AY35" s="12">
        <f>AX34*КоэффСохранения</f>
        <v/>
      </c>
      <c r="AZ35" s="12">
        <f>AY34*КоэффСохранения</f>
        <v/>
      </c>
      <c r="BA35" s="12">
        <f>AZ34*КоэффСохранения</f>
        <v/>
      </c>
      <c r="BB35" s="12">
        <f>BA34*КоэффСохранения</f>
        <v/>
      </c>
      <c r="BC35" s="12">
        <f>BB34*КоэффСохранения</f>
        <v/>
      </c>
      <c r="BD35" s="12">
        <f>BC34*КоэффСохранения</f>
        <v/>
      </c>
      <c r="BE35" s="12">
        <f>BD34*КоэффСохранения</f>
        <v/>
      </c>
      <c r="BF35" s="12">
        <f>BE34*КоэффСохранения</f>
        <v/>
      </c>
      <c r="BG35" s="12">
        <f>BF34*КоэффСохранения</f>
        <v/>
      </c>
      <c r="BH35" s="12">
        <f>BG34*КоэффСохранения</f>
        <v/>
      </c>
      <c r="BI35" s="12">
        <f>BH34*КоэффСохранения</f>
        <v/>
      </c>
      <c r="BJ35" s="12">
        <f>BI34*КоэффСохранения</f>
        <v/>
      </c>
      <c r="BK35" s="12">
        <f>BJ34*КоэффСохранения</f>
        <v/>
      </c>
      <c r="BL35" s="12">
        <f>BK34*КоэффСохранения</f>
        <v/>
      </c>
      <c r="BM35" s="12">
        <f>BL34*КоэффСохранения</f>
        <v/>
      </c>
      <c r="BN35" s="12">
        <f>BM34*КоэффСохранения</f>
        <v/>
      </c>
      <c r="BO35" s="12">
        <f>BN34*КоэффСохранения</f>
        <v/>
      </c>
      <c r="BP35" s="12">
        <f>BO34*КоэффСохранения</f>
        <v/>
      </c>
      <c r="BQ35" s="12">
        <f>BP34*КоэффСохранения</f>
        <v/>
      </c>
      <c r="BR35" s="12">
        <f>BQ34*КоэффСохранения</f>
        <v/>
      </c>
      <c r="BS35" s="12">
        <f>BR34*КоэффСохранения</f>
        <v/>
      </c>
      <c r="BT35" s="12">
        <f>BS34*КоэффСохранения</f>
        <v/>
      </c>
      <c r="BU35" s="12">
        <f>BT34*КоэффСохранения</f>
        <v/>
      </c>
      <c r="BV35" s="12">
        <f>BU34*КоэффСохранения</f>
        <v/>
      </c>
      <c r="BW35" s="12">
        <f>BV34*КоэффСохранения</f>
        <v/>
      </c>
      <c r="BX35" s="12">
        <f>BW34*КоэффСохранения</f>
        <v/>
      </c>
      <c r="BY35" s="12">
        <f>BX34*КоэффСохранения</f>
        <v/>
      </c>
    </row>
    <row r="36">
      <c r="B36" t="inlineStr">
        <is>
          <t>16 мес.</t>
        </is>
      </c>
      <c r="C36" t="inlineStr">
        <is>
          <t>шт.</t>
        </is>
      </c>
      <c r="D36" s="127" t="inlineStr">
        <is>
          <t>В колонках лет — значение на конец года, в «Итого» — на конец пятого года. Это остаток, а не сумма.</t>
        </is>
      </c>
      <c r="E36" s="128">
        <f>W36</f>
        <v/>
      </c>
      <c r="F36" s="128">
        <f>AI36</f>
        <v/>
      </c>
      <c r="G36" s="128">
        <f>AU36</f>
        <v/>
      </c>
      <c r="H36" s="128">
        <f>BG36</f>
        <v/>
      </c>
      <c r="I36" s="128">
        <f>BS36</f>
        <v/>
      </c>
      <c r="J36" s="13">
        <f>BS36</f>
        <v/>
      </c>
      <c r="L36" s="12">
        <f>0</f>
        <v/>
      </c>
      <c r="M36" s="12">
        <f>L35*КоэффСохранения</f>
        <v/>
      </c>
      <c r="N36" s="12">
        <f>M35*КоэффСохранения</f>
        <v/>
      </c>
      <c r="O36" s="12">
        <f>N35*КоэффСохранения</f>
        <v/>
      </c>
      <c r="P36" s="12">
        <f>O35*КоэффСохранения</f>
        <v/>
      </c>
      <c r="Q36" s="12">
        <f>P35*КоэффСохранения</f>
        <v/>
      </c>
      <c r="R36" s="12">
        <f>Q35*КоэффСохранения</f>
        <v/>
      </c>
      <c r="S36" s="12">
        <f>R35*КоэффСохранения</f>
        <v/>
      </c>
      <c r="T36" s="12">
        <f>S35*КоэффСохранения</f>
        <v/>
      </c>
      <c r="U36" s="12">
        <f>T35*КоэффСохранения</f>
        <v/>
      </c>
      <c r="V36" s="12">
        <f>U35*КоэффСохранения</f>
        <v/>
      </c>
      <c r="W36" s="12">
        <f>V35*КоэффСохранения</f>
        <v/>
      </c>
      <c r="X36" s="12">
        <f>W35*КоэффСохранения</f>
        <v/>
      </c>
      <c r="Y36" s="12">
        <f>X35*КоэффСохранения</f>
        <v/>
      </c>
      <c r="Z36" s="12">
        <f>Y35*КоэффСохранения</f>
        <v/>
      </c>
      <c r="AA36" s="12">
        <f>Z35*КоэффСохранения</f>
        <v/>
      </c>
      <c r="AB36" s="12">
        <f>AA35*КоэффСохранения</f>
        <v/>
      </c>
      <c r="AC36" s="12">
        <f>AB35*КоэффСохранения</f>
        <v/>
      </c>
      <c r="AD36" s="12">
        <f>AC35*КоэффСохранения</f>
        <v/>
      </c>
      <c r="AE36" s="12">
        <f>AD35*КоэффСохранения</f>
        <v/>
      </c>
      <c r="AF36" s="12">
        <f>AE35*КоэффСохранения</f>
        <v/>
      </c>
      <c r="AG36" s="12">
        <f>AF35*КоэффСохранения</f>
        <v/>
      </c>
      <c r="AH36" s="12">
        <f>AG35*КоэффСохранения</f>
        <v/>
      </c>
      <c r="AI36" s="12">
        <f>AH35*КоэффСохранения</f>
        <v/>
      </c>
      <c r="AJ36" s="12">
        <f>AI35*КоэффСохранения</f>
        <v/>
      </c>
      <c r="AK36" s="12">
        <f>AJ35*КоэффСохранения</f>
        <v/>
      </c>
      <c r="AL36" s="12">
        <f>AK35*КоэффСохранения</f>
        <v/>
      </c>
      <c r="AM36" s="12">
        <f>AL35*КоэффСохранения</f>
        <v/>
      </c>
      <c r="AN36" s="12">
        <f>AM35*КоэффСохранения</f>
        <v/>
      </c>
      <c r="AO36" s="12">
        <f>AN35*КоэффСохранения</f>
        <v/>
      </c>
      <c r="AP36" s="12">
        <f>AO35*КоэффСохранения</f>
        <v/>
      </c>
      <c r="AQ36" s="12">
        <f>AP35*КоэффСохранения</f>
        <v/>
      </c>
      <c r="AR36" s="12">
        <f>AQ35*КоэффСохранения</f>
        <v/>
      </c>
      <c r="AS36" s="12">
        <f>AR35*КоэффСохранения</f>
        <v/>
      </c>
      <c r="AT36" s="12">
        <f>AS35*КоэффСохранения</f>
        <v/>
      </c>
      <c r="AU36" s="12">
        <f>AT35*КоэффСохранения</f>
        <v/>
      </c>
      <c r="AV36" s="12">
        <f>AU35*КоэффСохранения</f>
        <v/>
      </c>
      <c r="AW36" s="12">
        <f>AV35*КоэффСохранения</f>
        <v/>
      </c>
      <c r="AX36" s="12">
        <f>AW35*КоэффСохранения</f>
        <v/>
      </c>
      <c r="AY36" s="12">
        <f>AX35*КоэффСохранения</f>
        <v/>
      </c>
      <c r="AZ36" s="12">
        <f>AY35*КоэффСохранения</f>
        <v/>
      </c>
      <c r="BA36" s="12">
        <f>AZ35*КоэффСохранения</f>
        <v/>
      </c>
      <c r="BB36" s="12">
        <f>BA35*КоэффСохранения</f>
        <v/>
      </c>
      <c r="BC36" s="12">
        <f>BB35*КоэффСохранения</f>
        <v/>
      </c>
      <c r="BD36" s="12">
        <f>BC35*КоэффСохранения</f>
        <v/>
      </c>
      <c r="BE36" s="12">
        <f>BD35*КоэффСохранения</f>
        <v/>
      </c>
      <c r="BF36" s="12">
        <f>BE35*КоэффСохранения</f>
        <v/>
      </c>
      <c r="BG36" s="12">
        <f>BF35*КоэффСохранения</f>
        <v/>
      </c>
      <c r="BH36" s="12">
        <f>BG35*КоэффСохранения</f>
        <v/>
      </c>
      <c r="BI36" s="12">
        <f>BH35*КоэффСохранения</f>
        <v/>
      </c>
      <c r="BJ36" s="12">
        <f>BI35*КоэффСохранения</f>
        <v/>
      </c>
      <c r="BK36" s="12">
        <f>BJ35*КоэффСохранения</f>
        <v/>
      </c>
      <c r="BL36" s="12">
        <f>BK35*КоэффСохранения</f>
        <v/>
      </c>
      <c r="BM36" s="12">
        <f>BL35*КоэффСохранения</f>
        <v/>
      </c>
      <c r="BN36" s="12">
        <f>BM35*КоэффСохранения</f>
        <v/>
      </c>
      <c r="BO36" s="12">
        <f>BN35*КоэффСохранения</f>
        <v/>
      </c>
      <c r="BP36" s="12">
        <f>BO35*КоэффСохранения</f>
        <v/>
      </c>
      <c r="BQ36" s="12">
        <f>BP35*КоэффСохранения</f>
        <v/>
      </c>
      <c r="BR36" s="12">
        <f>BQ35*КоэффСохранения</f>
        <v/>
      </c>
      <c r="BS36" s="12">
        <f>BR35*КоэффСохранения</f>
        <v/>
      </c>
      <c r="BT36" s="12">
        <f>BS35*КоэффСохранения</f>
        <v/>
      </c>
      <c r="BU36" s="12">
        <f>BT35*КоэффСохранения</f>
        <v/>
      </c>
      <c r="BV36" s="12">
        <f>BU35*КоэффСохранения</f>
        <v/>
      </c>
      <c r="BW36" s="12">
        <f>BV35*КоэффСохранения</f>
        <v/>
      </c>
      <c r="BX36" s="12">
        <f>BW35*КоэффСохранения</f>
        <v/>
      </c>
      <c r="BY36" s="12">
        <f>BX35*КоэффСохранения</f>
        <v/>
      </c>
    </row>
    <row r="37">
      <c r="B37" t="inlineStr">
        <is>
          <t>17 мес.</t>
        </is>
      </c>
      <c r="C37" t="inlineStr">
        <is>
          <t>шт.</t>
        </is>
      </c>
      <c r="D37" s="127" t="inlineStr">
        <is>
          <t>В колонках лет — значение на конец года, в «Итого» — на конец пятого года. Это остаток, а не сумма.</t>
        </is>
      </c>
      <c r="E37" s="128">
        <f>W37</f>
        <v/>
      </c>
      <c r="F37" s="128">
        <f>AI37</f>
        <v/>
      </c>
      <c r="G37" s="128">
        <f>AU37</f>
        <v/>
      </c>
      <c r="H37" s="128">
        <f>BG37</f>
        <v/>
      </c>
      <c r="I37" s="128">
        <f>BS37</f>
        <v/>
      </c>
      <c r="J37" s="13">
        <f>BS37</f>
        <v/>
      </c>
      <c r="L37" s="12">
        <f>0</f>
        <v/>
      </c>
      <c r="M37" s="12">
        <f>L36*КоэффСохранения</f>
        <v/>
      </c>
      <c r="N37" s="12">
        <f>M36*КоэффСохранения</f>
        <v/>
      </c>
      <c r="O37" s="12">
        <f>N36*КоэффСохранения</f>
        <v/>
      </c>
      <c r="P37" s="12">
        <f>O36*КоэффСохранения</f>
        <v/>
      </c>
      <c r="Q37" s="12">
        <f>P36*КоэффСохранения</f>
        <v/>
      </c>
      <c r="R37" s="12">
        <f>Q36*КоэффСохранения</f>
        <v/>
      </c>
      <c r="S37" s="12">
        <f>R36*КоэффСохранения</f>
        <v/>
      </c>
      <c r="T37" s="12">
        <f>S36*КоэффСохранения</f>
        <v/>
      </c>
      <c r="U37" s="12">
        <f>T36*КоэффСохранения</f>
        <v/>
      </c>
      <c r="V37" s="12">
        <f>U36*КоэффСохранения</f>
        <v/>
      </c>
      <c r="W37" s="12">
        <f>V36*КоэффСохранения</f>
        <v/>
      </c>
      <c r="X37" s="12">
        <f>W36*КоэффСохранения</f>
        <v/>
      </c>
      <c r="Y37" s="12">
        <f>X36*КоэффСохранения</f>
        <v/>
      </c>
      <c r="Z37" s="12">
        <f>Y36*КоэффСохранения</f>
        <v/>
      </c>
      <c r="AA37" s="12">
        <f>Z36*КоэффСохранения</f>
        <v/>
      </c>
      <c r="AB37" s="12">
        <f>AA36*КоэффСохранения</f>
        <v/>
      </c>
      <c r="AC37" s="12">
        <f>AB36*КоэффСохранения</f>
        <v/>
      </c>
      <c r="AD37" s="12">
        <f>AC36*КоэффСохранения</f>
        <v/>
      </c>
      <c r="AE37" s="12">
        <f>AD36*КоэффСохранения</f>
        <v/>
      </c>
      <c r="AF37" s="12">
        <f>AE36*КоэффСохранения</f>
        <v/>
      </c>
      <c r="AG37" s="12">
        <f>AF36*КоэффСохранения</f>
        <v/>
      </c>
      <c r="AH37" s="12">
        <f>AG36*КоэффСохранения</f>
        <v/>
      </c>
      <c r="AI37" s="12">
        <f>AH36*КоэффСохранения</f>
        <v/>
      </c>
      <c r="AJ37" s="12">
        <f>AI36*КоэффСохранения</f>
        <v/>
      </c>
      <c r="AK37" s="12">
        <f>AJ36*КоэффСохранения</f>
        <v/>
      </c>
      <c r="AL37" s="12">
        <f>AK36*КоэффСохранения</f>
        <v/>
      </c>
      <c r="AM37" s="12">
        <f>AL36*КоэффСохранения</f>
        <v/>
      </c>
      <c r="AN37" s="12">
        <f>AM36*КоэффСохранения</f>
        <v/>
      </c>
      <c r="AO37" s="12">
        <f>AN36*КоэффСохранения</f>
        <v/>
      </c>
      <c r="AP37" s="12">
        <f>AO36*КоэффСохранения</f>
        <v/>
      </c>
      <c r="AQ37" s="12">
        <f>AP36*КоэффСохранения</f>
        <v/>
      </c>
      <c r="AR37" s="12">
        <f>AQ36*КоэффСохранения</f>
        <v/>
      </c>
      <c r="AS37" s="12">
        <f>AR36*КоэффСохранения</f>
        <v/>
      </c>
      <c r="AT37" s="12">
        <f>AS36*КоэффСохранения</f>
        <v/>
      </c>
      <c r="AU37" s="12">
        <f>AT36*КоэффСохранения</f>
        <v/>
      </c>
      <c r="AV37" s="12">
        <f>AU36*КоэффСохранения</f>
        <v/>
      </c>
      <c r="AW37" s="12">
        <f>AV36*КоэффСохранения</f>
        <v/>
      </c>
      <c r="AX37" s="12">
        <f>AW36*КоэффСохранения</f>
        <v/>
      </c>
      <c r="AY37" s="12">
        <f>AX36*КоэффСохранения</f>
        <v/>
      </c>
      <c r="AZ37" s="12">
        <f>AY36*КоэффСохранения</f>
        <v/>
      </c>
      <c r="BA37" s="12">
        <f>AZ36*КоэффСохранения</f>
        <v/>
      </c>
      <c r="BB37" s="12">
        <f>BA36*КоэффСохранения</f>
        <v/>
      </c>
      <c r="BC37" s="12">
        <f>BB36*КоэффСохранения</f>
        <v/>
      </c>
      <c r="BD37" s="12">
        <f>BC36*КоэффСохранения</f>
        <v/>
      </c>
      <c r="BE37" s="12">
        <f>BD36*КоэффСохранения</f>
        <v/>
      </c>
      <c r="BF37" s="12">
        <f>BE36*КоэффСохранения</f>
        <v/>
      </c>
      <c r="BG37" s="12">
        <f>BF36*КоэффСохранения</f>
        <v/>
      </c>
      <c r="BH37" s="12">
        <f>BG36*КоэффСохранения</f>
        <v/>
      </c>
      <c r="BI37" s="12">
        <f>BH36*КоэффСохранения</f>
        <v/>
      </c>
      <c r="BJ37" s="12">
        <f>BI36*КоэффСохранения</f>
        <v/>
      </c>
      <c r="BK37" s="12">
        <f>BJ36*КоэффСохранения</f>
        <v/>
      </c>
      <c r="BL37" s="12">
        <f>BK36*КоэффСохранения</f>
        <v/>
      </c>
      <c r="BM37" s="12">
        <f>BL36*КоэффСохранения</f>
        <v/>
      </c>
      <c r="BN37" s="12">
        <f>BM36*КоэффСохранения</f>
        <v/>
      </c>
      <c r="BO37" s="12">
        <f>BN36*КоэффСохранения</f>
        <v/>
      </c>
      <c r="BP37" s="12">
        <f>BO36*КоэффСохранения</f>
        <v/>
      </c>
      <c r="BQ37" s="12">
        <f>BP36*КоэффСохранения</f>
        <v/>
      </c>
      <c r="BR37" s="12">
        <f>BQ36*КоэффСохранения</f>
        <v/>
      </c>
      <c r="BS37" s="12">
        <f>BR36*КоэффСохранения</f>
        <v/>
      </c>
      <c r="BT37" s="12">
        <f>BS36*КоэффСохранения</f>
        <v/>
      </c>
      <c r="BU37" s="12">
        <f>BT36*КоэффСохранения</f>
        <v/>
      </c>
      <c r="BV37" s="12">
        <f>BU36*КоэффСохранения</f>
        <v/>
      </c>
      <c r="BW37" s="12">
        <f>BV36*КоэффСохранения</f>
        <v/>
      </c>
      <c r="BX37" s="12">
        <f>BW36*КоэффСохранения</f>
        <v/>
      </c>
      <c r="BY37" s="12">
        <f>BX36*КоэффСохранения</f>
        <v/>
      </c>
    </row>
    <row r="38">
      <c r="B38" t="inlineStr">
        <is>
          <t>18 мес.</t>
        </is>
      </c>
      <c r="C38" t="inlineStr">
        <is>
          <t>шт.</t>
        </is>
      </c>
      <c r="D38" s="127" t="inlineStr">
        <is>
          <t>В колонках лет — значение на конец года, в «Итого» — на конец пятого года. Это остаток, а не сумма.</t>
        </is>
      </c>
      <c r="E38" s="128">
        <f>W38</f>
        <v/>
      </c>
      <c r="F38" s="128">
        <f>AI38</f>
        <v/>
      </c>
      <c r="G38" s="128">
        <f>AU38</f>
        <v/>
      </c>
      <c r="H38" s="128">
        <f>BG38</f>
        <v/>
      </c>
      <c r="I38" s="128">
        <f>BS38</f>
        <v/>
      </c>
      <c r="J38" s="13">
        <f>BS38</f>
        <v/>
      </c>
      <c r="L38" s="12">
        <f>0</f>
        <v/>
      </c>
      <c r="M38" s="12">
        <f>L37*КоэффСохранения</f>
        <v/>
      </c>
      <c r="N38" s="12">
        <f>M37*КоэффСохранения</f>
        <v/>
      </c>
      <c r="O38" s="12">
        <f>N37*КоэффСохранения</f>
        <v/>
      </c>
      <c r="P38" s="12">
        <f>O37*КоэффСохранения</f>
        <v/>
      </c>
      <c r="Q38" s="12">
        <f>P37*КоэффСохранения</f>
        <v/>
      </c>
      <c r="R38" s="12">
        <f>Q37*КоэффСохранения</f>
        <v/>
      </c>
      <c r="S38" s="12">
        <f>R37*КоэффСохранения</f>
        <v/>
      </c>
      <c r="T38" s="12">
        <f>S37*КоэффСохранения</f>
        <v/>
      </c>
      <c r="U38" s="12">
        <f>T37*КоэффСохранения</f>
        <v/>
      </c>
      <c r="V38" s="12">
        <f>U37*КоэффСохранения</f>
        <v/>
      </c>
      <c r="W38" s="12">
        <f>V37*КоэффСохранения</f>
        <v/>
      </c>
      <c r="X38" s="12">
        <f>W37*КоэффСохранения</f>
        <v/>
      </c>
      <c r="Y38" s="12">
        <f>X37*КоэффСохранения</f>
        <v/>
      </c>
      <c r="Z38" s="12">
        <f>Y37*КоэффСохранения</f>
        <v/>
      </c>
      <c r="AA38" s="12">
        <f>Z37*КоэффСохранения</f>
        <v/>
      </c>
      <c r="AB38" s="12">
        <f>AA37*КоэффСохранения</f>
        <v/>
      </c>
      <c r="AC38" s="12">
        <f>AB37*КоэффСохранения</f>
        <v/>
      </c>
      <c r="AD38" s="12">
        <f>AC37*КоэффСохранения</f>
        <v/>
      </c>
      <c r="AE38" s="12">
        <f>AD37*КоэффСохранения</f>
        <v/>
      </c>
      <c r="AF38" s="12">
        <f>AE37*КоэффСохранения</f>
        <v/>
      </c>
      <c r="AG38" s="12">
        <f>AF37*КоэффСохранения</f>
        <v/>
      </c>
      <c r="AH38" s="12">
        <f>AG37*КоэффСохранения</f>
        <v/>
      </c>
      <c r="AI38" s="12">
        <f>AH37*КоэффСохранения</f>
        <v/>
      </c>
      <c r="AJ38" s="12">
        <f>AI37*КоэффСохранения</f>
        <v/>
      </c>
      <c r="AK38" s="12">
        <f>AJ37*КоэффСохранения</f>
        <v/>
      </c>
      <c r="AL38" s="12">
        <f>AK37*КоэффСохранения</f>
        <v/>
      </c>
      <c r="AM38" s="12">
        <f>AL37*КоэффСохранения</f>
        <v/>
      </c>
      <c r="AN38" s="12">
        <f>AM37*КоэффСохранения</f>
        <v/>
      </c>
      <c r="AO38" s="12">
        <f>AN37*КоэффСохранения</f>
        <v/>
      </c>
      <c r="AP38" s="12">
        <f>AO37*КоэффСохранения</f>
        <v/>
      </c>
      <c r="AQ38" s="12">
        <f>AP37*КоэффСохранения</f>
        <v/>
      </c>
      <c r="AR38" s="12">
        <f>AQ37*КоэффСохранения</f>
        <v/>
      </c>
      <c r="AS38" s="12">
        <f>AR37*КоэффСохранения</f>
        <v/>
      </c>
      <c r="AT38" s="12">
        <f>AS37*КоэффСохранения</f>
        <v/>
      </c>
      <c r="AU38" s="12">
        <f>AT37*КоэффСохранения</f>
        <v/>
      </c>
      <c r="AV38" s="12">
        <f>AU37*КоэффСохранения</f>
        <v/>
      </c>
      <c r="AW38" s="12">
        <f>AV37*КоэффСохранения</f>
        <v/>
      </c>
      <c r="AX38" s="12">
        <f>AW37*КоэффСохранения</f>
        <v/>
      </c>
      <c r="AY38" s="12">
        <f>AX37*КоэффСохранения</f>
        <v/>
      </c>
      <c r="AZ38" s="12">
        <f>AY37*КоэффСохранения</f>
        <v/>
      </c>
      <c r="BA38" s="12">
        <f>AZ37*КоэффСохранения</f>
        <v/>
      </c>
      <c r="BB38" s="12">
        <f>BA37*КоэффСохранения</f>
        <v/>
      </c>
      <c r="BC38" s="12">
        <f>BB37*КоэффСохранения</f>
        <v/>
      </c>
      <c r="BD38" s="12">
        <f>BC37*КоэффСохранения</f>
        <v/>
      </c>
      <c r="BE38" s="12">
        <f>BD37*КоэффСохранения</f>
        <v/>
      </c>
      <c r="BF38" s="12">
        <f>BE37*КоэффСохранения</f>
        <v/>
      </c>
      <c r="BG38" s="12">
        <f>BF37*КоэффСохранения</f>
        <v/>
      </c>
      <c r="BH38" s="12">
        <f>BG37*КоэффСохранения</f>
        <v/>
      </c>
      <c r="BI38" s="12">
        <f>BH37*КоэффСохранения</f>
        <v/>
      </c>
      <c r="BJ38" s="12">
        <f>BI37*КоэффСохранения</f>
        <v/>
      </c>
      <c r="BK38" s="12">
        <f>BJ37*КоэффСохранения</f>
        <v/>
      </c>
      <c r="BL38" s="12">
        <f>BK37*КоэффСохранения</f>
        <v/>
      </c>
      <c r="BM38" s="12">
        <f>BL37*КоэффСохранения</f>
        <v/>
      </c>
      <c r="BN38" s="12">
        <f>BM37*КоэффСохранения</f>
        <v/>
      </c>
      <c r="BO38" s="12">
        <f>BN37*КоэффСохранения</f>
        <v/>
      </c>
      <c r="BP38" s="12">
        <f>BO37*КоэффСохранения</f>
        <v/>
      </c>
      <c r="BQ38" s="12">
        <f>BP37*КоэффСохранения</f>
        <v/>
      </c>
      <c r="BR38" s="12">
        <f>BQ37*КоэффСохранения</f>
        <v/>
      </c>
      <c r="BS38" s="12">
        <f>BR37*КоэффСохранения</f>
        <v/>
      </c>
      <c r="BT38" s="12">
        <f>BS37*КоэффСохранения</f>
        <v/>
      </c>
      <c r="BU38" s="12">
        <f>BT37*КоэффСохранения</f>
        <v/>
      </c>
      <c r="BV38" s="12">
        <f>BU37*КоэффСохранения</f>
        <v/>
      </c>
      <c r="BW38" s="12">
        <f>BV37*КоэффСохранения</f>
        <v/>
      </c>
      <c r="BX38" s="12">
        <f>BW37*КоэффСохранения</f>
        <v/>
      </c>
      <c r="BY38" s="12">
        <f>BX37*КоэффСохранения</f>
        <v/>
      </c>
    </row>
    <row r="39">
      <c r="B39" t="inlineStr">
        <is>
          <t>19 мес.</t>
        </is>
      </c>
      <c r="C39" t="inlineStr">
        <is>
          <t>шт.</t>
        </is>
      </c>
      <c r="D39" s="127" t="inlineStr">
        <is>
          <t>В колонках лет — значение на конец года, в «Итого» — на конец пятого года. Это остаток, а не сумма.</t>
        </is>
      </c>
      <c r="E39" s="128">
        <f>W39</f>
        <v/>
      </c>
      <c r="F39" s="128">
        <f>AI39</f>
        <v/>
      </c>
      <c r="G39" s="128">
        <f>AU39</f>
        <v/>
      </c>
      <c r="H39" s="128">
        <f>BG39</f>
        <v/>
      </c>
      <c r="I39" s="128">
        <f>BS39</f>
        <v/>
      </c>
      <c r="J39" s="13">
        <f>BS39</f>
        <v/>
      </c>
      <c r="L39" s="12">
        <f>0</f>
        <v/>
      </c>
      <c r="M39" s="12">
        <f>L38*КоэффСохранения</f>
        <v/>
      </c>
      <c r="N39" s="12">
        <f>M38*КоэффСохранения</f>
        <v/>
      </c>
      <c r="O39" s="12">
        <f>N38*КоэффСохранения</f>
        <v/>
      </c>
      <c r="P39" s="12">
        <f>O38*КоэффСохранения</f>
        <v/>
      </c>
      <c r="Q39" s="12">
        <f>P38*КоэффСохранения</f>
        <v/>
      </c>
      <c r="R39" s="12">
        <f>Q38*КоэффСохранения</f>
        <v/>
      </c>
      <c r="S39" s="12">
        <f>R38*КоэффСохранения</f>
        <v/>
      </c>
      <c r="T39" s="12">
        <f>S38*КоэффСохранения</f>
        <v/>
      </c>
      <c r="U39" s="12">
        <f>T38*КоэффСохранения</f>
        <v/>
      </c>
      <c r="V39" s="12">
        <f>U38*КоэффСохранения</f>
        <v/>
      </c>
      <c r="W39" s="12">
        <f>V38*КоэффСохранения</f>
        <v/>
      </c>
      <c r="X39" s="12">
        <f>W38*КоэффСохранения</f>
        <v/>
      </c>
      <c r="Y39" s="12">
        <f>X38*КоэффСохранения</f>
        <v/>
      </c>
      <c r="Z39" s="12">
        <f>Y38*КоэффСохранения</f>
        <v/>
      </c>
      <c r="AA39" s="12">
        <f>Z38*КоэффСохранения</f>
        <v/>
      </c>
      <c r="AB39" s="12">
        <f>AA38*КоэффСохранения</f>
        <v/>
      </c>
      <c r="AC39" s="12">
        <f>AB38*КоэффСохранения</f>
        <v/>
      </c>
      <c r="AD39" s="12">
        <f>AC38*КоэффСохранения</f>
        <v/>
      </c>
      <c r="AE39" s="12">
        <f>AD38*КоэффСохранения</f>
        <v/>
      </c>
      <c r="AF39" s="12">
        <f>AE38*КоэффСохранения</f>
        <v/>
      </c>
      <c r="AG39" s="12">
        <f>AF38*КоэффСохранения</f>
        <v/>
      </c>
      <c r="AH39" s="12">
        <f>AG38*КоэффСохранения</f>
        <v/>
      </c>
      <c r="AI39" s="12">
        <f>AH38*КоэффСохранения</f>
        <v/>
      </c>
      <c r="AJ39" s="12">
        <f>AI38*КоэффСохранения</f>
        <v/>
      </c>
      <c r="AK39" s="12">
        <f>AJ38*КоэффСохранения</f>
        <v/>
      </c>
      <c r="AL39" s="12">
        <f>AK38*КоэффСохранения</f>
        <v/>
      </c>
      <c r="AM39" s="12">
        <f>AL38*КоэффСохранения</f>
        <v/>
      </c>
      <c r="AN39" s="12">
        <f>AM38*КоэффСохранения</f>
        <v/>
      </c>
      <c r="AO39" s="12">
        <f>AN38*КоэффСохранения</f>
        <v/>
      </c>
      <c r="AP39" s="12">
        <f>AO38*КоэффСохранения</f>
        <v/>
      </c>
      <c r="AQ39" s="12">
        <f>AP38*КоэффСохранения</f>
        <v/>
      </c>
      <c r="AR39" s="12">
        <f>AQ38*КоэффСохранения</f>
        <v/>
      </c>
      <c r="AS39" s="12">
        <f>AR38*КоэффСохранения</f>
        <v/>
      </c>
      <c r="AT39" s="12">
        <f>AS38*КоэффСохранения</f>
        <v/>
      </c>
      <c r="AU39" s="12">
        <f>AT38*КоэффСохранения</f>
        <v/>
      </c>
      <c r="AV39" s="12">
        <f>AU38*КоэффСохранения</f>
        <v/>
      </c>
      <c r="AW39" s="12">
        <f>AV38*КоэффСохранения</f>
        <v/>
      </c>
      <c r="AX39" s="12">
        <f>AW38*КоэффСохранения</f>
        <v/>
      </c>
      <c r="AY39" s="12">
        <f>AX38*КоэффСохранения</f>
        <v/>
      </c>
      <c r="AZ39" s="12">
        <f>AY38*КоэффСохранения</f>
        <v/>
      </c>
      <c r="BA39" s="12">
        <f>AZ38*КоэффСохранения</f>
        <v/>
      </c>
      <c r="BB39" s="12">
        <f>BA38*КоэффСохранения</f>
        <v/>
      </c>
      <c r="BC39" s="12">
        <f>BB38*КоэффСохранения</f>
        <v/>
      </c>
      <c r="BD39" s="12">
        <f>BC38*КоэффСохранения</f>
        <v/>
      </c>
      <c r="BE39" s="12">
        <f>BD38*КоэффСохранения</f>
        <v/>
      </c>
      <c r="BF39" s="12">
        <f>BE38*КоэффСохранения</f>
        <v/>
      </c>
      <c r="BG39" s="12">
        <f>BF38*КоэффСохранения</f>
        <v/>
      </c>
      <c r="BH39" s="12">
        <f>BG38*КоэффСохранения</f>
        <v/>
      </c>
      <c r="BI39" s="12">
        <f>BH38*КоэффСохранения</f>
        <v/>
      </c>
      <c r="BJ39" s="12">
        <f>BI38*КоэффСохранения</f>
        <v/>
      </c>
      <c r="BK39" s="12">
        <f>BJ38*КоэффСохранения</f>
        <v/>
      </c>
      <c r="BL39" s="12">
        <f>BK38*КоэффСохранения</f>
        <v/>
      </c>
      <c r="BM39" s="12">
        <f>BL38*КоэффСохранения</f>
        <v/>
      </c>
      <c r="BN39" s="12">
        <f>BM38*КоэффСохранения</f>
        <v/>
      </c>
      <c r="BO39" s="12">
        <f>BN38*КоэффСохранения</f>
        <v/>
      </c>
      <c r="BP39" s="12">
        <f>BO38*КоэффСохранения</f>
        <v/>
      </c>
      <c r="BQ39" s="12">
        <f>BP38*КоэффСохранения</f>
        <v/>
      </c>
      <c r="BR39" s="12">
        <f>BQ38*КоэффСохранения</f>
        <v/>
      </c>
      <c r="BS39" s="12">
        <f>BR38*КоэффСохранения</f>
        <v/>
      </c>
      <c r="BT39" s="12">
        <f>BS38*КоэффСохранения</f>
        <v/>
      </c>
      <c r="BU39" s="12">
        <f>BT38*КоэффСохранения</f>
        <v/>
      </c>
      <c r="BV39" s="12">
        <f>BU38*КоэффСохранения</f>
        <v/>
      </c>
      <c r="BW39" s="12">
        <f>BV38*КоэффСохранения</f>
        <v/>
      </c>
      <c r="BX39" s="12">
        <f>BW38*КоэффСохранения</f>
        <v/>
      </c>
      <c r="BY39" s="12">
        <f>BX38*КоэффСохранения</f>
        <v/>
      </c>
    </row>
    <row r="40">
      <c r="B40" t="inlineStr">
        <is>
          <t>20 мес.</t>
        </is>
      </c>
      <c r="C40" t="inlineStr">
        <is>
          <t>шт.</t>
        </is>
      </c>
      <c r="D40" s="127" t="inlineStr">
        <is>
          <t>В колонках лет — значение на конец года, в «Итого» — на конец пятого года. Это остаток, а не сумма.</t>
        </is>
      </c>
      <c r="E40" s="128">
        <f>W40</f>
        <v/>
      </c>
      <c r="F40" s="128">
        <f>AI40</f>
        <v/>
      </c>
      <c r="G40" s="128">
        <f>AU40</f>
        <v/>
      </c>
      <c r="H40" s="128">
        <f>BG40</f>
        <v/>
      </c>
      <c r="I40" s="128">
        <f>BS40</f>
        <v/>
      </c>
      <c r="J40" s="13">
        <f>BS40</f>
        <v/>
      </c>
      <c r="L40" s="12">
        <f>0</f>
        <v/>
      </c>
      <c r="M40" s="12">
        <f>L39*КоэффСохранения</f>
        <v/>
      </c>
      <c r="N40" s="12">
        <f>M39*КоэффСохранения</f>
        <v/>
      </c>
      <c r="O40" s="12">
        <f>N39*КоэффСохранения</f>
        <v/>
      </c>
      <c r="P40" s="12">
        <f>O39*КоэффСохранения</f>
        <v/>
      </c>
      <c r="Q40" s="12">
        <f>P39*КоэффСохранения</f>
        <v/>
      </c>
      <c r="R40" s="12">
        <f>Q39*КоэффСохранения</f>
        <v/>
      </c>
      <c r="S40" s="12">
        <f>R39*КоэффСохранения</f>
        <v/>
      </c>
      <c r="T40" s="12">
        <f>S39*КоэффСохранения</f>
        <v/>
      </c>
      <c r="U40" s="12">
        <f>T39*КоэффСохранения</f>
        <v/>
      </c>
      <c r="V40" s="12">
        <f>U39*КоэффСохранения</f>
        <v/>
      </c>
      <c r="W40" s="12">
        <f>V39*КоэффСохранения</f>
        <v/>
      </c>
      <c r="X40" s="12">
        <f>W39*КоэффСохранения</f>
        <v/>
      </c>
      <c r="Y40" s="12">
        <f>X39*КоэффСохранения</f>
        <v/>
      </c>
      <c r="Z40" s="12">
        <f>Y39*КоэффСохранения</f>
        <v/>
      </c>
      <c r="AA40" s="12">
        <f>Z39*КоэффСохранения</f>
        <v/>
      </c>
      <c r="AB40" s="12">
        <f>AA39*КоэффСохранения</f>
        <v/>
      </c>
      <c r="AC40" s="12">
        <f>AB39*КоэффСохранения</f>
        <v/>
      </c>
      <c r="AD40" s="12">
        <f>AC39*КоэффСохранения</f>
        <v/>
      </c>
      <c r="AE40" s="12">
        <f>AD39*КоэффСохранения</f>
        <v/>
      </c>
      <c r="AF40" s="12">
        <f>AE39*КоэффСохранения</f>
        <v/>
      </c>
      <c r="AG40" s="12">
        <f>AF39*КоэффСохранения</f>
        <v/>
      </c>
      <c r="AH40" s="12">
        <f>AG39*КоэффСохранения</f>
        <v/>
      </c>
      <c r="AI40" s="12">
        <f>AH39*КоэффСохранения</f>
        <v/>
      </c>
      <c r="AJ40" s="12">
        <f>AI39*КоэффСохранения</f>
        <v/>
      </c>
      <c r="AK40" s="12">
        <f>AJ39*КоэффСохранения</f>
        <v/>
      </c>
      <c r="AL40" s="12">
        <f>AK39*КоэффСохранения</f>
        <v/>
      </c>
      <c r="AM40" s="12">
        <f>AL39*КоэффСохранения</f>
        <v/>
      </c>
      <c r="AN40" s="12">
        <f>AM39*КоэффСохранения</f>
        <v/>
      </c>
      <c r="AO40" s="12">
        <f>AN39*КоэффСохранения</f>
        <v/>
      </c>
      <c r="AP40" s="12">
        <f>AO39*КоэффСохранения</f>
        <v/>
      </c>
      <c r="AQ40" s="12">
        <f>AP39*КоэффСохранения</f>
        <v/>
      </c>
      <c r="AR40" s="12">
        <f>AQ39*КоэффСохранения</f>
        <v/>
      </c>
      <c r="AS40" s="12">
        <f>AR39*КоэффСохранения</f>
        <v/>
      </c>
      <c r="AT40" s="12">
        <f>AS39*КоэффСохранения</f>
        <v/>
      </c>
      <c r="AU40" s="12">
        <f>AT39*КоэффСохранения</f>
        <v/>
      </c>
      <c r="AV40" s="12">
        <f>AU39*КоэффСохранения</f>
        <v/>
      </c>
      <c r="AW40" s="12">
        <f>AV39*КоэффСохранения</f>
        <v/>
      </c>
      <c r="AX40" s="12">
        <f>AW39*КоэффСохранения</f>
        <v/>
      </c>
      <c r="AY40" s="12">
        <f>AX39*КоэффСохранения</f>
        <v/>
      </c>
      <c r="AZ40" s="12">
        <f>AY39*КоэффСохранения</f>
        <v/>
      </c>
      <c r="BA40" s="12">
        <f>AZ39*КоэффСохранения</f>
        <v/>
      </c>
      <c r="BB40" s="12">
        <f>BA39*КоэффСохранения</f>
        <v/>
      </c>
      <c r="BC40" s="12">
        <f>BB39*КоэффСохранения</f>
        <v/>
      </c>
      <c r="BD40" s="12">
        <f>BC39*КоэффСохранения</f>
        <v/>
      </c>
      <c r="BE40" s="12">
        <f>BD39*КоэффСохранения</f>
        <v/>
      </c>
      <c r="BF40" s="12">
        <f>BE39*КоэффСохранения</f>
        <v/>
      </c>
      <c r="BG40" s="12">
        <f>BF39*КоэффСохранения</f>
        <v/>
      </c>
      <c r="BH40" s="12">
        <f>BG39*КоэффСохранения</f>
        <v/>
      </c>
      <c r="BI40" s="12">
        <f>BH39*КоэффСохранения</f>
        <v/>
      </c>
      <c r="BJ40" s="12">
        <f>BI39*КоэффСохранения</f>
        <v/>
      </c>
      <c r="BK40" s="12">
        <f>BJ39*КоэффСохранения</f>
        <v/>
      </c>
      <c r="BL40" s="12">
        <f>BK39*КоэффСохранения</f>
        <v/>
      </c>
      <c r="BM40" s="12">
        <f>BL39*КоэффСохранения</f>
        <v/>
      </c>
      <c r="BN40" s="12">
        <f>BM39*КоэффСохранения</f>
        <v/>
      </c>
      <c r="BO40" s="12">
        <f>BN39*КоэффСохранения</f>
        <v/>
      </c>
      <c r="BP40" s="12">
        <f>BO39*КоэффСохранения</f>
        <v/>
      </c>
      <c r="BQ40" s="12">
        <f>BP39*КоэффСохранения</f>
        <v/>
      </c>
      <c r="BR40" s="12">
        <f>BQ39*КоэффСохранения</f>
        <v/>
      </c>
      <c r="BS40" s="12">
        <f>BR39*КоэффСохранения</f>
        <v/>
      </c>
      <c r="BT40" s="12">
        <f>BS39*КоэффСохранения</f>
        <v/>
      </c>
      <c r="BU40" s="12">
        <f>BT39*КоэффСохранения</f>
        <v/>
      </c>
      <c r="BV40" s="12">
        <f>BU39*КоэффСохранения</f>
        <v/>
      </c>
      <c r="BW40" s="12">
        <f>BV39*КоэффСохранения</f>
        <v/>
      </c>
      <c r="BX40" s="12">
        <f>BW39*КоэффСохранения</f>
        <v/>
      </c>
      <c r="BY40" s="12">
        <f>BX39*КоэффСохранения</f>
        <v/>
      </c>
    </row>
    <row r="41">
      <c r="B41" t="inlineStr">
        <is>
          <t>21 мес.</t>
        </is>
      </c>
      <c r="C41" t="inlineStr">
        <is>
          <t>шт.</t>
        </is>
      </c>
      <c r="D41" s="127" t="inlineStr">
        <is>
          <t>В колонках лет — значение на конец года, в «Итого» — на конец пятого года. Это остаток, а не сумма.</t>
        </is>
      </c>
      <c r="E41" s="128">
        <f>W41</f>
        <v/>
      </c>
      <c r="F41" s="128">
        <f>AI41</f>
        <v/>
      </c>
      <c r="G41" s="128">
        <f>AU41</f>
        <v/>
      </c>
      <c r="H41" s="128">
        <f>BG41</f>
        <v/>
      </c>
      <c r="I41" s="128">
        <f>BS41</f>
        <v/>
      </c>
      <c r="J41" s="13">
        <f>BS41</f>
        <v/>
      </c>
      <c r="L41" s="12">
        <f>0</f>
        <v/>
      </c>
      <c r="M41" s="12">
        <f>L40*КоэффСохранения</f>
        <v/>
      </c>
      <c r="N41" s="12">
        <f>M40*КоэффСохранения</f>
        <v/>
      </c>
      <c r="O41" s="12">
        <f>N40*КоэффСохранения</f>
        <v/>
      </c>
      <c r="P41" s="12">
        <f>O40*КоэффСохранения</f>
        <v/>
      </c>
      <c r="Q41" s="12">
        <f>P40*КоэффСохранения</f>
        <v/>
      </c>
      <c r="R41" s="12">
        <f>Q40*КоэффСохранения</f>
        <v/>
      </c>
      <c r="S41" s="12">
        <f>R40*КоэффСохранения</f>
        <v/>
      </c>
      <c r="T41" s="12">
        <f>S40*КоэффСохранения</f>
        <v/>
      </c>
      <c r="U41" s="12">
        <f>T40*КоэффСохранения</f>
        <v/>
      </c>
      <c r="V41" s="12">
        <f>U40*КоэффСохранения</f>
        <v/>
      </c>
      <c r="W41" s="12">
        <f>V40*КоэффСохранения</f>
        <v/>
      </c>
      <c r="X41" s="12">
        <f>W40*КоэффСохранения</f>
        <v/>
      </c>
      <c r="Y41" s="12">
        <f>X40*КоэффСохранения</f>
        <v/>
      </c>
      <c r="Z41" s="12">
        <f>Y40*КоэффСохранения</f>
        <v/>
      </c>
      <c r="AA41" s="12">
        <f>Z40*КоэффСохранения</f>
        <v/>
      </c>
      <c r="AB41" s="12">
        <f>AA40*КоэффСохранения</f>
        <v/>
      </c>
      <c r="AC41" s="12">
        <f>AB40*КоэффСохранения</f>
        <v/>
      </c>
      <c r="AD41" s="12">
        <f>AC40*КоэффСохранения</f>
        <v/>
      </c>
      <c r="AE41" s="12">
        <f>AD40*КоэффСохранения</f>
        <v/>
      </c>
      <c r="AF41" s="12">
        <f>AE40*КоэффСохранения</f>
        <v/>
      </c>
      <c r="AG41" s="12">
        <f>AF40*КоэффСохранения</f>
        <v/>
      </c>
      <c r="AH41" s="12">
        <f>AG40*КоэффСохранения</f>
        <v/>
      </c>
      <c r="AI41" s="12">
        <f>AH40*КоэффСохранения</f>
        <v/>
      </c>
      <c r="AJ41" s="12">
        <f>AI40*КоэффСохранения</f>
        <v/>
      </c>
      <c r="AK41" s="12">
        <f>AJ40*КоэффСохранения</f>
        <v/>
      </c>
      <c r="AL41" s="12">
        <f>AK40*КоэффСохранения</f>
        <v/>
      </c>
      <c r="AM41" s="12">
        <f>AL40*КоэффСохранения</f>
        <v/>
      </c>
      <c r="AN41" s="12">
        <f>AM40*КоэффСохранения</f>
        <v/>
      </c>
      <c r="AO41" s="12">
        <f>AN40*КоэффСохранения</f>
        <v/>
      </c>
      <c r="AP41" s="12">
        <f>AO40*КоэффСохранения</f>
        <v/>
      </c>
      <c r="AQ41" s="12">
        <f>AP40*КоэффСохранения</f>
        <v/>
      </c>
      <c r="AR41" s="12">
        <f>AQ40*КоэффСохранения</f>
        <v/>
      </c>
      <c r="AS41" s="12">
        <f>AR40*КоэффСохранения</f>
        <v/>
      </c>
      <c r="AT41" s="12">
        <f>AS40*КоэффСохранения</f>
        <v/>
      </c>
      <c r="AU41" s="12">
        <f>AT40*КоэффСохранения</f>
        <v/>
      </c>
      <c r="AV41" s="12">
        <f>AU40*КоэффСохранения</f>
        <v/>
      </c>
      <c r="AW41" s="12">
        <f>AV40*КоэффСохранения</f>
        <v/>
      </c>
      <c r="AX41" s="12">
        <f>AW40*КоэффСохранения</f>
        <v/>
      </c>
      <c r="AY41" s="12">
        <f>AX40*КоэффСохранения</f>
        <v/>
      </c>
      <c r="AZ41" s="12">
        <f>AY40*КоэффСохранения</f>
        <v/>
      </c>
      <c r="BA41" s="12">
        <f>AZ40*КоэффСохранения</f>
        <v/>
      </c>
      <c r="BB41" s="12">
        <f>BA40*КоэффСохранения</f>
        <v/>
      </c>
      <c r="BC41" s="12">
        <f>BB40*КоэффСохранения</f>
        <v/>
      </c>
      <c r="BD41" s="12">
        <f>BC40*КоэффСохранения</f>
        <v/>
      </c>
      <c r="BE41" s="12">
        <f>BD40*КоэффСохранения</f>
        <v/>
      </c>
      <c r="BF41" s="12">
        <f>BE40*КоэффСохранения</f>
        <v/>
      </c>
      <c r="BG41" s="12">
        <f>BF40*КоэффСохранения</f>
        <v/>
      </c>
      <c r="BH41" s="12">
        <f>BG40*КоэффСохранения</f>
        <v/>
      </c>
      <c r="BI41" s="12">
        <f>BH40*КоэффСохранения</f>
        <v/>
      </c>
      <c r="BJ41" s="12">
        <f>BI40*КоэффСохранения</f>
        <v/>
      </c>
      <c r="BK41" s="12">
        <f>BJ40*КоэффСохранения</f>
        <v/>
      </c>
      <c r="BL41" s="12">
        <f>BK40*КоэффСохранения</f>
        <v/>
      </c>
      <c r="BM41" s="12">
        <f>BL40*КоэффСохранения</f>
        <v/>
      </c>
      <c r="BN41" s="12">
        <f>BM40*КоэффСохранения</f>
        <v/>
      </c>
      <c r="BO41" s="12">
        <f>BN40*КоэффСохранения</f>
        <v/>
      </c>
      <c r="BP41" s="12">
        <f>BO40*КоэффСохранения</f>
        <v/>
      </c>
      <c r="BQ41" s="12">
        <f>BP40*КоэффСохранения</f>
        <v/>
      </c>
      <c r="BR41" s="12">
        <f>BQ40*КоэффСохранения</f>
        <v/>
      </c>
      <c r="BS41" s="12">
        <f>BR40*КоэффСохранения</f>
        <v/>
      </c>
      <c r="BT41" s="12">
        <f>BS40*КоэффСохранения</f>
        <v/>
      </c>
      <c r="BU41" s="12">
        <f>BT40*КоэффСохранения</f>
        <v/>
      </c>
      <c r="BV41" s="12">
        <f>BU40*КоэффСохранения</f>
        <v/>
      </c>
      <c r="BW41" s="12">
        <f>BV40*КоэффСохранения</f>
        <v/>
      </c>
      <c r="BX41" s="12">
        <f>BW40*КоэффСохранения</f>
        <v/>
      </c>
      <c r="BY41" s="12">
        <f>BX40*КоэффСохранения</f>
        <v/>
      </c>
    </row>
    <row r="42">
      <c r="B42" t="inlineStr">
        <is>
          <t>22 мес.</t>
        </is>
      </c>
      <c r="C42" t="inlineStr">
        <is>
          <t>шт.</t>
        </is>
      </c>
      <c r="D42" s="127" t="inlineStr">
        <is>
          <t>В колонках лет — значение на конец года, в «Итого» — на конец пятого года. Это остаток, а не сумма.</t>
        </is>
      </c>
      <c r="E42" s="128">
        <f>W42</f>
        <v/>
      </c>
      <c r="F42" s="128">
        <f>AI42</f>
        <v/>
      </c>
      <c r="G42" s="128">
        <f>AU42</f>
        <v/>
      </c>
      <c r="H42" s="128">
        <f>BG42</f>
        <v/>
      </c>
      <c r="I42" s="128">
        <f>BS42</f>
        <v/>
      </c>
      <c r="J42" s="13">
        <f>BS42</f>
        <v/>
      </c>
      <c r="L42" s="12">
        <f>0</f>
        <v/>
      </c>
      <c r="M42" s="12">
        <f>L41*КоэффСохранения</f>
        <v/>
      </c>
      <c r="N42" s="12">
        <f>M41*КоэффСохранения</f>
        <v/>
      </c>
      <c r="O42" s="12">
        <f>N41*КоэффСохранения</f>
        <v/>
      </c>
      <c r="P42" s="12">
        <f>O41*КоэффСохранения</f>
        <v/>
      </c>
      <c r="Q42" s="12">
        <f>P41*КоэффСохранения</f>
        <v/>
      </c>
      <c r="R42" s="12">
        <f>Q41*КоэффСохранения</f>
        <v/>
      </c>
      <c r="S42" s="12">
        <f>R41*КоэффСохранения</f>
        <v/>
      </c>
      <c r="T42" s="12">
        <f>S41*КоэффСохранения</f>
        <v/>
      </c>
      <c r="U42" s="12">
        <f>T41*КоэффСохранения</f>
        <v/>
      </c>
      <c r="V42" s="12">
        <f>U41*КоэффСохранения</f>
        <v/>
      </c>
      <c r="W42" s="12">
        <f>V41*КоэффСохранения</f>
        <v/>
      </c>
      <c r="X42" s="12">
        <f>W41*КоэффСохранения</f>
        <v/>
      </c>
      <c r="Y42" s="12">
        <f>X41*КоэффСохранения</f>
        <v/>
      </c>
      <c r="Z42" s="12">
        <f>Y41*КоэффСохранения</f>
        <v/>
      </c>
      <c r="AA42" s="12">
        <f>Z41*КоэффСохранения</f>
        <v/>
      </c>
      <c r="AB42" s="12">
        <f>AA41*КоэффСохранения</f>
        <v/>
      </c>
      <c r="AC42" s="12">
        <f>AB41*КоэффСохранения</f>
        <v/>
      </c>
      <c r="AD42" s="12">
        <f>AC41*КоэффСохранения</f>
        <v/>
      </c>
      <c r="AE42" s="12">
        <f>AD41*КоэффСохранения</f>
        <v/>
      </c>
      <c r="AF42" s="12">
        <f>AE41*КоэффСохранения</f>
        <v/>
      </c>
      <c r="AG42" s="12">
        <f>AF41*КоэффСохранения</f>
        <v/>
      </c>
      <c r="AH42" s="12">
        <f>AG41*КоэффСохранения</f>
        <v/>
      </c>
      <c r="AI42" s="12">
        <f>AH41*КоэффСохранения</f>
        <v/>
      </c>
      <c r="AJ42" s="12">
        <f>AI41*КоэффСохранения</f>
        <v/>
      </c>
      <c r="AK42" s="12">
        <f>AJ41*КоэффСохранения</f>
        <v/>
      </c>
      <c r="AL42" s="12">
        <f>AK41*КоэффСохранения</f>
        <v/>
      </c>
      <c r="AM42" s="12">
        <f>AL41*КоэффСохранения</f>
        <v/>
      </c>
      <c r="AN42" s="12">
        <f>AM41*КоэффСохранения</f>
        <v/>
      </c>
      <c r="AO42" s="12">
        <f>AN41*КоэффСохранения</f>
        <v/>
      </c>
      <c r="AP42" s="12">
        <f>AO41*КоэффСохранения</f>
        <v/>
      </c>
      <c r="AQ42" s="12">
        <f>AP41*КоэффСохранения</f>
        <v/>
      </c>
      <c r="AR42" s="12">
        <f>AQ41*КоэффСохранения</f>
        <v/>
      </c>
      <c r="AS42" s="12">
        <f>AR41*КоэффСохранения</f>
        <v/>
      </c>
      <c r="AT42" s="12">
        <f>AS41*КоэффСохранения</f>
        <v/>
      </c>
      <c r="AU42" s="12">
        <f>AT41*КоэффСохранения</f>
        <v/>
      </c>
      <c r="AV42" s="12">
        <f>AU41*КоэффСохранения</f>
        <v/>
      </c>
      <c r="AW42" s="12">
        <f>AV41*КоэффСохранения</f>
        <v/>
      </c>
      <c r="AX42" s="12">
        <f>AW41*КоэффСохранения</f>
        <v/>
      </c>
      <c r="AY42" s="12">
        <f>AX41*КоэффСохранения</f>
        <v/>
      </c>
      <c r="AZ42" s="12">
        <f>AY41*КоэффСохранения</f>
        <v/>
      </c>
      <c r="BA42" s="12">
        <f>AZ41*КоэффСохранения</f>
        <v/>
      </c>
      <c r="BB42" s="12">
        <f>BA41*КоэффСохранения</f>
        <v/>
      </c>
      <c r="BC42" s="12">
        <f>BB41*КоэффСохранения</f>
        <v/>
      </c>
      <c r="BD42" s="12">
        <f>BC41*КоэффСохранения</f>
        <v/>
      </c>
      <c r="BE42" s="12">
        <f>BD41*КоэффСохранения</f>
        <v/>
      </c>
      <c r="BF42" s="12">
        <f>BE41*КоэффСохранения</f>
        <v/>
      </c>
      <c r="BG42" s="12">
        <f>BF41*КоэффСохранения</f>
        <v/>
      </c>
      <c r="BH42" s="12">
        <f>BG41*КоэффСохранения</f>
        <v/>
      </c>
      <c r="BI42" s="12">
        <f>BH41*КоэффСохранения</f>
        <v/>
      </c>
      <c r="BJ42" s="12">
        <f>BI41*КоэффСохранения</f>
        <v/>
      </c>
      <c r="BK42" s="12">
        <f>BJ41*КоэффСохранения</f>
        <v/>
      </c>
      <c r="BL42" s="12">
        <f>BK41*КоэффСохранения</f>
        <v/>
      </c>
      <c r="BM42" s="12">
        <f>BL41*КоэффСохранения</f>
        <v/>
      </c>
      <c r="BN42" s="12">
        <f>BM41*КоэффСохранения</f>
        <v/>
      </c>
      <c r="BO42" s="12">
        <f>BN41*КоэффСохранения</f>
        <v/>
      </c>
      <c r="BP42" s="12">
        <f>BO41*КоэффСохранения</f>
        <v/>
      </c>
      <c r="BQ42" s="12">
        <f>BP41*КоэффСохранения</f>
        <v/>
      </c>
      <c r="BR42" s="12">
        <f>BQ41*КоэффСохранения</f>
        <v/>
      </c>
      <c r="BS42" s="12">
        <f>BR41*КоэффСохранения</f>
        <v/>
      </c>
      <c r="BT42" s="12">
        <f>BS41*КоэффСохранения</f>
        <v/>
      </c>
      <c r="BU42" s="12">
        <f>BT41*КоэффСохранения</f>
        <v/>
      </c>
      <c r="BV42" s="12">
        <f>BU41*КоэффСохранения</f>
        <v/>
      </c>
      <c r="BW42" s="12">
        <f>BV41*КоэффСохранения</f>
        <v/>
      </c>
      <c r="BX42" s="12">
        <f>BW41*КоэффСохранения</f>
        <v/>
      </c>
      <c r="BY42" s="12">
        <f>BX41*КоэффСохранения</f>
        <v/>
      </c>
    </row>
    <row r="43">
      <c r="B43" t="inlineStr">
        <is>
          <t>23 мес.</t>
        </is>
      </c>
      <c r="C43" t="inlineStr">
        <is>
          <t>шт.</t>
        </is>
      </c>
      <c r="D43" s="127" t="inlineStr">
        <is>
          <t>В колонках лет — значение на конец года, в «Итого» — на конец пятого года. Это остаток, а не сумма.</t>
        </is>
      </c>
      <c r="E43" s="128">
        <f>W43</f>
        <v/>
      </c>
      <c r="F43" s="128">
        <f>AI43</f>
        <v/>
      </c>
      <c r="G43" s="128">
        <f>AU43</f>
        <v/>
      </c>
      <c r="H43" s="128">
        <f>BG43</f>
        <v/>
      </c>
      <c r="I43" s="128">
        <f>BS43</f>
        <v/>
      </c>
      <c r="J43" s="13">
        <f>BS43</f>
        <v/>
      </c>
      <c r="L43" s="12">
        <f>0</f>
        <v/>
      </c>
      <c r="M43" s="12">
        <f>L42*КоэффСохранения</f>
        <v/>
      </c>
      <c r="N43" s="12">
        <f>M42*КоэффСохранения</f>
        <v/>
      </c>
      <c r="O43" s="12">
        <f>N42*КоэффСохранения</f>
        <v/>
      </c>
      <c r="P43" s="12">
        <f>O42*КоэффСохранения</f>
        <v/>
      </c>
      <c r="Q43" s="12">
        <f>P42*КоэффСохранения</f>
        <v/>
      </c>
      <c r="R43" s="12">
        <f>Q42*КоэффСохранения</f>
        <v/>
      </c>
      <c r="S43" s="12">
        <f>R42*КоэффСохранения</f>
        <v/>
      </c>
      <c r="T43" s="12">
        <f>S42*КоэффСохранения</f>
        <v/>
      </c>
      <c r="U43" s="12">
        <f>T42*КоэффСохранения</f>
        <v/>
      </c>
      <c r="V43" s="12">
        <f>U42*КоэффСохранения</f>
        <v/>
      </c>
      <c r="W43" s="12">
        <f>V42*КоэффСохранения</f>
        <v/>
      </c>
      <c r="X43" s="12">
        <f>W42*КоэффСохранения</f>
        <v/>
      </c>
      <c r="Y43" s="12">
        <f>X42*КоэффСохранения</f>
        <v/>
      </c>
      <c r="Z43" s="12">
        <f>Y42*КоэффСохранения</f>
        <v/>
      </c>
      <c r="AA43" s="12">
        <f>Z42*КоэффСохранения</f>
        <v/>
      </c>
      <c r="AB43" s="12">
        <f>AA42*КоэффСохранения</f>
        <v/>
      </c>
      <c r="AC43" s="12">
        <f>AB42*КоэффСохранения</f>
        <v/>
      </c>
      <c r="AD43" s="12">
        <f>AC42*КоэффСохранения</f>
        <v/>
      </c>
      <c r="AE43" s="12">
        <f>AD42*КоэффСохранения</f>
        <v/>
      </c>
      <c r="AF43" s="12">
        <f>AE42*КоэффСохранения</f>
        <v/>
      </c>
      <c r="AG43" s="12">
        <f>AF42*КоэффСохранения</f>
        <v/>
      </c>
      <c r="AH43" s="12">
        <f>AG42*КоэффСохранения</f>
        <v/>
      </c>
      <c r="AI43" s="12">
        <f>AH42*КоэффСохранения</f>
        <v/>
      </c>
      <c r="AJ43" s="12">
        <f>AI42*КоэффСохранения</f>
        <v/>
      </c>
      <c r="AK43" s="12">
        <f>AJ42*КоэффСохранения</f>
        <v/>
      </c>
      <c r="AL43" s="12">
        <f>AK42*КоэффСохранения</f>
        <v/>
      </c>
      <c r="AM43" s="12">
        <f>AL42*КоэффСохранения</f>
        <v/>
      </c>
      <c r="AN43" s="12">
        <f>AM42*КоэффСохранения</f>
        <v/>
      </c>
      <c r="AO43" s="12">
        <f>AN42*КоэффСохранения</f>
        <v/>
      </c>
      <c r="AP43" s="12">
        <f>AO42*КоэффСохранения</f>
        <v/>
      </c>
      <c r="AQ43" s="12">
        <f>AP42*КоэффСохранения</f>
        <v/>
      </c>
      <c r="AR43" s="12">
        <f>AQ42*КоэффСохранения</f>
        <v/>
      </c>
      <c r="AS43" s="12">
        <f>AR42*КоэффСохранения</f>
        <v/>
      </c>
      <c r="AT43" s="12">
        <f>AS42*КоэффСохранения</f>
        <v/>
      </c>
      <c r="AU43" s="12">
        <f>AT42*КоэффСохранения</f>
        <v/>
      </c>
      <c r="AV43" s="12">
        <f>AU42*КоэффСохранения</f>
        <v/>
      </c>
      <c r="AW43" s="12">
        <f>AV42*КоэффСохранения</f>
        <v/>
      </c>
      <c r="AX43" s="12">
        <f>AW42*КоэффСохранения</f>
        <v/>
      </c>
      <c r="AY43" s="12">
        <f>AX42*КоэффСохранения</f>
        <v/>
      </c>
      <c r="AZ43" s="12">
        <f>AY42*КоэффСохранения</f>
        <v/>
      </c>
      <c r="BA43" s="12">
        <f>AZ42*КоэффСохранения</f>
        <v/>
      </c>
      <c r="BB43" s="12">
        <f>BA42*КоэффСохранения</f>
        <v/>
      </c>
      <c r="BC43" s="12">
        <f>BB42*КоэффСохранения</f>
        <v/>
      </c>
      <c r="BD43" s="12">
        <f>BC42*КоэффСохранения</f>
        <v/>
      </c>
      <c r="BE43" s="12">
        <f>BD42*КоэффСохранения</f>
        <v/>
      </c>
      <c r="BF43" s="12">
        <f>BE42*КоэффСохранения</f>
        <v/>
      </c>
      <c r="BG43" s="12">
        <f>BF42*КоэффСохранения</f>
        <v/>
      </c>
      <c r="BH43" s="12">
        <f>BG42*КоэффСохранения</f>
        <v/>
      </c>
      <c r="BI43" s="12">
        <f>BH42*КоэффСохранения</f>
        <v/>
      </c>
      <c r="BJ43" s="12">
        <f>BI42*КоэффСохранения</f>
        <v/>
      </c>
      <c r="BK43" s="12">
        <f>BJ42*КоэффСохранения</f>
        <v/>
      </c>
      <c r="BL43" s="12">
        <f>BK42*КоэффСохранения</f>
        <v/>
      </c>
      <c r="BM43" s="12">
        <f>BL42*КоэффСохранения</f>
        <v/>
      </c>
      <c r="BN43" s="12">
        <f>BM42*КоэффСохранения</f>
        <v/>
      </c>
      <c r="BO43" s="12">
        <f>BN42*КоэффСохранения</f>
        <v/>
      </c>
      <c r="BP43" s="12">
        <f>BO42*КоэффСохранения</f>
        <v/>
      </c>
      <c r="BQ43" s="12">
        <f>BP42*КоэффСохранения</f>
        <v/>
      </c>
      <c r="BR43" s="12">
        <f>BQ42*КоэффСохранения</f>
        <v/>
      </c>
      <c r="BS43" s="12">
        <f>BR42*КоэффСохранения</f>
        <v/>
      </c>
      <c r="BT43" s="12">
        <f>BS42*КоэффСохранения</f>
        <v/>
      </c>
      <c r="BU43" s="12">
        <f>BT42*КоэффСохранения</f>
        <v/>
      </c>
      <c r="BV43" s="12">
        <f>BU42*КоэффСохранения</f>
        <v/>
      </c>
      <c r="BW43" s="12">
        <f>BV42*КоэффСохранения</f>
        <v/>
      </c>
      <c r="BX43" s="12">
        <f>BW42*КоэффСохранения</f>
        <v/>
      </c>
      <c r="BY43" s="12">
        <f>BX42*КоэффСохранения</f>
        <v/>
      </c>
    </row>
    <row r="44">
      <c r="B44" t="inlineStr">
        <is>
          <t>24 мес.</t>
        </is>
      </c>
      <c r="C44" t="inlineStr">
        <is>
          <t>шт.</t>
        </is>
      </c>
      <c r="D44" s="127" t="inlineStr">
        <is>
          <t>В колонках лет — значение на конец года, в «Итого» — на конец пятого года. Это остаток, а не сумма.</t>
        </is>
      </c>
      <c r="E44" s="128">
        <f>W44</f>
        <v/>
      </c>
      <c r="F44" s="128">
        <f>AI44</f>
        <v/>
      </c>
      <c r="G44" s="128">
        <f>AU44</f>
        <v/>
      </c>
      <c r="H44" s="128">
        <f>BG44</f>
        <v/>
      </c>
      <c r="I44" s="128">
        <f>BS44</f>
        <v/>
      </c>
      <c r="J44" s="13">
        <f>BS44</f>
        <v/>
      </c>
      <c r="L44" s="12">
        <f>0</f>
        <v/>
      </c>
      <c r="M44" s="12">
        <f>L43*КоэффСохранения</f>
        <v/>
      </c>
      <c r="N44" s="12">
        <f>M43*КоэффСохранения</f>
        <v/>
      </c>
      <c r="O44" s="12">
        <f>N43*КоэффСохранения</f>
        <v/>
      </c>
      <c r="P44" s="12">
        <f>O43*КоэффСохранения</f>
        <v/>
      </c>
      <c r="Q44" s="12">
        <f>P43*КоэффСохранения</f>
        <v/>
      </c>
      <c r="R44" s="12">
        <f>Q43*КоэффСохранения</f>
        <v/>
      </c>
      <c r="S44" s="12">
        <f>R43*КоэффСохранения</f>
        <v/>
      </c>
      <c r="T44" s="12">
        <f>S43*КоэффСохранения</f>
        <v/>
      </c>
      <c r="U44" s="12">
        <f>T43*КоэффСохранения</f>
        <v/>
      </c>
      <c r="V44" s="12">
        <f>U43*КоэффСохранения</f>
        <v/>
      </c>
      <c r="W44" s="12">
        <f>V43*КоэффСохранения</f>
        <v/>
      </c>
      <c r="X44" s="12">
        <f>W43*КоэффСохранения</f>
        <v/>
      </c>
      <c r="Y44" s="12">
        <f>X43*КоэффСохранения</f>
        <v/>
      </c>
      <c r="Z44" s="12">
        <f>Y43*КоэффСохранения</f>
        <v/>
      </c>
      <c r="AA44" s="12">
        <f>Z43*КоэффСохранения</f>
        <v/>
      </c>
      <c r="AB44" s="12">
        <f>AA43*КоэффСохранения</f>
        <v/>
      </c>
      <c r="AC44" s="12">
        <f>AB43*КоэффСохранения</f>
        <v/>
      </c>
      <c r="AD44" s="12">
        <f>AC43*КоэффСохранения</f>
        <v/>
      </c>
      <c r="AE44" s="12">
        <f>AD43*КоэффСохранения</f>
        <v/>
      </c>
      <c r="AF44" s="12">
        <f>AE43*КоэффСохранения</f>
        <v/>
      </c>
      <c r="AG44" s="12">
        <f>AF43*КоэффСохранения</f>
        <v/>
      </c>
      <c r="AH44" s="12">
        <f>AG43*КоэффСохранения</f>
        <v/>
      </c>
      <c r="AI44" s="12">
        <f>AH43*КоэффСохранения</f>
        <v/>
      </c>
      <c r="AJ44" s="12">
        <f>AI43*КоэффСохранения</f>
        <v/>
      </c>
      <c r="AK44" s="12">
        <f>AJ43*КоэффСохранения</f>
        <v/>
      </c>
      <c r="AL44" s="12">
        <f>AK43*КоэффСохранения</f>
        <v/>
      </c>
      <c r="AM44" s="12">
        <f>AL43*КоэффСохранения</f>
        <v/>
      </c>
      <c r="AN44" s="12">
        <f>AM43*КоэффСохранения</f>
        <v/>
      </c>
      <c r="AO44" s="12">
        <f>AN43*КоэффСохранения</f>
        <v/>
      </c>
      <c r="AP44" s="12">
        <f>AO43*КоэффСохранения</f>
        <v/>
      </c>
      <c r="AQ44" s="12">
        <f>AP43*КоэффСохранения</f>
        <v/>
      </c>
      <c r="AR44" s="12">
        <f>AQ43*КоэффСохранения</f>
        <v/>
      </c>
      <c r="AS44" s="12">
        <f>AR43*КоэффСохранения</f>
        <v/>
      </c>
      <c r="AT44" s="12">
        <f>AS43*КоэффСохранения</f>
        <v/>
      </c>
      <c r="AU44" s="12">
        <f>AT43*КоэффСохранения</f>
        <v/>
      </c>
      <c r="AV44" s="12">
        <f>AU43*КоэффСохранения</f>
        <v/>
      </c>
      <c r="AW44" s="12">
        <f>AV43*КоэффСохранения</f>
        <v/>
      </c>
      <c r="AX44" s="12">
        <f>AW43*КоэффСохранения</f>
        <v/>
      </c>
      <c r="AY44" s="12">
        <f>AX43*КоэффСохранения</f>
        <v/>
      </c>
      <c r="AZ44" s="12">
        <f>AY43*КоэффСохранения</f>
        <v/>
      </c>
      <c r="BA44" s="12">
        <f>AZ43*КоэффСохранения</f>
        <v/>
      </c>
      <c r="BB44" s="12">
        <f>BA43*КоэффСохранения</f>
        <v/>
      </c>
      <c r="BC44" s="12">
        <f>BB43*КоэффСохранения</f>
        <v/>
      </c>
      <c r="BD44" s="12">
        <f>BC43*КоэффСохранения</f>
        <v/>
      </c>
      <c r="BE44" s="12">
        <f>BD43*КоэффСохранения</f>
        <v/>
      </c>
      <c r="BF44" s="12">
        <f>BE43*КоэффСохранения</f>
        <v/>
      </c>
      <c r="BG44" s="12">
        <f>BF43*КоэффСохранения</f>
        <v/>
      </c>
      <c r="BH44" s="12">
        <f>BG43*КоэффСохранения</f>
        <v/>
      </c>
      <c r="BI44" s="12">
        <f>BH43*КоэффСохранения</f>
        <v/>
      </c>
      <c r="BJ44" s="12">
        <f>BI43*КоэффСохранения</f>
        <v/>
      </c>
      <c r="BK44" s="12">
        <f>BJ43*КоэффСохранения</f>
        <v/>
      </c>
      <c r="BL44" s="12">
        <f>BK43*КоэффСохранения</f>
        <v/>
      </c>
      <c r="BM44" s="12">
        <f>BL43*КоэффСохранения</f>
        <v/>
      </c>
      <c r="BN44" s="12">
        <f>BM43*КоэффСохранения</f>
        <v/>
      </c>
      <c r="BO44" s="12">
        <f>BN43*КоэффСохранения</f>
        <v/>
      </c>
      <c r="BP44" s="12">
        <f>BO43*КоэффСохранения</f>
        <v/>
      </c>
      <c r="BQ44" s="12">
        <f>BP43*КоэффСохранения</f>
        <v/>
      </c>
      <c r="BR44" s="12">
        <f>BQ43*КоэффСохранения</f>
        <v/>
      </c>
      <c r="BS44" s="12">
        <f>BR43*КоэффСохранения</f>
        <v/>
      </c>
      <c r="BT44" s="12">
        <f>BS43*КоэффСохранения</f>
        <v/>
      </c>
      <c r="BU44" s="12">
        <f>BT43*КоэффСохранения</f>
        <v/>
      </c>
      <c r="BV44" s="12">
        <f>BU43*КоэффСохранения</f>
        <v/>
      </c>
      <c r="BW44" s="12">
        <f>BV43*КоэффСохранения</f>
        <v/>
      </c>
      <c r="BX44" s="12">
        <f>BW43*КоэффСохранения</f>
        <v/>
      </c>
      <c r="BY44" s="12">
        <f>BX43*КоэффСохранения</f>
        <v/>
      </c>
    </row>
    <row r="45">
      <c r="B45" t="inlineStr">
        <is>
          <t>25+ мес.</t>
        </is>
      </c>
      <c r="C45" t="inlineStr">
        <is>
          <t>шт.</t>
        </is>
      </c>
      <c r="D45" s="127" t="inlineStr">
        <is>
          <t>В колонках лет — значение на конец года, в «Итого» — на конец пятого года. Это остаток, а не сумма.</t>
        </is>
      </c>
      <c r="E45" s="128">
        <f>W45</f>
        <v/>
      </c>
      <c r="F45" s="128">
        <f>AI45</f>
        <v/>
      </c>
      <c r="G45" s="128">
        <f>AU45</f>
        <v/>
      </c>
      <c r="H45" s="128">
        <f>BG45</f>
        <v/>
      </c>
      <c r="I45" s="128">
        <f>BS45</f>
        <v/>
      </c>
      <c r="J45" s="13">
        <f>BS45</f>
        <v/>
      </c>
      <c r="L45" s="12">
        <f>0</f>
        <v/>
      </c>
      <c r="M45" s="12">
        <f>(L44+L45)*КоэффСохранения</f>
        <v/>
      </c>
      <c r="N45" s="12">
        <f>(M44+M45)*КоэффСохранения</f>
        <v/>
      </c>
      <c r="O45" s="12">
        <f>(N44+N45)*КоэффСохранения</f>
        <v/>
      </c>
      <c r="P45" s="12">
        <f>(O44+O45)*КоэффСохранения</f>
        <v/>
      </c>
      <c r="Q45" s="12">
        <f>(P44+P45)*КоэффСохранения</f>
        <v/>
      </c>
      <c r="R45" s="12">
        <f>(Q44+Q45)*КоэффСохранения</f>
        <v/>
      </c>
      <c r="S45" s="12">
        <f>(R44+R45)*КоэффСохранения</f>
        <v/>
      </c>
      <c r="T45" s="12">
        <f>(S44+S45)*КоэффСохранения</f>
        <v/>
      </c>
      <c r="U45" s="12">
        <f>(T44+T45)*КоэффСохранения</f>
        <v/>
      </c>
      <c r="V45" s="12">
        <f>(U44+U45)*КоэффСохранения</f>
        <v/>
      </c>
      <c r="W45" s="12">
        <f>(V44+V45)*КоэффСохранения</f>
        <v/>
      </c>
      <c r="X45" s="12">
        <f>(W44+W45)*КоэффСохранения</f>
        <v/>
      </c>
      <c r="Y45" s="12">
        <f>(X44+X45)*КоэффСохранения</f>
        <v/>
      </c>
      <c r="Z45" s="12">
        <f>(Y44+Y45)*КоэффСохранения</f>
        <v/>
      </c>
      <c r="AA45" s="12">
        <f>(Z44+Z45)*КоэффСохранения</f>
        <v/>
      </c>
      <c r="AB45" s="12">
        <f>(AA44+AA45)*КоэффСохранения</f>
        <v/>
      </c>
      <c r="AC45" s="12">
        <f>(AB44+AB45)*КоэффСохранения</f>
        <v/>
      </c>
      <c r="AD45" s="12">
        <f>(AC44+AC45)*КоэффСохранения</f>
        <v/>
      </c>
      <c r="AE45" s="12">
        <f>(AD44+AD45)*КоэффСохранения</f>
        <v/>
      </c>
      <c r="AF45" s="12">
        <f>(AE44+AE45)*КоэффСохранения</f>
        <v/>
      </c>
      <c r="AG45" s="12">
        <f>(AF44+AF45)*КоэффСохранения</f>
        <v/>
      </c>
      <c r="AH45" s="12">
        <f>(AG44+AG45)*КоэффСохранения</f>
        <v/>
      </c>
      <c r="AI45" s="12">
        <f>(AH44+AH45)*КоэффСохранения</f>
        <v/>
      </c>
      <c r="AJ45" s="12">
        <f>(AI44+AI45)*КоэффСохранения</f>
        <v/>
      </c>
      <c r="AK45" s="12">
        <f>(AJ44+AJ45)*КоэффСохранения</f>
        <v/>
      </c>
      <c r="AL45" s="12">
        <f>(AK44+AK45)*КоэффСохранения</f>
        <v/>
      </c>
      <c r="AM45" s="12">
        <f>(AL44+AL45)*КоэффСохранения</f>
        <v/>
      </c>
      <c r="AN45" s="12">
        <f>(AM44+AM45)*КоэффСохранения</f>
        <v/>
      </c>
      <c r="AO45" s="12">
        <f>(AN44+AN45)*КоэффСохранения</f>
        <v/>
      </c>
      <c r="AP45" s="12">
        <f>(AO44+AO45)*КоэффСохранения</f>
        <v/>
      </c>
      <c r="AQ45" s="12">
        <f>(AP44+AP45)*КоэффСохранения</f>
        <v/>
      </c>
      <c r="AR45" s="12">
        <f>(AQ44+AQ45)*КоэффСохранения</f>
        <v/>
      </c>
      <c r="AS45" s="12">
        <f>(AR44+AR45)*КоэффСохранения</f>
        <v/>
      </c>
      <c r="AT45" s="12">
        <f>(AS44+AS45)*КоэффСохранения</f>
        <v/>
      </c>
      <c r="AU45" s="12">
        <f>(AT44+AT45)*КоэффСохранения</f>
        <v/>
      </c>
      <c r="AV45" s="12">
        <f>(AU44+AU45)*КоэффСохранения</f>
        <v/>
      </c>
      <c r="AW45" s="12">
        <f>(AV44+AV45)*КоэффСохранения</f>
        <v/>
      </c>
      <c r="AX45" s="12">
        <f>(AW44+AW45)*КоэффСохранения</f>
        <v/>
      </c>
      <c r="AY45" s="12">
        <f>(AX44+AX45)*КоэффСохранения</f>
        <v/>
      </c>
      <c r="AZ45" s="12">
        <f>(AY44+AY45)*КоэффСохранения</f>
        <v/>
      </c>
      <c r="BA45" s="12">
        <f>(AZ44+AZ45)*КоэффСохранения</f>
        <v/>
      </c>
      <c r="BB45" s="12">
        <f>(BA44+BA45)*КоэффСохранения</f>
        <v/>
      </c>
      <c r="BC45" s="12">
        <f>(BB44+BB45)*КоэффСохранения</f>
        <v/>
      </c>
      <c r="BD45" s="12">
        <f>(BC44+BC45)*КоэффСохранения</f>
        <v/>
      </c>
      <c r="BE45" s="12">
        <f>(BD44+BD45)*КоэффСохранения</f>
        <v/>
      </c>
      <c r="BF45" s="12">
        <f>(BE44+BE45)*КоэффСохранения</f>
        <v/>
      </c>
      <c r="BG45" s="12">
        <f>(BF44+BF45)*КоэффСохранения</f>
        <v/>
      </c>
      <c r="BH45" s="12">
        <f>(BG44+BG45)*КоэффСохранения</f>
        <v/>
      </c>
      <c r="BI45" s="12">
        <f>(BH44+BH45)*КоэффСохранения</f>
        <v/>
      </c>
      <c r="BJ45" s="12">
        <f>(BI44+BI45)*КоэффСохранения</f>
        <v/>
      </c>
      <c r="BK45" s="12">
        <f>(BJ44+BJ45)*КоэффСохранения</f>
        <v/>
      </c>
      <c r="BL45" s="12">
        <f>(BK44+BK45)*КоэффСохранения</f>
        <v/>
      </c>
      <c r="BM45" s="12">
        <f>(BL44+BL45)*КоэффСохранения</f>
        <v/>
      </c>
      <c r="BN45" s="12">
        <f>(BM44+BM45)*КоэффСохранения</f>
        <v/>
      </c>
      <c r="BO45" s="12">
        <f>(BN44+BN45)*КоэффСохранения</f>
        <v/>
      </c>
      <c r="BP45" s="12">
        <f>(BO44+BO45)*КоэффСохранения</f>
        <v/>
      </c>
      <c r="BQ45" s="12">
        <f>(BP44+BP45)*КоэффСохранения</f>
        <v/>
      </c>
      <c r="BR45" s="12">
        <f>(BQ44+BQ45)*КоэффСохранения</f>
        <v/>
      </c>
      <c r="BS45" s="12">
        <f>(BR44+BR45)*КоэффСохранения</f>
        <v/>
      </c>
      <c r="BT45" s="12">
        <f>(BS44+BS45)*КоэффСохранения</f>
        <v/>
      </c>
      <c r="BU45" s="12">
        <f>(BT44+BT45)*КоэффСохранения</f>
        <v/>
      </c>
      <c r="BV45" s="12">
        <f>(BU44+BU45)*КоэффСохранения</f>
        <v/>
      </c>
      <c r="BW45" s="12">
        <f>(BV44+BV45)*КоэффСохранения</f>
        <v/>
      </c>
      <c r="BX45" s="12">
        <f>(BW44+BW45)*КоэффСохранения</f>
        <v/>
      </c>
      <c r="BY45" s="12">
        <f>(BX44+BX45)*КоэффСохранения</f>
        <v/>
      </c>
    </row>
    <row r="46"/>
    <row r="47">
      <c r="B47" s="125" t="inlineStr">
        <is>
          <t>Роялти новых школ по возрасту — старая ставка</t>
        </is>
      </c>
      <c r="C47" s="126" t="n"/>
      <c r="D47" s="126" t="n"/>
      <c r="E47" s="126" t="n"/>
      <c r="F47" s="126" t="n"/>
      <c r="G47" s="126" t="n"/>
      <c r="H47" s="126" t="n"/>
      <c r="I47" s="126" t="n"/>
      <c r="J47" s="126" t="n"/>
      <c r="K47" s="126" t="n"/>
      <c r="L47" s="126" t="n"/>
      <c r="M47" s="126" t="n"/>
      <c r="N47" s="126" t="n"/>
      <c r="O47" s="126" t="n"/>
      <c r="P47" s="126" t="n"/>
      <c r="Q47" s="126" t="n"/>
      <c r="R47" s="126" t="n"/>
      <c r="S47" s="126" t="n"/>
      <c r="T47" s="126" t="n"/>
      <c r="U47" s="126" t="n"/>
      <c r="V47" s="126" t="n"/>
      <c r="W47" s="126" t="n"/>
      <c r="X47" s="126" t="n"/>
      <c r="Y47" s="126" t="n"/>
      <c r="Z47" s="126" t="n"/>
      <c r="AA47" s="126" t="n"/>
      <c r="AB47" s="126" t="n"/>
      <c r="AC47" s="126" t="n"/>
      <c r="AD47" s="126" t="n"/>
      <c r="AE47" s="126" t="n"/>
      <c r="AF47" s="126" t="n"/>
      <c r="AG47" s="126" t="n"/>
      <c r="AH47" s="126" t="n"/>
      <c r="AI47" s="126" t="n"/>
      <c r="AJ47" s="126" t="n"/>
      <c r="AK47" s="126" t="n"/>
      <c r="AL47" s="126" t="n"/>
      <c r="AM47" s="126" t="n"/>
      <c r="AN47" s="126" t="n"/>
      <c r="AO47" s="126" t="n"/>
      <c r="AP47" s="126" t="n"/>
      <c r="AQ47" s="126" t="n"/>
      <c r="AR47" s="126" t="n"/>
      <c r="AS47" s="126" t="n"/>
      <c r="AT47" s="126" t="n"/>
      <c r="AU47" s="126" t="n"/>
      <c r="AV47" s="126" t="n"/>
      <c r="AW47" s="126" t="n"/>
      <c r="AX47" s="126" t="n"/>
      <c r="AY47" s="126" t="n"/>
      <c r="AZ47" s="126" t="n"/>
      <c r="BA47" s="126" t="n"/>
      <c r="BB47" s="126" t="n"/>
      <c r="BC47" s="126" t="n"/>
      <c r="BD47" s="126" t="n"/>
      <c r="BE47" s="126" t="n"/>
      <c r="BF47" s="126" t="n"/>
      <c r="BG47" s="126" t="n"/>
      <c r="BH47" s="126" t="n"/>
      <c r="BI47" s="126" t="n"/>
      <c r="BJ47" s="126" t="n"/>
      <c r="BK47" s="126" t="n"/>
      <c r="BL47" s="126" t="n"/>
      <c r="BM47" s="126" t="n"/>
      <c r="BN47" s="126" t="n"/>
      <c r="BO47" s="126" t="n"/>
      <c r="BP47" s="126" t="n"/>
      <c r="BQ47" s="126" t="n"/>
      <c r="BR47" s="126" t="n"/>
      <c r="BS47" s="126" t="n"/>
      <c r="BT47" s="126" t="n"/>
      <c r="BU47" s="126" t="n"/>
      <c r="BV47" s="126" t="n"/>
      <c r="BW47" s="126" t="n"/>
      <c r="BX47" s="126" t="n"/>
      <c r="BY47" s="126" t="n"/>
    </row>
    <row r="48">
      <c r="B48" t="inlineStr">
        <is>
          <t>1 мес.</t>
        </is>
      </c>
      <c r="C48" t="inlineStr">
        <is>
          <t>₽</t>
        </is>
      </c>
      <c r="D48" s="127" t="inlineStr"/>
      <c r="E48" s="129">
        <f>SUM(L48:W48)</f>
        <v/>
      </c>
      <c r="F48" s="129">
        <f>SUM(X48:AI48)</f>
        <v/>
      </c>
      <c r="G48" s="129">
        <f>SUM(AJ48:AU48)</f>
        <v/>
      </c>
      <c r="H48" s="129">
        <f>SUM(AV48:BG48)</f>
        <v/>
      </c>
      <c r="I48" s="129">
        <f>SUM(BH48:BS48)</f>
        <v/>
      </c>
      <c r="J48" s="6">
        <f>SUM(L48:BS48)</f>
        <v/>
      </c>
      <c r="L48" s="5">
        <f>IF(OR(L21=0,1&lt;=КаникулыРоялти),0,L21*IF(РоялтиПоГруппам="Да",MeanMinAge01+L9*SUMIF(ThresholdAge01,"&lt;"&amp;L9,WeightedRevAge01)-SUMIF(ThresholdAge01,"&lt;"&amp;L9,WeightedMinAge01),MAX(CapacityAge01*АбонементНовых*L9,MeanMinAge01)))</f>
        <v/>
      </c>
      <c r="M48" s="5">
        <f>IF(OR(M21=0,1&lt;=КаникулыРоялти),0,M21*IF(РоялтиПоГруппам="Да",MeanMinAge01+M9*SUMIF(ThresholdAge01,"&lt;"&amp;M9,WeightedRevAge01)-SUMIF(ThresholdAge01,"&lt;"&amp;M9,WeightedMinAge01),MAX(CapacityAge01*АбонементНовых*M9,MeanMinAge01)))</f>
        <v/>
      </c>
      <c r="N48" s="5">
        <f>IF(OR(N21=0,1&lt;=КаникулыРоялти),0,N21*IF(РоялтиПоГруппам="Да",MeanMinAge01+N9*SUMIF(ThresholdAge01,"&lt;"&amp;N9,WeightedRevAge01)-SUMIF(ThresholdAge01,"&lt;"&amp;N9,WeightedMinAge01),MAX(CapacityAge01*АбонементНовых*N9,MeanMinAge01)))</f>
        <v/>
      </c>
      <c r="O48" s="5">
        <f>IF(OR(O21=0,1&lt;=КаникулыРоялти),0,O21*IF(РоялтиПоГруппам="Да",MeanMinAge01+O9*SUMIF(ThresholdAge01,"&lt;"&amp;O9,WeightedRevAge01)-SUMIF(ThresholdAge01,"&lt;"&amp;O9,WeightedMinAge01),MAX(CapacityAge01*АбонементНовых*O9,MeanMinAge01)))</f>
        <v/>
      </c>
      <c r="P48" s="5">
        <f>IF(OR(P21=0,1&lt;=КаникулыРоялти),0,P21*IF(РоялтиПоГруппам="Да",MeanMinAge01+P9*SUMIF(ThresholdAge01,"&lt;"&amp;P9,WeightedRevAge01)-SUMIF(ThresholdAge01,"&lt;"&amp;P9,WeightedMinAge01),MAX(CapacityAge01*АбонементНовых*P9,MeanMinAge01)))</f>
        <v/>
      </c>
      <c r="Q48" s="5">
        <f>IF(OR(Q21=0,1&lt;=КаникулыРоялти),0,Q21*IF(РоялтиПоГруппам="Да",MeanMinAge01+Q9*SUMIF(ThresholdAge01,"&lt;"&amp;Q9,WeightedRevAge01)-SUMIF(ThresholdAge01,"&lt;"&amp;Q9,WeightedMinAge01),MAX(CapacityAge01*АбонементНовых*Q9,MeanMinAge01)))</f>
        <v/>
      </c>
      <c r="R48" s="5">
        <f>IF(OR(R21=0,1&lt;=КаникулыРоялти),0,R21*IF(РоялтиПоГруппам="Да",MeanMinAge01+R9*SUMIF(ThresholdAge01,"&lt;"&amp;R9,WeightedRevAge01)-SUMIF(ThresholdAge01,"&lt;"&amp;R9,WeightedMinAge01),MAX(CapacityAge01*АбонементНовых*R9,MeanMinAge01)))</f>
        <v/>
      </c>
      <c r="S48" s="5">
        <f>IF(OR(S21=0,1&lt;=КаникулыРоялти),0,S21*IF(РоялтиПоГруппам="Да",MeanMinAge01+S9*SUMIF(ThresholdAge01,"&lt;"&amp;S9,WeightedRevAge01)-SUMIF(ThresholdAge01,"&lt;"&amp;S9,WeightedMinAge01),MAX(CapacityAge01*АбонементНовых*S9,MeanMinAge01)))</f>
        <v/>
      </c>
      <c r="T48" s="5">
        <f>IF(OR(T21=0,1&lt;=КаникулыРоялти),0,T21*IF(РоялтиПоГруппам="Да",MeanMinAge01+T9*SUMIF(ThresholdAge01,"&lt;"&amp;T9,WeightedRevAge01)-SUMIF(ThresholdAge01,"&lt;"&amp;T9,WeightedMinAge01),MAX(CapacityAge01*АбонементНовых*T9,MeanMinAge01)))</f>
        <v/>
      </c>
      <c r="U48" s="5">
        <f>IF(OR(U21=0,1&lt;=КаникулыРоялти),0,U21*IF(РоялтиПоГруппам="Да",MeanMinAge01+U9*SUMIF(ThresholdAge01,"&lt;"&amp;U9,WeightedRevAge01)-SUMIF(ThresholdAge01,"&lt;"&amp;U9,WeightedMinAge01),MAX(CapacityAge01*АбонементНовых*U9,MeanMinAge01)))</f>
        <v/>
      </c>
      <c r="V48" s="5">
        <f>IF(OR(V21=0,1&lt;=КаникулыРоялти),0,V21*IF(РоялтиПоГруппам="Да",MeanMinAge01+V9*SUMIF(ThresholdAge01,"&lt;"&amp;V9,WeightedRevAge01)-SUMIF(ThresholdAge01,"&lt;"&amp;V9,WeightedMinAge01),MAX(CapacityAge01*АбонементНовых*V9,MeanMinAge01)))</f>
        <v/>
      </c>
      <c r="W48" s="5">
        <f>IF(OR(W21=0,1&lt;=КаникулыРоялти),0,W21*IF(РоялтиПоГруппам="Да",MeanMinAge01+W9*SUMIF(ThresholdAge01,"&lt;"&amp;W9,WeightedRevAge01)-SUMIF(ThresholdAge01,"&lt;"&amp;W9,WeightedMinAge01),MAX(CapacityAge01*АбонементНовых*W9,MeanMinAge01)))</f>
        <v/>
      </c>
      <c r="X48" s="5">
        <f>IF(OR(X21=0,1&lt;=КаникулыРоялти),0,X21*IF(РоялтиПоГруппам="Да",MeanMinAge01+X9*SUMIF(ThresholdAge01,"&lt;"&amp;X9,WeightedRevAge01)-SUMIF(ThresholdAge01,"&lt;"&amp;X9,WeightedMinAge01),MAX(CapacityAge01*АбонементНовых*X9,MeanMinAge01)))</f>
        <v/>
      </c>
      <c r="Y48" s="5">
        <f>IF(OR(Y21=0,1&lt;=КаникулыРоялти),0,Y21*IF(РоялтиПоГруппам="Да",MeanMinAge01+Y9*SUMIF(ThresholdAge01,"&lt;"&amp;Y9,WeightedRevAge01)-SUMIF(ThresholdAge01,"&lt;"&amp;Y9,WeightedMinAge01),MAX(CapacityAge01*АбонементНовых*Y9,MeanMinAge01)))</f>
        <v/>
      </c>
      <c r="Z48" s="5">
        <f>IF(OR(Z21=0,1&lt;=КаникулыРоялти),0,Z21*IF(РоялтиПоГруппам="Да",MeanMinAge01+Z9*SUMIF(ThresholdAge01,"&lt;"&amp;Z9,WeightedRevAge01)-SUMIF(ThresholdAge01,"&lt;"&amp;Z9,WeightedMinAge01),MAX(CapacityAge01*АбонементНовых*Z9,MeanMinAge01)))</f>
        <v/>
      </c>
      <c r="AA48" s="5">
        <f>IF(OR(AA21=0,1&lt;=КаникулыРоялти),0,AA21*IF(РоялтиПоГруппам="Да",MeanMinAge01+AA9*SUMIF(ThresholdAge01,"&lt;"&amp;AA9,WeightedRevAge01)-SUMIF(ThresholdAge01,"&lt;"&amp;AA9,WeightedMinAge01),MAX(CapacityAge01*АбонементНовых*AA9,MeanMinAge01)))</f>
        <v/>
      </c>
      <c r="AB48" s="5">
        <f>IF(OR(AB21=0,1&lt;=КаникулыРоялти),0,AB21*IF(РоялтиПоГруппам="Да",MeanMinAge01+AB9*SUMIF(ThresholdAge01,"&lt;"&amp;AB9,WeightedRevAge01)-SUMIF(ThresholdAge01,"&lt;"&amp;AB9,WeightedMinAge01),MAX(CapacityAge01*АбонементНовых*AB9,MeanMinAge01)))</f>
        <v/>
      </c>
      <c r="AC48" s="5">
        <f>IF(OR(AC21=0,1&lt;=КаникулыРоялти),0,AC21*IF(РоялтиПоГруппам="Да",MeanMinAge01+AC9*SUMIF(ThresholdAge01,"&lt;"&amp;AC9,WeightedRevAge01)-SUMIF(ThresholdAge01,"&lt;"&amp;AC9,WeightedMinAge01),MAX(CapacityAge01*АбонементНовых*AC9,MeanMinAge01)))</f>
        <v/>
      </c>
      <c r="AD48" s="5">
        <f>IF(OR(AD21=0,1&lt;=КаникулыРоялти),0,AD21*IF(РоялтиПоГруппам="Да",MeanMinAge01+AD9*SUMIF(ThresholdAge01,"&lt;"&amp;AD9,WeightedRevAge01)-SUMIF(ThresholdAge01,"&lt;"&amp;AD9,WeightedMinAge01),MAX(CapacityAge01*АбонементНовых*AD9,MeanMinAge01)))</f>
        <v/>
      </c>
      <c r="AE48" s="5">
        <f>IF(OR(AE21=0,1&lt;=КаникулыРоялти),0,AE21*IF(РоялтиПоГруппам="Да",MeanMinAge01+AE9*SUMIF(ThresholdAge01,"&lt;"&amp;AE9,WeightedRevAge01)-SUMIF(ThresholdAge01,"&lt;"&amp;AE9,WeightedMinAge01),MAX(CapacityAge01*АбонементНовых*AE9,MeanMinAge01)))</f>
        <v/>
      </c>
      <c r="AF48" s="5">
        <f>IF(OR(AF21=0,1&lt;=КаникулыРоялти),0,AF21*IF(РоялтиПоГруппам="Да",MeanMinAge01+AF9*SUMIF(ThresholdAge01,"&lt;"&amp;AF9,WeightedRevAge01)-SUMIF(ThresholdAge01,"&lt;"&amp;AF9,WeightedMinAge01),MAX(CapacityAge01*АбонементНовых*AF9,MeanMinAge01)))</f>
        <v/>
      </c>
      <c r="AG48" s="5">
        <f>IF(OR(AG21=0,1&lt;=КаникулыРоялти),0,AG21*IF(РоялтиПоГруппам="Да",MeanMinAge01+AG9*SUMIF(ThresholdAge01,"&lt;"&amp;AG9,WeightedRevAge01)-SUMIF(ThresholdAge01,"&lt;"&amp;AG9,WeightedMinAge01),MAX(CapacityAge01*АбонементНовых*AG9,MeanMinAge01)))</f>
        <v/>
      </c>
      <c r="AH48" s="5">
        <f>IF(OR(AH21=0,1&lt;=КаникулыРоялти),0,AH21*IF(РоялтиПоГруппам="Да",MeanMinAge01+AH9*SUMIF(ThresholdAge01,"&lt;"&amp;AH9,WeightedRevAge01)-SUMIF(ThresholdAge01,"&lt;"&amp;AH9,WeightedMinAge01),MAX(CapacityAge01*АбонементНовых*AH9,MeanMinAge01)))</f>
        <v/>
      </c>
      <c r="AI48" s="5">
        <f>IF(OR(AI21=0,1&lt;=КаникулыРоялти),0,AI21*IF(РоялтиПоГруппам="Да",MeanMinAge01+AI9*SUMIF(ThresholdAge01,"&lt;"&amp;AI9,WeightedRevAge01)-SUMIF(ThresholdAge01,"&lt;"&amp;AI9,WeightedMinAge01),MAX(CapacityAge01*АбонементНовых*AI9,MeanMinAge01)))</f>
        <v/>
      </c>
      <c r="AJ48" s="5">
        <f>IF(OR(AJ21=0,1&lt;=КаникулыРоялти),0,AJ21*IF(РоялтиПоГруппам="Да",MeanMinAge01+AJ9*SUMIF(ThresholdAge01,"&lt;"&amp;AJ9,WeightedRevAge01)-SUMIF(ThresholdAge01,"&lt;"&amp;AJ9,WeightedMinAge01),MAX(CapacityAge01*АбонементНовых*AJ9,MeanMinAge01)))</f>
        <v/>
      </c>
      <c r="AK48" s="5">
        <f>IF(OR(AK21=0,1&lt;=КаникулыРоялти),0,AK21*IF(РоялтиПоГруппам="Да",MeanMinAge01+AK9*SUMIF(ThresholdAge01,"&lt;"&amp;AK9,WeightedRevAge01)-SUMIF(ThresholdAge01,"&lt;"&amp;AK9,WeightedMinAge01),MAX(CapacityAge01*АбонементНовых*AK9,MeanMinAge01)))</f>
        <v/>
      </c>
      <c r="AL48" s="5">
        <f>IF(OR(AL21=0,1&lt;=КаникулыРоялти),0,AL21*IF(РоялтиПоГруппам="Да",MeanMinAge01+AL9*SUMIF(ThresholdAge01,"&lt;"&amp;AL9,WeightedRevAge01)-SUMIF(ThresholdAge01,"&lt;"&amp;AL9,WeightedMinAge01),MAX(CapacityAge01*АбонементНовых*AL9,MeanMinAge01)))</f>
        <v/>
      </c>
      <c r="AM48" s="5">
        <f>IF(OR(AM21=0,1&lt;=КаникулыРоялти),0,AM21*IF(РоялтиПоГруппам="Да",MeanMinAge01+AM9*SUMIF(ThresholdAge01,"&lt;"&amp;AM9,WeightedRevAge01)-SUMIF(ThresholdAge01,"&lt;"&amp;AM9,WeightedMinAge01),MAX(CapacityAge01*АбонементНовых*AM9,MeanMinAge01)))</f>
        <v/>
      </c>
      <c r="AN48" s="5">
        <f>IF(OR(AN21=0,1&lt;=КаникулыРоялти),0,AN21*IF(РоялтиПоГруппам="Да",MeanMinAge01+AN9*SUMIF(ThresholdAge01,"&lt;"&amp;AN9,WeightedRevAge01)-SUMIF(ThresholdAge01,"&lt;"&amp;AN9,WeightedMinAge01),MAX(CapacityAge01*АбонементНовых*AN9,MeanMinAge01)))</f>
        <v/>
      </c>
      <c r="AO48" s="5">
        <f>IF(OR(AO21=0,1&lt;=КаникулыРоялти),0,AO21*IF(РоялтиПоГруппам="Да",MeanMinAge01+AO9*SUMIF(ThresholdAge01,"&lt;"&amp;AO9,WeightedRevAge01)-SUMIF(ThresholdAge01,"&lt;"&amp;AO9,WeightedMinAge01),MAX(CapacityAge01*АбонементНовых*AO9,MeanMinAge01)))</f>
        <v/>
      </c>
      <c r="AP48" s="5">
        <f>IF(OR(AP21=0,1&lt;=КаникулыРоялти),0,AP21*IF(РоялтиПоГруппам="Да",MeanMinAge01+AP9*SUMIF(ThresholdAge01,"&lt;"&amp;AP9,WeightedRevAge01)-SUMIF(ThresholdAge01,"&lt;"&amp;AP9,WeightedMinAge01),MAX(CapacityAge01*АбонементНовых*AP9,MeanMinAge01)))</f>
        <v/>
      </c>
      <c r="AQ48" s="5">
        <f>IF(OR(AQ21=0,1&lt;=КаникулыРоялти),0,AQ21*IF(РоялтиПоГруппам="Да",MeanMinAge01+AQ9*SUMIF(ThresholdAge01,"&lt;"&amp;AQ9,WeightedRevAge01)-SUMIF(ThresholdAge01,"&lt;"&amp;AQ9,WeightedMinAge01),MAX(CapacityAge01*АбонементНовых*AQ9,MeanMinAge01)))</f>
        <v/>
      </c>
      <c r="AR48" s="5">
        <f>IF(OR(AR21=0,1&lt;=КаникулыРоялти),0,AR21*IF(РоялтиПоГруппам="Да",MeanMinAge01+AR9*SUMIF(ThresholdAge01,"&lt;"&amp;AR9,WeightedRevAge01)-SUMIF(ThresholdAge01,"&lt;"&amp;AR9,WeightedMinAge01),MAX(CapacityAge01*АбонементНовых*AR9,MeanMinAge01)))</f>
        <v/>
      </c>
      <c r="AS48" s="5">
        <f>IF(OR(AS21=0,1&lt;=КаникулыРоялти),0,AS21*IF(РоялтиПоГруппам="Да",MeanMinAge01+AS9*SUMIF(ThresholdAge01,"&lt;"&amp;AS9,WeightedRevAge01)-SUMIF(ThresholdAge01,"&lt;"&amp;AS9,WeightedMinAge01),MAX(CapacityAge01*АбонементНовых*AS9,MeanMinAge01)))</f>
        <v/>
      </c>
      <c r="AT48" s="5">
        <f>IF(OR(AT21=0,1&lt;=КаникулыРоялти),0,AT21*IF(РоялтиПоГруппам="Да",MeanMinAge01+AT9*SUMIF(ThresholdAge01,"&lt;"&amp;AT9,WeightedRevAge01)-SUMIF(ThresholdAge01,"&lt;"&amp;AT9,WeightedMinAge01),MAX(CapacityAge01*АбонементНовых*AT9,MeanMinAge01)))</f>
        <v/>
      </c>
      <c r="AU48" s="5">
        <f>IF(OR(AU21=0,1&lt;=КаникулыРоялти),0,AU21*IF(РоялтиПоГруппам="Да",MeanMinAge01+AU9*SUMIF(ThresholdAge01,"&lt;"&amp;AU9,WeightedRevAge01)-SUMIF(ThresholdAge01,"&lt;"&amp;AU9,WeightedMinAge01),MAX(CapacityAge01*АбонементНовых*AU9,MeanMinAge01)))</f>
        <v/>
      </c>
      <c r="AV48" s="5">
        <f>IF(OR(AV21=0,1&lt;=КаникулыРоялти),0,AV21*IF(РоялтиПоГруппам="Да",MeanMinAge01+AV9*SUMIF(ThresholdAge01,"&lt;"&amp;AV9,WeightedRevAge01)-SUMIF(ThresholdAge01,"&lt;"&amp;AV9,WeightedMinAge01),MAX(CapacityAge01*АбонементНовых*AV9,MeanMinAge01)))</f>
        <v/>
      </c>
      <c r="AW48" s="5">
        <f>IF(OR(AW21=0,1&lt;=КаникулыРоялти),0,AW21*IF(РоялтиПоГруппам="Да",MeanMinAge01+AW9*SUMIF(ThresholdAge01,"&lt;"&amp;AW9,WeightedRevAge01)-SUMIF(ThresholdAge01,"&lt;"&amp;AW9,WeightedMinAge01),MAX(CapacityAge01*АбонементНовых*AW9,MeanMinAge01)))</f>
        <v/>
      </c>
      <c r="AX48" s="5">
        <f>IF(OR(AX21=0,1&lt;=КаникулыРоялти),0,AX21*IF(РоялтиПоГруппам="Да",MeanMinAge01+AX9*SUMIF(ThresholdAge01,"&lt;"&amp;AX9,WeightedRevAge01)-SUMIF(ThresholdAge01,"&lt;"&amp;AX9,WeightedMinAge01),MAX(CapacityAge01*АбонементНовых*AX9,MeanMinAge01)))</f>
        <v/>
      </c>
      <c r="AY48" s="5">
        <f>IF(OR(AY21=0,1&lt;=КаникулыРоялти),0,AY21*IF(РоялтиПоГруппам="Да",MeanMinAge01+AY9*SUMIF(ThresholdAge01,"&lt;"&amp;AY9,WeightedRevAge01)-SUMIF(ThresholdAge01,"&lt;"&amp;AY9,WeightedMinAge01),MAX(CapacityAge01*АбонементНовых*AY9,MeanMinAge01)))</f>
        <v/>
      </c>
      <c r="AZ48" s="5">
        <f>IF(OR(AZ21=0,1&lt;=КаникулыРоялти),0,AZ21*IF(РоялтиПоГруппам="Да",MeanMinAge01+AZ9*SUMIF(ThresholdAge01,"&lt;"&amp;AZ9,WeightedRevAge01)-SUMIF(ThresholdAge01,"&lt;"&amp;AZ9,WeightedMinAge01),MAX(CapacityAge01*АбонементНовых*AZ9,MeanMinAge01)))</f>
        <v/>
      </c>
      <c r="BA48" s="5">
        <f>IF(OR(BA21=0,1&lt;=КаникулыРоялти),0,BA21*IF(РоялтиПоГруппам="Да",MeanMinAge01+BA9*SUMIF(ThresholdAge01,"&lt;"&amp;BA9,WeightedRevAge01)-SUMIF(ThresholdAge01,"&lt;"&amp;BA9,WeightedMinAge01),MAX(CapacityAge01*АбонементНовых*BA9,MeanMinAge01)))</f>
        <v/>
      </c>
      <c r="BB48" s="5">
        <f>IF(OR(BB21=0,1&lt;=КаникулыРоялти),0,BB21*IF(РоялтиПоГруппам="Да",MeanMinAge01+BB9*SUMIF(ThresholdAge01,"&lt;"&amp;BB9,WeightedRevAge01)-SUMIF(ThresholdAge01,"&lt;"&amp;BB9,WeightedMinAge01),MAX(CapacityAge01*АбонементНовых*BB9,MeanMinAge01)))</f>
        <v/>
      </c>
      <c r="BC48" s="5">
        <f>IF(OR(BC21=0,1&lt;=КаникулыРоялти),0,BC21*IF(РоялтиПоГруппам="Да",MeanMinAge01+BC9*SUMIF(ThresholdAge01,"&lt;"&amp;BC9,WeightedRevAge01)-SUMIF(ThresholdAge01,"&lt;"&amp;BC9,WeightedMinAge01),MAX(CapacityAge01*АбонементНовых*BC9,MeanMinAge01)))</f>
        <v/>
      </c>
      <c r="BD48" s="5">
        <f>IF(OR(BD21=0,1&lt;=КаникулыРоялти),0,BD21*IF(РоялтиПоГруппам="Да",MeanMinAge01+BD9*SUMIF(ThresholdAge01,"&lt;"&amp;BD9,WeightedRevAge01)-SUMIF(ThresholdAge01,"&lt;"&amp;BD9,WeightedMinAge01),MAX(CapacityAge01*АбонементНовых*BD9,MeanMinAge01)))</f>
        <v/>
      </c>
      <c r="BE48" s="5">
        <f>IF(OR(BE21=0,1&lt;=КаникулыРоялти),0,BE21*IF(РоялтиПоГруппам="Да",MeanMinAge01+BE9*SUMIF(ThresholdAge01,"&lt;"&amp;BE9,WeightedRevAge01)-SUMIF(ThresholdAge01,"&lt;"&amp;BE9,WeightedMinAge01),MAX(CapacityAge01*АбонементНовых*BE9,MeanMinAge01)))</f>
        <v/>
      </c>
      <c r="BF48" s="5">
        <f>IF(OR(BF21=0,1&lt;=КаникулыРоялти),0,BF21*IF(РоялтиПоГруппам="Да",MeanMinAge01+BF9*SUMIF(ThresholdAge01,"&lt;"&amp;BF9,WeightedRevAge01)-SUMIF(ThresholdAge01,"&lt;"&amp;BF9,WeightedMinAge01),MAX(CapacityAge01*АбонементНовых*BF9,MeanMinAge01)))</f>
        <v/>
      </c>
      <c r="BG48" s="5">
        <f>IF(OR(BG21=0,1&lt;=КаникулыРоялти),0,BG21*IF(РоялтиПоГруппам="Да",MeanMinAge01+BG9*SUMIF(ThresholdAge01,"&lt;"&amp;BG9,WeightedRevAge01)-SUMIF(ThresholdAge01,"&lt;"&amp;BG9,WeightedMinAge01),MAX(CapacityAge01*АбонементНовых*BG9,MeanMinAge01)))</f>
        <v/>
      </c>
      <c r="BH48" s="5">
        <f>IF(OR(BH21=0,1&lt;=КаникулыРоялти),0,BH21*IF(РоялтиПоГруппам="Да",MeanMinAge01+BH9*SUMIF(ThresholdAge01,"&lt;"&amp;BH9,WeightedRevAge01)-SUMIF(ThresholdAge01,"&lt;"&amp;BH9,WeightedMinAge01),MAX(CapacityAge01*АбонементНовых*BH9,MeanMinAge01)))</f>
        <v/>
      </c>
      <c r="BI48" s="5">
        <f>IF(OR(BI21=0,1&lt;=КаникулыРоялти),0,BI21*IF(РоялтиПоГруппам="Да",MeanMinAge01+BI9*SUMIF(ThresholdAge01,"&lt;"&amp;BI9,WeightedRevAge01)-SUMIF(ThresholdAge01,"&lt;"&amp;BI9,WeightedMinAge01),MAX(CapacityAge01*АбонементНовых*BI9,MeanMinAge01)))</f>
        <v/>
      </c>
      <c r="BJ48" s="5">
        <f>IF(OR(BJ21=0,1&lt;=КаникулыРоялти),0,BJ21*IF(РоялтиПоГруппам="Да",MeanMinAge01+BJ9*SUMIF(ThresholdAge01,"&lt;"&amp;BJ9,WeightedRevAge01)-SUMIF(ThresholdAge01,"&lt;"&amp;BJ9,WeightedMinAge01),MAX(CapacityAge01*АбонементНовых*BJ9,MeanMinAge01)))</f>
        <v/>
      </c>
      <c r="BK48" s="5">
        <f>IF(OR(BK21=0,1&lt;=КаникулыРоялти),0,BK21*IF(РоялтиПоГруппам="Да",MeanMinAge01+BK9*SUMIF(ThresholdAge01,"&lt;"&amp;BK9,WeightedRevAge01)-SUMIF(ThresholdAge01,"&lt;"&amp;BK9,WeightedMinAge01),MAX(CapacityAge01*АбонементНовых*BK9,MeanMinAge01)))</f>
        <v/>
      </c>
      <c r="BL48" s="5">
        <f>IF(OR(BL21=0,1&lt;=КаникулыРоялти),0,BL21*IF(РоялтиПоГруппам="Да",MeanMinAge01+BL9*SUMIF(ThresholdAge01,"&lt;"&amp;BL9,WeightedRevAge01)-SUMIF(ThresholdAge01,"&lt;"&amp;BL9,WeightedMinAge01),MAX(CapacityAge01*АбонементНовых*BL9,MeanMinAge01)))</f>
        <v/>
      </c>
      <c r="BM48" s="5">
        <f>IF(OR(BM21=0,1&lt;=КаникулыРоялти),0,BM21*IF(РоялтиПоГруппам="Да",MeanMinAge01+BM9*SUMIF(ThresholdAge01,"&lt;"&amp;BM9,WeightedRevAge01)-SUMIF(ThresholdAge01,"&lt;"&amp;BM9,WeightedMinAge01),MAX(CapacityAge01*АбонементНовых*BM9,MeanMinAge01)))</f>
        <v/>
      </c>
      <c r="BN48" s="5">
        <f>IF(OR(BN21=0,1&lt;=КаникулыРоялти),0,BN21*IF(РоялтиПоГруппам="Да",MeanMinAge01+BN9*SUMIF(ThresholdAge01,"&lt;"&amp;BN9,WeightedRevAge01)-SUMIF(ThresholdAge01,"&lt;"&amp;BN9,WeightedMinAge01),MAX(CapacityAge01*АбонементНовых*BN9,MeanMinAge01)))</f>
        <v/>
      </c>
      <c r="BO48" s="5">
        <f>IF(OR(BO21=0,1&lt;=КаникулыРоялти),0,BO21*IF(РоялтиПоГруппам="Да",MeanMinAge01+BO9*SUMIF(ThresholdAge01,"&lt;"&amp;BO9,WeightedRevAge01)-SUMIF(ThresholdAge01,"&lt;"&amp;BO9,WeightedMinAge01),MAX(CapacityAge01*АбонементНовых*BO9,MeanMinAge01)))</f>
        <v/>
      </c>
      <c r="BP48" s="5">
        <f>IF(OR(BP21=0,1&lt;=КаникулыРоялти),0,BP21*IF(РоялтиПоГруппам="Да",MeanMinAge01+BP9*SUMIF(ThresholdAge01,"&lt;"&amp;BP9,WeightedRevAge01)-SUMIF(ThresholdAge01,"&lt;"&amp;BP9,WeightedMinAge01),MAX(CapacityAge01*АбонементНовых*BP9,MeanMinAge01)))</f>
        <v/>
      </c>
      <c r="BQ48" s="5">
        <f>IF(OR(BQ21=0,1&lt;=КаникулыРоялти),0,BQ21*IF(РоялтиПоГруппам="Да",MeanMinAge01+BQ9*SUMIF(ThresholdAge01,"&lt;"&amp;BQ9,WeightedRevAge01)-SUMIF(ThresholdAge01,"&lt;"&amp;BQ9,WeightedMinAge01),MAX(CapacityAge01*АбонементНовых*BQ9,MeanMinAge01)))</f>
        <v/>
      </c>
      <c r="BR48" s="5">
        <f>IF(OR(BR21=0,1&lt;=КаникулыРоялти),0,BR21*IF(РоялтиПоГруппам="Да",MeanMinAge01+BR9*SUMIF(ThresholdAge01,"&lt;"&amp;BR9,WeightedRevAge01)-SUMIF(ThresholdAge01,"&lt;"&amp;BR9,WeightedMinAge01),MAX(CapacityAge01*АбонементНовых*BR9,MeanMinAge01)))</f>
        <v/>
      </c>
      <c r="BS48" s="5">
        <f>IF(OR(BS21=0,1&lt;=КаникулыРоялти),0,BS21*IF(РоялтиПоГруппам="Да",MeanMinAge01+BS9*SUMIF(ThresholdAge01,"&lt;"&amp;BS9,WeightedRevAge01)-SUMIF(ThresholdAge01,"&lt;"&amp;BS9,WeightedMinAge01),MAX(CapacityAge01*АбонементНовых*BS9,MeanMinAge01)))</f>
        <v/>
      </c>
      <c r="BT48" s="5">
        <f>IF(OR(BT21=0,1&lt;=КаникулыРоялти),0,BT21*IF(РоялтиПоГруппам="Да",MeanMinAge01+BT9*SUMIF(ThresholdAge01,"&lt;"&amp;BT9,WeightedRevAge01)-SUMIF(ThresholdAge01,"&lt;"&amp;BT9,WeightedMinAge01),MAX(CapacityAge01*АбонементНовых*BT9,MeanMinAge01)))</f>
        <v/>
      </c>
      <c r="BU48" s="5">
        <f>IF(OR(BU21=0,1&lt;=КаникулыРоялти),0,BU21*IF(РоялтиПоГруппам="Да",MeanMinAge01+BU9*SUMIF(ThresholdAge01,"&lt;"&amp;BU9,WeightedRevAge01)-SUMIF(ThresholdAge01,"&lt;"&amp;BU9,WeightedMinAge01),MAX(CapacityAge01*АбонементНовых*BU9,MeanMinAge01)))</f>
        <v/>
      </c>
      <c r="BV48" s="5">
        <f>IF(OR(BV21=0,1&lt;=КаникулыРоялти),0,BV21*IF(РоялтиПоГруппам="Да",MeanMinAge01+BV9*SUMIF(ThresholdAge01,"&lt;"&amp;BV9,WeightedRevAge01)-SUMIF(ThresholdAge01,"&lt;"&amp;BV9,WeightedMinAge01),MAX(CapacityAge01*АбонементНовых*BV9,MeanMinAge01)))</f>
        <v/>
      </c>
      <c r="BW48" s="5">
        <f>IF(OR(BW21=0,1&lt;=КаникулыРоялти),0,BW21*IF(РоялтиПоГруппам="Да",MeanMinAge01+BW9*SUMIF(ThresholdAge01,"&lt;"&amp;BW9,WeightedRevAge01)-SUMIF(ThresholdAge01,"&lt;"&amp;BW9,WeightedMinAge01),MAX(CapacityAge01*АбонементНовых*BW9,MeanMinAge01)))</f>
        <v/>
      </c>
      <c r="BX48" s="5">
        <f>IF(OR(BX21=0,1&lt;=КаникулыРоялти),0,BX21*IF(РоялтиПоГруппам="Да",MeanMinAge01+BX9*SUMIF(ThresholdAge01,"&lt;"&amp;BX9,WeightedRevAge01)-SUMIF(ThresholdAge01,"&lt;"&amp;BX9,WeightedMinAge01),MAX(CapacityAge01*АбонементНовых*BX9,MeanMinAge01)))</f>
        <v/>
      </c>
      <c r="BY48" s="5">
        <f>IF(OR(BY21=0,1&lt;=КаникулыРоялти),0,BY21*IF(РоялтиПоГруппам="Да",MeanMinAge01+BY9*SUMIF(ThresholdAge01,"&lt;"&amp;BY9,WeightedRevAge01)-SUMIF(ThresholdAge01,"&lt;"&amp;BY9,WeightedMinAge01),MAX(CapacityAge01*АбонементНовых*BY9,MeanMinAge01)))</f>
        <v/>
      </c>
    </row>
    <row r="49">
      <c r="B49" t="inlineStr">
        <is>
          <t>2 мес.</t>
        </is>
      </c>
      <c r="C49" t="inlineStr">
        <is>
          <t>₽</t>
        </is>
      </c>
      <c r="D49" s="127" t="inlineStr"/>
      <c r="E49" s="129">
        <f>SUM(L49:W49)</f>
        <v/>
      </c>
      <c r="F49" s="129">
        <f>SUM(X49:AI49)</f>
        <v/>
      </c>
      <c r="G49" s="129">
        <f>SUM(AJ49:AU49)</f>
        <v/>
      </c>
      <c r="H49" s="129">
        <f>SUM(AV49:BG49)</f>
        <v/>
      </c>
      <c r="I49" s="129">
        <f>SUM(BH49:BS49)</f>
        <v/>
      </c>
      <c r="J49" s="6">
        <f>SUM(L49:BS49)</f>
        <v/>
      </c>
      <c r="L49" s="5">
        <f>IF(OR(L22=0,2&lt;=КаникулыРоялти),0,L22*IF(РоялтиПоГруппам="Да",MeanMinAge02+L9*SUMIF(ThresholdAge02,"&lt;"&amp;L9,WeightedRevAge02)-SUMIF(ThresholdAge02,"&lt;"&amp;L9,WeightedMinAge02),MAX(CapacityAge02*АбонементНовых*L9,MeanMinAge02)))</f>
        <v/>
      </c>
      <c r="M49" s="5">
        <f>IF(OR(M22=0,2&lt;=КаникулыРоялти),0,M22*IF(РоялтиПоГруппам="Да",MeanMinAge02+M9*SUMIF(ThresholdAge02,"&lt;"&amp;M9,WeightedRevAge02)-SUMIF(ThresholdAge02,"&lt;"&amp;M9,WeightedMinAge02),MAX(CapacityAge02*АбонементНовых*M9,MeanMinAge02)))</f>
        <v/>
      </c>
      <c r="N49" s="5">
        <f>IF(OR(N22=0,2&lt;=КаникулыРоялти),0,N22*IF(РоялтиПоГруппам="Да",MeanMinAge02+N9*SUMIF(ThresholdAge02,"&lt;"&amp;N9,WeightedRevAge02)-SUMIF(ThresholdAge02,"&lt;"&amp;N9,WeightedMinAge02),MAX(CapacityAge02*АбонементНовых*N9,MeanMinAge02)))</f>
        <v/>
      </c>
      <c r="O49" s="5">
        <f>IF(OR(O22=0,2&lt;=КаникулыРоялти),0,O22*IF(РоялтиПоГруппам="Да",MeanMinAge02+O9*SUMIF(ThresholdAge02,"&lt;"&amp;O9,WeightedRevAge02)-SUMIF(ThresholdAge02,"&lt;"&amp;O9,WeightedMinAge02),MAX(CapacityAge02*АбонементНовых*O9,MeanMinAge02)))</f>
        <v/>
      </c>
      <c r="P49" s="5">
        <f>IF(OR(P22=0,2&lt;=КаникулыРоялти),0,P22*IF(РоялтиПоГруппам="Да",MeanMinAge02+P9*SUMIF(ThresholdAge02,"&lt;"&amp;P9,WeightedRevAge02)-SUMIF(ThresholdAge02,"&lt;"&amp;P9,WeightedMinAge02),MAX(CapacityAge02*АбонементНовых*P9,MeanMinAge02)))</f>
        <v/>
      </c>
      <c r="Q49" s="5">
        <f>IF(OR(Q22=0,2&lt;=КаникулыРоялти),0,Q22*IF(РоялтиПоГруппам="Да",MeanMinAge02+Q9*SUMIF(ThresholdAge02,"&lt;"&amp;Q9,WeightedRevAge02)-SUMIF(ThresholdAge02,"&lt;"&amp;Q9,WeightedMinAge02),MAX(CapacityAge02*АбонементНовых*Q9,MeanMinAge02)))</f>
        <v/>
      </c>
      <c r="R49" s="5">
        <f>IF(OR(R22=0,2&lt;=КаникулыРоялти),0,R22*IF(РоялтиПоГруппам="Да",MeanMinAge02+R9*SUMIF(ThresholdAge02,"&lt;"&amp;R9,WeightedRevAge02)-SUMIF(ThresholdAge02,"&lt;"&amp;R9,WeightedMinAge02),MAX(CapacityAge02*АбонементНовых*R9,MeanMinAge02)))</f>
        <v/>
      </c>
      <c r="S49" s="5">
        <f>IF(OR(S22=0,2&lt;=КаникулыРоялти),0,S22*IF(РоялтиПоГруппам="Да",MeanMinAge02+S9*SUMIF(ThresholdAge02,"&lt;"&amp;S9,WeightedRevAge02)-SUMIF(ThresholdAge02,"&lt;"&amp;S9,WeightedMinAge02),MAX(CapacityAge02*АбонементНовых*S9,MeanMinAge02)))</f>
        <v/>
      </c>
      <c r="T49" s="5">
        <f>IF(OR(T22=0,2&lt;=КаникулыРоялти),0,T22*IF(РоялтиПоГруппам="Да",MeanMinAge02+T9*SUMIF(ThresholdAge02,"&lt;"&amp;T9,WeightedRevAge02)-SUMIF(ThresholdAge02,"&lt;"&amp;T9,WeightedMinAge02),MAX(CapacityAge02*АбонементНовых*T9,MeanMinAge02)))</f>
        <v/>
      </c>
      <c r="U49" s="5">
        <f>IF(OR(U22=0,2&lt;=КаникулыРоялти),0,U22*IF(РоялтиПоГруппам="Да",MeanMinAge02+U9*SUMIF(ThresholdAge02,"&lt;"&amp;U9,WeightedRevAge02)-SUMIF(ThresholdAge02,"&lt;"&amp;U9,WeightedMinAge02),MAX(CapacityAge02*АбонементНовых*U9,MeanMinAge02)))</f>
        <v/>
      </c>
      <c r="V49" s="5">
        <f>IF(OR(V22=0,2&lt;=КаникулыРоялти),0,V22*IF(РоялтиПоГруппам="Да",MeanMinAge02+V9*SUMIF(ThresholdAge02,"&lt;"&amp;V9,WeightedRevAge02)-SUMIF(ThresholdAge02,"&lt;"&amp;V9,WeightedMinAge02),MAX(CapacityAge02*АбонементНовых*V9,MeanMinAge02)))</f>
        <v/>
      </c>
      <c r="W49" s="5">
        <f>IF(OR(W22=0,2&lt;=КаникулыРоялти),0,W22*IF(РоялтиПоГруппам="Да",MeanMinAge02+W9*SUMIF(ThresholdAge02,"&lt;"&amp;W9,WeightedRevAge02)-SUMIF(ThresholdAge02,"&lt;"&amp;W9,WeightedMinAge02),MAX(CapacityAge02*АбонементНовых*W9,MeanMinAge02)))</f>
        <v/>
      </c>
      <c r="X49" s="5">
        <f>IF(OR(X22=0,2&lt;=КаникулыРоялти),0,X22*IF(РоялтиПоГруппам="Да",MeanMinAge02+X9*SUMIF(ThresholdAge02,"&lt;"&amp;X9,WeightedRevAge02)-SUMIF(ThresholdAge02,"&lt;"&amp;X9,WeightedMinAge02),MAX(CapacityAge02*АбонементНовых*X9,MeanMinAge02)))</f>
        <v/>
      </c>
      <c r="Y49" s="5">
        <f>IF(OR(Y22=0,2&lt;=КаникулыРоялти),0,Y22*IF(РоялтиПоГруппам="Да",MeanMinAge02+Y9*SUMIF(ThresholdAge02,"&lt;"&amp;Y9,WeightedRevAge02)-SUMIF(ThresholdAge02,"&lt;"&amp;Y9,WeightedMinAge02),MAX(CapacityAge02*АбонементНовых*Y9,MeanMinAge02)))</f>
        <v/>
      </c>
      <c r="Z49" s="5">
        <f>IF(OR(Z22=0,2&lt;=КаникулыРоялти),0,Z22*IF(РоялтиПоГруппам="Да",MeanMinAge02+Z9*SUMIF(ThresholdAge02,"&lt;"&amp;Z9,WeightedRevAge02)-SUMIF(ThresholdAge02,"&lt;"&amp;Z9,WeightedMinAge02),MAX(CapacityAge02*АбонементНовых*Z9,MeanMinAge02)))</f>
        <v/>
      </c>
      <c r="AA49" s="5">
        <f>IF(OR(AA22=0,2&lt;=КаникулыРоялти),0,AA22*IF(РоялтиПоГруппам="Да",MeanMinAge02+AA9*SUMIF(ThresholdAge02,"&lt;"&amp;AA9,WeightedRevAge02)-SUMIF(ThresholdAge02,"&lt;"&amp;AA9,WeightedMinAge02),MAX(CapacityAge02*АбонементНовых*AA9,MeanMinAge02)))</f>
        <v/>
      </c>
      <c r="AB49" s="5">
        <f>IF(OR(AB22=0,2&lt;=КаникулыРоялти),0,AB22*IF(РоялтиПоГруппам="Да",MeanMinAge02+AB9*SUMIF(ThresholdAge02,"&lt;"&amp;AB9,WeightedRevAge02)-SUMIF(ThresholdAge02,"&lt;"&amp;AB9,WeightedMinAge02),MAX(CapacityAge02*АбонементНовых*AB9,MeanMinAge02)))</f>
        <v/>
      </c>
      <c r="AC49" s="5">
        <f>IF(OR(AC22=0,2&lt;=КаникулыРоялти),0,AC22*IF(РоялтиПоГруппам="Да",MeanMinAge02+AC9*SUMIF(ThresholdAge02,"&lt;"&amp;AC9,WeightedRevAge02)-SUMIF(ThresholdAge02,"&lt;"&amp;AC9,WeightedMinAge02),MAX(CapacityAge02*АбонементНовых*AC9,MeanMinAge02)))</f>
        <v/>
      </c>
      <c r="AD49" s="5">
        <f>IF(OR(AD22=0,2&lt;=КаникулыРоялти),0,AD22*IF(РоялтиПоГруппам="Да",MeanMinAge02+AD9*SUMIF(ThresholdAge02,"&lt;"&amp;AD9,WeightedRevAge02)-SUMIF(ThresholdAge02,"&lt;"&amp;AD9,WeightedMinAge02),MAX(CapacityAge02*АбонементНовых*AD9,MeanMinAge02)))</f>
        <v/>
      </c>
      <c r="AE49" s="5">
        <f>IF(OR(AE22=0,2&lt;=КаникулыРоялти),0,AE22*IF(РоялтиПоГруппам="Да",MeanMinAge02+AE9*SUMIF(ThresholdAge02,"&lt;"&amp;AE9,WeightedRevAge02)-SUMIF(ThresholdAge02,"&lt;"&amp;AE9,WeightedMinAge02),MAX(CapacityAge02*АбонементНовых*AE9,MeanMinAge02)))</f>
        <v/>
      </c>
      <c r="AF49" s="5">
        <f>IF(OR(AF22=0,2&lt;=КаникулыРоялти),0,AF22*IF(РоялтиПоГруппам="Да",MeanMinAge02+AF9*SUMIF(ThresholdAge02,"&lt;"&amp;AF9,WeightedRevAge02)-SUMIF(ThresholdAge02,"&lt;"&amp;AF9,WeightedMinAge02),MAX(CapacityAge02*АбонементНовых*AF9,MeanMinAge02)))</f>
        <v/>
      </c>
      <c r="AG49" s="5">
        <f>IF(OR(AG22=0,2&lt;=КаникулыРоялти),0,AG22*IF(РоялтиПоГруппам="Да",MeanMinAge02+AG9*SUMIF(ThresholdAge02,"&lt;"&amp;AG9,WeightedRevAge02)-SUMIF(ThresholdAge02,"&lt;"&amp;AG9,WeightedMinAge02),MAX(CapacityAge02*АбонементНовых*AG9,MeanMinAge02)))</f>
        <v/>
      </c>
      <c r="AH49" s="5">
        <f>IF(OR(AH22=0,2&lt;=КаникулыРоялти),0,AH22*IF(РоялтиПоГруппам="Да",MeanMinAge02+AH9*SUMIF(ThresholdAge02,"&lt;"&amp;AH9,WeightedRevAge02)-SUMIF(ThresholdAge02,"&lt;"&amp;AH9,WeightedMinAge02),MAX(CapacityAge02*АбонементНовых*AH9,MeanMinAge02)))</f>
        <v/>
      </c>
      <c r="AI49" s="5">
        <f>IF(OR(AI22=0,2&lt;=КаникулыРоялти),0,AI22*IF(РоялтиПоГруппам="Да",MeanMinAge02+AI9*SUMIF(ThresholdAge02,"&lt;"&amp;AI9,WeightedRevAge02)-SUMIF(ThresholdAge02,"&lt;"&amp;AI9,WeightedMinAge02),MAX(CapacityAge02*АбонементНовых*AI9,MeanMinAge02)))</f>
        <v/>
      </c>
      <c r="AJ49" s="5">
        <f>IF(OR(AJ22=0,2&lt;=КаникулыРоялти),0,AJ22*IF(РоялтиПоГруппам="Да",MeanMinAge02+AJ9*SUMIF(ThresholdAge02,"&lt;"&amp;AJ9,WeightedRevAge02)-SUMIF(ThresholdAge02,"&lt;"&amp;AJ9,WeightedMinAge02),MAX(CapacityAge02*АбонементНовых*AJ9,MeanMinAge02)))</f>
        <v/>
      </c>
      <c r="AK49" s="5">
        <f>IF(OR(AK22=0,2&lt;=КаникулыРоялти),0,AK22*IF(РоялтиПоГруппам="Да",MeanMinAge02+AK9*SUMIF(ThresholdAge02,"&lt;"&amp;AK9,WeightedRevAge02)-SUMIF(ThresholdAge02,"&lt;"&amp;AK9,WeightedMinAge02),MAX(CapacityAge02*АбонементНовых*AK9,MeanMinAge02)))</f>
        <v/>
      </c>
      <c r="AL49" s="5">
        <f>IF(OR(AL22=0,2&lt;=КаникулыРоялти),0,AL22*IF(РоялтиПоГруппам="Да",MeanMinAge02+AL9*SUMIF(ThresholdAge02,"&lt;"&amp;AL9,WeightedRevAge02)-SUMIF(ThresholdAge02,"&lt;"&amp;AL9,WeightedMinAge02),MAX(CapacityAge02*АбонементНовых*AL9,MeanMinAge02)))</f>
        <v/>
      </c>
      <c r="AM49" s="5">
        <f>IF(OR(AM22=0,2&lt;=КаникулыРоялти),0,AM22*IF(РоялтиПоГруппам="Да",MeanMinAge02+AM9*SUMIF(ThresholdAge02,"&lt;"&amp;AM9,WeightedRevAge02)-SUMIF(ThresholdAge02,"&lt;"&amp;AM9,WeightedMinAge02),MAX(CapacityAge02*АбонементНовых*AM9,MeanMinAge02)))</f>
        <v/>
      </c>
      <c r="AN49" s="5">
        <f>IF(OR(AN22=0,2&lt;=КаникулыРоялти),0,AN22*IF(РоялтиПоГруппам="Да",MeanMinAge02+AN9*SUMIF(ThresholdAge02,"&lt;"&amp;AN9,WeightedRevAge02)-SUMIF(ThresholdAge02,"&lt;"&amp;AN9,WeightedMinAge02),MAX(CapacityAge02*АбонементНовых*AN9,MeanMinAge02)))</f>
        <v/>
      </c>
      <c r="AO49" s="5">
        <f>IF(OR(AO22=0,2&lt;=КаникулыРоялти),0,AO22*IF(РоялтиПоГруппам="Да",MeanMinAge02+AO9*SUMIF(ThresholdAge02,"&lt;"&amp;AO9,WeightedRevAge02)-SUMIF(ThresholdAge02,"&lt;"&amp;AO9,WeightedMinAge02),MAX(CapacityAge02*АбонементНовых*AO9,MeanMinAge02)))</f>
        <v/>
      </c>
      <c r="AP49" s="5">
        <f>IF(OR(AP22=0,2&lt;=КаникулыРоялти),0,AP22*IF(РоялтиПоГруппам="Да",MeanMinAge02+AP9*SUMIF(ThresholdAge02,"&lt;"&amp;AP9,WeightedRevAge02)-SUMIF(ThresholdAge02,"&lt;"&amp;AP9,WeightedMinAge02),MAX(CapacityAge02*АбонементНовых*AP9,MeanMinAge02)))</f>
        <v/>
      </c>
      <c r="AQ49" s="5">
        <f>IF(OR(AQ22=0,2&lt;=КаникулыРоялти),0,AQ22*IF(РоялтиПоГруппам="Да",MeanMinAge02+AQ9*SUMIF(ThresholdAge02,"&lt;"&amp;AQ9,WeightedRevAge02)-SUMIF(ThresholdAge02,"&lt;"&amp;AQ9,WeightedMinAge02),MAX(CapacityAge02*АбонементНовых*AQ9,MeanMinAge02)))</f>
        <v/>
      </c>
      <c r="AR49" s="5">
        <f>IF(OR(AR22=0,2&lt;=КаникулыРоялти),0,AR22*IF(РоялтиПоГруппам="Да",MeanMinAge02+AR9*SUMIF(ThresholdAge02,"&lt;"&amp;AR9,WeightedRevAge02)-SUMIF(ThresholdAge02,"&lt;"&amp;AR9,WeightedMinAge02),MAX(CapacityAge02*АбонементНовых*AR9,MeanMinAge02)))</f>
        <v/>
      </c>
      <c r="AS49" s="5">
        <f>IF(OR(AS22=0,2&lt;=КаникулыРоялти),0,AS22*IF(РоялтиПоГруппам="Да",MeanMinAge02+AS9*SUMIF(ThresholdAge02,"&lt;"&amp;AS9,WeightedRevAge02)-SUMIF(ThresholdAge02,"&lt;"&amp;AS9,WeightedMinAge02),MAX(CapacityAge02*АбонементНовых*AS9,MeanMinAge02)))</f>
        <v/>
      </c>
      <c r="AT49" s="5">
        <f>IF(OR(AT22=0,2&lt;=КаникулыРоялти),0,AT22*IF(РоялтиПоГруппам="Да",MeanMinAge02+AT9*SUMIF(ThresholdAge02,"&lt;"&amp;AT9,WeightedRevAge02)-SUMIF(ThresholdAge02,"&lt;"&amp;AT9,WeightedMinAge02),MAX(CapacityAge02*АбонементНовых*AT9,MeanMinAge02)))</f>
        <v/>
      </c>
      <c r="AU49" s="5">
        <f>IF(OR(AU22=0,2&lt;=КаникулыРоялти),0,AU22*IF(РоялтиПоГруппам="Да",MeanMinAge02+AU9*SUMIF(ThresholdAge02,"&lt;"&amp;AU9,WeightedRevAge02)-SUMIF(ThresholdAge02,"&lt;"&amp;AU9,WeightedMinAge02),MAX(CapacityAge02*АбонементНовых*AU9,MeanMinAge02)))</f>
        <v/>
      </c>
      <c r="AV49" s="5">
        <f>IF(OR(AV22=0,2&lt;=КаникулыРоялти),0,AV22*IF(РоялтиПоГруппам="Да",MeanMinAge02+AV9*SUMIF(ThresholdAge02,"&lt;"&amp;AV9,WeightedRevAge02)-SUMIF(ThresholdAge02,"&lt;"&amp;AV9,WeightedMinAge02),MAX(CapacityAge02*АбонементНовых*AV9,MeanMinAge02)))</f>
        <v/>
      </c>
      <c r="AW49" s="5">
        <f>IF(OR(AW22=0,2&lt;=КаникулыРоялти),0,AW22*IF(РоялтиПоГруппам="Да",MeanMinAge02+AW9*SUMIF(ThresholdAge02,"&lt;"&amp;AW9,WeightedRevAge02)-SUMIF(ThresholdAge02,"&lt;"&amp;AW9,WeightedMinAge02),MAX(CapacityAge02*АбонементНовых*AW9,MeanMinAge02)))</f>
        <v/>
      </c>
      <c r="AX49" s="5">
        <f>IF(OR(AX22=0,2&lt;=КаникулыРоялти),0,AX22*IF(РоялтиПоГруппам="Да",MeanMinAge02+AX9*SUMIF(ThresholdAge02,"&lt;"&amp;AX9,WeightedRevAge02)-SUMIF(ThresholdAge02,"&lt;"&amp;AX9,WeightedMinAge02),MAX(CapacityAge02*АбонементНовых*AX9,MeanMinAge02)))</f>
        <v/>
      </c>
      <c r="AY49" s="5">
        <f>IF(OR(AY22=0,2&lt;=КаникулыРоялти),0,AY22*IF(РоялтиПоГруппам="Да",MeanMinAge02+AY9*SUMIF(ThresholdAge02,"&lt;"&amp;AY9,WeightedRevAge02)-SUMIF(ThresholdAge02,"&lt;"&amp;AY9,WeightedMinAge02),MAX(CapacityAge02*АбонементНовых*AY9,MeanMinAge02)))</f>
        <v/>
      </c>
      <c r="AZ49" s="5">
        <f>IF(OR(AZ22=0,2&lt;=КаникулыРоялти),0,AZ22*IF(РоялтиПоГруппам="Да",MeanMinAge02+AZ9*SUMIF(ThresholdAge02,"&lt;"&amp;AZ9,WeightedRevAge02)-SUMIF(ThresholdAge02,"&lt;"&amp;AZ9,WeightedMinAge02),MAX(CapacityAge02*АбонементНовых*AZ9,MeanMinAge02)))</f>
        <v/>
      </c>
      <c r="BA49" s="5">
        <f>IF(OR(BA22=0,2&lt;=КаникулыРоялти),0,BA22*IF(РоялтиПоГруппам="Да",MeanMinAge02+BA9*SUMIF(ThresholdAge02,"&lt;"&amp;BA9,WeightedRevAge02)-SUMIF(ThresholdAge02,"&lt;"&amp;BA9,WeightedMinAge02),MAX(CapacityAge02*АбонементНовых*BA9,MeanMinAge02)))</f>
        <v/>
      </c>
      <c r="BB49" s="5">
        <f>IF(OR(BB22=0,2&lt;=КаникулыРоялти),0,BB22*IF(РоялтиПоГруппам="Да",MeanMinAge02+BB9*SUMIF(ThresholdAge02,"&lt;"&amp;BB9,WeightedRevAge02)-SUMIF(ThresholdAge02,"&lt;"&amp;BB9,WeightedMinAge02),MAX(CapacityAge02*АбонементНовых*BB9,MeanMinAge02)))</f>
        <v/>
      </c>
      <c r="BC49" s="5">
        <f>IF(OR(BC22=0,2&lt;=КаникулыРоялти),0,BC22*IF(РоялтиПоГруппам="Да",MeanMinAge02+BC9*SUMIF(ThresholdAge02,"&lt;"&amp;BC9,WeightedRevAge02)-SUMIF(ThresholdAge02,"&lt;"&amp;BC9,WeightedMinAge02),MAX(CapacityAge02*АбонементНовых*BC9,MeanMinAge02)))</f>
        <v/>
      </c>
      <c r="BD49" s="5">
        <f>IF(OR(BD22=0,2&lt;=КаникулыРоялти),0,BD22*IF(РоялтиПоГруппам="Да",MeanMinAge02+BD9*SUMIF(ThresholdAge02,"&lt;"&amp;BD9,WeightedRevAge02)-SUMIF(ThresholdAge02,"&lt;"&amp;BD9,WeightedMinAge02),MAX(CapacityAge02*АбонементНовых*BD9,MeanMinAge02)))</f>
        <v/>
      </c>
      <c r="BE49" s="5">
        <f>IF(OR(BE22=0,2&lt;=КаникулыРоялти),0,BE22*IF(РоялтиПоГруппам="Да",MeanMinAge02+BE9*SUMIF(ThresholdAge02,"&lt;"&amp;BE9,WeightedRevAge02)-SUMIF(ThresholdAge02,"&lt;"&amp;BE9,WeightedMinAge02),MAX(CapacityAge02*АбонементНовых*BE9,MeanMinAge02)))</f>
        <v/>
      </c>
      <c r="BF49" s="5">
        <f>IF(OR(BF22=0,2&lt;=КаникулыРоялти),0,BF22*IF(РоялтиПоГруппам="Да",MeanMinAge02+BF9*SUMIF(ThresholdAge02,"&lt;"&amp;BF9,WeightedRevAge02)-SUMIF(ThresholdAge02,"&lt;"&amp;BF9,WeightedMinAge02),MAX(CapacityAge02*АбонементНовых*BF9,MeanMinAge02)))</f>
        <v/>
      </c>
      <c r="BG49" s="5">
        <f>IF(OR(BG22=0,2&lt;=КаникулыРоялти),0,BG22*IF(РоялтиПоГруппам="Да",MeanMinAge02+BG9*SUMIF(ThresholdAge02,"&lt;"&amp;BG9,WeightedRevAge02)-SUMIF(ThresholdAge02,"&lt;"&amp;BG9,WeightedMinAge02),MAX(CapacityAge02*АбонементНовых*BG9,MeanMinAge02)))</f>
        <v/>
      </c>
      <c r="BH49" s="5">
        <f>IF(OR(BH22=0,2&lt;=КаникулыРоялти),0,BH22*IF(РоялтиПоГруппам="Да",MeanMinAge02+BH9*SUMIF(ThresholdAge02,"&lt;"&amp;BH9,WeightedRevAge02)-SUMIF(ThresholdAge02,"&lt;"&amp;BH9,WeightedMinAge02),MAX(CapacityAge02*АбонементНовых*BH9,MeanMinAge02)))</f>
        <v/>
      </c>
      <c r="BI49" s="5">
        <f>IF(OR(BI22=0,2&lt;=КаникулыРоялти),0,BI22*IF(РоялтиПоГруппам="Да",MeanMinAge02+BI9*SUMIF(ThresholdAge02,"&lt;"&amp;BI9,WeightedRevAge02)-SUMIF(ThresholdAge02,"&lt;"&amp;BI9,WeightedMinAge02),MAX(CapacityAge02*АбонементНовых*BI9,MeanMinAge02)))</f>
        <v/>
      </c>
      <c r="BJ49" s="5">
        <f>IF(OR(BJ22=0,2&lt;=КаникулыРоялти),0,BJ22*IF(РоялтиПоГруппам="Да",MeanMinAge02+BJ9*SUMIF(ThresholdAge02,"&lt;"&amp;BJ9,WeightedRevAge02)-SUMIF(ThresholdAge02,"&lt;"&amp;BJ9,WeightedMinAge02),MAX(CapacityAge02*АбонементНовых*BJ9,MeanMinAge02)))</f>
        <v/>
      </c>
      <c r="BK49" s="5">
        <f>IF(OR(BK22=0,2&lt;=КаникулыРоялти),0,BK22*IF(РоялтиПоГруппам="Да",MeanMinAge02+BK9*SUMIF(ThresholdAge02,"&lt;"&amp;BK9,WeightedRevAge02)-SUMIF(ThresholdAge02,"&lt;"&amp;BK9,WeightedMinAge02),MAX(CapacityAge02*АбонементНовых*BK9,MeanMinAge02)))</f>
        <v/>
      </c>
      <c r="BL49" s="5">
        <f>IF(OR(BL22=0,2&lt;=КаникулыРоялти),0,BL22*IF(РоялтиПоГруппам="Да",MeanMinAge02+BL9*SUMIF(ThresholdAge02,"&lt;"&amp;BL9,WeightedRevAge02)-SUMIF(ThresholdAge02,"&lt;"&amp;BL9,WeightedMinAge02),MAX(CapacityAge02*АбонементНовых*BL9,MeanMinAge02)))</f>
        <v/>
      </c>
      <c r="BM49" s="5">
        <f>IF(OR(BM22=0,2&lt;=КаникулыРоялти),0,BM22*IF(РоялтиПоГруппам="Да",MeanMinAge02+BM9*SUMIF(ThresholdAge02,"&lt;"&amp;BM9,WeightedRevAge02)-SUMIF(ThresholdAge02,"&lt;"&amp;BM9,WeightedMinAge02),MAX(CapacityAge02*АбонементНовых*BM9,MeanMinAge02)))</f>
        <v/>
      </c>
      <c r="BN49" s="5">
        <f>IF(OR(BN22=0,2&lt;=КаникулыРоялти),0,BN22*IF(РоялтиПоГруппам="Да",MeanMinAge02+BN9*SUMIF(ThresholdAge02,"&lt;"&amp;BN9,WeightedRevAge02)-SUMIF(ThresholdAge02,"&lt;"&amp;BN9,WeightedMinAge02),MAX(CapacityAge02*АбонементНовых*BN9,MeanMinAge02)))</f>
        <v/>
      </c>
      <c r="BO49" s="5">
        <f>IF(OR(BO22=0,2&lt;=КаникулыРоялти),0,BO22*IF(РоялтиПоГруппам="Да",MeanMinAge02+BO9*SUMIF(ThresholdAge02,"&lt;"&amp;BO9,WeightedRevAge02)-SUMIF(ThresholdAge02,"&lt;"&amp;BO9,WeightedMinAge02),MAX(CapacityAge02*АбонементНовых*BO9,MeanMinAge02)))</f>
        <v/>
      </c>
      <c r="BP49" s="5">
        <f>IF(OR(BP22=0,2&lt;=КаникулыРоялти),0,BP22*IF(РоялтиПоГруппам="Да",MeanMinAge02+BP9*SUMIF(ThresholdAge02,"&lt;"&amp;BP9,WeightedRevAge02)-SUMIF(ThresholdAge02,"&lt;"&amp;BP9,WeightedMinAge02),MAX(CapacityAge02*АбонементНовых*BP9,MeanMinAge02)))</f>
        <v/>
      </c>
      <c r="BQ49" s="5">
        <f>IF(OR(BQ22=0,2&lt;=КаникулыРоялти),0,BQ22*IF(РоялтиПоГруппам="Да",MeanMinAge02+BQ9*SUMIF(ThresholdAge02,"&lt;"&amp;BQ9,WeightedRevAge02)-SUMIF(ThresholdAge02,"&lt;"&amp;BQ9,WeightedMinAge02),MAX(CapacityAge02*АбонементНовых*BQ9,MeanMinAge02)))</f>
        <v/>
      </c>
      <c r="BR49" s="5">
        <f>IF(OR(BR22=0,2&lt;=КаникулыРоялти),0,BR22*IF(РоялтиПоГруппам="Да",MeanMinAge02+BR9*SUMIF(ThresholdAge02,"&lt;"&amp;BR9,WeightedRevAge02)-SUMIF(ThresholdAge02,"&lt;"&amp;BR9,WeightedMinAge02),MAX(CapacityAge02*АбонементНовых*BR9,MeanMinAge02)))</f>
        <v/>
      </c>
      <c r="BS49" s="5">
        <f>IF(OR(BS22=0,2&lt;=КаникулыРоялти),0,BS22*IF(РоялтиПоГруппам="Да",MeanMinAge02+BS9*SUMIF(ThresholdAge02,"&lt;"&amp;BS9,WeightedRevAge02)-SUMIF(ThresholdAge02,"&lt;"&amp;BS9,WeightedMinAge02),MAX(CapacityAge02*АбонементНовых*BS9,MeanMinAge02)))</f>
        <v/>
      </c>
      <c r="BT49" s="5">
        <f>IF(OR(BT22=0,2&lt;=КаникулыРоялти),0,BT22*IF(РоялтиПоГруппам="Да",MeanMinAge02+BT9*SUMIF(ThresholdAge02,"&lt;"&amp;BT9,WeightedRevAge02)-SUMIF(ThresholdAge02,"&lt;"&amp;BT9,WeightedMinAge02),MAX(CapacityAge02*АбонементНовых*BT9,MeanMinAge02)))</f>
        <v/>
      </c>
      <c r="BU49" s="5">
        <f>IF(OR(BU22=0,2&lt;=КаникулыРоялти),0,BU22*IF(РоялтиПоГруппам="Да",MeanMinAge02+BU9*SUMIF(ThresholdAge02,"&lt;"&amp;BU9,WeightedRevAge02)-SUMIF(ThresholdAge02,"&lt;"&amp;BU9,WeightedMinAge02),MAX(CapacityAge02*АбонементНовых*BU9,MeanMinAge02)))</f>
        <v/>
      </c>
      <c r="BV49" s="5">
        <f>IF(OR(BV22=0,2&lt;=КаникулыРоялти),0,BV22*IF(РоялтиПоГруппам="Да",MeanMinAge02+BV9*SUMIF(ThresholdAge02,"&lt;"&amp;BV9,WeightedRevAge02)-SUMIF(ThresholdAge02,"&lt;"&amp;BV9,WeightedMinAge02),MAX(CapacityAge02*АбонементНовых*BV9,MeanMinAge02)))</f>
        <v/>
      </c>
      <c r="BW49" s="5">
        <f>IF(OR(BW22=0,2&lt;=КаникулыРоялти),0,BW22*IF(РоялтиПоГруппам="Да",MeanMinAge02+BW9*SUMIF(ThresholdAge02,"&lt;"&amp;BW9,WeightedRevAge02)-SUMIF(ThresholdAge02,"&lt;"&amp;BW9,WeightedMinAge02),MAX(CapacityAge02*АбонементНовых*BW9,MeanMinAge02)))</f>
        <v/>
      </c>
      <c r="BX49" s="5">
        <f>IF(OR(BX22=0,2&lt;=КаникулыРоялти),0,BX22*IF(РоялтиПоГруппам="Да",MeanMinAge02+BX9*SUMIF(ThresholdAge02,"&lt;"&amp;BX9,WeightedRevAge02)-SUMIF(ThresholdAge02,"&lt;"&amp;BX9,WeightedMinAge02),MAX(CapacityAge02*АбонементНовых*BX9,MeanMinAge02)))</f>
        <v/>
      </c>
      <c r="BY49" s="5">
        <f>IF(OR(BY22=0,2&lt;=КаникулыРоялти),0,BY22*IF(РоялтиПоГруппам="Да",MeanMinAge02+BY9*SUMIF(ThresholdAge02,"&lt;"&amp;BY9,WeightedRevAge02)-SUMIF(ThresholdAge02,"&lt;"&amp;BY9,WeightedMinAge02),MAX(CapacityAge02*АбонементНовых*BY9,MeanMinAge02)))</f>
        <v/>
      </c>
    </row>
    <row r="50">
      <c r="B50" t="inlineStr">
        <is>
          <t>3 мес.</t>
        </is>
      </c>
      <c r="C50" t="inlineStr">
        <is>
          <t>₽</t>
        </is>
      </c>
      <c r="D50" s="127" t="inlineStr"/>
      <c r="E50" s="129">
        <f>SUM(L50:W50)</f>
        <v/>
      </c>
      <c r="F50" s="129">
        <f>SUM(X50:AI50)</f>
        <v/>
      </c>
      <c r="G50" s="129">
        <f>SUM(AJ50:AU50)</f>
        <v/>
      </c>
      <c r="H50" s="129">
        <f>SUM(AV50:BG50)</f>
        <v/>
      </c>
      <c r="I50" s="129">
        <f>SUM(BH50:BS50)</f>
        <v/>
      </c>
      <c r="J50" s="6">
        <f>SUM(L50:BS50)</f>
        <v/>
      </c>
      <c r="L50" s="5">
        <f>IF(OR(L23=0,3&lt;=КаникулыРоялти),0,L23*IF(РоялтиПоГруппам="Да",MeanMinAge03+L9*SUMIF(ThresholdAge03,"&lt;"&amp;L9,WeightedRevAge03)-SUMIF(ThresholdAge03,"&lt;"&amp;L9,WeightedMinAge03),MAX(CapacityAge03*АбонементНовых*L9,MeanMinAge03)))</f>
        <v/>
      </c>
      <c r="M50" s="5">
        <f>IF(OR(M23=0,3&lt;=КаникулыРоялти),0,M23*IF(РоялтиПоГруппам="Да",MeanMinAge03+M9*SUMIF(ThresholdAge03,"&lt;"&amp;M9,WeightedRevAge03)-SUMIF(ThresholdAge03,"&lt;"&amp;M9,WeightedMinAge03),MAX(CapacityAge03*АбонементНовых*M9,MeanMinAge03)))</f>
        <v/>
      </c>
      <c r="N50" s="5">
        <f>IF(OR(N23=0,3&lt;=КаникулыРоялти),0,N23*IF(РоялтиПоГруппам="Да",MeanMinAge03+N9*SUMIF(ThresholdAge03,"&lt;"&amp;N9,WeightedRevAge03)-SUMIF(ThresholdAge03,"&lt;"&amp;N9,WeightedMinAge03),MAX(CapacityAge03*АбонементНовых*N9,MeanMinAge03)))</f>
        <v/>
      </c>
      <c r="O50" s="5">
        <f>IF(OR(O23=0,3&lt;=КаникулыРоялти),0,O23*IF(РоялтиПоГруппам="Да",MeanMinAge03+O9*SUMIF(ThresholdAge03,"&lt;"&amp;O9,WeightedRevAge03)-SUMIF(ThresholdAge03,"&lt;"&amp;O9,WeightedMinAge03),MAX(CapacityAge03*АбонементНовых*O9,MeanMinAge03)))</f>
        <v/>
      </c>
      <c r="P50" s="5">
        <f>IF(OR(P23=0,3&lt;=КаникулыРоялти),0,P23*IF(РоялтиПоГруппам="Да",MeanMinAge03+P9*SUMIF(ThresholdAge03,"&lt;"&amp;P9,WeightedRevAge03)-SUMIF(ThresholdAge03,"&lt;"&amp;P9,WeightedMinAge03),MAX(CapacityAge03*АбонементНовых*P9,MeanMinAge03)))</f>
        <v/>
      </c>
      <c r="Q50" s="5">
        <f>IF(OR(Q23=0,3&lt;=КаникулыРоялти),0,Q23*IF(РоялтиПоГруппам="Да",MeanMinAge03+Q9*SUMIF(ThresholdAge03,"&lt;"&amp;Q9,WeightedRevAge03)-SUMIF(ThresholdAge03,"&lt;"&amp;Q9,WeightedMinAge03),MAX(CapacityAge03*АбонементНовых*Q9,MeanMinAge03)))</f>
        <v/>
      </c>
      <c r="R50" s="5">
        <f>IF(OR(R23=0,3&lt;=КаникулыРоялти),0,R23*IF(РоялтиПоГруппам="Да",MeanMinAge03+R9*SUMIF(ThresholdAge03,"&lt;"&amp;R9,WeightedRevAge03)-SUMIF(ThresholdAge03,"&lt;"&amp;R9,WeightedMinAge03),MAX(CapacityAge03*АбонементНовых*R9,MeanMinAge03)))</f>
        <v/>
      </c>
      <c r="S50" s="5">
        <f>IF(OR(S23=0,3&lt;=КаникулыРоялти),0,S23*IF(РоялтиПоГруппам="Да",MeanMinAge03+S9*SUMIF(ThresholdAge03,"&lt;"&amp;S9,WeightedRevAge03)-SUMIF(ThresholdAge03,"&lt;"&amp;S9,WeightedMinAge03),MAX(CapacityAge03*АбонементНовых*S9,MeanMinAge03)))</f>
        <v/>
      </c>
      <c r="T50" s="5">
        <f>IF(OR(T23=0,3&lt;=КаникулыРоялти),0,T23*IF(РоялтиПоГруппам="Да",MeanMinAge03+T9*SUMIF(ThresholdAge03,"&lt;"&amp;T9,WeightedRevAge03)-SUMIF(ThresholdAge03,"&lt;"&amp;T9,WeightedMinAge03),MAX(CapacityAge03*АбонементНовых*T9,MeanMinAge03)))</f>
        <v/>
      </c>
      <c r="U50" s="5">
        <f>IF(OR(U23=0,3&lt;=КаникулыРоялти),0,U23*IF(РоялтиПоГруппам="Да",MeanMinAge03+U9*SUMIF(ThresholdAge03,"&lt;"&amp;U9,WeightedRevAge03)-SUMIF(ThresholdAge03,"&lt;"&amp;U9,WeightedMinAge03),MAX(CapacityAge03*АбонементНовых*U9,MeanMinAge03)))</f>
        <v/>
      </c>
      <c r="V50" s="5">
        <f>IF(OR(V23=0,3&lt;=КаникулыРоялти),0,V23*IF(РоялтиПоГруппам="Да",MeanMinAge03+V9*SUMIF(ThresholdAge03,"&lt;"&amp;V9,WeightedRevAge03)-SUMIF(ThresholdAge03,"&lt;"&amp;V9,WeightedMinAge03),MAX(CapacityAge03*АбонементНовых*V9,MeanMinAge03)))</f>
        <v/>
      </c>
      <c r="W50" s="5">
        <f>IF(OR(W23=0,3&lt;=КаникулыРоялти),0,W23*IF(РоялтиПоГруппам="Да",MeanMinAge03+W9*SUMIF(ThresholdAge03,"&lt;"&amp;W9,WeightedRevAge03)-SUMIF(ThresholdAge03,"&lt;"&amp;W9,WeightedMinAge03),MAX(CapacityAge03*АбонементНовых*W9,MeanMinAge03)))</f>
        <v/>
      </c>
      <c r="X50" s="5">
        <f>IF(OR(X23=0,3&lt;=КаникулыРоялти),0,X23*IF(РоялтиПоГруппам="Да",MeanMinAge03+X9*SUMIF(ThresholdAge03,"&lt;"&amp;X9,WeightedRevAge03)-SUMIF(ThresholdAge03,"&lt;"&amp;X9,WeightedMinAge03),MAX(CapacityAge03*АбонементНовых*X9,MeanMinAge03)))</f>
        <v/>
      </c>
      <c r="Y50" s="5">
        <f>IF(OR(Y23=0,3&lt;=КаникулыРоялти),0,Y23*IF(РоялтиПоГруппам="Да",MeanMinAge03+Y9*SUMIF(ThresholdAge03,"&lt;"&amp;Y9,WeightedRevAge03)-SUMIF(ThresholdAge03,"&lt;"&amp;Y9,WeightedMinAge03),MAX(CapacityAge03*АбонементНовых*Y9,MeanMinAge03)))</f>
        <v/>
      </c>
      <c r="Z50" s="5">
        <f>IF(OR(Z23=0,3&lt;=КаникулыРоялти),0,Z23*IF(РоялтиПоГруппам="Да",MeanMinAge03+Z9*SUMIF(ThresholdAge03,"&lt;"&amp;Z9,WeightedRevAge03)-SUMIF(ThresholdAge03,"&lt;"&amp;Z9,WeightedMinAge03),MAX(CapacityAge03*АбонементНовых*Z9,MeanMinAge03)))</f>
        <v/>
      </c>
      <c r="AA50" s="5">
        <f>IF(OR(AA23=0,3&lt;=КаникулыРоялти),0,AA23*IF(РоялтиПоГруппам="Да",MeanMinAge03+AA9*SUMIF(ThresholdAge03,"&lt;"&amp;AA9,WeightedRevAge03)-SUMIF(ThresholdAge03,"&lt;"&amp;AA9,WeightedMinAge03),MAX(CapacityAge03*АбонементНовых*AA9,MeanMinAge03)))</f>
        <v/>
      </c>
      <c r="AB50" s="5">
        <f>IF(OR(AB23=0,3&lt;=КаникулыРоялти),0,AB23*IF(РоялтиПоГруппам="Да",MeanMinAge03+AB9*SUMIF(ThresholdAge03,"&lt;"&amp;AB9,WeightedRevAge03)-SUMIF(ThresholdAge03,"&lt;"&amp;AB9,WeightedMinAge03),MAX(CapacityAge03*АбонементНовых*AB9,MeanMinAge03)))</f>
        <v/>
      </c>
      <c r="AC50" s="5">
        <f>IF(OR(AC23=0,3&lt;=КаникулыРоялти),0,AC23*IF(РоялтиПоГруппам="Да",MeanMinAge03+AC9*SUMIF(ThresholdAge03,"&lt;"&amp;AC9,WeightedRevAge03)-SUMIF(ThresholdAge03,"&lt;"&amp;AC9,WeightedMinAge03),MAX(CapacityAge03*АбонементНовых*AC9,MeanMinAge03)))</f>
        <v/>
      </c>
      <c r="AD50" s="5">
        <f>IF(OR(AD23=0,3&lt;=КаникулыРоялти),0,AD23*IF(РоялтиПоГруппам="Да",MeanMinAge03+AD9*SUMIF(ThresholdAge03,"&lt;"&amp;AD9,WeightedRevAge03)-SUMIF(ThresholdAge03,"&lt;"&amp;AD9,WeightedMinAge03),MAX(CapacityAge03*АбонементНовых*AD9,MeanMinAge03)))</f>
        <v/>
      </c>
      <c r="AE50" s="5">
        <f>IF(OR(AE23=0,3&lt;=КаникулыРоялти),0,AE23*IF(РоялтиПоГруппам="Да",MeanMinAge03+AE9*SUMIF(ThresholdAge03,"&lt;"&amp;AE9,WeightedRevAge03)-SUMIF(ThresholdAge03,"&lt;"&amp;AE9,WeightedMinAge03),MAX(CapacityAge03*АбонементНовых*AE9,MeanMinAge03)))</f>
        <v/>
      </c>
      <c r="AF50" s="5">
        <f>IF(OR(AF23=0,3&lt;=КаникулыРоялти),0,AF23*IF(РоялтиПоГруппам="Да",MeanMinAge03+AF9*SUMIF(ThresholdAge03,"&lt;"&amp;AF9,WeightedRevAge03)-SUMIF(ThresholdAge03,"&lt;"&amp;AF9,WeightedMinAge03),MAX(CapacityAge03*АбонементНовых*AF9,MeanMinAge03)))</f>
        <v/>
      </c>
      <c r="AG50" s="5">
        <f>IF(OR(AG23=0,3&lt;=КаникулыРоялти),0,AG23*IF(РоялтиПоГруппам="Да",MeanMinAge03+AG9*SUMIF(ThresholdAge03,"&lt;"&amp;AG9,WeightedRevAge03)-SUMIF(ThresholdAge03,"&lt;"&amp;AG9,WeightedMinAge03),MAX(CapacityAge03*АбонементНовых*AG9,MeanMinAge03)))</f>
        <v/>
      </c>
      <c r="AH50" s="5">
        <f>IF(OR(AH23=0,3&lt;=КаникулыРоялти),0,AH23*IF(РоялтиПоГруппам="Да",MeanMinAge03+AH9*SUMIF(ThresholdAge03,"&lt;"&amp;AH9,WeightedRevAge03)-SUMIF(ThresholdAge03,"&lt;"&amp;AH9,WeightedMinAge03),MAX(CapacityAge03*АбонементНовых*AH9,MeanMinAge03)))</f>
        <v/>
      </c>
      <c r="AI50" s="5">
        <f>IF(OR(AI23=0,3&lt;=КаникулыРоялти),0,AI23*IF(РоялтиПоГруппам="Да",MeanMinAge03+AI9*SUMIF(ThresholdAge03,"&lt;"&amp;AI9,WeightedRevAge03)-SUMIF(ThresholdAge03,"&lt;"&amp;AI9,WeightedMinAge03),MAX(CapacityAge03*АбонементНовых*AI9,MeanMinAge03)))</f>
        <v/>
      </c>
      <c r="AJ50" s="5">
        <f>IF(OR(AJ23=0,3&lt;=КаникулыРоялти),0,AJ23*IF(РоялтиПоГруппам="Да",MeanMinAge03+AJ9*SUMIF(ThresholdAge03,"&lt;"&amp;AJ9,WeightedRevAge03)-SUMIF(ThresholdAge03,"&lt;"&amp;AJ9,WeightedMinAge03),MAX(CapacityAge03*АбонементНовых*AJ9,MeanMinAge03)))</f>
        <v/>
      </c>
      <c r="AK50" s="5">
        <f>IF(OR(AK23=0,3&lt;=КаникулыРоялти),0,AK23*IF(РоялтиПоГруппам="Да",MeanMinAge03+AK9*SUMIF(ThresholdAge03,"&lt;"&amp;AK9,WeightedRevAge03)-SUMIF(ThresholdAge03,"&lt;"&amp;AK9,WeightedMinAge03),MAX(CapacityAge03*АбонементНовых*AK9,MeanMinAge03)))</f>
        <v/>
      </c>
      <c r="AL50" s="5">
        <f>IF(OR(AL23=0,3&lt;=КаникулыРоялти),0,AL23*IF(РоялтиПоГруппам="Да",MeanMinAge03+AL9*SUMIF(ThresholdAge03,"&lt;"&amp;AL9,WeightedRevAge03)-SUMIF(ThresholdAge03,"&lt;"&amp;AL9,WeightedMinAge03),MAX(CapacityAge03*АбонементНовых*AL9,MeanMinAge03)))</f>
        <v/>
      </c>
      <c r="AM50" s="5">
        <f>IF(OR(AM23=0,3&lt;=КаникулыРоялти),0,AM23*IF(РоялтиПоГруппам="Да",MeanMinAge03+AM9*SUMIF(ThresholdAge03,"&lt;"&amp;AM9,WeightedRevAge03)-SUMIF(ThresholdAge03,"&lt;"&amp;AM9,WeightedMinAge03),MAX(CapacityAge03*АбонементНовых*AM9,MeanMinAge03)))</f>
        <v/>
      </c>
      <c r="AN50" s="5">
        <f>IF(OR(AN23=0,3&lt;=КаникулыРоялти),0,AN23*IF(РоялтиПоГруппам="Да",MeanMinAge03+AN9*SUMIF(ThresholdAge03,"&lt;"&amp;AN9,WeightedRevAge03)-SUMIF(ThresholdAge03,"&lt;"&amp;AN9,WeightedMinAge03),MAX(CapacityAge03*АбонементНовых*AN9,MeanMinAge03)))</f>
        <v/>
      </c>
      <c r="AO50" s="5">
        <f>IF(OR(AO23=0,3&lt;=КаникулыРоялти),0,AO23*IF(РоялтиПоГруппам="Да",MeanMinAge03+AO9*SUMIF(ThresholdAge03,"&lt;"&amp;AO9,WeightedRevAge03)-SUMIF(ThresholdAge03,"&lt;"&amp;AO9,WeightedMinAge03),MAX(CapacityAge03*АбонементНовых*AO9,MeanMinAge03)))</f>
        <v/>
      </c>
      <c r="AP50" s="5">
        <f>IF(OR(AP23=0,3&lt;=КаникулыРоялти),0,AP23*IF(РоялтиПоГруппам="Да",MeanMinAge03+AP9*SUMIF(ThresholdAge03,"&lt;"&amp;AP9,WeightedRevAge03)-SUMIF(ThresholdAge03,"&lt;"&amp;AP9,WeightedMinAge03),MAX(CapacityAge03*АбонементНовых*AP9,MeanMinAge03)))</f>
        <v/>
      </c>
      <c r="AQ50" s="5">
        <f>IF(OR(AQ23=0,3&lt;=КаникулыРоялти),0,AQ23*IF(РоялтиПоГруппам="Да",MeanMinAge03+AQ9*SUMIF(ThresholdAge03,"&lt;"&amp;AQ9,WeightedRevAge03)-SUMIF(ThresholdAge03,"&lt;"&amp;AQ9,WeightedMinAge03),MAX(CapacityAge03*АбонементНовых*AQ9,MeanMinAge03)))</f>
        <v/>
      </c>
      <c r="AR50" s="5">
        <f>IF(OR(AR23=0,3&lt;=КаникулыРоялти),0,AR23*IF(РоялтиПоГруппам="Да",MeanMinAge03+AR9*SUMIF(ThresholdAge03,"&lt;"&amp;AR9,WeightedRevAge03)-SUMIF(ThresholdAge03,"&lt;"&amp;AR9,WeightedMinAge03),MAX(CapacityAge03*АбонементНовых*AR9,MeanMinAge03)))</f>
        <v/>
      </c>
      <c r="AS50" s="5">
        <f>IF(OR(AS23=0,3&lt;=КаникулыРоялти),0,AS23*IF(РоялтиПоГруппам="Да",MeanMinAge03+AS9*SUMIF(ThresholdAge03,"&lt;"&amp;AS9,WeightedRevAge03)-SUMIF(ThresholdAge03,"&lt;"&amp;AS9,WeightedMinAge03),MAX(CapacityAge03*АбонементНовых*AS9,MeanMinAge03)))</f>
        <v/>
      </c>
      <c r="AT50" s="5">
        <f>IF(OR(AT23=0,3&lt;=КаникулыРоялти),0,AT23*IF(РоялтиПоГруппам="Да",MeanMinAge03+AT9*SUMIF(ThresholdAge03,"&lt;"&amp;AT9,WeightedRevAge03)-SUMIF(ThresholdAge03,"&lt;"&amp;AT9,WeightedMinAge03),MAX(CapacityAge03*АбонементНовых*AT9,MeanMinAge03)))</f>
        <v/>
      </c>
      <c r="AU50" s="5">
        <f>IF(OR(AU23=0,3&lt;=КаникулыРоялти),0,AU23*IF(РоялтиПоГруппам="Да",MeanMinAge03+AU9*SUMIF(ThresholdAge03,"&lt;"&amp;AU9,WeightedRevAge03)-SUMIF(ThresholdAge03,"&lt;"&amp;AU9,WeightedMinAge03),MAX(CapacityAge03*АбонементНовых*AU9,MeanMinAge03)))</f>
        <v/>
      </c>
      <c r="AV50" s="5">
        <f>IF(OR(AV23=0,3&lt;=КаникулыРоялти),0,AV23*IF(РоялтиПоГруппам="Да",MeanMinAge03+AV9*SUMIF(ThresholdAge03,"&lt;"&amp;AV9,WeightedRevAge03)-SUMIF(ThresholdAge03,"&lt;"&amp;AV9,WeightedMinAge03),MAX(CapacityAge03*АбонементНовых*AV9,MeanMinAge03)))</f>
        <v/>
      </c>
      <c r="AW50" s="5">
        <f>IF(OR(AW23=0,3&lt;=КаникулыРоялти),0,AW23*IF(РоялтиПоГруппам="Да",MeanMinAge03+AW9*SUMIF(ThresholdAge03,"&lt;"&amp;AW9,WeightedRevAge03)-SUMIF(ThresholdAge03,"&lt;"&amp;AW9,WeightedMinAge03),MAX(CapacityAge03*АбонементНовых*AW9,MeanMinAge03)))</f>
        <v/>
      </c>
      <c r="AX50" s="5">
        <f>IF(OR(AX23=0,3&lt;=КаникулыРоялти),0,AX23*IF(РоялтиПоГруппам="Да",MeanMinAge03+AX9*SUMIF(ThresholdAge03,"&lt;"&amp;AX9,WeightedRevAge03)-SUMIF(ThresholdAge03,"&lt;"&amp;AX9,WeightedMinAge03),MAX(CapacityAge03*АбонементНовых*AX9,MeanMinAge03)))</f>
        <v/>
      </c>
      <c r="AY50" s="5">
        <f>IF(OR(AY23=0,3&lt;=КаникулыРоялти),0,AY23*IF(РоялтиПоГруппам="Да",MeanMinAge03+AY9*SUMIF(ThresholdAge03,"&lt;"&amp;AY9,WeightedRevAge03)-SUMIF(ThresholdAge03,"&lt;"&amp;AY9,WeightedMinAge03),MAX(CapacityAge03*АбонементНовых*AY9,MeanMinAge03)))</f>
        <v/>
      </c>
      <c r="AZ50" s="5">
        <f>IF(OR(AZ23=0,3&lt;=КаникулыРоялти),0,AZ23*IF(РоялтиПоГруппам="Да",MeanMinAge03+AZ9*SUMIF(ThresholdAge03,"&lt;"&amp;AZ9,WeightedRevAge03)-SUMIF(ThresholdAge03,"&lt;"&amp;AZ9,WeightedMinAge03),MAX(CapacityAge03*АбонементНовых*AZ9,MeanMinAge03)))</f>
        <v/>
      </c>
      <c r="BA50" s="5">
        <f>IF(OR(BA23=0,3&lt;=КаникулыРоялти),0,BA23*IF(РоялтиПоГруппам="Да",MeanMinAge03+BA9*SUMIF(ThresholdAge03,"&lt;"&amp;BA9,WeightedRevAge03)-SUMIF(ThresholdAge03,"&lt;"&amp;BA9,WeightedMinAge03),MAX(CapacityAge03*АбонементНовых*BA9,MeanMinAge03)))</f>
        <v/>
      </c>
      <c r="BB50" s="5">
        <f>IF(OR(BB23=0,3&lt;=КаникулыРоялти),0,BB23*IF(РоялтиПоГруппам="Да",MeanMinAge03+BB9*SUMIF(ThresholdAge03,"&lt;"&amp;BB9,WeightedRevAge03)-SUMIF(ThresholdAge03,"&lt;"&amp;BB9,WeightedMinAge03),MAX(CapacityAge03*АбонементНовых*BB9,MeanMinAge03)))</f>
        <v/>
      </c>
      <c r="BC50" s="5">
        <f>IF(OR(BC23=0,3&lt;=КаникулыРоялти),0,BC23*IF(РоялтиПоГруппам="Да",MeanMinAge03+BC9*SUMIF(ThresholdAge03,"&lt;"&amp;BC9,WeightedRevAge03)-SUMIF(ThresholdAge03,"&lt;"&amp;BC9,WeightedMinAge03),MAX(CapacityAge03*АбонементНовых*BC9,MeanMinAge03)))</f>
        <v/>
      </c>
      <c r="BD50" s="5">
        <f>IF(OR(BD23=0,3&lt;=КаникулыРоялти),0,BD23*IF(РоялтиПоГруппам="Да",MeanMinAge03+BD9*SUMIF(ThresholdAge03,"&lt;"&amp;BD9,WeightedRevAge03)-SUMIF(ThresholdAge03,"&lt;"&amp;BD9,WeightedMinAge03),MAX(CapacityAge03*АбонементНовых*BD9,MeanMinAge03)))</f>
        <v/>
      </c>
      <c r="BE50" s="5">
        <f>IF(OR(BE23=0,3&lt;=КаникулыРоялти),0,BE23*IF(РоялтиПоГруппам="Да",MeanMinAge03+BE9*SUMIF(ThresholdAge03,"&lt;"&amp;BE9,WeightedRevAge03)-SUMIF(ThresholdAge03,"&lt;"&amp;BE9,WeightedMinAge03),MAX(CapacityAge03*АбонементНовых*BE9,MeanMinAge03)))</f>
        <v/>
      </c>
      <c r="BF50" s="5">
        <f>IF(OR(BF23=0,3&lt;=КаникулыРоялти),0,BF23*IF(РоялтиПоГруппам="Да",MeanMinAge03+BF9*SUMIF(ThresholdAge03,"&lt;"&amp;BF9,WeightedRevAge03)-SUMIF(ThresholdAge03,"&lt;"&amp;BF9,WeightedMinAge03),MAX(CapacityAge03*АбонементНовых*BF9,MeanMinAge03)))</f>
        <v/>
      </c>
      <c r="BG50" s="5">
        <f>IF(OR(BG23=0,3&lt;=КаникулыРоялти),0,BG23*IF(РоялтиПоГруппам="Да",MeanMinAge03+BG9*SUMIF(ThresholdAge03,"&lt;"&amp;BG9,WeightedRevAge03)-SUMIF(ThresholdAge03,"&lt;"&amp;BG9,WeightedMinAge03),MAX(CapacityAge03*АбонементНовых*BG9,MeanMinAge03)))</f>
        <v/>
      </c>
      <c r="BH50" s="5">
        <f>IF(OR(BH23=0,3&lt;=КаникулыРоялти),0,BH23*IF(РоялтиПоГруппам="Да",MeanMinAge03+BH9*SUMIF(ThresholdAge03,"&lt;"&amp;BH9,WeightedRevAge03)-SUMIF(ThresholdAge03,"&lt;"&amp;BH9,WeightedMinAge03),MAX(CapacityAge03*АбонементНовых*BH9,MeanMinAge03)))</f>
        <v/>
      </c>
      <c r="BI50" s="5">
        <f>IF(OR(BI23=0,3&lt;=КаникулыРоялти),0,BI23*IF(РоялтиПоГруппам="Да",MeanMinAge03+BI9*SUMIF(ThresholdAge03,"&lt;"&amp;BI9,WeightedRevAge03)-SUMIF(ThresholdAge03,"&lt;"&amp;BI9,WeightedMinAge03),MAX(CapacityAge03*АбонементНовых*BI9,MeanMinAge03)))</f>
        <v/>
      </c>
      <c r="BJ50" s="5">
        <f>IF(OR(BJ23=0,3&lt;=КаникулыРоялти),0,BJ23*IF(РоялтиПоГруппам="Да",MeanMinAge03+BJ9*SUMIF(ThresholdAge03,"&lt;"&amp;BJ9,WeightedRevAge03)-SUMIF(ThresholdAge03,"&lt;"&amp;BJ9,WeightedMinAge03),MAX(CapacityAge03*АбонементНовых*BJ9,MeanMinAge03)))</f>
        <v/>
      </c>
      <c r="BK50" s="5">
        <f>IF(OR(BK23=0,3&lt;=КаникулыРоялти),0,BK23*IF(РоялтиПоГруппам="Да",MeanMinAge03+BK9*SUMIF(ThresholdAge03,"&lt;"&amp;BK9,WeightedRevAge03)-SUMIF(ThresholdAge03,"&lt;"&amp;BK9,WeightedMinAge03),MAX(CapacityAge03*АбонементНовых*BK9,MeanMinAge03)))</f>
        <v/>
      </c>
      <c r="BL50" s="5">
        <f>IF(OR(BL23=0,3&lt;=КаникулыРоялти),0,BL23*IF(РоялтиПоГруппам="Да",MeanMinAge03+BL9*SUMIF(ThresholdAge03,"&lt;"&amp;BL9,WeightedRevAge03)-SUMIF(ThresholdAge03,"&lt;"&amp;BL9,WeightedMinAge03),MAX(CapacityAge03*АбонементНовых*BL9,MeanMinAge03)))</f>
        <v/>
      </c>
      <c r="BM50" s="5">
        <f>IF(OR(BM23=0,3&lt;=КаникулыРоялти),0,BM23*IF(РоялтиПоГруппам="Да",MeanMinAge03+BM9*SUMIF(ThresholdAge03,"&lt;"&amp;BM9,WeightedRevAge03)-SUMIF(ThresholdAge03,"&lt;"&amp;BM9,WeightedMinAge03),MAX(CapacityAge03*АбонементНовых*BM9,MeanMinAge03)))</f>
        <v/>
      </c>
      <c r="BN50" s="5">
        <f>IF(OR(BN23=0,3&lt;=КаникулыРоялти),0,BN23*IF(РоялтиПоГруппам="Да",MeanMinAge03+BN9*SUMIF(ThresholdAge03,"&lt;"&amp;BN9,WeightedRevAge03)-SUMIF(ThresholdAge03,"&lt;"&amp;BN9,WeightedMinAge03),MAX(CapacityAge03*АбонементНовых*BN9,MeanMinAge03)))</f>
        <v/>
      </c>
      <c r="BO50" s="5">
        <f>IF(OR(BO23=0,3&lt;=КаникулыРоялти),0,BO23*IF(РоялтиПоГруппам="Да",MeanMinAge03+BO9*SUMIF(ThresholdAge03,"&lt;"&amp;BO9,WeightedRevAge03)-SUMIF(ThresholdAge03,"&lt;"&amp;BO9,WeightedMinAge03),MAX(CapacityAge03*АбонементНовых*BO9,MeanMinAge03)))</f>
        <v/>
      </c>
      <c r="BP50" s="5">
        <f>IF(OR(BP23=0,3&lt;=КаникулыРоялти),0,BP23*IF(РоялтиПоГруппам="Да",MeanMinAge03+BP9*SUMIF(ThresholdAge03,"&lt;"&amp;BP9,WeightedRevAge03)-SUMIF(ThresholdAge03,"&lt;"&amp;BP9,WeightedMinAge03),MAX(CapacityAge03*АбонементНовых*BP9,MeanMinAge03)))</f>
        <v/>
      </c>
      <c r="BQ50" s="5">
        <f>IF(OR(BQ23=0,3&lt;=КаникулыРоялти),0,BQ23*IF(РоялтиПоГруппам="Да",MeanMinAge03+BQ9*SUMIF(ThresholdAge03,"&lt;"&amp;BQ9,WeightedRevAge03)-SUMIF(ThresholdAge03,"&lt;"&amp;BQ9,WeightedMinAge03),MAX(CapacityAge03*АбонементНовых*BQ9,MeanMinAge03)))</f>
        <v/>
      </c>
      <c r="BR50" s="5">
        <f>IF(OR(BR23=0,3&lt;=КаникулыРоялти),0,BR23*IF(РоялтиПоГруппам="Да",MeanMinAge03+BR9*SUMIF(ThresholdAge03,"&lt;"&amp;BR9,WeightedRevAge03)-SUMIF(ThresholdAge03,"&lt;"&amp;BR9,WeightedMinAge03),MAX(CapacityAge03*АбонементНовых*BR9,MeanMinAge03)))</f>
        <v/>
      </c>
      <c r="BS50" s="5">
        <f>IF(OR(BS23=0,3&lt;=КаникулыРоялти),0,BS23*IF(РоялтиПоГруппам="Да",MeanMinAge03+BS9*SUMIF(ThresholdAge03,"&lt;"&amp;BS9,WeightedRevAge03)-SUMIF(ThresholdAge03,"&lt;"&amp;BS9,WeightedMinAge03),MAX(CapacityAge03*АбонементНовых*BS9,MeanMinAge03)))</f>
        <v/>
      </c>
      <c r="BT50" s="5">
        <f>IF(OR(BT23=0,3&lt;=КаникулыРоялти),0,BT23*IF(РоялтиПоГруппам="Да",MeanMinAge03+BT9*SUMIF(ThresholdAge03,"&lt;"&amp;BT9,WeightedRevAge03)-SUMIF(ThresholdAge03,"&lt;"&amp;BT9,WeightedMinAge03),MAX(CapacityAge03*АбонементНовых*BT9,MeanMinAge03)))</f>
        <v/>
      </c>
      <c r="BU50" s="5">
        <f>IF(OR(BU23=0,3&lt;=КаникулыРоялти),0,BU23*IF(РоялтиПоГруппам="Да",MeanMinAge03+BU9*SUMIF(ThresholdAge03,"&lt;"&amp;BU9,WeightedRevAge03)-SUMIF(ThresholdAge03,"&lt;"&amp;BU9,WeightedMinAge03),MAX(CapacityAge03*АбонементНовых*BU9,MeanMinAge03)))</f>
        <v/>
      </c>
      <c r="BV50" s="5">
        <f>IF(OR(BV23=0,3&lt;=КаникулыРоялти),0,BV23*IF(РоялтиПоГруппам="Да",MeanMinAge03+BV9*SUMIF(ThresholdAge03,"&lt;"&amp;BV9,WeightedRevAge03)-SUMIF(ThresholdAge03,"&lt;"&amp;BV9,WeightedMinAge03),MAX(CapacityAge03*АбонементНовых*BV9,MeanMinAge03)))</f>
        <v/>
      </c>
      <c r="BW50" s="5">
        <f>IF(OR(BW23=0,3&lt;=КаникулыРоялти),0,BW23*IF(РоялтиПоГруппам="Да",MeanMinAge03+BW9*SUMIF(ThresholdAge03,"&lt;"&amp;BW9,WeightedRevAge03)-SUMIF(ThresholdAge03,"&lt;"&amp;BW9,WeightedMinAge03),MAX(CapacityAge03*АбонементНовых*BW9,MeanMinAge03)))</f>
        <v/>
      </c>
      <c r="BX50" s="5">
        <f>IF(OR(BX23=0,3&lt;=КаникулыРоялти),0,BX23*IF(РоялтиПоГруппам="Да",MeanMinAge03+BX9*SUMIF(ThresholdAge03,"&lt;"&amp;BX9,WeightedRevAge03)-SUMIF(ThresholdAge03,"&lt;"&amp;BX9,WeightedMinAge03),MAX(CapacityAge03*АбонементНовых*BX9,MeanMinAge03)))</f>
        <v/>
      </c>
      <c r="BY50" s="5">
        <f>IF(OR(BY23=0,3&lt;=КаникулыРоялти),0,BY23*IF(РоялтиПоГруппам="Да",MeanMinAge03+BY9*SUMIF(ThresholdAge03,"&lt;"&amp;BY9,WeightedRevAge03)-SUMIF(ThresholdAge03,"&lt;"&amp;BY9,WeightedMinAge03),MAX(CapacityAge03*АбонементНовых*BY9,MeanMinAge03)))</f>
        <v/>
      </c>
    </row>
    <row r="51">
      <c r="B51" t="inlineStr">
        <is>
          <t>4 мес.</t>
        </is>
      </c>
      <c r="C51" t="inlineStr">
        <is>
          <t>₽</t>
        </is>
      </c>
      <c r="D51" s="127" t="inlineStr"/>
      <c r="E51" s="129">
        <f>SUM(L51:W51)</f>
        <v/>
      </c>
      <c r="F51" s="129">
        <f>SUM(X51:AI51)</f>
        <v/>
      </c>
      <c r="G51" s="129">
        <f>SUM(AJ51:AU51)</f>
        <v/>
      </c>
      <c r="H51" s="129">
        <f>SUM(AV51:BG51)</f>
        <v/>
      </c>
      <c r="I51" s="129">
        <f>SUM(BH51:BS51)</f>
        <v/>
      </c>
      <c r="J51" s="6">
        <f>SUM(L51:BS51)</f>
        <v/>
      </c>
      <c r="L51" s="5">
        <f>IF(OR(L24=0,4&lt;=КаникулыРоялти),0,L24*IF(РоялтиПоГруппам="Да",MeanMinAge04+L9*SUMIF(ThresholdAge04,"&lt;"&amp;L9,WeightedRevAge04)-SUMIF(ThresholdAge04,"&lt;"&amp;L9,WeightedMinAge04),MAX(CapacityAge04*АбонементНовых*L9,MeanMinAge04)))</f>
        <v/>
      </c>
      <c r="M51" s="5">
        <f>IF(OR(M24=0,4&lt;=КаникулыРоялти),0,M24*IF(РоялтиПоГруппам="Да",MeanMinAge04+M9*SUMIF(ThresholdAge04,"&lt;"&amp;M9,WeightedRevAge04)-SUMIF(ThresholdAge04,"&lt;"&amp;M9,WeightedMinAge04),MAX(CapacityAge04*АбонементНовых*M9,MeanMinAge04)))</f>
        <v/>
      </c>
      <c r="N51" s="5">
        <f>IF(OR(N24=0,4&lt;=КаникулыРоялти),0,N24*IF(РоялтиПоГруппам="Да",MeanMinAge04+N9*SUMIF(ThresholdAge04,"&lt;"&amp;N9,WeightedRevAge04)-SUMIF(ThresholdAge04,"&lt;"&amp;N9,WeightedMinAge04),MAX(CapacityAge04*АбонементНовых*N9,MeanMinAge04)))</f>
        <v/>
      </c>
      <c r="O51" s="5">
        <f>IF(OR(O24=0,4&lt;=КаникулыРоялти),0,O24*IF(РоялтиПоГруппам="Да",MeanMinAge04+O9*SUMIF(ThresholdAge04,"&lt;"&amp;O9,WeightedRevAge04)-SUMIF(ThresholdAge04,"&lt;"&amp;O9,WeightedMinAge04),MAX(CapacityAge04*АбонементНовых*O9,MeanMinAge04)))</f>
        <v/>
      </c>
      <c r="P51" s="5">
        <f>IF(OR(P24=0,4&lt;=КаникулыРоялти),0,P24*IF(РоялтиПоГруппам="Да",MeanMinAge04+P9*SUMIF(ThresholdAge04,"&lt;"&amp;P9,WeightedRevAge04)-SUMIF(ThresholdAge04,"&lt;"&amp;P9,WeightedMinAge04),MAX(CapacityAge04*АбонементНовых*P9,MeanMinAge04)))</f>
        <v/>
      </c>
      <c r="Q51" s="5">
        <f>IF(OR(Q24=0,4&lt;=КаникулыРоялти),0,Q24*IF(РоялтиПоГруппам="Да",MeanMinAge04+Q9*SUMIF(ThresholdAge04,"&lt;"&amp;Q9,WeightedRevAge04)-SUMIF(ThresholdAge04,"&lt;"&amp;Q9,WeightedMinAge04),MAX(CapacityAge04*АбонементНовых*Q9,MeanMinAge04)))</f>
        <v/>
      </c>
      <c r="R51" s="5">
        <f>IF(OR(R24=0,4&lt;=КаникулыРоялти),0,R24*IF(РоялтиПоГруппам="Да",MeanMinAge04+R9*SUMIF(ThresholdAge04,"&lt;"&amp;R9,WeightedRevAge04)-SUMIF(ThresholdAge04,"&lt;"&amp;R9,WeightedMinAge04),MAX(CapacityAge04*АбонементНовых*R9,MeanMinAge04)))</f>
        <v/>
      </c>
      <c r="S51" s="5">
        <f>IF(OR(S24=0,4&lt;=КаникулыРоялти),0,S24*IF(РоялтиПоГруппам="Да",MeanMinAge04+S9*SUMIF(ThresholdAge04,"&lt;"&amp;S9,WeightedRevAge04)-SUMIF(ThresholdAge04,"&lt;"&amp;S9,WeightedMinAge04),MAX(CapacityAge04*АбонементНовых*S9,MeanMinAge04)))</f>
        <v/>
      </c>
      <c r="T51" s="5">
        <f>IF(OR(T24=0,4&lt;=КаникулыРоялти),0,T24*IF(РоялтиПоГруппам="Да",MeanMinAge04+T9*SUMIF(ThresholdAge04,"&lt;"&amp;T9,WeightedRevAge04)-SUMIF(ThresholdAge04,"&lt;"&amp;T9,WeightedMinAge04),MAX(CapacityAge04*АбонементНовых*T9,MeanMinAge04)))</f>
        <v/>
      </c>
      <c r="U51" s="5">
        <f>IF(OR(U24=0,4&lt;=КаникулыРоялти),0,U24*IF(РоялтиПоГруппам="Да",MeanMinAge04+U9*SUMIF(ThresholdAge04,"&lt;"&amp;U9,WeightedRevAge04)-SUMIF(ThresholdAge04,"&lt;"&amp;U9,WeightedMinAge04),MAX(CapacityAge04*АбонементНовых*U9,MeanMinAge04)))</f>
        <v/>
      </c>
      <c r="V51" s="5">
        <f>IF(OR(V24=0,4&lt;=КаникулыРоялти),0,V24*IF(РоялтиПоГруппам="Да",MeanMinAge04+V9*SUMIF(ThresholdAge04,"&lt;"&amp;V9,WeightedRevAge04)-SUMIF(ThresholdAge04,"&lt;"&amp;V9,WeightedMinAge04),MAX(CapacityAge04*АбонементНовых*V9,MeanMinAge04)))</f>
        <v/>
      </c>
      <c r="W51" s="5">
        <f>IF(OR(W24=0,4&lt;=КаникулыРоялти),0,W24*IF(РоялтиПоГруппам="Да",MeanMinAge04+W9*SUMIF(ThresholdAge04,"&lt;"&amp;W9,WeightedRevAge04)-SUMIF(ThresholdAge04,"&lt;"&amp;W9,WeightedMinAge04),MAX(CapacityAge04*АбонементНовых*W9,MeanMinAge04)))</f>
        <v/>
      </c>
      <c r="X51" s="5">
        <f>IF(OR(X24=0,4&lt;=КаникулыРоялти),0,X24*IF(РоялтиПоГруппам="Да",MeanMinAge04+X9*SUMIF(ThresholdAge04,"&lt;"&amp;X9,WeightedRevAge04)-SUMIF(ThresholdAge04,"&lt;"&amp;X9,WeightedMinAge04),MAX(CapacityAge04*АбонементНовых*X9,MeanMinAge04)))</f>
        <v/>
      </c>
      <c r="Y51" s="5">
        <f>IF(OR(Y24=0,4&lt;=КаникулыРоялти),0,Y24*IF(РоялтиПоГруппам="Да",MeanMinAge04+Y9*SUMIF(ThresholdAge04,"&lt;"&amp;Y9,WeightedRevAge04)-SUMIF(ThresholdAge04,"&lt;"&amp;Y9,WeightedMinAge04),MAX(CapacityAge04*АбонементНовых*Y9,MeanMinAge04)))</f>
        <v/>
      </c>
      <c r="Z51" s="5">
        <f>IF(OR(Z24=0,4&lt;=КаникулыРоялти),0,Z24*IF(РоялтиПоГруппам="Да",MeanMinAge04+Z9*SUMIF(ThresholdAge04,"&lt;"&amp;Z9,WeightedRevAge04)-SUMIF(ThresholdAge04,"&lt;"&amp;Z9,WeightedMinAge04),MAX(CapacityAge04*АбонементНовых*Z9,MeanMinAge04)))</f>
        <v/>
      </c>
      <c r="AA51" s="5">
        <f>IF(OR(AA24=0,4&lt;=КаникулыРоялти),0,AA24*IF(РоялтиПоГруппам="Да",MeanMinAge04+AA9*SUMIF(ThresholdAge04,"&lt;"&amp;AA9,WeightedRevAge04)-SUMIF(ThresholdAge04,"&lt;"&amp;AA9,WeightedMinAge04),MAX(CapacityAge04*АбонементНовых*AA9,MeanMinAge04)))</f>
        <v/>
      </c>
      <c r="AB51" s="5">
        <f>IF(OR(AB24=0,4&lt;=КаникулыРоялти),0,AB24*IF(РоялтиПоГруппам="Да",MeanMinAge04+AB9*SUMIF(ThresholdAge04,"&lt;"&amp;AB9,WeightedRevAge04)-SUMIF(ThresholdAge04,"&lt;"&amp;AB9,WeightedMinAge04),MAX(CapacityAge04*АбонементНовых*AB9,MeanMinAge04)))</f>
        <v/>
      </c>
      <c r="AC51" s="5">
        <f>IF(OR(AC24=0,4&lt;=КаникулыРоялти),0,AC24*IF(РоялтиПоГруппам="Да",MeanMinAge04+AC9*SUMIF(ThresholdAge04,"&lt;"&amp;AC9,WeightedRevAge04)-SUMIF(ThresholdAge04,"&lt;"&amp;AC9,WeightedMinAge04),MAX(CapacityAge04*АбонементНовых*AC9,MeanMinAge04)))</f>
        <v/>
      </c>
      <c r="AD51" s="5">
        <f>IF(OR(AD24=0,4&lt;=КаникулыРоялти),0,AD24*IF(РоялтиПоГруппам="Да",MeanMinAge04+AD9*SUMIF(ThresholdAge04,"&lt;"&amp;AD9,WeightedRevAge04)-SUMIF(ThresholdAge04,"&lt;"&amp;AD9,WeightedMinAge04),MAX(CapacityAge04*АбонементНовых*AD9,MeanMinAge04)))</f>
        <v/>
      </c>
      <c r="AE51" s="5">
        <f>IF(OR(AE24=0,4&lt;=КаникулыРоялти),0,AE24*IF(РоялтиПоГруппам="Да",MeanMinAge04+AE9*SUMIF(ThresholdAge04,"&lt;"&amp;AE9,WeightedRevAge04)-SUMIF(ThresholdAge04,"&lt;"&amp;AE9,WeightedMinAge04),MAX(CapacityAge04*АбонементНовых*AE9,MeanMinAge04)))</f>
        <v/>
      </c>
      <c r="AF51" s="5">
        <f>IF(OR(AF24=0,4&lt;=КаникулыРоялти),0,AF24*IF(РоялтиПоГруппам="Да",MeanMinAge04+AF9*SUMIF(ThresholdAge04,"&lt;"&amp;AF9,WeightedRevAge04)-SUMIF(ThresholdAge04,"&lt;"&amp;AF9,WeightedMinAge04),MAX(CapacityAge04*АбонементНовых*AF9,MeanMinAge04)))</f>
        <v/>
      </c>
      <c r="AG51" s="5">
        <f>IF(OR(AG24=0,4&lt;=КаникулыРоялти),0,AG24*IF(РоялтиПоГруппам="Да",MeanMinAge04+AG9*SUMIF(ThresholdAge04,"&lt;"&amp;AG9,WeightedRevAge04)-SUMIF(ThresholdAge04,"&lt;"&amp;AG9,WeightedMinAge04),MAX(CapacityAge04*АбонементНовых*AG9,MeanMinAge04)))</f>
        <v/>
      </c>
      <c r="AH51" s="5">
        <f>IF(OR(AH24=0,4&lt;=КаникулыРоялти),0,AH24*IF(РоялтиПоГруппам="Да",MeanMinAge04+AH9*SUMIF(ThresholdAge04,"&lt;"&amp;AH9,WeightedRevAge04)-SUMIF(ThresholdAge04,"&lt;"&amp;AH9,WeightedMinAge04),MAX(CapacityAge04*АбонементНовых*AH9,MeanMinAge04)))</f>
        <v/>
      </c>
      <c r="AI51" s="5">
        <f>IF(OR(AI24=0,4&lt;=КаникулыРоялти),0,AI24*IF(РоялтиПоГруппам="Да",MeanMinAge04+AI9*SUMIF(ThresholdAge04,"&lt;"&amp;AI9,WeightedRevAge04)-SUMIF(ThresholdAge04,"&lt;"&amp;AI9,WeightedMinAge04),MAX(CapacityAge04*АбонементНовых*AI9,MeanMinAge04)))</f>
        <v/>
      </c>
      <c r="AJ51" s="5">
        <f>IF(OR(AJ24=0,4&lt;=КаникулыРоялти),0,AJ24*IF(РоялтиПоГруппам="Да",MeanMinAge04+AJ9*SUMIF(ThresholdAge04,"&lt;"&amp;AJ9,WeightedRevAge04)-SUMIF(ThresholdAge04,"&lt;"&amp;AJ9,WeightedMinAge04),MAX(CapacityAge04*АбонементНовых*AJ9,MeanMinAge04)))</f>
        <v/>
      </c>
      <c r="AK51" s="5">
        <f>IF(OR(AK24=0,4&lt;=КаникулыРоялти),0,AK24*IF(РоялтиПоГруппам="Да",MeanMinAge04+AK9*SUMIF(ThresholdAge04,"&lt;"&amp;AK9,WeightedRevAge04)-SUMIF(ThresholdAge04,"&lt;"&amp;AK9,WeightedMinAge04),MAX(CapacityAge04*АбонементНовых*AK9,MeanMinAge04)))</f>
        <v/>
      </c>
      <c r="AL51" s="5">
        <f>IF(OR(AL24=0,4&lt;=КаникулыРоялти),0,AL24*IF(РоялтиПоГруппам="Да",MeanMinAge04+AL9*SUMIF(ThresholdAge04,"&lt;"&amp;AL9,WeightedRevAge04)-SUMIF(ThresholdAge04,"&lt;"&amp;AL9,WeightedMinAge04),MAX(CapacityAge04*АбонементНовых*AL9,MeanMinAge04)))</f>
        <v/>
      </c>
      <c r="AM51" s="5">
        <f>IF(OR(AM24=0,4&lt;=КаникулыРоялти),0,AM24*IF(РоялтиПоГруппам="Да",MeanMinAge04+AM9*SUMIF(ThresholdAge04,"&lt;"&amp;AM9,WeightedRevAge04)-SUMIF(ThresholdAge04,"&lt;"&amp;AM9,WeightedMinAge04),MAX(CapacityAge04*АбонементНовых*AM9,MeanMinAge04)))</f>
        <v/>
      </c>
      <c r="AN51" s="5">
        <f>IF(OR(AN24=0,4&lt;=КаникулыРоялти),0,AN24*IF(РоялтиПоГруппам="Да",MeanMinAge04+AN9*SUMIF(ThresholdAge04,"&lt;"&amp;AN9,WeightedRevAge04)-SUMIF(ThresholdAge04,"&lt;"&amp;AN9,WeightedMinAge04),MAX(CapacityAge04*АбонементНовых*AN9,MeanMinAge04)))</f>
        <v/>
      </c>
      <c r="AO51" s="5">
        <f>IF(OR(AO24=0,4&lt;=КаникулыРоялти),0,AO24*IF(РоялтиПоГруппам="Да",MeanMinAge04+AO9*SUMIF(ThresholdAge04,"&lt;"&amp;AO9,WeightedRevAge04)-SUMIF(ThresholdAge04,"&lt;"&amp;AO9,WeightedMinAge04),MAX(CapacityAge04*АбонементНовых*AO9,MeanMinAge04)))</f>
        <v/>
      </c>
      <c r="AP51" s="5">
        <f>IF(OR(AP24=0,4&lt;=КаникулыРоялти),0,AP24*IF(РоялтиПоГруппам="Да",MeanMinAge04+AP9*SUMIF(ThresholdAge04,"&lt;"&amp;AP9,WeightedRevAge04)-SUMIF(ThresholdAge04,"&lt;"&amp;AP9,WeightedMinAge04),MAX(CapacityAge04*АбонементНовых*AP9,MeanMinAge04)))</f>
        <v/>
      </c>
      <c r="AQ51" s="5">
        <f>IF(OR(AQ24=0,4&lt;=КаникулыРоялти),0,AQ24*IF(РоялтиПоГруппам="Да",MeanMinAge04+AQ9*SUMIF(ThresholdAge04,"&lt;"&amp;AQ9,WeightedRevAge04)-SUMIF(ThresholdAge04,"&lt;"&amp;AQ9,WeightedMinAge04),MAX(CapacityAge04*АбонементНовых*AQ9,MeanMinAge04)))</f>
        <v/>
      </c>
      <c r="AR51" s="5">
        <f>IF(OR(AR24=0,4&lt;=КаникулыРоялти),0,AR24*IF(РоялтиПоГруппам="Да",MeanMinAge04+AR9*SUMIF(ThresholdAge04,"&lt;"&amp;AR9,WeightedRevAge04)-SUMIF(ThresholdAge04,"&lt;"&amp;AR9,WeightedMinAge04),MAX(CapacityAge04*АбонементНовых*AR9,MeanMinAge04)))</f>
        <v/>
      </c>
      <c r="AS51" s="5">
        <f>IF(OR(AS24=0,4&lt;=КаникулыРоялти),0,AS24*IF(РоялтиПоГруппам="Да",MeanMinAge04+AS9*SUMIF(ThresholdAge04,"&lt;"&amp;AS9,WeightedRevAge04)-SUMIF(ThresholdAge04,"&lt;"&amp;AS9,WeightedMinAge04),MAX(CapacityAge04*АбонементНовых*AS9,MeanMinAge04)))</f>
        <v/>
      </c>
      <c r="AT51" s="5">
        <f>IF(OR(AT24=0,4&lt;=КаникулыРоялти),0,AT24*IF(РоялтиПоГруппам="Да",MeanMinAge04+AT9*SUMIF(ThresholdAge04,"&lt;"&amp;AT9,WeightedRevAge04)-SUMIF(ThresholdAge04,"&lt;"&amp;AT9,WeightedMinAge04),MAX(CapacityAge04*АбонементНовых*AT9,MeanMinAge04)))</f>
        <v/>
      </c>
      <c r="AU51" s="5">
        <f>IF(OR(AU24=0,4&lt;=КаникулыРоялти),0,AU24*IF(РоялтиПоГруппам="Да",MeanMinAge04+AU9*SUMIF(ThresholdAge04,"&lt;"&amp;AU9,WeightedRevAge04)-SUMIF(ThresholdAge04,"&lt;"&amp;AU9,WeightedMinAge04),MAX(CapacityAge04*АбонементНовых*AU9,MeanMinAge04)))</f>
        <v/>
      </c>
      <c r="AV51" s="5">
        <f>IF(OR(AV24=0,4&lt;=КаникулыРоялти),0,AV24*IF(РоялтиПоГруппам="Да",MeanMinAge04+AV9*SUMIF(ThresholdAge04,"&lt;"&amp;AV9,WeightedRevAge04)-SUMIF(ThresholdAge04,"&lt;"&amp;AV9,WeightedMinAge04),MAX(CapacityAge04*АбонементНовых*AV9,MeanMinAge04)))</f>
        <v/>
      </c>
      <c r="AW51" s="5">
        <f>IF(OR(AW24=0,4&lt;=КаникулыРоялти),0,AW24*IF(РоялтиПоГруппам="Да",MeanMinAge04+AW9*SUMIF(ThresholdAge04,"&lt;"&amp;AW9,WeightedRevAge04)-SUMIF(ThresholdAge04,"&lt;"&amp;AW9,WeightedMinAge04),MAX(CapacityAge04*АбонементНовых*AW9,MeanMinAge04)))</f>
        <v/>
      </c>
      <c r="AX51" s="5">
        <f>IF(OR(AX24=0,4&lt;=КаникулыРоялти),0,AX24*IF(РоялтиПоГруппам="Да",MeanMinAge04+AX9*SUMIF(ThresholdAge04,"&lt;"&amp;AX9,WeightedRevAge04)-SUMIF(ThresholdAge04,"&lt;"&amp;AX9,WeightedMinAge04),MAX(CapacityAge04*АбонементНовых*AX9,MeanMinAge04)))</f>
        <v/>
      </c>
      <c r="AY51" s="5">
        <f>IF(OR(AY24=0,4&lt;=КаникулыРоялти),0,AY24*IF(РоялтиПоГруппам="Да",MeanMinAge04+AY9*SUMIF(ThresholdAge04,"&lt;"&amp;AY9,WeightedRevAge04)-SUMIF(ThresholdAge04,"&lt;"&amp;AY9,WeightedMinAge04),MAX(CapacityAge04*АбонементНовых*AY9,MeanMinAge04)))</f>
        <v/>
      </c>
      <c r="AZ51" s="5">
        <f>IF(OR(AZ24=0,4&lt;=КаникулыРоялти),0,AZ24*IF(РоялтиПоГруппам="Да",MeanMinAge04+AZ9*SUMIF(ThresholdAge04,"&lt;"&amp;AZ9,WeightedRevAge04)-SUMIF(ThresholdAge04,"&lt;"&amp;AZ9,WeightedMinAge04),MAX(CapacityAge04*АбонементНовых*AZ9,MeanMinAge04)))</f>
        <v/>
      </c>
      <c r="BA51" s="5">
        <f>IF(OR(BA24=0,4&lt;=КаникулыРоялти),0,BA24*IF(РоялтиПоГруппам="Да",MeanMinAge04+BA9*SUMIF(ThresholdAge04,"&lt;"&amp;BA9,WeightedRevAge04)-SUMIF(ThresholdAge04,"&lt;"&amp;BA9,WeightedMinAge04),MAX(CapacityAge04*АбонементНовых*BA9,MeanMinAge04)))</f>
        <v/>
      </c>
      <c r="BB51" s="5">
        <f>IF(OR(BB24=0,4&lt;=КаникулыРоялти),0,BB24*IF(РоялтиПоГруппам="Да",MeanMinAge04+BB9*SUMIF(ThresholdAge04,"&lt;"&amp;BB9,WeightedRevAge04)-SUMIF(ThresholdAge04,"&lt;"&amp;BB9,WeightedMinAge04),MAX(CapacityAge04*АбонементНовых*BB9,MeanMinAge04)))</f>
        <v/>
      </c>
      <c r="BC51" s="5">
        <f>IF(OR(BC24=0,4&lt;=КаникулыРоялти),0,BC24*IF(РоялтиПоГруппам="Да",MeanMinAge04+BC9*SUMIF(ThresholdAge04,"&lt;"&amp;BC9,WeightedRevAge04)-SUMIF(ThresholdAge04,"&lt;"&amp;BC9,WeightedMinAge04),MAX(CapacityAge04*АбонементНовых*BC9,MeanMinAge04)))</f>
        <v/>
      </c>
      <c r="BD51" s="5">
        <f>IF(OR(BD24=0,4&lt;=КаникулыРоялти),0,BD24*IF(РоялтиПоГруппам="Да",MeanMinAge04+BD9*SUMIF(ThresholdAge04,"&lt;"&amp;BD9,WeightedRevAge04)-SUMIF(ThresholdAge04,"&lt;"&amp;BD9,WeightedMinAge04),MAX(CapacityAge04*АбонементНовых*BD9,MeanMinAge04)))</f>
        <v/>
      </c>
      <c r="BE51" s="5">
        <f>IF(OR(BE24=0,4&lt;=КаникулыРоялти),0,BE24*IF(РоялтиПоГруппам="Да",MeanMinAge04+BE9*SUMIF(ThresholdAge04,"&lt;"&amp;BE9,WeightedRevAge04)-SUMIF(ThresholdAge04,"&lt;"&amp;BE9,WeightedMinAge04),MAX(CapacityAge04*АбонементНовых*BE9,MeanMinAge04)))</f>
        <v/>
      </c>
      <c r="BF51" s="5">
        <f>IF(OR(BF24=0,4&lt;=КаникулыРоялти),0,BF24*IF(РоялтиПоГруппам="Да",MeanMinAge04+BF9*SUMIF(ThresholdAge04,"&lt;"&amp;BF9,WeightedRevAge04)-SUMIF(ThresholdAge04,"&lt;"&amp;BF9,WeightedMinAge04),MAX(CapacityAge04*АбонементНовых*BF9,MeanMinAge04)))</f>
        <v/>
      </c>
      <c r="BG51" s="5">
        <f>IF(OR(BG24=0,4&lt;=КаникулыРоялти),0,BG24*IF(РоялтиПоГруппам="Да",MeanMinAge04+BG9*SUMIF(ThresholdAge04,"&lt;"&amp;BG9,WeightedRevAge04)-SUMIF(ThresholdAge04,"&lt;"&amp;BG9,WeightedMinAge04),MAX(CapacityAge04*АбонементНовых*BG9,MeanMinAge04)))</f>
        <v/>
      </c>
      <c r="BH51" s="5">
        <f>IF(OR(BH24=0,4&lt;=КаникулыРоялти),0,BH24*IF(РоялтиПоГруппам="Да",MeanMinAge04+BH9*SUMIF(ThresholdAge04,"&lt;"&amp;BH9,WeightedRevAge04)-SUMIF(ThresholdAge04,"&lt;"&amp;BH9,WeightedMinAge04),MAX(CapacityAge04*АбонементНовых*BH9,MeanMinAge04)))</f>
        <v/>
      </c>
      <c r="BI51" s="5">
        <f>IF(OR(BI24=0,4&lt;=КаникулыРоялти),0,BI24*IF(РоялтиПоГруппам="Да",MeanMinAge04+BI9*SUMIF(ThresholdAge04,"&lt;"&amp;BI9,WeightedRevAge04)-SUMIF(ThresholdAge04,"&lt;"&amp;BI9,WeightedMinAge04),MAX(CapacityAge04*АбонементНовых*BI9,MeanMinAge04)))</f>
        <v/>
      </c>
      <c r="BJ51" s="5">
        <f>IF(OR(BJ24=0,4&lt;=КаникулыРоялти),0,BJ24*IF(РоялтиПоГруппам="Да",MeanMinAge04+BJ9*SUMIF(ThresholdAge04,"&lt;"&amp;BJ9,WeightedRevAge04)-SUMIF(ThresholdAge04,"&lt;"&amp;BJ9,WeightedMinAge04),MAX(CapacityAge04*АбонементНовых*BJ9,MeanMinAge04)))</f>
        <v/>
      </c>
      <c r="BK51" s="5">
        <f>IF(OR(BK24=0,4&lt;=КаникулыРоялти),0,BK24*IF(РоялтиПоГруппам="Да",MeanMinAge04+BK9*SUMIF(ThresholdAge04,"&lt;"&amp;BK9,WeightedRevAge04)-SUMIF(ThresholdAge04,"&lt;"&amp;BK9,WeightedMinAge04),MAX(CapacityAge04*АбонементНовых*BK9,MeanMinAge04)))</f>
        <v/>
      </c>
      <c r="BL51" s="5">
        <f>IF(OR(BL24=0,4&lt;=КаникулыРоялти),0,BL24*IF(РоялтиПоГруппам="Да",MeanMinAge04+BL9*SUMIF(ThresholdAge04,"&lt;"&amp;BL9,WeightedRevAge04)-SUMIF(ThresholdAge04,"&lt;"&amp;BL9,WeightedMinAge04),MAX(CapacityAge04*АбонементНовых*BL9,MeanMinAge04)))</f>
        <v/>
      </c>
      <c r="BM51" s="5">
        <f>IF(OR(BM24=0,4&lt;=КаникулыРоялти),0,BM24*IF(РоялтиПоГруппам="Да",MeanMinAge04+BM9*SUMIF(ThresholdAge04,"&lt;"&amp;BM9,WeightedRevAge04)-SUMIF(ThresholdAge04,"&lt;"&amp;BM9,WeightedMinAge04),MAX(CapacityAge04*АбонементНовых*BM9,MeanMinAge04)))</f>
        <v/>
      </c>
      <c r="BN51" s="5">
        <f>IF(OR(BN24=0,4&lt;=КаникулыРоялти),0,BN24*IF(РоялтиПоГруппам="Да",MeanMinAge04+BN9*SUMIF(ThresholdAge04,"&lt;"&amp;BN9,WeightedRevAge04)-SUMIF(ThresholdAge04,"&lt;"&amp;BN9,WeightedMinAge04),MAX(CapacityAge04*АбонементНовых*BN9,MeanMinAge04)))</f>
        <v/>
      </c>
      <c r="BO51" s="5">
        <f>IF(OR(BO24=0,4&lt;=КаникулыРоялти),0,BO24*IF(РоялтиПоГруппам="Да",MeanMinAge04+BO9*SUMIF(ThresholdAge04,"&lt;"&amp;BO9,WeightedRevAge04)-SUMIF(ThresholdAge04,"&lt;"&amp;BO9,WeightedMinAge04),MAX(CapacityAge04*АбонементНовых*BO9,MeanMinAge04)))</f>
        <v/>
      </c>
      <c r="BP51" s="5">
        <f>IF(OR(BP24=0,4&lt;=КаникулыРоялти),0,BP24*IF(РоялтиПоГруппам="Да",MeanMinAge04+BP9*SUMIF(ThresholdAge04,"&lt;"&amp;BP9,WeightedRevAge04)-SUMIF(ThresholdAge04,"&lt;"&amp;BP9,WeightedMinAge04),MAX(CapacityAge04*АбонементНовых*BP9,MeanMinAge04)))</f>
        <v/>
      </c>
      <c r="BQ51" s="5">
        <f>IF(OR(BQ24=0,4&lt;=КаникулыРоялти),0,BQ24*IF(РоялтиПоГруппам="Да",MeanMinAge04+BQ9*SUMIF(ThresholdAge04,"&lt;"&amp;BQ9,WeightedRevAge04)-SUMIF(ThresholdAge04,"&lt;"&amp;BQ9,WeightedMinAge04),MAX(CapacityAge04*АбонементНовых*BQ9,MeanMinAge04)))</f>
        <v/>
      </c>
      <c r="BR51" s="5">
        <f>IF(OR(BR24=0,4&lt;=КаникулыРоялти),0,BR24*IF(РоялтиПоГруппам="Да",MeanMinAge04+BR9*SUMIF(ThresholdAge04,"&lt;"&amp;BR9,WeightedRevAge04)-SUMIF(ThresholdAge04,"&lt;"&amp;BR9,WeightedMinAge04),MAX(CapacityAge04*АбонементНовых*BR9,MeanMinAge04)))</f>
        <v/>
      </c>
      <c r="BS51" s="5">
        <f>IF(OR(BS24=0,4&lt;=КаникулыРоялти),0,BS24*IF(РоялтиПоГруппам="Да",MeanMinAge04+BS9*SUMIF(ThresholdAge04,"&lt;"&amp;BS9,WeightedRevAge04)-SUMIF(ThresholdAge04,"&lt;"&amp;BS9,WeightedMinAge04),MAX(CapacityAge04*АбонементНовых*BS9,MeanMinAge04)))</f>
        <v/>
      </c>
      <c r="BT51" s="5">
        <f>IF(OR(BT24=0,4&lt;=КаникулыРоялти),0,BT24*IF(РоялтиПоГруппам="Да",MeanMinAge04+BT9*SUMIF(ThresholdAge04,"&lt;"&amp;BT9,WeightedRevAge04)-SUMIF(ThresholdAge04,"&lt;"&amp;BT9,WeightedMinAge04),MAX(CapacityAge04*АбонементНовых*BT9,MeanMinAge04)))</f>
        <v/>
      </c>
      <c r="BU51" s="5">
        <f>IF(OR(BU24=0,4&lt;=КаникулыРоялти),0,BU24*IF(РоялтиПоГруппам="Да",MeanMinAge04+BU9*SUMIF(ThresholdAge04,"&lt;"&amp;BU9,WeightedRevAge04)-SUMIF(ThresholdAge04,"&lt;"&amp;BU9,WeightedMinAge04),MAX(CapacityAge04*АбонементНовых*BU9,MeanMinAge04)))</f>
        <v/>
      </c>
      <c r="BV51" s="5">
        <f>IF(OR(BV24=0,4&lt;=КаникулыРоялти),0,BV24*IF(РоялтиПоГруппам="Да",MeanMinAge04+BV9*SUMIF(ThresholdAge04,"&lt;"&amp;BV9,WeightedRevAge04)-SUMIF(ThresholdAge04,"&lt;"&amp;BV9,WeightedMinAge04),MAX(CapacityAge04*АбонементНовых*BV9,MeanMinAge04)))</f>
        <v/>
      </c>
      <c r="BW51" s="5">
        <f>IF(OR(BW24=0,4&lt;=КаникулыРоялти),0,BW24*IF(РоялтиПоГруппам="Да",MeanMinAge04+BW9*SUMIF(ThresholdAge04,"&lt;"&amp;BW9,WeightedRevAge04)-SUMIF(ThresholdAge04,"&lt;"&amp;BW9,WeightedMinAge04),MAX(CapacityAge04*АбонементНовых*BW9,MeanMinAge04)))</f>
        <v/>
      </c>
      <c r="BX51" s="5">
        <f>IF(OR(BX24=0,4&lt;=КаникулыРоялти),0,BX24*IF(РоялтиПоГруппам="Да",MeanMinAge04+BX9*SUMIF(ThresholdAge04,"&lt;"&amp;BX9,WeightedRevAge04)-SUMIF(ThresholdAge04,"&lt;"&amp;BX9,WeightedMinAge04),MAX(CapacityAge04*АбонементНовых*BX9,MeanMinAge04)))</f>
        <v/>
      </c>
      <c r="BY51" s="5">
        <f>IF(OR(BY24=0,4&lt;=КаникулыРоялти),0,BY24*IF(РоялтиПоГруппам="Да",MeanMinAge04+BY9*SUMIF(ThresholdAge04,"&lt;"&amp;BY9,WeightedRevAge04)-SUMIF(ThresholdAge04,"&lt;"&amp;BY9,WeightedMinAge04),MAX(CapacityAge04*АбонементНовых*BY9,MeanMinAge04)))</f>
        <v/>
      </c>
    </row>
    <row r="52">
      <c r="B52" t="inlineStr">
        <is>
          <t>5 мес.</t>
        </is>
      </c>
      <c r="C52" t="inlineStr">
        <is>
          <t>₽</t>
        </is>
      </c>
      <c r="D52" s="127" t="inlineStr"/>
      <c r="E52" s="129">
        <f>SUM(L52:W52)</f>
        <v/>
      </c>
      <c r="F52" s="129">
        <f>SUM(X52:AI52)</f>
        <v/>
      </c>
      <c r="G52" s="129">
        <f>SUM(AJ52:AU52)</f>
        <v/>
      </c>
      <c r="H52" s="129">
        <f>SUM(AV52:BG52)</f>
        <v/>
      </c>
      <c r="I52" s="129">
        <f>SUM(BH52:BS52)</f>
        <v/>
      </c>
      <c r="J52" s="6">
        <f>SUM(L52:BS52)</f>
        <v/>
      </c>
      <c r="L52" s="5">
        <f>IF(OR(L25=0,5&lt;=КаникулыРоялти),0,L25*IF(РоялтиПоГруппам="Да",MeanMinAge05+L9*SUMIF(ThresholdAge05,"&lt;"&amp;L9,WeightedRevAge05)-SUMIF(ThresholdAge05,"&lt;"&amp;L9,WeightedMinAge05),MAX(CapacityAge05*АбонементНовых*L9,MeanMinAge05)))</f>
        <v/>
      </c>
      <c r="M52" s="5">
        <f>IF(OR(M25=0,5&lt;=КаникулыРоялти),0,M25*IF(РоялтиПоГруппам="Да",MeanMinAge05+M9*SUMIF(ThresholdAge05,"&lt;"&amp;M9,WeightedRevAge05)-SUMIF(ThresholdAge05,"&lt;"&amp;M9,WeightedMinAge05),MAX(CapacityAge05*АбонементНовых*M9,MeanMinAge05)))</f>
        <v/>
      </c>
      <c r="N52" s="5">
        <f>IF(OR(N25=0,5&lt;=КаникулыРоялти),0,N25*IF(РоялтиПоГруппам="Да",MeanMinAge05+N9*SUMIF(ThresholdAge05,"&lt;"&amp;N9,WeightedRevAge05)-SUMIF(ThresholdAge05,"&lt;"&amp;N9,WeightedMinAge05),MAX(CapacityAge05*АбонементНовых*N9,MeanMinAge05)))</f>
        <v/>
      </c>
      <c r="O52" s="5">
        <f>IF(OR(O25=0,5&lt;=КаникулыРоялти),0,O25*IF(РоялтиПоГруппам="Да",MeanMinAge05+O9*SUMIF(ThresholdAge05,"&lt;"&amp;O9,WeightedRevAge05)-SUMIF(ThresholdAge05,"&lt;"&amp;O9,WeightedMinAge05),MAX(CapacityAge05*АбонементНовых*O9,MeanMinAge05)))</f>
        <v/>
      </c>
      <c r="P52" s="5">
        <f>IF(OR(P25=0,5&lt;=КаникулыРоялти),0,P25*IF(РоялтиПоГруппам="Да",MeanMinAge05+P9*SUMIF(ThresholdAge05,"&lt;"&amp;P9,WeightedRevAge05)-SUMIF(ThresholdAge05,"&lt;"&amp;P9,WeightedMinAge05),MAX(CapacityAge05*АбонементНовых*P9,MeanMinAge05)))</f>
        <v/>
      </c>
      <c r="Q52" s="5">
        <f>IF(OR(Q25=0,5&lt;=КаникулыРоялти),0,Q25*IF(РоялтиПоГруппам="Да",MeanMinAge05+Q9*SUMIF(ThresholdAge05,"&lt;"&amp;Q9,WeightedRevAge05)-SUMIF(ThresholdAge05,"&lt;"&amp;Q9,WeightedMinAge05),MAX(CapacityAge05*АбонементНовых*Q9,MeanMinAge05)))</f>
        <v/>
      </c>
      <c r="R52" s="5">
        <f>IF(OR(R25=0,5&lt;=КаникулыРоялти),0,R25*IF(РоялтиПоГруппам="Да",MeanMinAge05+R9*SUMIF(ThresholdAge05,"&lt;"&amp;R9,WeightedRevAge05)-SUMIF(ThresholdAge05,"&lt;"&amp;R9,WeightedMinAge05),MAX(CapacityAge05*АбонементНовых*R9,MeanMinAge05)))</f>
        <v/>
      </c>
      <c r="S52" s="5">
        <f>IF(OR(S25=0,5&lt;=КаникулыРоялти),0,S25*IF(РоялтиПоГруппам="Да",MeanMinAge05+S9*SUMIF(ThresholdAge05,"&lt;"&amp;S9,WeightedRevAge05)-SUMIF(ThresholdAge05,"&lt;"&amp;S9,WeightedMinAge05),MAX(CapacityAge05*АбонементНовых*S9,MeanMinAge05)))</f>
        <v/>
      </c>
      <c r="T52" s="5">
        <f>IF(OR(T25=0,5&lt;=КаникулыРоялти),0,T25*IF(РоялтиПоГруппам="Да",MeanMinAge05+T9*SUMIF(ThresholdAge05,"&lt;"&amp;T9,WeightedRevAge05)-SUMIF(ThresholdAge05,"&lt;"&amp;T9,WeightedMinAge05),MAX(CapacityAge05*АбонементНовых*T9,MeanMinAge05)))</f>
        <v/>
      </c>
      <c r="U52" s="5">
        <f>IF(OR(U25=0,5&lt;=КаникулыРоялти),0,U25*IF(РоялтиПоГруппам="Да",MeanMinAge05+U9*SUMIF(ThresholdAge05,"&lt;"&amp;U9,WeightedRevAge05)-SUMIF(ThresholdAge05,"&lt;"&amp;U9,WeightedMinAge05),MAX(CapacityAge05*АбонементНовых*U9,MeanMinAge05)))</f>
        <v/>
      </c>
      <c r="V52" s="5">
        <f>IF(OR(V25=0,5&lt;=КаникулыРоялти),0,V25*IF(РоялтиПоГруппам="Да",MeanMinAge05+V9*SUMIF(ThresholdAge05,"&lt;"&amp;V9,WeightedRevAge05)-SUMIF(ThresholdAge05,"&lt;"&amp;V9,WeightedMinAge05),MAX(CapacityAge05*АбонементНовых*V9,MeanMinAge05)))</f>
        <v/>
      </c>
      <c r="W52" s="5">
        <f>IF(OR(W25=0,5&lt;=КаникулыРоялти),0,W25*IF(РоялтиПоГруппам="Да",MeanMinAge05+W9*SUMIF(ThresholdAge05,"&lt;"&amp;W9,WeightedRevAge05)-SUMIF(ThresholdAge05,"&lt;"&amp;W9,WeightedMinAge05),MAX(CapacityAge05*АбонементНовых*W9,MeanMinAge05)))</f>
        <v/>
      </c>
      <c r="X52" s="5">
        <f>IF(OR(X25=0,5&lt;=КаникулыРоялти),0,X25*IF(РоялтиПоГруппам="Да",MeanMinAge05+X9*SUMIF(ThresholdAge05,"&lt;"&amp;X9,WeightedRevAge05)-SUMIF(ThresholdAge05,"&lt;"&amp;X9,WeightedMinAge05),MAX(CapacityAge05*АбонементНовых*X9,MeanMinAge05)))</f>
        <v/>
      </c>
      <c r="Y52" s="5">
        <f>IF(OR(Y25=0,5&lt;=КаникулыРоялти),0,Y25*IF(РоялтиПоГруппам="Да",MeanMinAge05+Y9*SUMIF(ThresholdAge05,"&lt;"&amp;Y9,WeightedRevAge05)-SUMIF(ThresholdAge05,"&lt;"&amp;Y9,WeightedMinAge05),MAX(CapacityAge05*АбонементНовых*Y9,MeanMinAge05)))</f>
        <v/>
      </c>
      <c r="Z52" s="5">
        <f>IF(OR(Z25=0,5&lt;=КаникулыРоялти),0,Z25*IF(РоялтиПоГруппам="Да",MeanMinAge05+Z9*SUMIF(ThresholdAge05,"&lt;"&amp;Z9,WeightedRevAge05)-SUMIF(ThresholdAge05,"&lt;"&amp;Z9,WeightedMinAge05),MAX(CapacityAge05*АбонементНовых*Z9,MeanMinAge05)))</f>
        <v/>
      </c>
      <c r="AA52" s="5">
        <f>IF(OR(AA25=0,5&lt;=КаникулыРоялти),0,AA25*IF(РоялтиПоГруппам="Да",MeanMinAge05+AA9*SUMIF(ThresholdAge05,"&lt;"&amp;AA9,WeightedRevAge05)-SUMIF(ThresholdAge05,"&lt;"&amp;AA9,WeightedMinAge05),MAX(CapacityAge05*АбонементНовых*AA9,MeanMinAge05)))</f>
        <v/>
      </c>
      <c r="AB52" s="5">
        <f>IF(OR(AB25=0,5&lt;=КаникулыРоялти),0,AB25*IF(РоялтиПоГруппам="Да",MeanMinAge05+AB9*SUMIF(ThresholdAge05,"&lt;"&amp;AB9,WeightedRevAge05)-SUMIF(ThresholdAge05,"&lt;"&amp;AB9,WeightedMinAge05),MAX(CapacityAge05*АбонементНовых*AB9,MeanMinAge05)))</f>
        <v/>
      </c>
      <c r="AC52" s="5">
        <f>IF(OR(AC25=0,5&lt;=КаникулыРоялти),0,AC25*IF(РоялтиПоГруппам="Да",MeanMinAge05+AC9*SUMIF(ThresholdAge05,"&lt;"&amp;AC9,WeightedRevAge05)-SUMIF(ThresholdAge05,"&lt;"&amp;AC9,WeightedMinAge05),MAX(CapacityAge05*АбонементНовых*AC9,MeanMinAge05)))</f>
        <v/>
      </c>
      <c r="AD52" s="5">
        <f>IF(OR(AD25=0,5&lt;=КаникулыРоялти),0,AD25*IF(РоялтиПоГруппам="Да",MeanMinAge05+AD9*SUMIF(ThresholdAge05,"&lt;"&amp;AD9,WeightedRevAge05)-SUMIF(ThresholdAge05,"&lt;"&amp;AD9,WeightedMinAge05),MAX(CapacityAge05*АбонементНовых*AD9,MeanMinAge05)))</f>
        <v/>
      </c>
      <c r="AE52" s="5">
        <f>IF(OR(AE25=0,5&lt;=КаникулыРоялти),0,AE25*IF(РоялтиПоГруппам="Да",MeanMinAge05+AE9*SUMIF(ThresholdAge05,"&lt;"&amp;AE9,WeightedRevAge05)-SUMIF(ThresholdAge05,"&lt;"&amp;AE9,WeightedMinAge05),MAX(CapacityAge05*АбонементНовых*AE9,MeanMinAge05)))</f>
        <v/>
      </c>
      <c r="AF52" s="5">
        <f>IF(OR(AF25=0,5&lt;=КаникулыРоялти),0,AF25*IF(РоялтиПоГруппам="Да",MeanMinAge05+AF9*SUMIF(ThresholdAge05,"&lt;"&amp;AF9,WeightedRevAge05)-SUMIF(ThresholdAge05,"&lt;"&amp;AF9,WeightedMinAge05),MAX(CapacityAge05*АбонементНовых*AF9,MeanMinAge05)))</f>
        <v/>
      </c>
      <c r="AG52" s="5">
        <f>IF(OR(AG25=0,5&lt;=КаникулыРоялти),0,AG25*IF(РоялтиПоГруппам="Да",MeanMinAge05+AG9*SUMIF(ThresholdAge05,"&lt;"&amp;AG9,WeightedRevAge05)-SUMIF(ThresholdAge05,"&lt;"&amp;AG9,WeightedMinAge05),MAX(CapacityAge05*АбонементНовых*AG9,MeanMinAge05)))</f>
        <v/>
      </c>
      <c r="AH52" s="5">
        <f>IF(OR(AH25=0,5&lt;=КаникулыРоялти),0,AH25*IF(РоялтиПоГруппам="Да",MeanMinAge05+AH9*SUMIF(ThresholdAge05,"&lt;"&amp;AH9,WeightedRevAge05)-SUMIF(ThresholdAge05,"&lt;"&amp;AH9,WeightedMinAge05),MAX(CapacityAge05*АбонементНовых*AH9,MeanMinAge05)))</f>
        <v/>
      </c>
      <c r="AI52" s="5">
        <f>IF(OR(AI25=0,5&lt;=КаникулыРоялти),0,AI25*IF(РоялтиПоГруппам="Да",MeanMinAge05+AI9*SUMIF(ThresholdAge05,"&lt;"&amp;AI9,WeightedRevAge05)-SUMIF(ThresholdAge05,"&lt;"&amp;AI9,WeightedMinAge05),MAX(CapacityAge05*АбонементНовых*AI9,MeanMinAge05)))</f>
        <v/>
      </c>
      <c r="AJ52" s="5">
        <f>IF(OR(AJ25=0,5&lt;=КаникулыРоялти),0,AJ25*IF(РоялтиПоГруппам="Да",MeanMinAge05+AJ9*SUMIF(ThresholdAge05,"&lt;"&amp;AJ9,WeightedRevAge05)-SUMIF(ThresholdAge05,"&lt;"&amp;AJ9,WeightedMinAge05),MAX(CapacityAge05*АбонементНовых*AJ9,MeanMinAge05)))</f>
        <v/>
      </c>
      <c r="AK52" s="5">
        <f>IF(OR(AK25=0,5&lt;=КаникулыРоялти),0,AK25*IF(РоялтиПоГруппам="Да",MeanMinAge05+AK9*SUMIF(ThresholdAge05,"&lt;"&amp;AK9,WeightedRevAge05)-SUMIF(ThresholdAge05,"&lt;"&amp;AK9,WeightedMinAge05),MAX(CapacityAge05*АбонементНовых*AK9,MeanMinAge05)))</f>
        <v/>
      </c>
      <c r="AL52" s="5">
        <f>IF(OR(AL25=0,5&lt;=КаникулыРоялти),0,AL25*IF(РоялтиПоГруппам="Да",MeanMinAge05+AL9*SUMIF(ThresholdAge05,"&lt;"&amp;AL9,WeightedRevAge05)-SUMIF(ThresholdAge05,"&lt;"&amp;AL9,WeightedMinAge05),MAX(CapacityAge05*АбонементНовых*AL9,MeanMinAge05)))</f>
        <v/>
      </c>
      <c r="AM52" s="5">
        <f>IF(OR(AM25=0,5&lt;=КаникулыРоялти),0,AM25*IF(РоялтиПоГруппам="Да",MeanMinAge05+AM9*SUMIF(ThresholdAge05,"&lt;"&amp;AM9,WeightedRevAge05)-SUMIF(ThresholdAge05,"&lt;"&amp;AM9,WeightedMinAge05),MAX(CapacityAge05*АбонементНовых*AM9,MeanMinAge05)))</f>
        <v/>
      </c>
      <c r="AN52" s="5">
        <f>IF(OR(AN25=0,5&lt;=КаникулыРоялти),0,AN25*IF(РоялтиПоГруппам="Да",MeanMinAge05+AN9*SUMIF(ThresholdAge05,"&lt;"&amp;AN9,WeightedRevAge05)-SUMIF(ThresholdAge05,"&lt;"&amp;AN9,WeightedMinAge05),MAX(CapacityAge05*АбонементНовых*AN9,MeanMinAge05)))</f>
        <v/>
      </c>
      <c r="AO52" s="5">
        <f>IF(OR(AO25=0,5&lt;=КаникулыРоялти),0,AO25*IF(РоялтиПоГруппам="Да",MeanMinAge05+AO9*SUMIF(ThresholdAge05,"&lt;"&amp;AO9,WeightedRevAge05)-SUMIF(ThresholdAge05,"&lt;"&amp;AO9,WeightedMinAge05),MAX(CapacityAge05*АбонементНовых*AO9,MeanMinAge05)))</f>
        <v/>
      </c>
      <c r="AP52" s="5">
        <f>IF(OR(AP25=0,5&lt;=КаникулыРоялти),0,AP25*IF(РоялтиПоГруппам="Да",MeanMinAge05+AP9*SUMIF(ThresholdAge05,"&lt;"&amp;AP9,WeightedRevAge05)-SUMIF(ThresholdAge05,"&lt;"&amp;AP9,WeightedMinAge05),MAX(CapacityAge05*АбонементНовых*AP9,MeanMinAge05)))</f>
        <v/>
      </c>
      <c r="AQ52" s="5">
        <f>IF(OR(AQ25=0,5&lt;=КаникулыРоялти),0,AQ25*IF(РоялтиПоГруппам="Да",MeanMinAge05+AQ9*SUMIF(ThresholdAge05,"&lt;"&amp;AQ9,WeightedRevAge05)-SUMIF(ThresholdAge05,"&lt;"&amp;AQ9,WeightedMinAge05),MAX(CapacityAge05*АбонементНовых*AQ9,MeanMinAge05)))</f>
        <v/>
      </c>
      <c r="AR52" s="5">
        <f>IF(OR(AR25=0,5&lt;=КаникулыРоялти),0,AR25*IF(РоялтиПоГруппам="Да",MeanMinAge05+AR9*SUMIF(ThresholdAge05,"&lt;"&amp;AR9,WeightedRevAge05)-SUMIF(ThresholdAge05,"&lt;"&amp;AR9,WeightedMinAge05),MAX(CapacityAge05*АбонементНовых*AR9,MeanMinAge05)))</f>
        <v/>
      </c>
      <c r="AS52" s="5">
        <f>IF(OR(AS25=0,5&lt;=КаникулыРоялти),0,AS25*IF(РоялтиПоГруппам="Да",MeanMinAge05+AS9*SUMIF(ThresholdAge05,"&lt;"&amp;AS9,WeightedRevAge05)-SUMIF(ThresholdAge05,"&lt;"&amp;AS9,WeightedMinAge05),MAX(CapacityAge05*АбонементНовых*AS9,MeanMinAge05)))</f>
        <v/>
      </c>
      <c r="AT52" s="5">
        <f>IF(OR(AT25=0,5&lt;=КаникулыРоялти),0,AT25*IF(РоялтиПоГруппам="Да",MeanMinAge05+AT9*SUMIF(ThresholdAge05,"&lt;"&amp;AT9,WeightedRevAge05)-SUMIF(ThresholdAge05,"&lt;"&amp;AT9,WeightedMinAge05),MAX(CapacityAge05*АбонементНовых*AT9,MeanMinAge05)))</f>
        <v/>
      </c>
      <c r="AU52" s="5">
        <f>IF(OR(AU25=0,5&lt;=КаникулыРоялти),0,AU25*IF(РоялтиПоГруппам="Да",MeanMinAge05+AU9*SUMIF(ThresholdAge05,"&lt;"&amp;AU9,WeightedRevAge05)-SUMIF(ThresholdAge05,"&lt;"&amp;AU9,WeightedMinAge05),MAX(CapacityAge05*АбонементНовых*AU9,MeanMinAge05)))</f>
        <v/>
      </c>
      <c r="AV52" s="5">
        <f>IF(OR(AV25=0,5&lt;=КаникулыРоялти),0,AV25*IF(РоялтиПоГруппам="Да",MeanMinAge05+AV9*SUMIF(ThresholdAge05,"&lt;"&amp;AV9,WeightedRevAge05)-SUMIF(ThresholdAge05,"&lt;"&amp;AV9,WeightedMinAge05),MAX(CapacityAge05*АбонементНовых*AV9,MeanMinAge05)))</f>
        <v/>
      </c>
      <c r="AW52" s="5">
        <f>IF(OR(AW25=0,5&lt;=КаникулыРоялти),0,AW25*IF(РоялтиПоГруппам="Да",MeanMinAge05+AW9*SUMIF(ThresholdAge05,"&lt;"&amp;AW9,WeightedRevAge05)-SUMIF(ThresholdAge05,"&lt;"&amp;AW9,WeightedMinAge05),MAX(CapacityAge05*АбонементНовых*AW9,MeanMinAge05)))</f>
        <v/>
      </c>
      <c r="AX52" s="5">
        <f>IF(OR(AX25=0,5&lt;=КаникулыРоялти),0,AX25*IF(РоялтиПоГруппам="Да",MeanMinAge05+AX9*SUMIF(ThresholdAge05,"&lt;"&amp;AX9,WeightedRevAge05)-SUMIF(ThresholdAge05,"&lt;"&amp;AX9,WeightedMinAge05),MAX(CapacityAge05*АбонементНовых*AX9,MeanMinAge05)))</f>
        <v/>
      </c>
      <c r="AY52" s="5">
        <f>IF(OR(AY25=0,5&lt;=КаникулыРоялти),0,AY25*IF(РоялтиПоГруппам="Да",MeanMinAge05+AY9*SUMIF(ThresholdAge05,"&lt;"&amp;AY9,WeightedRevAge05)-SUMIF(ThresholdAge05,"&lt;"&amp;AY9,WeightedMinAge05),MAX(CapacityAge05*АбонементНовых*AY9,MeanMinAge05)))</f>
        <v/>
      </c>
      <c r="AZ52" s="5">
        <f>IF(OR(AZ25=0,5&lt;=КаникулыРоялти),0,AZ25*IF(РоялтиПоГруппам="Да",MeanMinAge05+AZ9*SUMIF(ThresholdAge05,"&lt;"&amp;AZ9,WeightedRevAge05)-SUMIF(ThresholdAge05,"&lt;"&amp;AZ9,WeightedMinAge05),MAX(CapacityAge05*АбонементНовых*AZ9,MeanMinAge05)))</f>
        <v/>
      </c>
      <c r="BA52" s="5">
        <f>IF(OR(BA25=0,5&lt;=КаникулыРоялти),0,BA25*IF(РоялтиПоГруппам="Да",MeanMinAge05+BA9*SUMIF(ThresholdAge05,"&lt;"&amp;BA9,WeightedRevAge05)-SUMIF(ThresholdAge05,"&lt;"&amp;BA9,WeightedMinAge05),MAX(CapacityAge05*АбонементНовых*BA9,MeanMinAge05)))</f>
        <v/>
      </c>
      <c r="BB52" s="5">
        <f>IF(OR(BB25=0,5&lt;=КаникулыРоялти),0,BB25*IF(РоялтиПоГруппам="Да",MeanMinAge05+BB9*SUMIF(ThresholdAge05,"&lt;"&amp;BB9,WeightedRevAge05)-SUMIF(ThresholdAge05,"&lt;"&amp;BB9,WeightedMinAge05),MAX(CapacityAge05*АбонементНовых*BB9,MeanMinAge05)))</f>
        <v/>
      </c>
      <c r="BC52" s="5">
        <f>IF(OR(BC25=0,5&lt;=КаникулыРоялти),0,BC25*IF(РоялтиПоГруппам="Да",MeanMinAge05+BC9*SUMIF(ThresholdAge05,"&lt;"&amp;BC9,WeightedRevAge05)-SUMIF(ThresholdAge05,"&lt;"&amp;BC9,WeightedMinAge05),MAX(CapacityAge05*АбонементНовых*BC9,MeanMinAge05)))</f>
        <v/>
      </c>
      <c r="BD52" s="5">
        <f>IF(OR(BD25=0,5&lt;=КаникулыРоялти),0,BD25*IF(РоялтиПоГруппам="Да",MeanMinAge05+BD9*SUMIF(ThresholdAge05,"&lt;"&amp;BD9,WeightedRevAge05)-SUMIF(ThresholdAge05,"&lt;"&amp;BD9,WeightedMinAge05),MAX(CapacityAge05*АбонементНовых*BD9,MeanMinAge05)))</f>
        <v/>
      </c>
      <c r="BE52" s="5">
        <f>IF(OR(BE25=0,5&lt;=КаникулыРоялти),0,BE25*IF(РоялтиПоГруппам="Да",MeanMinAge05+BE9*SUMIF(ThresholdAge05,"&lt;"&amp;BE9,WeightedRevAge05)-SUMIF(ThresholdAge05,"&lt;"&amp;BE9,WeightedMinAge05),MAX(CapacityAge05*АбонементНовых*BE9,MeanMinAge05)))</f>
        <v/>
      </c>
      <c r="BF52" s="5">
        <f>IF(OR(BF25=0,5&lt;=КаникулыРоялти),0,BF25*IF(РоялтиПоГруппам="Да",MeanMinAge05+BF9*SUMIF(ThresholdAge05,"&lt;"&amp;BF9,WeightedRevAge05)-SUMIF(ThresholdAge05,"&lt;"&amp;BF9,WeightedMinAge05),MAX(CapacityAge05*АбонементНовых*BF9,MeanMinAge05)))</f>
        <v/>
      </c>
      <c r="BG52" s="5">
        <f>IF(OR(BG25=0,5&lt;=КаникулыРоялти),0,BG25*IF(РоялтиПоГруппам="Да",MeanMinAge05+BG9*SUMIF(ThresholdAge05,"&lt;"&amp;BG9,WeightedRevAge05)-SUMIF(ThresholdAge05,"&lt;"&amp;BG9,WeightedMinAge05),MAX(CapacityAge05*АбонементНовых*BG9,MeanMinAge05)))</f>
        <v/>
      </c>
      <c r="BH52" s="5">
        <f>IF(OR(BH25=0,5&lt;=КаникулыРоялти),0,BH25*IF(РоялтиПоГруппам="Да",MeanMinAge05+BH9*SUMIF(ThresholdAge05,"&lt;"&amp;BH9,WeightedRevAge05)-SUMIF(ThresholdAge05,"&lt;"&amp;BH9,WeightedMinAge05),MAX(CapacityAge05*АбонементНовых*BH9,MeanMinAge05)))</f>
        <v/>
      </c>
      <c r="BI52" s="5">
        <f>IF(OR(BI25=0,5&lt;=КаникулыРоялти),0,BI25*IF(РоялтиПоГруппам="Да",MeanMinAge05+BI9*SUMIF(ThresholdAge05,"&lt;"&amp;BI9,WeightedRevAge05)-SUMIF(ThresholdAge05,"&lt;"&amp;BI9,WeightedMinAge05),MAX(CapacityAge05*АбонементНовых*BI9,MeanMinAge05)))</f>
        <v/>
      </c>
      <c r="BJ52" s="5">
        <f>IF(OR(BJ25=0,5&lt;=КаникулыРоялти),0,BJ25*IF(РоялтиПоГруппам="Да",MeanMinAge05+BJ9*SUMIF(ThresholdAge05,"&lt;"&amp;BJ9,WeightedRevAge05)-SUMIF(ThresholdAge05,"&lt;"&amp;BJ9,WeightedMinAge05),MAX(CapacityAge05*АбонементНовых*BJ9,MeanMinAge05)))</f>
        <v/>
      </c>
      <c r="BK52" s="5">
        <f>IF(OR(BK25=0,5&lt;=КаникулыРоялти),0,BK25*IF(РоялтиПоГруппам="Да",MeanMinAge05+BK9*SUMIF(ThresholdAge05,"&lt;"&amp;BK9,WeightedRevAge05)-SUMIF(ThresholdAge05,"&lt;"&amp;BK9,WeightedMinAge05),MAX(CapacityAge05*АбонементНовых*BK9,MeanMinAge05)))</f>
        <v/>
      </c>
      <c r="BL52" s="5">
        <f>IF(OR(BL25=0,5&lt;=КаникулыРоялти),0,BL25*IF(РоялтиПоГруппам="Да",MeanMinAge05+BL9*SUMIF(ThresholdAge05,"&lt;"&amp;BL9,WeightedRevAge05)-SUMIF(ThresholdAge05,"&lt;"&amp;BL9,WeightedMinAge05),MAX(CapacityAge05*АбонементНовых*BL9,MeanMinAge05)))</f>
        <v/>
      </c>
      <c r="BM52" s="5">
        <f>IF(OR(BM25=0,5&lt;=КаникулыРоялти),0,BM25*IF(РоялтиПоГруппам="Да",MeanMinAge05+BM9*SUMIF(ThresholdAge05,"&lt;"&amp;BM9,WeightedRevAge05)-SUMIF(ThresholdAge05,"&lt;"&amp;BM9,WeightedMinAge05),MAX(CapacityAge05*АбонементНовых*BM9,MeanMinAge05)))</f>
        <v/>
      </c>
      <c r="BN52" s="5">
        <f>IF(OR(BN25=0,5&lt;=КаникулыРоялти),0,BN25*IF(РоялтиПоГруппам="Да",MeanMinAge05+BN9*SUMIF(ThresholdAge05,"&lt;"&amp;BN9,WeightedRevAge05)-SUMIF(ThresholdAge05,"&lt;"&amp;BN9,WeightedMinAge05),MAX(CapacityAge05*АбонементНовых*BN9,MeanMinAge05)))</f>
        <v/>
      </c>
      <c r="BO52" s="5">
        <f>IF(OR(BO25=0,5&lt;=КаникулыРоялти),0,BO25*IF(РоялтиПоГруппам="Да",MeanMinAge05+BO9*SUMIF(ThresholdAge05,"&lt;"&amp;BO9,WeightedRevAge05)-SUMIF(ThresholdAge05,"&lt;"&amp;BO9,WeightedMinAge05),MAX(CapacityAge05*АбонементНовых*BO9,MeanMinAge05)))</f>
        <v/>
      </c>
      <c r="BP52" s="5">
        <f>IF(OR(BP25=0,5&lt;=КаникулыРоялти),0,BP25*IF(РоялтиПоГруппам="Да",MeanMinAge05+BP9*SUMIF(ThresholdAge05,"&lt;"&amp;BP9,WeightedRevAge05)-SUMIF(ThresholdAge05,"&lt;"&amp;BP9,WeightedMinAge05),MAX(CapacityAge05*АбонементНовых*BP9,MeanMinAge05)))</f>
        <v/>
      </c>
      <c r="BQ52" s="5">
        <f>IF(OR(BQ25=0,5&lt;=КаникулыРоялти),0,BQ25*IF(РоялтиПоГруппам="Да",MeanMinAge05+BQ9*SUMIF(ThresholdAge05,"&lt;"&amp;BQ9,WeightedRevAge05)-SUMIF(ThresholdAge05,"&lt;"&amp;BQ9,WeightedMinAge05),MAX(CapacityAge05*АбонементНовых*BQ9,MeanMinAge05)))</f>
        <v/>
      </c>
      <c r="BR52" s="5">
        <f>IF(OR(BR25=0,5&lt;=КаникулыРоялти),0,BR25*IF(РоялтиПоГруппам="Да",MeanMinAge05+BR9*SUMIF(ThresholdAge05,"&lt;"&amp;BR9,WeightedRevAge05)-SUMIF(ThresholdAge05,"&lt;"&amp;BR9,WeightedMinAge05),MAX(CapacityAge05*АбонементНовых*BR9,MeanMinAge05)))</f>
        <v/>
      </c>
      <c r="BS52" s="5">
        <f>IF(OR(BS25=0,5&lt;=КаникулыРоялти),0,BS25*IF(РоялтиПоГруппам="Да",MeanMinAge05+BS9*SUMIF(ThresholdAge05,"&lt;"&amp;BS9,WeightedRevAge05)-SUMIF(ThresholdAge05,"&lt;"&amp;BS9,WeightedMinAge05),MAX(CapacityAge05*АбонементНовых*BS9,MeanMinAge05)))</f>
        <v/>
      </c>
      <c r="BT52" s="5">
        <f>IF(OR(BT25=0,5&lt;=КаникулыРоялти),0,BT25*IF(РоялтиПоГруппам="Да",MeanMinAge05+BT9*SUMIF(ThresholdAge05,"&lt;"&amp;BT9,WeightedRevAge05)-SUMIF(ThresholdAge05,"&lt;"&amp;BT9,WeightedMinAge05),MAX(CapacityAge05*АбонементНовых*BT9,MeanMinAge05)))</f>
        <v/>
      </c>
      <c r="BU52" s="5">
        <f>IF(OR(BU25=0,5&lt;=КаникулыРоялти),0,BU25*IF(РоялтиПоГруппам="Да",MeanMinAge05+BU9*SUMIF(ThresholdAge05,"&lt;"&amp;BU9,WeightedRevAge05)-SUMIF(ThresholdAge05,"&lt;"&amp;BU9,WeightedMinAge05),MAX(CapacityAge05*АбонементНовых*BU9,MeanMinAge05)))</f>
        <v/>
      </c>
      <c r="BV52" s="5">
        <f>IF(OR(BV25=0,5&lt;=КаникулыРоялти),0,BV25*IF(РоялтиПоГруппам="Да",MeanMinAge05+BV9*SUMIF(ThresholdAge05,"&lt;"&amp;BV9,WeightedRevAge05)-SUMIF(ThresholdAge05,"&lt;"&amp;BV9,WeightedMinAge05),MAX(CapacityAge05*АбонементНовых*BV9,MeanMinAge05)))</f>
        <v/>
      </c>
      <c r="BW52" s="5">
        <f>IF(OR(BW25=0,5&lt;=КаникулыРоялти),0,BW25*IF(РоялтиПоГруппам="Да",MeanMinAge05+BW9*SUMIF(ThresholdAge05,"&lt;"&amp;BW9,WeightedRevAge05)-SUMIF(ThresholdAge05,"&lt;"&amp;BW9,WeightedMinAge05),MAX(CapacityAge05*АбонементНовых*BW9,MeanMinAge05)))</f>
        <v/>
      </c>
      <c r="BX52" s="5">
        <f>IF(OR(BX25=0,5&lt;=КаникулыРоялти),0,BX25*IF(РоялтиПоГруппам="Да",MeanMinAge05+BX9*SUMIF(ThresholdAge05,"&lt;"&amp;BX9,WeightedRevAge05)-SUMIF(ThresholdAge05,"&lt;"&amp;BX9,WeightedMinAge05),MAX(CapacityAge05*АбонементНовых*BX9,MeanMinAge05)))</f>
        <v/>
      </c>
      <c r="BY52" s="5">
        <f>IF(OR(BY25=0,5&lt;=КаникулыРоялти),0,BY25*IF(РоялтиПоГруппам="Да",MeanMinAge05+BY9*SUMIF(ThresholdAge05,"&lt;"&amp;BY9,WeightedRevAge05)-SUMIF(ThresholdAge05,"&lt;"&amp;BY9,WeightedMinAge05),MAX(CapacityAge05*АбонементНовых*BY9,MeanMinAge05)))</f>
        <v/>
      </c>
    </row>
    <row r="53">
      <c r="B53" t="inlineStr">
        <is>
          <t>6 мес.</t>
        </is>
      </c>
      <c r="C53" t="inlineStr">
        <is>
          <t>₽</t>
        </is>
      </c>
      <c r="D53" s="127" t="inlineStr"/>
      <c r="E53" s="129">
        <f>SUM(L53:W53)</f>
        <v/>
      </c>
      <c r="F53" s="129">
        <f>SUM(X53:AI53)</f>
        <v/>
      </c>
      <c r="G53" s="129">
        <f>SUM(AJ53:AU53)</f>
        <v/>
      </c>
      <c r="H53" s="129">
        <f>SUM(AV53:BG53)</f>
        <v/>
      </c>
      <c r="I53" s="129">
        <f>SUM(BH53:BS53)</f>
        <v/>
      </c>
      <c r="J53" s="6">
        <f>SUM(L53:BS53)</f>
        <v/>
      </c>
      <c r="L53" s="5">
        <f>IF(OR(L26=0,6&lt;=КаникулыРоялти),0,L26*IF(РоялтиПоГруппам="Да",MeanMinAge06+L9*SUMIF(ThresholdAge06,"&lt;"&amp;L9,WeightedRevAge06)-SUMIF(ThresholdAge06,"&lt;"&amp;L9,WeightedMinAge06),MAX(CapacityAge06*АбонементНовых*L9,MeanMinAge06)))</f>
        <v/>
      </c>
      <c r="M53" s="5">
        <f>IF(OR(M26=0,6&lt;=КаникулыРоялти),0,M26*IF(РоялтиПоГруппам="Да",MeanMinAge06+M9*SUMIF(ThresholdAge06,"&lt;"&amp;M9,WeightedRevAge06)-SUMIF(ThresholdAge06,"&lt;"&amp;M9,WeightedMinAge06),MAX(CapacityAge06*АбонементНовых*M9,MeanMinAge06)))</f>
        <v/>
      </c>
      <c r="N53" s="5">
        <f>IF(OR(N26=0,6&lt;=КаникулыРоялти),0,N26*IF(РоялтиПоГруппам="Да",MeanMinAge06+N9*SUMIF(ThresholdAge06,"&lt;"&amp;N9,WeightedRevAge06)-SUMIF(ThresholdAge06,"&lt;"&amp;N9,WeightedMinAge06),MAX(CapacityAge06*АбонементНовых*N9,MeanMinAge06)))</f>
        <v/>
      </c>
      <c r="O53" s="5">
        <f>IF(OR(O26=0,6&lt;=КаникулыРоялти),0,O26*IF(РоялтиПоГруппам="Да",MeanMinAge06+O9*SUMIF(ThresholdAge06,"&lt;"&amp;O9,WeightedRevAge06)-SUMIF(ThresholdAge06,"&lt;"&amp;O9,WeightedMinAge06),MAX(CapacityAge06*АбонементНовых*O9,MeanMinAge06)))</f>
        <v/>
      </c>
      <c r="P53" s="5">
        <f>IF(OR(P26=0,6&lt;=КаникулыРоялти),0,P26*IF(РоялтиПоГруппам="Да",MeanMinAge06+P9*SUMIF(ThresholdAge06,"&lt;"&amp;P9,WeightedRevAge06)-SUMIF(ThresholdAge06,"&lt;"&amp;P9,WeightedMinAge06),MAX(CapacityAge06*АбонементНовых*P9,MeanMinAge06)))</f>
        <v/>
      </c>
      <c r="Q53" s="5">
        <f>IF(OR(Q26=0,6&lt;=КаникулыРоялти),0,Q26*IF(РоялтиПоГруппам="Да",MeanMinAge06+Q9*SUMIF(ThresholdAge06,"&lt;"&amp;Q9,WeightedRevAge06)-SUMIF(ThresholdAge06,"&lt;"&amp;Q9,WeightedMinAge06),MAX(CapacityAge06*АбонементНовых*Q9,MeanMinAge06)))</f>
        <v/>
      </c>
      <c r="R53" s="5">
        <f>IF(OR(R26=0,6&lt;=КаникулыРоялти),0,R26*IF(РоялтиПоГруппам="Да",MeanMinAge06+R9*SUMIF(ThresholdAge06,"&lt;"&amp;R9,WeightedRevAge06)-SUMIF(ThresholdAge06,"&lt;"&amp;R9,WeightedMinAge06),MAX(CapacityAge06*АбонементНовых*R9,MeanMinAge06)))</f>
        <v/>
      </c>
      <c r="S53" s="5">
        <f>IF(OR(S26=0,6&lt;=КаникулыРоялти),0,S26*IF(РоялтиПоГруппам="Да",MeanMinAge06+S9*SUMIF(ThresholdAge06,"&lt;"&amp;S9,WeightedRevAge06)-SUMIF(ThresholdAge06,"&lt;"&amp;S9,WeightedMinAge06),MAX(CapacityAge06*АбонементНовых*S9,MeanMinAge06)))</f>
        <v/>
      </c>
      <c r="T53" s="5">
        <f>IF(OR(T26=0,6&lt;=КаникулыРоялти),0,T26*IF(РоялтиПоГруппам="Да",MeanMinAge06+T9*SUMIF(ThresholdAge06,"&lt;"&amp;T9,WeightedRevAge06)-SUMIF(ThresholdAge06,"&lt;"&amp;T9,WeightedMinAge06),MAX(CapacityAge06*АбонементНовых*T9,MeanMinAge06)))</f>
        <v/>
      </c>
      <c r="U53" s="5">
        <f>IF(OR(U26=0,6&lt;=КаникулыРоялти),0,U26*IF(РоялтиПоГруппам="Да",MeanMinAge06+U9*SUMIF(ThresholdAge06,"&lt;"&amp;U9,WeightedRevAge06)-SUMIF(ThresholdAge06,"&lt;"&amp;U9,WeightedMinAge06),MAX(CapacityAge06*АбонементНовых*U9,MeanMinAge06)))</f>
        <v/>
      </c>
      <c r="V53" s="5">
        <f>IF(OR(V26=0,6&lt;=КаникулыРоялти),0,V26*IF(РоялтиПоГруппам="Да",MeanMinAge06+V9*SUMIF(ThresholdAge06,"&lt;"&amp;V9,WeightedRevAge06)-SUMIF(ThresholdAge06,"&lt;"&amp;V9,WeightedMinAge06),MAX(CapacityAge06*АбонементНовых*V9,MeanMinAge06)))</f>
        <v/>
      </c>
      <c r="W53" s="5">
        <f>IF(OR(W26=0,6&lt;=КаникулыРоялти),0,W26*IF(РоялтиПоГруппам="Да",MeanMinAge06+W9*SUMIF(ThresholdAge06,"&lt;"&amp;W9,WeightedRevAge06)-SUMIF(ThresholdAge06,"&lt;"&amp;W9,WeightedMinAge06),MAX(CapacityAge06*АбонементНовых*W9,MeanMinAge06)))</f>
        <v/>
      </c>
      <c r="X53" s="5">
        <f>IF(OR(X26=0,6&lt;=КаникулыРоялти),0,X26*IF(РоялтиПоГруппам="Да",MeanMinAge06+X9*SUMIF(ThresholdAge06,"&lt;"&amp;X9,WeightedRevAge06)-SUMIF(ThresholdAge06,"&lt;"&amp;X9,WeightedMinAge06),MAX(CapacityAge06*АбонементНовых*X9,MeanMinAge06)))</f>
        <v/>
      </c>
      <c r="Y53" s="5">
        <f>IF(OR(Y26=0,6&lt;=КаникулыРоялти),0,Y26*IF(РоялтиПоГруппам="Да",MeanMinAge06+Y9*SUMIF(ThresholdAge06,"&lt;"&amp;Y9,WeightedRevAge06)-SUMIF(ThresholdAge06,"&lt;"&amp;Y9,WeightedMinAge06),MAX(CapacityAge06*АбонементНовых*Y9,MeanMinAge06)))</f>
        <v/>
      </c>
      <c r="Z53" s="5">
        <f>IF(OR(Z26=0,6&lt;=КаникулыРоялти),0,Z26*IF(РоялтиПоГруппам="Да",MeanMinAge06+Z9*SUMIF(ThresholdAge06,"&lt;"&amp;Z9,WeightedRevAge06)-SUMIF(ThresholdAge06,"&lt;"&amp;Z9,WeightedMinAge06),MAX(CapacityAge06*АбонементНовых*Z9,MeanMinAge06)))</f>
        <v/>
      </c>
      <c r="AA53" s="5">
        <f>IF(OR(AA26=0,6&lt;=КаникулыРоялти),0,AA26*IF(РоялтиПоГруппам="Да",MeanMinAge06+AA9*SUMIF(ThresholdAge06,"&lt;"&amp;AA9,WeightedRevAge06)-SUMIF(ThresholdAge06,"&lt;"&amp;AA9,WeightedMinAge06),MAX(CapacityAge06*АбонементНовых*AA9,MeanMinAge06)))</f>
        <v/>
      </c>
      <c r="AB53" s="5">
        <f>IF(OR(AB26=0,6&lt;=КаникулыРоялти),0,AB26*IF(РоялтиПоГруппам="Да",MeanMinAge06+AB9*SUMIF(ThresholdAge06,"&lt;"&amp;AB9,WeightedRevAge06)-SUMIF(ThresholdAge06,"&lt;"&amp;AB9,WeightedMinAge06),MAX(CapacityAge06*АбонементНовых*AB9,MeanMinAge06)))</f>
        <v/>
      </c>
      <c r="AC53" s="5">
        <f>IF(OR(AC26=0,6&lt;=КаникулыРоялти),0,AC26*IF(РоялтиПоГруппам="Да",MeanMinAge06+AC9*SUMIF(ThresholdAge06,"&lt;"&amp;AC9,WeightedRevAge06)-SUMIF(ThresholdAge06,"&lt;"&amp;AC9,WeightedMinAge06),MAX(CapacityAge06*АбонементНовых*AC9,MeanMinAge06)))</f>
        <v/>
      </c>
      <c r="AD53" s="5">
        <f>IF(OR(AD26=0,6&lt;=КаникулыРоялти),0,AD26*IF(РоялтиПоГруппам="Да",MeanMinAge06+AD9*SUMIF(ThresholdAge06,"&lt;"&amp;AD9,WeightedRevAge06)-SUMIF(ThresholdAge06,"&lt;"&amp;AD9,WeightedMinAge06),MAX(CapacityAge06*АбонементНовых*AD9,MeanMinAge06)))</f>
        <v/>
      </c>
      <c r="AE53" s="5">
        <f>IF(OR(AE26=0,6&lt;=КаникулыРоялти),0,AE26*IF(РоялтиПоГруппам="Да",MeanMinAge06+AE9*SUMIF(ThresholdAge06,"&lt;"&amp;AE9,WeightedRevAge06)-SUMIF(ThresholdAge06,"&lt;"&amp;AE9,WeightedMinAge06),MAX(CapacityAge06*АбонементНовых*AE9,MeanMinAge06)))</f>
        <v/>
      </c>
      <c r="AF53" s="5">
        <f>IF(OR(AF26=0,6&lt;=КаникулыРоялти),0,AF26*IF(РоялтиПоГруппам="Да",MeanMinAge06+AF9*SUMIF(ThresholdAge06,"&lt;"&amp;AF9,WeightedRevAge06)-SUMIF(ThresholdAge06,"&lt;"&amp;AF9,WeightedMinAge06),MAX(CapacityAge06*АбонементНовых*AF9,MeanMinAge06)))</f>
        <v/>
      </c>
      <c r="AG53" s="5">
        <f>IF(OR(AG26=0,6&lt;=КаникулыРоялти),0,AG26*IF(РоялтиПоГруппам="Да",MeanMinAge06+AG9*SUMIF(ThresholdAge06,"&lt;"&amp;AG9,WeightedRevAge06)-SUMIF(ThresholdAge06,"&lt;"&amp;AG9,WeightedMinAge06),MAX(CapacityAge06*АбонементНовых*AG9,MeanMinAge06)))</f>
        <v/>
      </c>
      <c r="AH53" s="5">
        <f>IF(OR(AH26=0,6&lt;=КаникулыРоялти),0,AH26*IF(РоялтиПоГруппам="Да",MeanMinAge06+AH9*SUMIF(ThresholdAge06,"&lt;"&amp;AH9,WeightedRevAge06)-SUMIF(ThresholdAge06,"&lt;"&amp;AH9,WeightedMinAge06),MAX(CapacityAge06*АбонементНовых*AH9,MeanMinAge06)))</f>
        <v/>
      </c>
      <c r="AI53" s="5">
        <f>IF(OR(AI26=0,6&lt;=КаникулыРоялти),0,AI26*IF(РоялтиПоГруппам="Да",MeanMinAge06+AI9*SUMIF(ThresholdAge06,"&lt;"&amp;AI9,WeightedRevAge06)-SUMIF(ThresholdAge06,"&lt;"&amp;AI9,WeightedMinAge06),MAX(CapacityAge06*АбонементНовых*AI9,MeanMinAge06)))</f>
        <v/>
      </c>
      <c r="AJ53" s="5">
        <f>IF(OR(AJ26=0,6&lt;=КаникулыРоялти),0,AJ26*IF(РоялтиПоГруппам="Да",MeanMinAge06+AJ9*SUMIF(ThresholdAge06,"&lt;"&amp;AJ9,WeightedRevAge06)-SUMIF(ThresholdAge06,"&lt;"&amp;AJ9,WeightedMinAge06),MAX(CapacityAge06*АбонементНовых*AJ9,MeanMinAge06)))</f>
        <v/>
      </c>
      <c r="AK53" s="5">
        <f>IF(OR(AK26=0,6&lt;=КаникулыРоялти),0,AK26*IF(РоялтиПоГруппам="Да",MeanMinAge06+AK9*SUMIF(ThresholdAge06,"&lt;"&amp;AK9,WeightedRevAge06)-SUMIF(ThresholdAge06,"&lt;"&amp;AK9,WeightedMinAge06),MAX(CapacityAge06*АбонементНовых*AK9,MeanMinAge06)))</f>
        <v/>
      </c>
      <c r="AL53" s="5">
        <f>IF(OR(AL26=0,6&lt;=КаникулыРоялти),0,AL26*IF(РоялтиПоГруппам="Да",MeanMinAge06+AL9*SUMIF(ThresholdAge06,"&lt;"&amp;AL9,WeightedRevAge06)-SUMIF(ThresholdAge06,"&lt;"&amp;AL9,WeightedMinAge06),MAX(CapacityAge06*АбонементНовых*AL9,MeanMinAge06)))</f>
        <v/>
      </c>
      <c r="AM53" s="5">
        <f>IF(OR(AM26=0,6&lt;=КаникулыРоялти),0,AM26*IF(РоялтиПоГруппам="Да",MeanMinAge06+AM9*SUMIF(ThresholdAge06,"&lt;"&amp;AM9,WeightedRevAge06)-SUMIF(ThresholdAge06,"&lt;"&amp;AM9,WeightedMinAge06),MAX(CapacityAge06*АбонементНовых*AM9,MeanMinAge06)))</f>
        <v/>
      </c>
      <c r="AN53" s="5">
        <f>IF(OR(AN26=0,6&lt;=КаникулыРоялти),0,AN26*IF(РоялтиПоГруппам="Да",MeanMinAge06+AN9*SUMIF(ThresholdAge06,"&lt;"&amp;AN9,WeightedRevAge06)-SUMIF(ThresholdAge06,"&lt;"&amp;AN9,WeightedMinAge06),MAX(CapacityAge06*АбонементНовых*AN9,MeanMinAge06)))</f>
        <v/>
      </c>
      <c r="AO53" s="5">
        <f>IF(OR(AO26=0,6&lt;=КаникулыРоялти),0,AO26*IF(РоялтиПоГруппам="Да",MeanMinAge06+AO9*SUMIF(ThresholdAge06,"&lt;"&amp;AO9,WeightedRevAge06)-SUMIF(ThresholdAge06,"&lt;"&amp;AO9,WeightedMinAge06),MAX(CapacityAge06*АбонементНовых*AO9,MeanMinAge06)))</f>
        <v/>
      </c>
      <c r="AP53" s="5">
        <f>IF(OR(AP26=0,6&lt;=КаникулыРоялти),0,AP26*IF(РоялтиПоГруппам="Да",MeanMinAge06+AP9*SUMIF(ThresholdAge06,"&lt;"&amp;AP9,WeightedRevAge06)-SUMIF(ThresholdAge06,"&lt;"&amp;AP9,WeightedMinAge06),MAX(CapacityAge06*АбонементНовых*AP9,MeanMinAge06)))</f>
        <v/>
      </c>
      <c r="AQ53" s="5">
        <f>IF(OR(AQ26=0,6&lt;=КаникулыРоялти),0,AQ26*IF(РоялтиПоГруппам="Да",MeanMinAge06+AQ9*SUMIF(ThresholdAge06,"&lt;"&amp;AQ9,WeightedRevAge06)-SUMIF(ThresholdAge06,"&lt;"&amp;AQ9,WeightedMinAge06),MAX(CapacityAge06*АбонементНовых*AQ9,MeanMinAge06)))</f>
        <v/>
      </c>
      <c r="AR53" s="5">
        <f>IF(OR(AR26=0,6&lt;=КаникулыРоялти),0,AR26*IF(РоялтиПоГруппам="Да",MeanMinAge06+AR9*SUMIF(ThresholdAge06,"&lt;"&amp;AR9,WeightedRevAge06)-SUMIF(ThresholdAge06,"&lt;"&amp;AR9,WeightedMinAge06),MAX(CapacityAge06*АбонементНовых*AR9,MeanMinAge06)))</f>
        <v/>
      </c>
      <c r="AS53" s="5">
        <f>IF(OR(AS26=0,6&lt;=КаникулыРоялти),0,AS26*IF(РоялтиПоГруппам="Да",MeanMinAge06+AS9*SUMIF(ThresholdAge06,"&lt;"&amp;AS9,WeightedRevAge06)-SUMIF(ThresholdAge06,"&lt;"&amp;AS9,WeightedMinAge06),MAX(CapacityAge06*АбонементНовых*AS9,MeanMinAge06)))</f>
        <v/>
      </c>
      <c r="AT53" s="5">
        <f>IF(OR(AT26=0,6&lt;=КаникулыРоялти),0,AT26*IF(РоялтиПоГруппам="Да",MeanMinAge06+AT9*SUMIF(ThresholdAge06,"&lt;"&amp;AT9,WeightedRevAge06)-SUMIF(ThresholdAge06,"&lt;"&amp;AT9,WeightedMinAge06),MAX(CapacityAge06*АбонементНовых*AT9,MeanMinAge06)))</f>
        <v/>
      </c>
      <c r="AU53" s="5">
        <f>IF(OR(AU26=0,6&lt;=КаникулыРоялти),0,AU26*IF(РоялтиПоГруппам="Да",MeanMinAge06+AU9*SUMIF(ThresholdAge06,"&lt;"&amp;AU9,WeightedRevAge06)-SUMIF(ThresholdAge06,"&lt;"&amp;AU9,WeightedMinAge06),MAX(CapacityAge06*АбонементНовых*AU9,MeanMinAge06)))</f>
        <v/>
      </c>
      <c r="AV53" s="5">
        <f>IF(OR(AV26=0,6&lt;=КаникулыРоялти),0,AV26*IF(РоялтиПоГруппам="Да",MeanMinAge06+AV9*SUMIF(ThresholdAge06,"&lt;"&amp;AV9,WeightedRevAge06)-SUMIF(ThresholdAge06,"&lt;"&amp;AV9,WeightedMinAge06),MAX(CapacityAge06*АбонементНовых*AV9,MeanMinAge06)))</f>
        <v/>
      </c>
      <c r="AW53" s="5">
        <f>IF(OR(AW26=0,6&lt;=КаникулыРоялти),0,AW26*IF(РоялтиПоГруппам="Да",MeanMinAge06+AW9*SUMIF(ThresholdAge06,"&lt;"&amp;AW9,WeightedRevAge06)-SUMIF(ThresholdAge06,"&lt;"&amp;AW9,WeightedMinAge06),MAX(CapacityAge06*АбонементНовых*AW9,MeanMinAge06)))</f>
        <v/>
      </c>
      <c r="AX53" s="5">
        <f>IF(OR(AX26=0,6&lt;=КаникулыРоялти),0,AX26*IF(РоялтиПоГруппам="Да",MeanMinAge06+AX9*SUMIF(ThresholdAge06,"&lt;"&amp;AX9,WeightedRevAge06)-SUMIF(ThresholdAge06,"&lt;"&amp;AX9,WeightedMinAge06),MAX(CapacityAge06*АбонементНовых*AX9,MeanMinAge06)))</f>
        <v/>
      </c>
      <c r="AY53" s="5">
        <f>IF(OR(AY26=0,6&lt;=КаникулыРоялти),0,AY26*IF(РоялтиПоГруппам="Да",MeanMinAge06+AY9*SUMIF(ThresholdAge06,"&lt;"&amp;AY9,WeightedRevAge06)-SUMIF(ThresholdAge06,"&lt;"&amp;AY9,WeightedMinAge06),MAX(CapacityAge06*АбонементНовых*AY9,MeanMinAge06)))</f>
        <v/>
      </c>
      <c r="AZ53" s="5">
        <f>IF(OR(AZ26=0,6&lt;=КаникулыРоялти),0,AZ26*IF(РоялтиПоГруппам="Да",MeanMinAge06+AZ9*SUMIF(ThresholdAge06,"&lt;"&amp;AZ9,WeightedRevAge06)-SUMIF(ThresholdAge06,"&lt;"&amp;AZ9,WeightedMinAge06),MAX(CapacityAge06*АбонементНовых*AZ9,MeanMinAge06)))</f>
        <v/>
      </c>
      <c r="BA53" s="5">
        <f>IF(OR(BA26=0,6&lt;=КаникулыРоялти),0,BA26*IF(РоялтиПоГруппам="Да",MeanMinAge06+BA9*SUMIF(ThresholdAge06,"&lt;"&amp;BA9,WeightedRevAge06)-SUMIF(ThresholdAge06,"&lt;"&amp;BA9,WeightedMinAge06),MAX(CapacityAge06*АбонементНовых*BA9,MeanMinAge06)))</f>
        <v/>
      </c>
      <c r="BB53" s="5">
        <f>IF(OR(BB26=0,6&lt;=КаникулыРоялти),0,BB26*IF(РоялтиПоГруппам="Да",MeanMinAge06+BB9*SUMIF(ThresholdAge06,"&lt;"&amp;BB9,WeightedRevAge06)-SUMIF(ThresholdAge06,"&lt;"&amp;BB9,WeightedMinAge06),MAX(CapacityAge06*АбонементНовых*BB9,MeanMinAge06)))</f>
        <v/>
      </c>
      <c r="BC53" s="5">
        <f>IF(OR(BC26=0,6&lt;=КаникулыРоялти),0,BC26*IF(РоялтиПоГруппам="Да",MeanMinAge06+BC9*SUMIF(ThresholdAge06,"&lt;"&amp;BC9,WeightedRevAge06)-SUMIF(ThresholdAge06,"&lt;"&amp;BC9,WeightedMinAge06),MAX(CapacityAge06*АбонементНовых*BC9,MeanMinAge06)))</f>
        <v/>
      </c>
      <c r="BD53" s="5">
        <f>IF(OR(BD26=0,6&lt;=КаникулыРоялти),0,BD26*IF(РоялтиПоГруппам="Да",MeanMinAge06+BD9*SUMIF(ThresholdAge06,"&lt;"&amp;BD9,WeightedRevAge06)-SUMIF(ThresholdAge06,"&lt;"&amp;BD9,WeightedMinAge06),MAX(CapacityAge06*АбонементНовых*BD9,MeanMinAge06)))</f>
        <v/>
      </c>
      <c r="BE53" s="5">
        <f>IF(OR(BE26=0,6&lt;=КаникулыРоялти),0,BE26*IF(РоялтиПоГруппам="Да",MeanMinAge06+BE9*SUMIF(ThresholdAge06,"&lt;"&amp;BE9,WeightedRevAge06)-SUMIF(ThresholdAge06,"&lt;"&amp;BE9,WeightedMinAge06),MAX(CapacityAge06*АбонементНовых*BE9,MeanMinAge06)))</f>
        <v/>
      </c>
      <c r="BF53" s="5">
        <f>IF(OR(BF26=0,6&lt;=КаникулыРоялти),0,BF26*IF(РоялтиПоГруппам="Да",MeanMinAge06+BF9*SUMIF(ThresholdAge06,"&lt;"&amp;BF9,WeightedRevAge06)-SUMIF(ThresholdAge06,"&lt;"&amp;BF9,WeightedMinAge06),MAX(CapacityAge06*АбонементНовых*BF9,MeanMinAge06)))</f>
        <v/>
      </c>
      <c r="BG53" s="5">
        <f>IF(OR(BG26=0,6&lt;=КаникулыРоялти),0,BG26*IF(РоялтиПоГруппам="Да",MeanMinAge06+BG9*SUMIF(ThresholdAge06,"&lt;"&amp;BG9,WeightedRevAge06)-SUMIF(ThresholdAge06,"&lt;"&amp;BG9,WeightedMinAge06),MAX(CapacityAge06*АбонементНовых*BG9,MeanMinAge06)))</f>
        <v/>
      </c>
      <c r="BH53" s="5">
        <f>IF(OR(BH26=0,6&lt;=КаникулыРоялти),0,BH26*IF(РоялтиПоГруппам="Да",MeanMinAge06+BH9*SUMIF(ThresholdAge06,"&lt;"&amp;BH9,WeightedRevAge06)-SUMIF(ThresholdAge06,"&lt;"&amp;BH9,WeightedMinAge06),MAX(CapacityAge06*АбонементНовых*BH9,MeanMinAge06)))</f>
        <v/>
      </c>
      <c r="BI53" s="5">
        <f>IF(OR(BI26=0,6&lt;=КаникулыРоялти),0,BI26*IF(РоялтиПоГруппам="Да",MeanMinAge06+BI9*SUMIF(ThresholdAge06,"&lt;"&amp;BI9,WeightedRevAge06)-SUMIF(ThresholdAge06,"&lt;"&amp;BI9,WeightedMinAge06),MAX(CapacityAge06*АбонементНовых*BI9,MeanMinAge06)))</f>
        <v/>
      </c>
      <c r="BJ53" s="5">
        <f>IF(OR(BJ26=0,6&lt;=КаникулыРоялти),0,BJ26*IF(РоялтиПоГруппам="Да",MeanMinAge06+BJ9*SUMIF(ThresholdAge06,"&lt;"&amp;BJ9,WeightedRevAge06)-SUMIF(ThresholdAge06,"&lt;"&amp;BJ9,WeightedMinAge06),MAX(CapacityAge06*АбонементНовых*BJ9,MeanMinAge06)))</f>
        <v/>
      </c>
      <c r="BK53" s="5">
        <f>IF(OR(BK26=0,6&lt;=КаникулыРоялти),0,BK26*IF(РоялтиПоГруппам="Да",MeanMinAge06+BK9*SUMIF(ThresholdAge06,"&lt;"&amp;BK9,WeightedRevAge06)-SUMIF(ThresholdAge06,"&lt;"&amp;BK9,WeightedMinAge06),MAX(CapacityAge06*АбонементНовых*BK9,MeanMinAge06)))</f>
        <v/>
      </c>
      <c r="BL53" s="5">
        <f>IF(OR(BL26=0,6&lt;=КаникулыРоялти),0,BL26*IF(РоялтиПоГруппам="Да",MeanMinAge06+BL9*SUMIF(ThresholdAge06,"&lt;"&amp;BL9,WeightedRevAge06)-SUMIF(ThresholdAge06,"&lt;"&amp;BL9,WeightedMinAge06),MAX(CapacityAge06*АбонементНовых*BL9,MeanMinAge06)))</f>
        <v/>
      </c>
      <c r="BM53" s="5">
        <f>IF(OR(BM26=0,6&lt;=КаникулыРоялти),0,BM26*IF(РоялтиПоГруппам="Да",MeanMinAge06+BM9*SUMIF(ThresholdAge06,"&lt;"&amp;BM9,WeightedRevAge06)-SUMIF(ThresholdAge06,"&lt;"&amp;BM9,WeightedMinAge06),MAX(CapacityAge06*АбонементНовых*BM9,MeanMinAge06)))</f>
        <v/>
      </c>
      <c r="BN53" s="5">
        <f>IF(OR(BN26=0,6&lt;=КаникулыРоялти),0,BN26*IF(РоялтиПоГруппам="Да",MeanMinAge06+BN9*SUMIF(ThresholdAge06,"&lt;"&amp;BN9,WeightedRevAge06)-SUMIF(ThresholdAge06,"&lt;"&amp;BN9,WeightedMinAge06),MAX(CapacityAge06*АбонементНовых*BN9,MeanMinAge06)))</f>
        <v/>
      </c>
      <c r="BO53" s="5">
        <f>IF(OR(BO26=0,6&lt;=КаникулыРоялти),0,BO26*IF(РоялтиПоГруппам="Да",MeanMinAge06+BO9*SUMIF(ThresholdAge06,"&lt;"&amp;BO9,WeightedRevAge06)-SUMIF(ThresholdAge06,"&lt;"&amp;BO9,WeightedMinAge06),MAX(CapacityAge06*АбонементНовых*BO9,MeanMinAge06)))</f>
        <v/>
      </c>
      <c r="BP53" s="5">
        <f>IF(OR(BP26=0,6&lt;=КаникулыРоялти),0,BP26*IF(РоялтиПоГруппам="Да",MeanMinAge06+BP9*SUMIF(ThresholdAge06,"&lt;"&amp;BP9,WeightedRevAge06)-SUMIF(ThresholdAge06,"&lt;"&amp;BP9,WeightedMinAge06),MAX(CapacityAge06*АбонементНовых*BP9,MeanMinAge06)))</f>
        <v/>
      </c>
      <c r="BQ53" s="5">
        <f>IF(OR(BQ26=0,6&lt;=КаникулыРоялти),0,BQ26*IF(РоялтиПоГруппам="Да",MeanMinAge06+BQ9*SUMIF(ThresholdAge06,"&lt;"&amp;BQ9,WeightedRevAge06)-SUMIF(ThresholdAge06,"&lt;"&amp;BQ9,WeightedMinAge06),MAX(CapacityAge06*АбонементНовых*BQ9,MeanMinAge06)))</f>
        <v/>
      </c>
      <c r="BR53" s="5">
        <f>IF(OR(BR26=0,6&lt;=КаникулыРоялти),0,BR26*IF(РоялтиПоГруппам="Да",MeanMinAge06+BR9*SUMIF(ThresholdAge06,"&lt;"&amp;BR9,WeightedRevAge06)-SUMIF(ThresholdAge06,"&lt;"&amp;BR9,WeightedMinAge06),MAX(CapacityAge06*АбонементНовых*BR9,MeanMinAge06)))</f>
        <v/>
      </c>
      <c r="BS53" s="5">
        <f>IF(OR(BS26=0,6&lt;=КаникулыРоялти),0,BS26*IF(РоялтиПоГруппам="Да",MeanMinAge06+BS9*SUMIF(ThresholdAge06,"&lt;"&amp;BS9,WeightedRevAge06)-SUMIF(ThresholdAge06,"&lt;"&amp;BS9,WeightedMinAge06),MAX(CapacityAge06*АбонементНовых*BS9,MeanMinAge06)))</f>
        <v/>
      </c>
      <c r="BT53" s="5">
        <f>IF(OR(BT26=0,6&lt;=КаникулыРоялти),0,BT26*IF(РоялтиПоГруппам="Да",MeanMinAge06+BT9*SUMIF(ThresholdAge06,"&lt;"&amp;BT9,WeightedRevAge06)-SUMIF(ThresholdAge06,"&lt;"&amp;BT9,WeightedMinAge06),MAX(CapacityAge06*АбонементНовых*BT9,MeanMinAge06)))</f>
        <v/>
      </c>
      <c r="BU53" s="5">
        <f>IF(OR(BU26=0,6&lt;=КаникулыРоялти),0,BU26*IF(РоялтиПоГруппам="Да",MeanMinAge06+BU9*SUMIF(ThresholdAge06,"&lt;"&amp;BU9,WeightedRevAge06)-SUMIF(ThresholdAge06,"&lt;"&amp;BU9,WeightedMinAge06),MAX(CapacityAge06*АбонементНовых*BU9,MeanMinAge06)))</f>
        <v/>
      </c>
      <c r="BV53" s="5">
        <f>IF(OR(BV26=0,6&lt;=КаникулыРоялти),0,BV26*IF(РоялтиПоГруппам="Да",MeanMinAge06+BV9*SUMIF(ThresholdAge06,"&lt;"&amp;BV9,WeightedRevAge06)-SUMIF(ThresholdAge06,"&lt;"&amp;BV9,WeightedMinAge06),MAX(CapacityAge06*АбонементНовых*BV9,MeanMinAge06)))</f>
        <v/>
      </c>
      <c r="BW53" s="5">
        <f>IF(OR(BW26=0,6&lt;=КаникулыРоялти),0,BW26*IF(РоялтиПоГруппам="Да",MeanMinAge06+BW9*SUMIF(ThresholdAge06,"&lt;"&amp;BW9,WeightedRevAge06)-SUMIF(ThresholdAge06,"&lt;"&amp;BW9,WeightedMinAge06),MAX(CapacityAge06*АбонементНовых*BW9,MeanMinAge06)))</f>
        <v/>
      </c>
      <c r="BX53" s="5">
        <f>IF(OR(BX26=0,6&lt;=КаникулыРоялти),0,BX26*IF(РоялтиПоГруппам="Да",MeanMinAge06+BX9*SUMIF(ThresholdAge06,"&lt;"&amp;BX9,WeightedRevAge06)-SUMIF(ThresholdAge06,"&lt;"&amp;BX9,WeightedMinAge06),MAX(CapacityAge06*АбонементНовых*BX9,MeanMinAge06)))</f>
        <v/>
      </c>
      <c r="BY53" s="5">
        <f>IF(OR(BY26=0,6&lt;=КаникулыРоялти),0,BY26*IF(РоялтиПоГруппам="Да",MeanMinAge06+BY9*SUMIF(ThresholdAge06,"&lt;"&amp;BY9,WeightedRevAge06)-SUMIF(ThresholdAge06,"&lt;"&amp;BY9,WeightedMinAge06),MAX(CapacityAge06*АбонементНовых*BY9,MeanMinAge06)))</f>
        <v/>
      </c>
    </row>
    <row r="54">
      <c r="B54" t="inlineStr">
        <is>
          <t>7 мес.</t>
        </is>
      </c>
      <c r="C54" t="inlineStr">
        <is>
          <t>₽</t>
        </is>
      </c>
      <c r="D54" s="127" t="inlineStr"/>
      <c r="E54" s="129">
        <f>SUM(L54:W54)</f>
        <v/>
      </c>
      <c r="F54" s="129">
        <f>SUM(X54:AI54)</f>
        <v/>
      </c>
      <c r="G54" s="129">
        <f>SUM(AJ54:AU54)</f>
        <v/>
      </c>
      <c r="H54" s="129">
        <f>SUM(AV54:BG54)</f>
        <v/>
      </c>
      <c r="I54" s="129">
        <f>SUM(BH54:BS54)</f>
        <v/>
      </c>
      <c r="J54" s="6">
        <f>SUM(L54:BS54)</f>
        <v/>
      </c>
      <c r="L54" s="5">
        <f>IF(OR(L27=0,7&lt;=КаникулыРоялти),0,L27*IF(РоялтиПоГруппам="Да",MeanMinAge07+L9*SUMIF(ThresholdAge07,"&lt;"&amp;L9,WeightedRevAge07)-SUMIF(ThresholdAge07,"&lt;"&amp;L9,WeightedMinAge07),MAX(CapacityAge07*АбонементНовых*L9,MeanMinAge07)))</f>
        <v/>
      </c>
      <c r="M54" s="5">
        <f>IF(OR(M27=0,7&lt;=КаникулыРоялти),0,M27*IF(РоялтиПоГруппам="Да",MeanMinAge07+M9*SUMIF(ThresholdAge07,"&lt;"&amp;M9,WeightedRevAge07)-SUMIF(ThresholdAge07,"&lt;"&amp;M9,WeightedMinAge07),MAX(CapacityAge07*АбонементНовых*M9,MeanMinAge07)))</f>
        <v/>
      </c>
      <c r="N54" s="5">
        <f>IF(OR(N27=0,7&lt;=КаникулыРоялти),0,N27*IF(РоялтиПоГруппам="Да",MeanMinAge07+N9*SUMIF(ThresholdAge07,"&lt;"&amp;N9,WeightedRevAge07)-SUMIF(ThresholdAge07,"&lt;"&amp;N9,WeightedMinAge07),MAX(CapacityAge07*АбонементНовых*N9,MeanMinAge07)))</f>
        <v/>
      </c>
      <c r="O54" s="5">
        <f>IF(OR(O27=0,7&lt;=КаникулыРоялти),0,O27*IF(РоялтиПоГруппам="Да",MeanMinAge07+O9*SUMIF(ThresholdAge07,"&lt;"&amp;O9,WeightedRevAge07)-SUMIF(ThresholdAge07,"&lt;"&amp;O9,WeightedMinAge07),MAX(CapacityAge07*АбонементНовых*O9,MeanMinAge07)))</f>
        <v/>
      </c>
      <c r="P54" s="5">
        <f>IF(OR(P27=0,7&lt;=КаникулыРоялти),0,P27*IF(РоялтиПоГруппам="Да",MeanMinAge07+P9*SUMIF(ThresholdAge07,"&lt;"&amp;P9,WeightedRevAge07)-SUMIF(ThresholdAge07,"&lt;"&amp;P9,WeightedMinAge07),MAX(CapacityAge07*АбонементНовых*P9,MeanMinAge07)))</f>
        <v/>
      </c>
      <c r="Q54" s="5">
        <f>IF(OR(Q27=0,7&lt;=КаникулыРоялти),0,Q27*IF(РоялтиПоГруппам="Да",MeanMinAge07+Q9*SUMIF(ThresholdAge07,"&lt;"&amp;Q9,WeightedRevAge07)-SUMIF(ThresholdAge07,"&lt;"&amp;Q9,WeightedMinAge07),MAX(CapacityAge07*АбонементНовых*Q9,MeanMinAge07)))</f>
        <v/>
      </c>
      <c r="R54" s="5">
        <f>IF(OR(R27=0,7&lt;=КаникулыРоялти),0,R27*IF(РоялтиПоГруппам="Да",MeanMinAge07+R9*SUMIF(ThresholdAge07,"&lt;"&amp;R9,WeightedRevAge07)-SUMIF(ThresholdAge07,"&lt;"&amp;R9,WeightedMinAge07),MAX(CapacityAge07*АбонементНовых*R9,MeanMinAge07)))</f>
        <v/>
      </c>
      <c r="S54" s="5">
        <f>IF(OR(S27=0,7&lt;=КаникулыРоялти),0,S27*IF(РоялтиПоГруппам="Да",MeanMinAge07+S9*SUMIF(ThresholdAge07,"&lt;"&amp;S9,WeightedRevAge07)-SUMIF(ThresholdAge07,"&lt;"&amp;S9,WeightedMinAge07),MAX(CapacityAge07*АбонементНовых*S9,MeanMinAge07)))</f>
        <v/>
      </c>
      <c r="T54" s="5">
        <f>IF(OR(T27=0,7&lt;=КаникулыРоялти),0,T27*IF(РоялтиПоГруппам="Да",MeanMinAge07+T9*SUMIF(ThresholdAge07,"&lt;"&amp;T9,WeightedRevAge07)-SUMIF(ThresholdAge07,"&lt;"&amp;T9,WeightedMinAge07),MAX(CapacityAge07*АбонементНовых*T9,MeanMinAge07)))</f>
        <v/>
      </c>
      <c r="U54" s="5">
        <f>IF(OR(U27=0,7&lt;=КаникулыРоялти),0,U27*IF(РоялтиПоГруппам="Да",MeanMinAge07+U9*SUMIF(ThresholdAge07,"&lt;"&amp;U9,WeightedRevAge07)-SUMIF(ThresholdAge07,"&lt;"&amp;U9,WeightedMinAge07),MAX(CapacityAge07*АбонементНовых*U9,MeanMinAge07)))</f>
        <v/>
      </c>
      <c r="V54" s="5">
        <f>IF(OR(V27=0,7&lt;=КаникулыРоялти),0,V27*IF(РоялтиПоГруппам="Да",MeanMinAge07+V9*SUMIF(ThresholdAge07,"&lt;"&amp;V9,WeightedRevAge07)-SUMIF(ThresholdAge07,"&lt;"&amp;V9,WeightedMinAge07),MAX(CapacityAge07*АбонементНовых*V9,MeanMinAge07)))</f>
        <v/>
      </c>
      <c r="W54" s="5">
        <f>IF(OR(W27=0,7&lt;=КаникулыРоялти),0,W27*IF(РоялтиПоГруппам="Да",MeanMinAge07+W9*SUMIF(ThresholdAge07,"&lt;"&amp;W9,WeightedRevAge07)-SUMIF(ThresholdAge07,"&lt;"&amp;W9,WeightedMinAge07),MAX(CapacityAge07*АбонементНовых*W9,MeanMinAge07)))</f>
        <v/>
      </c>
      <c r="X54" s="5">
        <f>IF(OR(X27=0,7&lt;=КаникулыРоялти),0,X27*IF(РоялтиПоГруппам="Да",MeanMinAge07+X9*SUMIF(ThresholdAge07,"&lt;"&amp;X9,WeightedRevAge07)-SUMIF(ThresholdAge07,"&lt;"&amp;X9,WeightedMinAge07),MAX(CapacityAge07*АбонементНовых*X9,MeanMinAge07)))</f>
        <v/>
      </c>
      <c r="Y54" s="5">
        <f>IF(OR(Y27=0,7&lt;=КаникулыРоялти),0,Y27*IF(РоялтиПоГруппам="Да",MeanMinAge07+Y9*SUMIF(ThresholdAge07,"&lt;"&amp;Y9,WeightedRevAge07)-SUMIF(ThresholdAge07,"&lt;"&amp;Y9,WeightedMinAge07),MAX(CapacityAge07*АбонементНовых*Y9,MeanMinAge07)))</f>
        <v/>
      </c>
      <c r="Z54" s="5">
        <f>IF(OR(Z27=0,7&lt;=КаникулыРоялти),0,Z27*IF(РоялтиПоГруппам="Да",MeanMinAge07+Z9*SUMIF(ThresholdAge07,"&lt;"&amp;Z9,WeightedRevAge07)-SUMIF(ThresholdAge07,"&lt;"&amp;Z9,WeightedMinAge07),MAX(CapacityAge07*АбонементНовых*Z9,MeanMinAge07)))</f>
        <v/>
      </c>
      <c r="AA54" s="5">
        <f>IF(OR(AA27=0,7&lt;=КаникулыРоялти),0,AA27*IF(РоялтиПоГруппам="Да",MeanMinAge07+AA9*SUMIF(ThresholdAge07,"&lt;"&amp;AA9,WeightedRevAge07)-SUMIF(ThresholdAge07,"&lt;"&amp;AA9,WeightedMinAge07),MAX(CapacityAge07*АбонементНовых*AA9,MeanMinAge07)))</f>
        <v/>
      </c>
      <c r="AB54" s="5">
        <f>IF(OR(AB27=0,7&lt;=КаникулыРоялти),0,AB27*IF(РоялтиПоГруппам="Да",MeanMinAge07+AB9*SUMIF(ThresholdAge07,"&lt;"&amp;AB9,WeightedRevAge07)-SUMIF(ThresholdAge07,"&lt;"&amp;AB9,WeightedMinAge07),MAX(CapacityAge07*АбонементНовых*AB9,MeanMinAge07)))</f>
        <v/>
      </c>
      <c r="AC54" s="5">
        <f>IF(OR(AC27=0,7&lt;=КаникулыРоялти),0,AC27*IF(РоялтиПоГруппам="Да",MeanMinAge07+AC9*SUMIF(ThresholdAge07,"&lt;"&amp;AC9,WeightedRevAge07)-SUMIF(ThresholdAge07,"&lt;"&amp;AC9,WeightedMinAge07),MAX(CapacityAge07*АбонементНовых*AC9,MeanMinAge07)))</f>
        <v/>
      </c>
      <c r="AD54" s="5">
        <f>IF(OR(AD27=0,7&lt;=КаникулыРоялти),0,AD27*IF(РоялтиПоГруппам="Да",MeanMinAge07+AD9*SUMIF(ThresholdAge07,"&lt;"&amp;AD9,WeightedRevAge07)-SUMIF(ThresholdAge07,"&lt;"&amp;AD9,WeightedMinAge07),MAX(CapacityAge07*АбонементНовых*AD9,MeanMinAge07)))</f>
        <v/>
      </c>
      <c r="AE54" s="5">
        <f>IF(OR(AE27=0,7&lt;=КаникулыРоялти),0,AE27*IF(РоялтиПоГруппам="Да",MeanMinAge07+AE9*SUMIF(ThresholdAge07,"&lt;"&amp;AE9,WeightedRevAge07)-SUMIF(ThresholdAge07,"&lt;"&amp;AE9,WeightedMinAge07),MAX(CapacityAge07*АбонементНовых*AE9,MeanMinAge07)))</f>
        <v/>
      </c>
      <c r="AF54" s="5">
        <f>IF(OR(AF27=0,7&lt;=КаникулыРоялти),0,AF27*IF(РоялтиПоГруппам="Да",MeanMinAge07+AF9*SUMIF(ThresholdAge07,"&lt;"&amp;AF9,WeightedRevAge07)-SUMIF(ThresholdAge07,"&lt;"&amp;AF9,WeightedMinAge07),MAX(CapacityAge07*АбонементНовых*AF9,MeanMinAge07)))</f>
        <v/>
      </c>
      <c r="AG54" s="5">
        <f>IF(OR(AG27=0,7&lt;=КаникулыРоялти),0,AG27*IF(РоялтиПоГруппам="Да",MeanMinAge07+AG9*SUMIF(ThresholdAge07,"&lt;"&amp;AG9,WeightedRevAge07)-SUMIF(ThresholdAge07,"&lt;"&amp;AG9,WeightedMinAge07),MAX(CapacityAge07*АбонементНовых*AG9,MeanMinAge07)))</f>
        <v/>
      </c>
      <c r="AH54" s="5">
        <f>IF(OR(AH27=0,7&lt;=КаникулыРоялти),0,AH27*IF(РоялтиПоГруппам="Да",MeanMinAge07+AH9*SUMIF(ThresholdAge07,"&lt;"&amp;AH9,WeightedRevAge07)-SUMIF(ThresholdAge07,"&lt;"&amp;AH9,WeightedMinAge07),MAX(CapacityAge07*АбонементНовых*AH9,MeanMinAge07)))</f>
        <v/>
      </c>
      <c r="AI54" s="5">
        <f>IF(OR(AI27=0,7&lt;=КаникулыРоялти),0,AI27*IF(РоялтиПоГруппам="Да",MeanMinAge07+AI9*SUMIF(ThresholdAge07,"&lt;"&amp;AI9,WeightedRevAge07)-SUMIF(ThresholdAge07,"&lt;"&amp;AI9,WeightedMinAge07),MAX(CapacityAge07*АбонементНовых*AI9,MeanMinAge07)))</f>
        <v/>
      </c>
      <c r="AJ54" s="5">
        <f>IF(OR(AJ27=0,7&lt;=КаникулыРоялти),0,AJ27*IF(РоялтиПоГруппам="Да",MeanMinAge07+AJ9*SUMIF(ThresholdAge07,"&lt;"&amp;AJ9,WeightedRevAge07)-SUMIF(ThresholdAge07,"&lt;"&amp;AJ9,WeightedMinAge07),MAX(CapacityAge07*АбонементНовых*AJ9,MeanMinAge07)))</f>
        <v/>
      </c>
      <c r="AK54" s="5">
        <f>IF(OR(AK27=0,7&lt;=КаникулыРоялти),0,AK27*IF(РоялтиПоГруппам="Да",MeanMinAge07+AK9*SUMIF(ThresholdAge07,"&lt;"&amp;AK9,WeightedRevAge07)-SUMIF(ThresholdAge07,"&lt;"&amp;AK9,WeightedMinAge07),MAX(CapacityAge07*АбонементНовых*AK9,MeanMinAge07)))</f>
        <v/>
      </c>
      <c r="AL54" s="5">
        <f>IF(OR(AL27=0,7&lt;=КаникулыРоялти),0,AL27*IF(РоялтиПоГруппам="Да",MeanMinAge07+AL9*SUMIF(ThresholdAge07,"&lt;"&amp;AL9,WeightedRevAge07)-SUMIF(ThresholdAge07,"&lt;"&amp;AL9,WeightedMinAge07),MAX(CapacityAge07*АбонементНовых*AL9,MeanMinAge07)))</f>
        <v/>
      </c>
      <c r="AM54" s="5">
        <f>IF(OR(AM27=0,7&lt;=КаникулыРоялти),0,AM27*IF(РоялтиПоГруппам="Да",MeanMinAge07+AM9*SUMIF(ThresholdAge07,"&lt;"&amp;AM9,WeightedRevAge07)-SUMIF(ThresholdAge07,"&lt;"&amp;AM9,WeightedMinAge07),MAX(CapacityAge07*АбонементНовых*AM9,MeanMinAge07)))</f>
        <v/>
      </c>
      <c r="AN54" s="5">
        <f>IF(OR(AN27=0,7&lt;=КаникулыРоялти),0,AN27*IF(РоялтиПоГруппам="Да",MeanMinAge07+AN9*SUMIF(ThresholdAge07,"&lt;"&amp;AN9,WeightedRevAge07)-SUMIF(ThresholdAge07,"&lt;"&amp;AN9,WeightedMinAge07),MAX(CapacityAge07*АбонементНовых*AN9,MeanMinAge07)))</f>
        <v/>
      </c>
      <c r="AO54" s="5">
        <f>IF(OR(AO27=0,7&lt;=КаникулыРоялти),0,AO27*IF(РоялтиПоГруппам="Да",MeanMinAge07+AO9*SUMIF(ThresholdAge07,"&lt;"&amp;AO9,WeightedRevAge07)-SUMIF(ThresholdAge07,"&lt;"&amp;AO9,WeightedMinAge07),MAX(CapacityAge07*АбонементНовых*AO9,MeanMinAge07)))</f>
        <v/>
      </c>
      <c r="AP54" s="5">
        <f>IF(OR(AP27=0,7&lt;=КаникулыРоялти),0,AP27*IF(РоялтиПоГруппам="Да",MeanMinAge07+AP9*SUMIF(ThresholdAge07,"&lt;"&amp;AP9,WeightedRevAge07)-SUMIF(ThresholdAge07,"&lt;"&amp;AP9,WeightedMinAge07),MAX(CapacityAge07*АбонементНовых*AP9,MeanMinAge07)))</f>
        <v/>
      </c>
      <c r="AQ54" s="5">
        <f>IF(OR(AQ27=0,7&lt;=КаникулыРоялти),0,AQ27*IF(РоялтиПоГруппам="Да",MeanMinAge07+AQ9*SUMIF(ThresholdAge07,"&lt;"&amp;AQ9,WeightedRevAge07)-SUMIF(ThresholdAge07,"&lt;"&amp;AQ9,WeightedMinAge07),MAX(CapacityAge07*АбонементНовых*AQ9,MeanMinAge07)))</f>
        <v/>
      </c>
      <c r="AR54" s="5">
        <f>IF(OR(AR27=0,7&lt;=КаникулыРоялти),0,AR27*IF(РоялтиПоГруппам="Да",MeanMinAge07+AR9*SUMIF(ThresholdAge07,"&lt;"&amp;AR9,WeightedRevAge07)-SUMIF(ThresholdAge07,"&lt;"&amp;AR9,WeightedMinAge07),MAX(CapacityAge07*АбонементНовых*AR9,MeanMinAge07)))</f>
        <v/>
      </c>
      <c r="AS54" s="5">
        <f>IF(OR(AS27=0,7&lt;=КаникулыРоялти),0,AS27*IF(РоялтиПоГруппам="Да",MeanMinAge07+AS9*SUMIF(ThresholdAge07,"&lt;"&amp;AS9,WeightedRevAge07)-SUMIF(ThresholdAge07,"&lt;"&amp;AS9,WeightedMinAge07),MAX(CapacityAge07*АбонементНовых*AS9,MeanMinAge07)))</f>
        <v/>
      </c>
      <c r="AT54" s="5">
        <f>IF(OR(AT27=0,7&lt;=КаникулыРоялти),0,AT27*IF(РоялтиПоГруппам="Да",MeanMinAge07+AT9*SUMIF(ThresholdAge07,"&lt;"&amp;AT9,WeightedRevAge07)-SUMIF(ThresholdAge07,"&lt;"&amp;AT9,WeightedMinAge07),MAX(CapacityAge07*АбонементНовых*AT9,MeanMinAge07)))</f>
        <v/>
      </c>
      <c r="AU54" s="5">
        <f>IF(OR(AU27=0,7&lt;=КаникулыРоялти),0,AU27*IF(РоялтиПоГруппам="Да",MeanMinAge07+AU9*SUMIF(ThresholdAge07,"&lt;"&amp;AU9,WeightedRevAge07)-SUMIF(ThresholdAge07,"&lt;"&amp;AU9,WeightedMinAge07),MAX(CapacityAge07*АбонементНовых*AU9,MeanMinAge07)))</f>
        <v/>
      </c>
      <c r="AV54" s="5">
        <f>IF(OR(AV27=0,7&lt;=КаникулыРоялти),0,AV27*IF(РоялтиПоГруппам="Да",MeanMinAge07+AV9*SUMIF(ThresholdAge07,"&lt;"&amp;AV9,WeightedRevAge07)-SUMIF(ThresholdAge07,"&lt;"&amp;AV9,WeightedMinAge07),MAX(CapacityAge07*АбонементНовых*AV9,MeanMinAge07)))</f>
        <v/>
      </c>
      <c r="AW54" s="5">
        <f>IF(OR(AW27=0,7&lt;=КаникулыРоялти),0,AW27*IF(РоялтиПоГруппам="Да",MeanMinAge07+AW9*SUMIF(ThresholdAge07,"&lt;"&amp;AW9,WeightedRevAge07)-SUMIF(ThresholdAge07,"&lt;"&amp;AW9,WeightedMinAge07),MAX(CapacityAge07*АбонементНовых*AW9,MeanMinAge07)))</f>
        <v/>
      </c>
      <c r="AX54" s="5">
        <f>IF(OR(AX27=0,7&lt;=КаникулыРоялти),0,AX27*IF(РоялтиПоГруппам="Да",MeanMinAge07+AX9*SUMIF(ThresholdAge07,"&lt;"&amp;AX9,WeightedRevAge07)-SUMIF(ThresholdAge07,"&lt;"&amp;AX9,WeightedMinAge07),MAX(CapacityAge07*АбонементНовых*AX9,MeanMinAge07)))</f>
        <v/>
      </c>
      <c r="AY54" s="5">
        <f>IF(OR(AY27=0,7&lt;=КаникулыРоялти),0,AY27*IF(РоялтиПоГруппам="Да",MeanMinAge07+AY9*SUMIF(ThresholdAge07,"&lt;"&amp;AY9,WeightedRevAge07)-SUMIF(ThresholdAge07,"&lt;"&amp;AY9,WeightedMinAge07),MAX(CapacityAge07*АбонементНовых*AY9,MeanMinAge07)))</f>
        <v/>
      </c>
      <c r="AZ54" s="5">
        <f>IF(OR(AZ27=0,7&lt;=КаникулыРоялти),0,AZ27*IF(РоялтиПоГруппам="Да",MeanMinAge07+AZ9*SUMIF(ThresholdAge07,"&lt;"&amp;AZ9,WeightedRevAge07)-SUMIF(ThresholdAge07,"&lt;"&amp;AZ9,WeightedMinAge07),MAX(CapacityAge07*АбонементНовых*AZ9,MeanMinAge07)))</f>
        <v/>
      </c>
      <c r="BA54" s="5">
        <f>IF(OR(BA27=0,7&lt;=КаникулыРоялти),0,BA27*IF(РоялтиПоГруппам="Да",MeanMinAge07+BA9*SUMIF(ThresholdAge07,"&lt;"&amp;BA9,WeightedRevAge07)-SUMIF(ThresholdAge07,"&lt;"&amp;BA9,WeightedMinAge07),MAX(CapacityAge07*АбонементНовых*BA9,MeanMinAge07)))</f>
        <v/>
      </c>
      <c r="BB54" s="5">
        <f>IF(OR(BB27=0,7&lt;=КаникулыРоялти),0,BB27*IF(РоялтиПоГруппам="Да",MeanMinAge07+BB9*SUMIF(ThresholdAge07,"&lt;"&amp;BB9,WeightedRevAge07)-SUMIF(ThresholdAge07,"&lt;"&amp;BB9,WeightedMinAge07),MAX(CapacityAge07*АбонементНовых*BB9,MeanMinAge07)))</f>
        <v/>
      </c>
      <c r="BC54" s="5">
        <f>IF(OR(BC27=0,7&lt;=КаникулыРоялти),0,BC27*IF(РоялтиПоГруппам="Да",MeanMinAge07+BC9*SUMIF(ThresholdAge07,"&lt;"&amp;BC9,WeightedRevAge07)-SUMIF(ThresholdAge07,"&lt;"&amp;BC9,WeightedMinAge07),MAX(CapacityAge07*АбонементНовых*BC9,MeanMinAge07)))</f>
        <v/>
      </c>
      <c r="BD54" s="5">
        <f>IF(OR(BD27=0,7&lt;=КаникулыРоялти),0,BD27*IF(РоялтиПоГруппам="Да",MeanMinAge07+BD9*SUMIF(ThresholdAge07,"&lt;"&amp;BD9,WeightedRevAge07)-SUMIF(ThresholdAge07,"&lt;"&amp;BD9,WeightedMinAge07),MAX(CapacityAge07*АбонементНовых*BD9,MeanMinAge07)))</f>
        <v/>
      </c>
      <c r="BE54" s="5">
        <f>IF(OR(BE27=0,7&lt;=КаникулыРоялти),0,BE27*IF(РоялтиПоГруппам="Да",MeanMinAge07+BE9*SUMIF(ThresholdAge07,"&lt;"&amp;BE9,WeightedRevAge07)-SUMIF(ThresholdAge07,"&lt;"&amp;BE9,WeightedMinAge07),MAX(CapacityAge07*АбонементНовых*BE9,MeanMinAge07)))</f>
        <v/>
      </c>
      <c r="BF54" s="5">
        <f>IF(OR(BF27=0,7&lt;=КаникулыРоялти),0,BF27*IF(РоялтиПоГруппам="Да",MeanMinAge07+BF9*SUMIF(ThresholdAge07,"&lt;"&amp;BF9,WeightedRevAge07)-SUMIF(ThresholdAge07,"&lt;"&amp;BF9,WeightedMinAge07),MAX(CapacityAge07*АбонементНовых*BF9,MeanMinAge07)))</f>
        <v/>
      </c>
      <c r="BG54" s="5">
        <f>IF(OR(BG27=0,7&lt;=КаникулыРоялти),0,BG27*IF(РоялтиПоГруппам="Да",MeanMinAge07+BG9*SUMIF(ThresholdAge07,"&lt;"&amp;BG9,WeightedRevAge07)-SUMIF(ThresholdAge07,"&lt;"&amp;BG9,WeightedMinAge07),MAX(CapacityAge07*АбонементНовых*BG9,MeanMinAge07)))</f>
        <v/>
      </c>
      <c r="BH54" s="5">
        <f>IF(OR(BH27=0,7&lt;=КаникулыРоялти),0,BH27*IF(РоялтиПоГруппам="Да",MeanMinAge07+BH9*SUMIF(ThresholdAge07,"&lt;"&amp;BH9,WeightedRevAge07)-SUMIF(ThresholdAge07,"&lt;"&amp;BH9,WeightedMinAge07),MAX(CapacityAge07*АбонементНовых*BH9,MeanMinAge07)))</f>
        <v/>
      </c>
      <c r="BI54" s="5">
        <f>IF(OR(BI27=0,7&lt;=КаникулыРоялти),0,BI27*IF(РоялтиПоГруппам="Да",MeanMinAge07+BI9*SUMIF(ThresholdAge07,"&lt;"&amp;BI9,WeightedRevAge07)-SUMIF(ThresholdAge07,"&lt;"&amp;BI9,WeightedMinAge07),MAX(CapacityAge07*АбонементНовых*BI9,MeanMinAge07)))</f>
        <v/>
      </c>
      <c r="BJ54" s="5">
        <f>IF(OR(BJ27=0,7&lt;=КаникулыРоялти),0,BJ27*IF(РоялтиПоГруппам="Да",MeanMinAge07+BJ9*SUMIF(ThresholdAge07,"&lt;"&amp;BJ9,WeightedRevAge07)-SUMIF(ThresholdAge07,"&lt;"&amp;BJ9,WeightedMinAge07),MAX(CapacityAge07*АбонементНовых*BJ9,MeanMinAge07)))</f>
        <v/>
      </c>
      <c r="BK54" s="5">
        <f>IF(OR(BK27=0,7&lt;=КаникулыРоялти),0,BK27*IF(РоялтиПоГруппам="Да",MeanMinAge07+BK9*SUMIF(ThresholdAge07,"&lt;"&amp;BK9,WeightedRevAge07)-SUMIF(ThresholdAge07,"&lt;"&amp;BK9,WeightedMinAge07),MAX(CapacityAge07*АбонементНовых*BK9,MeanMinAge07)))</f>
        <v/>
      </c>
      <c r="BL54" s="5">
        <f>IF(OR(BL27=0,7&lt;=КаникулыРоялти),0,BL27*IF(РоялтиПоГруппам="Да",MeanMinAge07+BL9*SUMIF(ThresholdAge07,"&lt;"&amp;BL9,WeightedRevAge07)-SUMIF(ThresholdAge07,"&lt;"&amp;BL9,WeightedMinAge07),MAX(CapacityAge07*АбонементНовых*BL9,MeanMinAge07)))</f>
        <v/>
      </c>
      <c r="BM54" s="5">
        <f>IF(OR(BM27=0,7&lt;=КаникулыРоялти),0,BM27*IF(РоялтиПоГруппам="Да",MeanMinAge07+BM9*SUMIF(ThresholdAge07,"&lt;"&amp;BM9,WeightedRevAge07)-SUMIF(ThresholdAge07,"&lt;"&amp;BM9,WeightedMinAge07),MAX(CapacityAge07*АбонементНовых*BM9,MeanMinAge07)))</f>
        <v/>
      </c>
      <c r="BN54" s="5">
        <f>IF(OR(BN27=0,7&lt;=КаникулыРоялти),0,BN27*IF(РоялтиПоГруппам="Да",MeanMinAge07+BN9*SUMIF(ThresholdAge07,"&lt;"&amp;BN9,WeightedRevAge07)-SUMIF(ThresholdAge07,"&lt;"&amp;BN9,WeightedMinAge07),MAX(CapacityAge07*АбонементНовых*BN9,MeanMinAge07)))</f>
        <v/>
      </c>
      <c r="BO54" s="5">
        <f>IF(OR(BO27=0,7&lt;=КаникулыРоялти),0,BO27*IF(РоялтиПоГруппам="Да",MeanMinAge07+BO9*SUMIF(ThresholdAge07,"&lt;"&amp;BO9,WeightedRevAge07)-SUMIF(ThresholdAge07,"&lt;"&amp;BO9,WeightedMinAge07),MAX(CapacityAge07*АбонементНовых*BO9,MeanMinAge07)))</f>
        <v/>
      </c>
      <c r="BP54" s="5">
        <f>IF(OR(BP27=0,7&lt;=КаникулыРоялти),0,BP27*IF(РоялтиПоГруппам="Да",MeanMinAge07+BP9*SUMIF(ThresholdAge07,"&lt;"&amp;BP9,WeightedRevAge07)-SUMIF(ThresholdAge07,"&lt;"&amp;BP9,WeightedMinAge07),MAX(CapacityAge07*АбонементНовых*BP9,MeanMinAge07)))</f>
        <v/>
      </c>
      <c r="BQ54" s="5">
        <f>IF(OR(BQ27=0,7&lt;=КаникулыРоялти),0,BQ27*IF(РоялтиПоГруппам="Да",MeanMinAge07+BQ9*SUMIF(ThresholdAge07,"&lt;"&amp;BQ9,WeightedRevAge07)-SUMIF(ThresholdAge07,"&lt;"&amp;BQ9,WeightedMinAge07),MAX(CapacityAge07*АбонементНовых*BQ9,MeanMinAge07)))</f>
        <v/>
      </c>
      <c r="BR54" s="5">
        <f>IF(OR(BR27=0,7&lt;=КаникулыРоялти),0,BR27*IF(РоялтиПоГруппам="Да",MeanMinAge07+BR9*SUMIF(ThresholdAge07,"&lt;"&amp;BR9,WeightedRevAge07)-SUMIF(ThresholdAge07,"&lt;"&amp;BR9,WeightedMinAge07),MAX(CapacityAge07*АбонементНовых*BR9,MeanMinAge07)))</f>
        <v/>
      </c>
      <c r="BS54" s="5">
        <f>IF(OR(BS27=0,7&lt;=КаникулыРоялти),0,BS27*IF(РоялтиПоГруппам="Да",MeanMinAge07+BS9*SUMIF(ThresholdAge07,"&lt;"&amp;BS9,WeightedRevAge07)-SUMIF(ThresholdAge07,"&lt;"&amp;BS9,WeightedMinAge07),MAX(CapacityAge07*АбонементНовых*BS9,MeanMinAge07)))</f>
        <v/>
      </c>
      <c r="BT54" s="5">
        <f>IF(OR(BT27=0,7&lt;=КаникулыРоялти),0,BT27*IF(РоялтиПоГруппам="Да",MeanMinAge07+BT9*SUMIF(ThresholdAge07,"&lt;"&amp;BT9,WeightedRevAge07)-SUMIF(ThresholdAge07,"&lt;"&amp;BT9,WeightedMinAge07),MAX(CapacityAge07*АбонементНовых*BT9,MeanMinAge07)))</f>
        <v/>
      </c>
      <c r="BU54" s="5">
        <f>IF(OR(BU27=0,7&lt;=КаникулыРоялти),0,BU27*IF(РоялтиПоГруппам="Да",MeanMinAge07+BU9*SUMIF(ThresholdAge07,"&lt;"&amp;BU9,WeightedRevAge07)-SUMIF(ThresholdAge07,"&lt;"&amp;BU9,WeightedMinAge07),MAX(CapacityAge07*АбонементНовых*BU9,MeanMinAge07)))</f>
        <v/>
      </c>
      <c r="BV54" s="5">
        <f>IF(OR(BV27=0,7&lt;=КаникулыРоялти),0,BV27*IF(РоялтиПоГруппам="Да",MeanMinAge07+BV9*SUMIF(ThresholdAge07,"&lt;"&amp;BV9,WeightedRevAge07)-SUMIF(ThresholdAge07,"&lt;"&amp;BV9,WeightedMinAge07),MAX(CapacityAge07*АбонементНовых*BV9,MeanMinAge07)))</f>
        <v/>
      </c>
      <c r="BW54" s="5">
        <f>IF(OR(BW27=0,7&lt;=КаникулыРоялти),0,BW27*IF(РоялтиПоГруппам="Да",MeanMinAge07+BW9*SUMIF(ThresholdAge07,"&lt;"&amp;BW9,WeightedRevAge07)-SUMIF(ThresholdAge07,"&lt;"&amp;BW9,WeightedMinAge07),MAX(CapacityAge07*АбонементНовых*BW9,MeanMinAge07)))</f>
        <v/>
      </c>
      <c r="BX54" s="5">
        <f>IF(OR(BX27=0,7&lt;=КаникулыРоялти),0,BX27*IF(РоялтиПоГруппам="Да",MeanMinAge07+BX9*SUMIF(ThresholdAge07,"&lt;"&amp;BX9,WeightedRevAge07)-SUMIF(ThresholdAge07,"&lt;"&amp;BX9,WeightedMinAge07),MAX(CapacityAge07*АбонементНовых*BX9,MeanMinAge07)))</f>
        <v/>
      </c>
      <c r="BY54" s="5">
        <f>IF(OR(BY27=0,7&lt;=КаникулыРоялти),0,BY27*IF(РоялтиПоГруппам="Да",MeanMinAge07+BY9*SUMIF(ThresholdAge07,"&lt;"&amp;BY9,WeightedRevAge07)-SUMIF(ThresholdAge07,"&lt;"&amp;BY9,WeightedMinAge07),MAX(CapacityAge07*АбонементНовых*BY9,MeanMinAge07)))</f>
        <v/>
      </c>
    </row>
    <row r="55">
      <c r="B55" t="inlineStr">
        <is>
          <t>8 мес.</t>
        </is>
      </c>
      <c r="C55" t="inlineStr">
        <is>
          <t>₽</t>
        </is>
      </c>
      <c r="D55" s="127" t="inlineStr"/>
      <c r="E55" s="129">
        <f>SUM(L55:W55)</f>
        <v/>
      </c>
      <c r="F55" s="129">
        <f>SUM(X55:AI55)</f>
        <v/>
      </c>
      <c r="G55" s="129">
        <f>SUM(AJ55:AU55)</f>
        <v/>
      </c>
      <c r="H55" s="129">
        <f>SUM(AV55:BG55)</f>
        <v/>
      </c>
      <c r="I55" s="129">
        <f>SUM(BH55:BS55)</f>
        <v/>
      </c>
      <c r="J55" s="6">
        <f>SUM(L55:BS55)</f>
        <v/>
      </c>
      <c r="L55" s="5">
        <f>IF(OR(L28=0,8&lt;=КаникулыРоялти),0,L28*IF(РоялтиПоГруппам="Да",MeanMinAge08+L9*SUMIF(ThresholdAge08,"&lt;"&amp;L9,WeightedRevAge08)-SUMIF(ThresholdAge08,"&lt;"&amp;L9,WeightedMinAge08),MAX(CapacityAge08*АбонементНовых*L9,MeanMinAge08)))</f>
        <v/>
      </c>
      <c r="M55" s="5">
        <f>IF(OR(M28=0,8&lt;=КаникулыРоялти),0,M28*IF(РоялтиПоГруппам="Да",MeanMinAge08+M9*SUMIF(ThresholdAge08,"&lt;"&amp;M9,WeightedRevAge08)-SUMIF(ThresholdAge08,"&lt;"&amp;M9,WeightedMinAge08),MAX(CapacityAge08*АбонементНовых*M9,MeanMinAge08)))</f>
        <v/>
      </c>
      <c r="N55" s="5">
        <f>IF(OR(N28=0,8&lt;=КаникулыРоялти),0,N28*IF(РоялтиПоГруппам="Да",MeanMinAge08+N9*SUMIF(ThresholdAge08,"&lt;"&amp;N9,WeightedRevAge08)-SUMIF(ThresholdAge08,"&lt;"&amp;N9,WeightedMinAge08),MAX(CapacityAge08*АбонементНовых*N9,MeanMinAge08)))</f>
        <v/>
      </c>
      <c r="O55" s="5">
        <f>IF(OR(O28=0,8&lt;=КаникулыРоялти),0,O28*IF(РоялтиПоГруппам="Да",MeanMinAge08+O9*SUMIF(ThresholdAge08,"&lt;"&amp;O9,WeightedRevAge08)-SUMIF(ThresholdAge08,"&lt;"&amp;O9,WeightedMinAge08),MAX(CapacityAge08*АбонементНовых*O9,MeanMinAge08)))</f>
        <v/>
      </c>
      <c r="P55" s="5">
        <f>IF(OR(P28=0,8&lt;=КаникулыРоялти),0,P28*IF(РоялтиПоГруппам="Да",MeanMinAge08+P9*SUMIF(ThresholdAge08,"&lt;"&amp;P9,WeightedRevAge08)-SUMIF(ThresholdAge08,"&lt;"&amp;P9,WeightedMinAge08),MAX(CapacityAge08*АбонементНовых*P9,MeanMinAge08)))</f>
        <v/>
      </c>
      <c r="Q55" s="5">
        <f>IF(OR(Q28=0,8&lt;=КаникулыРоялти),0,Q28*IF(РоялтиПоГруппам="Да",MeanMinAge08+Q9*SUMIF(ThresholdAge08,"&lt;"&amp;Q9,WeightedRevAge08)-SUMIF(ThresholdAge08,"&lt;"&amp;Q9,WeightedMinAge08),MAX(CapacityAge08*АбонементНовых*Q9,MeanMinAge08)))</f>
        <v/>
      </c>
      <c r="R55" s="5">
        <f>IF(OR(R28=0,8&lt;=КаникулыРоялти),0,R28*IF(РоялтиПоГруппам="Да",MeanMinAge08+R9*SUMIF(ThresholdAge08,"&lt;"&amp;R9,WeightedRevAge08)-SUMIF(ThresholdAge08,"&lt;"&amp;R9,WeightedMinAge08),MAX(CapacityAge08*АбонементНовых*R9,MeanMinAge08)))</f>
        <v/>
      </c>
      <c r="S55" s="5">
        <f>IF(OR(S28=0,8&lt;=КаникулыРоялти),0,S28*IF(РоялтиПоГруппам="Да",MeanMinAge08+S9*SUMIF(ThresholdAge08,"&lt;"&amp;S9,WeightedRevAge08)-SUMIF(ThresholdAge08,"&lt;"&amp;S9,WeightedMinAge08),MAX(CapacityAge08*АбонементНовых*S9,MeanMinAge08)))</f>
        <v/>
      </c>
      <c r="T55" s="5">
        <f>IF(OR(T28=0,8&lt;=КаникулыРоялти),0,T28*IF(РоялтиПоГруппам="Да",MeanMinAge08+T9*SUMIF(ThresholdAge08,"&lt;"&amp;T9,WeightedRevAge08)-SUMIF(ThresholdAge08,"&lt;"&amp;T9,WeightedMinAge08),MAX(CapacityAge08*АбонементНовых*T9,MeanMinAge08)))</f>
        <v/>
      </c>
      <c r="U55" s="5">
        <f>IF(OR(U28=0,8&lt;=КаникулыРоялти),0,U28*IF(РоялтиПоГруппам="Да",MeanMinAge08+U9*SUMIF(ThresholdAge08,"&lt;"&amp;U9,WeightedRevAge08)-SUMIF(ThresholdAge08,"&lt;"&amp;U9,WeightedMinAge08),MAX(CapacityAge08*АбонементНовых*U9,MeanMinAge08)))</f>
        <v/>
      </c>
      <c r="V55" s="5">
        <f>IF(OR(V28=0,8&lt;=КаникулыРоялти),0,V28*IF(РоялтиПоГруппам="Да",MeanMinAge08+V9*SUMIF(ThresholdAge08,"&lt;"&amp;V9,WeightedRevAge08)-SUMIF(ThresholdAge08,"&lt;"&amp;V9,WeightedMinAge08),MAX(CapacityAge08*АбонементНовых*V9,MeanMinAge08)))</f>
        <v/>
      </c>
      <c r="W55" s="5">
        <f>IF(OR(W28=0,8&lt;=КаникулыРоялти),0,W28*IF(РоялтиПоГруппам="Да",MeanMinAge08+W9*SUMIF(ThresholdAge08,"&lt;"&amp;W9,WeightedRevAge08)-SUMIF(ThresholdAge08,"&lt;"&amp;W9,WeightedMinAge08),MAX(CapacityAge08*АбонементНовых*W9,MeanMinAge08)))</f>
        <v/>
      </c>
      <c r="X55" s="5">
        <f>IF(OR(X28=0,8&lt;=КаникулыРоялти),0,X28*IF(РоялтиПоГруппам="Да",MeanMinAge08+X9*SUMIF(ThresholdAge08,"&lt;"&amp;X9,WeightedRevAge08)-SUMIF(ThresholdAge08,"&lt;"&amp;X9,WeightedMinAge08),MAX(CapacityAge08*АбонементНовых*X9,MeanMinAge08)))</f>
        <v/>
      </c>
      <c r="Y55" s="5">
        <f>IF(OR(Y28=0,8&lt;=КаникулыРоялти),0,Y28*IF(РоялтиПоГруппам="Да",MeanMinAge08+Y9*SUMIF(ThresholdAge08,"&lt;"&amp;Y9,WeightedRevAge08)-SUMIF(ThresholdAge08,"&lt;"&amp;Y9,WeightedMinAge08),MAX(CapacityAge08*АбонементНовых*Y9,MeanMinAge08)))</f>
        <v/>
      </c>
      <c r="Z55" s="5">
        <f>IF(OR(Z28=0,8&lt;=КаникулыРоялти),0,Z28*IF(РоялтиПоГруппам="Да",MeanMinAge08+Z9*SUMIF(ThresholdAge08,"&lt;"&amp;Z9,WeightedRevAge08)-SUMIF(ThresholdAge08,"&lt;"&amp;Z9,WeightedMinAge08),MAX(CapacityAge08*АбонементНовых*Z9,MeanMinAge08)))</f>
        <v/>
      </c>
      <c r="AA55" s="5">
        <f>IF(OR(AA28=0,8&lt;=КаникулыРоялти),0,AA28*IF(РоялтиПоГруппам="Да",MeanMinAge08+AA9*SUMIF(ThresholdAge08,"&lt;"&amp;AA9,WeightedRevAge08)-SUMIF(ThresholdAge08,"&lt;"&amp;AA9,WeightedMinAge08),MAX(CapacityAge08*АбонементНовых*AA9,MeanMinAge08)))</f>
        <v/>
      </c>
      <c r="AB55" s="5">
        <f>IF(OR(AB28=0,8&lt;=КаникулыРоялти),0,AB28*IF(РоялтиПоГруппам="Да",MeanMinAge08+AB9*SUMIF(ThresholdAge08,"&lt;"&amp;AB9,WeightedRevAge08)-SUMIF(ThresholdAge08,"&lt;"&amp;AB9,WeightedMinAge08),MAX(CapacityAge08*АбонементНовых*AB9,MeanMinAge08)))</f>
        <v/>
      </c>
      <c r="AC55" s="5">
        <f>IF(OR(AC28=0,8&lt;=КаникулыРоялти),0,AC28*IF(РоялтиПоГруппам="Да",MeanMinAge08+AC9*SUMIF(ThresholdAge08,"&lt;"&amp;AC9,WeightedRevAge08)-SUMIF(ThresholdAge08,"&lt;"&amp;AC9,WeightedMinAge08),MAX(CapacityAge08*АбонементНовых*AC9,MeanMinAge08)))</f>
        <v/>
      </c>
      <c r="AD55" s="5">
        <f>IF(OR(AD28=0,8&lt;=КаникулыРоялти),0,AD28*IF(РоялтиПоГруппам="Да",MeanMinAge08+AD9*SUMIF(ThresholdAge08,"&lt;"&amp;AD9,WeightedRevAge08)-SUMIF(ThresholdAge08,"&lt;"&amp;AD9,WeightedMinAge08),MAX(CapacityAge08*АбонементНовых*AD9,MeanMinAge08)))</f>
        <v/>
      </c>
      <c r="AE55" s="5">
        <f>IF(OR(AE28=0,8&lt;=КаникулыРоялти),0,AE28*IF(РоялтиПоГруппам="Да",MeanMinAge08+AE9*SUMIF(ThresholdAge08,"&lt;"&amp;AE9,WeightedRevAge08)-SUMIF(ThresholdAge08,"&lt;"&amp;AE9,WeightedMinAge08),MAX(CapacityAge08*АбонементНовых*AE9,MeanMinAge08)))</f>
        <v/>
      </c>
      <c r="AF55" s="5">
        <f>IF(OR(AF28=0,8&lt;=КаникулыРоялти),0,AF28*IF(РоялтиПоГруппам="Да",MeanMinAge08+AF9*SUMIF(ThresholdAge08,"&lt;"&amp;AF9,WeightedRevAge08)-SUMIF(ThresholdAge08,"&lt;"&amp;AF9,WeightedMinAge08),MAX(CapacityAge08*АбонементНовых*AF9,MeanMinAge08)))</f>
        <v/>
      </c>
      <c r="AG55" s="5">
        <f>IF(OR(AG28=0,8&lt;=КаникулыРоялти),0,AG28*IF(РоялтиПоГруппам="Да",MeanMinAge08+AG9*SUMIF(ThresholdAge08,"&lt;"&amp;AG9,WeightedRevAge08)-SUMIF(ThresholdAge08,"&lt;"&amp;AG9,WeightedMinAge08),MAX(CapacityAge08*АбонементНовых*AG9,MeanMinAge08)))</f>
        <v/>
      </c>
      <c r="AH55" s="5">
        <f>IF(OR(AH28=0,8&lt;=КаникулыРоялти),0,AH28*IF(РоялтиПоГруппам="Да",MeanMinAge08+AH9*SUMIF(ThresholdAge08,"&lt;"&amp;AH9,WeightedRevAge08)-SUMIF(ThresholdAge08,"&lt;"&amp;AH9,WeightedMinAge08),MAX(CapacityAge08*АбонементНовых*AH9,MeanMinAge08)))</f>
        <v/>
      </c>
      <c r="AI55" s="5">
        <f>IF(OR(AI28=0,8&lt;=КаникулыРоялти),0,AI28*IF(РоялтиПоГруппам="Да",MeanMinAge08+AI9*SUMIF(ThresholdAge08,"&lt;"&amp;AI9,WeightedRevAge08)-SUMIF(ThresholdAge08,"&lt;"&amp;AI9,WeightedMinAge08),MAX(CapacityAge08*АбонементНовых*AI9,MeanMinAge08)))</f>
        <v/>
      </c>
      <c r="AJ55" s="5">
        <f>IF(OR(AJ28=0,8&lt;=КаникулыРоялти),0,AJ28*IF(РоялтиПоГруппам="Да",MeanMinAge08+AJ9*SUMIF(ThresholdAge08,"&lt;"&amp;AJ9,WeightedRevAge08)-SUMIF(ThresholdAge08,"&lt;"&amp;AJ9,WeightedMinAge08),MAX(CapacityAge08*АбонементНовых*AJ9,MeanMinAge08)))</f>
        <v/>
      </c>
      <c r="AK55" s="5">
        <f>IF(OR(AK28=0,8&lt;=КаникулыРоялти),0,AK28*IF(РоялтиПоГруппам="Да",MeanMinAge08+AK9*SUMIF(ThresholdAge08,"&lt;"&amp;AK9,WeightedRevAge08)-SUMIF(ThresholdAge08,"&lt;"&amp;AK9,WeightedMinAge08),MAX(CapacityAge08*АбонементНовых*AK9,MeanMinAge08)))</f>
        <v/>
      </c>
      <c r="AL55" s="5">
        <f>IF(OR(AL28=0,8&lt;=КаникулыРоялти),0,AL28*IF(РоялтиПоГруппам="Да",MeanMinAge08+AL9*SUMIF(ThresholdAge08,"&lt;"&amp;AL9,WeightedRevAge08)-SUMIF(ThresholdAge08,"&lt;"&amp;AL9,WeightedMinAge08),MAX(CapacityAge08*АбонементНовых*AL9,MeanMinAge08)))</f>
        <v/>
      </c>
      <c r="AM55" s="5">
        <f>IF(OR(AM28=0,8&lt;=КаникулыРоялти),0,AM28*IF(РоялтиПоГруппам="Да",MeanMinAge08+AM9*SUMIF(ThresholdAge08,"&lt;"&amp;AM9,WeightedRevAge08)-SUMIF(ThresholdAge08,"&lt;"&amp;AM9,WeightedMinAge08),MAX(CapacityAge08*АбонементНовых*AM9,MeanMinAge08)))</f>
        <v/>
      </c>
      <c r="AN55" s="5">
        <f>IF(OR(AN28=0,8&lt;=КаникулыРоялти),0,AN28*IF(РоялтиПоГруппам="Да",MeanMinAge08+AN9*SUMIF(ThresholdAge08,"&lt;"&amp;AN9,WeightedRevAge08)-SUMIF(ThresholdAge08,"&lt;"&amp;AN9,WeightedMinAge08),MAX(CapacityAge08*АбонементНовых*AN9,MeanMinAge08)))</f>
        <v/>
      </c>
      <c r="AO55" s="5">
        <f>IF(OR(AO28=0,8&lt;=КаникулыРоялти),0,AO28*IF(РоялтиПоГруппам="Да",MeanMinAge08+AO9*SUMIF(ThresholdAge08,"&lt;"&amp;AO9,WeightedRevAge08)-SUMIF(ThresholdAge08,"&lt;"&amp;AO9,WeightedMinAge08),MAX(CapacityAge08*АбонементНовых*AO9,MeanMinAge08)))</f>
        <v/>
      </c>
      <c r="AP55" s="5">
        <f>IF(OR(AP28=0,8&lt;=КаникулыРоялти),0,AP28*IF(РоялтиПоГруппам="Да",MeanMinAge08+AP9*SUMIF(ThresholdAge08,"&lt;"&amp;AP9,WeightedRevAge08)-SUMIF(ThresholdAge08,"&lt;"&amp;AP9,WeightedMinAge08),MAX(CapacityAge08*АбонементНовых*AP9,MeanMinAge08)))</f>
        <v/>
      </c>
      <c r="AQ55" s="5">
        <f>IF(OR(AQ28=0,8&lt;=КаникулыРоялти),0,AQ28*IF(РоялтиПоГруппам="Да",MeanMinAge08+AQ9*SUMIF(ThresholdAge08,"&lt;"&amp;AQ9,WeightedRevAge08)-SUMIF(ThresholdAge08,"&lt;"&amp;AQ9,WeightedMinAge08),MAX(CapacityAge08*АбонементНовых*AQ9,MeanMinAge08)))</f>
        <v/>
      </c>
      <c r="AR55" s="5">
        <f>IF(OR(AR28=0,8&lt;=КаникулыРоялти),0,AR28*IF(РоялтиПоГруппам="Да",MeanMinAge08+AR9*SUMIF(ThresholdAge08,"&lt;"&amp;AR9,WeightedRevAge08)-SUMIF(ThresholdAge08,"&lt;"&amp;AR9,WeightedMinAge08),MAX(CapacityAge08*АбонементНовых*AR9,MeanMinAge08)))</f>
        <v/>
      </c>
      <c r="AS55" s="5">
        <f>IF(OR(AS28=0,8&lt;=КаникулыРоялти),0,AS28*IF(РоялтиПоГруппам="Да",MeanMinAge08+AS9*SUMIF(ThresholdAge08,"&lt;"&amp;AS9,WeightedRevAge08)-SUMIF(ThresholdAge08,"&lt;"&amp;AS9,WeightedMinAge08),MAX(CapacityAge08*АбонементНовых*AS9,MeanMinAge08)))</f>
        <v/>
      </c>
      <c r="AT55" s="5">
        <f>IF(OR(AT28=0,8&lt;=КаникулыРоялти),0,AT28*IF(РоялтиПоГруппам="Да",MeanMinAge08+AT9*SUMIF(ThresholdAge08,"&lt;"&amp;AT9,WeightedRevAge08)-SUMIF(ThresholdAge08,"&lt;"&amp;AT9,WeightedMinAge08),MAX(CapacityAge08*АбонементНовых*AT9,MeanMinAge08)))</f>
        <v/>
      </c>
      <c r="AU55" s="5">
        <f>IF(OR(AU28=0,8&lt;=КаникулыРоялти),0,AU28*IF(РоялтиПоГруппам="Да",MeanMinAge08+AU9*SUMIF(ThresholdAge08,"&lt;"&amp;AU9,WeightedRevAge08)-SUMIF(ThresholdAge08,"&lt;"&amp;AU9,WeightedMinAge08),MAX(CapacityAge08*АбонементНовых*AU9,MeanMinAge08)))</f>
        <v/>
      </c>
      <c r="AV55" s="5">
        <f>IF(OR(AV28=0,8&lt;=КаникулыРоялти),0,AV28*IF(РоялтиПоГруппам="Да",MeanMinAge08+AV9*SUMIF(ThresholdAge08,"&lt;"&amp;AV9,WeightedRevAge08)-SUMIF(ThresholdAge08,"&lt;"&amp;AV9,WeightedMinAge08),MAX(CapacityAge08*АбонементНовых*AV9,MeanMinAge08)))</f>
        <v/>
      </c>
      <c r="AW55" s="5">
        <f>IF(OR(AW28=0,8&lt;=КаникулыРоялти),0,AW28*IF(РоялтиПоГруппам="Да",MeanMinAge08+AW9*SUMIF(ThresholdAge08,"&lt;"&amp;AW9,WeightedRevAge08)-SUMIF(ThresholdAge08,"&lt;"&amp;AW9,WeightedMinAge08),MAX(CapacityAge08*АбонементНовых*AW9,MeanMinAge08)))</f>
        <v/>
      </c>
      <c r="AX55" s="5">
        <f>IF(OR(AX28=0,8&lt;=КаникулыРоялти),0,AX28*IF(РоялтиПоГруппам="Да",MeanMinAge08+AX9*SUMIF(ThresholdAge08,"&lt;"&amp;AX9,WeightedRevAge08)-SUMIF(ThresholdAge08,"&lt;"&amp;AX9,WeightedMinAge08),MAX(CapacityAge08*АбонементНовых*AX9,MeanMinAge08)))</f>
        <v/>
      </c>
      <c r="AY55" s="5">
        <f>IF(OR(AY28=0,8&lt;=КаникулыРоялти),0,AY28*IF(РоялтиПоГруппам="Да",MeanMinAge08+AY9*SUMIF(ThresholdAge08,"&lt;"&amp;AY9,WeightedRevAge08)-SUMIF(ThresholdAge08,"&lt;"&amp;AY9,WeightedMinAge08),MAX(CapacityAge08*АбонементНовых*AY9,MeanMinAge08)))</f>
        <v/>
      </c>
      <c r="AZ55" s="5">
        <f>IF(OR(AZ28=0,8&lt;=КаникулыРоялти),0,AZ28*IF(РоялтиПоГруппам="Да",MeanMinAge08+AZ9*SUMIF(ThresholdAge08,"&lt;"&amp;AZ9,WeightedRevAge08)-SUMIF(ThresholdAge08,"&lt;"&amp;AZ9,WeightedMinAge08),MAX(CapacityAge08*АбонементНовых*AZ9,MeanMinAge08)))</f>
        <v/>
      </c>
      <c r="BA55" s="5">
        <f>IF(OR(BA28=0,8&lt;=КаникулыРоялти),0,BA28*IF(РоялтиПоГруппам="Да",MeanMinAge08+BA9*SUMIF(ThresholdAge08,"&lt;"&amp;BA9,WeightedRevAge08)-SUMIF(ThresholdAge08,"&lt;"&amp;BA9,WeightedMinAge08),MAX(CapacityAge08*АбонементНовых*BA9,MeanMinAge08)))</f>
        <v/>
      </c>
      <c r="BB55" s="5">
        <f>IF(OR(BB28=0,8&lt;=КаникулыРоялти),0,BB28*IF(РоялтиПоГруппам="Да",MeanMinAge08+BB9*SUMIF(ThresholdAge08,"&lt;"&amp;BB9,WeightedRevAge08)-SUMIF(ThresholdAge08,"&lt;"&amp;BB9,WeightedMinAge08),MAX(CapacityAge08*АбонементНовых*BB9,MeanMinAge08)))</f>
        <v/>
      </c>
      <c r="BC55" s="5">
        <f>IF(OR(BC28=0,8&lt;=КаникулыРоялти),0,BC28*IF(РоялтиПоГруппам="Да",MeanMinAge08+BC9*SUMIF(ThresholdAge08,"&lt;"&amp;BC9,WeightedRevAge08)-SUMIF(ThresholdAge08,"&lt;"&amp;BC9,WeightedMinAge08),MAX(CapacityAge08*АбонементНовых*BC9,MeanMinAge08)))</f>
        <v/>
      </c>
      <c r="BD55" s="5">
        <f>IF(OR(BD28=0,8&lt;=КаникулыРоялти),0,BD28*IF(РоялтиПоГруппам="Да",MeanMinAge08+BD9*SUMIF(ThresholdAge08,"&lt;"&amp;BD9,WeightedRevAge08)-SUMIF(ThresholdAge08,"&lt;"&amp;BD9,WeightedMinAge08),MAX(CapacityAge08*АбонементНовых*BD9,MeanMinAge08)))</f>
        <v/>
      </c>
      <c r="BE55" s="5">
        <f>IF(OR(BE28=0,8&lt;=КаникулыРоялти),0,BE28*IF(РоялтиПоГруппам="Да",MeanMinAge08+BE9*SUMIF(ThresholdAge08,"&lt;"&amp;BE9,WeightedRevAge08)-SUMIF(ThresholdAge08,"&lt;"&amp;BE9,WeightedMinAge08),MAX(CapacityAge08*АбонементНовых*BE9,MeanMinAge08)))</f>
        <v/>
      </c>
      <c r="BF55" s="5">
        <f>IF(OR(BF28=0,8&lt;=КаникулыРоялти),0,BF28*IF(РоялтиПоГруппам="Да",MeanMinAge08+BF9*SUMIF(ThresholdAge08,"&lt;"&amp;BF9,WeightedRevAge08)-SUMIF(ThresholdAge08,"&lt;"&amp;BF9,WeightedMinAge08),MAX(CapacityAge08*АбонементНовых*BF9,MeanMinAge08)))</f>
        <v/>
      </c>
      <c r="BG55" s="5">
        <f>IF(OR(BG28=0,8&lt;=КаникулыРоялти),0,BG28*IF(РоялтиПоГруппам="Да",MeanMinAge08+BG9*SUMIF(ThresholdAge08,"&lt;"&amp;BG9,WeightedRevAge08)-SUMIF(ThresholdAge08,"&lt;"&amp;BG9,WeightedMinAge08),MAX(CapacityAge08*АбонементНовых*BG9,MeanMinAge08)))</f>
        <v/>
      </c>
      <c r="BH55" s="5">
        <f>IF(OR(BH28=0,8&lt;=КаникулыРоялти),0,BH28*IF(РоялтиПоГруппам="Да",MeanMinAge08+BH9*SUMIF(ThresholdAge08,"&lt;"&amp;BH9,WeightedRevAge08)-SUMIF(ThresholdAge08,"&lt;"&amp;BH9,WeightedMinAge08),MAX(CapacityAge08*АбонементНовых*BH9,MeanMinAge08)))</f>
        <v/>
      </c>
      <c r="BI55" s="5">
        <f>IF(OR(BI28=0,8&lt;=КаникулыРоялти),0,BI28*IF(РоялтиПоГруппам="Да",MeanMinAge08+BI9*SUMIF(ThresholdAge08,"&lt;"&amp;BI9,WeightedRevAge08)-SUMIF(ThresholdAge08,"&lt;"&amp;BI9,WeightedMinAge08),MAX(CapacityAge08*АбонементНовых*BI9,MeanMinAge08)))</f>
        <v/>
      </c>
      <c r="BJ55" s="5">
        <f>IF(OR(BJ28=0,8&lt;=КаникулыРоялти),0,BJ28*IF(РоялтиПоГруппам="Да",MeanMinAge08+BJ9*SUMIF(ThresholdAge08,"&lt;"&amp;BJ9,WeightedRevAge08)-SUMIF(ThresholdAge08,"&lt;"&amp;BJ9,WeightedMinAge08),MAX(CapacityAge08*АбонементНовых*BJ9,MeanMinAge08)))</f>
        <v/>
      </c>
      <c r="BK55" s="5">
        <f>IF(OR(BK28=0,8&lt;=КаникулыРоялти),0,BK28*IF(РоялтиПоГруппам="Да",MeanMinAge08+BK9*SUMIF(ThresholdAge08,"&lt;"&amp;BK9,WeightedRevAge08)-SUMIF(ThresholdAge08,"&lt;"&amp;BK9,WeightedMinAge08),MAX(CapacityAge08*АбонементНовых*BK9,MeanMinAge08)))</f>
        <v/>
      </c>
      <c r="BL55" s="5">
        <f>IF(OR(BL28=0,8&lt;=КаникулыРоялти),0,BL28*IF(РоялтиПоГруппам="Да",MeanMinAge08+BL9*SUMIF(ThresholdAge08,"&lt;"&amp;BL9,WeightedRevAge08)-SUMIF(ThresholdAge08,"&lt;"&amp;BL9,WeightedMinAge08),MAX(CapacityAge08*АбонементНовых*BL9,MeanMinAge08)))</f>
        <v/>
      </c>
      <c r="BM55" s="5">
        <f>IF(OR(BM28=0,8&lt;=КаникулыРоялти),0,BM28*IF(РоялтиПоГруппам="Да",MeanMinAge08+BM9*SUMIF(ThresholdAge08,"&lt;"&amp;BM9,WeightedRevAge08)-SUMIF(ThresholdAge08,"&lt;"&amp;BM9,WeightedMinAge08),MAX(CapacityAge08*АбонементНовых*BM9,MeanMinAge08)))</f>
        <v/>
      </c>
      <c r="BN55" s="5">
        <f>IF(OR(BN28=0,8&lt;=КаникулыРоялти),0,BN28*IF(РоялтиПоГруппам="Да",MeanMinAge08+BN9*SUMIF(ThresholdAge08,"&lt;"&amp;BN9,WeightedRevAge08)-SUMIF(ThresholdAge08,"&lt;"&amp;BN9,WeightedMinAge08),MAX(CapacityAge08*АбонементНовых*BN9,MeanMinAge08)))</f>
        <v/>
      </c>
      <c r="BO55" s="5">
        <f>IF(OR(BO28=0,8&lt;=КаникулыРоялти),0,BO28*IF(РоялтиПоГруппам="Да",MeanMinAge08+BO9*SUMIF(ThresholdAge08,"&lt;"&amp;BO9,WeightedRevAge08)-SUMIF(ThresholdAge08,"&lt;"&amp;BO9,WeightedMinAge08),MAX(CapacityAge08*АбонементНовых*BO9,MeanMinAge08)))</f>
        <v/>
      </c>
      <c r="BP55" s="5">
        <f>IF(OR(BP28=0,8&lt;=КаникулыРоялти),0,BP28*IF(РоялтиПоГруппам="Да",MeanMinAge08+BP9*SUMIF(ThresholdAge08,"&lt;"&amp;BP9,WeightedRevAge08)-SUMIF(ThresholdAge08,"&lt;"&amp;BP9,WeightedMinAge08),MAX(CapacityAge08*АбонементНовых*BP9,MeanMinAge08)))</f>
        <v/>
      </c>
      <c r="BQ55" s="5">
        <f>IF(OR(BQ28=0,8&lt;=КаникулыРоялти),0,BQ28*IF(РоялтиПоГруппам="Да",MeanMinAge08+BQ9*SUMIF(ThresholdAge08,"&lt;"&amp;BQ9,WeightedRevAge08)-SUMIF(ThresholdAge08,"&lt;"&amp;BQ9,WeightedMinAge08),MAX(CapacityAge08*АбонементНовых*BQ9,MeanMinAge08)))</f>
        <v/>
      </c>
      <c r="BR55" s="5">
        <f>IF(OR(BR28=0,8&lt;=КаникулыРоялти),0,BR28*IF(РоялтиПоГруппам="Да",MeanMinAge08+BR9*SUMIF(ThresholdAge08,"&lt;"&amp;BR9,WeightedRevAge08)-SUMIF(ThresholdAge08,"&lt;"&amp;BR9,WeightedMinAge08),MAX(CapacityAge08*АбонементНовых*BR9,MeanMinAge08)))</f>
        <v/>
      </c>
      <c r="BS55" s="5">
        <f>IF(OR(BS28=0,8&lt;=КаникулыРоялти),0,BS28*IF(РоялтиПоГруппам="Да",MeanMinAge08+BS9*SUMIF(ThresholdAge08,"&lt;"&amp;BS9,WeightedRevAge08)-SUMIF(ThresholdAge08,"&lt;"&amp;BS9,WeightedMinAge08),MAX(CapacityAge08*АбонементНовых*BS9,MeanMinAge08)))</f>
        <v/>
      </c>
      <c r="BT55" s="5">
        <f>IF(OR(BT28=0,8&lt;=КаникулыРоялти),0,BT28*IF(РоялтиПоГруппам="Да",MeanMinAge08+BT9*SUMIF(ThresholdAge08,"&lt;"&amp;BT9,WeightedRevAge08)-SUMIF(ThresholdAge08,"&lt;"&amp;BT9,WeightedMinAge08),MAX(CapacityAge08*АбонементНовых*BT9,MeanMinAge08)))</f>
        <v/>
      </c>
      <c r="BU55" s="5">
        <f>IF(OR(BU28=0,8&lt;=КаникулыРоялти),0,BU28*IF(РоялтиПоГруппам="Да",MeanMinAge08+BU9*SUMIF(ThresholdAge08,"&lt;"&amp;BU9,WeightedRevAge08)-SUMIF(ThresholdAge08,"&lt;"&amp;BU9,WeightedMinAge08),MAX(CapacityAge08*АбонементНовых*BU9,MeanMinAge08)))</f>
        <v/>
      </c>
      <c r="BV55" s="5">
        <f>IF(OR(BV28=0,8&lt;=КаникулыРоялти),0,BV28*IF(РоялтиПоГруппам="Да",MeanMinAge08+BV9*SUMIF(ThresholdAge08,"&lt;"&amp;BV9,WeightedRevAge08)-SUMIF(ThresholdAge08,"&lt;"&amp;BV9,WeightedMinAge08),MAX(CapacityAge08*АбонементНовых*BV9,MeanMinAge08)))</f>
        <v/>
      </c>
      <c r="BW55" s="5">
        <f>IF(OR(BW28=0,8&lt;=КаникулыРоялти),0,BW28*IF(РоялтиПоГруппам="Да",MeanMinAge08+BW9*SUMIF(ThresholdAge08,"&lt;"&amp;BW9,WeightedRevAge08)-SUMIF(ThresholdAge08,"&lt;"&amp;BW9,WeightedMinAge08),MAX(CapacityAge08*АбонементНовых*BW9,MeanMinAge08)))</f>
        <v/>
      </c>
      <c r="BX55" s="5">
        <f>IF(OR(BX28=0,8&lt;=КаникулыРоялти),0,BX28*IF(РоялтиПоГруппам="Да",MeanMinAge08+BX9*SUMIF(ThresholdAge08,"&lt;"&amp;BX9,WeightedRevAge08)-SUMIF(ThresholdAge08,"&lt;"&amp;BX9,WeightedMinAge08),MAX(CapacityAge08*АбонементНовых*BX9,MeanMinAge08)))</f>
        <v/>
      </c>
      <c r="BY55" s="5">
        <f>IF(OR(BY28=0,8&lt;=КаникулыРоялти),0,BY28*IF(РоялтиПоГруппам="Да",MeanMinAge08+BY9*SUMIF(ThresholdAge08,"&lt;"&amp;BY9,WeightedRevAge08)-SUMIF(ThresholdAge08,"&lt;"&amp;BY9,WeightedMinAge08),MAX(CapacityAge08*АбонементНовых*BY9,MeanMinAge08)))</f>
        <v/>
      </c>
    </row>
    <row r="56">
      <c r="B56" t="inlineStr">
        <is>
          <t>9 мес.</t>
        </is>
      </c>
      <c r="C56" t="inlineStr">
        <is>
          <t>₽</t>
        </is>
      </c>
      <c r="D56" s="127" t="inlineStr"/>
      <c r="E56" s="129">
        <f>SUM(L56:W56)</f>
        <v/>
      </c>
      <c r="F56" s="129">
        <f>SUM(X56:AI56)</f>
        <v/>
      </c>
      <c r="G56" s="129">
        <f>SUM(AJ56:AU56)</f>
        <v/>
      </c>
      <c r="H56" s="129">
        <f>SUM(AV56:BG56)</f>
        <v/>
      </c>
      <c r="I56" s="129">
        <f>SUM(BH56:BS56)</f>
        <v/>
      </c>
      <c r="J56" s="6">
        <f>SUM(L56:BS56)</f>
        <v/>
      </c>
      <c r="L56" s="5">
        <f>IF(OR(L29=0,9&lt;=КаникулыРоялти),0,L29*IF(РоялтиПоГруппам="Да",MeanMinAge09+L9*SUMIF(ThresholdAge09,"&lt;"&amp;L9,WeightedRevAge09)-SUMIF(ThresholdAge09,"&lt;"&amp;L9,WeightedMinAge09),MAX(CapacityAge09*АбонементНовых*L9,MeanMinAge09)))</f>
        <v/>
      </c>
      <c r="M56" s="5">
        <f>IF(OR(M29=0,9&lt;=КаникулыРоялти),0,M29*IF(РоялтиПоГруппам="Да",MeanMinAge09+M9*SUMIF(ThresholdAge09,"&lt;"&amp;M9,WeightedRevAge09)-SUMIF(ThresholdAge09,"&lt;"&amp;M9,WeightedMinAge09),MAX(CapacityAge09*АбонементНовых*M9,MeanMinAge09)))</f>
        <v/>
      </c>
      <c r="N56" s="5">
        <f>IF(OR(N29=0,9&lt;=КаникулыРоялти),0,N29*IF(РоялтиПоГруппам="Да",MeanMinAge09+N9*SUMIF(ThresholdAge09,"&lt;"&amp;N9,WeightedRevAge09)-SUMIF(ThresholdAge09,"&lt;"&amp;N9,WeightedMinAge09),MAX(CapacityAge09*АбонементНовых*N9,MeanMinAge09)))</f>
        <v/>
      </c>
      <c r="O56" s="5">
        <f>IF(OR(O29=0,9&lt;=КаникулыРоялти),0,O29*IF(РоялтиПоГруппам="Да",MeanMinAge09+O9*SUMIF(ThresholdAge09,"&lt;"&amp;O9,WeightedRevAge09)-SUMIF(ThresholdAge09,"&lt;"&amp;O9,WeightedMinAge09),MAX(CapacityAge09*АбонементНовых*O9,MeanMinAge09)))</f>
        <v/>
      </c>
      <c r="P56" s="5">
        <f>IF(OR(P29=0,9&lt;=КаникулыРоялти),0,P29*IF(РоялтиПоГруппам="Да",MeanMinAge09+P9*SUMIF(ThresholdAge09,"&lt;"&amp;P9,WeightedRevAge09)-SUMIF(ThresholdAge09,"&lt;"&amp;P9,WeightedMinAge09),MAX(CapacityAge09*АбонементНовых*P9,MeanMinAge09)))</f>
        <v/>
      </c>
      <c r="Q56" s="5">
        <f>IF(OR(Q29=0,9&lt;=КаникулыРоялти),0,Q29*IF(РоялтиПоГруппам="Да",MeanMinAge09+Q9*SUMIF(ThresholdAge09,"&lt;"&amp;Q9,WeightedRevAge09)-SUMIF(ThresholdAge09,"&lt;"&amp;Q9,WeightedMinAge09),MAX(CapacityAge09*АбонементНовых*Q9,MeanMinAge09)))</f>
        <v/>
      </c>
      <c r="R56" s="5">
        <f>IF(OR(R29=0,9&lt;=КаникулыРоялти),0,R29*IF(РоялтиПоГруппам="Да",MeanMinAge09+R9*SUMIF(ThresholdAge09,"&lt;"&amp;R9,WeightedRevAge09)-SUMIF(ThresholdAge09,"&lt;"&amp;R9,WeightedMinAge09),MAX(CapacityAge09*АбонементНовых*R9,MeanMinAge09)))</f>
        <v/>
      </c>
      <c r="S56" s="5">
        <f>IF(OR(S29=0,9&lt;=КаникулыРоялти),0,S29*IF(РоялтиПоГруппам="Да",MeanMinAge09+S9*SUMIF(ThresholdAge09,"&lt;"&amp;S9,WeightedRevAge09)-SUMIF(ThresholdAge09,"&lt;"&amp;S9,WeightedMinAge09),MAX(CapacityAge09*АбонементНовых*S9,MeanMinAge09)))</f>
        <v/>
      </c>
      <c r="T56" s="5">
        <f>IF(OR(T29=0,9&lt;=КаникулыРоялти),0,T29*IF(РоялтиПоГруппам="Да",MeanMinAge09+T9*SUMIF(ThresholdAge09,"&lt;"&amp;T9,WeightedRevAge09)-SUMIF(ThresholdAge09,"&lt;"&amp;T9,WeightedMinAge09),MAX(CapacityAge09*АбонементНовых*T9,MeanMinAge09)))</f>
        <v/>
      </c>
      <c r="U56" s="5">
        <f>IF(OR(U29=0,9&lt;=КаникулыРоялти),0,U29*IF(РоялтиПоГруппам="Да",MeanMinAge09+U9*SUMIF(ThresholdAge09,"&lt;"&amp;U9,WeightedRevAge09)-SUMIF(ThresholdAge09,"&lt;"&amp;U9,WeightedMinAge09),MAX(CapacityAge09*АбонементНовых*U9,MeanMinAge09)))</f>
        <v/>
      </c>
      <c r="V56" s="5">
        <f>IF(OR(V29=0,9&lt;=КаникулыРоялти),0,V29*IF(РоялтиПоГруппам="Да",MeanMinAge09+V9*SUMIF(ThresholdAge09,"&lt;"&amp;V9,WeightedRevAge09)-SUMIF(ThresholdAge09,"&lt;"&amp;V9,WeightedMinAge09),MAX(CapacityAge09*АбонементНовых*V9,MeanMinAge09)))</f>
        <v/>
      </c>
      <c r="W56" s="5">
        <f>IF(OR(W29=0,9&lt;=КаникулыРоялти),0,W29*IF(РоялтиПоГруппам="Да",MeanMinAge09+W9*SUMIF(ThresholdAge09,"&lt;"&amp;W9,WeightedRevAge09)-SUMIF(ThresholdAge09,"&lt;"&amp;W9,WeightedMinAge09),MAX(CapacityAge09*АбонементНовых*W9,MeanMinAge09)))</f>
        <v/>
      </c>
      <c r="X56" s="5">
        <f>IF(OR(X29=0,9&lt;=КаникулыРоялти),0,X29*IF(РоялтиПоГруппам="Да",MeanMinAge09+X9*SUMIF(ThresholdAge09,"&lt;"&amp;X9,WeightedRevAge09)-SUMIF(ThresholdAge09,"&lt;"&amp;X9,WeightedMinAge09),MAX(CapacityAge09*АбонементНовых*X9,MeanMinAge09)))</f>
        <v/>
      </c>
      <c r="Y56" s="5">
        <f>IF(OR(Y29=0,9&lt;=КаникулыРоялти),0,Y29*IF(РоялтиПоГруппам="Да",MeanMinAge09+Y9*SUMIF(ThresholdAge09,"&lt;"&amp;Y9,WeightedRevAge09)-SUMIF(ThresholdAge09,"&lt;"&amp;Y9,WeightedMinAge09),MAX(CapacityAge09*АбонементНовых*Y9,MeanMinAge09)))</f>
        <v/>
      </c>
      <c r="Z56" s="5">
        <f>IF(OR(Z29=0,9&lt;=КаникулыРоялти),0,Z29*IF(РоялтиПоГруппам="Да",MeanMinAge09+Z9*SUMIF(ThresholdAge09,"&lt;"&amp;Z9,WeightedRevAge09)-SUMIF(ThresholdAge09,"&lt;"&amp;Z9,WeightedMinAge09),MAX(CapacityAge09*АбонементНовых*Z9,MeanMinAge09)))</f>
        <v/>
      </c>
      <c r="AA56" s="5">
        <f>IF(OR(AA29=0,9&lt;=КаникулыРоялти),0,AA29*IF(РоялтиПоГруппам="Да",MeanMinAge09+AA9*SUMIF(ThresholdAge09,"&lt;"&amp;AA9,WeightedRevAge09)-SUMIF(ThresholdAge09,"&lt;"&amp;AA9,WeightedMinAge09),MAX(CapacityAge09*АбонементНовых*AA9,MeanMinAge09)))</f>
        <v/>
      </c>
      <c r="AB56" s="5">
        <f>IF(OR(AB29=0,9&lt;=КаникулыРоялти),0,AB29*IF(РоялтиПоГруппам="Да",MeanMinAge09+AB9*SUMIF(ThresholdAge09,"&lt;"&amp;AB9,WeightedRevAge09)-SUMIF(ThresholdAge09,"&lt;"&amp;AB9,WeightedMinAge09),MAX(CapacityAge09*АбонементНовых*AB9,MeanMinAge09)))</f>
        <v/>
      </c>
      <c r="AC56" s="5">
        <f>IF(OR(AC29=0,9&lt;=КаникулыРоялти),0,AC29*IF(РоялтиПоГруппам="Да",MeanMinAge09+AC9*SUMIF(ThresholdAge09,"&lt;"&amp;AC9,WeightedRevAge09)-SUMIF(ThresholdAge09,"&lt;"&amp;AC9,WeightedMinAge09),MAX(CapacityAge09*АбонементНовых*AC9,MeanMinAge09)))</f>
        <v/>
      </c>
      <c r="AD56" s="5">
        <f>IF(OR(AD29=0,9&lt;=КаникулыРоялти),0,AD29*IF(РоялтиПоГруппам="Да",MeanMinAge09+AD9*SUMIF(ThresholdAge09,"&lt;"&amp;AD9,WeightedRevAge09)-SUMIF(ThresholdAge09,"&lt;"&amp;AD9,WeightedMinAge09),MAX(CapacityAge09*АбонементНовых*AD9,MeanMinAge09)))</f>
        <v/>
      </c>
      <c r="AE56" s="5">
        <f>IF(OR(AE29=0,9&lt;=КаникулыРоялти),0,AE29*IF(РоялтиПоГруппам="Да",MeanMinAge09+AE9*SUMIF(ThresholdAge09,"&lt;"&amp;AE9,WeightedRevAge09)-SUMIF(ThresholdAge09,"&lt;"&amp;AE9,WeightedMinAge09),MAX(CapacityAge09*АбонементНовых*AE9,MeanMinAge09)))</f>
        <v/>
      </c>
      <c r="AF56" s="5">
        <f>IF(OR(AF29=0,9&lt;=КаникулыРоялти),0,AF29*IF(РоялтиПоГруппам="Да",MeanMinAge09+AF9*SUMIF(ThresholdAge09,"&lt;"&amp;AF9,WeightedRevAge09)-SUMIF(ThresholdAge09,"&lt;"&amp;AF9,WeightedMinAge09),MAX(CapacityAge09*АбонементНовых*AF9,MeanMinAge09)))</f>
        <v/>
      </c>
      <c r="AG56" s="5">
        <f>IF(OR(AG29=0,9&lt;=КаникулыРоялти),0,AG29*IF(РоялтиПоГруппам="Да",MeanMinAge09+AG9*SUMIF(ThresholdAge09,"&lt;"&amp;AG9,WeightedRevAge09)-SUMIF(ThresholdAge09,"&lt;"&amp;AG9,WeightedMinAge09),MAX(CapacityAge09*АбонементНовых*AG9,MeanMinAge09)))</f>
        <v/>
      </c>
      <c r="AH56" s="5">
        <f>IF(OR(AH29=0,9&lt;=КаникулыРоялти),0,AH29*IF(РоялтиПоГруппам="Да",MeanMinAge09+AH9*SUMIF(ThresholdAge09,"&lt;"&amp;AH9,WeightedRevAge09)-SUMIF(ThresholdAge09,"&lt;"&amp;AH9,WeightedMinAge09),MAX(CapacityAge09*АбонементНовых*AH9,MeanMinAge09)))</f>
        <v/>
      </c>
      <c r="AI56" s="5">
        <f>IF(OR(AI29=0,9&lt;=КаникулыРоялти),0,AI29*IF(РоялтиПоГруппам="Да",MeanMinAge09+AI9*SUMIF(ThresholdAge09,"&lt;"&amp;AI9,WeightedRevAge09)-SUMIF(ThresholdAge09,"&lt;"&amp;AI9,WeightedMinAge09),MAX(CapacityAge09*АбонементНовых*AI9,MeanMinAge09)))</f>
        <v/>
      </c>
      <c r="AJ56" s="5">
        <f>IF(OR(AJ29=0,9&lt;=КаникулыРоялти),0,AJ29*IF(РоялтиПоГруппам="Да",MeanMinAge09+AJ9*SUMIF(ThresholdAge09,"&lt;"&amp;AJ9,WeightedRevAge09)-SUMIF(ThresholdAge09,"&lt;"&amp;AJ9,WeightedMinAge09),MAX(CapacityAge09*АбонементНовых*AJ9,MeanMinAge09)))</f>
        <v/>
      </c>
      <c r="AK56" s="5">
        <f>IF(OR(AK29=0,9&lt;=КаникулыРоялти),0,AK29*IF(РоялтиПоГруппам="Да",MeanMinAge09+AK9*SUMIF(ThresholdAge09,"&lt;"&amp;AK9,WeightedRevAge09)-SUMIF(ThresholdAge09,"&lt;"&amp;AK9,WeightedMinAge09),MAX(CapacityAge09*АбонементНовых*AK9,MeanMinAge09)))</f>
        <v/>
      </c>
      <c r="AL56" s="5">
        <f>IF(OR(AL29=0,9&lt;=КаникулыРоялти),0,AL29*IF(РоялтиПоГруппам="Да",MeanMinAge09+AL9*SUMIF(ThresholdAge09,"&lt;"&amp;AL9,WeightedRevAge09)-SUMIF(ThresholdAge09,"&lt;"&amp;AL9,WeightedMinAge09),MAX(CapacityAge09*АбонементНовых*AL9,MeanMinAge09)))</f>
        <v/>
      </c>
      <c r="AM56" s="5">
        <f>IF(OR(AM29=0,9&lt;=КаникулыРоялти),0,AM29*IF(РоялтиПоГруппам="Да",MeanMinAge09+AM9*SUMIF(ThresholdAge09,"&lt;"&amp;AM9,WeightedRevAge09)-SUMIF(ThresholdAge09,"&lt;"&amp;AM9,WeightedMinAge09),MAX(CapacityAge09*АбонементНовых*AM9,MeanMinAge09)))</f>
        <v/>
      </c>
      <c r="AN56" s="5">
        <f>IF(OR(AN29=0,9&lt;=КаникулыРоялти),0,AN29*IF(РоялтиПоГруппам="Да",MeanMinAge09+AN9*SUMIF(ThresholdAge09,"&lt;"&amp;AN9,WeightedRevAge09)-SUMIF(ThresholdAge09,"&lt;"&amp;AN9,WeightedMinAge09),MAX(CapacityAge09*АбонементНовых*AN9,MeanMinAge09)))</f>
        <v/>
      </c>
      <c r="AO56" s="5">
        <f>IF(OR(AO29=0,9&lt;=КаникулыРоялти),0,AO29*IF(РоялтиПоГруппам="Да",MeanMinAge09+AO9*SUMIF(ThresholdAge09,"&lt;"&amp;AO9,WeightedRevAge09)-SUMIF(ThresholdAge09,"&lt;"&amp;AO9,WeightedMinAge09),MAX(CapacityAge09*АбонементНовых*AO9,MeanMinAge09)))</f>
        <v/>
      </c>
      <c r="AP56" s="5">
        <f>IF(OR(AP29=0,9&lt;=КаникулыРоялти),0,AP29*IF(РоялтиПоГруппам="Да",MeanMinAge09+AP9*SUMIF(ThresholdAge09,"&lt;"&amp;AP9,WeightedRevAge09)-SUMIF(ThresholdAge09,"&lt;"&amp;AP9,WeightedMinAge09),MAX(CapacityAge09*АбонементНовых*AP9,MeanMinAge09)))</f>
        <v/>
      </c>
      <c r="AQ56" s="5">
        <f>IF(OR(AQ29=0,9&lt;=КаникулыРоялти),0,AQ29*IF(РоялтиПоГруппам="Да",MeanMinAge09+AQ9*SUMIF(ThresholdAge09,"&lt;"&amp;AQ9,WeightedRevAge09)-SUMIF(ThresholdAge09,"&lt;"&amp;AQ9,WeightedMinAge09),MAX(CapacityAge09*АбонементНовых*AQ9,MeanMinAge09)))</f>
        <v/>
      </c>
      <c r="AR56" s="5">
        <f>IF(OR(AR29=0,9&lt;=КаникулыРоялти),0,AR29*IF(РоялтиПоГруппам="Да",MeanMinAge09+AR9*SUMIF(ThresholdAge09,"&lt;"&amp;AR9,WeightedRevAge09)-SUMIF(ThresholdAge09,"&lt;"&amp;AR9,WeightedMinAge09),MAX(CapacityAge09*АбонементНовых*AR9,MeanMinAge09)))</f>
        <v/>
      </c>
      <c r="AS56" s="5">
        <f>IF(OR(AS29=0,9&lt;=КаникулыРоялти),0,AS29*IF(РоялтиПоГруппам="Да",MeanMinAge09+AS9*SUMIF(ThresholdAge09,"&lt;"&amp;AS9,WeightedRevAge09)-SUMIF(ThresholdAge09,"&lt;"&amp;AS9,WeightedMinAge09),MAX(CapacityAge09*АбонементНовых*AS9,MeanMinAge09)))</f>
        <v/>
      </c>
      <c r="AT56" s="5">
        <f>IF(OR(AT29=0,9&lt;=КаникулыРоялти),0,AT29*IF(РоялтиПоГруппам="Да",MeanMinAge09+AT9*SUMIF(ThresholdAge09,"&lt;"&amp;AT9,WeightedRevAge09)-SUMIF(ThresholdAge09,"&lt;"&amp;AT9,WeightedMinAge09),MAX(CapacityAge09*АбонементНовых*AT9,MeanMinAge09)))</f>
        <v/>
      </c>
      <c r="AU56" s="5">
        <f>IF(OR(AU29=0,9&lt;=КаникулыРоялти),0,AU29*IF(РоялтиПоГруппам="Да",MeanMinAge09+AU9*SUMIF(ThresholdAge09,"&lt;"&amp;AU9,WeightedRevAge09)-SUMIF(ThresholdAge09,"&lt;"&amp;AU9,WeightedMinAge09),MAX(CapacityAge09*АбонементНовых*AU9,MeanMinAge09)))</f>
        <v/>
      </c>
      <c r="AV56" s="5">
        <f>IF(OR(AV29=0,9&lt;=КаникулыРоялти),0,AV29*IF(РоялтиПоГруппам="Да",MeanMinAge09+AV9*SUMIF(ThresholdAge09,"&lt;"&amp;AV9,WeightedRevAge09)-SUMIF(ThresholdAge09,"&lt;"&amp;AV9,WeightedMinAge09),MAX(CapacityAge09*АбонементНовых*AV9,MeanMinAge09)))</f>
        <v/>
      </c>
      <c r="AW56" s="5">
        <f>IF(OR(AW29=0,9&lt;=КаникулыРоялти),0,AW29*IF(РоялтиПоГруппам="Да",MeanMinAge09+AW9*SUMIF(ThresholdAge09,"&lt;"&amp;AW9,WeightedRevAge09)-SUMIF(ThresholdAge09,"&lt;"&amp;AW9,WeightedMinAge09),MAX(CapacityAge09*АбонементНовых*AW9,MeanMinAge09)))</f>
        <v/>
      </c>
      <c r="AX56" s="5">
        <f>IF(OR(AX29=0,9&lt;=КаникулыРоялти),0,AX29*IF(РоялтиПоГруппам="Да",MeanMinAge09+AX9*SUMIF(ThresholdAge09,"&lt;"&amp;AX9,WeightedRevAge09)-SUMIF(ThresholdAge09,"&lt;"&amp;AX9,WeightedMinAge09),MAX(CapacityAge09*АбонементНовых*AX9,MeanMinAge09)))</f>
        <v/>
      </c>
      <c r="AY56" s="5">
        <f>IF(OR(AY29=0,9&lt;=КаникулыРоялти),0,AY29*IF(РоялтиПоГруппам="Да",MeanMinAge09+AY9*SUMIF(ThresholdAge09,"&lt;"&amp;AY9,WeightedRevAge09)-SUMIF(ThresholdAge09,"&lt;"&amp;AY9,WeightedMinAge09),MAX(CapacityAge09*АбонементНовых*AY9,MeanMinAge09)))</f>
        <v/>
      </c>
      <c r="AZ56" s="5">
        <f>IF(OR(AZ29=0,9&lt;=КаникулыРоялти),0,AZ29*IF(РоялтиПоГруппам="Да",MeanMinAge09+AZ9*SUMIF(ThresholdAge09,"&lt;"&amp;AZ9,WeightedRevAge09)-SUMIF(ThresholdAge09,"&lt;"&amp;AZ9,WeightedMinAge09),MAX(CapacityAge09*АбонементНовых*AZ9,MeanMinAge09)))</f>
        <v/>
      </c>
      <c r="BA56" s="5">
        <f>IF(OR(BA29=0,9&lt;=КаникулыРоялти),0,BA29*IF(РоялтиПоГруппам="Да",MeanMinAge09+BA9*SUMIF(ThresholdAge09,"&lt;"&amp;BA9,WeightedRevAge09)-SUMIF(ThresholdAge09,"&lt;"&amp;BA9,WeightedMinAge09),MAX(CapacityAge09*АбонементНовых*BA9,MeanMinAge09)))</f>
        <v/>
      </c>
      <c r="BB56" s="5">
        <f>IF(OR(BB29=0,9&lt;=КаникулыРоялти),0,BB29*IF(РоялтиПоГруппам="Да",MeanMinAge09+BB9*SUMIF(ThresholdAge09,"&lt;"&amp;BB9,WeightedRevAge09)-SUMIF(ThresholdAge09,"&lt;"&amp;BB9,WeightedMinAge09),MAX(CapacityAge09*АбонементНовых*BB9,MeanMinAge09)))</f>
        <v/>
      </c>
      <c r="BC56" s="5">
        <f>IF(OR(BC29=0,9&lt;=КаникулыРоялти),0,BC29*IF(РоялтиПоГруппам="Да",MeanMinAge09+BC9*SUMIF(ThresholdAge09,"&lt;"&amp;BC9,WeightedRevAge09)-SUMIF(ThresholdAge09,"&lt;"&amp;BC9,WeightedMinAge09),MAX(CapacityAge09*АбонементНовых*BC9,MeanMinAge09)))</f>
        <v/>
      </c>
      <c r="BD56" s="5">
        <f>IF(OR(BD29=0,9&lt;=КаникулыРоялти),0,BD29*IF(РоялтиПоГруппам="Да",MeanMinAge09+BD9*SUMIF(ThresholdAge09,"&lt;"&amp;BD9,WeightedRevAge09)-SUMIF(ThresholdAge09,"&lt;"&amp;BD9,WeightedMinAge09),MAX(CapacityAge09*АбонементНовых*BD9,MeanMinAge09)))</f>
        <v/>
      </c>
      <c r="BE56" s="5">
        <f>IF(OR(BE29=0,9&lt;=КаникулыРоялти),0,BE29*IF(РоялтиПоГруппам="Да",MeanMinAge09+BE9*SUMIF(ThresholdAge09,"&lt;"&amp;BE9,WeightedRevAge09)-SUMIF(ThresholdAge09,"&lt;"&amp;BE9,WeightedMinAge09),MAX(CapacityAge09*АбонементНовых*BE9,MeanMinAge09)))</f>
        <v/>
      </c>
      <c r="BF56" s="5">
        <f>IF(OR(BF29=0,9&lt;=КаникулыРоялти),0,BF29*IF(РоялтиПоГруппам="Да",MeanMinAge09+BF9*SUMIF(ThresholdAge09,"&lt;"&amp;BF9,WeightedRevAge09)-SUMIF(ThresholdAge09,"&lt;"&amp;BF9,WeightedMinAge09),MAX(CapacityAge09*АбонементНовых*BF9,MeanMinAge09)))</f>
        <v/>
      </c>
      <c r="BG56" s="5">
        <f>IF(OR(BG29=0,9&lt;=КаникулыРоялти),0,BG29*IF(РоялтиПоГруппам="Да",MeanMinAge09+BG9*SUMIF(ThresholdAge09,"&lt;"&amp;BG9,WeightedRevAge09)-SUMIF(ThresholdAge09,"&lt;"&amp;BG9,WeightedMinAge09),MAX(CapacityAge09*АбонементНовых*BG9,MeanMinAge09)))</f>
        <v/>
      </c>
      <c r="BH56" s="5">
        <f>IF(OR(BH29=0,9&lt;=КаникулыРоялти),0,BH29*IF(РоялтиПоГруппам="Да",MeanMinAge09+BH9*SUMIF(ThresholdAge09,"&lt;"&amp;BH9,WeightedRevAge09)-SUMIF(ThresholdAge09,"&lt;"&amp;BH9,WeightedMinAge09),MAX(CapacityAge09*АбонементНовых*BH9,MeanMinAge09)))</f>
        <v/>
      </c>
      <c r="BI56" s="5">
        <f>IF(OR(BI29=0,9&lt;=КаникулыРоялти),0,BI29*IF(РоялтиПоГруппам="Да",MeanMinAge09+BI9*SUMIF(ThresholdAge09,"&lt;"&amp;BI9,WeightedRevAge09)-SUMIF(ThresholdAge09,"&lt;"&amp;BI9,WeightedMinAge09),MAX(CapacityAge09*АбонементНовых*BI9,MeanMinAge09)))</f>
        <v/>
      </c>
      <c r="BJ56" s="5">
        <f>IF(OR(BJ29=0,9&lt;=КаникулыРоялти),0,BJ29*IF(РоялтиПоГруппам="Да",MeanMinAge09+BJ9*SUMIF(ThresholdAge09,"&lt;"&amp;BJ9,WeightedRevAge09)-SUMIF(ThresholdAge09,"&lt;"&amp;BJ9,WeightedMinAge09),MAX(CapacityAge09*АбонементНовых*BJ9,MeanMinAge09)))</f>
        <v/>
      </c>
      <c r="BK56" s="5">
        <f>IF(OR(BK29=0,9&lt;=КаникулыРоялти),0,BK29*IF(РоялтиПоГруппам="Да",MeanMinAge09+BK9*SUMIF(ThresholdAge09,"&lt;"&amp;BK9,WeightedRevAge09)-SUMIF(ThresholdAge09,"&lt;"&amp;BK9,WeightedMinAge09),MAX(CapacityAge09*АбонементНовых*BK9,MeanMinAge09)))</f>
        <v/>
      </c>
      <c r="BL56" s="5">
        <f>IF(OR(BL29=0,9&lt;=КаникулыРоялти),0,BL29*IF(РоялтиПоГруппам="Да",MeanMinAge09+BL9*SUMIF(ThresholdAge09,"&lt;"&amp;BL9,WeightedRevAge09)-SUMIF(ThresholdAge09,"&lt;"&amp;BL9,WeightedMinAge09),MAX(CapacityAge09*АбонементНовых*BL9,MeanMinAge09)))</f>
        <v/>
      </c>
      <c r="BM56" s="5">
        <f>IF(OR(BM29=0,9&lt;=КаникулыРоялти),0,BM29*IF(РоялтиПоГруппам="Да",MeanMinAge09+BM9*SUMIF(ThresholdAge09,"&lt;"&amp;BM9,WeightedRevAge09)-SUMIF(ThresholdAge09,"&lt;"&amp;BM9,WeightedMinAge09),MAX(CapacityAge09*АбонементНовых*BM9,MeanMinAge09)))</f>
        <v/>
      </c>
      <c r="BN56" s="5">
        <f>IF(OR(BN29=0,9&lt;=КаникулыРоялти),0,BN29*IF(РоялтиПоГруппам="Да",MeanMinAge09+BN9*SUMIF(ThresholdAge09,"&lt;"&amp;BN9,WeightedRevAge09)-SUMIF(ThresholdAge09,"&lt;"&amp;BN9,WeightedMinAge09),MAX(CapacityAge09*АбонементНовых*BN9,MeanMinAge09)))</f>
        <v/>
      </c>
      <c r="BO56" s="5">
        <f>IF(OR(BO29=0,9&lt;=КаникулыРоялти),0,BO29*IF(РоялтиПоГруппам="Да",MeanMinAge09+BO9*SUMIF(ThresholdAge09,"&lt;"&amp;BO9,WeightedRevAge09)-SUMIF(ThresholdAge09,"&lt;"&amp;BO9,WeightedMinAge09),MAX(CapacityAge09*АбонементНовых*BO9,MeanMinAge09)))</f>
        <v/>
      </c>
      <c r="BP56" s="5">
        <f>IF(OR(BP29=0,9&lt;=КаникулыРоялти),0,BP29*IF(РоялтиПоГруппам="Да",MeanMinAge09+BP9*SUMIF(ThresholdAge09,"&lt;"&amp;BP9,WeightedRevAge09)-SUMIF(ThresholdAge09,"&lt;"&amp;BP9,WeightedMinAge09),MAX(CapacityAge09*АбонементНовых*BP9,MeanMinAge09)))</f>
        <v/>
      </c>
      <c r="BQ56" s="5">
        <f>IF(OR(BQ29=0,9&lt;=КаникулыРоялти),0,BQ29*IF(РоялтиПоГруппам="Да",MeanMinAge09+BQ9*SUMIF(ThresholdAge09,"&lt;"&amp;BQ9,WeightedRevAge09)-SUMIF(ThresholdAge09,"&lt;"&amp;BQ9,WeightedMinAge09),MAX(CapacityAge09*АбонементНовых*BQ9,MeanMinAge09)))</f>
        <v/>
      </c>
      <c r="BR56" s="5">
        <f>IF(OR(BR29=0,9&lt;=КаникулыРоялти),0,BR29*IF(РоялтиПоГруппам="Да",MeanMinAge09+BR9*SUMIF(ThresholdAge09,"&lt;"&amp;BR9,WeightedRevAge09)-SUMIF(ThresholdAge09,"&lt;"&amp;BR9,WeightedMinAge09),MAX(CapacityAge09*АбонементНовых*BR9,MeanMinAge09)))</f>
        <v/>
      </c>
      <c r="BS56" s="5">
        <f>IF(OR(BS29=0,9&lt;=КаникулыРоялти),0,BS29*IF(РоялтиПоГруппам="Да",MeanMinAge09+BS9*SUMIF(ThresholdAge09,"&lt;"&amp;BS9,WeightedRevAge09)-SUMIF(ThresholdAge09,"&lt;"&amp;BS9,WeightedMinAge09),MAX(CapacityAge09*АбонементНовых*BS9,MeanMinAge09)))</f>
        <v/>
      </c>
      <c r="BT56" s="5">
        <f>IF(OR(BT29=0,9&lt;=КаникулыРоялти),0,BT29*IF(РоялтиПоГруппам="Да",MeanMinAge09+BT9*SUMIF(ThresholdAge09,"&lt;"&amp;BT9,WeightedRevAge09)-SUMIF(ThresholdAge09,"&lt;"&amp;BT9,WeightedMinAge09),MAX(CapacityAge09*АбонементНовых*BT9,MeanMinAge09)))</f>
        <v/>
      </c>
      <c r="BU56" s="5">
        <f>IF(OR(BU29=0,9&lt;=КаникулыРоялти),0,BU29*IF(РоялтиПоГруппам="Да",MeanMinAge09+BU9*SUMIF(ThresholdAge09,"&lt;"&amp;BU9,WeightedRevAge09)-SUMIF(ThresholdAge09,"&lt;"&amp;BU9,WeightedMinAge09),MAX(CapacityAge09*АбонементНовых*BU9,MeanMinAge09)))</f>
        <v/>
      </c>
      <c r="BV56" s="5">
        <f>IF(OR(BV29=0,9&lt;=КаникулыРоялти),0,BV29*IF(РоялтиПоГруппам="Да",MeanMinAge09+BV9*SUMIF(ThresholdAge09,"&lt;"&amp;BV9,WeightedRevAge09)-SUMIF(ThresholdAge09,"&lt;"&amp;BV9,WeightedMinAge09),MAX(CapacityAge09*АбонементНовых*BV9,MeanMinAge09)))</f>
        <v/>
      </c>
      <c r="BW56" s="5">
        <f>IF(OR(BW29=0,9&lt;=КаникулыРоялти),0,BW29*IF(РоялтиПоГруппам="Да",MeanMinAge09+BW9*SUMIF(ThresholdAge09,"&lt;"&amp;BW9,WeightedRevAge09)-SUMIF(ThresholdAge09,"&lt;"&amp;BW9,WeightedMinAge09),MAX(CapacityAge09*АбонементНовых*BW9,MeanMinAge09)))</f>
        <v/>
      </c>
      <c r="BX56" s="5">
        <f>IF(OR(BX29=0,9&lt;=КаникулыРоялти),0,BX29*IF(РоялтиПоГруппам="Да",MeanMinAge09+BX9*SUMIF(ThresholdAge09,"&lt;"&amp;BX9,WeightedRevAge09)-SUMIF(ThresholdAge09,"&lt;"&amp;BX9,WeightedMinAge09),MAX(CapacityAge09*АбонементНовых*BX9,MeanMinAge09)))</f>
        <v/>
      </c>
      <c r="BY56" s="5">
        <f>IF(OR(BY29=0,9&lt;=КаникулыРоялти),0,BY29*IF(РоялтиПоГруппам="Да",MeanMinAge09+BY9*SUMIF(ThresholdAge09,"&lt;"&amp;BY9,WeightedRevAge09)-SUMIF(ThresholdAge09,"&lt;"&amp;BY9,WeightedMinAge09),MAX(CapacityAge09*АбонементНовых*BY9,MeanMinAge09)))</f>
        <v/>
      </c>
    </row>
    <row r="57">
      <c r="B57" t="inlineStr">
        <is>
          <t>10 мес.</t>
        </is>
      </c>
      <c r="C57" t="inlineStr">
        <is>
          <t>₽</t>
        </is>
      </c>
      <c r="D57" s="127" t="inlineStr"/>
      <c r="E57" s="129">
        <f>SUM(L57:W57)</f>
        <v/>
      </c>
      <c r="F57" s="129">
        <f>SUM(X57:AI57)</f>
        <v/>
      </c>
      <c r="G57" s="129">
        <f>SUM(AJ57:AU57)</f>
        <v/>
      </c>
      <c r="H57" s="129">
        <f>SUM(AV57:BG57)</f>
        <v/>
      </c>
      <c r="I57" s="129">
        <f>SUM(BH57:BS57)</f>
        <v/>
      </c>
      <c r="J57" s="6">
        <f>SUM(L57:BS57)</f>
        <v/>
      </c>
      <c r="L57" s="5">
        <f>IF(OR(L30=0,10&lt;=КаникулыРоялти),0,L30*IF(РоялтиПоГруппам="Да",MeanMinAge10+L9*SUMIF(ThresholdAge10,"&lt;"&amp;L9,WeightedRevAge10)-SUMIF(ThresholdAge10,"&lt;"&amp;L9,WeightedMinAge10),MAX(CapacityAge10*АбонементНовых*L9,MeanMinAge10)))</f>
        <v/>
      </c>
      <c r="M57" s="5">
        <f>IF(OR(M30=0,10&lt;=КаникулыРоялти),0,M30*IF(РоялтиПоГруппам="Да",MeanMinAge10+M9*SUMIF(ThresholdAge10,"&lt;"&amp;M9,WeightedRevAge10)-SUMIF(ThresholdAge10,"&lt;"&amp;M9,WeightedMinAge10),MAX(CapacityAge10*АбонементНовых*M9,MeanMinAge10)))</f>
        <v/>
      </c>
      <c r="N57" s="5">
        <f>IF(OR(N30=0,10&lt;=КаникулыРоялти),0,N30*IF(РоялтиПоГруппам="Да",MeanMinAge10+N9*SUMIF(ThresholdAge10,"&lt;"&amp;N9,WeightedRevAge10)-SUMIF(ThresholdAge10,"&lt;"&amp;N9,WeightedMinAge10),MAX(CapacityAge10*АбонементНовых*N9,MeanMinAge10)))</f>
        <v/>
      </c>
      <c r="O57" s="5">
        <f>IF(OR(O30=0,10&lt;=КаникулыРоялти),0,O30*IF(РоялтиПоГруппам="Да",MeanMinAge10+O9*SUMIF(ThresholdAge10,"&lt;"&amp;O9,WeightedRevAge10)-SUMIF(ThresholdAge10,"&lt;"&amp;O9,WeightedMinAge10),MAX(CapacityAge10*АбонементНовых*O9,MeanMinAge10)))</f>
        <v/>
      </c>
      <c r="P57" s="5">
        <f>IF(OR(P30=0,10&lt;=КаникулыРоялти),0,P30*IF(РоялтиПоГруппам="Да",MeanMinAge10+P9*SUMIF(ThresholdAge10,"&lt;"&amp;P9,WeightedRevAge10)-SUMIF(ThresholdAge10,"&lt;"&amp;P9,WeightedMinAge10),MAX(CapacityAge10*АбонементНовых*P9,MeanMinAge10)))</f>
        <v/>
      </c>
      <c r="Q57" s="5">
        <f>IF(OR(Q30=0,10&lt;=КаникулыРоялти),0,Q30*IF(РоялтиПоГруппам="Да",MeanMinAge10+Q9*SUMIF(ThresholdAge10,"&lt;"&amp;Q9,WeightedRevAge10)-SUMIF(ThresholdAge10,"&lt;"&amp;Q9,WeightedMinAge10),MAX(CapacityAge10*АбонементНовых*Q9,MeanMinAge10)))</f>
        <v/>
      </c>
      <c r="R57" s="5">
        <f>IF(OR(R30=0,10&lt;=КаникулыРоялти),0,R30*IF(РоялтиПоГруппам="Да",MeanMinAge10+R9*SUMIF(ThresholdAge10,"&lt;"&amp;R9,WeightedRevAge10)-SUMIF(ThresholdAge10,"&lt;"&amp;R9,WeightedMinAge10),MAX(CapacityAge10*АбонементНовых*R9,MeanMinAge10)))</f>
        <v/>
      </c>
      <c r="S57" s="5">
        <f>IF(OR(S30=0,10&lt;=КаникулыРоялти),0,S30*IF(РоялтиПоГруппам="Да",MeanMinAge10+S9*SUMIF(ThresholdAge10,"&lt;"&amp;S9,WeightedRevAge10)-SUMIF(ThresholdAge10,"&lt;"&amp;S9,WeightedMinAge10),MAX(CapacityAge10*АбонементНовых*S9,MeanMinAge10)))</f>
        <v/>
      </c>
      <c r="T57" s="5">
        <f>IF(OR(T30=0,10&lt;=КаникулыРоялти),0,T30*IF(РоялтиПоГруппам="Да",MeanMinAge10+T9*SUMIF(ThresholdAge10,"&lt;"&amp;T9,WeightedRevAge10)-SUMIF(ThresholdAge10,"&lt;"&amp;T9,WeightedMinAge10),MAX(CapacityAge10*АбонементНовых*T9,MeanMinAge10)))</f>
        <v/>
      </c>
      <c r="U57" s="5">
        <f>IF(OR(U30=0,10&lt;=КаникулыРоялти),0,U30*IF(РоялтиПоГруппам="Да",MeanMinAge10+U9*SUMIF(ThresholdAge10,"&lt;"&amp;U9,WeightedRevAge10)-SUMIF(ThresholdAge10,"&lt;"&amp;U9,WeightedMinAge10),MAX(CapacityAge10*АбонементНовых*U9,MeanMinAge10)))</f>
        <v/>
      </c>
      <c r="V57" s="5">
        <f>IF(OR(V30=0,10&lt;=КаникулыРоялти),0,V30*IF(РоялтиПоГруппам="Да",MeanMinAge10+V9*SUMIF(ThresholdAge10,"&lt;"&amp;V9,WeightedRevAge10)-SUMIF(ThresholdAge10,"&lt;"&amp;V9,WeightedMinAge10),MAX(CapacityAge10*АбонементНовых*V9,MeanMinAge10)))</f>
        <v/>
      </c>
      <c r="W57" s="5">
        <f>IF(OR(W30=0,10&lt;=КаникулыРоялти),0,W30*IF(РоялтиПоГруппам="Да",MeanMinAge10+W9*SUMIF(ThresholdAge10,"&lt;"&amp;W9,WeightedRevAge10)-SUMIF(ThresholdAge10,"&lt;"&amp;W9,WeightedMinAge10),MAX(CapacityAge10*АбонементНовых*W9,MeanMinAge10)))</f>
        <v/>
      </c>
      <c r="X57" s="5">
        <f>IF(OR(X30=0,10&lt;=КаникулыРоялти),0,X30*IF(РоялтиПоГруппам="Да",MeanMinAge10+X9*SUMIF(ThresholdAge10,"&lt;"&amp;X9,WeightedRevAge10)-SUMIF(ThresholdAge10,"&lt;"&amp;X9,WeightedMinAge10),MAX(CapacityAge10*АбонементНовых*X9,MeanMinAge10)))</f>
        <v/>
      </c>
      <c r="Y57" s="5">
        <f>IF(OR(Y30=0,10&lt;=КаникулыРоялти),0,Y30*IF(РоялтиПоГруппам="Да",MeanMinAge10+Y9*SUMIF(ThresholdAge10,"&lt;"&amp;Y9,WeightedRevAge10)-SUMIF(ThresholdAge10,"&lt;"&amp;Y9,WeightedMinAge10),MAX(CapacityAge10*АбонементНовых*Y9,MeanMinAge10)))</f>
        <v/>
      </c>
      <c r="Z57" s="5">
        <f>IF(OR(Z30=0,10&lt;=КаникулыРоялти),0,Z30*IF(РоялтиПоГруппам="Да",MeanMinAge10+Z9*SUMIF(ThresholdAge10,"&lt;"&amp;Z9,WeightedRevAge10)-SUMIF(ThresholdAge10,"&lt;"&amp;Z9,WeightedMinAge10),MAX(CapacityAge10*АбонементНовых*Z9,MeanMinAge10)))</f>
        <v/>
      </c>
      <c r="AA57" s="5">
        <f>IF(OR(AA30=0,10&lt;=КаникулыРоялти),0,AA30*IF(РоялтиПоГруппам="Да",MeanMinAge10+AA9*SUMIF(ThresholdAge10,"&lt;"&amp;AA9,WeightedRevAge10)-SUMIF(ThresholdAge10,"&lt;"&amp;AA9,WeightedMinAge10),MAX(CapacityAge10*АбонементНовых*AA9,MeanMinAge10)))</f>
        <v/>
      </c>
      <c r="AB57" s="5">
        <f>IF(OR(AB30=0,10&lt;=КаникулыРоялти),0,AB30*IF(РоялтиПоГруппам="Да",MeanMinAge10+AB9*SUMIF(ThresholdAge10,"&lt;"&amp;AB9,WeightedRevAge10)-SUMIF(ThresholdAge10,"&lt;"&amp;AB9,WeightedMinAge10),MAX(CapacityAge10*АбонементНовых*AB9,MeanMinAge10)))</f>
        <v/>
      </c>
      <c r="AC57" s="5">
        <f>IF(OR(AC30=0,10&lt;=КаникулыРоялти),0,AC30*IF(РоялтиПоГруппам="Да",MeanMinAge10+AC9*SUMIF(ThresholdAge10,"&lt;"&amp;AC9,WeightedRevAge10)-SUMIF(ThresholdAge10,"&lt;"&amp;AC9,WeightedMinAge10),MAX(CapacityAge10*АбонементНовых*AC9,MeanMinAge10)))</f>
        <v/>
      </c>
      <c r="AD57" s="5">
        <f>IF(OR(AD30=0,10&lt;=КаникулыРоялти),0,AD30*IF(РоялтиПоГруппам="Да",MeanMinAge10+AD9*SUMIF(ThresholdAge10,"&lt;"&amp;AD9,WeightedRevAge10)-SUMIF(ThresholdAge10,"&lt;"&amp;AD9,WeightedMinAge10),MAX(CapacityAge10*АбонементНовых*AD9,MeanMinAge10)))</f>
        <v/>
      </c>
      <c r="AE57" s="5">
        <f>IF(OR(AE30=0,10&lt;=КаникулыРоялти),0,AE30*IF(РоялтиПоГруппам="Да",MeanMinAge10+AE9*SUMIF(ThresholdAge10,"&lt;"&amp;AE9,WeightedRevAge10)-SUMIF(ThresholdAge10,"&lt;"&amp;AE9,WeightedMinAge10),MAX(CapacityAge10*АбонементНовых*AE9,MeanMinAge10)))</f>
        <v/>
      </c>
      <c r="AF57" s="5">
        <f>IF(OR(AF30=0,10&lt;=КаникулыРоялти),0,AF30*IF(РоялтиПоГруппам="Да",MeanMinAge10+AF9*SUMIF(ThresholdAge10,"&lt;"&amp;AF9,WeightedRevAge10)-SUMIF(ThresholdAge10,"&lt;"&amp;AF9,WeightedMinAge10),MAX(CapacityAge10*АбонементНовых*AF9,MeanMinAge10)))</f>
        <v/>
      </c>
      <c r="AG57" s="5">
        <f>IF(OR(AG30=0,10&lt;=КаникулыРоялти),0,AG30*IF(РоялтиПоГруппам="Да",MeanMinAge10+AG9*SUMIF(ThresholdAge10,"&lt;"&amp;AG9,WeightedRevAge10)-SUMIF(ThresholdAge10,"&lt;"&amp;AG9,WeightedMinAge10),MAX(CapacityAge10*АбонементНовых*AG9,MeanMinAge10)))</f>
        <v/>
      </c>
      <c r="AH57" s="5">
        <f>IF(OR(AH30=0,10&lt;=КаникулыРоялти),0,AH30*IF(РоялтиПоГруппам="Да",MeanMinAge10+AH9*SUMIF(ThresholdAge10,"&lt;"&amp;AH9,WeightedRevAge10)-SUMIF(ThresholdAge10,"&lt;"&amp;AH9,WeightedMinAge10),MAX(CapacityAge10*АбонементНовых*AH9,MeanMinAge10)))</f>
        <v/>
      </c>
      <c r="AI57" s="5">
        <f>IF(OR(AI30=0,10&lt;=КаникулыРоялти),0,AI30*IF(РоялтиПоГруппам="Да",MeanMinAge10+AI9*SUMIF(ThresholdAge10,"&lt;"&amp;AI9,WeightedRevAge10)-SUMIF(ThresholdAge10,"&lt;"&amp;AI9,WeightedMinAge10),MAX(CapacityAge10*АбонементНовых*AI9,MeanMinAge10)))</f>
        <v/>
      </c>
      <c r="AJ57" s="5">
        <f>IF(OR(AJ30=0,10&lt;=КаникулыРоялти),0,AJ30*IF(РоялтиПоГруппам="Да",MeanMinAge10+AJ9*SUMIF(ThresholdAge10,"&lt;"&amp;AJ9,WeightedRevAge10)-SUMIF(ThresholdAge10,"&lt;"&amp;AJ9,WeightedMinAge10),MAX(CapacityAge10*АбонементНовых*AJ9,MeanMinAge10)))</f>
        <v/>
      </c>
      <c r="AK57" s="5">
        <f>IF(OR(AK30=0,10&lt;=КаникулыРоялти),0,AK30*IF(РоялтиПоГруппам="Да",MeanMinAge10+AK9*SUMIF(ThresholdAge10,"&lt;"&amp;AK9,WeightedRevAge10)-SUMIF(ThresholdAge10,"&lt;"&amp;AK9,WeightedMinAge10),MAX(CapacityAge10*АбонементНовых*AK9,MeanMinAge10)))</f>
        <v/>
      </c>
      <c r="AL57" s="5">
        <f>IF(OR(AL30=0,10&lt;=КаникулыРоялти),0,AL30*IF(РоялтиПоГруппам="Да",MeanMinAge10+AL9*SUMIF(ThresholdAge10,"&lt;"&amp;AL9,WeightedRevAge10)-SUMIF(ThresholdAge10,"&lt;"&amp;AL9,WeightedMinAge10),MAX(CapacityAge10*АбонементНовых*AL9,MeanMinAge10)))</f>
        <v/>
      </c>
      <c r="AM57" s="5">
        <f>IF(OR(AM30=0,10&lt;=КаникулыРоялти),0,AM30*IF(РоялтиПоГруппам="Да",MeanMinAge10+AM9*SUMIF(ThresholdAge10,"&lt;"&amp;AM9,WeightedRevAge10)-SUMIF(ThresholdAge10,"&lt;"&amp;AM9,WeightedMinAge10),MAX(CapacityAge10*АбонементНовых*AM9,MeanMinAge10)))</f>
        <v/>
      </c>
      <c r="AN57" s="5">
        <f>IF(OR(AN30=0,10&lt;=КаникулыРоялти),0,AN30*IF(РоялтиПоГруппам="Да",MeanMinAge10+AN9*SUMIF(ThresholdAge10,"&lt;"&amp;AN9,WeightedRevAge10)-SUMIF(ThresholdAge10,"&lt;"&amp;AN9,WeightedMinAge10),MAX(CapacityAge10*АбонементНовых*AN9,MeanMinAge10)))</f>
        <v/>
      </c>
      <c r="AO57" s="5">
        <f>IF(OR(AO30=0,10&lt;=КаникулыРоялти),0,AO30*IF(РоялтиПоГруппам="Да",MeanMinAge10+AO9*SUMIF(ThresholdAge10,"&lt;"&amp;AO9,WeightedRevAge10)-SUMIF(ThresholdAge10,"&lt;"&amp;AO9,WeightedMinAge10),MAX(CapacityAge10*АбонементНовых*AO9,MeanMinAge10)))</f>
        <v/>
      </c>
      <c r="AP57" s="5">
        <f>IF(OR(AP30=0,10&lt;=КаникулыРоялти),0,AP30*IF(РоялтиПоГруппам="Да",MeanMinAge10+AP9*SUMIF(ThresholdAge10,"&lt;"&amp;AP9,WeightedRevAge10)-SUMIF(ThresholdAge10,"&lt;"&amp;AP9,WeightedMinAge10),MAX(CapacityAge10*АбонементНовых*AP9,MeanMinAge10)))</f>
        <v/>
      </c>
      <c r="AQ57" s="5">
        <f>IF(OR(AQ30=0,10&lt;=КаникулыРоялти),0,AQ30*IF(РоялтиПоГруппам="Да",MeanMinAge10+AQ9*SUMIF(ThresholdAge10,"&lt;"&amp;AQ9,WeightedRevAge10)-SUMIF(ThresholdAge10,"&lt;"&amp;AQ9,WeightedMinAge10),MAX(CapacityAge10*АбонементНовых*AQ9,MeanMinAge10)))</f>
        <v/>
      </c>
      <c r="AR57" s="5">
        <f>IF(OR(AR30=0,10&lt;=КаникулыРоялти),0,AR30*IF(РоялтиПоГруппам="Да",MeanMinAge10+AR9*SUMIF(ThresholdAge10,"&lt;"&amp;AR9,WeightedRevAge10)-SUMIF(ThresholdAge10,"&lt;"&amp;AR9,WeightedMinAge10),MAX(CapacityAge10*АбонементНовых*AR9,MeanMinAge10)))</f>
        <v/>
      </c>
      <c r="AS57" s="5">
        <f>IF(OR(AS30=0,10&lt;=КаникулыРоялти),0,AS30*IF(РоялтиПоГруппам="Да",MeanMinAge10+AS9*SUMIF(ThresholdAge10,"&lt;"&amp;AS9,WeightedRevAge10)-SUMIF(ThresholdAge10,"&lt;"&amp;AS9,WeightedMinAge10),MAX(CapacityAge10*АбонементНовых*AS9,MeanMinAge10)))</f>
        <v/>
      </c>
      <c r="AT57" s="5">
        <f>IF(OR(AT30=0,10&lt;=КаникулыРоялти),0,AT30*IF(РоялтиПоГруппам="Да",MeanMinAge10+AT9*SUMIF(ThresholdAge10,"&lt;"&amp;AT9,WeightedRevAge10)-SUMIF(ThresholdAge10,"&lt;"&amp;AT9,WeightedMinAge10),MAX(CapacityAge10*АбонементНовых*AT9,MeanMinAge10)))</f>
        <v/>
      </c>
      <c r="AU57" s="5">
        <f>IF(OR(AU30=0,10&lt;=КаникулыРоялти),0,AU30*IF(РоялтиПоГруппам="Да",MeanMinAge10+AU9*SUMIF(ThresholdAge10,"&lt;"&amp;AU9,WeightedRevAge10)-SUMIF(ThresholdAge10,"&lt;"&amp;AU9,WeightedMinAge10),MAX(CapacityAge10*АбонементНовых*AU9,MeanMinAge10)))</f>
        <v/>
      </c>
      <c r="AV57" s="5">
        <f>IF(OR(AV30=0,10&lt;=КаникулыРоялти),0,AV30*IF(РоялтиПоГруппам="Да",MeanMinAge10+AV9*SUMIF(ThresholdAge10,"&lt;"&amp;AV9,WeightedRevAge10)-SUMIF(ThresholdAge10,"&lt;"&amp;AV9,WeightedMinAge10),MAX(CapacityAge10*АбонементНовых*AV9,MeanMinAge10)))</f>
        <v/>
      </c>
      <c r="AW57" s="5">
        <f>IF(OR(AW30=0,10&lt;=КаникулыРоялти),0,AW30*IF(РоялтиПоГруппам="Да",MeanMinAge10+AW9*SUMIF(ThresholdAge10,"&lt;"&amp;AW9,WeightedRevAge10)-SUMIF(ThresholdAge10,"&lt;"&amp;AW9,WeightedMinAge10),MAX(CapacityAge10*АбонементНовых*AW9,MeanMinAge10)))</f>
        <v/>
      </c>
      <c r="AX57" s="5">
        <f>IF(OR(AX30=0,10&lt;=КаникулыРоялти),0,AX30*IF(РоялтиПоГруппам="Да",MeanMinAge10+AX9*SUMIF(ThresholdAge10,"&lt;"&amp;AX9,WeightedRevAge10)-SUMIF(ThresholdAge10,"&lt;"&amp;AX9,WeightedMinAge10),MAX(CapacityAge10*АбонементНовых*AX9,MeanMinAge10)))</f>
        <v/>
      </c>
      <c r="AY57" s="5">
        <f>IF(OR(AY30=0,10&lt;=КаникулыРоялти),0,AY30*IF(РоялтиПоГруппам="Да",MeanMinAge10+AY9*SUMIF(ThresholdAge10,"&lt;"&amp;AY9,WeightedRevAge10)-SUMIF(ThresholdAge10,"&lt;"&amp;AY9,WeightedMinAge10),MAX(CapacityAge10*АбонементНовых*AY9,MeanMinAge10)))</f>
        <v/>
      </c>
      <c r="AZ57" s="5">
        <f>IF(OR(AZ30=0,10&lt;=КаникулыРоялти),0,AZ30*IF(РоялтиПоГруппам="Да",MeanMinAge10+AZ9*SUMIF(ThresholdAge10,"&lt;"&amp;AZ9,WeightedRevAge10)-SUMIF(ThresholdAge10,"&lt;"&amp;AZ9,WeightedMinAge10),MAX(CapacityAge10*АбонементНовых*AZ9,MeanMinAge10)))</f>
        <v/>
      </c>
      <c r="BA57" s="5">
        <f>IF(OR(BA30=0,10&lt;=КаникулыРоялти),0,BA30*IF(РоялтиПоГруппам="Да",MeanMinAge10+BA9*SUMIF(ThresholdAge10,"&lt;"&amp;BA9,WeightedRevAge10)-SUMIF(ThresholdAge10,"&lt;"&amp;BA9,WeightedMinAge10),MAX(CapacityAge10*АбонементНовых*BA9,MeanMinAge10)))</f>
        <v/>
      </c>
      <c r="BB57" s="5">
        <f>IF(OR(BB30=0,10&lt;=КаникулыРоялти),0,BB30*IF(РоялтиПоГруппам="Да",MeanMinAge10+BB9*SUMIF(ThresholdAge10,"&lt;"&amp;BB9,WeightedRevAge10)-SUMIF(ThresholdAge10,"&lt;"&amp;BB9,WeightedMinAge10),MAX(CapacityAge10*АбонементНовых*BB9,MeanMinAge10)))</f>
        <v/>
      </c>
      <c r="BC57" s="5">
        <f>IF(OR(BC30=0,10&lt;=КаникулыРоялти),0,BC30*IF(РоялтиПоГруппам="Да",MeanMinAge10+BC9*SUMIF(ThresholdAge10,"&lt;"&amp;BC9,WeightedRevAge10)-SUMIF(ThresholdAge10,"&lt;"&amp;BC9,WeightedMinAge10),MAX(CapacityAge10*АбонементНовых*BC9,MeanMinAge10)))</f>
        <v/>
      </c>
      <c r="BD57" s="5">
        <f>IF(OR(BD30=0,10&lt;=КаникулыРоялти),0,BD30*IF(РоялтиПоГруппам="Да",MeanMinAge10+BD9*SUMIF(ThresholdAge10,"&lt;"&amp;BD9,WeightedRevAge10)-SUMIF(ThresholdAge10,"&lt;"&amp;BD9,WeightedMinAge10),MAX(CapacityAge10*АбонементНовых*BD9,MeanMinAge10)))</f>
        <v/>
      </c>
      <c r="BE57" s="5">
        <f>IF(OR(BE30=0,10&lt;=КаникулыРоялти),0,BE30*IF(РоялтиПоГруппам="Да",MeanMinAge10+BE9*SUMIF(ThresholdAge10,"&lt;"&amp;BE9,WeightedRevAge10)-SUMIF(ThresholdAge10,"&lt;"&amp;BE9,WeightedMinAge10),MAX(CapacityAge10*АбонементНовых*BE9,MeanMinAge10)))</f>
        <v/>
      </c>
      <c r="BF57" s="5">
        <f>IF(OR(BF30=0,10&lt;=КаникулыРоялти),0,BF30*IF(РоялтиПоГруппам="Да",MeanMinAge10+BF9*SUMIF(ThresholdAge10,"&lt;"&amp;BF9,WeightedRevAge10)-SUMIF(ThresholdAge10,"&lt;"&amp;BF9,WeightedMinAge10),MAX(CapacityAge10*АбонементНовых*BF9,MeanMinAge10)))</f>
        <v/>
      </c>
      <c r="BG57" s="5">
        <f>IF(OR(BG30=0,10&lt;=КаникулыРоялти),0,BG30*IF(РоялтиПоГруппам="Да",MeanMinAge10+BG9*SUMIF(ThresholdAge10,"&lt;"&amp;BG9,WeightedRevAge10)-SUMIF(ThresholdAge10,"&lt;"&amp;BG9,WeightedMinAge10),MAX(CapacityAge10*АбонементНовых*BG9,MeanMinAge10)))</f>
        <v/>
      </c>
      <c r="BH57" s="5">
        <f>IF(OR(BH30=0,10&lt;=КаникулыРоялти),0,BH30*IF(РоялтиПоГруппам="Да",MeanMinAge10+BH9*SUMIF(ThresholdAge10,"&lt;"&amp;BH9,WeightedRevAge10)-SUMIF(ThresholdAge10,"&lt;"&amp;BH9,WeightedMinAge10),MAX(CapacityAge10*АбонементНовых*BH9,MeanMinAge10)))</f>
        <v/>
      </c>
      <c r="BI57" s="5">
        <f>IF(OR(BI30=0,10&lt;=КаникулыРоялти),0,BI30*IF(РоялтиПоГруппам="Да",MeanMinAge10+BI9*SUMIF(ThresholdAge10,"&lt;"&amp;BI9,WeightedRevAge10)-SUMIF(ThresholdAge10,"&lt;"&amp;BI9,WeightedMinAge10),MAX(CapacityAge10*АбонементНовых*BI9,MeanMinAge10)))</f>
        <v/>
      </c>
      <c r="BJ57" s="5">
        <f>IF(OR(BJ30=0,10&lt;=КаникулыРоялти),0,BJ30*IF(РоялтиПоГруппам="Да",MeanMinAge10+BJ9*SUMIF(ThresholdAge10,"&lt;"&amp;BJ9,WeightedRevAge10)-SUMIF(ThresholdAge10,"&lt;"&amp;BJ9,WeightedMinAge10),MAX(CapacityAge10*АбонементНовых*BJ9,MeanMinAge10)))</f>
        <v/>
      </c>
      <c r="BK57" s="5">
        <f>IF(OR(BK30=0,10&lt;=КаникулыРоялти),0,BK30*IF(РоялтиПоГруппам="Да",MeanMinAge10+BK9*SUMIF(ThresholdAge10,"&lt;"&amp;BK9,WeightedRevAge10)-SUMIF(ThresholdAge10,"&lt;"&amp;BK9,WeightedMinAge10),MAX(CapacityAge10*АбонементНовых*BK9,MeanMinAge10)))</f>
        <v/>
      </c>
      <c r="BL57" s="5">
        <f>IF(OR(BL30=0,10&lt;=КаникулыРоялти),0,BL30*IF(РоялтиПоГруппам="Да",MeanMinAge10+BL9*SUMIF(ThresholdAge10,"&lt;"&amp;BL9,WeightedRevAge10)-SUMIF(ThresholdAge10,"&lt;"&amp;BL9,WeightedMinAge10),MAX(CapacityAge10*АбонементНовых*BL9,MeanMinAge10)))</f>
        <v/>
      </c>
      <c r="BM57" s="5">
        <f>IF(OR(BM30=0,10&lt;=КаникулыРоялти),0,BM30*IF(РоялтиПоГруппам="Да",MeanMinAge10+BM9*SUMIF(ThresholdAge10,"&lt;"&amp;BM9,WeightedRevAge10)-SUMIF(ThresholdAge10,"&lt;"&amp;BM9,WeightedMinAge10),MAX(CapacityAge10*АбонементНовых*BM9,MeanMinAge10)))</f>
        <v/>
      </c>
      <c r="BN57" s="5">
        <f>IF(OR(BN30=0,10&lt;=КаникулыРоялти),0,BN30*IF(РоялтиПоГруппам="Да",MeanMinAge10+BN9*SUMIF(ThresholdAge10,"&lt;"&amp;BN9,WeightedRevAge10)-SUMIF(ThresholdAge10,"&lt;"&amp;BN9,WeightedMinAge10),MAX(CapacityAge10*АбонементНовых*BN9,MeanMinAge10)))</f>
        <v/>
      </c>
      <c r="BO57" s="5">
        <f>IF(OR(BO30=0,10&lt;=КаникулыРоялти),0,BO30*IF(РоялтиПоГруппам="Да",MeanMinAge10+BO9*SUMIF(ThresholdAge10,"&lt;"&amp;BO9,WeightedRevAge10)-SUMIF(ThresholdAge10,"&lt;"&amp;BO9,WeightedMinAge10),MAX(CapacityAge10*АбонементНовых*BO9,MeanMinAge10)))</f>
        <v/>
      </c>
      <c r="BP57" s="5">
        <f>IF(OR(BP30=0,10&lt;=КаникулыРоялти),0,BP30*IF(РоялтиПоГруппам="Да",MeanMinAge10+BP9*SUMIF(ThresholdAge10,"&lt;"&amp;BP9,WeightedRevAge10)-SUMIF(ThresholdAge10,"&lt;"&amp;BP9,WeightedMinAge10),MAX(CapacityAge10*АбонементНовых*BP9,MeanMinAge10)))</f>
        <v/>
      </c>
      <c r="BQ57" s="5">
        <f>IF(OR(BQ30=0,10&lt;=КаникулыРоялти),0,BQ30*IF(РоялтиПоГруппам="Да",MeanMinAge10+BQ9*SUMIF(ThresholdAge10,"&lt;"&amp;BQ9,WeightedRevAge10)-SUMIF(ThresholdAge10,"&lt;"&amp;BQ9,WeightedMinAge10),MAX(CapacityAge10*АбонементНовых*BQ9,MeanMinAge10)))</f>
        <v/>
      </c>
      <c r="BR57" s="5">
        <f>IF(OR(BR30=0,10&lt;=КаникулыРоялти),0,BR30*IF(РоялтиПоГруппам="Да",MeanMinAge10+BR9*SUMIF(ThresholdAge10,"&lt;"&amp;BR9,WeightedRevAge10)-SUMIF(ThresholdAge10,"&lt;"&amp;BR9,WeightedMinAge10),MAX(CapacityAge10*АбонементНовых*BR9,MeanMinAge10)))</f>
        <v/>
      </c>
      <c r="BS57" s="5">
        <f>IF(OR(BS30=0,10&lt;=КаникулыРоялти),0,BS30*IF(РоялтиПоГруппам="Да",MeanMinAge10+BS9*SUMIF(ThresholdAge10,"&lt;"&amp;BS9,WeightedRevAge10)-SUMIF(ThresholdAge10,"&lt;"&amp;BS9,WeightedMinAge10),MAX(CapacityAge10*АбонементНовых*BS9,MeanMinAge10)))</f>
        <v/>
      </c>
      <c r="BT57" s="5">
        <f>IF(OR(BT30=0,10&lt;=КаникулыРоялти),0,BT30*IF(РоялтиПоГруппам="Да",MeanMinAge10+BT9*SUMIF(ThresholdAge10,"&lt;"&amp;BT9,WeightedRevAge10)-SUMIF(ThresholdAge10,"&lt;"&amp;BT9,WeightedMinAge10),MAX(CapacityAge10*АбонементНовых*BT9,MeanMinAge10)))</f>
        <v/>
      </c>
      <c r="BU57" s="5">
        <f>IF(OR(BU30=0,10&lt;=КаникулыРоялти),0,BU30*IF(РоялтиПоГруппам="Да",MeanMinAge10+BU9*SUMIF(ThresholdAge10,"&lt;"&amp;BU9,WeightedRevAge10)-SUMIF(ThresholdAge10,"&lt;"&amp;BU9,WeightedMinAge10),MAX(CapacityAge10*АбонементНовых*BU9,MeanMinAge10)))</f>
        <v/>
      </c>
      <c r="BV57" s="5">
        <f>IF(OR(BV30=0,10&lt;=КаникулыРоялти),0,BV30*IF(РоялтиПоГруппам="Да",MeanMinAge10+BV9*SUMIF(ThresholdAge10,"&lt;"&amp;BV9,WeightedRevAge10)-SUMIF(ThresholdAge10,"&lt;"&amp;BV9,WeightedMinAge10),MAX(CapacityAge10*АбонементНовых*BV9,MeanMinAge10)))</f>
        <v/>
      </c>
      <c r="BW57" s="5">
        <f>IF(OR(BW30=0,10&lt;=КаникулыРоялти),0,BW30*IF(РоялтиПоГруппам="Да",MeanMinAge10+BW9*SUMIF(ThresholdAge10,"&lt;"&amp;BW9,WeightedRevAge10)-SUMIF(ThresholdAge10,"&lt;"&amp;BW9,WeightedMinAge10),MAX(CapacityAge10*АбонементНовых*BW9,MeanMinAge10)))</f>
        <v/>
      </c>
      <c r="BX57" s="5">
        <f>IF(OR(BX30=0,10&lt;=КаникулыРоялти),0,BX30*IF(РоялтиПоГруппам="Да",MeanMinAge10+BX9*SUMIF(ThresholdAge10,"&lt;"&amp;BX9,WeightedRevAge10)-SUMIF(ThresholdAge10,"&lt;"&amp;BX9,WeightedMinAge10),MAX(CapacityAge10*АбонементНовых*BX9,MeanMinAge10)))</f>
        <v/>
      </c>
      <c r="BY57" s="5">
        <f>IF(OR(BY30=0,10&lt;=КаникулыРоялти),0,BY30*IF(РоялтиПоГруппам="Да",MeanMinAge10+BY9*SUMIF(ThresholdAge10,"&lt;"&amp;BY9,WeightedRevAge10)-SUMIF(ThresholdAge10,"&lt;"&amp;BY9,WeightedMinAge10),MAX(CapacityAge10*АбонементНовых*BY9,MeanMinAge10)))</f>
        <v/>
      </c>
    </row>
    <row r="58">
      <c r="B58" t="inlineStr">
        <is>
          <t>11 мес.</t>
        </is>
      </c>
      <c r="C58" t="inlineStr">
        <is>
          <t>₽</t>
        </is>
      </c>
      <c r="D58" s="127" t="inlineStr"/>
      <c r="E58" s="129">
        <f>SUM(L58:W58)</f>
        <v/>
      </c>
      <c r="F58" s="129">
        <f>SUM(X58:AI58)</f>
        <v/>
      </c>
      <c r="G58" s="129">
        <f>SUM(AJ58:AU58)</f>
        <v/>
      </c>
      <c r="H58" s="129">
        <f>SUM(AV58:BG58)</f>
        <v/>
      </c>
      <c r="I58" s="129">
        <f>SUM(BH58:BS58)</f>
        <v/>
      </c>
      <c r="J58" s="6">
        <f>SUM(L58:BS58)</f>
        <v/>
      </c>
      <c r="L58" s="5">
        <f>IF(OR(L31=0,11&lt;=КаникулыРоялти),0,L31*IF(РоялтиПоГруппам="Да",MeanMinAge11+L9*SUMIF(ThresholdAge11,"&lt;"&amp;L9,WeightedRevAge11)-SUMIF(ThresholdAge11,"&lt;"&amp;L9,WeightedMinAge11),MAX(CapacityAge11*АбонементНовых*L9,MeanMinAge11)))</f>
        <v/>
      </c>
      <c r="M58" s="5">
        <f>IF(OR(M31=0,11&lt;=КаникулыРоялти),0,M31*IF(РоялтиПоГруппам="Да",MeanMinAge11+M9*SUMIF(ThresholdAge11,"&lt;"&amp;M9,WeightedRevAge11)-SUMIF(ThresholdAge11,"&lt;"&amp;M9,WeightedMinAge11),MAX(CapacityAge11*АбонементНовых*M9,MeanMinAge11)))</f>
        <v/>
      </c>
      <c r="N58" s="5">
        <f>IF(OR(N31=0,11&lt;=КаникулыРоялти),0,N31*IF(РоялтиПоГруппам="Да",MeanMinAge11+N9*SUMIF(ThresholdAge11,"&lt;"&amp;N9,WeightedRevAge11)-SUMIF(ThresholdAge11,"&lt;"&amp;N9,WeightedMinAge11),MAX(CapacityAge11*АбонементНовых*N9,MeanMinAge11)))</f>
        <v/>
      </c>
      <c r="O58" s="5">
        <f>IF(OR(O31=0,11&lt;=КаникулыРоялти),0,O31*IF(РоялтиПоГруппам="Да",MeanMinAge11+O9*SUMIF(ThresholdAge11,"&lt;"&amp;O9,WeightedRevAge11)-SUMIF(ThresholdAge11,"&lt;"&amp;O9,WeightedMinAge11),MAX(CapacityAge11*АбонементНовых*O9,MeanMinAge11)))</f>
        <v/>
      </c>
      <c r="P58" s="5">
        <f>IF(OR(P31=0,11&lt;=КаникулыРоялти),0,P31*IF(РоялтиПоГруппам="Да",MeanMinAge11+P9*SUMIF(ThresholdAge11,"&lt;"&amp;P9,WeightedRevAge11)-SUMIF(ThresholdAge11,"&lt;"&amp;P9,WeightedMinAge11),MAX(CapacityAge11*АбонементНовых*P9,MeanMinAge11)))</f>
        <v/>
      </c>
      <c r="Q58" s="5">
        <f>IF(OR(Q31=0,11&lt;=КаникулыРоялти),0,Q31*IF(РоялтиПоГруппам="Да",MeanMinAge11+Q9*SUMIF(ThresholdAge11,"&lt;"&amp;Q9,WeightedRevAge11)-SUMIF(ThresholdAge11,"&lt;"&amp;Q9,WeightedMinAge11),MAX(CapacityAge11*АбонементНовых*Q9,MeanMinAge11)))</f>
        <v/>
      </c>
      <c r="R58" s="5">
        <f>IF(OR(R31=0,11&lt;=КаникулыРоялти),0,R31*IF(РоялтиПоГруппам="Да",MeanMinAge11+R9*SUMIF(ThresholdAge11,"&lt;"&amp;R9,WeightedRevAge11)-SUMIF(ThresholdAge11,"&lt;"&amp;R9,WeightedMinAge11),MAX(CapacityAge11*АбонементНовых*R9,MeanMinAge11)))</f>
        <v/>
      </c>
      <c r="S58" s="5">
        <f>IF(OR(S31=0,11&lt;=КаникулыРоялти),0,S31*IF(РоялтиПоГруппам="Да",MeanMinAge11+S9*SUMIF(ThresholdAge11,"&lt;"&amp;S9,WeightedRevAge11)-SUMIF(ThresholdAge11,"&lt;"&amp;S9,WeightedMinAge11),MAX(CapacityAge11*АбонементНовых*S9,MeanMinAge11)))</f>
        <v/>
      </c>
      <c r="T58" s="5">
        <f>IF(OR(T31=0,11&lt;=КаникулыРоялти),0,T31*IF(РоялтиПоГруппам="Да",MeanMinAge11+T9*SUMIF(ThresholdAge11,"&lt;"&amp;T9,WeightedRevAge11)-SUMIF(ThresholdAge11,"&lt;"&amp;T9,WeightedMinAge11),MAX(CapacityAge11*АбонементНовых*T9,MeanMinAge11)))</f>
        <v/>
      </c>
      <c r="U58" s="5">
        <f>IF(OR(U31=0,11&lt;=КаникулыРоялти),0,U31*IF(РоялтиПоГруппам="Да",MeanMinAge11+U9*SUMIF(ThresholdAge11,"&lt;"&amp;U9,WeightedRevAge11)-SUMIF(ThresholdAge11,"&lt;"&amp;U9,WeightedMinAge11),MAX(CapacityAge11*АбонементНовых*U9,MeanMinAge11)))</f>
        <v/>
      </c>
      <c r="V58" s="5">
        <f>IF(OR(V31=0,11&lt;=КаникулыРоялти),0,V31*IF(РоялтиПоГруппам="Да",MeanMinAge11+V9*SUMIF(ThresholdAge11,"&lt;"&amp;V9,WeightedRevAge11)-SUMIF(ThresholdAge11,"&lt;"&amp;V9,WeightedMinAge11),MAX(CapacityAge11*АбонементНовых*V9,MeanMinAge11)))</f>
        <v/>
      </c>
      <c r="W58" s="5">
        <f>IF(OR(W31=0,11&lt;=КаникулыРоялти),0,W31*IF(РоялтиПоГруппам="Да",MeanMinAge11+W9*SUMIF(ThresholdAge11,"&lt;"&amp;W9,WeightedRevAge11)-SUMIF(ThresholdAge11,"&lt;"&amp;W9,WeightedMinAge11),MAX(CapacityAge11*АбонементНовых*W9,MeanMinAge11)))</f>
        <v/>
      </c>
      <c r="X58" s="5">
        <f>IF(OR(X31=0,11&lt;=КаникулыРоялти),0,X31*IF(РоялтиПоГруппам="Да",MeanMinAge11+X9*SUMIF(ThresholdAge11,"&lt;"&amp;X9,WeightedRevAge11)-SUMIF(ThresholdAge11,"&lt;"&amp;X9,WeightedMinAge11),MAX(CapacityAge11*АбонементНовых*X9,MeanMinAge11)))</f>
        <v/>
      </c>
      <c r="Y58" s="5">
        <f>IF(OR(Y31=0,11&lt;=КаникулыРоялти),0,Y31*IF(РоялтиПоГруппам="Да",MeanMinAge11+Y9*SUMIF(ThresholdAge11,"&lt;"&amp;Y9,WeightedRevAge11)-SUMIF(ThresholdAge11,"&lt;"&amp;Y9,WeightedMinAge11),MAX(CapacityAge11*АбонементНовых*Y9,MeanMinAge11)))</f>
        <v/>
      </c>
      <c r="Z58" s="5">
        <f>IF(OR(Z31=0,11&lt;=КаникулыРоялти),0,Z31*IF(РоялтиПоГруппам="Да",MeanMinAge11+Z9*SUMIF(ThresholdAge11,"&lt;"&amp;Z9,WeightedRevAge11)-SUMIF(ThresholdAge11,"&lt;"&amp;Z9,WeightedMinAge11),MAX(CapacityAge11*АбонементНовых*Z9,MeanMinAge11)))</f>
        <v/>
      </c>
      <c r="AA58" s="5">
        <f>IF(OR(AA31=0,11&lt;=КаникулыРоялти),0,AA31*IF(РоялтиПоГруппам="Да",MeanMinAge11+AA9*SUMIF(ThresholdAge11,"&lt;"&amp;AA9,WeightedRevAge11)-SUMIF(ThresholdAge11,"&lt;"&amp;AA9,WeightedMinAge11),MAX(CapacityAge11*АбонементНовых*AA9,MeanMinAge11)))</f>
        <v/>
      </c>
      <c r="AB58" s="5">
        <f>IF(OR(AB31=0,11&lt;=КаникулыРоялти),0,AB31*IF(РоялтиПоГруппам="Да",MeanMinAge11+AB9*SUMIF(ThresholdAge11,"&lt;"&amp;AB9,WeightedRevAge11)-SUMIF(ThresholdAge11,"&lt;"&amp;AB9,WeightedMinAge11),MAX(CapacityAge11*АбонементНовых*AB9,MeanMinAge11)))</f>
        <v/>
      </c>
      <c r="AC58" s="5">
        <f>IF(OR(AC31=0,11&lt;=КаникулыРоялти),0,AC31*IF(РоялтиПоГруппам="Да",MeanMinAge11+AC9*SUMIF(ThresholdAge11,"&lt;"&amp;AC9,WeightedRevAge11)-SUMIF(ThresholdAge11,"&lt;"&amp;AC9,WeightedMinAge11),MAX(CapacityAge11*АбонементНовых*AC9,MeanMinAge11)))</f>
        <v/>
      </c>
      <c r="AD58" s="5">
        <f>IF(OR(AD31=0,11&lt;=КаникулыРоялти),0,AD31*IF(РоялтиПоГруппам="Да",MeanMinAge11+AD9*SUMIF(ThresholdAge11,"&lt;"&amp;AD9,WeightedRevAge11)-SUMIF(ThresholdAge11,"&lt;"&amp;AD9,WeightedMinAge11),MAX(CapacityAge11*АбонементНовых*AD9,MeanMinAge11)))</f>
        <v/>
      </c>
      <c r="AE58" s="5">
        <f>IF(OR(AE31=0,11&lt;=КаникулыРоялти),0,AE31*IF(РоялтиПоГруппам="Да",MeanMinAge11+AE9*SUMIF(ThresholdAge11,"&lt;"&amp;AE9,WeightedRevAge11)-SUMIF(ThresholdAge11,"&lt;"&amp;AE9,WeightedMinAge11),MAX(CapacityAge11*АбонементНовых*AE9,MeanMinAge11)))</f>
        <v/>
      </c>
      <c r="AF58" s="5">
        <f>IF(OR(AF31=0,11&lt;=КаникулыРоялти),0,AF31*IF(РоялтиПоГруппам="Да",MeanMinAge11+AF9*SUMIF(ThresholdAge11,"&lt;"&amp;AF9,WeightedRevAge11)-SUMIF(ThresholdAge11,"&lt;"&amp;AF9,WeightedMinAge11),MAX(CapacityAge11*АбонементНовых*AF9,MeanMinAge11)))</f>
        <v/>
      </c>
      <c r="AG58" s="5">
        <f>IF(OR(AG31=0,11&lt;=КаникулыРоялти),0,AG31*IF(РоялтиПоГруппам="Да",MeanMinAge11+AG9*SUMIF(ThresholdAge11,"&lt;"&amp;AG9,WeightedRevAge11)-SUMIF(ThresholdAge11,"&lt;"&amp;AG9,WeightedMinAge11),MAX(CapacityAge11*АбонементНовых*AG9,MeanMinAge11)))</f>
        <v/>
      </c>
      <c r="AH58" s="5">
        <f>IF(OR(AH31=0,11&lt;=КаникулыРоялти),0,AH31*IF(РоялтиПоГруппам="Да",MeanMinAge11+AH9*SUMIF(ThresholdAge11,"&lt;"&amp;AH9,WeightedRevAge11)-SUMIF(ThresholdAge11,"&lt;"&amp;AH9,WeightedMinAge11),MAX(CapacityAge11*АбонементНовых*AH9,MeanMinAge11)))</f>
        <v/>
      </c>
      <c r="AI58" s="5">
        <f>IF(OR(AI31=0,11&lt;=КаникулыРоялти),0,AI31*IF(РоялтиПоГруппам="Да",MeanMinAge11+AI9*SUMIF(ThresholdAge11,"&lt;"&amp;AI9,WeightedRevAge11)-SUMIF(ThresholdAge11,"&lt;"&amp;AI9,WeightedMinAge11),MAX(CapacityAge11*АбонементНовых*AI9,MeanMinAge11)))</f>
        <v/>
      </c>
      <c r="AJ58" s="5">
        <f>IF(OR(AJ31=0,11&lt;=КаникулыРоялти),0,AJ31*IF(РоялтиПоГруппам="Да",MeanMinAge11+AJ9*SUMIF(ThresholdAge11,"&lt;"&amp;AJ9,WeightedRevAge11)-SUMIF(ThresholdAge11,"&lt;"&amp;AJ9,WeightedMinAge11),MAX(CapacityAge11*АбонементНовых*AJ9,MeanMinAge11)))</f>
        <v/>
      </c>
      <c r="AK58" s="5">
        <f>IF(OR(AK31=0,11&lt;=КаникулыРоялти),0,AK31*IF(РоялтиПоГруппам="Да",MeanMinAge11+AK9*SUMIF(ThresholdAge11,"&lt;"&amp;AK9,WeightedRevAge11)-SUMIF(ThresholdAge11,"&lt;"&amp;AK9,WeightedMinAge11),MAX(CapacityAge11*АбонементНовых*AK9,MeanMinAge11)))</f>
        <v/>
      </c>
      <c r="AL58" s="5">
        <f>IF(OR(AL31=0,11&lt;=КаникулыРоялти),0,AL31*IF(РоялтиПоГруппам="Да",MeanMinAge11+AL9*SUMIF(ThresholdAge11,"&lt;"&amp;AL9,WeightedRevAge11)-SUMIF(ThresholdAge11,"&lt;"&amp;AL9,WeightedMinAge11),MAX(CapacityAge11*АбонементНовых*AL9,MeanMinAge11)))</f>
        <v/>
      </c>
      <c r="AM58" s="5">
        <f>IF(OR(AM31=0,11&lt;=КаникулыРоялти),0,AM31*IF(РоялтиПоГруппам="Да",MeanMinAge11+AM9*SUMIF(ThresholdAge11,"&lt;"&amp;AM9,WeightedRevAge11)-SUMIF(ThresholdAge11,"&lt;"&amp;AM9,WeightedMinAge11),MAX(CapacityAge11*АбонементНовых*AM9,MeanMinAge11)))</f>
        <v/>
      </c>
      <c r="AN58" s="5">
        <f>IF(OR(AN31=0,11&lt;=КаникулыРоялти),0,AN31*IF(РоялтиПоГруппам="Да",MeanMinAge11+AN9*SUMIF(ThresholdAge11,"&lt;"&amp;AN9,WeightedRevAge11)-SUMIF(ThresholdAge11,"&lt;"&amp;AN9,WeightedMinAge11),MAX(CapacityAge11*АбонементНовых*AN9,MeanMinAge11)))</f>
        <v/>
      </c>
      <c r="AO58" s="5">
        <f>IF(OR(AO31=0,11&lt;=КаникулыРоялти),0,AO31*IF(РоялтиПоГруппам="Да",MeanMinAge11+AO9*SUMIF(ThresholdAge11,"&lt;"&amp;AO9,WeightedRevAge11)-SUMIF(ThresholdAge11,"&lt;"&amp;AO9,WeightedMinAge11),MAX(CapacityAge11*АбонементНовых*AO9,MeanMinAge11)))</f>
        <v/>
      </c>
      <c r="AP58" s="5">
        <f>IF(OR(AP31=0,11&lt;=КаникулыРоялти),0,AP31*IF(РоялтиПоГруппам="Да",MeanMinAge11+AP9*SUMIF(ThresholdAge11,"&lt;"&amp;AP9,WeightedRevAge11)-SUMIF(ThresholdAge11,"&lt;"&amp;AP9,WeightedMinAge11),MAX(CapacityAge11*АбонементНовых*AP9,MeanMinAge11)))</f>
        <v/>
      </c>
      <c r="AQ58" s="5">
        <f>IF(OR(AQ31=0,11&lt;=КаникулыРоялти),0,AQ31*IF(РоялтиПоГруппам="Да",MeanMinAge11+AQ9*SUMIF(ThresholdAge11,"&lt;"&amp;AQ9,WeightedRevAge11)-SUMIF(ThresholdAge11,"&lt;"&amp;AQ9,WeightedMinAge11),MAX(CapacityAge11*АбонементНовых*AQ9,MeanMinAge11)))</f>
        <v/>
      </c>
      <c r="AR58" s="5">
        <f>IF(OR(AR31=0,11&lt;=КаникулыРоялти),0,AR31*IF(РоялтиПоГруппам="Да",MeanMinAge11+AR9*SUMIF(ThresholdAge11,"&lt;"&amp;AR9,WeightedRevAge11)-SUMIF(ThresholdAge11,"&lt;"&amp;AR9,WeightedMinAge11),MAX(CapacityAge11*АбонементНовых*AR9,MeanMinAge11)))</f>
        <v/>
      </c>
      <c r="AS58" s="5">
        <f>IF(OR(AS31=0,11&lt;=КаникулыРоялти),0,AS31*IF(РоялтиПоГруппам="Да",MeanMinAge11+AS9*SUMIF(ThresholdAge11,"&lt;"&amp;AS9,WeightedRevAge11)-SUMIF(ThresholdAge11,"&lt;"&amp;AS9,WeightedMinAge11),MAX(CapacityAge11*АбонементНовых*AS9,MeanMinAge11)))</f>
        <v/>
      </c>
      <c r="AT58" s="5">
        <f>IF(OR(AT31=0,11&lt;=КаникулыРоялти),0,AT31*IF(РоялтиПоГруппам="Да",MeanMinAge11+AT9*SUMIF(ThresholdAge11,"&lt;"&amp;AT9,WeightedRevAge11)-SUMIF(ThresholdAge11,"&lt;"&amp;AT9,WeightedMinAge11),MAX(CapacityAge11*АбонементНовых*AT9,MeanMinAge11)))</f>
        <v/>
      </c>
      <c r="AU58" s="5">
        <f>IF(OR(AU31=0,11&lt;=КаникулыРоялти),0,AU31*IF(РоялтиПоГруппам="Да",MeanMinAge11+AU9*SUMIF(ThresholdAge11,"&lt;"&amp;AU9,WeightedRevAge11)-SUMIF(ThresholdAge11,"&lt;"&amp;AU9,WeightedMinAge11),MAX(CapacityAge11*АбонементНовых*AU9,MeanMinAge11)))</f>
        <v/>
      </c>
      <c r="AV58" s="5">
        <f>IF(OR(AV31=0,11&lt;=КаникулыРоялти),0,AV31*IF(РоялтиПоГруппам="Да",MeanMinAge11+AV9*SUMIF(ThresholdAge11,"&lt;"&amp;AV9,WeightedRevAge11)-SUMIF(ThresholdAge11,"&lt;"&amp;AV9,WeightedMinAge11),MAX(CapacityAge11*АбонементНовых*AV9,MeanMinAge11)))</f>
        <v/>
      </c>
      <c r="AW58" s="5">
        <f>IF(OR(AW31=0,11&lt;=КаникулыРоялти),0,AW31*IF(РоялтиПоГруппам="Да",MeanMinAge11+AW9*SUMIF(ThresholdAge11,"&lt;"&amp;AW9,WeightedRevAge11)-SUMIF(ThresholdAge11,"&lt;"&amp;AW9,WeightedMinAge11),MAX(CapacityAge11*АбонементНовых*AW9,MeanMinAge11)))</f>
        <v/>
      </c>
      <c r="AX58" s="5">
        <f>IF(OR(AX31=0,11&lt;=КаникулыРоялти),0,AX31*IF(РоялтиПоГруппам="Да",MeanMinAge11+AX9*SUMIF(ThresholdAge11,"&lt;"&amp;AX9,WeightedRevAge11)-SUMIF(ThresholdAge11,"&lt;"&amp;AX9,WeightedMinAge11),MAX(CapacityAge11*АбонементНовых*AX9,MeanMinAge11)))</f>
        <v/>
      </c>
      <c r="AY58" s="5">
        <f>IF(OR(AY31=0,11&lt;=КаникулыРоялти),0,AY31*IF(РоялтиПоГруппам="Да",MeanMinAge11+AY9*SUMIF(ThresholdAge11,"&lt;"&amp;AY9,WeightedRevAge11)-SUMIF(ThresholdAge11,"&lt;"&amp;AY9,WeightedMinAge11),MAX(CapacityAge11*АбонементНовых*AY9,MeanMinAge11)))</f>
        <v/>
      </c>
      <c r="AZ58" s="5">
        <f>IF(OR(AZ31=0,11&lt;=КаникулыРоялти),0,AZ31*IF(РоялтиПоГруппам="Да",MeanMinAge11+AZ9*SUMIF(ThresholdAge11,"&lt;"&amp;AZ9,WeightedRevAge11)-SUMIF(ThresholdAge11,"&lt;"&amp;AZ9,WeightedMinAge11),MAX(CapacityAge11*АбонементНовых*AZ9,MeanMinAge11)))</f>
        <v/>
      </c>
      <c r="BA58" s="5">
        <f>IF(OR(BA31=0,11&lt;=КаникулыРоялти),0,BA31*IF(РоялтиПоГруппам="Да",MeanMinAge11+BA9*SUMIF(ThresholdAge11,"&lt;"&amp;BA9,WeightedRevAge11)-SUMIF(ThresholdAge11,"&lt;"&amp;BA9,WeightedMinAge11),MAX(CapacityAge11*АбонементНовых*BA9,MeanMinAge11)))</f>
        <v/>
      </c>
      <c r="BB58" s="5">
        <f>IF(OR(BB31=0,11&lt;=КаникулыРоялти),0,BB31*IF(РоялтиПоГруппам="Да",MeanMinAge11+BB9*SUMIF(ThresholdAge11,"&lt;"&amp;BB9,WeightedRevAge11)-SUMIF(ThresholdAge11,"&lt;"&amp;BB9,WeightedMinAge11),MAX(CapacityAge11*АбонементНовых*BB9,MeanMinAge11)))</f>
        <v/>
      </c>
      <c r="BC58" s="5">
        <f>IF(OR(BC31=0,11&lt;=КаникулыРоялти),0,BC31*IF(РоялтиПоГруппам="Да",MeanMinAge11+BC9*SUMIF(ThresholdAge11,"&lt;"&amp;BC9,WeightedRevAge11)-SUMIF(ThresholdAge11,"&lt;"&amp;BC9,WeightedMinAge11),MAX(CapacityAge11*АбонементНовых*BC9,MeanMinAge11)))</f>
        <v/>
      </c>
      <c r="BD58" s="5">
        <f>IF(OR(BD31=0,11&lt;=КаникулыРоялти),0,BD31*IF(РоялтиПоГруппам="Да",MeanMinAge11+BD9*SUMIF(ThresholdAge11,"&lt;"&amp;BD9,WeightedRevAge11)-SUMIF(ThresholdAge11,"&lt;"&amp;BD9,WeightedMinAge11),MAX(CapacityAge11*АбонементНовых*BD9,MeanMinAge11)))</f>
        <v/>
      </c>
      <c r="BE58" s="5">
        <f>IF(OR(BE31=0,11&lt;=КаникулыРоялти),0,BE31*IF(РоялтиПоГруппам="Да",MeanMinAge11+BE9*SUMIF(ThresholdAge11,"&lt;"&amp;BE9,WeightedRevAge11)-SUMIF(ThresholdAge11,"&lt;"&amp;BE9,WeightedMinAge11),MAX(CapacityAge11*АбонементНовых*BE9,MeanMinAge11)))</f>
        <v/>
      </c>
      <c r="BF58" s="5">
        <f>IF(OR(BF31=0,11&lt;=КаникулыРоялти),0,BF31*IF(РоялтиПоГруппам="Да",MeanMinAge11+BF9*SUMIF(ThresholdAge11,"&lt;"&amp;BF9,WeightedRevAge11)-SUMIF(ThresholdAge11,"&lt;"&amp;BF9,WeightedMinAge11),MAX(CapacityAge11*АбонементНовых*BF9,MeanMinAge11)))</f>
        <v/>
      </c>
      <c r="BG58" s="5">
        <f>IF(OR(BG31=0,11&lt;=КаникулыРоялти),0,BG31*IF(РоялтиПоГруппам="Да",MeanMinAge11+BG9*SUMIF(ThresholdAge11,"&lt;"&amp;BG9,WeightedRevAge11)-SUMIF(ThresholdAge11,"&lt;"&amp;BG9,WeightedMinAge11),MAX(CapacityAge11*АбонементНовых*BG9,MeanMinAge11)))</f>
        <v/>
      </c>
      <c r="BH58" s="5">
        <f>IF(OR(BH31=0,11&lt;=КаникулыРоялти),0,BH31*IF(РоялтиПоГруппам="Да",MeanMinAge11+BH9*SUMIF(ThresholdAge11,"&lt;"&amp;BH9,WeightedRevAge11)-SUMIF(ThresholdAge11,"&lt;"&amp;BH9,WeightedMinAge11),MAX(CapacityAge11*АбонементНовых*BH9,MeanMinAge11)))</f>
        <v/>
      </c>
      <c r="BI58" s="5">
        <f>IF(OR(BI31=0,11&lt;=КаникулыРоялти),0,BI31*IF(РоялтиПоГруппам="Да",MeanMinAge11+BI9*SUMIF(ThresholdAge11,"&lt;"&amp;BI9,WeightedRevAge11)-SUMIF(ThresholdAge11,"&lt;"&amp;BI9,WeightedMinAge11),MAX(CapacityAge11*АбонементНовых*BI9,MeanMinAge11)))</f>
        <v/>
      </c>
      <c r="BJ58" s="5">
        <f>IF(OR(BJ31=0,11&lt;=КаникулыРоялти),0,BJ31*IF(РоялтиПоГруппам="Да",MeanMinAge11+BJ9*SUMIF(ThresholdAge11,"&lt;"&amp;BJ9,WeightedRevAge11)-SUMIF(ThresholdAge11,"&lt;"&amp;BJ9,WeightedMinAge11),MAX(CapacityAge11*АбонементНовых*BJ9,MeanMinAge11)))</f>
        <v/>
      </c>
      <c r="BK58" s="5">
        <f>IF(OR(BK31=0,11&lt;=КаникулыРоялти),0,BK31*IF(РоялтиПоГруппам="Да",MeanMinAge11+BK9*SUMIF(ThresholdAge11,"&lt;"&amp;BK9,WeightedRevAge11)-SUMIF(ThresholdAge11,"&lt;"&amp;BK9,WeightedMinAge11),MAX(CapacityAge11*АбонементНовых*BK9,MeanMinAge11)))</f>
        <v/>
      </c>
      <c r="BL58" s="5">
        <f>IF(OR(BL31=0,11&lt;=КаникулыРоялти),0,BL31*IF(РоялтиПоГруппам="Да",MeanMinAge11+BL9*SUMIF(ThresholdAge11,"&lt;"&amp;BL9,WeightedRevAge11)-SUMIF(ThresholdAge11,"&lt;"&amp;BL9,WeightedMinAge11),MAX(CapacityAge11*АбонементНовых*BL9,MeanMinAge11)))</f>
        <v/>
      </c>
      <c r="BM58" s="5">
        <f>IF(OR(BM31=0,11&lt;=КаникулыРоялти),0,BM31*IF(РоялтиПоГруппам="Да",MeanMinAge11+BM9*SUMIF(ThresholdAge11,"&lt;"&amp;BM9,WeightedRevAge11)-SUMIF(ThresholdAge11,"&lt;"&amp;BM9,WeightedMinAge11),MAX(CapacityAge11*АбонементНовых*BM9,MeanMinAge11)))</f>
        <v/>
      </c>
      <c r="BN58" s="5">
        <f>IF(OR(BN31=0,11&lt;=КаникулыРоялти),0,BN31*IF(РоялтиПоГруппам="Да",MeanMinAge11+BN9*SUMIF(ThresholdAge11,"&lt;"&amp;BN9,WeightedRevAge11)-SUMIF(ThresholdAge11,"&lt;"&amp;BN9,WeightedMinAge11),MAX(CapacityAge11*АбонементНовых*BN9,MeanMinAge11)))</f>
        <v/>
      </c>
      <c r="BO58" s="5">
        <f>IF(OR(BO31=0,11&lt;=КаникулыРоялти),0,BO31*IF(РоялтиПоГруппам="Да",MeanMinAge11+BO9*SUMIF(ThresholdAge11,"&lt;"&amp;BO9,WeightedRevAge11)-SUMIF(ThresholdAge11,"&lt;"&amp;BO9,WeightedMinAge11),MAX(CapacityAge11*АбонементНовых*BO9,MeanMinAge11)))</f>
        <v/>
      </c>
      <c r="BP58" s="5">
        <f>IF(OR(BP31=0,11&lt;=КаникулыРоялти),0,BP31*IF(РоялтиПоГруппам="Да",MeanMinAge11+BP9*SUMIF(ThresholdAge11,"&lt;"&amp;BP9,WeightedRevAge11)-SUMIF(ThresholdAge11,"&lt;"&amp;BP9,WeightedMinAge11),MAX(CapacityAge11*АбонементНовых*BP9,MeanMinAge11)))</f>
        <v/>
      </c>
      <c r="BQ58" s="5">
        <f>IF(OR(BQ31=0,11&lt;=КаникулыРоялти),0,BQ31*IF(РоялтиПоГруппам="Да",MeanMinAge11+BQ9*SUMIF(ThresholdAge11,"&lt;"&amp;BQ9,WeightedRevAge11)-SUMIF(ThresholdAge11,"&lt;"&amp;BQ9,WeightedMinAge11),MAX(CapacityAge11*АбонементНовых*BQ9,MeanMinAge11)))</f>
        <v/>
      </c>
      <c r="BR58" s="5">
        <f>IF(OR(BR31=0,11&lt;=КаникулыРоялти),0,BR31*IF(РоялтиПоГруппам="Да",MeanMinAge11+BR9*SUMIF(ThresholdAge11,"&lt;"&amp;BR9,WeightedRevAge11)-SUMIF(ThresholdAge11,"&lt;"&amp;BR9,WeightedMinAge11),MAX(CapacityAge11*АбонементНовых*BR9,MeanMinAge11)))</f>
        <v/>
      </c>
      <c r="BS58" s="5">
        <f>IF(OR(BS31=0,11&lt;=КаникулыРоялти),0,BS31*IF(РоялтиПоГруппам="Да",MeanMinAge11+BS9*SUMIF(ThresholdAge11,"&lt;"&amp;BS9,WeightedRevAge11)-SUMIF(ThresholdAge11,"&lt;"&amp;BS9,WeightedMinAge11),MAX(CapacityAge11*АбонементНовых*BS9,MeanMinAge11)))</f>
        <v/>
      </c>
      <c r="BT58" s="5">
        <f>IF(OR(BT31=0,11&lt;=КаникулыРоялти),0,BT31*IF(РоялтиПоГруппам="Да",MeanMinAge11+BT9*SUMIF(ThresholdAge11,"&lt;"&amp;BT9,WeightedRevAge11)-SUMIF(ThresholdAge11,"&lt;"&amp;BT9,WeightedMinAge11),MAX(CapacityAge11*АбонементНовых*BT9,MeanMinAge11)))</f>
        <v/>
      </c>
      <c r="BU58" s="5">
        <f>IF(OR(BU31=0,11&lt;=КаникулыРоялти),0,BU31*IF(РоялтиПоГруппам="Да",MeanMinAge11+BU9*SUMIF(ThresholdAge11,"&lt;"&amp;BU9,WeightedRevAge11)-SUMIF(ThresholdAge11,"&lt;"&amp;BU9,WeightedMinAge11),MAX(CapacityAge11*АбонементНовых*BU9,MeanMinAge11)))</f>
        <v/>
      </c>
      <c r="BV58" s="5">
        <f>IF(OR(BV31=0,11&lt;=КаникулыРоялти),0,BV31*IF(РоялтиПоГруппам="Да",MeanMinAge11+BV9*SUMIF(ThresholdAge11,"&lt;"&amp;BV9,WeightedRevAge11)-SUMIF(ThresholdAge11,"&lt;"&amp;BV9,WeightedMinAge11),MAX(CapacityAge11*АбонементНовых*BV9,MeanMinAge11)))</f>
        <v/>
      </c>
      <c r="BW58" s="5">
        <f>IF(OR(BW31=0,11&lt;=КаникулыРоялти),0,BW31*IF(РоялтиПоГруппам="Да",MeanMinAge11+BW9*SUMIF(ThresholdAge11,"&lt;"&amp;BW9,WeightedRevAge11)-SUMIF(ThresholdAge11,"&lt;"&amp;BW9,WeightedMinAge11),MAX(CapacityAge11*АбонементНовых*BW9,MeanMinAge11)))</f>
        <v/>
      </c>
      <c r="BX58" s="5">
        <f>IF(OR(BX31=0,11&lt;=КаникулыРоялти),0,BX31*IF(РоялтиПоГруппам="Да",MeanMinAge11+BX9*SUMIF(ThresholdAge11,"&lt;"&amp;BX9,WeightedRevAge11)-SUMIF(ThresholdAge11,"&lt;"&amp;BX9,WeightedMinAge11),MAX(CapacityAge11*АбонементНовых*BX9,MeanMinAge11)))</f>
        <v/>
      </c>
      <c r="BY58" s="5">
        <f>IF(OR(BY31=0,11&lt;=КаникулыРоялти),0,BY31*IF(РоялтиПоГруппам="Да",MeanMinAge11+BY9*SUMIF(ThresholdAge11,"&lt;"&amp;BY9,WeightedRevAge11)-SUMIF(ThresholdAge11,"&lt;"&amp;BY9,WeightedMinAge11),MAX(CapacityAge11*АбонементНовых*BY9,MeanMinAge11)))</f>
        <v/>
      </c>
    </row>
    <row r="59">
      <c r="B59" t="inlineStr">
        <is>
          <t>12 мес.</t>
        </is>
      </c>
      <c r="C59" t="inlineStr">
        <is>
          <t>₽</t>
        </is>
      </c>
      <c r="D59" s="127" t="inlineStr"/>
      <c r="E59" s="129">
        <f>SUM(L59:W59)</f>
        <v/>
      </c>
      <c r="F59" s="129">
        <f>SUM(X59:AI59)</f>
        <v/>
      </c>
      <c r="G59" s="129">
        <f>SUM(AJ59:AU59)</f>
        <v/>
      </c>
      <c r="H59" s="129">
        <f>SUM(AV59:BG59)</f>
        <v/>
      </c>
      <c r="I59" s="129">
        <f>SUM(BH59:BS59)</f>
        <v/>
      </c>
      <c r="J59" s="6">
        <f>SUM(L59:BS59)</f>
        <v/>
      </c>
      <c r="L59" s="5">
        <f>IF(OR(L32=0,12&lt;=КаникулыРоялти),0,L32*IF(РоялтиПоГруппам="Да",MeanMinAge12+L9*SUMIF(ThresholdAge12,"&lt;"&amp;L9,WeightedRevAge12)-SUMIF(ThresholdAge12,"&lt;"&amp;L9,WeightedMinAge12),MAX(CapacityAge12*АбонементНовых*L9,MeanMinAge12)))</f>
        <v/>
      </c>
      <c r="M59" s="5">
        <f>IF(OR(M32=0,12&lt;=КаникулыРоялти),0,M32*IF(РоялтиПоГруппам="Да",MeanMinAge12+M9*SUMIF(ThresholdAge12,"&lt;"&amp;M9,WeightedRevAge12)-SUMIF(ThresholdAge12,"&lt;"&amp;M9,WeightedMinAge12),MAX(CapacityAge12*АбонементНовых*M9,MeanMinAge12)))</f>
        <v/>
      </c>
      <c r="N59" s="5">
        <f>IF(OR(N32=0,12&lt;=КаникулыРоялти),0,N32*IF(РоялтиПоГруппам="Да",MeanMinAge12+N9*SUMIF(ThresholdAge12,"&lt;"&amp;N9,WeightedRevAge12)-SUMIF(ThresholdAge12,"&lt;"&amp;N9,WeightedMinAge12),MAX(CapacityAge12*АбонементНовых*N9,MeanMinAge12)))</f>
        <v/>
      </c>
      <c r="O59" s="5">
        <f>IF(OR(O32=0,12&lt;=КаникулыРоялти),0,O32*IF(РоялтиПоГруппам="Да",MeanMinAge12+O9*SUMIF(ThresholdAge12,"&lt;"&amp;O9,WeightedRevAge12)-SUMIF(ThresholdAge12,"&lt;"&amp;O9,WeightedMinAge12),MAX(CapacityAge12*АбонементНовых*O9,MeanMinAge12)))</f>
        <v/>
      </c>
      <c r="P59" s="5">
        <f>IF(OR(P32=0,12&lt;=КаникулыРоялти),0,P32*IF(РоялтиПоГруппам="Да",MeanMinAge12+P9*SUMIF(ThresholdAge12,"&lt;"&amp;P9,WeightedRevAge12)-SUMIF(ThresholdAge12,"&lt;"&amp;P9,WeightedMinAge12),MAX(CapacityAge12*АбонементНовых*P9,MeanMinAge12)))</f>
        <v/>
      </c>
      <c r="Q59" s="5">
        <f>IF(OR(Q32=0,12&lt;=КаникулыРоялти),0,Q32*IF(РоялтиПоГруппам="Да",MeanMinAge12+Q9*SUMIF(ThresholdAge12,"&lt;"&amp;Q9,WeightedRevAge12)-SUMIF(ThresholdAge12,"&lt;"&amp;Q9,WeightedMinAge12),MAX(CapacityAge12*АбонементНовых*Q9,MeanMinAge12)))</f>
        <v/>
      </c>
      <c r="R59" s="5">
        <f>IF(OR(R32=0,12&lt;=КаникулыРоялти),0,R32*IF(РоялтиПоГруппам="Да",MeanMinAge12+R9*SUMIF(ThresholdAge12,"&lt;"&amp;R9,WeightedRevAge12)-SUMIF(ThresholdAge12,"&lt;"&amp;R9,WeightedMinAge12),MAX(CapacityAge12*АбонементНовых*R9,MeanMinAge12)))</f>
        <v/>
      </c>
      <c r="S59" s="5">
        <f>IF(OR(S32=0,12&lt;=КаникулыРоялти),0,S32*IF(РоялтиПоГруппам="Да",MeanMinAge12+S9*SUMIF(ThresholdAge12,"&lt;"&amp;S9,WeightedRevAge12)-SUMIF(ThresholdAge12,"&lt;"&amp;S9,WeightedMinAge12),MAX(CapacityAge12*АбонементНовых*S9,MeanMinAge12)))</f>
        <v/>
      </c>
      <c r="T59" s="5">
        <f>IF(OR(T32=0,12&lt;=КаникулыРоялти),0,T32*IF(РоялтиПоГруппам="Да",MeanMinAge12+T9*SUMIF(ThresholdAge12,"&lt;"&amp;T9,WeightedRevAge12)-SUMIF(ThresholdAge12,"&lt;"&amp;T9,WeightedMinAge12),MAX(CapacityAge12*АбонементНовых*T9,MeanMinAge12)))</f>
        <v/>
      </c>
      <c r="U59" s="5">
        <f>IF(OR(U32=0,12&lt;=КаникулыРоялти),0,U32*IF(РоялтиПоГруппам="Да",MeanMinAge12+U9*SUMIF(ThresholdAge12,"&lt;"&amp;U9,WeightedRevAge12)-SUMIF(ThresholdAge12,"&lt;"&amp;U9,WeightedMinAge12),MAX(CapacityAge12*АбонементНовых*U9,MeanMinAge12)))</f>
        <v/>
      </c>
      <c r="V59" s="5">
        <f>IF(OR(V32=0,12&lt;=КаникулыРоялти),0,V32*IF(РоялтиПоГруппам="Да",MeanMinAge12+V9*SUMIF(ThresholdAge12,"&lt;"&amp;V9,WeightedRevAge12)-SUMIF(ThresholdAge12,"&lt;"&amp;V9,WeightedMinAge12),MAX(CapacityAge12*АбонементНовых*V9,MeanMinAge12)))</f>
        <v/>
      </c>
      <c r="W59" s="5">
        <f>IF(OR(W32=0,12&lt;=КаникулыРоялти),0,W32*IF(РоялтиПоГруппам="Да",MeanMinAge12+W9*SUMIF(ThresholdAge12,"&lt;"&amp;W9,WeightedRevAge12)-SUMIF(ThresholdAge12,"&lt;"&amp;W9,WeightedMinAge12),MAX(CapacityAge12*АбонементНовых*W9,MeanMinAge12)))</f>
        <v/>
      </c>
      <c r="X59" s="5">
        <f>IF(OR(X32=0,12&lt;=КаникулыРоялти),0,X32*IF(РоялтиПоГруппам="Да",MeanMinAge12+X9*SUMIF(ThresholdAge12,"&lt;"&amp;X9,WeightedRevAge12)-SUMIF(ThresholdAge12,"&lt;"&amp;X9,WeightedMinAge12),MAX(CapacityAge12*АбонементНовых*X9,MeanMinAge12)))</f>
        <v/>
      </c>
      <c r="Y59" s="5">
        <f>IF(OR(Y32=0,12&lt;=КаникулыРоялти),0,Y32*IF(РоялтиПоГруппам="Да",MeanMinAge12+Y9*SUMIF(ThresholdAge12,"&lt;"&amp;Y9,WeightedRevAge12)-SUMIF(ThresholdAge12,"&lt;"&amp;Y9,WeightedMinAge12),MAX(CapacityAge12*АбонементНовых*Y9,MeanMinAge12)))</f>
        <v/>
      </c>
      <c r="Z59" s="5">
        <f>IF(OR(Z32=0,12&lt;=КаникулыРоялти),0,Z32*IF(РоялтиПоГруппам="Да",MeanMinAge12+Z9*SUMIF(ThresholdAge12,"&lt;"&amp;Z9,WeightedRevAge12)-SUMIF(ThresholdAge12,"&lt;"&amp;Z9,WeightedMinAge12),MAX(CapacityAge12*АбонементНовых*Z9,MeanMinAge12)))</f>
        <v/>
      </c>
      <c r="AA59" s="5">
        <f>IF(OR(AA32=0,12&lt;=КаникулыРоялти),0,AA32*IF(РоялтиПоГруппам="Да",MeanMinAge12+AA9*SUMIF(ThresholdAge12,"&lt;"&amp;AA9,WeightedRevAge12)-SUMIF(ThresholdAge12,"&lt;"&amp;AA9,WeightedMinAge12),MAX(CapacityAge12*АбонементНовых*AA9,MeanMinAge12)))</f>
        <v/>
      </c>
      <c r="AB59" s="5">
        <f>IF(OR(AB32=0,12&lt;=КаникулыРоялти),0,AB32*IF(РоялтиПоГруппам="Да",MeanMinAge12+AB9*SUMIF(ThresholdAge12,"&lt;"&amp;AB9,WeightedRevAge12)-SUMIF(ThresholdAge12,"&lt;"&amp;AB9,WeightedMinAge12),MAX(CapacityAge12*АбонементНовых*AB9,MeanMinAge12)))</f>
        <v/>
      </c>
      <c r="AC59" s="5">
        <f>IF(OR(AC32=0,12&lt;=КаникулыРоялти),0,AC32*IF(РоялтиПоГруппам="Да",MeanMinAge12+AC9*SUMIF(ThresholdAge12,"&lt;"&amp;AC9,WeightedRevAge12)-SUMIF(ThresholdAge12,"&lt;"&amp;AC9,WeightedMinAge12),MAX(CapacityAge12*АбонементНовых*AC9,MeanMinAge12)))</f>
        <v/>
      </c>
      <c r="AD59" s="5">
        <f>IF(OR(AD32=0,12&lt;=КаникулыРоялти),0,AD32*IF(РоялтиПоГруппам="Да",MeanMinAge12+AD9*SUMIF(ThresholdAge12,"&lt;"&amp;AD9,WeightedRevAge12)-SUMIF(ThresholdAge12,"&lt;"&amp;AD9,WeightedMinAge12),MAX(CapacityAge12*АбонементНовых*AD9,MeanMinAge12)))</f>
        <v/>
      </c>
      <c r="AE59" s="5">
        <f>IF(OR(AE32=0,12&lt;=КаникулыРоялти),0,AE32*IF(РоялтиПоГруппам="Да",MeanMinAge12+AE9*SUMIF(ThresholdAge12,"&lt;"&amp;AE9,WeightedRevAge12)-SUMIF(ThresholdAge12,"&lt;"&amp;AE9,WeightedMinAge12),MAX(CapacityAge12*АбонементНовых*AE9,MeanMinAge12)))</f>
        <v/>
      </c>
      <c r="AF59" s="5">
        <f>IF(OR(AF32=0,12&lt;=КаникулыРоялти),0,AF32*IF(РоялтиПоГруппам="Да",MeanMinAge12+AF9*SUMIF(ThresholdAge12,"&lt;"&amp;AF9,WeightedRevAge12)-SUMIF(ThresholdAge12,"&lt;"&amp;AF9,WeightedMinAge12),MAX(CapacityAge12*АбонементНовых*AF9,MeanMinAge12)))</f>
        <v/>
      </c>
      <c r="AG59" s="5">
        <f>IF(OR(AG32=0,12&lt;=КаникулыРоялти),0,AG32*IF(РоялтиПоГруппам="Да",MeanMinAge12+AG9*SUMIF(ThresholdAge12,"&lt;"&amp;AG9,WeightedRevAge12)-SUMIF(ThresholdAge12,"&lt;"&amp;AG9,WeightedMinAge12),MAX(CapacityAge12*АбонементНовых*AG9,MeanMinAge12)))</f>
        <v/>
      </c>
      <c r="AH59" s="5">
        <f>IF(OR(AH32=0,12&lt;=КаникулыРоялти),0,AH32*IF(РоялтиПоГруппам="Да",MeanMinAge12+AH9*SUMIF(ThresholdAge12,"&lt;"&amp;AH9,WeightedRevAge12)-SUMIF(ThresholdAge12,"&lt;"&amp;AH9,WeightedMinAge12),MAX(CapacityAge12*АбонементНовых*AH9,MeanMinAge12)))</f>
        <v/>
      </c>
      <c r="AI59" s="5">
        <f>IF(OR(AI32=0,12&lt;=КаникулыРоялти),0,AI32*IF(РоялтиПоГруппам="Да",MeanMinAge12+AI9*SUMIF(ThresholdAge12,"&lt;"&amp;AI9,WeightedRevAge12)-SUMIF(ThresholdAge12,"&lt;"&amp;AI9,WeightedMinAge12),MAX(CapacityAge12*АбонементНовых*AI9,MeanMinAge12)))</f>
        <v/>
      </c>
      <c r="AJ59" s="5">
        <f>IF(OR(AJ32=0,12&lt;=КаникулыРоялти),0,AJ32*IF(РоялтиПоГруппам="Да",MeanMinAge12+AJ9*SUMIF(ThresholdAge12,"&lt;"&amp;AJ9,WeightedRevAge12)-SUMIF(ThresholdAge12,"&lt;"&amp;AJ9,WeightedMinAge12),MAX(CapacityAge12*АбонементНовых*AJ9,MeanMinAge12)))</f>
        <v/>
      </c>
      <c r="AK59" s="5">
        <f>IF(OR(AK32=0,12&lt;=КаникулыРоялти),0,AK32*IF(РоялтиПоГруппам="Да",MeanMinAge12+AK9*SUMIF(ThresholdAge12,"&lt;"&amp;AK9,WeightedRevAge12)-SUMIF(ThresholdAge12,"&lt;"&amp;AK9,WeightedMinAge12),MAX(CapacityAge12*АбонементНовых*AK9,MeanMinAge12)))</f>
        <v/>
      </c>
      <c r="AL59" s="5">
        <f>IF(OR(AL32=0,12&lt;=КаникулыРоялти),0,AL32*IF(РоялтиПоГруппам="Да",MeanMinAge12+AL9*SUMIF(ThresholdAge12,"&lt;"&amp;AL9,WeightedRevAge12)-SUMIF(ThresholdAge12,"&lt;"&amp;AL9,WeightedMinAge12),MAX(CapacityAge12*АбонементНовых*AL9,MeanMinAge12)))</f>
        <v/>
      </c>
      <c r="AM59" s="5">
        <f>IF(OR(AM32=0,12&lt;=КаникулыРоялти),0,AM32*IF(РоялтиПоГруппам="Да",MeanMinAge12+AM9*SUMIF(ThresholdAge12,"&lt;"&amp;AM9,WeightedRevAge12)-SUMIF(ThresholdAge12,"&lt;"&amp;AM9,WeightedMinAge12),MAX(CapacityAge12*АбонементНовых*AM9,MeanMinAge12)))</f>
        <v/>
      </c>
      <c r="AN59" s="5">
        <f>IF(OR(AN32=0,12&lt;=КаникулыРоялти),0,AN32*IF(РоялтиПоГруппам="Да",MeanMinAge12+AN9*SUMIF(ThresholdAge12,"&lt;"&amp;AN9,WeightedRevAge12)-SUMIF(ThresholdAge12,"&lt;"&amp;AN9,WeightedMinAge12),MAX(CapacityAge12*АбонементНовых*AN9,MeanMinAge12)))</f>
        <v/>
      </c>
      <c r="AO59" s="5">
        <f>IF(OR(AO32=0,12&lt;=КаникулыРоялти),0,AO32*IF(РоялтиПоГруппам="Да",MeanMinAge12+AO9*SUMIF(ThresholdAge12,"&lt;"&amp;AO9,WeightedRevAge12)-SUMIF(ThresholdAge12,"&lt;"&amp;AO9,WeightedMinAge12),MAX(CapacityAge12*АбонементНовых*AO9,MeanMinAge12)))</f>
        <v/>
      </c>
      <c r="AP59" s="5">
        <f>IF(OR(AP32=0,12&lt;=КаникулыРоялти),0,AP32*IF(РоялтиПоГруппам="Да",MeanMinAge12+AP9*SUMIF(ThresholdAge12,"&lt;"&amp;AP9,WeightedRevAge12)-SUMIF(ThresholdAge12,"&lt;"&amp;AP9,WeightedMinAge12),MAX(CapacityAge12*АбонементНовых*AP9,MeanMinAge12)))</f>
        <v/>
      </c>
      <c r="AQ59" s="5">
        <f>IF(OR(AQ32=0,12&lt;=КаникулыРоялти),0,AQ32*IF(РоялтиПоГруппам="Да",MeanMinAge12+AQ9*SUMIF(ThresholdAge12,"&lt;"&amp;AQ9,WeightedRevAge12)-SUMIF(ThresholdAge12,"&lt;"&amp;AQ9,WeightedMinAge12),MAX(CapacityAge12*АбонементНовых*AQ9,MeanMinAge12)))</f>
        <v/>
      </c>
      <c r="AR59" s="5">
        <f>IF(OR(AR32=0,12&lt;=КаникулыРоялти),0,AR32*IF(РоялтиПоГруппам="Да",MeanMinAge12+AR9*SUMIF(ThresholdAge12,"&lt;"&amp;AR9,WeightedRevAge12)-SUMIF(ThresholdAge12,"&lt;"&amp;AR9,WeightedMinAge12),MAX(CapacityAge12*АбонементНовых*AR9,MeanMinAge12)))</f>
        <v/>
      </c>
      <c r="AS59" s="5">
        <f>IF(OR(AS32=0,12&lt;=КаникулыРоялти),0,AS32*IF(РоялтиПоГруппам="Да",MeanMinAge12+AS9*SUMIF(ThresholdAge12,"&lt;"&amp;AS9,WeightedRevAge12)-SUMIF(ThresholdAge12,"&lt;"&amp;AS9,WeightedMinAge12),MAX(CapacityAge12*АбонементНовых*AS9,MeanMinAge12)))</f>
        <v/>
      </c>
      <c r="AT59" s="5">
        <f>IF(OR(AT32=0,12&lt;=КаникулыРоялти),0,AT32*IF(РоялтиПоГруппам="Да",MeanMinAge12+AT9*SUMIF(ThresholdAge12,"&lt;"&amp;AT9,WeightedRevAge12)-SUMIF(ThresholdAge12,"&lt;"&amp;AT9,WeightedMinAge12),MAX(CapacityAge12*АбонементНовых*AT9,MeanMinAge12)))</f>
        <v/>
      </c>
      <c r="AU59" s="5">
        <f>IF(OR(AU32=0,12&lt;=КаникулыРоялти),0,AU32*IF(РоялтиПоГруппам="Да",MeanMinAge12+AU9*SUMIF(ThresholdAge12,"&lt;"&amp;AU9,WeightedRevAge12)-SUMIF(ThresholdAge12,"&lt;"&amp;AU9,WeightedMinAge12),MAX(CapacityAge12*АбонементНовых*AU9,MeanMinAge12)))</f>
        <v/>
      </c>
      <c r="AV59" s="5">
        <f>IF(OR(AV32=0,12&lt;=КаникулыРоялти),0,AV32*IF(РоялтиПоГруппам="Да",MeanMinAge12+AV9*SUMIF(ThresholdAge12,"&lt;"&amp;AV9,WeightedRevAge12)-SUMIF(ThresholdAge12,"&lt;"&amp;AV9,WeightedMinAge12),MAX(CapacityAge12*АбонементНовых*AV9,MeanMinAge12)))</f>
        <v/>
      </c>
      <c r="AW59" s="5">
        <f>IF(OR(AW32=0,12&lt;=КаникулыРоялти),0,AW32*IF(РоялтиПоГруппам="Да",MeanMinAge12+AW9*SUMIF(ThresholdAge12,"&lt;"&amp;AW9,WeightedRevAge12)-SUMIF(ThresholdAge12,"&lt;"&amp;AW9,WeightedMinAge12),MAX(CapacityAge12*АбонементНовых*AW9,MeanMinAge12)))</f>
        <v/>
      </c>
      <c r="AX59" s="5">
        <f>IF(OR(AX32=0,12&lt;=КаникулыРоялти),0,AX32*IF(РоялтиПоГруппам="Да",MeanMinAge12+AX9*SUMIF(ThresholdAge12,"&lt;"&amp;AX9,WeightedRevAge12)-SUMIF(ThresholdAge12,"&lt;"&amp;AX9,WeightedMinAge12),MAX(CapacityAge12*АбонементНовых*AX9,MeanMinAge12)))</f>
        <v/>
      </c>
      <c r="AY59" s="5">
        <f>IF(OR(AY32=0,12&lt;=КаникулыРоялти),0,AY32*IF(РоялтиПоГруппам="Да",MeanMinAge12+AY9*SUMIF(ThresholdAge12,"&lt;"&amp;AY9,WeightedRevAge12)-SUMIF(ThresholdAge12,"&lt;"&amp;AY9,WeightedMinAge12),MAX(CapacityAge12*АбонементНовых*AY9,MeanMinAge12)))</f>
        <v/>
      </c>
      <c r="AZ59" s="5">
        <f>IF(OR(AZ32=0,12&lt;=КаникулыРоялти),0,AZ32*IF(РоялтиПоГруппам="Да",MeanMinAge12+AZ9*SUMIF(ThresholdAge12,"&lt;"&amp;AZ9,WeightedRevAge12)-SUMIF(ThresholdAge12,"&lt;"&amp;AZ9,WeightedMinAge12),MAX(CapacityAge12*АбонементНовых*AZ9,MeanMinAge12)))</f>
        <v/>
      </c>
      <c r="BA59" s="5">
        <f>IF(OR(BA32=0,12&lt;=КаникулыРоялти),0,BA32*IF(РоялтиПоГруппам="Да",MeanMinAge12+BA9*SUMIF(ThresholdAge12,"&lt;"&amp;BA9,WeightedRevAge12)-SUMIF(ThresholdAge12,"&lt;"&amp;BA9,WeightedMinAge12),MAX(CapacityAge12*АбонементНовых*BA9,MeanMinAge12)))</f>
        <v/>
      </c>
      <c r="BB59" s="5">
        <f>IF(OR(BB32=0,12&lt;=КаникулыРоялти),0,BB32*IF(РоялтиПоГруппам="Да",MeanMinAge12+BB9*SUMIF(ThresholdAge12,"&lt;"&amp;BB9,WeightedRevAge12)-SUMIF(ThresholdAge12,"&lt;"&amp;BB9,WeightedMinAge12),MAX(CapacityAge12*АбонементНовых*BB9,MeanMinAge12)))</f>
        <v/>
      </c>
      <c r="BC59" s="5">
        <f>IF(OR(BC32=0,12&lt;=КаникулыРоялти),0,BC32*IF(РоялтиПоГруппам="Да",MeanMinAge12+BC9*SUMIF(ThresholdAge12,"&lt;"&amp;BC9,WeightedRevAge12)-SUMIF(ThresholdAge12,"&lt;"&amp;BC9,WeightedMinAge12),MAX(CapacityAge12*АбонементНовых*BC9,MeanMinAge12)))</f>
        <v/>
      </c>
      <c r="BD59" s="5">
        <f>IF(OR(BD32=0,12&lt;=КаникулыРоялти),0,BD32*IF(РоялтиПоГруппам="Да",MeanMinAge12+BD9*SUMIF(ThresholdAge12,"&lt;"&amp;BD9,WeightedRevAge12)-SUMIF(ThresholdAge12,"&lt;"&amp;BD9,WeightedMinAge12),MAX(CapacityAge12*АбонементНовых*BD9,MeanMinAge12)))</f>
        <v/>
      </c>
      <c r="BE59" s="5">
        <f>IF(OR(BE32=0,12&lt;=КаникулыРоялти),0,BE32*IF(РоялтиПоГруппам="Да",MeanMinAge12+BE9*SUMIF(ThresholdAge12,"&lt;"&amp;BE9,WeightedRevAge12)-SUMIF(ThresholdAge12,"&lt;"&amp;BE9,WeightedMinAge12),MAX(CapacityAge12*АбонементНовых*BE9,MeanMinAge12)))</f>
        <v/>
      </c>
      <c r="BF59" s="5">
        <f>IF(OR(BF32=0,12&lt;=КаникулыРоялти),0,BF32*IF(РоялтиПоГруппам="Да",MeanMinAge12+BF9*SUMIF(ThresholdAge12,"&lt;"&amp;BF9,WeightedRevAge12)-SUMIF(ThresholdAge12,"&lt;"&amp;BF9,WeightedMinAge12),MAX(CapacityAge12*АбонементНовых*BF9,MeanMinAge12)))</f>
        <v/>
      </c>
      <c r="BG59" s="5">
        <f>IF(OR(BG32=0,12&lt;=КаникулыРоялти),0,BG32*IF(РоялтиПоГруппам="Да",MeanMinAge12+BG9*SUMIF(ThresholdAge12,"&lt;"&amp;BG9,WeightedRevAge12)-SUMIF(ThresholdAge12,"&lt;"&amp;BG9,WeightedMinAge12),MAX(CapacityAge12*АбонементНовых*BG9,MeanMinAge12)))</f>
        <v/>
      </c>
      <c r="BH59" s="5">
        <f>IF(OR(BH32=0,12&lt;=КаникулыРоялти),0,BH32*IF(РоялтиПоГруппам="Да",MeanMinAge12+BH9*SUMIF(ThresholdAge12,"&lt;"&amp;BH9,WeightedRevAge12)-SUMIF(ThresholdAge12,"&lt;"&amp;BH9,WeightedMinAge12),MAX(CapacityAge12*АбонементНовых*BH9,MeanMinAge12)))</f>
        <v/>
      </c>
      <c r="BI59" s="5">
        <f>IF(OR(BI32=0,12&lt;=КаникулыРоялти),0,BI32*IF(РоялтиПоГруппам="Да",MeanMinAge12+BI9*SUMIF(ThresholdAge12,"&lt;"&amp;BI9,WeightedRevAge12)-SUMIF(ThresholdAge12,"&lt;"&amp;BI9,WeightedMinAge12),MAX(CapacityAge12*АбонементНовых*BI9,MeanMinAge12)))</f>
        <v/>
      </c>
      <c r="BJ59" s="5">
        <f>IF(OR(BJ32=0,12&lt;=КаникулыРоялти),0,BJ32*IF(РоялтиПоГруппам="Да",MeanMinAge12+BJ9*SUMIF(ThresholdAge12,"&lt;"&amp;BJ9,WeightedRevAge12)-SUMIF(ThresholdAge12,"&lt;"&amp;BJ9,WeightedMinAge12),MAX(CapacityAge12*АбонементНовых*BJ9,MeanMinAge12)))</f>
        <v/>
      </c>
      <c r="BK59" s="5">
        <f>IF(OR(BK32=0,12&lt;=КаникулыРоялти),0,BK32*IF(РоялтиПоГруппам="Да",MeanMinAge12+BK9*SUMIF(ThresholdAge12,"&lt;"&amp;BK9,WeightedRevAge12)-SUMIF(ThresholdAge12,"&lt;"&amp;BK9,WeightedMinAge12),MAX(CapacityAge12*АбонементНовых*BK9,MeanMinAge12)))</f>
        <v/>
      </c>
      <c r="BL59" s="5">
        <f>IF(OR(BL32=0,12&lt;=КаникулыРоялти),0,BL32*IF(РоялтиПоГруппам="Да",MeanMinAge12+BL9*SUMIF(ThresholdAge12,"&lt;"&amp;BL9,WeightedRevAge12)-SUMIF(ThresholdAge12,"&lt;"&amp;BL9,WeightedMinAge12),MAX(CapacityAge12*АбонементНовых*BL9,MeanMinAge12)))</f>
        <v/>
      </c>
      <c r="BM59" s="5">
        <f>IF(OR(BM32=0,12&lt;=КаникулыРоялти),0,BM32*IF(РоялтиПоГруппам="Да",MeanMinAge12+BM9*SUMIF(ThresholdAge12,"&lt;"&amp;BM9,WeightedRevAge12)-SUMIF(ThresholdAge12,"&lt;"&amp;BM9,WeightedMinAge12),MAX(CapacityAge12*АбонементНовых*BM9,MeanMinAge12)))</f>
        <v/>
      </c>
      <c r="BN59" s="5">
        <f>IF(OR(BN32=0,12&lt;=КаникулыРоялти),0,BN32*IF(РоялтиПоГруппам="Да",MeanMinAge12+BN9*SUMIF(ThresholdAge12,"&lt;"&amp;BN9,WeightedRevAge12)-SUMIF(ThresholdAge12,"&lt;"&amp;BN9,WeightedMinAge12),MAX(CapacityAge12*АбонементНовых*BN9,MeanMinAge12)))</f>
        <v/>
      </c>
      <c r="BO59" s="5">
        <f>IF(OR(BO32=0,12&lt;=КаникулыРоялти),0,BO32*IF(РоялтиПоГруппам="Да",MeanMinAge12+BO9*SUMIF(ThresholdAge12,"&lt;"&amp;BO9,WeightedRevAge12)-SUMIF(ThresholdAge12,"&lt;"&amp;BO9,WeightedMinAge12),MAX(CapacityAge12*АбонементНовых*BO9,MeanMinAge12)))</f>
        <v/>
      </c>
      <c r="BP59" s="5">
        <f>IF(OR(BP32=0,12&lt;=КаникулыРоялти),0,BP32*IF(РоялтиПоГруппам="Да",MeanMinAge12+BP9*SUMIF(ThresholdAge12,"&lt;"&amp;BP9,WeightedRevAge12)-SUMIF(ThresholdAge12,"&lt;"&amp;BP9,WeightedMinAge12),MAX(CapacityAge12*АбонементНовых*BP9,MeanMinAge12)))</f>
        <v/>
      </c>
      <c r="BQ59" s="5">
        <f>IF(OR(BQ32=0,12&lt;=КаникулыРоялти),0,BQ32*IF(РоялтиПоГруппам="Да",MeanMinAge12+BQ9*SUMIF(ThresholdAge12,"&lt;"&amp;BQ9,WeightedRevAge12)-SUMIF(ThresholdAge12,"&lt;"&amp;BQ9,WeightedMinAge12),MAX(CapacityAge12*АбонементНовых*BQ9,MeanMinAge12)))</f>
        <v/>
      </c>
      <c r="BR59" s="5">
        <f>IF(OR(BR32=0,12&lt;=КаникулыРоялти),0,BR32*IF(РоялтиПоГруппам="Да",MeanMinAge12+BR9*SUMIF(ThresholdAge12,"&lt;"&amp;BR9,WeightedRevAge12)-SUMIF(ThresholdAge12,"&lt;"&amp;BR9,WeightedMinAge12),MAX(CapacityAge12*АбонементНовых*BR9,MeanMinAge12)))</f>
        <v/>
      </c>
      <c r="BS59" s="5">
        <f>IF(OR(BS32=0,12&lt;=КаникулыРоялти),0,BS32*IF(РоялтиПоГруппам="Да",MeanMinAge12+BS9*SUMIF(ThresholdAge12,"&lt;"&amp;BS9,WeightedRevAge12)-SUMIF(ThresholdAge12,"&lt;"&amp;BS9,WeightedMinAge12),MAX(CapacityAge12*АбонементНовых*BS9,MeanMinAge12)))</f>
        <v/>
      </c>
      <c r="BT59" s="5">
        <f>IF(OR(BT32=0,12&lt;=КаникулыРоялти),0,BT32*IF(РоялтиПоГруппам="Да",MeanMinAge12+BT9*SUMIF(ThresholdAge12,"&lt;"&amp;BT9,WeightedRevAge12)-SUMIF(ThresholdAge12,"&lt;"&amp;BT9,WeightedMinAge12),MAX(CapacityAge12*АбонементНовых*BT9,MeanMinAge12)))</f>
        <v/>
      </c>
      <c r="BU59" s="5">
        <f>IF(OR(BU32=0,12&lt;=КаникулыРоялти),0,BU32*IF(РоялтиПоГруппам="Да",MeanMinAge12+BU9*SUMIF(ThresholdAge12,"&lt;"&amp;BU9,WeightedRevAge12)-SUMIF(ThresholdAge12,"&lt;"&amp;BU9,WeightedMinAge12),MAX(CapacityAge12*АбонементНовых*BU9,MeanMinAge12)))</f>
        <v/>
      </c>
      <c r="BV59" s="5">
        <f>IF(OR(BV32=0,12&lt;=КаникулыРоялти),0,BV32*IF(РоялтиПоГруппам="Да",MeanMinAge12+BV9*SUMIF(ThresholdAge12,"&lt;"&amp;BV9,WeightedRevAge12)-SUMIF(ThresholdAge12,"&lt;"&amp;BV9,WeightedMinAge12),MAX(CapacityAge12*АбонементНовых*BV9,MeanMinAge12)))</f>
        <v/>
      </c>
      <c r="BW59" s="5">
        <f>IF(OR(BW32=0,12&lt;=КаникулыРоялти),0,BW32*IF(РоялтиПоГруппам="Да",MeanMinAge12+BW9*SUMIF(ThresholdAge12,"&lt;"&amp;BW9,WeightedRevAge12)-SUMIF(ThresholdAge12,"&lt;"&amp;BW9,WeightedMinAge12),MAX(CapacityAge12*АбонементНовых*BW9,MeanMinAge12)))</f>
        <v/>
      </c>
      <c r="BX59" s="5">
        <f>IF(OR(BX32=0,12&lt;=КаникулыРоялти),0,BX32*IF(РоялтиПоГруппам="Да",MeanMinAge12+BX9*SUMIF(ThresholdAge12,"&lt;"&amp;BX9,WeightedRevAge12)-SUMIF(ThresholdAge12,"&lt;"&amp;BX9,WeightedMinAge12),MAX(CapacityAge12*АбонементНовых*BX9,MeanMinAge12)))</f>
        <v/>
      </c>
      <c r="BY59" s="5">
        <f>IF(OR(BY32=0,12&lt;=КаникулыРоялти),0,BY32*IF(РоялтиПоГруппам="Да",MeanMinAge12+BY9*SUMIF(ThresholdAge12,"&lt;"&amp;BY9,WeightedRevAge12)-SUMIF(ThresholdAge12,"&lt;"&amp;BY9,WeightedMinAge12),MAX(CapacityAge12*АбонементНовых*BY9,MeanMinAge12)))</f>
        <v/>
      </c>
    </row>
    <row r="60">
      <c r="B60" t="inlineStr">
        <is>
          <t>13 мес.</t>
        </is>
      </c>
      <c r="C60" t="inlineStr">
        <is>
          <t>₽</t>
        </is>
      </c>
      <c r="D60" s="127" t="inlineStr"/>
      <c r="E60" s="129">
        <f>SUM(L60:W60)</f>
        <v/>
      </c>
      <c r="F60" s="129">
        <f>SUM(X60:AI60)</f>
        <v/>
      </c>
      <c r="G60" s="129">
        <f>SUM(AJ60:AU60)</f>
        <v/>
      </c>
      <c r="H60" s="129">
        <f>SUM(AV60:BG60)</f>
        <v/>
      </c>
      <c r="I60" s="129">
        <f>SUM(BH60:BS60)</f>
        <v/>
      </c>
      <c r="J60" s="6">
        <f>SUM(L60:BS60)</f>
        <v/>
      </c>
      <c r="L60" s="5">
        <f>IF(OR(L33=0,13&lt;=КаникулыРоялти),0,L33*IF(РоялтиПоГруппам="Да",MeanMinAge13+L9*SUMIF(ThresholdAge13,"&lt;"&amp;L9,WeightedRevAge13)-SUMIF(ThresholdAge13,"&lt;"&amp;L9,WeightedMinAge13),MAX(CapacityAge13*АбонементНовых*L9,MeanMinAge13)))</f>
        <v/>
      </c>
      <c r="M60" s="5">
        <f>IF(OR(M33=0,13&lt;=КаникулыРоялти),0,M33*IF(РоялтиПоГруппам="Да",MeanMinAge13+M9*SUMIF(ThresholdAge13,"&lt;"&amp;M9,WeightedRevAge13)-SUMIF(ThresholdAge13,"&lt;"&amp;M9,WeightedMinAge13),MAX(CapacityAge13*АбонементНовых*M9,MeanMinAge13)))</f>
        <v/>
      </c>
      <c r="N60" s="5">
        <f>IF(OR(N33=0,13&lt;=КаникулыРоялти),0,N33*IF(РоялтиПоГруппам="Да",MeanMinAge13+N9*SUMIF(ThresholdAge13,"&lt;"&amp;N9,WeightedRevAge13)-SUMIF(ThresholdAge13,"&lt;"&amp;N9,WeightedMinAge13),MAX(CapacityAge13*АбонементНовых*N9,MeanMinAge13)))</f>
        <v/>
      </c>
      <c r="O60" s="5">
        <f>IF(OR(O33=0,13&lt;=КаникулыРоялти),0,O33*IF(РоялтиПоГруппам="Да",MeanMinAge13+O9*SUMIF(ThresholdAge13,"&lt;"&amp;O9,WeightedRevAge13)-SUMIF(ThresholdAge13,"&lt;"&amp;O9,WeightedMinAge13),MAX(CapacityAge13*АбонементНовых*O9,MeanMinAge13)))</f>
        <v/>
      </c>
      <c r="P60" s="5">
        <f>IF(OR(P33=0,13&lt;=КаникулыРоялти),0,P33*IF(РоялтиПоГруппам="Да",MeanMinAge13+P9*SUMIF(ThresholdAge13,"&lt;"&amp;P9,WeightedRevAge13)-SUMIF(ThresholdAge13,"&lt;"&amp;P9,WeightedMinAge13),MAX(CapacityAge13*АбонементНовых*P9,MeanMinAge13)))</f>
        <v/>
      </c>
      <c r="Q60" s="5">
        <f>IF(OR(Q33=0,13&lt;=КаникулыРоялти),0,Q33*IF(РоялтиПоГруппам="Да",MeanMinAge13+Q9*SUMIF(ThresholdAge13,"&lt;"&amp;Q9,WeightedRevAge13)-SUMIF(ThresholdAge13,"&lt;"&amp;Q9,WeightedMinAge13),MAX(CapacityAge13*АбонементНовых*Q9,MeanMinAge13)))</f>
        <v/>
      </c>
      <c r="R60" s="5">
        <f>IF(OR(R33=0,13&lt;=КаникулыРоялти),0,R33*IF(РоялтиПоГруппам="Да",MeanMinAge13+R9*SUMIF(ThresholdAge13,"&lt;"&amp;R9,WeightedRevAge13)-SUMIF(ThresholdAge13,"&lt;"&amp;R9,WeightedMinAge13),MAX(CapacityAge13*АбонементНовых*R9,MeanMinAge13)))</f>
        <v/>
      </c>
      <c r="S60" s="5">
        <f>IF(OR(S33=0,13&lt;=КаникулыРоялти),0,S33*IF(РоялтиПоГруппам="Да",MeanMinAge13+S9*SUMIF(ThresholdAge13,"&lt;"&amp;S9,WeightedRevAge13)-SUMIF(ThresholdAge13,"&lt;"&amp;S9,WeightedMinAge13),MAX(CapacityAge13*АбонементНовых*S9,MeanMinAge13)))</f>
        <v/>
      </c>
      <c r="T60" s="5">
        <f>IF(OR(T33=0,13&lt;=КаникулыРоялти),0,T33*IF(РоялтиПоГруппам="Да",MeanMinAge13+T9*SUMIF(ThresholdAge13,"&lt;"&amp;T9,WeightedRevAge13)-SUMIF(ThresholdAge13,"&lt;"&amp;T9,WeightedMinAge13),MAX(CapacityAge13*АбонементНовых*T9,MeanMinAge13)))</f>
        <v/>
      </c>
      <c r="U60" s="5">
        <f>IF(OR(U33=0,13&lt;=КаникулыРоялти),0,U33*IF(РоялтиПоГруппам="Да",MeanMinAge13+U9*SUMIF(ThresholdAge13,"&lt;"&amp;U9,WeightedRevAge13)-SUMIF(ThresholdAge13,"&lt;"&amp;U9,WeightedMinAge13),MAX(CapacityAge13*АбонементНовых*U9,MeanMinAge13)))</f>
        <v/>
      </c>
      <c r="V60" s="5">
        <f>IF(OR(V33=0,13&lt;=КаникулыРоялти),0,V33*IF(РоялтиПоГруппам="Да",MeanMinAge13+V9*SUMIF(ThresholdAge13,"&lt;"&amp;V9,WeightedRevAge13)-SUMIF(ThresholdAge13,"&lt;"&amp;V9,WeightedMinAge13),MAX(CapacityAge13*АбонементНовых*V9,MeanMinAge13)))</f>
        <v/>
      </c>
      <c r="W60" s="5">
        <f>IF(OR(W33=0,13&lt;=КаникулыРоялти),0,W33*IF(РоялтиПоГруппам="Да",MeanMinAge13+W9*SUMIF(ThresholdAge13,"&lt;"&amp;W9,WeightedRevAge13)-SUMIF(ThresholdAge13,"&lt;"&amp;W9,WeightedMinAge13),MAX(CapacityAge13*АбонементНовых*W9,MeanMinAge13)))</f>
        <v/>
      </c>
      <c r="X60" s="5">
        <f>IF(OR(X33=0,13&lt;=КаникулыРоялти),0,X33*IF(РоялтиПоГруппам="Да",MeanMinAge13+X9*SUMIF(ThresholdAge13,"&lt;"&amp;X9,WeightedRevAge13)-SUMIF(ThresholdAge13,"&lt;"&amp;X9,WeightedMinAge13),MAX(CapacityAge13*АбонементНовых*X9,MeanMinAge13)))</f>
        <v/>
      </c>
      <c r="Y60" s="5">
        <f>IF(OR(Y33=0,13&lt;=КаникулыРоялти),0,Y33*IF(РоялтиПоГруппам="Да",MeanMinAge13+Y9*SUMIF(ThresholdAge13,"&lt;"&amp;Y9,WeightedRevAge13)-SUMIF(ThresholdAge13,"&lt;"&amp;Y9,WeightedMinAge13),MAX(CapacityAge13*АбонементНовых*Y9,MeanMinAge13)))</f>
        <v/>
      </c>
      <c r="Z60" s="5">
        <f>IF(OR(Z33=0,13&lt;=КаникулыРоялти),0,Z33*IF(РоялтиПоГруппам="Да",MeanMinAge13+Z9*SUMIF(ThresholdAge13,"&lt;"&amp;Z9,WeightedRevAge13)-SUMIF(ThresholdAge13,"&lt;"&amp;Z9,WeightedMinAge13),MAX(CapacityAge13*АбонементНовых*Z9,MeanMinAge13)))</f>
        <v/>
      </c>
      <c r="AA60" s="5">
        <f>IF(OR(AA33=0,13&lt;=КаникулыРоялти),0,AA33*IF(РоялтиПоГруппам="Да",MeanMinAge13+AA9*SUMIF(ThresholdAge13,"&lt;"&amp;AA9,WeightedRevAge13)-SUMIF(ThresholdAge13,"&lt;"&amp;AA9,WeightedMinAge13),MAX(CapacityAge13*АбонементНовых*AA9,MeanMinAge13)))</f>
        <v/>
      </c>
      <c r="AB60" s="5">
        <f>IF(OR(AB33=0,13&lt;=КаникулыРоялти),0,AB33*IF(РоялтиПоГруппам="Да",MeanMinAge13+AB9*SUMIF(ThresholdAge13,"&lt;"&amp;AB9,WeightedRevAge13)-SUMIF(ThresholdAge13,"&lt;"&amp;AB9,WeightedMinAge13),MAX(CapacityAge13*АбонементНовых*AB9,MeanMinAge13)))</f>
        <v/>
      </c>
      <c r="AC60" s="5">
        <f>IF(OR(AC33=0,13&lt;=КаникулыРоялти),0,AC33*IF(РоялтиПоГруппам="Да",MeanMinAge13+AC9*SUMIF(ThresholdAge13,"&lt;"&amp;AC9,WeightedRevAge13)-SUMIF(ThresholdAge13,"&lt;"&amp;AC9,WeightedMinAge13),MAX(CapacityAge13*АбонементНовых*AC9,MeanMinAge13)))</f>
        <v/>
      </c>
      <c r="AD60" s="5">
        <f>IF(OR(AD33=0,13&lt;=КаникулыРоялти),0,AD33*IF(РоялтиПоГруппам="Да",MeanMinAge13+AD9*SUMIF(ThresholdAge13,"&lt;"&amp;AD9,WeightedRevAge13)-SUMIF(ThresholdAge13,"&lt;"&amp;AD9,WeightedMinAge13),MAX(CapacityAge13*АбонементНовых*AD9,MeanMinAge13)))</f>
        <v/>
      </c>
      <c r="AE60" s="5">
        <f>IF(OR(AE33=0,13&lt;=КаникулыРоялти),0,AE33*IF(РоялтиПоГруппам="Да",MeanMinAge13+AE9*SUMIF(ThresholdAge13,"&lt;"&amp;AE9,WeightedRevAge13)-SUMIF(ThresholdAge13,"&lt;"&amp;AE9,WeightedMinAge13),MAX(CapacityAge13*АбонементНовых*AE9,MeanMinAge13)))</f>
        <v/>
      </c>
      <c r="AF60" s="5">
        <f>IF(OR(AF33=0,13&lt;=КаникулыРоялти),0,AF33*IF(РоялтиПоГруппам="Да",MeanMinAge13+AF9*SUMIF(ThresholdAge13,"&lt;"&amp;AF9,WeightedRevAge13)-SUMIF(ThresholdAge13,"&lt;"&amp;AF9,WeightedMinAge13),MAX(CapacityAge13*АбонементНовых*AF9,MeanMinAge13)))</f>
        <v/>
      </c>
      <c r="AG60" s="5">
        <f>IF(OR(AG33=0,13&lt;=КаникулыРоялти),0,AG33*IF(РоялтиПоГруппам="Да",MeanMinAge13+AG9*SUMIF(ThresholdAge13,"&lt;"&amp;AG9,WeightedRevAge13)-SUMIF(ThresholdAge13,"&lt;"&amp;AG9,WeightedMinAge13),MAX(CapacityAge13*АбонементНовых*AG9,MeanMinAge13)))</f>
        <v/>
      </c>
      <c r="AH60" s="5">
        <f>IF(OR(AH33=0,13&lt;=КаникулыРоялти),0,AH33*IF(РоялтиПоГруппам="Да",MeanMinAge13+AH9*SUMIF(ThresholdAge13,"&lt;"&amp;AH9,WeightedRevAge13)-SUMIF(ThresholdAge13,"&lt;"&amp;AH9,WeightedMinAge13),MAX(CapacityAge13*АбонементНовых*AH9,MeanMinAge13)))</f>
        <v/>
      </c>
      <c r="AI60" s="5">
        <f>IF(OR(AI33=0,13&lt;=КаникулыРоялти),0,AI33*IF(РоялтиПоГруппам="Да",MeanMinAge13+AI9*SUMIF(ThresholdAge13,"&lt;"&amp;AI9,WeightedRevAge13)-SUMIF(ThresholdAge13,"&lt;"&amp;AI9,WeightedMinAge13),MAX(CapacityAge13*АбонементНовых*AI9,MeanMinAge13)))</f>
        <v/>
      </c>
      <c r="AJ60" s="5">
        <f>IF(OR(AJ33=0,13&lt;=КаникулыРоялти),0,AJ33*IF(РоялтиПоГруппам="Да",MeanMinAge13+AJ9*SUMIF(ThresholdAge13,"&lt;"&amp;AJ9,WeightedRevAge13)-SUMIF(ThresholdAge13,"&lt;"&amp;AJ9,WeightedMinAge13),MAX(CapacityAge13*АбонементНовых*AJ9,MeanMinAge13)))</f>
        <v/>
      </c>
      <c r="AK60" s="5">
        <f>IF(OR(AK33=0,13&lt;=КаникулыРоялти),0,AK33*IF(РоялтиПоГруппам="Да",MeanMinAge13+AK9*SUMIF(ThresholdAge13,"&lt;"&amp;AK9,WeightedRevAge13)-SUMIF(ThresholdAge13,"&lt;"&amp;AK9,WeightedMinAge13),MAX(CapacityAge13*АбонементНовых*AK9,MeanMinAge13)))</f>
        <v/>
      </c>
      <c r="AL60" s="5">
        <f>IF(OR(AL33=0,13&lt;=КаникулыРоялти),0,AL33*IF(РоялтиПоГруппам="Да",MeanMinAge13+AL9*SUMIF(ThresholdAge13,"&lt;"&amp;AL9,WeightedRevAge13)-SUMIF(ThresholdAge13,"&lt;"&amp;AL9,WeightedMinAge13),MAX(CapacityAge13*АбонементНовых*AL9,MeanMinAge13)))</f>
        <v/>
      </c>
      <c r="AM60" s="5">
        <f>IF(OR(AM33=0,13&lt;=КаникулыРоялти),0,AM33*IF(РоялтиПоГруппам="Да",MeanMinAge13+AM9*SUMIF(ThresholdAge13,"&lt;"&amp;AM9,WeightedRevAge13)-SUMIF(ThresholdAge13,"&lt;"&amp;AM9,WeightedMinAge13),MAX(CapacityAge13*АбонементНовых*AM9,MeanMinAge13)))</f>
        <v/>
      </c>
      <c r="AN60" s="5">
        <f>IF(OR(AN33=0,13&lt;=КаникулыРоялти),0,AN33*IF(РоялтиПоГруппам="Да",MeanMinAge13+AN9*SUMIF(ThresholdAge13,"&lt;"&amp;AN9,WeightedRevAge13)-SUMIF(ThresholdAge13,"&lt;"&amp;AN9,WeightedMinAge13),MAX(CapacityAge13*АбонементНовых*AN9,MeanMinAge13)))</f>
        <v/>
      </c>
      <c r="AO60" s="5">
        <f>IF(OR(AO33=0,13&lt;=КаникулыРоялти),0,AO33*IF(РоялтиПоГруппам="Да",MeanMinAge13+AO9*SUMIF(ThresholdAge13,"&lt;"&amp;AO9,WeightedRevAge13)-SUMIF(ThresholdAge13,"&lt;"&amp;AO9,WeightedMinAge13),MAX(CapacityAge13*АбонементНовых*AO9,MeanMinAge13)))</f>
        <v/>
      </c>
      <c r="AP60" s="5">
        <f>IF(OR(AP33=0,13&lt;=КаникулыРоялти),0,AP33*IF(РоялтиПоГруппам="Да",MeanMinAge13+AP9*SUMIF(ThresholdAge13,"&lt;"&amp;AP9,WeightedRevAge13)-SUMIF(ThresholdAge13,"&lt;"&amp;AP9,WeightedMinAge13),MAX(CapacityAge13*АбонементНовых*AP9,MeanMinAge13)))</f>
        <v/>
      </c>
      <c r="AQ60" s="5">
        <f>IF(OR(AQ33=0,13&lt;=КаникулыРоялти),0,AQ33*IF(РоялтиПоГруппам="Да",MeanMinAge13+AQ9*SUMIF(ThresholdAge13,"&lt;"&amp;AQ9,WeightedRevAge13)-SUMIF(ThresholdAge13,"&lt;"&amp;AQ9,WeightedMinAge13),MAX(CapacityAge13*АбонементНовых*AQ9,MeanMinAge13)))</f>
        <v/>
      </c>
      <c r="AR60" s="5">
        <f>IF(OR(AR33=0,13&lt;=КаникулыРоялти),0,AR33*IF(РоялтиПоГруппам="Да",MeanMinAge13+AR9*SUMIF(ThresholdAge13,"&lt;"&amp;AR9,WeightedRevAge13)-SUMIF(ThresholdAge13,"&lt;"&amp;AR9,WeightedMinAge13),MAX(CapacityAge13*АбонементНовых*AR9,MeanMinAge13)))</f>
        <v/>
      </c>
      <c r="AS60" s="5">
        <f>IF(OR(AS33=0,13&lt;=КаникулыРоялти),0,AS33*IF(РоялтиПоГруппам="Да",MeanMinAge13+AS9*SUMIF(ThresholdAge13,"&lt;"&amp;AS9,WeightedRevAge13)-SUMIF(ThresholdAge13,"&lt;"&amp;AS9,WeightedMinAge13),MAX(CapacityAge13*АбонементНовых*AS9,MeanMinAge13)))</f>
        <v/>
      </c>
      <c r="AT60" s="5">
        <f>IF(OR(AT33=0,13&lt;=КаникулыРоялти),0,AT33*IF(РоялтиПоГруппам="Да",MeanMinAge13+AT9*SUMIF(ThresholdAge13,"&lt;"&amp;AT9,WeightedRevAge13)-SUMIF(ThresholdAge13,"&lt;"&amp;AT9,WeightedMinAge13),MAX(CapacityAge13*АбонементНовых*AT9,MeanMinAge13)))</f>
        <v/>
      </c>
      <c r="AU60" s="5">
        <f>IF(OR(AU33=0,13&lt;=КаникулыРоялти),0,AU33*IF(РоялтиПоГруппам="Да",MeanMinAge13+AU9*SUMIF(ThresholdAge13,"&lt;"&amp;AU9,WeightedRevAge13)-SUMIF(ThresholdAge13,"&lt;"&amp;AU9,WeightedMinAge13),MAX(CapacityAge13*АбонементНовых*AU9,MeanMinAge13)))</f>
        <v/>
      </c>
      <c r="AV60" s="5">
        <f>IF(OR(AV33=0,13&lt;=КаникулыРоялти),0,AV33*IF(РоялтиПоГруппам="Да",MeanMinAge13+AV9*SUMIF(ThresholdAge13,"&lt;"&amp;AV9,WeightedRevAge13)-SUMIF(ThresholdAge13,"&lt;"&amp;AV9,WeightedMinAge13),MAX(CapacityAge13*АбонементНовых*AV9,MeanMinAge13)))</f>
        <v/>
      </c>
      <c r="AW60" s="5">
        <f>IF(OR(AW33=0,13&lt;=КаникулыРоялти),0,AW33*IF(РоялтиПоГруппам="Да",MeanMinAge13+AW9*SUMIF(ThresholdAge13,"&lt;"&amp;AW9,WeightedRevAge13)-SUMIF(ThresholdAge13,"&lt;"&amp;AW9,WeightedMinAge13),MAX(CapacityAge13*АбонементНовых*AW9,MeanMinAge13)))</f>
        <v/>
      </c>
      <c r="AX60" s="5">
        <f>IF(OR(AX33=0,13&lt;=КаникулыРоялти),0,AX33*IF(РоялтиПоГруппам="Да",MeanMinAge13+AX9*SUMIF(ThresholdAge13,"&lt;"&amp;AX9,WeightedRevAge13)-SUMIF(ThresholdAge13,"&lt;"&amp;AX9,WeightedMinAge13),MAX(CapacityAge13*АбонементНовых*AX9,MeanMinAge13)))</f>
        <v/>
      </c>
      <c r="AY60" s="5">
        <f>IF(OR(AY33=0,13&lt;=КаникулыРоялти),0,AY33*IF(РоялтиПоГруппам="Да",MeanMinAge13+AY9*SUMIF(ThresholdAge13,"&lt;"&amp;AY9,WeightedRevAge13)-SUMIF(ThresholdAge13,"&lt;"&amp;AY9,WeightedMinAge13),MAX(CapacityAge13*АбонементНовых*AY9,MeanMinAge13)))</f>
        <v/>
      </c>
      <c r="AZ60" s="5">
        <f>IF(OR(AZ33=0,13&lt;=КаникулыРоялти),0,AZ33*IF(РоялтиПоГруппам="Да",MeanMinAge13+AZ9*SUMIF(ThresholdAge13,"&lt;"&amp;AZ9,WeightedRevAge13)-SUMIF(ThresholdAge13,"&lt;"&amp;AZ9,WeightedMinAge13),MAX(CapacityAge13*АбонементНовых*AZ9,MeanMinAge13)))</f>
        <v/>
      </c>
      <c r="BA60" s="5">
        <f>IF(OR(BA33=0,13&lt;=КаникулыРоялти),0,BA33*IF(РоялтиПоГруппам="Да",MeanMinAge13+BA9*SUMIF(ThresholdAge13,"&lt;"&amp;BA9,WeightedRevAge13)-SUMIF(ThresholdAge13,"&lt;"&amp;BA9,WeightedMinAge13),MAX(CapacityAge13*АбонементНовых*BA9,MeanMinAge13)))</f>
        <v/>
      </c>
      <c r="BB60" s="5">
        <f>IF(OR(BB33=0,13&lt;=КаникулыРоялти),0,BB33*IF(РоялтиПоГруппам="Да",MeanMinAge13+BB9*SUMIF(ThresholdAge13,"&lt;"&amp;BB9,WeightedRevAge13)-SUMIF(ThresholdAge13,"&lt;"&amp;BB9,WeightedMinAge13),MAX(CapacityAge13*АбонементНовых*BB9,MeanMinAge13)))</f>
        <v/>
      </c>
      <c r="BC60" s="5">
        <f>IF(OR(BC33=0,13&lt;=КаникулыРоялти),0,BC33*IF(РоялтиПоГруппам="Да",MeanMinAge13+BC9*SUMIF(ThresholdAge13,"&lt;"&amp;BC9,WeightedRevAge13)-SUMIF(ThresholdAge13,"&lt;"&amp;BC9,WeightedMinAge13),MAX(CapacityAge13*АбонементНовых*BC9,MeanMinAge13)))</f>
        <v/>
      </c>
      <c r="BD60" s="5">
        <f>IF(OR(BD33=0,13&lt;=КаникулыРоялти),0,BD33*IF(РоялтиПоГруппам="Да",MeanMinAge13+BD9*SUMIF(ThresholdAge13,"&lt;"&amp;BD9,WeightedRevAge13)-SUMIF(ThresholdAge13,"&lt;"&amp;BD9,WeightedMinAge13),MAX(CapacityAge13*АбонементНовых*BD9,MeanMinAge13)))</f>
        <v/>
      </c>
      <c r="BE60" s="5">
        <f>IF(OR(BE33=0,13&lt;=КаникулыРоялти),0,BE33*IF(РоялтиПоГруппам="Да",MeanMinAge13+BE9*SUMIF(ThresholdAge13,"&lt;"&amp;BE9,WeightedRevAge13)-SUMIF(ThresholdAge13,"&lt;"&amp;BE9,WeightedMinAge13),MAX(CapacityAge13*АбонементНовых*BE9,MeanMinAge13)))</f>
        <v/>
      </c>
      <c r="BF60" s="5">
        <f>IF(OR(BF33=0,13&lt;=КаникулыРоялти),0,BF33*IF(РоялтиПоГруппам="Да",MeanMinAge13+BF9*SUMIF(ThresholdAge13,"&lt;"&amp;BF9,WeightedRevAge13)-SUMIF(ThresholdAge13,"&lt;"&amp;BF9,WeightedMinAge13),MAX(CapacityAge13*АбонементНовых*BF9,MeanMinAge13)))</f>
        <v/>
      </c>
      <c r="BG60" s="5">
        <f>IF(OR(BG33=0,13&lt;=КаникулыРоялти),0,BG33*IF(РоялтиПоГруппам="Да",MeanMinAge13+BG9*SUMIF(ThresholdAge13,"&lt;"&amp;BG9,WeightedRevAge13)-SUMIF(ThresholdAge13,"&lt;"&amp;BG9,WeightedMinAge13),MAX(CapacityAge13*АбонементНовых*BG9,MeanMinAge13)))</f>
        <v/>
      </c>
      <c r="BH60" s="5">
        <f>IF(OR(BH33=0,13&lt;=КаникулыРоялти),0,BH33*IF(РоялтиПоГруппам="Да",MeanMinAge13+BH9*SUMIF(ThresholdAge13,"&lt;"&amp;BH9,WeightedRevAge13)-SUMIF(ThresholdAge13,"&lt;"&amp;BH9,WeightedMinAge13),MAX(CapacityAge13*АбонементНовых*BH9,MeanMinAge13)))</f>
        <v/>
      </c>
      <c r="BI60" s="5">
        <f>IF(OR(BI33=0,13&lt;=КаникулыРоялти),0,BI33*IF(РоялтиПоГруппам="Да",MeanMinAge13+BI9*SUMIF(ThresholdAge13,"&lt;"&amp;BI9,WeightedRevAge13)-SUMIF(ThresholdAge13,"&lt;"&amp;BI9,WeightedMinAge13),MAX(CapacityAge13*АбонементНовых*BI9,MeanMinAge13)))</f>
        <v/>
      </c>
      <c r="BJ60" s="5">
        <f>IF(OR(BJ33=0,13&lt;=КаникулыРоялти),0,BJ33*IF(РоялтиПоГруппам="Да",MeanMinAge13+BJ9*SUMIF(ThresholdAge13,"&lt;"&amp;BJ9,WeightedRevAge13)-SUMIF(ThresholdAge13,"&lt;"&amp;BJ9,WeightedMinAge13),MAX(CapacityAge13*АбонементНовых*BJ9,MeanMinAge13)))</f>
        <v/>
      </c>
      <c r="BK60" s="5">
        <f>IF(OR(BK33=0,13&lt;=КаникулыРоялти),0,BK33*IF(РоялтиПоГруппам="Да",MeanMinAge13+BK9*SUMIF(ThresholdAge13,"&lt;"&amp;BK9,WeightedRevAge13)-SUMIF(ThresholdAge13,"&lt;"&amp;BK9,WeightedMinAge13),MAX(CapacityAge13*АбонементНовых*BK9,MeanMinAge13)))</f>
        <v/>
      </c>
      <c r="BL60" s="5">
        <f>IF(OR(BL33=0,13&lt;=КаникулыРоялти),0,BL33*IF(РоялтиПоГруппам="Да",MeanMinAge13+BL9*SUMIF(ThresholdAge13,"&lt;"&amp;BL9,WeightedRevAge13)-SUMIF(ThresholdAge13,"&lt;"&amp;BL9,WeightedMinAge13),MAX(CapacityAge13*АбонементНовых*BL9,MeanMinAge13)))</f>
        <v/>
      </c>
      <c r="BM60" s="5">
        <f>IF(OR(BM33=0,13&lt;=КаникулыРоялти),0,BM33*IF(РоялтиПоГруппам="Да",MeanMinAge13+BM9*SUMIF(ThresholdAge13,"&lt;"&amp;BM9,WeightedRevAge13)-SUMIF(ThresholdAge13,"&lt;"&amp;BM9,WeightedMinAge13),MAX(CapacityAge13*АбонементНовых*BM9,MeanMinAge13)))</f>
        <v/>
      </c>
      <c r="BN60" s="5">
        <f>IF(OR(BN33=0,13&lt;=КаникулыРоялти),0,BN33*IF(РоялтиПоГруппам="Да",MeanMinAge13+BN9*SUMIF(ThresholdAge13,"&lt;"&amp;BN9,WeightedRevAge13)-SUMIF(ThresholdAge13,"&lt;"&amp;BN9,WeightedMinAge13),MAX(CapacityAge13*АбонементНовых*BN9,MeanMinAge13)))</f>
        <v/>
      </c>
      <c r="BO60" s="5">
        <f>IF(OR(BO33=0,13&lt;=КаникулыРоялти),0,BO33*IF(РоялтиПоГруппам="Да",MeanMinAge13+BO9*SUMIF(ThresholdAge13,"&lt;"&amp;BO9,WeightedRevAge13)-SUMIF(ThresholdAge13,"&lt;"&amp;BO9,WeightedMinAge13),MAX(CapacityAge13*АбонементНовых*BO9,MeanMinAge13)))</f>
        <v/>
      </c>
      <c r="BP60" s="5">
        <f>IF(OR(BP33=0,13&lt;=КаникулыРоялти),0,BP33*IF(РоялтиПоГруппам="Да",MeanMinAge13+BP9*SUMIF(ThresholdAge13,"&lt;"&amp;BP9,WeightedRevAge13)-SUMIF(ThresholdAge13,"&lt;"&amp;BP9,WeightedMinAge13),MAX(CapacityAge13*АбонементНовых*BP9,MeanMinAge13)))</f>
        <v/>
      </c>
      <c r="BQ60" s="5">
        <f>IF(OR(BQ33=0,13&lt;=КаникулыРоялти),0,BQ33*IF(РоялтиПоГруппам="Да",MeanMinAge13+BQ9*SUMIF(ThresholdAge13,"&lt;"&amp;BQ9,WeightedRevAge13)-SUMIF(ThresholdAge13,"&lt;"&amp;BQ9,WeightedMinAge13),MAX(CapacityAge13*АбонементНовых*BQ9,MeanMinAge13)))</f>
        <v/>
      </c>
      <c r="BR60" s="5">
        <f>IF(OR(BR33=0,13&lt;=КаникулыРоялти),0,BR33*IF(РоялтиПоГруппам="Да",MeanMinAge13+BR9*SUMIF(ThresholdAge13,"&lt;"&amp;BR9,WeightedRevAge13)-SUMIF(ThresholdAge13,"&lt;"&amp;BR9,WeightedMinAge13),MAX(CapacityAge13*АбонементНовых*BR9,MeanMinAge13)))</f>
        <v/>
      </c>
      <c r="BS60" s="5">
        <f>IF(OR(BS33=0,13&lt;=КаникулыРоялти),0,BS33*IF(РоялтиПоГруппам="Да",MeanMinAge13+BS9*SUMIF(ThresholdAge13,"&lt;"&amp;BS9,WeightedRevAge13)-SUMIF(ThresholdAge13,"&lt;"&amp;BS9,WeightedMinAge13),MAX(CapacityAge13*АбонементНовых*BS9,MeanMinAge13)))</f>
        <v/>
      </c>
      <c r="BT60" s="5">
        <f>IF(OR(BT33=0,13&lt;=КаникулыРоялти),0,BT33*IF(РоялтиПоГруппам="Да",MeanMinAge13+BT9*SUMIF(ThresholdAge13,"&lt;"&amp;BT9,WeightedRevAge13)-SUMIF(ThresholdAge13,"&lt;"&amp;BT9,WeightedMinAge13),MAX(CapacityAge13*АбонементНовых*BT9,MeanMinAge13)))</f>
        <v/>
      </c>
      <c r="BU60" s="5">
        <f>IF(OR(BU33=0,13&lt;=КаникулыРоялти),0,BU33*IF(РоялтиПоГруппам="Да",MeanMinAge13+BU9*SUMIF(ThresholdAge13,"&lt;"&amp;BU9,WeightedRevAge13)-SUMIF(ThresholdAge13,"&lt;"&amp;BU9,WeightedMinAge13),MAX(CapacityAge13*АбонементНовых*BU9,MeanMinAge13)))</f>
        <v/>
      </c>
      <c r="BV60" s="5">
        <f>IF(OR(BV33=0,13&lt;=КаникулыРоялти),0,BV33*IF(РоялтиПоГруппам="Да",MeanMinAge13+BV9*SUMIF(ThresholdAge13,"&lt;"&amp;BV9,WeightedRevAge13)-SUMIF(ThresholdAge13,"&lt;"&amp;BV9,WeightedMinAge13),MAX(CapacityAge13*АбонементНовых*BV9,MeanMinAge13)))</f>
        <v/>
      </c>
      <c r="BW60" s="5">
        <f>IF(OR(BW33=0,13&lt;=КаникулыРоялти),0,BW33*IF(РоялтиПоГруппам="Да",MeanMinAge13+BW9*SUMIF(ThresholdAge13,"&lt;"&amp;BW9,WeightedRevAge13)-SUMIF(ThresholdAge13,"&lt;"&amp;BW9,WeightedMinAge13),MAX(CapacityAge13*АбонементНовых*BW9,MeanMinAge13)))</f>
        <v/>
      </c>
      <c r="BX60" s="5">
        <f>IF(OR(BX33=0,13&lt;=КаникулыРоялти),0,BX33*IF(РоялтиПоГруппам="Да",MeanMinAge13+BX9*SUMIF(ThresholdAge13,"&lt;"&amp;BX9,WeightedRevAge13)-SUMIF(ThresholdAge13,"&lt;"&amp;BX9,WeightedMinAge13),MAX(CapacityAge13*АбонементНовых*BX9,MeanMinAge13)))</f>
        <v/>
      </c>
      <c r="BY60" s="5">
        <f>IF(OR(BY33=0,13&lt;=КаникулыРоялти),0,BY33*IF(РоялтиПоГруппам="Да",MeanMinAge13+BY9*SUMIF(ThresholdAge13,"&lt;"&amp;BY9,WeightedRevAge13)-SUMIF(ThresholdAge13,"&lt;"&amp;BY9,WeightedMinAge13),MAX(CapacityAge13*АбонементНовых*BY9,MeanMinAge13)))</f>
        <v/>
      </c>
    </row>
    <row r="61">
      <c r="B61" t="inlineStr">
        <is>
          <t>14 мес.</t>
        </is>
      </c>
      <c r="C61" t="inlineStr">
        <is>
          <t>₽</t>
        </is>
      </c>
      <c r="D61" s="127" t="inlineStr"/>
      <c r="E61" s="129">
        <f>SUM(L61:W61)</f>
        <v/>
      </c>
      <c r="F61" s="129">
        <f>SUM(X61:AI61)</f>
        <v/>
      </c>
      <c r="G61" s="129">
        <f>SUM(AJ61:AU61)</f>
        <v/>
      </c>
      <c r="H61" s="129">
        <f>SUM(AV61:BG61)</f>
        <v/>
      </c>
      <c r="I61" s="129">
        <f>SUM(BH61:BS61)</f>
        <v/>
      </c>
      <c r="J61" s="6">
        <f>SUM(L61:BS61)</f>
        <v/>
      </c>
      <c r="L61" s="5">
        <f>IF(OR(L34=0,14&lt;=КаникулыРоялти),0,L34*IF(РоялтиПоГруппам="Да",MeanMinAge14+L9*SUMIF(ThresholdAge14,"&lt;"&amp;L9,WeightedRevAge14)-SUMIF(ThresholdAge14,"&lt;"&amp;L9,WeightedMinAge14),MAX(CapacityAge14*АбонементНовых*L9,MeanMinAge14)))</f>
        <v/>
      </c>
      <c r="M61" s="5">
        <f>IF(OR(M34=0,14&lt;=КаникулыРоялти),0,M34*IF(РоялтиПоГруппам="Да",MeanMinAge14+M9*SUMIF(ThresholdAge14,"&lt;"&amp;M9,WeightedRevAge14)-SUMIF(ThresholdAge14,"&lt;"&amp;M9,WeightedMinAge14),MAX(CapacityAge14*АбонементНовых*M9,MeanMinAge14)))</f>
        <v/>
      </c>
      <c r="N61" s="5">
        <f>IF(OR(N34=0,14&lt;=КаникулыРоялти),0,N34*IF(РоялтиПоГруппам="Да",MeanMinAge14+N9*SUMIF(ThresholdAge14,"&lt;"&amp;N9,WeightedRevAge14)-SUMIF(ThresholdAge14,"&lt;"&amp;N9,WeightedMinAge14),MAX(CapacityAge14*АбонементНовых*N9,MeanMinAge14)))</f>
        <v/>
      </c>
      <c r="O61" s="5">
        <f>IF(OR(O34=0,14&lt;=КаникулыРоялти),0,O34*IF(РоялтиПоГруппам="Да",MeanMinAge14+O9*SUMIF(ThresholdAge14,"&lt;"&amp;O9,WeightedRevAge14)-SUMIF(ThresholdAge14,"&lt;"&amp;O9,WeightedMinAge14),MAX(CapacityAge14*АбонементНовых*O9,MeanMinAge14)))</f>
        <v/>
      </c>
      <c r="P61" s="5">
        <f>IF(OR(P34=0,14&lt;=КаникулыРоялти),0,P34*IF(РоялтиПоГруппам="Да",MeanMinAge14+P9*SUMIF(ThresholdAge14,"&lt;"&amp;P9,WeightedRevAge14)-SUMIF(ThresholdAge14,"&lt;"&amp;P9,WeightedMinAge14),MAX(CapacityAge14*АбонементНовых*P9,MeanMinAge14)))</f>
        <v/>
      </c>
      <c r="Q61" s="5">
        <f>IF(OR(Q34=0,14&lt;=КаникулыРоялти),0,Q34*IF(РоялтиПоГруппам="Да",MeanMinAge14+Q9*SUMIF(ThresholdAge14,"&lt;"&amp;Q9,WeightedRevAge14)-SUMIF(ThresholdAge14,"&lt;"&amp;Q9,WeightedMinAge14),MAX(CapacityAge14*АбонементНовых*Q9,MeanMinAge14)))</f>
        <v/>
      </c>
      <c r="R61" s="5">
        <f>IF(OR(R34=0,14&lt;=КаникулыРоялти),0,R34*IF(РоялтиПоГруппам="Да",MeanMinAge14+R9*SUMIF(ThresholdAge14,"&lt;"&amp;R9,WeightedRevAge14)-SUMIF(ThresholdAge14,"&lt;"&amp;R9,WeightedMinAge14),MAX(CapacityAge14*АбонементНовых*R9,MeanMinAge14)))</f>
        <v/>
      </c>
      <c r="S61" s="5">
        <f>IF(OR(S34=0,14&lt;=КаникулыРоялти),0,S34*IF(РоялтиПоГруппам="Да",MeanMinAge14+S9*SUMIF(ThresholdAge14,"&lt;"&amp;S9,WeightedRevAge14)-SUMIF(ThresholdAge14,"&lt;"&amp;S9,WeightedMinAge14),MAX(CapacityAge14*АбонементНовых*S9,MeanMinAge14)))</f>
        <v/>
      </c>
      <c r="T61" s="5">
        <f>IF(OR(T34=0,14&lt;=КаникулыРоялти),0,T34*IF(РоялтиПоГруппам="Да",MeanMinAge14+T9*SUMIF(ThresholdAge14,"&lt;"&amp;T9,WeightedRevAge14)-SUMIF(ThresholdAge14,"&lt;"&amp;T9,WeightedMinAge14),MAX(CapacityAge14*АбонементНовых*T9,MeanMinAge14)))</f>
        <v/>
      </c>
      <c r="U61" s="5">
        <f>IF(OR(U34=0,14&lt;=КаникулыРоялти),0,U34*IF(РоялтиПоГруппам="Да",MeanMinAge14+U9*SUMIF(ThresholdAge14,"&lt;"&amp;U9,WeightedRevAge14)-SUMIF(ThresholdAge14,"&lt;"&amp;U9,WeightedMinAge14),MAX(CapacityAge14*АбонементНовых*U9,MeanMinAge14)))</f>
        <v/>
      </c>
      <c r="V61" s="5">
        <f>IF(OR(V34=0,14&lt;=КаникулыРоялти),0,V34*IF(РоялтиПоГруппам="Да",MeanMinAge14+V9*SUMIF(ThresholdAge14,"&lt;"&amp;V9,WeightedRevAge14)-SUMIF(ThresholdAge14,"&lt;"&amp;V9,WeightedMinAge14),MAX(CapacityAge14*АбонементНовых*V9,MeanMinAge14)))</f>
        <v/>
      </c>
      <c r="W61" s="5">
        <f>IF(OR(W34=0,14&lt;=КаникулыРоялти),0,W34*IF(РоялтиПоГруппам="Да",MeanMinAge14+W9*SUMIF(ThresholdAge14,"&lt;"&amp;W9,WeightedRevAge14)-SUMIF(ThresholdAge14,"&lt;"&amp;W9,WeightedMinAge14),MAX(CapacityAge14*АбонементНовых*W9,MeanMinAge14)))</f>
        <v/>
      </c>
      <c r="X61" s="5">
        <f>IF(OR(X34=0,14&lt;=КаникулыРоялти),0,X34*IF(РоялтиПоГруппам="Да",MeanMinAge14+X9*SUMIF(ThresholdAge14,"&lt;"&amp;X9,WeightedRevAge14)-SUMIF(ThresholdAge14,"&lt;"&amp;X9,WeightedMinAge14),MAX(CapacityAge14*АбонементНовых*X9,MeanMinAge14)))</f>
        <v/>
      </c>
      <c r="Y61" s="5">
        <f>IF(OR(Y34=0,14&lt;=КаникулыРоялти),0,Y34*IF(РоялтиПоГруппам="Да",MeanMinAge14+Y9*SUMIF(ThresholdAge14,"&lt;"&amp;Y9,WeightedRevAge14)-SUMIF(ThresholdAge14,"&lt;"&amp;Y9,WeightedMinAge14),MAX(CapacityAge14*АбонементНовых*Y9,MeanMinAge14)))</f>
        <v/>
      </c>
      <c r="Z61" s="5">
        <f>IF(OR(Z34=0,14&lt;=КаникулыРоялти),0,Z34*IF(РоялтиПоГруппам="Да",MeanMinAge14+Z9*SUMIF(ThresholdAge14,"&lt;"&amp;Z9,WeightedRevAge14)-SUMIF(ThresholdAge14,"&lt;"&amp;Z9,WeightedMinAge14),MAX(CapacityAge14*АбонементНовых*Z9,MeanMinAge14)))</f>
        <v/>
      </c>
      <c r="AA61" s="5">
        <f>IF(OR(AA34=0,14&lt;=КаникулыРоялти),0,AA34*IF(РоялтиПоГруппам="Да",MeanMinAge14+AA9*SUMIF(ThresholdAge14,"&lt;"&amp;AA9,WeightedRevAge14)-SUMIF(ThresholdAge14,"&lt;"&amp;AA9,WeightedMinAge14),MAX(CapacityAge14*АбонементНовых*AA9,MeanMinAge14)))</f>
        <v/>
      </c>
      <c r="AB61" s="5">
        <f>IF(OR(AB34=0,14&lt;=КаникулыРоялти),0,AB34*IF(РоялтиПоГруппам="Да",MeanMinAge14+AB9*SUMIF(ThresholdAge14,"&lt;"&amp;AB9,WeightedRevAge14)-SUMIF(ThresholdAge14,"&lt;"&amp;AB9,WeightedMinAge14),MAX(CapacityAge14*АбонементНовых*AB9,MeanMinAge14)))</f>
        <v/>
      </c>
      <c r="AC61" s="5">
        <f>IF(OR(AC34=0,14&lt;=КаникулыРоялти),0,AC34*IF(РоялтиПоГруппам="Да",MeanMinAge14+AC9*SUMIF(ThresholdAge14,"&lt;"&amp;AC9,WeightedRevAge14)-SUMIF(ThresholdAge14,"&lt;"&amp;AC9,WeightedMinAge14),MAX(CapacityAge14*АбонементНовых*AC9,MeanMinAge14)))</f>
        <v/>
      </c>
      <c r="AD61" s="5">
        <f>IF(OR(AD34=0,14&lt;=КаникулыРоялти),0,AD34*IF(РоялтиПоГруппам="Да",MeanMinAge14+AD9*SUMIF(ThresholdAge14,"&lt;"&amp;AD9,WeightedRevAge14)-SUMIF(ThresholdAge14,"&lt;"&amp;AD9,WeightedMinAge14),MAX(CapacityAge14*АбонементНовых*AD9,MeanMinAge14)))</f>
        <v/>
      </c>
      <c r="AE61" s="5">
        <f>IF(OR(AE34=0,14&lt;=КаникулыРоялти),0,AE34*IF(РоялтиПоГруппам="Да",MeanMinAge14+AE9*SUMIF(ThresholdAge14,"&lt;"&amp;AE9,WeightedRevAge14)-SUMIF(ThresholdAge14,"&lt;"&amp;AE9,WeightedMinAge14),MAX(CapacityAge14*АбонементНовых*AE9,MeanMinAge14)))</f>
        <v/>
      </c>
      <c r="AF61" s="5">
        <f>IF(OR(AF34=0,14&lt;=КаникулыРоялти),0,AF34*IF(РоялтиПоГруппам="Да",MeanMinAge14+AF9*SUMIF(ThresholdAge14,"&lt;"&amp;AF9,WeightedRevAge14)-SUMIF(ThresholdAge14,"&lt;"&amp;AF9,WeightedMinAge14),MAX(CapacityAge14*АбонементНовых*AF9,MeanMinAge14)))</f>
        <v/>
      </c>
      <c r="AG61" s="5">
        <f>IF(OR(AG34=0,14&lt;=КаникулыРоялти),0,AG34*IF(РоялтиПоГруппам="Да",MeanMinAge14+AG9*SUMIF(ThresholdAge14,"&lt;"&amp;AG9,WeightedRevAge14)-SUMIF(ThresholdAge14,"&lt;"&amp;AG9,WeightedMinAge14),MAX(CapacityAge14*АбонементНовых*AG9,MeanMinAge14)))</f>
        <v/>
      </c>
      <c r="AH61" s="5">
        <f>IF(OR(AH34=0,14&lt;=КаникулыРоялти),0,AH34*IF(РоялтиПоГруппам="Да",MeanMinAge14+AH9*SUMIF(ThresholdAge14,"&lt;"&amp;AH9,WeightedRevAge14)-SUMIF(ThresholdAge14,"&lt;"&amp;AH9,WeightedMinAge14),MAX(CapacityAge14*АбонементНовых*AH9,MeanMinAge14)))</f>
        <v/>
      </c>
      <c r="AI61" s="5">
        <f>IF(OR(AI34=0,14&lt;=КаникулыРоялти),0,AI34*IF(РоялтиПоГруппам="Да",MeanMinAge14+AI9*SUMIF(ThresholdAge14,"&lt;"&amp;AI9,WeightedRevAge14)-SUMIF(ThresholdAge14,"&lt;"&amp;AI9,WeightedMinAge14),MAX(CapacityAge14*АбонементНовых*AI9,MeanMinAge14)))</f>
        <v/>
      </c>
      <c r="AJ61" s="5">
        <f>IF(OR(AJ34=0,14&lt;=КаникулыРоялти),0,AJ34*IF(РоялтиПоГруппам="Да",MeanMinAge14+AJ9*SUMIF(ThresholdAge14,"&lt;"&amp;AJ9,WeightedRevAge14)-SUMIF(ThresholdAge14,"&lt;"&amp;AJ9,WeightedMinAge14),MAX(CapacityAge14*АбонементНовых*AJ9,MeanMinAge14)))</f>
        <v/>
      </c>
      <c r="AK61" s="5">
        <f>IF(OR(AK34=0,14&lt;=КаникулыРоялти),0,AK34*IF(РоялтиПоГруппам="Да",MeanMinAge14+AK9*SUMIF(ThresholdAge14,"&lt;"&amp;AK9,WeightedRevAge14)-SUMIF(ThresholdAge14,"&lt;"&amp;AK9,WeightedMinAge14),MAX(CapacityAge14*АбонементНовых*AK9,MeanMinAge14)))</f>
        <v/>
      </c>
      <c r="AL61" s="5">
        <f>IF(OR(AL34=0,14&lt;=КаникулыРоялти),0,AL34*IF(РоялтиПоГруппам="Да",MeanMinAge14+AL9*SUMIF(ThresholdAge14,"&lt;"&amp;AL9,WeightedRevAge14)-SUMIF(ThresholdAge14,"&lt;"&amp;AL9,WeightedMinAge14),MAX(CapacityAge14*АбонементНовых*AL9,MeanMinAge14)))</f>
        <v/>
      </c>
      <c r="AM61" s="5">
        <f>IF(OR(AM34=0,14&lt;=КаникулыРоялти),0,AM34*IF(РоялтиПоГруппам="Да",MeanMinAge14+AM9*SUMIF(ThresholdAge14,"&lt;"&amp;AM9,WeightedRevAge14)-SUMIF(ThresholdAge14,"&lt;"&amp;AM9,WeightedMinAge14),MAX(CapacityAge14*АбонементНовых*AM9,MeanMinAge14)))</f>
        <v/>
      </c>
      <c r="AN61" s="5">
        <f>IF(OR(AN34=0,14&lt;=КаникулыРоялти),0,AN34*IF(РоялтиПоГруппам="Да",MeanMinAge14+AN9*SUMIF(ThresholdAge14,"&lt;"&amp;AN9,WeightedRevAge14)-SUMIF(ThresholdAge14,"&lt;"&amp;AN9,WeightedMinAge14),MAX(CapacityAge14*АбонементНовых*AN9,MeanMinAge14)))</f>
        <v/>
      </c>
      <c r="AO61" s="5">
        <f>IF(OR(AO34=0,14&lt;=КаникулыРоялти),0,AO34*IF(РоялтиПоГруппам="Да",MeanMinAge14+AO9*SUMIF(ThresholdAge14,"&lt;"&amp;AO9,WeightedRevAge14)-SUMIF(ThresholdAge14,"&lt;"&amp;AO9,WeightedMinAge14),MAX(CapacityAge14*АбонементНовых*AO9,MeanMinAge14)))</f>
        <v/>
      </c>
      <c r="AP61" s="5">
        <f>IF(OR(AP34=0,14&lt;=КаникулыРоялти),0,AP34*IF(РоялтиПоГруппам="Да",MeanMinAge14+AP9*SUMIF(ThresholdAge14,"&lt;"&amp;AP9,WeightedRevAge14)-SUMIF(ThresholdAge14,"&lt;"&amp;AP9,WeightedMinAge14),MAX(CapacityAge14*АбонементНовых*AP9,MeanMinAge14)))</f>
        <v/>
      </c>
      <c r="AQ61" s="5">
        <f>IF(OR(AQ34=0,14&lt;=КаникулыРоялти),0,AQ34*IF(РоялтиПоГруппам="Да",MeanMinAge14+AQ9*SUMIF(ThresholdAge14,"&lt;"&amp;AQ9,WeightedRevAge14)-SUMIF(ThresholdAge14,"&lt;"&amp;AQ9,WeightedMinAge14),MAX(CapacityAge14*АбонементНовых*AQ9,MeanMinAge14)))</f>
        <v/>
      </c>
      <c r="AR61" s="5">
        <f>IF(OR(AR34=0,14&lt;=КаникулыРоялти),0,AR34*IF(РоялтиПоГруппам="Да",MeanMinAge14+AR9*SUMIF(ThresholdAge14,"&lt;"&amp;AR9,WeightedRevAge14)-SUMIF(ThresholdAge14,"&lt;"&amp;AR9,WeightedMinAge14),MAX(CapacityAge14*АбонементНовых*AR9,MeanMinAge14)))</f>
        <v/>
      </c>
      <c r="AS61" s="5">
        <f>IF(OR(AS34=0,14&lt;=КаникулыРоялти),0,AS34*IF(РоялтиПоГруппам="Да",MeanMinAge14+AS9*SUMIF(ThresholdAge14,"&lt;"&amp;AS9,WeightedRevAge14)-SUMIF(ThresholdAge14,"&lt;"&amp;AS9,WeightedMinAge14),MAX(CapacityAge14*АбонементНовых*AS9,MeanMinAge14)))</f>
        <v/>
      </c>
      <c r="AT61" s="5">
        <f>IF(OR(AT34=0,14&lt;=КаникулыРоялти),0,AT34*IF(РоялтиПоГруппам="Да",MeanMinAge14+AT9*SUMIF(ThresholdAge14,"&lt;"&amp;AT9,WeightedRevAge14)-SUMIF(ThresholdAge14,"&lt;"&amp;AT9,WeightedMinAge14),MAX(CapacityAge14*АбонементНовых*AT9,MeanMinAge14)))</f>
        <v/>
      </c>
      <c r="AU61" s="5">
        <f>IF(OR(AU34=0,14&lt;=КаникулыРоялти),0,AU34*IF(РоялтиПоГруппам="Да",MeanMinAge14+AU9*SUMIF(ThresholdAge14,"&lt;"&amp;AU9,WeightedRevAge14)-SUMIF(ThresholdAge14,"&lt;"&amp;AU9,WeightedMinAge14),MAX(CapacityAge14*АбонементНовых*AU9,MeanMinAge14)))</f>
        <v/>
      </c>
      <c r="AV61" s="5">
        <f>IF(OR(AV34=0,14&lt;=КаникулыРоялти),0,AV34*IF(РоялтиПоГруппам="Да",MeanMinAge14+AV9*SUMIF(ThresholdAge14,"&lt;"&amp;AV9,WeightedRevAge14)-SUMIF(ThresholdAge14,"&lt;"&amp;AV9,WeightedMinAge14),MAX(CapacityAge14*АбонементНовых*AV9,MeanMinAge14)))</f>
        <v/>
      </c>
      <c r="AW61" s="5">
        <f>IF(OR(AW34=0,14&lt;=КаникулыРоялти),0,AW34*IF(РоялтиПоГруппам="Да",MeanMinAge14+AW9*SUMIF(ThresholdAge14,"&lt;"&amp;AW9,WeightedRevAge14)-SUMIF(ThresholdAge14,"&lt;"&amp;AW9,WeightedMinAge14),MAX(CapacityAge14*АбонементНовых*AW9,MeanMinAge14)))</f>
        <v/>
      </c>
      <c r="AX61" s="5">
        <f>IF(OR(AX34=0,14&lt;=КаникулыРоялти),0,AX34*IF(РоялтиПоГруппам="Да",MeanMinAge14+AX9*SUMIF(ThresholdAge14,"&lt;"&amp;AX9,WeightedRevAge14)-SUMIF(ThresholdAge14,"&lt;"&amp;AX9,WeightedMinAge14),MAX(CapacityAge14*АбонементНовых*AX9,MeanMinAge14)))</f>
        <v/>
      </c>
      <c r="AY61" s="5">
        <f>IF(OR(AY34=0,14&lt;=КаникулыРоялти),0,AY34*IF(РоялтиПоГруппам="Да",MeanMinAge14+AY9*SUMIF(ThresholdAge14,"&lt;"&amp;AY9,WeightedRevAge14)-SUMIF(ThresholdAge14,"&lt;"&amp;AY9,WeightedMinAge14),MAX(CapacityAge14*АбонементНовых*AY9,MeanMinAge14)))</f>
        <v/>
      </c>
      <c r="AZ61" s="5">
        <f>IF(OR(AZ34=0,14&lt;=КаникулыРоялти),0,AZ34*IF(РоялтиПоГруппам="Да",MeanMinAge14+AZ9*SUMIF(ThresholdAge14,"&lt;"&amp;AZ9,WeightedRevAge14)-SUMIF(ThresholdAge14,"&lt;"&amp;AZ9,WeightedMinAge14),MAX(CapacityAge14*АбонементНовых*AZ9,MeanMinAge14)))</f>
        <v/>
      </c>
      <c r="BA61" s="5">
        <f>IF(OR(BA34=0,14&lt;=КаникулыРоялти),0,BA34*IF(РоялтиПоГруппам="Да",MeanMinAge14+BA9*SUMIF(ThresholdAge14,"&lt;"&amp;BA9,WeightedRevAge14)-SUMIF(ThresholdAge14,"&lt;"&amp;BA9,WeightedMinAge14),MAX(CapacityAge14*АбонементНовых*BA9,MeanMinAge14)))</f>
        <v/>
      </c>
      <c r="BB61" s="5">
        <f>IF(OR(BB34=0,14&lt;=КаникулыРоялти),0,BB34*IF(РоялтиПоГруппам="Да",MeanMinAge14+BB9*SUMIF(ThresholdAge14,"&lt;"&amp;BB9,WeightedRevAge14)-SUMIF(ThresholdAge14,"&lt;"&amp;BB9,WeightedMinAge14),MAX(CapacityAge14*АбонементНовых*BB9,MeanMinAge14)))</f>
        <v/>
      </c>
      <c r="BC61" s="5">
        <f>IF(OR(BC34=0,14&lt;=КаникулыРоялти),0,BC34*IF(РоялтиПоГруппам="Да",MeanMinAge14+BC9*SUMIF(ThresholdAge14,"&lt;"&amp;BC9,WeightedRevAge14)-SUMIF(ThresholdAge14,"&lt;"&amp;BC9,WeightedMinAge14),MAX(CapacityAge14*АбонементНовых*BC9,MeanMinAge14)))</f>
        <v/>
      </c>
      <c r="BD61" s="5">
        <f>IF(OR(BD34=0,14&lt;=КаникулыРоялти),0,BD34*IF(РоялтиПоГруппам="Да",MeanMinAge14+BD9*SUMIF(ThresholdAge14,"&lt;"&amp;BD9,WeightedRevAge14)-SUMIF(ThresholdAge14,"&lt;"&amp;BD9,WeightedMinAge14),MAX(CapacityAge14*АбонементНовых*BD9,MeanMinAge14)))</f>
        <v/>
      </c>
      <c r="BE61" s="5">
        <f>IF(OR(BE34=0,14&lt;=КаникулыРоялти),0,BE34*IF(РоялтиПоГруппам="Да",MeanMinAge14+BE9*SUMIF(ThresholdAge14,"&lt;"&amp;BE9,WeightedRevAge14)-SUMIF(ThresholdAge14,"&lt;"&amp;BE9,WeightedMinAge14),MAX(CapacityAge14*АбонементНовых*BE9,MeanMinAge14)))</f>
        <v/>
      </c>
      <c r="BF61" s="5">
        <f>IF(OR(BF34=0,14&lt;=КаникулыРоялти),0,BF34*IF(РоялтиПоГруппам="Да",MeanMinAge14+BF9*SUMIF(ThresholdAge14,"&lt;"&amp;BF9,WeightedRevAge14)-SUMIF(ThresholdAge14,"&lt;"&amp;BF9,WeightedMinAge14),MAX(CapacityAge14*АбонементНовых*BF9,MeanMinAge14)))</f>
        <v/>
      </c>
      <c r="BG61" s="5">
        <f>IF(OR(BG34=0,14&lt;=КаникулыРоялти),0,BG34*IF(РоялтиПоГруппам="Да",MeanMinAge14+BG9*SUMIF(ThresholdAge14,"&lt;"&amp;BG9,WeightedRevAge14)-SUMIF(ThresholdAge14,"&lt;"&amp;BG9,WeightedMinAge14),MAX(CapacityAge14*АбонементНовых*BG9,MeanMinAge14)))</f>
        <v/>
      </c>
      <c r="BH61" s="5">
        <f>IF(OR(BH34=0,14&lt;=КаникулыРоялти),0,BH34*IF(РоялтиПоГруппам="Да",MeanMinAge14+BH9*SUMIF(ThresholdAge14,"&lt;"&amp;BH9,WeightedRevAge14)-SUMIF(ThresholdAge14,"&lt;"&amp;BH9,WeightedMinAge14),MAX(CapacityAge14*АбонементНовых*BH9,MeanMinAge14)))</f>
        <v/>
      </c>
      <c r="BI61" s="5">
        <f>IF(OR(BI34=0,14&lt;=КаникулыРоялти),0,BI34*IF(РоялтиПоГруппам="Да",MeanMinAge14+BI9*SUMIF(ThresholdAge14,"&lt;"&amp;BI9,WeightedRevAge14)-SUMIF(ThresholdAge14,"&lt;"&amp;BI9,WeightedMinAge14),MAX(CapacityAge14*АбонементНовых*BI9,MeanMinAge14)))</f>
        <v/>
      </c>
      <c r="BJ61" s="5">
        <f>IF(OR(BJ34=0,14&lt;=КаникулыРоялти),0,BJ34*IF(РоялтиПоГруппам="Да",MeanMinAge14+BJ9*SUMIF(ThresholdAge14,"&lt;"&amp;BJ9,WeightedRevAge14)-SUMIF(ThresholdAge14,"&lt;"&amp;BJ9,WeightedMinAge14),MAX(CapacityAge14*АбонементНовых*BJ9,MeanMinAge14)))</f>
        <v/>
      </c>
      <c r="BK61" s="5">
        <f>IF(OR(BK34=0,14&lt;=КаникулыРоялти),0,BK34*IF(РоялтиПоГруппам="Да",MeanMinAge14+BK9*SUMIF(ThresholdAge14,"&lt;"&amp;BK9,WeightedRevAge14)-SUMIF(ThresholdAge14,"&lt;"&amp;BK9,WeightedMinAge14),MAX(CapacityAge14*АбонементНовых*BK9,MeanMinAge14)))</f>
        <v/>
      </c>
      <c r="BL61" s="5">
        <f>IF(OR(BL34=0,14&lt;=КаникулыРоялти),0,BL34*IF(РоялтиПоГруппам="Да",MeanMinAge14+BL9*SUMIF(ThresholdAge14,"&lt;"&amp;BL9,WeightedRevAge14)-SUMIF(ThresholdAge14,"&lt;"&amp;BL9,WeightedMinAge14),MAX(CapacityAge14*АбонементНовых*BL9,MeanMinAge14)))</f>
        <v/>
      </c>
      <c r="BM61" s="5">
        <f>IF(OR(BM34=0,14&lt;=КаникулыРоялти),0,BM34*IF(РоялтиПоГруппам="Да",MeanMinAge14+BM9*SUMIF(ThresholdAge14,"&lt;"&amp;BM9,WeightedRevAge14)-SUMIF(ThresholdAge14,"&lt;"&amp;BM9,WeightedMinAge14),MAX(CapacityAge14*АбонементНовых*BM9,MeanMinAge14)))</f>
        <v/>
      </c>
      <c r="BN61" s="5">
        <f>IF(OR(BN34=0,14&lt;=КаникулыРоялти),0,BN34*IF(РоялтиПоГруппам="Да",MeanMinAge14+BN9*SUMIF(ThresholdAge14,"&lt;"&amp;BN9,WeightedRevAge14)-SUMIF(ThresholdAge14,"&lt;"&amp;BN9,WeightedMinAge14),MAX(CapacityAge14*АбонементНовых*BN9,MeanMinAge14)))</f>
        <v/>
      </c>
      <c r="BO61" s="5">
        <f>IF(OR(BO34=0,14&lt;=КаникулыРоялти),0,BO34*IF(РоялтиПоГруппам="Да",MeanMinAge14+BO9*SUMIF(ThresholdAge14,"&lt;"&amp;BO9,WeightedRevAge14)-SUMIF(ThresholdAge14,"&lt;"&amp;BO9,WeightedMinAge14),MAX(CapacityAge14*АбонементНовых*BO9,MeanMinAge14)))</f>
        <v/>
      </c>
      <c r="BP61" s="5">
        <f>IF(OR(BP34=0,14&lt;=КаникулыРоялти),0,BP34*IF(РоялтиПоГруппам="Да",MeanMinAge14+BP9*SUMIF(ThresholdAge14,"&lt;"&amp;BP9,WeightedRevAge14)-SUMIF(ThresholdAge14,"&lt;"&amp;BP9,WeightedMinAge14),MAX(CapacityAge14*АбонементНовых*BP9,MeanMinAge14)))</f>
        <v/>
      </c>
      <c r="BQ61" s="5">
        <f>IF(OR(BQ34=0,14&lt;=КаникулыРоялти),0,BQ34*IF(РоялтиПоГруппам="Да",MeanMinAge14+BQ9*SUMIF(ThresholdAge14,"&lt;"&amp;BQ9,WeightedRevAge14)-SUMIF(ThresholdAge14,"&lt;"&amp;BQ9,WeightedMinAge14),MAX(CapacityAge14*АбонементНовых*BQ9,MeanMinAge14)))</f>
        <v/>
      </c>
      <c r="BR61" s="5">
        <f>IF(OR(BR34=0,14&lt;=КаникулыРоялти),0,BR34*IF(РоялтиПоГруппам="Да",MeanMinAge14+BR9*SUMIF(ThresholdAge14,"&lt;"&amp;BR9,WeightedRevAge14)-SUMIF(ThresholdAge14,"&lt;"&amp;BR9,WeightedMinAge14),MAX(CapacityAge14*АбонементНовых*BR9,MeanMinAge14)))</f>
        <v/>
      </c>
      <c r="BS61" s="5">
        <f>IF(OR(BS34=0,14&lt;=КаникулыРоялти),0,BS34*IF(РоялтиПоГруппам="Да",MeanMinAge14+BS9*SUMIF(ThresholdAge14,"&lt;"&amp;BS9,WeightedRevAge14)-SUMIF(ThresholdAge14,"&lt;"&amp;BS9,WeightedMinAge14),MAX(CapacityAge14*АбонементНовых*BS9,MeanMinAge14)))</f>
        <v/>
      </c>
      <c r="BT61" s="5">
        <f>IF(OR(BT34=0,14&lt;=КаникулыРоялти),0,BT34*IF(РоялтиПоГруппам="Да",MeanMinAge14+BT9*SUMIF(ThresholdAge14,"&lt;"&amp;BT9,WeightedRevAge14)-SUMIF(ThresholdAge14,"&lt;"&amp;BT9,WeightedMinAge14),MAX(CapacityAge14*АбонементНовых*BT9,MeanMinAge14)))</f>
        <v/>
      </c>
      <c r="BU61" s="5">
        <f>IF(OR(BU34=0,14&lt;=КаникулыРоялти),0,BU34*IF(РоялтиПоГруппам="Да",MeanMinAge14+BU9*SUMIF(ThresholdAge14,"&lt;"&amp;BU9,WeightedRevAge14)-SUMIF(ThresholdAge14,"&lt;"&amp;BU9,WeightedMinAge14),MAX(CapacityAge14*АбонементНовых*BU9,MeanMinAge14)))</f>
        <v/>
      </c>
      <c r="BV61" s="5">
        <f>IF(OR(BV34=0,14&lt;=КаникулыРоялти),0,BV34*IF(РоялтиПоГруппам="Да",MeanMinAge14+BV9*SUMIF(ThresholdAge14,"&lt;"&amp;BV9,WeightedRevAge14)-SUMIF(ThresholdAge14,"&lt;"&amp;BV9,WeightedMinAge14),MAX(CapacityAge14*АбонементНовых*BV9,MeanMinAge14)))</f>
        <v/>
      </c>
      <c r="BW61" s="5">
        <f>IF(OR(BW34=0,14&lt;=КаникулыРоялти),0,BW34*IF(РоялтиПоГруппам="Да",MeanMinAge14+BW9*SUMIF(ThresholdAge14,"&lt;"&amp;BW9,WeightedRevAge14)-SUMIF(ThresholdAge14,"&lt;"&amp;BW9,WeightedMinAge14),MAX(CapacityAge14*АбонементНовых*BW9,MeanMinAge14)))</f>
        <v/>
      </c>
      <c r="BX61" s="5">
        <f>IF(OR(BX34=0,14&lt;=КаникулыРоялти),0,BX34*IF(РоялтиПоГруппам="Да",MeanMinAge14+BX9*SUMIF(ThresholdAge14,"&lt;"&amp;BX9,WeightedRevAge14)-SUMIF(ThresholdAge14,"&lt;"&amp;BX9,WeightedMinAge14),MAX(CapacityAge14*АбонементНовых*BX9,MeanMinAge14)))</f>
        <v/>
      </c>
      <c r="BY61" s="5">
        <f>IF(OR(BY34=0,14&lt;=КаникулыРоялти),0,BY34*IF(РоялтиПоГруппам="Да",MeanMinAge14+BY9*SUMIF(ThresholdAge14,"&lt;"&amp;BY9,WeightedRevAge14)-SUMIF(ThresholdAge14,"&lt;"&amp;BY9,WeightedMinAge14),MAX(CapacityAge14*АбонементНовых*BY9,MeanMinAge14)))</f>
        <v/>
      </c>
    </row>
    <row r="62">
      <c r="B62" t="inlineStr">
        <is>
          <t>15 мес.</t>
        </is>
      </c>
      <c r="C62" t="inlineStr">
        <is>
          <t>₽</t>
        </is>
      </c>
      <c r="D62" s="127" t="inlineStr"/>
      <c r="E62" s="129">
        <f>SUM(L62:W62)</f>
        <v/>
      </c>
      <c r="F62" s="129">
        <f>SUM(X62:AI62)</f>
        <v/>
      </c>
      <c r="G62" s="129">
        <f>SUM(AJ62:AU62)</f>
        <v/>
      </c>
      <c r="H62" s="129">
        <f>SUM(AV62:BG62)</f>
        <v/>
      </c>
      <c r="I62" s="129">
        <f>SUM(BH62:BS62)</f>
        <v/>
      </c>
      <c r="J62" s="6">
        <f>SUM(L62:BS62)</f>
        <v/>
      </c>
      <c r="L62" s="5">
        <f>IF(OR(L35=0,15&lt;=КаникулыРоялти),0,L35*IF(РоялтиПоГруппам="Да",MeanMinAge15+L9*SUMIF(ThresholdAge15,"&lt;"&amp;L9,WeightedRevAge15)-SUMIF(ThresholdAge15,"&lt;"&amp;L9,WeightedMinAge15),MAX(CapacityAge15*АбонементНовых*L9,MeanMinAge15)))</f>
        <v/>
      </c>
      <c r="M62" s="5">
        <f>IF(OR(M35=0,15&lt;=КаникулыРоялти),0,M35*IF(РоялтиПоГруппам="Да",MeanMinAge15+M9*SUMIF(ThresholdAge15,"&lt;"&amp;M9,WeightedRevAge15)-SUMIF(ThresholdAge15,"&lt;"&amp;M9,WeightedMinAge15),MAX(CapacityAge15*АбонементНовых*M9,MeanMinAge15)))</f>
        <v/>
      </c>
      <c r="N62" s="5">
        <f>IF(OR(N35=0,15&lt;=КаникулыРоялти),0,N35*IF(РоялтиПоГруппам="Да",MeanMinAge15+N9*SUMIF(ThresholdAge15,"&lt;"&amp;N9,WeightedRevAge15)-SUMIF(ThresholdAge15,"&lt;"&amp;N9,WeightedMinAge15),MAX(CapacityAge15*АбонементНовых*N9,MeanMinAge15)))</f>
        <v/>
      </c>
      <c r="O62" s="5">
        <f>IF(OR(O35=0,15&lt;=КаникулыРоялти),0,O35*IF(РоялтиПоГруппам="Да",MeanMinAge15+O9*SUMIF(ThresholdAge15,"&lt;"&amp;O9,WeightedRevAge15)-SUMIF(ThresholdAge15,"&lt;"&amp;O9,WeightedMinAge15),MAX(CapacityAge15*АбонементНовых*O9,MeanMinAge15)))</f>
        <v/>
      </c>
      <c r="P62" s="5">
        <f>IF(OR(P35=0,15&lt;=КаникулыРоялти),0,P35*IF(РоялтиПоГруппам="Да",MeanMinAge15+P9*SUMIF(ThresholdAge15,"&lt;"&amp;P9,WeightedRevAge15)-SUMIF(ThresholdAge15,"&lt;"&amp;P9,WeightedMinAge15),MAX(CapacityAge15*АбонементНовых*P9,MeanMinAge15)))</f>
        <v/>
      </c>
      <c r="Q62" s="5">
        <f>IF(OR(Q35=0,15&lt;=КаникулыРоялти),0,Q35*IF(РоялтиПоГруппам="Да",MeanMinAge15+Q9*SUMIF(ThresholdAge15,"&lt;"&amp;Q9,WeightedRevAge15)-SUMIF(ThresholdAge15,"&lt;"&amp;Q9,WeightedMinAge15),MAX(CapacityAge15*АбонементНовых*Q9,MeanMinAge15)))</f>
        <v/>
      </c>
      <c r="R62" s="5">
        <f>IF(OR(R35=0,15&lt;=КаникулыРоялти),0,R35*IF(РоялтиПоГруппам="Да",MeanMinAge15+R9*SUMIF(ThresholdAge15,"&lt;"&amp;R9,WeightedRevAge15)-SUMIF(ThresholdAge15,"&lt;"&amp;R9,WeightedMinAge15),MAX(CapacityAge15*АбонементНовых*R9,MeanMinAge15)))</f>
        <v/>
      </c>
      <c r="S62" s="5">
        <f>IF(OR(S35=0,15&lt;=КаникулыРоялти),0,S35*IF(РоялтиПоГруппам="Да",MeanMinAge15+S9*SUMIF(ThresholdAge15,"&lt;"&amp;S9,WeightedRevAge15)-SUMIF(ThresholdAge15,"&lt;"&amp;S9,WeightedMinAge15),MAX(CapacityAge15*АбонементНовых*S9,MeanMinAge15)))</f>
        <v/>
      </c>
      <c r="T62" s="5">
        <f>IF(OR(T35=0,15&lt;=КаникулыРоялти),0,T35*IF(РоялтиПоГруппам="Да",MeanMinAge15+T9*SUMIF(ThresholdAge15,"&lt;"&amp;T9,WeightedRevAge15)-SUMIF(ThresholdAge15,"&lt;"&amp;T9,WeightedMinAge15),MAX(CapacityAge15*АбонементНовых*T9,MeanMinAge15)))</f>
        <v/>
      </c>
      <c r="U62" s="5">
        <f>IF(OR(U35=0,15&lt;=КаникулыРоялти),0,U35*IF(РоялтиПоГруппам="Да",MeanMinAge15+U9*SUMIF(ThresholdAge15,"&lt;"&amp;U9,WeightedRevAge15)-SUMIF(ThresholdAge15,"&lt;"&amp;U9,WeightedMinAge15),MAX(CapacityAge15*АбонементНовых*U9,MeanMinAge15)))</f>
        <v/>
      </c>
      <c r="V62" s="5">
        <f>IF(OR(V35=0,15&lt;=КаникулыРоялти),0,V35*IF(РоялтиПоГруппам="Да",MeanMinAge15+V9*SUMIF(ThresholdAge15,"&lt;"&amp;V9,WeightedRevAge15)-SUMIF(ThresholdAge15,"&lt;"&amp;V9,WeightedMinAge15),MAX(CapacityAge15*АбонементНовых*V9,MeanMinAge15)))</f>
        <v/>
      </c>
      <c r="W62" s="5">
        <f>IF(OR(W35=0,15&lt;=КаникулыРоялти),0,W35*IF(РоялтиПоГруппам="Да",MeanMinAge15+W9*SUMIF(ThresholdAge15,"&lt;"&amp;W9,WeightedRevAge15)-SUMIF(ThresholdAge15,"&lt;"&amp;W9,WeightedMinAge15),MAX(CapacityAge15*АбонементНовых*W9,MeanMinAge15)))</f>
        <v/>
      </c>
      <c r="X62" s="5">
        <f>IF(OR(X35=0,15&lt;=КаникулыРоялти),0,X35*IF(РоялтиПоГруппам="Да",MeanMinAge15+X9*SUMIF(ThresholdAge15,"&lt;"&amp;X9,WeightedRevAge15)-SUMIF(ThresholdAge15,"&lt;"&amp;X9,WeightedMinAge15),MAX(CapacityAge15*АбонементНовых*X9,MeanMinAge15)))</f>
        <v/>
      </c>
      <c r="Y62" s="5">
        <f>IF(OR(Y35=0,15&lt;=КаникулыРоялти),0,Y35*IF(РоялтиПоГруппам="Да",MeanMinAge15+Y9*SUMIF(ThresholdAge15,"&lt;"&amp;Y9,WeightedRevAge15)-SUMIF(ThresholdAge15,"&lt;"&amp;Y9,WeightedMinAge15),MAX(CapacityAge15*АбонементНовых*Y9,MeanMinAge15)))</f>
        <v/>
      </c>
      <c r="Z62" s="5">
        <f>IF(OR(Z35=0,15&lt;=КаникулыРоялти),0,Z35*IF(РоялтиПоГруппам="Да",MeanMinAge15+Z9*SUMIF(ThresholdAge15,"&lt;"&amp;Z9,WeightedRevAge15)-SUMIF(ThresholdAge15,"&lt;"&amp;Z9,WeightedMinAge15),MAX(CapacityAge15*АбонементНовых*Z9,MeanMinAge15)))</f>
        <v/>
      </c>
      <c r="AA62" s="5">
        <f>IF(OR(AA35=0,15&lt;=КаникулыРоялти),0,AA35*IF(РоялтиПоГруппам="Да",MeanMinAge15+AA9*SUMIF(ThresholdAge15,"&lt;"&amp;AA9,WeightedRevAge15)-SUMIF(ThresholdAge15,"&lt;"&amp;AA9,WeightedMinAge15),MAX(CapacityAge15*АбонементНовых*AA9,MeanMinAge15)))</f>
        <v/>
      </c>
      <c r="AB62" s="5">
        <f>IF(OR(AB35=0,15&lt;=КаникулыРоялти),0,AB35*IF(РоялтиПоГруппам="Да",MeanMinAge15+AB9*SUMIF(ThresholdAge15,"&lt;"&amp;AB9,WeightedRevAge15)-SUMIF(ThresholdAge15,"&lt;"&amp;AB9,WeightedMinAge15),MAX(CapacityAge15*АбонементНовых*AB9,MeanMinAge15)))</f>
        <v/>
      </c>
      <c r="AC62" s="5">
        <f>IF(OR(AC35=0,15&lt;=КаникулыРоялти),0,AC35*IF(РоялтиПоГруппам="Да",MeanMinAge15+AC9*SUMIF(ThresholdAge15,"&lt;"&amp;AC9,WeightedRevAge15)-SUMIF(ThresholdAge15,"&lt;"&amp;AC9,WeightedMinAge15),MAX(CapacityAge15*АбонементНовых*AC9,MeanMinAge15)))</f>
        <v/>
      </c>
      <c r="AD62" s="5">
        <f>IF(OR(AD35=0,15&lt;=КаникулыРоялти),0,AD35*IF(РоялтиПоГруппам="Да",MeanMinAge15+AD9*SUMIF(ThresholdAge15,"&lt;"&amp;AD9,WeightedRevAge15)-SUMIF(ThresholdAge15,"&lt;"&amp;AD9,WeightedMinAge15),MAX(CapacityAge15*АбонементНовых*AD9,MeanMinAge15)))</f>
        <v/>
      </c>
      <c r="AE62" s="5">
        <f>IF(OR(AE35=0,15&lt;=КаникулыРоялти),0,AE35*IF(РоялтиПоГруппам="Да",MeanMinAge15+AE9*SUMIF(ThresholdAge15,"&lt;"&amp;AE9,WeightedRevAge15)-SUMIF(ThresholdAge15,"&lt;"&amp;AE9,WeightedMinAge15),MAX(CapacityAge15*АбонементНовых*AE9,MeanMinAge15)))</f>
        <v/>
      </c>
      <c r="AF62" s="5">
        <f>IF(OR(AF35=0,15&lt;=КаникулыРоялти),0,AF35*IF(РоялтиПоГруппам="Да",MeanMinAge15+AF9*SUMIF(ThresholdAge15,"&lt;"&amp;AF9,WeightedRevAge15)-SUMIF(ThresholdAge15,"&lt;"&amp;AF9,WeightedMinAge15),MAX(CapacityAge15*АбонементНовых*AF9,MeanMinAge15)))</f>
        <v/>
      </c>
      <c r="AG62" s="5">
        <f>IF(OR(AG35=0,15&lt;=КаникулыРоялти),0,AG35*IF(РоялтиПоГруппам="Да",MeanMinAge15+AG9*SUMIF(ThresholdAge15,"&lt;"&amp;AG9,WeightedRevAge15)-SUMIF(ThresholdAge15,"&lt;"&amp;AG9,WeightedMinAge15),MAX(CapacityAge15*АбонементНовых*AG9,MeanMinAge15)))</f>
        <v/>
      </c>
      <c r="AH62" s="5">
        <f>IF(OR(AH35=0,15&lt;=КаникулыРоялти),0,AH35*IF(РоялтиПоГруппам="Да",MeanMinAge15+AH9*SUMIF(ThresholdAge15,"&lt;"&amp;AH9,WeightedRevAge15)-SUMIF(ThresholdAge15,"&lt;"&amp;AH9,WeightedMinAge15),MAX(CapacityAge15*АбонементНовых*AH9,MeanMinAge15)))</f>
        <v/>
      </c>
      <c r="AI62" s="5">
        <f>IF(OR(AI35=0,15&lt;=КаникулыРоялти),0,AI35*IF(РоялтиПоГруппам="Да",MeanMinAge15+AI9*SUMIF(ThresholdAge15,"&lt;"&amp;AI9,WeightedRevAge15)-SUMIF(ThresholdAge15,"&lt;"&amp;AI9,WeightedMinAge15),MAX(CapacityAge15*АбонементНовых*AI9,MeanMinAge15)))</f>
        <v/>
      </c>
      <c r="AJ62" s="5">
        <f>IF(OR(AJ35=0,15&lt;=КаникулыРоялти),0,AJ35*IF(РоялтиПоГруппам="Да",MeanMinAge15+AJ9*SUMIF(ThresholdAge15,"&lt;"&amp;AJ9,WeightedRevAge15)-SUMIF(ThresholdAge15,"&lt;"&amp;AJ9,WeightedMinAge15),MAX(CapacityAge15*АбонементНовых*AJ9,MeanMinAge15)))</f>
        <v/>
      </c>
      <c r="AK62" s="5">
        <f>IF(OR(AK35=0,15&lt;=КаникулыРоялти),0,AK35*IF(РоялтиПоГруппам="Да",MeanMinAge15+AK9*SUMIF(ThresholdAge15,"&lt;"&amp;AK9,WeightedRevAge15)-SUMIF(ThresholdAge15,"&lt;"&amp;AK9,WeightedMinAge15),MAX(CapacityAge15*АбонементНовых*AK9,MeanMinAge15)))</f>
        <v/>
      </c>
      <c r="AL62" s="5">
        <f>IF(OR(AL35=0,15&lt;=КаникулыРоялти),0,AL35*IF(РоялтиПоГруппам="Да",MeanMinAge15+AL9*SUMIF(ThresholdAge15,"&lt;"&amp;AL9,WeightedRevAge15)-SUMIF(ThresholdAge15,"&lt;"&amp;AL9,WeightedMinAge15),MAX(CapacityAge15*АбонементНовых*AL9,MeanMinAge15)))</f>
        <v/>
      </c>
      <c r="AM62" s="5">
        <f>IF(OR(AM35=0,15&lt;=КаникулыРоялти),0,AM35*IF(РоялтиПоГруппам="Да",MeanMinAge15+AM9*SUMIF(ThresholdAge15,"&lt;"&amp;AM9,WeightedRevAge15)-SUMIF(ThresholdAge15,"&lt;"&amp;AM9,WeightedMinAge15),MAX(CapacityAge15*АбонементНовых*AM9,MeanMinAge15)))</f>
        <v/>
      </c>
      <c r="AN62" s="5">
        <f>IF(OR(AN35=0,15&lt;=КаникулыРоялти),0,AN35*IF(РоялтиПоГруппам="Да",MeanMinAge15+AN9*SUMIF(ThresholdAge15,"&lt;"&amp;AN9,WeightedRevAge15)-SUMIF(ThresholdAge15,"&lt;"&amp;AN9,WeightedMinAge15),MAX(CapacityAge15*АбонементНовых*AN9,MeanMinAge15)))</f>
        <v/>
      </c>
      <c r="AO62" s="5">
        <f>IF(OR(AO35=0,15&lt;=КаникулыРоялти),0,AO35*IF(РоялтиПоГруппам="Да",MeanMinAge15+AO9*SUMIF(ThresholdAge15,"&lt;"&amp;AO9,WeightedRevAge15)-SUMIF(ThresholdAge15,"&lt;"&amp;AO9,WeightedMinAge15),MAX(CapacityAge15*АбонементНовых*AO9,MeanMinAge15)))</f>
        <v/>
      </c>
      <c r="AP62" s="5">
        <f>IF(OR(AP35=0,15&lt;=КаникулыРоялти),0,AP35*IF(РоялтиПоГруппам="Да",MeanMinAge15+AP9*SUMIF(ThresholdAge15,"&lt;"&amp;AP9,WeightedRevAge15)-SUMIF(ThresholdAge15,"&lt;"&amp;AP9,WeightedMinAge15),MAX(CapacityAge15*АбонементНовых*AP9,MeanMinAge15)))</f>
        <v/>
      </c>
      <c r="AQ62" s="5">
        <f>IF(OR(AQ35=0,15&lt;=КаникулыРоялти),0,AQ35*IF(РоялтиПоГруппам="Да",MeanMinAge15+AQ9*SUMIF(ThresholdAge15,"&lt;"&amp;AQ9,WeightedRevAge15)-SUMIF(ThresholdAge15,"&lt;"&amp;AQ9,WeightedMinAge15),MAX(CapacityAge15*АбонементНовых*AQ9,MeanMinAge15)))</f>
        <v/>
      </c>
      <c r="AR62" s="5">
        <f>IF(OR(AR35=0,15&lt;=КаникулыРоялти),0,AR35*IF(РоялтиПоГруппам="Да",MeanMinAge15+AR9*SUMIF(ThresholdAge15,"&lt;"&amp;AR9,WeightedRevAge15)-SUMIF(ThresholdAge15,"&lt;"&amp;AR9,WeightedMinAge15),MAX(CapacityAge15*АбонементНовых*AR9,MeanMinAge15)))</f>
        <v/>
      </c>
      <c r="AS62" s="5">
        <f>IF(OR(AS35=0,15&lt;=КаникулыРоялти),0,AS35*IF(РоялтиПоГруппам="Да",MeanMinAge15+AS9*SUMIF(ThresholdAge15,"&lt;"&amp;AS9,WeightedRevAge15)-SUMIF(ThresholdAge15,"&lt;"&amp;AS9,WeightedMinAge15),MAX(CapacityAge15*АбонементНовых*AS9,MeanMinAge15)))</f>
        <v/>
      </c>
      <c r="AT62" s="5">
        <f>IF(OR(AT35=0,15&lt;=КаникулыРоялти),0,AT35*IF(РоялтиПоГруппам="Да",MeanMinAge15+AT9*SUMIF(ThresholdAge15,"&lt;"&amp;AT9,WeightedRevAge15)-SUMIF(ThresholdAge15,"&lt;"&amp;AT9,WeightedMinAge15),MAX(CapacityAge15*АбонементНовых*AT9,MeanMinAge15)))</f>
        <v/>
      </c>
      <c r="AU62" s="5">
        <f>IF(OR(AU35=0,15&lt;=КаникулыРоялти),0,AU35*IF(РоялтиПоГруппам="Да",MeanMinAge15+AU9*SUMIF(ThresholdAge15,"&lt;"&amp;AU9,WeightedRevAge15)-SUMIF(ThresholdAge15,"&lt;"&amp;AU9,WeightedMinAge15),MAX(CapacityAge15*АбонементНовых*AU9,MeanMinAge15)))</f>
        <v/>
      </c>
      <c r="AV62" s="5">
        <f>IF(OR(AV35=0,15&lt;=КаникулыРоялти),0,AV35*IF(РоялтиПоГруппам="Да",MeanMinAge15+AV9*SUMIF(ThresholdAge15,"&lt;"&amp;AV9,WeightedRevAge15)-SUMIF(ThresholdAge15,"&lt;"&amp;AV9,WeightedMinAge15),MAX(CapacityAge15*АбонементНовых*AV9,MeanMinAge15)))</f>
        <v/>
      </c>
      <c r="AW62" s="5">
        <f>IF(OR(AW35=0,15&lt;=КаникулыРоялти),0,AW35*IF(РоялтиПоГруппам="Да",MeanMinAge15+AW9*SUMIF(ThresholdAge15,"&lt;"&amp;AW9,WeightedRevAge15)-SUMIF(ThresholdAge15,"&lt;"&amp;AW9,WeightedMinAge15),MAX(CapacityAge15*АбонементНовых*AW9,MeanMinAge15)))</f>
        <v/>
      </c>
      <c r="AX62" s="5">
        <f>IF(OR(AX35=0,15&lt;=КаникулыРоялти),0,AX35*IF(РоялтиПоГруппам="Да",MeanMinAge15+AX9*SUMIF(ThresholdAge15,"&lt;"&amp;AX9,WeightedRevAge15)-SUMIF(ThresholdAge15,"&lt;"&amp;AX9,WeightedMinAge15),MAX(CapacityAge15*АбонементНовых*AX9,MeanMinAge15)))</f>
        <v/>
      </c>
      <c r="AY62" s="5">
        <f>IF(OR(AY35=0,15&lt;=КаникулыРоялти),0,AY35*IF(РоялтиПоГруппам="Да",MeanMinAge15+AY9*SUMIF(ThresholdAge15,"&lt;"&amp;AY9,WeightedRevAge15)-SUMIF(ThresholdAge15,"&lt;"&amp;AY9,WeightedMinAge15),MAX(CapacityAge15*АбонементНовых*AY9,MeanMinAge15)))</f>
        <v/>
      </c>
      <c r="AZ62" s="5">
        <f>IF(OR(AZ35=0,15&lt;=КаникулыРоялти),0,AZ35*IF(РоялтиПоГруппам="Да",MeanMinAge15+AZ9*SUMIF(ThresholdAge15,"&lt;"&amp;AZ9,WeightedRevAge15)-SUMIF(ThresholdAge15,"&lt;"&amp;AZ9,WeightedMinAge15),MAX(CapacityAge15*АбонементНовых*AZ9,MeanMinAge15)))</f>
        <v/>
      </c>
      <c r="BA62" s="5">
        <f>IF(OR(BA35=0,15&lt;=КаникулыРоялти),0,BA35*IF(РоялтиПоГруппам="Да",MeanMinAge15+BA9*SUMIF(ThresholdAge15,"&lt;"&amp;BA9,WeightedRevAge15)-SUMIF(ThresholdAge15,"&lt;"&amp;BA9,WeightedMinAge15),MAX(CapacityAge15*АбонементНовых*BA9,MeanMinAge15)))</f>
        <v/>
      </c>
      <c r="BB62" s="5">
        <f>IF(OR(BB35=0,15&lt;=КаникулыРоялти),0,BB35*IF(РоялтиПоГруппам="Да",MeanMinAge15+BB9*SUMIF(ThresholdAge15,"&lt;"&amp;BB9,WeightedRevAge15)-SUMIF(ThresholdAge15,"&lt;"&amp;BB9,WeightedMinAge15),MAX(CapacityAge15*АбонементНовых*BB9,MeanMinAge15)))</f>
        <v/>
      </c>
      <c r="BC62" s="5">
        <f>IF(OR(BC35=0,15&lt;=КаникулыРоялти),0,BC35*IF(РоялтиПоГруппам="Да",MeanMinAge15+BC9*SUMIF(ThresholdAge15,"&lt;"&amp;BC9,WeightedRevAge15)-SUMIF(ThresholdAge15,"&lt;"&amp;BC9,WeightedMinAge15),MAX(CapacityAge15*АбонементНовых*BC9,MeanMinAge15)))</f>
        <v/>
      </c>
      <c r="BD62" s="5">
        <f>IF(OR(BD35=0,15&lt;=КаникулыРоялти),0,BD35*IF(РоялтиПоГруппам="Да",MeanMinAge15+BD9*SUMIF(ThresholdAge15,"&lt;"&amp;BD9,WeightedRevAge15)-SUMIF(ThresholdAge15,"&lt;"&amp;BD9,WeightedMinAge15),MAX(CapacityAge15*АбонементНовых*BD9,MeanMinAge15)))</f>
        <v/>
      </c>
      <c r="BE62" s="5">
        <f>IF(OR(BE35=0,15&lt;=КаникулыРоялти),0,BE35*IF(РоялтиПоГруппам="Да",MeanMinAge15+BE9*SUMIF(ThresholdAge15,"&lt;"&amp;BE9,WeightedRevAge15)-SUMIF(ThresholdAge15,"&lt;"&amp;BE9,WeightedMinAge15),MAX(CapacityAge15*АбонементНовых*BE9,MeanMinAge15)))</f>
        <v/>
      </c>
      <c r="BF62" s="5">
        <f>IF(OR(BF35=0,15&lt;=КаникулыРоялти),0,BF35*IF(РоялтиПоГруппам="Да",MeanMinAge15+BF9*SUMIF(ThresholdAge15,"&lt;"&amp;BF9,WeightedRevAge15)-SUMIF(ThresholdAge15,"&lt;"&amp;BF9,WeightedMinAge15),MAX(CapacityAge15*АбонементНовых*BF9,MeanMinAge15)))</f>
        <v/>
      </c>
      <c r="BG62" s="5">
        <f>IF(OR(BG35=0,15&lt;=КаникулыРоялти),0,BG35*IF(РоялтиПоГруппам="Да",MeanMinAge15+BG9*SUMIF(ThresholdAge15,"&lt;"&amp;BG9,WeightedRevAge15)-SUMIF(ThresholdAge15,"&lt;"&amp;BG9,WeightedMinAge15),MAX(CapacityAge15*АбонементНовых*BG9,MeanMinAge15)))</f>
        <v/>
      </c>
      <c r="BH62" s="5">
        <f>IF(OR(BH35=0,15&lt;=КаникулыРоялти),0,BH35*IF(РоялтиПоГруппам="Да",MeanMinAge15+BH9*SUMIF(ThresholdAge15,"&lt;"&amp;BH9,WeightedRevAge15)-SUMIF(ThresholdAge15,"&lt;"&amp;BH9,WeightedMinAge15),MAX(CapacityAge15*АбонементНовых*BH9,MeanMinAge15)))</f>
        <v/>
      </c>
      <c r="BI62" s="5">
        <f>IF(OR(BI35=0,15&lt;=КаникулыРоялти),0,BI35*IF(РоялтиПоГруппам="Да",MeanMinAge15+BI9*SUMIF(ThresholdAge15,"&lt;"&amp;BI9,WeightedRevAge15)-SUMIF(ThresholdAge15,"&lt;"&amp;BI9,WeightedMinAge15),MAX(CapacityAge15*АбонементНовых*BI9,MeanMinAge15)))</f>
        <v/>
      </c>
      <c r="BJ62" s="5">
        <f>IF(OR(BJ35=0,15&lt;=КаникулыРоялти),0,BJ35*IF(РоялтиПоГруппам="Да",MeanMinAge15+BJ9*SUMIF(ThresholdAge15,"&lt;"&amp;BJ9,WeightedRevAge15)-SUMIF(ThresholdAge15,"&lt;"&amp;BJ9,WeightedMinAge15),MAX(CapacityAge15*АбонементНовых*BJ9,MeanMinAge15)))</f>
        <v/>
      </c>
      <c r="BK62" s="5">
        <f>IF(OR(BK35=0,15&lt;=КаникулыРоялти),0,BK35*IF(РоялтиПоГруппам="Да",MeanMinAge15+BK9*SUMIF(ThresholdAge15,"&lt;"&amp;BK9,WeightedRevAge15)-SUMIF(ThresholdAge15,"&lt;"&amp;BK9,WeightedMinAge15),MAX(CapacityAge15*АбонементНовых*BK9,MeanMinAge15)))</f>
        <v/>
      </c>
      <c r="BL62" s="5">
        <f>IF(OR(BL35=0,15&lt;=КаникулыРоялти),0,BL35*IF(РоялтиПоГруппам="Да",MeanMinAge15+BL9*SUMIF(ThresholdAge15,"&lt;"&amp;BL9,WeightedRevAge15)-SUMIF(ThresholdAge15,"&lt;"&amp;BL9,WeightedMinAge15),MAX(CapacityAge15*АбонементНовых*BL9,MeanMinAge15)))</f>
        <v/>
      </c>
      <c r="BM62" s="5">
        <f>IF(OR(BM35=0,15&lt;=КаникулыРоялти),0,BM35*IF(РоялтиПоГруппам="Да",MeanMinAge15+BM9*SUMIF(ThresholdAge15,"&lt;"&amp;BM9,WeightedRevAge15)-SUMIF(ThresholdAge15,"&lt;"&amp;BM9,WeightedMinAge15),MAX(CapacityAge15*АбонементНовых*BM9,MeanMinAge15)))</f>
        <v/>
      </c>
      <c r="BN62" s="5">
        <f>IF(OR(BN35=0,15&lt;=КаникулыРоялти),0,BN35*IF(РоялтиПоГруппам="Да",MeanMinAge15+BN9*SUMIF(ThresholdAge15,"&lt;"&amp;BN9,WeightedRevAge15)-SUMIF(ThresholdAge15,"&lt;"&amp;BN9,WeightedMinAge15),MAX(CapacityAge15*АбонементНовых*BN9,MeanMinAge15)))</f>
        <v/>
      </c>
      <c r="BO62" s="5">
        <f>IF(OR(BO35=0,15&lt;=КаникулыРоялти),0,BO35*IF(РоялтиПоГруппам="Да",MeanMinAge15+BO9*SUMIF(ThresholdAge15,"&lt;"&amp;BO9,WeightedRevAge15)-SUMIF(ThresholdAge15,"&lt;"&amp;BO9,WeightedMinAge15),MAX(CapacityAge15*АбонементНовых*BO9,MeanMinAge15)))</f>
        <v/>
      </c>
      <c r="BP62" s="5">
        <f>IF(OR(BP35=0,15&lt;=КаникулыРоялти),0,BP35*IF(РоялтиПоГруппам="Да",MeanMinAge15+BP9*SUMIF(ThresholdAge15,"&lt;"&amp;BP9,WeightedRevAge15)-SUMIF(ThresholdAge15,"&lt;"&amp;BP9,WeightedMinAge15),MAX(CapacityAge15*АбонементНовых*BP9,MeanMinAge15)))</f>
        <v/>
      </c>
      <c r="BQ62" s="5">
        <f>IF(OR(BQ35=0,15&lt;=КаникулыРоялти),0,BQ35*IF(РоялтиПоГруппам="Да",MeanMinAge15+BQ9*SUMIF(ThresholdAge15,"&lt;"&amp;BQ9,WeightedRevAge15)-SUMIF(ThresholdAge15,"&lt;"&amp;BQ9,WeightedMinAge15),MAX(CapacityAge15*АбонементНовых*BQ9,MeanMinAge15)))</f>
        <v/>
      </c>
      <c r="BR62" s="5">
        <f>IF(OR(BR35=0,15&lt;=КаникулыРоялти),0,BR35*IF(РоялтиПоГруппам="Да",MeanMinAge15+BR9*SUMIF(ThresholdAge15,"&lt;"&amp;BR9,WeightedRevAge15)-SUMIF(ThresholdAge15,"&lt;"&amp;BR9,WeightedMinAge15),MAX(CapacityAge15*АбонементНовых*BR9,MeanMinAge15)))</f>
        <v/>
      </c>
      <c r="BS62" s="5">
        <f>IF(OR(BS35=0,15&lt;=КаникулыРоялти),0,BS35*IF(РоялтиПоГруппам="Да",MeanMinAge15+BS9*SUMIF(ThresholdAge15,"&lt;"&amp;BS9,WeightedRevAge15)-SUMIF(ThresholdAge15,"&lt;"&amp;BS9,WeightedMinAge15),MAX(CapacityAge15*АбонементНовых*BS9,MeanMinAge15)))</f>
        <v/>
      </c>
      <c r="BT62" s="5">
        <f>IF(OR(BT35=0,15&lt;=КаникулыРоялти),0,BT35*IF(РоялтиПоГруппам="Да",MeanMinAge15+BT9*SUMIF(ThresholdAge15,"&lt;"&amp;BT9,WeightedRevAge15)-SUMIF(ThresholdAge15,"&lt;"&amp;BT9,WeightedMinAge15),MAX(CapacityAge15*АбонементНовых*BT9,MeanMinAge15)))</f>
        <v/>
      </c>
      <c r="BU62" s="5">
        <f>IF(OR(BU35=0,15&lt;=КаникулыРоялти),0,BU35*IF(РоялтиПоГруппам="Да",MeanMinAge15+BU9*SUMIF(ThresholdAge15,"&lt;"&amp;BU9,WeightedRevAge15)-SUMIF(ThresholdAge15,"&lt;"&amp;BU9,WeightedMinAge15),MAX(CapacityAge15*АбонементНовых*BU9,MeanMinAge15)))</f>
        <v/>
      </c>
      <c r="BV62" s="5">
        <f>IF(OR(BV35=0,15&lt;=КаникулыРоялти),0,BV35*IF(РоялтиПоГруппам="Да",MeanMinAge15+BV9*SUMIF(ThresholdAge15,"&lt;"&amp;BV9,WeightedRevAge15)-SUMIF(ThresholdAge15,"&lt;"&amp;BV9,WeightedMinAge15),MAX(CapacityAge15*АбонементНовых*BV9,MeanMinAge15)))</f>
        <v/>
      </c>
      <c r="BW62" s="5">
        <f>IF(OR(BW35=0,15&lt;=КаникулыРоялти),0,BW35*IF(РоялтиПоГруппам="Да",MeanMinAge15+BW9*SUMIF(ThresholdAge15,"&lt;"&amp;BW9,WeightedRevAge15)-SUMIF(ThresholdAge15,"&lt;"&amp;BW9,WeightedMinAge15),MAX(CapacityAge15*АбонементНовых*BW9,MeanMinAge15)))</f>
        <v/>
      </c>
      <c r="BX62" s="5">
        <f>IF(OR(BX35=0,15&lt;=КаникулыРоялти),0,BX35*IF(РоялтиПоГруппам="Да",MeanMinAge15+BX9*SUMIF(ThresholdAge15,"&lt;"&amp;BX9,WeightedRevAge15)-SUMIF(ThresholdAge15,"&lt;"&amp;BX9,WeightedMinAge15),MAX(CapacityAge15*АбонементНовых*BX9,MeanMinAge15)))</f>
        <v/>
      </c>
      <c r="BY62" s="5">
        <f>IF(OR(BY35=0,15&lt;=КаникулыРоялти),0,BY35*IF(РоялтиПоГруппам="Да",MeanMinAge15+BY9*SUMIF(ThresholdAge15,"&lt;"&amp;BY9,WeightedRevAge15)-SUMIF(ThresholdAge15,"&lt;"&amp;BY9,WeightedMinAge15),MAX(CapacityAge15*АбонементНовых*BY9,MeanMinAge15)))</f>
        <v/>
      </c>
    </row>
    <row r="63">
      <c r="B63" t="inlineStr">
        <is>
          <t>16 мес.</t>
        </is>
      </c>
      <c r="C63" t="inlineStr">
        <is>
          <t>₽</t>
        </is>
      </c>
      <c r="D63" s="127" t="inlineStr"/>
      <c r="E63" s="129">
        <f>SUM(L63:W63)</f>
        <v/>
      </c>
      <c r="F63" s="129">
        <f>SUM(X63:AI63)</f>
        <v/>
      </c>
      <c r="G63" s="129">
        <f>SUM(AJ63:AU63)</f>
        <v/>
      </c>
      <c r="H63" s="129">
        <f>SUM(AV63:BG63)</f>
        <v/>
      </c>
      <c r="I63" s="129">
        <f>SUM(BH63:BS63)</f>
        <v/>
      </c>
      <c r="J63" s="6">
        <f>SUM(L63:BS63)</f>
        <v/>
      </c>
      <c r="L63" s="5">
        <f>IF(OR(L36=0,16&lt;=КаникулыРоялти),0,L36*IF(РоялтиПоГруппам="Да",MeanMinAge16+L9*SUMIF(ThresholdAge16,"&lt;"&amp;L9,WeightedRevAge16)-SUMIF(ThresholdAge16,"&lt;"&amp;L9,WeightedMinAge16),MAX(CapacityAge16*АбонементНовых*L9,MeanMinAge16)))</f>
        <v/>
      </c>
      <c r="M63" s="5">
        <f>IF(OR(M36=0,16&lt;=КаникулыРоялти),0,M36*IF(РоялтиПоГруппам="Да",MeanMinAge16+M9*SUMIF(ThresholdAge16,"&lt;"&amp;M9,WeightedRevAge16)-SUMIF(ThresholdAge16,"&lt;"&amp;M9,WeightedMinAge16),MAX(CapacityAge16*АбонементНовых*M9,MeanMinAge16)))</f>
        <v/>
      </c>
      <c r="N63" s="5">
        <f>IF(OR(N36=0,16&lt;=КаникулыРоялти),0,N36*IF(РоялтиПоГруппам="Да",MeanMinAge16+N9*SUMIF(ThresholdAge16,"&lt;"&amp;N9,WeightedRevAge16)-SUMIF(ThresholdAge16,"&lt;"&amp;N9,WeightedMinAge16),MAX(CapacityAge16*АбонементНовых*N9,MeanMinAge16)))</f>
        <v/>
      </c>
      <c r="O63" s="5">
        <f>IF(OR(O36=0,16&lt;=КаникулыРоялти),0,O36*IF(РоялтиПоГруппам="Да",MeanMinAge16+O9*SUMIF(ThresholdAge16,"&lt;"&amp;O9,WeightedRevAge16)-SUMIF(ThresholdAge16,"&lt;"&amp;O9,WeightedMinAge16),MAX(CapacityAge16*АбонементНовых*O9,MeanMinAge16)))</f>
        <v/>
      </c>
      <c r="P63" s="5">
        <f>IF(OR(P36=0,16&lt;=КаникулыРоялти),0,P36*IF(РоялтиПоГруппам="Да",MeanMinAge16+P9*SUMIF(ThresholdAge16,"&lt;"&amp;P9,WeightedRevAge16)-SUMIF(ThresholdAge16,"&lt;"&amp;P9,WeightedMinAge16),MAX(CapacityAge16*АбонементНовых*P9,MeanMinAge16)))</f>
        <v/>
      </c>
      <c r="Q63" s="5">
        <f>IF(OR(Q36=0,16&lt;=КаникулыРоялти),0,Q36*IF(РоялтиПоГруппам="Да",MeanMinAge16+Q9*SUMIF(ThresholdAge16,"&lt;"&amp;Q9,WeightedRevAge16)-SUMIF(ThresholdAge16,"&lt;"&amp;Q9,WeightedMinAge16),MAX(CapacityAge16*АбонементНовых*Q9,MeanMinAge16)))</f>
        <v/>
      </c>
      <c r="R63" s="5">
        <f>IF(OR(R36=0,16&lt;=КаникулыРоялти),0,R36*IF(РоялтиПоГруппам="Да",MeanMinAge16+R9*SUMIF(ThresholdAge16,"&lt;"&amp;R9,WeightedRevAge16)-SUMIF(ThresholdAge16,"&lt;"&amp;R9,WeightedMinAge16),MAX(CapacityAge16*АбонементНовых*R9,MeanMinAge16)))</f>
        <v/>
      </c>
      <c r="S63" s="5">
        <f>IF(OR(S36=0,16&lt;=КаникулыРоялти),0,S36*IF(РоялтиПоГруппам="Да",MeanMinAge16+S9*SUMIF(ThresholdAge16,"&lt;"&amp;S9,WeightedRevAge16)-SUMIF(ThresholdAge16,"&lt;"&amp;S9,WeightedMinAge16),MAX(CapacityAge16*АбонементНовых*S9,MeanMinAge16)))</f>
        <v/>
      </c>
      <c r="T63" s="5">
        <f>IF(OR(T36=0,16&lt;=КаникулыРоялти),0,T36*IF(РоялтиПоГруппам="Да",MeanMinAge16+T9*SUMIF(ThresholdAge16,"&lt;"&amp;T9,WeightedRevAge16)-SUMIF(ThresholdAge16,"&lt;"&amp;T9,WeightedMinAge16),MAX(CapacityAge16*АбонементНовых*T9,MeanMinAge16)))</f>
        <v/>
      </c>
      <c r="U63" s="5">
        <f>IF(OR(U36=0,16&lt;=КаникулыРоялти),0,U36*IF(РоялтиПоГруппам="Да",MeanMinAge16+U9*SUMIF(ThresholdAge16,"&lt;"&amp;U9,WeightedRevAge16)-SUMIF(ThresholdAge16,"&lt;"&amp;U9,WeightedMinAge16),MAX(CapacityAge16*АбонементНовых*U9,MeanMinAge16)))</f>
        <v/>
      </c>
      <c r="V63" s="5">
        <f>IF(OR(V36=0,16&lt;=КаникулыРоялти),0,V36*IF(РоялтиПоГруппам="Да",MeanMinAge16+V9*SUMIF(ThresholdAge16,"&lt;"&amp;V9,WeightedRevAge16)-SUMIF(ThresholdAge16,"&lt;"&amp;V9,WeightedMinAge16),MAX(CapacityAge16*АбонементНовых*V9,MeanMinAge16)))</f>
        <v/>
      </c>
      <c r="W63" s="5">
        <f>IF(OR(W36=0,16&lt;=КаникулыРоялти),0,W36*IF(РоялтиПоГруппам="Да",MeanMinAge16+W9*SUMIF(ThresholdAge16,"&lt;"&amp;W9,WeightedRevAge16)-SUMIF(ThresholdAge16,"&lt;"&amp;W9,WeightedMinAge16),MAX(CapacityAge16*АбонементНовых*W9,MeanMinAge16)))</f>
        <v/>
      </c>
      <c r="X63" s="5">
        <f>IF(OR(X36=0,16&lt;=КаникулыРоялти),0,X36*IF(РоялтиПоГруппам="Да",MeanMinAge16+X9*SUMIF(ThresholdAge16,"&lt;"&amp;X9,WeightedRevAge16)-SUMIF(ThresholdAge16,"&lt;"&amp;X9,WeightedMinAge16),MAX(CapacityAge16*АбонементНовых*X9,MeanMinAge16)))</f>
        <v/>
      </c>
      <c r="Y63" s="5">
        <f>IF(OR(Y36=0,16&lt;=КаникулыРоялти),0,Y36*IF(РоялтиПоГруппам="Да",MeanMinAge16+Y9*SUMIF(ThresholdAge16,"&lt;"&amp;Y9,WeightedRevAge16)-SUMIF(ThresholdAge16,"&lt;"&amp;Y9,WeightedMinAge16),MAX(CapacityAge16*АбонементНовых*Y9,MeanMinAge16)))</f>
        <v/>
      </c>
      <c r="Z63" s="5">
        <f>IF(OR(Z36=0,16&lt;=КаникулыРоялти),0,Z36*IF(РоялтиПоГруппам="Да",MeanMinAge16+Z9*SUMIF(ThresholdAge16,"&lt;"&amp;Z9,WeightedRevAge16)-SUMIF(ThresholdAge16,"&lt;"&amp;Z9,WeightedMinAge16),MAX(CapacityAge16*АбонементНовых*Z9,MeanMinAge16)))</f>
        <v/>
      </c>
      <c r="AA63" s="5">
        <f>IF(OR(AA36=0,16&lt;=КаникулыРоялти),0,AA36*IF(РоялтиПоГруппам="Да",MeanMinAge16+AA9*SUMIF(ThresholdAge16,"&lt;"&amp;AA9,WeightedRevAge16)-SUMIF(ThresholdAge16,"&lt;"&amp;AA9,WeightedMinAge16),MAX(CapacityAge16*АбонементНовых*AA9,MeanMinAge16)))</f>
        <v/>
      </c>
      <c r="AB63" s="5">
        <f>IF(OR(AB36=0,16&lt;=КаникулыРоялти),0,AB36*IF(РоялтиПоГруппам="Да",MeanMinAge16+AB9*SUMIF(ThresholdAge16,"&lt;"&amp;AB9,WeightedRevAge16)-SUMIF(ThresholdAge16,"&lt;"&amp;AB9,WeightedMinAge16),MAX(CapacityAge16*АбонементНовых*AB9,MeanMinAge16)))</f>
        <v/>
      </c>
      <c r="AC63" s="5">
        <f>IF(OR(AC36=0,16&lt;=КаникулыРоялти),0,AC36*IF(РоялтиПоГруппам="Да",MeanMinAge16+AC9*SUMIF(ThresholdAge16,"&lt;"&amp;AC9,WeightedRevAge16)-SUMIF(ThresholdAge16,"&lt;"&amp;AC9,WeightedMinAge16),MAX(CapacityAge16*АбонементНовых*AC9,MeanMinAge16)))</f>
        <v/>
      </c>
      <c r="AD63" s="5">
        <f>IF(OR(AD36=0,16&lt;=КаникулыРоялти),0,AD36*IF(РоялтиПоГруппам="Да",MeanMinAge16+AD9*SUMIF(ThresholdAge16,"&lt;"&amp;AD9,WeightedRevAge16)-SUMIF(ThresholdAge16,"&lt;"&amp;AD9,WeightedMinAge16),MAX(CapacityAge16*АбонементНовых*AD9,MeanMinAge16)))</f>
        <v/>
      </c>
      <c r="AE63" s="5">
        <f>IF(OR(AE36=0,16&lt;=КаникулыРоялти),0,AE36*IF(РоялтиПоГруппам="Да",MeanMinAge16+AE9*SUMIF(ThresholdAge16,"&lt;"&amp;AE9,WeightedRevAge16)-SUMIF(ThresholdAge16,"&lt;"&amp;AE9,WeightedMinAge16),MAX(CapacityAge16*АбонементНовых*AE9,MeanMinAge16)))</f>
        <v/>
      </c>
      <c r="AF63" s="5">
        <f>IF(OR(AF36=0,16&lt;=КаникулыРоялти),0,AF36*IF(РоялтиПоГруппам="Да",MeanMinAge16+AF9*SUMIF(ThresholdAge16,"&lt;"&amp;AF9,WeightedRevAge16)-SUMIF(ThresholdAge16,"&lt;"&amp;AF9,WeightedMinAge16),MAX(CapacityAge16*АбонементНовых*AF9,MeanMinAge16)))</f>
        <v/>
      </c>
      <c r="AG63" s="5">
        <f>IF(OR(AG36=0,16&lt;=КаникулыРоялти),0,AG36*IF(РоялтиПоГруппам="Да",MeanMinAge16+AG9*SUMIF(ThresholdAge16,"&lt;"&amp;AG9,WeightedRevAge16)-SUMIF(ThresholdAge16,"&lt;"&amp;AG9,WeightedMinAge16),MAX(CapacityAge16*АбонементНовых*AG9,MeanMinAge16)))</f>
        <v/>
      </c>
      <c r="AH63" s="5">
        <f>IF(OR(AH36=0,16&lt;=КаникулыРоялти),0,AH36*IF(РоялтиПоГруппам="Да",MeanMinAge16+AH9*SUMIF(ThresholdAge16,"&lt;"&amp;AH9,WeightedRevAge16)-SUMIF(ThresholdAge16,"&lt;"&amp;AH9,WeightedMinAge16),MAX(CapacityAge16*АбонементНовых*AH9,MeanMinAge16)))</f>
        <v/>
      </c>
      <c r="AI63" s="5">
        <f>IF(OR(AI36=0,16&lt;=КаникулыРоялти),0,AI36*IF(РоялтиПоГруппам="Да",MeanMinAge16+AI9*SUMIF(ThresholdAge16,"&lt;"&amp;AI9,WeightedRevAge16)-SUMIF(ThresholdAge16,"&lt;"&amp;AI9,WeightedMinAge16),MAX(CapacityAge16*АбонементНовых*AI9,MeanMinAge16)))</f>
        <v/>
      </c>
      <c r="AJ63" s="5">
        <f>IF(OR(AJ36=0,16&lt;=КаникулыРоялти),0,AJ36*IF(РоялтиПоГруппам="Да",MeanMinAge16+AJ9*SUMIF(ThresholdAge16,"&lt;"&amp;AJ9,WeightedRevAge16)-SUMIF(ThresholdAge16,"&lt;"&amp;AJ9,WeightedMinAge16),MAX(CapacityAge16*АбонементНовых*AJ9,MeanMinAge16)))</f>
        <v/>
      </c>
      <c r="AK63" s="5">
        <f>IF(OR(AK36=0,16&lt;=КаникулыРоялти),0,AK36*IF(РоялтиПоГруппам="Да",MeanMinAge16+AK9*SUMIF(ThresholdAge16,"&lt;"&amp;AK9,WeightedRevAge16)-SUMIF(ThresholdAge16,"&lt;"&amp;AK9,WeightedMinAge16),MAX(CapacityAge16*АбонементНовых*AK9,MeanMinAge16)))</f>
        <v/>
      </c>
      <c r="AL63" s="5">
        <f>IF(OR(AL36=0,16&lt;=КаникулыРоялти),0,AL36*IF(РоялтиПоГруппам="Да",MeanMinAge16+AL9*SUMIF(ThresholdAge16,"&lt;"&amp;AL9,WeightedRevAge16)-SUMIF(ThresholdAge16,"&lt;"&amp;AL9,WeightedMinAge16),MAX(CapacityAge16*АбонементНовых*AL9,MeanMinAge16)))</f>
        <v/>
      </c>
      <c r="AM63" s="5">
        <f>IF(OR(AM36=0,16&lt;=КаникулыРоялти),0,AM36*IF(РоялтиПоГруппам="Да",MeanMinAge16+AM9*SUMIF(ThresholdAge16,"&lt;"&amp;AM9,WeightedRevAge16)-SUMIF(ThresholdAge16,"&lt;"&amp;AM9,WeightedMinAge16),MAX(CapacityAge16*АбонементНовых*AM9,MeanMinAge16)))</f>
        <v/>
      </c>
      <c r="AN63" s="5">
        <f>IF(OR(AN36=0,16&lt;=КаникулыРоялти),0,AN36*IF(РоялтиПоГруппам="Да",MeanMinAge16+AN9*SUMIF(ThresholdAge16,"&lt;"&amp;AN9,WeightedRevAge16)-SUMIF(ThresholdAge16,"&lt;"&amp;AN9,WeightedMinAge16),MAX(CapacityAge16*АбонементНовых*AN9,MeanMinAge16)))</f>
        <v/>
      </c>
      <c r="AO63" s="5">
        <f>IF(OR(AO36=0,16&lt;=КаникулыРоялти),0,AO36*IF(РоялтиПоГруппам="Да",MeanMinAge16+AO9*SUMIF(ThresholdAge16,"&lt;"&amp;AO9,WeightedRevAge16)-SUMIF(ThresholdAge16,"&lt;"&amp;AO9,WeightedMinAge16),MAX(CapacityAge16*АбонементНовых*AO9,MeanMinAge16)))</f>
        <v/>
      </c>
      <c r="AP63" s="5">
        <f>IF(OR(AP36=0,16&lt;=КаникулыРоялти),0,AP36*IF(РоялтиПоГруппам="Да",MeanMinAge16+AP9*SUMIF(ThresholdAge16,"&lt;"&amp;AP9,WeightedRevAge16)-SUMIF(ThresholdAge16,"&lt;"&amp;AP9,WeightedMinAge16),MAX(CapacityAge16*АбонементНовых*AP9,MeanMinAge16)))</f>
        <v/>
      </c>
      <c r="AQ63" s="5">
        <f>IF(OR(AQ36=0,16&lt;=КаникулыРоялти),0,AQ36*IF(РоялтиПоГруппам="Да",MeanMinAge16+AQ9*SUMIF(ThresholdAge16,"&lt;"&amp;AQ9,WeightedRevAge16)-SUMIF(ThresholdAge16,"&lt;"&amp;AQ9,WeightedMinAge16),MAX(CapacityAge16*АбонементНовых*AQ9,MeanMinAge16)))</f>
        <v/>
      </c>
      <c r="AR63" s="5">
        <f>IF(OR(AR36=0,16&lt;=КаникулыРоялти),0,AR36*IF(РоялтиПоГруппам="Да",MeanMinAge16+AR9*SUMIF(ThresholdAge16,"&lt;"&amp;AR9,WeightedRevAge16)-SUMIF(ThresholdAge16,"&lt;"&amp;AR9,WeightedMinAge16),MAX(CapacityAge16*АбонементНовых*AR9,MeanMinAge16)))</f>
        <v/>
      </c>
      <c r="AS63" s="5">
        <f>IF(OR(AS36=0,16&lt;=КаникулыРоялти),0,AS36*IF(РоялтиПоГруппам="Да",MeanMinAge16+AS9*SUMIF(ThresholdAge16,"&lt;"&amp;AS9,WeightedRevAge16)-SUMIF(ThresholdAge16,"&lt;"&amp;AS9,WeightedMinAge16),MAX(CapacityAge16*АбонементНовых*AS9,MeanMinAge16)))</f>
        <v/>
      </c>
      <c r="AT63" s="5">
        <f>IF(OR(AT36=0,16&lt;=КаникулыРоялти),0,AT36*IF(РоялтиПоГруппам="Да",MeanMinAge16+AT9*SUMIF(ThresholdAge16,"&lt;"&amp;AT9,WeightedRevAge16)-SUMIF(ThresholdAge16,"&lt;"&amp;AT9,WeightedMinAge16),MAX(CapacityAge16*АбонементНовых*AT9,MeanMinAge16)))</f>
        <v/>
      </c>
      <c r="AU63" s="5">
        <f>IF(OR(AU36=0,16&lt;=КаникулыРоялти),0,AU36*IF(РоялтиПоГруппам="Да",MeanMinAge16+AU9*SUMIF(ThresholdAge16,"&lt;"&amp;AU9,WeightedRevAge16)-SUMIF(ThresholdAge16,"&lt;"&amp;AU9,WeightedMinAge16),MAX(CapacityAge16*АбонементНовых*AU9,MeanMinAge16)))</f>
        <v/>
      </c>
      <c r="AV63" s="5">
        <f>IF(OR(AV36=0,16&lt;=КаникулыРоялти),0,AV36*IF(РоялтиПоГруппам="Да",MeanMinAge16+AV9*SUMIF(ThresholdAge16,"&lt;"&amp;AV9,WeightedRevAge16)-SUMIF(ThresholdAge16,"&lt;"&amp;AV9,WeightedMinAge16),MAX(CapacityAge16*АбонементНовых*AV9,MeanMinAge16)))</f>
        <v/>
      </c>
      <c r="AW63" s="5">
        <f>IF(OR(AW36=0,16&lt;=КаникулыРоялти),0,AW36*IF(РоялтиПоГруппам="Да",MeanMinAge16+AW9*SUMIF(ThresholdAge16,"&lt;"&amp;AW9,WeightedRevAge16)-SUMIF(ThresholdAge16,"&lt;"&amp;AW9,WeightedMinAge16),MAX(CapacityAge16*АбонементНовых*AW9,MeanMinAge16)))</f>
        <v/>
      </c>
      <c r="AX63" s="5">
        <f>IF(OR(AX36=0,16&lt;=КаникулыРоялти),0,AX36*IF(РоялтиПоГруппам="Да",MeanMinAge16+AX9*SUMIF(ThresholdAge16,"&lt;"&amp;AX9,WeightedRevAge16)-SUMIF(ThresholdAge16,"&lt;"&amp;AX9,WeightedMinAge16),MAX(CapacityAge16*АбонементНовых*AX9,MeanMinAge16)))</f>
        <v/>
      </c>
      <c r="AY63" s="5">
        <f>IF(OR(AY36=0,16&lt;=КаникулыРоялти),0,AY36*IF(РоялтиПоГруппам="Да",MeanMinAge16+AY9*SUMIF(ThresholdAge16,"&lt;"&amp;AY9,WeightedRevAge16)-SUMIF(ThresholdAge16,"&lt;"&amp;AY9,WeightedMinAge16),MAX(CapacityAge16*АбонементНовых*AY9,MeanMinAge16)))</f>
        <v/>
      </c>
      <c r="AZ63" s="5">
        <f>IF(OR(AZ36=0,16&lt;=КаникулыРоялти),0,AZ36*IF(РоялтиПоГруппам="Да",MeanMinAge16+AZ9*SUMIF(ThresholdAge16,"&lt;"&amp;AZ9,WeightedRevAge16)-SUMIF(ThresholdAge16,"&lt;"&amp;AZ9,WeightedMinAge16),MAX(CapacityAge16*АбонементНовых*AZ9,MeanMinAge16)))</f>
        <v/>
      </c>
      <c r="BA63" s="5">
        <f>IF(OR(BA36=0,16&lt;=КаникулыРоялти),0,BA36*IF(РоялтиПоГруппам="Да",MeanMinAge16+BA9*SUMIF(ThresholdAge16,"&lt;"&amp;BA9,WeightedRevAge16)-SUMIF(ThresholdAge16,"&lt;"&amp;BA9,WeightedMinAge16),MAX(CapacityAge16*АбонементНовых*BA9,MeanMinAge16)))</f>
        <v/>
      </c>
      <c r="BB63" s="5">
        <f>IF(OR(BB36=0,16&lt;=КаникулыРоялти),0,BB36*IF(РоялтиПоГруппам="Да",MeanMinAge16+BB9*SUMIF(ThresholdAge16,"&lt;"&amp;BB9,WeightedRevAge16)-SUMIF(ThresholdAge16,"&lt;"&amp;BB9,WeightedMinAge16),MAX(CapacityAge16*АбонементНовых*BB9,MeanMinAge16)))</f>
        <v/>
      </c>
      <c r="BC63" s="5">
        <f>IF(OR(BC36=0,16&lt;=КаникулыРоялти),0,BC36*IF(РоялтиПоГруппам="Да",MeanMinAge16+BC9*SUMIF(ThresholdAge16,"&lt;"&amp;BC9,WeightedRevAge16)-SUMIF(ThresholdAge16,"&lt;"&amp;BC9,WeightedMinAge16),MAX(CapacityAge16*АбонементНовых*BC9,MeanMinAge16)))</f>
        <v/>
      </c>
      <c r="BD63" s="5">
        <f>IF(OR(BD36=0,16&lt;=КаникулыРоялти),0,BD36*IF(РоялтиПоГруппам="Да",MeanMinAge16+BD9*SUMIF(ThresholdAge16,"&lt;"&amp;BD9,WeightedRevAge16)-SUMIF(ThresholdAge16,"&lt;"&amp;BD9,WeightedMinAge16),MAX(CapacityAge16*АбонементНовых*BD9,MeanMinAge16)))</f>
        <v/>
      </c>
      <c r="BE63" s="5">
        <f>IF(OR(BE36=0,16&lt;=КаникулыРоялти),0,BE36*IF(РоялтиПоГруппам="Да",MeanMinAge16+BE9*SUMIF(ThresholdAge16,"&lt;"&amp;BE9,WeightedRevAge16)-SUMIF(ThresholdAge16,"&lt;"&amp;BE9,WeightedMinAge16),MAX(CapacityAge16*АбонементНовых*BE9,MeanMinAge16)))</f>
        <v/>
      </c>
      <c r="BF63" s="5">
        <f>IF(OR(BF36=0,16&lt;=КаникулыРоялти),0,BF36*IF(РоялтиПоГруппам="Да",MeanMinAge16+BF9*SUMIF(ThresholdAge16,"&lt;"&amp;BF9,WeightedRevAge16)-SUMIF(ThresholdAge16,"&lt;"&amp;BF9,WeightedMinAge16),MAX(CapacityAge16*АбонементНовых*BF9,MeanMinAge16)))</f>
        <v/>
      </c>
      <c r="BG63" s="5">
        <f>IF(OR(BG36=0,16&lt;=КаникулыРоялти),0,BG36*IF(РоялтиПоГруппам="Да",MeanMinAge16+BG9*SUMIF(ThresholdAge16,"&lt;"&amp;BG9,WeightedRevAge16)-SUMIF(ThresholdAge16,"&lt;"&amp;BG9,WeightedMinAge16),MAX(CapacityAge16*АбонементНовых*BG9,MeanMinAge16)))</f>
        <v/>
      </c>
      <c r="BH63" s="5">
        <f>IF(OR(BH36=0,16&lt;=КаникулыРоялти),0,BH36*IF(РоялтиПоГруппам="Да",MeanMinAge16+BH9*SUMIF(ThresholdAge16,"&lt;"&amp;BH9,WeightedRevAge16)-SUMIF(ThresholdAge16,"&lt;"&amp;BH9,WeightedMinAge16),MAX(CapacityAge16*АбонементНовых*BH9,MeanMinAge16)))</f>
        <v/>
      </c>
      <c r="BI63" s="5">
        <f>IF(OR(BI36=0,16&lt;=КаникулыРоялти),0,BI36*IF(РоялтиПоГруппам="Да",MeanMinAge16+BI9*SUMIF(ThresholdAge16,"&lt;"&amp;BI9,WeightedRevAge16)-SUMIF(ThresholdAge16,"&lt;"&amp;BI9,WeightedMinAge16),MAX(CapacityAge16*АбонементНовых*BI9,MeanMinAge16)))</f>
        <v/>
      </c>
      <c r="BJ63" s="5">
        <f>IF(OR(BJ36=0,16&lt;=КаникулыРоялти),0,BJ36*IF(РоялтиПоГруппам="Да",MeanMinAge16+BJ9*SUMIF(ThresholdAge16,"&lt;"&amp;BJ9,WeightedRevAge16)-SUMIF(ThresholdAge16,"&lt;"&amp;BJ9,WeightedMinAge16),MAX(CapacityAge16*АбонементНовых*BJ9,MeanMinAge16)))</f>
        <v/>
      </c>
      <c r="BK63" s="5">
        <f>IF(OR(BK36=0,16&lt;=КаникулыРоялти),0,BK36*IF(РоялтиПоГруппам="Да",MeanMinAge16+BK9*SUMIF(ThresholdAge16,"&lt;"&amp;BK9,WeightedRevAge16)-SUMIF(ThresholdAge16,"&lt;"&amp;BK9,WeightedMinAge16),MAX(CapacityAge16*АбонементНовых*BK9,MeanMinAge16)))</f>
        <v/>
      </c>
      <c r="BL63" s="5">
        <f>IF(OR(BL36=0,16&lt;=КаникулыРоялти),0,BL36*IF(РоялтиПоГруппам="Да",MeanMinAge16+BL9*SUMIF(ThresholdAge16,"&lt;"&amp;BL9,WeightedRevAge16)-SUMIF(ThresholdAge16,"&lt;"&amp;BL9,WeightedMinAge16),MAX(CapacityAge16*АбонементНовых*BL9,MeanMinAge16)))</f>
        <v/>
      </c>
      <c r="BM63" s="5">
        <f>IF(OR(BM36=0,16&lt;=КаникулыРоялти),0,BM36*IF(РоялтиПоГруппам="Да",MeanMinAge16+BM9*SUMIF(ThresholdAge16,"&lt;"&amp;BM9,WeightedRevAge16)-SUMIF(ThresholdAge16,"&lt;"&amp;BM9,WeightedMinAge16),MAX(CapacityAge16*АбонементНовых*BM9,MeanMinAge16)))</f>
        <v/>
      </c>
      <c r="BN63" s="5">
        <f>IF(OR(BN36=0,16&lt;=КаникулыРоялти),0,BN36*IF(РоялтиПоГруппам="Да",MeanMinAge16+BN9*SUMIF(ThresholdAge16,"&lt;"&amp;BN9,WeightedRevAge16)-SUMIF(ThresholdAge16,"&lt;"&amp;BN9,WeightedMinAge16),MAX(CapacityAge16*АбонементНовых*BN9,MeanMinAge16)))</f>
        <v/>
      </c>
      <c r="BO63" s="5">
        <f>IF(OR(BO36=0,16&lt;=КаникулыРоялти),0,BO36*IF(РоялтиПоГруппам="Да",MeanMinAge16+BO9*SUMIF(ThresholdAge16,"&lt;"&amp;BO9,WeightedRevAge16)-SUMIF(ThresholdAge16,"&lt;"&amp;BO9,WeightedMinAge16),MAX(CapacityAge16*АбонементНовых*BO9,MeanMinAge16)))</f>
        <v/>
      </c>
      <c r="BP63" s="5">
        <f>IF(OR(BP36=0,16&lt;=КаникулыРоялти),0,BP36*IF(РоялтиПоГруппам="Да",MeanMinAge16+BP9*SUMIF(ThresholdAge16,"&lt;"&amp;BP9,WeightedRevAge16)-SUMIF(ThresholdAge16,"&lt;"&amp;BP9,WeightedMinAge16),MAX(CapacityAge16*АбонементНовых*BP9,MeanMinAge16)))</f>
        <v/>
      </c>
      <c r="BQ63" s="5">
        <f>IF(OR(BQ36=0,16&lt;=КаникулыРоялти),0,BQ36*IF(РоялтиПоГруппам="Да",MeanMinAge16+BQ9*SUMIF(ThresholdAge16,"&lt;"&amp;BQ9,WeightedRevAge16)-SUMIF(ThresholdAge16,"&lt;"&amp;BQ9,WeightedMinAge16),MAX(CapacityAge16*АбонементНовых*BQ9,MeanMinAge16)))</f>
        <v/>
      </c>
      <c r="BR63" s="5">
        <f>IF(OR(BR36=0,16&lt;=КаникулыРоялти),0,BR36*IF(РоялтиПоГруппам="Да",MeanMinAge16+BR9*SUMIF(ThresholdAge16,"&lt;"&amp;BR9,WeightedRevAge16)-SUMIF(ThresholdAge16,"&lt;"&amp;BR9,WeightedMinAge16),MAX(CapacityAge16*АбонементНовых*BR9,MeanMinAge16)))</f>
        <v/>
      </c>
      <c r="BS63" s="5">
        <f>IF(OR(BS36=0,16&lt;=КаникулыРоялти),0,BS36*IF(РоялтиПоГруппам="Да",MeanMinAge16+BS9*SUMIF(ThresholdAge16,"&lt;"&amp;BS9,WeightedRevAge16)-SUMIF(ThresholdAge16,"&lt;"&amp;BS9,WeightedMinAge16),MAX(CapacityAge16*АбонементНовых*BS9,MeanMinAge16)))</f>
        <v/>
      </c>
      <c r="BT63" s="5">
        <f>IF(OR(BT36=0,16&lt;=КаникулыРоялти),0,BT36*IF(РоялтиПоГруппам="Да",MeanMinAge16+BT9*SUMIF(ThresholdAge16,"&lt;"&amp;BT9,WeightedRevAge16)-SUMIF(ThresholdAge16,"&lt;"&amp;BT9,WeightedMinAge16),MAX(CapacityAge16*АбонементНовых*BT9,MeanMinAge16)))</f>
        <v/>
      </c>
      <c r="BU63" s="5">
        <f>IF(OR(BU36=0,16&lt;=КаникулыРоялти),0,BU36*IF(РоялтиПоГруппам="Да",MeanMinAge16+BU9*SUMIF(ThresholdAge16,"&lt;"&amp;BU9,WeightedRevAge16)-SUMIF(ThresholdAge16,"&lt;"&amp;BU9,WeightedMinAge16),MAX(CapacityAge16*АбонементНовых*BU9,MeanMinAge16)))</f>
        <v/>
      </c>
      <c r="BV63" s="5">
        <f>IF(OR(BV36=0,16&lt;=КаникулыРоялти),0,BV36*IF(РоялтиПоГруппам="Да",MeanMinAge16+BV9*SUMIF(ThresholdAge16,"&lt;"&amp;BV9,WeightedRevAge16)-SUMIF(ThresholdAge16,"&lt;"&amp;BV9,WeightedMinAge16),MAX(CapacityAge16*АбонементНовых*BV9,MeanMinAge16)))</f>
        <v/>
      </c>
      <c r="BW63" s="5">
        <f>IF(OR(BW36=0,16&lt;=КаникулыРоялти),0,BW36*IF(РоялтиПоГруппам="Да",MeanMinAge16+BW9*SUMIF(ThresholdAge16,"&lt;"&amp;BW9,WeightedRevAge16)-SUMIF(ThresholdAge16,"&lt;"&amp;BW9,WeightedMinAge16),MAX(CapacityAge16*АбонементНовых*BW9,MeanMinAge16)))</f>
        <v/>
      </c>
      <c r="BX63" s="5">
        <f>IF(OR(BX36=0,16&lt;=КаникулыРоялти),0,BX36*IF(РоялтиПоГруппам="Да",MeanMinAge16+BX9*SUMIF(ThresholdAge16,"&lt;"&amp;BX9,WeightedRevAge16)-SUMIF(ThresholdAge16,"&lt;"&amp;BX9,WeightedMinAge16),MAX(CapacityAge16*АбонементНовых*BX9,MeanMinAge16)))</f>
        <v/>
      </c>
      <c r="BY63" s="5">
        <f>IF(OR(BY36=0,16&lt;=КаникулыРоялти),0,BY36*IF(РоялтиПоГруппам="Да",MeanMinAge16+BY9*SUMIF(ThresholdAge16,"&lt;"&amp;BY9,WeightedRevAge16)-SUMIF(ThresholdAge16,"&lt;"&amp;BY9,WeightedMinAge16),MAX(CapacityAge16*АбонементНовых*BY9,MeanMinAge16)))</f>
        <v/>
      </c>
    </row>
    <row r="64">
      <c r="B64" t="inlineStr">
        <is>
          <t>17 мес.</t>
        </is>
      </c>
      <c r="C64" t="inlineStr">
        <is>
          <t>₽</t>
        </is>
      </c>
      <c r="D64" s="127" t="inlineStr"/>
      <c r="E64" s="129">
        <f>SUM(L64:W64)</f>
        <v/>
      </c>
      <c r="F64" s="129">
        <f>SUM(X64:AI64)</f>
        <v/>
      </c>
      <c r="G64" s="129">
        <f>SUM(AJ64:AU64)</f>
        <v/>
      </c>
      <c r="H64" s="129">
        <f>SUM(AV64:BG64)</f>
        <v/>
      </c>
      <c r="I64" s="129">
        <f>SUM(BH64:BS64)</f>
        <v/>
      </c>
      <c r="J64" s="6">
        <f>SUM(L64:BS64)</f>
        <v/>
      </c>
      <c r="L64" s="5">
        <f>IF(OR(L37=0,17&lt;=КаникулыРоялти),0,L37*IF(РоялтиПоГруппам="Да",MeanMinAge17+L9*SUMIF(ThresholdAge17,"&lt;"&amp;L9,WeightedRevAge17)-SUMIF(ThresholdAge17,"&lt;"&amp;L9,WeightedMinAge17),MAX(CapacityAge17*АбонементНовых*L9,MeanMinAge17)))</f>
        <v/>
      </c>
      <c r="M64" s="5">
        <f>IF(OR(M37=0,17&lt;=КаникулыРоялти),0,M37*IF(РоялтиПоГруппам="Да",MeanMinAge17+M9*SUMIF(ThresholdAge17,"&lt;"&amp;M9,WeightedRevAge17)-SUMIF(ThresholdAge17,"&lt;"&amp;M9,WeightedMinAge17),MAX(CapacityAge17*АбонементНовых*M9,MeanMinAge17)))</f>
        <v/>
      </c>
      <c r="N64" s="5">
        <f>IF(OR(N37=0,17&lt;=КаникулыРоялти),0,N37*IF(РоялтиПоГруппам="Да",MeanMinAge17+N9*SUMIF(ThresholdAge17,"&lt;"&amp;N9,WeightedRevAge17)-SUMIF(ThresholdAge17,"&lt;"&amp;N9,WeightedMinAge17),MAX(CapacityAge17*АбонементНовых*N9,MeanMinAge17)))</f>
        <v/>
      </c>
      <c r="O64" s="5">
        <f>IF(OR(O37=0,17&lt;=КаникулыРоялти),0,O37*IF(РоялтиПоГруппам="Да",MeanMinAge17+O9*SUMIF(ThresholdAge17,"&lt;"&amp;O9,WeightedRevAge17)-SUMIF(ThresholdAge17,"&lt;"&amp;O9,WeightedMinAge17),MAX(CapacityAge17*АбонементНовых*O9,MeanMinAge17)))</f>
        <v/>
      </c>
      <c r="P64" s="5">
        <f>IF(OR(P37=0,17&lt;=КаникулыРоялти),0,P37*IF(РоялтиПоГруппам="Да",MeanMinAge17+P9*SUMIF(ThresholdAge17,"&lt;"&amp;P9,WeightedRevAge17)-SUMIF(ThresholdAge17,"&lt;"&amp;P9,WeightedMinAge17),MAX(CapacityAge17*АбонементНовых*P9,MeanMinAge17)))</f>
        <v/>
      </c>
      <c r="Q64" s="5">
        <f>IF(OR(Q37=0,17&lt;=КаникулыРоялти),0,Q37*IF(РоялтиПоГруппам="Да",MeanMinAge17+Q9*SUMIF(ThresholdAge17,"&lt;"&amp;Q9,WeightedRevAge17)-SUMIF(ThresholdAge17,"&lt;"&amp;Q9,WeightedMinAge17),MAX(CapacityAge17*АбонементНовых*Q9,MeanMinAge17)))</f>
        <v/>
      </c>
      <c r="R64" s="5">
        <f>IF(OR(R37=0,17&lt;=КаникулыРоялти),0,R37*IF(РоялтиПоГруппам="Да",MeanMinAge17+R9*SUMIF(ThresholdAge17,"&lt;"&amp;R9,WeightedRevAge17)-SUMIF(ThresholdAge17,"&lt;"&amp;R9,WeightedMinAge17),MAX(CapacityAge17*АбонементНовых*R9,MeanMinAge17)))</f>
        <v/>
      </c>
      <c r="S64" s="5">
        <f>IF(OR(S37=0,17&lt;=КаникулыРоялти),0,S37*IF(РоялтиПоГруппам="Да",MeanMinAge17+S9*SUMIF(ThresholdAge17,"&lt;"&amp;S9,WeightedRevAge17)-SUMIF(ThresholdAge17,"&lt;"&amp;S9,WeightedMinAge17),MAX(CapacityAge17*АбонементНовых*S9,MeanMinAge17)))</f>
        <v/>
      </c>
      <c r="T64" s="5">
        <f>IF(OR(T37=0,17&lt;=КаникулыРоялти),0,T37*IF(РоялтиПоГруппам="Да",MeanMinAge17+T9*SUMIF(ThresholdAge17,"&lt;"&amp;T9,WeightedRevAge17)-SUMIF(ThresholdAge17,"&lt;"&amp;T9,WeightedMinAge17),MAX(CapacityAge17*АбонементНовых*T9,MeanMinAge17)))</f>
        <v/>
      </c>
      <c r="U64" s="5">
        <f>IF(OR(U37=0,17&lt;=КаникулыРоялти),0,U37*IF(РоялтиПоГруппам="Да",MeanMinAge17+U9*SUMIF(ThresholdAge17,"&lt;"&amp;U9,WeightedRevAge17)-SUMIF(ThresholdAge17,"&lt;"&amp;U9,WeightedMinAge17),MAX(CapacityAge17*АбонементНовых*U9,MeanMinAge17)))</f>
        <v/>
      </c>
      <c r="V64" s="5">
        <f>IF(OR(V37=0,17&lt;=КаникулыРоялти),0,V37*IF(РоялтиПоГруппам="Да",MeanMinAge17+V9*SUMIF(ThresholdAge17,"&lt;"&amp;V9,WeightedRevAge17)-SUMIF(ThresholdAge17,"&lt;"&amp;V9,WeightedMinAge17),MAX(CapacityAge17*АбонементНовых*V9,MeanMinAge17)))</f>
        <v/>
      </c>
      <c r="W64" s="5">
        <f>IF(OR(W37=0,17&lt;=КаникулыРоялти),0,W37*IF(РоялтиПоГруппам="Да",MeanMinAge17+W9*SUMIF(ThresholdAge17,"&lt;"&amp;W9,WeightedRevAge17)-SUMIF(ThresholdAge17,"&lt;"&amp;W9,WeightedMinAge17),MAX(CapacityAge17*АбонементНовых*W9,MeanMinAge17)))</f>
        <v/>
      </c>
      <c r="X64" s="5">
        <f>IF(OR(X37=0,17&lt;=КаникулыРоялти),0,X37*IF(РоялтиПоГруппам="Да",MeanMinAge17+X9*SUMIF(ThresholdAge17,"&lt;"&amp;X9,WeightedRevAge17)-SUMIF(ThresholdAge17,"&lt;"&amp;X9,WeightedMinAge17),MAX(CapacityAge17*АбонементНовых*X9,MeanMinAge17)))</f>
        <v/>
      </c>
      <c r="Y64" s="5">
        <f>IF(OR(Y37=0,17&lt;=КаникулыРоялти),0,Y37*IF(РоялтиПоГруппам="Да",MeanMinAge17+Y9*SUMIF(ThresholdAge17,"&lt;"&amp;Y9,WeightedRevAge17)-SUMIF(ThresholdAge17,"&lt;"&amp;Y9,WeightedMinAge17),MAX(CapacityAge17*АбонементНовых*Y9,MeanMinAge17)))</f>
        <v/>
      </c>
      <c r="Z64" s="5">
        <f>IF(OR(Z37=0,17&lt;=КаникулыРоялти),0,Z37*IF(РоялтиПоГруппам="Да",MeanMinAge17+Z9*SUMIF(ThresholdAge17,"&lt;"&amp;Z9,WeightedRevAge17)-SUMIF(ThresholdAge17,"&lt;"&amp;Z9,WeightedMinAge17),MAX(CapacityAge17*АбонементНовых*Z9,MeanMinAge17)))</f>
        <v/>
      </c>
      <c r="AA64" s="5">
        <f>IF(OR(AA37=0,17&lt;=КаникулыРоялти),0,AA37*IF(РоялтиПоГруппам="Да",MeanMinAge17+AA9*SUMIF(ThresholdAge17,"&lt;"&amp;AA9,WeightedRevAge17)-SUMIF(ThresholdAge17,"&lt;"&amp;AA9,WeightedMinAge17),MAX(CapacityAge17*АбонементНовых*AA9,MeanMinAge17)))</f>
        <v/>
      </c>
      <c r="AB64" s="5">
        <f>IF(OR(AB37=0,17&lt;=КаникулыРоялти),0,AB37*IF(РоялтиПоГруппам="Да",MeanMinAge17+AB9*SUMIF(ThresholdAge17,"&lt;"&amp;AB9,WeightedRevAge17)-SUMIF(ThresholdAge17,"&lt;"&amp;AB9,WeightedMinAge17),MAX(CapacityAge17*АбонементНовых*AB9,MeanMinAge17)))</f>
        <v/>
      </c>
      <c r="AC64" s="5">
        <f>IF(OR(AC37=0,17&lt;=КаникулыРоялти),0,AC37*IF(РоялтиПоГруппам="Да",MeanMinAge17+AC9*SUMIF(ThresholdAge17,"&lt;"&amp;AC9,WeightedRevAge17)-SUMIF(ThresholdAge17,"&lt;"&amp;AC9,WeightedMinAge17),MAX(CapacityAge17*АбонементНовых*AC9,MeanMinAge17)))</f>
        <v/>
      </c>
      <c r="AD64" s="5">
        <f>IF(OR(AD37=0,17&lt;=КаникулыРоялти),0,AD37*IF(РоялтиПоГруппам="Да",MeanMinAge17+AD9*SUMIF(ThresholdAge17,"&lt;"&amp;AD9,WeightedRevAge17)-SUMIF(ThresholdAge17,"&lt;"&amp;AD9,WeightedMinAge17),MAX(CapacityAge17*АбонементНовых*AD9,MeanMinAge17)))</f>
        <v/>
      </c>
      <c r="AE64" s="5">
        <f>IF(OR(AE37=0,17&lt;=КаникулыРоялти),0,AE37*IF(РоялтиПоГруппам="Да",MeanMinAge17+AE9*SUMIF(ThresholdAge17,"&lt;"&amp;AE9,WeightedRevAge17)-SUMIF(ThresholdAge17,"&lt;"&amp;AE9,WeightedMinAge17),MAX(CapacityAge17*АбонементНовых*AE9,MeanMinAge17)))</f>
        <v/>
      </c>
      <c r="AF64" s="5">
        <f>IF(OR(AF37=0,17&lt;=КаникулыРоялти),0,AF37*IF(РоялтиПоГруппам="Да",MeanMinAge17+AF9*SUMIF(ThresholdAge17,"&lt;"&amp;AF9,WeightedRevAge17)-SUMIF(ThresholdAge17,"&lt;"&amp;AF9,WeightedMinAge17),MAX(CapacityAge17*АбонементНовых*AF9,MeanMinAge17)))</f>
        <v/>
      </c>
      <c r="AG64" s="5">
        <f>IF(OR(AG37=0,17&lt;=КаникулыРоялти),0,AG37*IF(РоялтиПоГруппам="Да",MeanMinAge17+AG9*SUMIF(ThresholdAge17,"&lt;"&amp;AG9,WeightedRevAge17)-SUMIF(ThresholdAge17,"&lt;"&amp;AG9,WeightedMinAge17),MAX(CapacityAge17*АбонементНовых*AG9,MeanMinAge17)))</f>
        <v/>
      </c>
      <c r="AH64" s="5">
        <f>IF(OR(AH37=0,17&lt;=КаникулыРоялти),0,AH37*IF(РоялтиПоГруппам="Да",MeanMinAge17+AH9*SUMIF(ThresholdAge17,"&lt;"&amp;AH9,WeightedRevAge17)-SUMIF(ThresholdAge17,"&lt;"&amp;AH9,WeightedMinAge17),MAX(CapacityAge17*АбонементНовых*AH9,MeanMinAge17)))</f>
        <v/>
      </c>
      <c r="AI64" s="5">
        <f>IF(OR(AI37=0,17&lt;=КаникулыРоялти),0,AI37*IF(РоялтиПоГруппам="Да",MeanMinAge17+AI9*SUMIF(ThresholdAge17,"&lt;"&amp;AI9,WeightedRevAge17)-SUMIF(ThresholdAge17,"&lt;"&amp;AI9,WeightedMinAge17),MAX(CapacityAge17*АбонементНовых*AI9,MeanMinAge17)))</f>
        <v/>
      </c>
      <c r="AJ64" s="5">
        <f>IF(OR(AJ37=0,17&lt;=КаникулыРоялти),0,AJ37*IF(РоялтиПоГруппам="Да",MeanMinAge17+AJ9*SUMIF(ThresholdAge17,"&lt;"&amp;AJ9,WeightedRevAge17)-SUMIF(ThresholdAge17,"&lt;"&amp;AJ9,WeightedMinAge17),MAX(CapacityAge17*АбонементНовых*AJ9,MeanMinAge17)))</f>
        <v/>
      </c>
      <c r="AK64" s="5">
        <f>IF(OR(AK37=0,17&lt;=КаникулыРоялти),0,AK37*IF(РоялтиПоГруппам="Да",MeanMinAge17+AK9*SUMIF(ThresholdAge17,"&lt;"&amp;AK9,WeightedRevAge17)-SUMIF(ThresholdAge17,"&lt;"&amp;AK9,WeightedMinAge17),MAX(CapacityAge17*АбонементНовых*AK9,MeanMinAge17)))</f>
        <v/>
      </c>
      <c r="AL64" s="5">
        <f>IF(OR(AL37=0,17&lt;=КаникулыРоялти),0,AL37*IF(РоялтиПоГруппам="Да",MeanMinAge17+AL9*SUMIF(ThresholdAge17,"&lt;"&amp;AL9,WeightedRevAge17)-SUMIF(ThresholdAge17,"&lt;"&amp;AL9,WeightedMinAge17),MAX(CapacityAge17*АбонементНовых*AL9,MeanMinAge17)))</f>
        <v/>
      </c>
      <c r="AM64" s="5">
        <f>IF(OR(AM37=0,17&lt;=КаникулыРоялти),0,AM37*IF(РоялтиПоГруппам="Да",MeanMinAge17+AM9*SUMIF(ThresholdAge17,"&lt;"&amp;AM9,WeightedRevAge17)-SUMIF(ThresholdAge17,"&lt;"&amp;AM9,WeightedMinAge17),MAX(CapacityAge17*АбонементНовых*AM9,MeanMinAge17)))</f>
        <v/>
      </c>
      <c r="AN64" s="5">
        <f>IF(OR(AN37=0,17&lt;=КаникулыРоялти),0,AN37*IF(РоялтиПоГруппам="Да",MeanMinAge17+AN9*SUMIF(ThresholdAge17,"&lt;"&amp;AN9,WeightedRevAge17)-SUMIF(ThresholdAge17,"&lt;"&amp;AN9,WeightedMinAge17),MAX(CapacityAge17*АбонементНовых*AN9,MeanMinAge17)))</f>
        <v/>
      </c>
      <c r="AO64" s="5">
        <f>IF(OR(AO37=0,17&lt;=КаникулыРоялти),0,AO37*IF(РоялтиПоГруппам="Да",MeanMinAge17+AO9*SUMIF(ThresholdAge17,"&lt;"&amp;AO9,WeightedRevAge17)-SUMIF(ThresholdAge17,"&lt;"&amp;AO9,WeightedMinAge17),MAX(CapacityAge17*АбонементНовых*AO9,MeanMinAge17)))</f>
        <v/>
      </c>
      <c r="AP64" s="5">
        <f>IF(OR(AP37=0,17&lt;=КаникулыРоялти),0,AP37*IF(РоялтиПоГруппам="Да",MeanMinAge17+AP9*SUMIF(ThresholdAge17,"&lt;"&amp;AP9,WeightedRevAge17)-SUMIF(ThresholdAge17,"&lt;"&amp;AP9,WeightedMinAge17),MAX(CapacityAge17*АбонементНовых*AP9,MeanMinAge17)))</f>
        <v/>
      </c>
      <c r="AQ64" s="5">
        <f>IF(OR(AQ37=0,17&lt;=КаникулыРоялти),0,AQ37*IF(РоялтиПоГруппам="Да",MeanMinAge17+AQ9*SUMIF(ThresholdAge17,"&lt;"&amp;AQ9,WeightedRevAge17)-SUMIF(ThresholdAge17,"&lt;"&amp;AQ9,WeightedMinAge17),MAX(CapacityAge17*АбонементНовых*AQ9,MeanMinAge17)))</f>
        <v/>
      </c>
      <c r="AR64" s="5">
        <f>IF(OR(AR37=0,17&lt;=КаникулыРоялти),0,AR37*IF(РоялтиПоГруппам="Да",MeanMinAge17+AR9*SUMIF(ThresholdAge17,"&lt;"&amp;AR9,WeightedRevAge17)-SUMIF(ThresholdAge17,"&lt;"&amp;AR9,WeightedMinAge17),MAX(CapacityAge17*АбонементНовых*AR9,MeanMinAge17)))</f>
        <v/>
      </c>
      <c r="AS64" s="5">
        <f>IF(OR(AS37=0,17&lt;=КаникулыРоялти),0,AS37*IF(РоялтиПоГруппам="Да",MeanMinAge17+AS9*SUMIF(ThresholdAge17,"&lt;"&amp;AS9,WeightedRevAge17)-SUMIF(ThresholdAge17,"&lt;"&amp;AS9,WeightedMinAge17),MAX(CapacityAge17*АбонементНовых*AS9,MeanMinAge17)))</f>
        <v/>
      </c>
      <c r="AT64" s="5">
        <f>IF(OR(AT37=0,17&lt;=КаникулыРоялти),0,AT37*IF(РоялтиПоГруппам="Да",MeanMinAge17+AT9*SUMIF(ThresholdAge17,"&lt;"&amp;AT9,WeightedRevAge17)-SUMIF(ThresholdAge17,"&lt;"&amp;AT9,WeightedMinAge17),MAX(CapacityAge17*АбонементНовых*AT9,MeanMinAge17)))</f>
        <v/>
      </c>
      <c r="AU64" s="5">
        <f>IF(OR(AU37=0,17&lt;=КаникулыРоялти),0,AU37*IF(РоялтиПоГруппам="Да",MeanMinAge17+AU9*SUMIF(ThresholdAge17,"&lt;"&amp;AU9,WeightedRevAge17)-SUMIF(ThresholdAge17,"&lt;"&amp;AU9,WeightedMinAge17),MAX(CapacityAge17*АбонементНовых*AU9,MeanMinAge17)))</f>
        <v/>
      </c>
      <c r="AV64" s="5">
        <f>IF(OR(AV37=0,17&lt;=КаникулыРоялти),0,AV37*IF(РоялтиПоГруппам="Да",MeanMinAge17+AV9*SUMIF(ThresholdAge17,"&lt;"&amp;AV9,WeightedRevAge17)-SUMIF(ThresholdAge17,"&lt;"&amp;AV9,WeightedMinAge17),MAX(CapacityAge17*АбонементНовых*AV9,MeanMinAge17)))</f>
        <v/>
      </c>
      <c r="AW64" s="5">
        <f>IF(OR(AW37=0,17&lt;=КаникулыРоялти),0,AW37*IF(РоялтиПоГруппам="Да",MeanMinAge17+AW9*SUMIF(ThresholdAge17,"&lt;"&amp;AW9,WeightedRevAge17)-SUMIF(ThresholdAge17,"&lt;"&amp;AW9,WeightedMinAge17),MAX(CapacityAge17*АбонементНовых*AW9,MeanMinAge17)))</f>
        <v/>
      </c>
      <c r="AX64" s="5">
        <f>IF(OR(AX37=0,17&lt;=КаникулыРоялти),0,AX37*IF(РоялтиПоГруппам="Да",MeanMinAge17+AX9*SUMIF(ThresholdAge17,"&lt;"&amp;AX9,WeightedRevAge17)-SUMIF(ThresholdAge17,"&lt;"&amp;AX9,WeightedMinAge17),MAX(CapacityAge17*АбонементНовых*AX9,MeanMinAge17)))</f>
        <v/>
      </c>
      <c r="AY64" s="5">
        <f>IF(OR(AY37=0,17&lt;=КаникулыРоялти),0,AY37*IF(РоялтиПоГруппам="Да",MeanMinAge17+AY9*SUMIF(ThresholdAge17,"&lt;"&amp;AY9,WeightedRevAge17)-SUMIF(ThresholdAge17,"&lt;"&amp;AY9,WeightedMinAge17),MAX(CapacityAge17*АбонементНовых*AY9,MeanMinAge17)))</f>
        <v/>
      </c>
      <c r="AZ64" s="5">
        <f>IF(OR(AZ37=0,17&lt;=КаникулыРоялти),0,AZ37*IF(РоялтиПоГруппам="Да",MeanMinAge17+AZ9*SUMIF(ThresholdAge17,"&lt;"&amp;AZ9,WeightedRevAge17)-SUMIF(ThresholdAge17,"&lt;"&amp;AZ9,WeightedMinAge17),MAX(CapacityAge17*АбонементНовых*AZ9,MeanMinAge17)))</f>
        <v/>
      </c>
      <c r="BA64" s="5">
        <f>IF(OR(BA37=0,17&lt;=КаникулыРоялти),0,BA37*IF(РоялтиПоГруппам="Да",MeanMinAge17+BA9*SUMIF(ThresholdAge17,"&lt;"&amp;BA9,WeightedRevAge17)-SUMIF(ThresholdAge17,"&lt;"&amp;BA9,WeightedMinAge17),MAX(CapacityAge17*АбонементНовых*BA9,MeanMinAge17)))</f>
        <v/>
      </c>
      <c r="BB64" s="5">
        <f>IF(OR(BB37=0,17&lt;=КаникулыРоялти),0,BB37*IF(РоялтиПоГруппам="Да",MeanMinAge17+BB9*SUMIF(ThresholdAge17,"&lt;"&amp;BB9,WeightedRevAge17)-SUMIF(ThresholdAge17,"&lt;"&amp;BB9,WeightedMinAge17),MAX(CapacityAge17*АбонементНовых*BB9,MeanMinAge17)))</f>
        <v/>
      </c>
      <c r="BC64" s="5">
        <f>IF(OR(BC37=0,17&lt;=КаникулыРоялти),0,BC37*IF(РоялтиПоГруппам="Да",MeanMinAge17+BC9*SUMIF(ThresholdAge17,"&lt;"&amp;BC9,WeightedRevAge17)-SUMIF(ThresholdAge17,"&lt;"&amp;BC9,WeightedMinAge17),MAX(CapacityAge17*АбонементНовых*BC9,MeanMinAge17)))</f>
        <v/>
      </c>
      <c r="BD64" s="5">
        <f>IF(OR(BD37=0,17&lt;=КаникулыРоялти),0,BD37*IF(РоялтиПоГруппам="Да",MeanMinAge17+BD9*SUMIF(ThresholdAge17,"&lt;"&amp;BD9,WeightedRevAge17)-SUMIF(ThresholdAge17,"&lt;"&amp;BD9,WeightedMinAge17),MAX(CapacityAge17*АбонементНовых*BD9,MeanMinAge17)))</f>
        <v/>
      </c>
      <c r="BE64" s="5">
        <f>IF(OR(BE37=0,17&lt;=КаникулыРоялти),0,BE37*IF(РоялтиПоГруппам="Да",MeanMinAge17+BE9*SUMIF(ThresholdAge17,"&lt;"&amp;BE9,WeightedRevAge17)-SUMIF(ThresholdAge17,"&lt;"&amp;BE9,WeightedMinAge17),MAX(CapacityAge17*АбонементНовых*BE9,MeanMinAge17)))</f>
        <v/>
      </c>
      <c r="BF64" s="5">
        <f>IF(OR(BF37=0,17&lt;=КаникулыРоялти),0,BF37*IF(РоялтиПоГруппам="Да",MeanMinAge17+BF9*SUMIF(ThresholdAge17,"&lt;"&amp;BF9,WeightedRevAge17)-SUMIF(ThresholdAge17,"&lt;"&amp;BF9,WeightedMinAge17),MAX(CapacityAge17*АбонементНовых*BF9,MeanMinAge17)))</f>
        <v/>
      </c>
      <c r="BG64" s="5">
        <f>IF(OR(BG37=0,17&lt;=КаникулыРоялти),0,BG37*IF(РоялтиПоГруппам="Да",MeanMinAge17+BG9*SUMIF(ThresholdAge17,"&lt;"&amp;BG9,WeightedRevAge17)-SUMIF(ThresholdAge17,"&lt;"&amp;BG9,WeightedMinAge17),MAX(CapacityAge17*АбонементНовых*BG9,MeanMinAge17)))</f>
        <v/>
      </c>
      <c r="BH64" s="5">
        <f>IF(OR(BH37=0,17&lt;=КаникулыРоялти),0,BH37*IF(РоялтиПоГруппам="Да",MeanMinAge17+BH9*SUMIF(ThresholdAge17,"&lt;"&amp;BH9,WeightedRevAge17)-SUMIF(ThresholdAge17,"&lt;"&amp;BH9,WeightedMinAge17),MAX(CapacityAge17*АбонементНовых*BH9,MeanMinAge17)))</f>
        <v/>
      </c>
      <c r="BI64" s="5">
        <f>IF(OR(BI37=0,17&lt;=КаникулыРоялти),0,BI37*IF(РоялтиПоГруппам="Да",MeanMinAge17+BI9*SUMIF(ThresholdAge17,"&lt;"&amp;BI9,WeightedRevAge17)-SUMIF(ThresholdAge17,"&lt;"&amp;BI9,WeightedMinAge17),MAX(CapacityAge17*АбонементНовых*BI9,MeanMinAge17)))</f>
        <v/>
      </c>
      <c r="BJ64" s="5">
        <f>IF(OR(BJ37=0,17&lt;=КаникулыРоялти),0,BJ37*IF(РоялтиПоГруппам="Да",MeanMinAge17+BJ9*SUMIF(ThresholdAge17,"&lt;"&amp;BJ9,WeightedRevAge17)-SUMIF(ThresholdAge17,"&lt;"&amp;BJ9,WeightedMinAge17),MAX(CapacityAge17*АбонементНовых*BJ9,MeanMinAge17)))</f>
        <v/>
      </c>
      <c r="BK64" s="5">
        <f>IF(OR(BK37=0,17&lt;=КаникулыРоялти),0,BK37*IF(РоялтиПоГруппам="Да",MeanMinAge17+BK9*SUMIF(ThresholdAge17,"&lt;"&amp;BK9,WeightedRevAge17)-SUMIF(ThresholdAge17,"&lt;"&amp;BK9,WeightedMinAge17),MAX(CapacityAge17*АбонементНовых*BK9,MeanMinAge17)))</f>
        <v/>
      </c>
      <c r="BL64" s="5">
        <f>IF(OR(BL37=0,17&lt;=КаникулыРоялти),0,BL37*IF(РоялтиПоГруппам="Да",MeanMinAge17+BL9*SUMIF(ThresholdAge17,"&lt;"&amp;BL9,WeightedRevAge17)-SUMIF(ThresholdAge17,"&lt;"&amp;BL9,WeightedMinAge17),MAX(CapacityAge17*АбонементНовых*BL9,MeanMinAge17)))</f>
        <v/>
      </c>
      <c r="BM64" s="5">
        <f>IF(OR(BM37=0,17&lt;=КаникулыРоялти),0,BM37*IF(РоялтиПоГруппам="Да",MeanMinAge17+BM9*SUMIF(ThresholdAge17,"&lt;"&amp;BM9,WeightedRevAge17)-SUMIF(ThresholdAge17,"&lt;"&amp;BM9,WeightedMinAge17),MAX(CapacityAge17*АбонементНовых*BM9,MeanMinAge17)))</f>
        <v/>
      </c>
      <c r="BN64" s="5">
        <f>IF(OR(BN37=0,17&lt;=КаникулыРоялти),0,BN37*IF(РоялтиПоГруппам="Да",MeanMinAge17+BN9*SUMIF(ThresholdAge17,"&lt;"&amp;BN9,WeightedRevAge17)-SUMIF(ThresholdAge17,"&lt;"&amp;BN9,WeightedMinAge17),MAX(CapacityAge17*АбонементНовых*BN9,MeanMinAge17)))</f>
        <v/>
      </c>
      <c r="BO64" s="5">
        <f>IF(OR(BO37=0,17&lt;=КаникулыРоялти),0,BO37*IF(РоялтиПоГруппам="Да",MeanMinAge17+BO9*SUMIF(ThresholdAge17,"&lt;"&amp;BO9,WeightedRevAge17)-SUMIF(ThresholdAge17,"&lt;"&amp;BO9,WeightedMinAge17),MAX(CapacityAge17*АбонементНовых*BO9,MeanMinAge17)))</f>
        <v/>
      </c>
      <c r="BP64" s="5">
        <f>IF(OR(BP37=0,17&lt;=КаникулыРоялти),0,BP37*IF(РоялтиПоГруппам="Да",MeanMinAge17+BP9*SUMIF(ThresholdAge17,"&lt;"&amp;BP9,WeightedRevAge17)-SUMIF(ThresholdAge17,"&lt;"&amp;BP9,WeightedMinAge17),MAX(CapacityAge17*АбонементНовых*BP9,MeanMinAge17)))</f>
        <v/>
      </c>
      <c r="BQ64" s="5">
        <f>IF(OR(BQ37=0,17&lt;=КаникулыРоялти),0,BQ37*IF(РоялтиПоГруппам="Да",MeanMinAge17+BQ9*SUMIF(ThresholdAge17,"&lt;"&amp;BQ9,WeightedRevAge17)-SUMIF(ThresholdAge17,"&lt;"&amp;BQ9,WeightedMinAge17),MAX(CapacityAge17*АбонементНовых*BQ9,MeanMinAge17)))</f>
        <v/>
      </c>
      <c r="BR64" s="5">
        <f>IF(OR(BR37=0,17&lt;=КаникулыРоялти),0,BR37*IF(РоялтиПоГруппам="Да",MeanMinAge17+BR9*SUMIF(ThresholdAge17,"&lt;"&amp;BR9,WeightedRevAge17)-SUMIF(ThresholdAge17,"&lt;"&amp;BR9,WeightedMinAge17),MAX(CapacityAge17*АбонементНовых*BR9,MeanMinAge17)))</f>
        <v/>
      </c>
      <c r="BS64" s="5">
        <f>IF(OR(BS37=0,17&lt;=КаникулыРоялти),0,BS37*IF(РоялтиПоГруппам="Да",MeanMinAge17+BS9*SUMIF(ThresholdAge17,"&lt;"&amp;BS9,WeightedRevAge17)-SUMIF(ThresholdAge17,"&lt;"&amp;BS9,WeightedMinAge17),MAX(CapacityAge17*АбонементНовых*BS9,MeanMinAge17)))</f>
        <v/>
      </c>
      <c r="BT64" s="5">
        <f>IF(OR(BT37=0,17&lt;=КаникулыРоялти),0,BT37*IF(РоялтиПоГруппам="Да",MeanMinAge17+BT9*SUMIF(ThresholdAge17,"&lt;"&amp;BT9,WeightedRevAge17)-SUMIF(ThresholdAge17,"&lt;"&amp;BT9,WeightedMinAge17),MAX(CapacityAge17*АбонементНовых*BT9,MeanMinAge17)))</f>
        <v/>
      </c>
      <c r="BU64" s="5">
        <f>IF(OR(BU37=0,17&lt;=КаникулыРоялти),0,BU37*IF(РоялтиПоГруппам="Да",MeanMinAge17+BU9*SUMIF(ThresholdAge17,"&lt;"&amp;BU9,WeightedRevAge17)-SUMIF(ThresholdAge17,"&lt;"&amp;BU9,WeightedMinAge17),MAX(CapacityAge17*АбонементНовых*BU9,MeanMinAge17)))</f>
        <v/>
      </c>
      <c r="BV64" s="5">
        <f>IF(OR(BV37=0,17&lt;=КаникулыРоялти),0,BV37*IF(РоялтиПоГруппам="Да",MeanMinAge17+BV9*SUMIF(ThresholdAge17,"&lt;"&amp;BV9,WeightedRevAge17)-SUMIF(ThresholdAge17,"&lt;"&amp;BV9,WeightedMinAge17),MAX(CapacityAge17*АбонементНовых*BV9,MeanMinAge17)))</f>
        <v/>
      </c>
      <c r="BW64" s="5">
        <f>IF(OR(BW37=0,17&lt;=КаникулыРоялти),0,BW37*IF(РоялтиПоГруппам="Да",MeanMinAge17+BW9*SUMIF(ThresholdAge17,"&lt;"&amp;BW9,WeightedRevAge17)-SUMIF(ThresholdAge17,"&lt;"&amp;BW9,WeightedMinAge17),MAX(CapacityAge17*АбонементНовых*BW9,MeanMinAge17)))</f>
        <v/>
      </c>
      <c r="BX64" s="5">
        <f>IF(OR(BX37=0,17&lt;=КаникулыРоялти),0,BX37*IF(РоялтиПоГруппам="Да",MeanMinAge17+BX9*SUMIF(ThresholdAge17,"&lt;"&amp;BX9,WeightedRevAge17)-SUMIF(ThresholdAge17,"&lt;"&amp;BX9,WeightedMinAge17),MAX(CapacityAge17*АбонементНовых*BX9,MeanMinAge17)))</f>
        <v/>
      </c>
      <c r="BY64" s="5">
        <f>IF(OR(BY37=0,17&lt;=КаникулыРоялти),0,BY37*IF(РоялтиПоГруппам="Да",MeanMinAge17+BY9*SUMIF(ThresholdAge17,"&lt;"&amp;BY9,WeightedRevAge17)-SUMIF(ThresholdAge17,"&lt;"&amp;BY9,WeightedMinAge17),MAX(CapacityAge17*АбонементНовых*BY9,MeanMinAge17)))</f>
        <v/>
      </c>
    </row>
    <row r="65">
      <c r="B65" t="inlineStr">
        <is>
          <t>18 мес.</t>
        </is>
      </c>
      <c r="C65" t="inlineStr">
        <is>
          <t>₽</t>
        </is>
      </c>
      <c r="D65" s="127" t="inlineStr"/>
      <c r="E65" s="129">
        <f>SUM(L65:W65)</f>
        <v/>
      </c>
      <c r="F65" s="129">
        <f>SUM(X65:AI65)</f>
        <v/>
      </c>
      <c r="G65" s="129">
        <f>SUM(AJ65:AU65)</f>
        <v/>
      </c>
      <c r="H65" s="129">
        <f>SUM(AV65:BG65)</f>
        <v/>
      </c>
      <c r="I65" s="129">
        <f>SUM(BH65:BS65)</f>
        <v/>
      </c>
      <c r="J65" s="6">
        <f>SUM(L65:BS65)</f>
        <v/>
      </c>
      <c r="L65" s="5">
        <f>IF(OR(L38=0,18&lt;=КаникулыРоялти),0,L38*IF(РоялтиПоГруппам="Да",MeanMinAge18+L9*SUMIF(ThresholdAge18,"&lt;"&amp;L9,WeightedRevAge18)-SUMIF(ThresholdAge18,"&lt;"&amp;L9,WeightedMinAge18),MAX(CapacityAge18*АбонементНовых*L9,MeanMinAge18)))</f>
        <v/>
      </c>
      <c r="M65" s="5">
        <f>IF(OR(M38=0,18&lt;=КаникулыРоялти),0,M38*IF(РоялтиПоГруппам="Да",MeanMinAge18+M9*SUMIF(ThresholdAge18,"&lt;"&amp;M9,WeightedRevAge18)-SUMIF(ThresholdAge18,"&lt;"&amp;M9,WeightedMinAge18),MAX(CapacityAge18*АбонементНовых*M9,MeanMinAge18)))</f>
        <v/>
      </c>
      <c r="N65" s="5">
        <f>IF(OR(N38=0,18&lt;=КаникулыРоялти),0,N38*IF(РоялтиПоГруппам="Да",MeanMinAge18+N9*SUMIF(ThresholdAge18,"&lt;"&amp;N9,WeightedRevAge18)-SUMIF(ThresholdAge18,"&lt;"&amp;N9,WeightedMinAge18),MAX(CapacityAge18*АбонементНовых*N9,MeanMinAge18)))</f>
        <v/>
      </c>
      <c r="O65" s="5">
        <f>IF(OR(O38=0,18&lt;=КаникулыРоялти),0,O38*IF(РоялтиПоГруппам="Да",MeanMinAge18+O9*SUMIF(ThresholdAge18,"&lt;"&amp;O9,WeightedRevAge18)-SUMIF(ThresholdAge18,"&lt;"&amp;O9,WeightedMinAge18),MAX(CapacityAge18*АбонементНовых*O9,MeanMinAge18)))</f>
        <v/>
      </c>
      <c r="P65" s="5">
        <f>IF(OR(P38=0,18&lt;=КаникулыРоялти),0,P38*IF(РоялтиПоГруппам="Да",MeanMinAge18+P9*SUMIF(ThresholdAge18,"&lt;"&amp;P9,WeightedRevAge18)-SUMIF(ThresholdAge18,"&lt;"&amp;P9,WeightedMinAge18),MAX(CapacityAge18*АбонементНовых*P9,MeanMinAge18)))</f>
        <v/>
      </c>
      <c r="Q65" s="5">
        <f>IF(OR(Q38=0,18&lt;=КаникулыРоялти),0,Q38*IF(РоялтиПоГруппам="Да",MeanMinAge18+Q9*SUMIF(ThresholdAge18,"&lt;"&amp;Q9,WeightedRevAge18)-SUMIF(ThresholdAge18,"&lt;"&amp;Q9,WeightedMinAge18),MAX(CapacityAge18*АбонементНовых*Q9,MeanMinAge18)))</f>
        <v/>
      </c>
      <c r="R65" s="5">
        <f>IF(OR(R38=0,18&lt;=КаникулыРоялти),0,R38*IF(РоялтиПоГруппам="Да",MeanMinAge18+R9*SUMIF(ThresholdAge18,"&lt;"&amp;R9,WeightedRevAge18)-SUMIF(ThresholdAge18,"&lt;"&amp;R9,WeightedMinAge18),MAX(CapacityAge18*АбонементНовых*R9,MeanMinAge18)))</f>
        <v/>
      </c>
      <c r="S65" s="5">
        <f>IF(OR(S38=0,18&lt;=КаникулыРоялти),0,S38*IF(РоялтиПоГруппам="Да",MeanMinAge18+S9*SUMIF(ThresholdAge18,"&lt;"&amp;S9,WeightedRevAge18)-SUMIF(ThresholdAge18,"&lt;"&amp;S9,WeightedMinAge18),MAX(CapacityAge18*АбонементНовых*S9,MeanMinAge18)))</f>
        <v/>
      </c>
      <c r="T65" s="5">
        <f>IF(OR(T38=0,18&lt;=КаникулыРоялти),0,T38*IF(РоялтиПоГруппам="Да",MeanMinAge18+T9*SUMIF(ThresholdAge18,"&lt;"&amp;T9,WeightedRevAge18)-SUMIF(ThresholdAge18,"&lt;"&amp;T9,WeightedMinAge18),MAX(CapacityAge18*АбонементНовых*T9,MeanMinAge18)))</f>
        <v/>
      </c>
      <c r="U65" s="5">
        <f>IF(OR(U38=0,18&lt;=КаникулыРоялти),0,U38*IF(РоялтиПоГруппам="Да",MeanMinAge18+U9*SUMIF(ThresholdAge18,"&lt;"&amp;U9,WeightedRevAge18)-SUMIF(ThresholdAge18,"&lt;"&amp;U9,WeightedMinAge18),MAX(CapacityAge18*АбонементНовых*U9,MeanMinAge18)))</f>
        <v/>
      </c>
      <c r="V65" s="5">
        <f>IF(OR(V38=0,18&lt;=КаникулыРоялти),0,V38*IF(РоялтиПоГруппам="Да",MeanMinAge18+V9*SUMIF(ThresholdAge18,"&lt;"&amp;V9,WeightedRevAge18)-SUMIF(ThresholdAge18,"&lt;"&amp;V9,WeightedMinAge18),MAX(CapacityAge18*АбонементНовых*V9,MeanMinAge18)))</f>
        <v/>
      </c>
      <c r="W65" s="5">
        <f>IF(OR(W38=0,18&lt;=КаникулыРоялти),0,W38*IF(РоялтиПоГруппам="Да",MeanMinAge18+W9*SUMIF(ThresholdAge18,"&lt;"&amp;W9,WeightedRevAge18)-SUMIF(ThresholdAge18,"&lt;"&amp;W9,WeightedMinAge18),MAX(CapacityAge18*АбонементНовых*W9,MeanMinAge18)))</f>
        <v/>
      </c>
      <c r="X65" s="5">
        <f>IF(OR(X38=0,18&lt;=КаникулыРоялти),0,X38*IF(РоялтиПоГруппам="Да",MeanMinAge18+X9*SUMIF(ThresholdAge18,"&lt;"&amp;X9,WeightedRevAge18)-SUMIF(ThresholdAge18,"&lt;"&amp;X9,WeightedMinAge18),MAX(CapacityAge18*АбонементНовых*X9,MeanMinAge18)))</f>
        <v/>
      </c>
      <c r="Y65" s="5">
        <f>IF(OR(Y38=0,18&lt;=КаникулыРоялти),0,Y38*IF(РоялтиПоГруппам="Да",MeanMinAge18+Y9*SUMIF(ThresholdAge18,"&lt;"&amp;Y9,WeightedRevAge18)-SUMIF(ThresholdAge18,"&lt;"&amp;Y9,WeightedMinAge18),MAX(CapacityAge18*АбонементНовых*Y9,MeanMinAge18)))</f>
        <v/>
      </c>
      <c r="Z65" s="5">
        <f>IF(OR(Z38=0,18&lt;=КаникулыРоялти),0,Z38*IF(РоялтиПоГруппам="Да",MeanMinAge18+Z9*SUMIF(ThresholdAge18,"&lt;"&amp;Z9,WeightedRevAge18)-SUMIF(ThresholdAge18,"&lt;"&amp;Z9,WeightedMinAge18),MAX(CapacityAge18*АбонементНовых*Z9,MeanMinAge18)))</f>
        <v/>
      </c>
      <c r="AA65" s="5">
        <f>IF(OR(AA38=0,18&lt;=КаникулыРоялти),0,AA38*IF(РоялтиПоГруппам="Да",MeanMinAge18+AA9*SUMIF(ThresholdAge18,"&lt;"&amp;AA9,WeightedRevAge18)-SUMIF(ThresholdAge18,"&lt;"&amp;AA9,WeightedMinAge18),MAX(CapacityAge18*АбонементНовых*AA9,MeanMinAge18)))</f>
        <v/>
      </c>
      <c r="AB65" s="5">
        <f>IF(OR(AB38=0,18&lt;=КаникулыРоялти),0,AB38*IF(РоялтиПоГруппам="Да",MeanMinAge18+AB9*SUMIF(ThresholdAge18,"&lt;"&amp;AB9,WeightedRevAge18)-SUMIF(ThresholdAge18,"&lt;"&amp;AB9,WeightedMinAge18),MAX(CapacityAge18*АбонементНовых*AB9,MeanMinAge18)))</f>
        <v/>
      </c>
      <c r="AC65" s="5">
        <f>IF(OR(AC38=0,18&lt;=КаникулыРоялти),0,AC38*IF(РоялтиПоГруппам="Да",MeanMinAge18+AC9*SUMIF(ThresholdAge18,"&lt;"&amp;AC9,WeightedRevAge18)-SUMIF(ThresholdAge18,"&lt;"&amp;AC9,WeightedMinAge18),MAX(CapacityAge18*АбонементНовых*AC9,MeanMinAge18)))</f>
        <v/>
      </c>
      <c r="AD65" s="5">
        <f>IF(OR(AD38=0,18&lt;=КаникулыРоялти),0,AD38*IF(РоялтиПоГруппам="Да",MeanMinAge18+AD9*SUMIF(ThresholdAge18,"&lt;"&amp;AD9,WeightedRevAge18)-SUMIF(ThresholdAge18,"&lt;"&amp;AD9,WeightedMinAge18),MAX(CapacityAge18*АбонементНовых*AD9,MeanMinAge18)))</f>
        <v/>
      </c>
      <c r="AE65" s="5">
        <f>IF(OR(AE38=0,18&lt;=КаникулыРоялти),0,AE38*IF(РоялтиПоГруппам="Да",MeanMinAge18+AE9*SUMIF(ThresholdAge18,"&lt;"&amp;AE9,WeightedRevAge18)-SUMIF(ThresholdAge18,"&lt;"&amp;AE9,WeightedMinAge18),MAX(CapacityAge18*АбонементНовых*AE9,MeanMinAge18)))</f>
        <v/>
      </c>
      <c r="AF65" s="5">
        <f>IF(OR(AF38=0,18&lt;=КаникулыРоялти),0,AF38*IF(РоялтиПоГруппам="Да",MeanMinAge18+AF9*SUMIF(ThresholdAge18,"&lt;"&amp;AF9,WeightedRevAge18)-SUMIF(ThresholdAge18,"&lt;"&amp;AF9,WeightedMinAge18),MAX(CapacityAge18*АбонементНовых*AF9,MeanMinAge18)))</f>
        <v/>
      </c>
      <c r="AG65" s="5">
        <f>IF(OR(AG38=0,18&lt;=КаникулыРоялти),0,AG38*IF(РоялтиПоГруппам="Да",MeanMinAge18+AG9*SUMIF(ThresholdAge18,"&lt;"&amp;AG9,WeightedRevAge18)-SUMIF(ThresholdAge18,"&lt;"&amp;AG9,WeightedMinAge18),MAX(CapacityAge18*АбонементНовых*AG9,MeanMinAge18)))</f>
        <v/>
      </c>
      <c r="AH65" s="5">
        <f>IF(OR(AH38=0,18&lt;=КаникулыРоялти),0,AH38*IF(РоялтиПоГруппам="Да",MeanMinAge18+AH9*SUMIF(ThresholdAge18,"&lt;"&amp;AH9,WeightedRevAge18)-SUMIF(ThresholdAge18,"&lt;"&amp;AH9,WeightedMinAge18),MAX(CapacityAge18*АбонементНовых*AH9,MeanMinAge18)))</f>
        <v/>
      </c>
      <c r="AI65" s="5">
        <f>IF(OR(AI38=0,18&lt;=КаникулыРоялти),0,AI38*IF(РоялтиПоГруппам="Да",MeanMinAge18+AI9*SUMIF(ThresholdAge18,"&lt;"&amp;AI9,WeightedRevAge18)-SUMIF(ThresholdAge18,"&lt;"&amp;AI9,WeightedMinAge18),MAX(CapacityAge18*АбонементНовых*AI9,MeanMinAge18)))</f>
        <v/>
      </c>
      <c r="AJ65" s="5">
        <f>IF(OR(AJ38=0,18&lt;=КаникулыРоялти),0,AJ38*IF(РоялтиПоГруппам="Да",MeanMinAge18+AJ9*SUMIF(ThresholdAge18,"&lt;"&amp;AJ9,WeightedRevAge18)-SUMIF(ThresholdAge18,"&lt;"&amp;AJ9,WeightedMinAge18),MAX(CapacityAge18*АбонементНовых*AJ9,MeanMinAge18)))</f>
        <v/>
      </c>
      <c r="AK65" s="5">
        <f>IF(OR(AK38=0,18&lt;=КаникулыРоялти),0,AK38*IF(РоялтиПоГруппам="Да",MeanMinAge18+AK9*SUMIF(ThresholdAge18,"&lt;"&amp;AK9,WeightedRevAge18)-SUMIF(ThresholdAge18,"&lt;"&amp;AK9,WeightedMinAge18),MAX(CapacityAge18*АбонементНовых*AK9,MeanMinAge18)))</f>
        <v/>
      </c>
      <c r="AL65" s="5">
        <f>IF(OR(AL38=0,18&lt;=КаникулыРоялти),0,AL38*IF(РоялтиПоГруппам="Да",MeanMinAge18+AL9*SUMIF(ThresholdAge18,"&lt;"&amp;AL9,WeightedRevAge18)-SUMIF(ThresholdAge18,"&lt;"&amp;AL9,WeightedMinAge18),MAX(CapacityAge18*АбонементНовых*AL9,MeanMinAge18)))</f>
        <v/>
      </c>
      <c r="AM65" s="5">
        <f>IF(OR(AM38=0,18&lt;=КаникулыРоялти),0,AM38*IF(РоялтиПоГруппам="Да",MeanMinAge18+AM9*SUMIF(ThresholdAge18,"&lt;"&amp;AM9,WeightedRevAge18)-SUMIF(ThresholdAge18,"&lt;"&amp;AM9,WeightedMinAge18),MAX(CapacityAge18*АбонементНовых*AM9,MeanMinAge18)))</f>
        <v/>
      </c>
      <c r="AN65" s="5">
        <f>IF(OR(AN38=0,18&lt;=КаникулыРоялти),0,AN38*IF(РоялтиПоГруппам="Да",MeanMinAge18+AN9*SUMIF(ThresholdAge18,"&lt;"&amp;AN9,WeightedRevAge18)-SUMIF(ThresholdAge18,"&lt;"&amp;AN9,WeightedMinAge18),MAX(CapacityAge18*АбонементНовых*AN9,MeanMinAge18)))</f>
        <v/>
      </c>
      <c r="AO65" s="5">
        <f>IF(OR(AO38=0,18&lt;=КаникулыРоялти),0,AO38*IF(РоялтиПоГруппам="Да",MeanMinAge18+AO9*SUMIF(ThresholdAge18,"&lt;"&amp;AO9,WeightedRevAge18)-SUMIF(ThresholdAge18,"&lt;"&amp;AO9,WeightedMinAge18),MAX(CapacityAge18*АбонементНовых*AO9,MeanMinAge18)))</f>
        <v/>
      </c>
      <c r="AP65" s="5">
        <f>IF(OR(AP38=0,18&lt;=КаникулыРоялти),0,AP38*IF(РоялтиПоГруппам="Да",MeanMinAge18+AP9*SUMIF(ThresholdAge18,"&lt;"&amp;AP9,WeightedRevAge18)-SUMIF(ThresholdAge18,"&lt;"&amp;AP9,WeightedMinAge18),MAX(CapacityAge18*АбонементНовых*AP9,MeanMinAge18)))</f>
        <v/>
      </c>
      <c r="AQ65" s="5">
        <f>IF(OR(AQ38=0,18&lt;=КаникулыРоялти),0,AQ38*IF(РоялтиПоГруппам="Да",MeanMinAge18+AQ9*SUMIF(ThresholdAge18,"&lt;"&amp;AQ9,WeightedRevAge18)-SUMIF(ThresholdAge18,"&lt;"&amp;AQ9,WeightedMinAge18),MAX(CapacityAge18*АбонементНовых*AQ9,MeanMinAge18)))</f>
        <v/>
      </c>
      <c r="AR65" s="5">
        <f>IF(OR(AR38=0,18&lt;=КаникулыРоялти),0,AR38*IF(РоялтиПоГруппам="Да",MeanMinAge18+AR9*SUMIF(ThresholdAge18,"&lt;"&amp;AR9,WeightedRevAge18)-SUMIF(ThresholdAge18,"&lt;"&amp;AR9,WeightedMinAge18),MAX(CapacityAge18*АбонементНовых*AR9,MeanMinAge18)))</f>
        <v/>
      </c>
      <c r="AS65" s="5">
        <f>IF(OR(AS38=0,18&lt;=КаникулыРоялти),0,AS38*IF(РоялтиПоГруппам="Да",MeanMinAge18+AS9*SUMIF(ThresholdAge18,"&lt;"&amp;AS9,WeightedRevAge18)-SUMIF(ThresholdAge18,"&lt;"&amp;AS9,WeightedMinAge18),MAX(CapacityAge18*АбонементНовых*AS9,MeanMinAge18)))</f>
        <v/>
      </c>
      <c r="AT65" s="5">
        <f>IF(OR(AT38=0,18&lt;=КаникулыРоялти),0,AT38*IF(РоялтиПоГруппам="Да",MeanMinAge18+AT9*SUMIF(ThresholdAge18,"&lt;"&amp;AT9,WeightedRevAge18)-SUMIF(ThresholdAge18,"&lt;"&amp;AT9,WeightedMinAge18),MAX(CapacityAge18*АбонементНовых*AT9,MeanMinAge18)))</f>
        <v/>
      </c>
      <c r="AU65" s="5">
        <f>IF(OR(AU38=0,18&lt;=КаникулыРоялти),0,AU38*IF(РоялтиПоГруппам="Да",MeanMinAge18+AU9*SUMIF(ThresholdAge18,"&lt;"&amp;AU9,WeightedRevAge18)-SUMIF(ThresholdAge18,"&lt;"&amp;AU9,WeightedMinAge18),MAX(CapacityAge18*АбонементНовых*AU9,MeanMinAge18)))</f>
        <v/>
      </c>
      <c r="AV65" s="5">
        <f>IF(OR(AV38=0,18&lt;=КаникулыРоялти),0,AV38*IF(РоялтиПоГруппам="Да",MeanMinAge18+AV9*SUMIF(ThresholdAge18,"&lt;"&amp;AV9,WeightedRevAge18)-SUMIF(ThresholdAge18,"&lt;"&amp;AV9,WeightedMinAge18),MAX(CapacityAge18*АбонементНовых*AV9,MeanMinAge18)))</f>
        <v/>
      </c>
      <c r="AW65" s="5">
        <f>IF(OR(AW38=0,18&lt;=КаникулыРоялти),0,AW38*IF(РоялтиПоГруппам="Да",MeanMinAge18+AW9*SUMIF(ThresholdAge18,"&lt;"&amp;AW9,WeightedRevAge18)-SUMIF(ThresholdAge18,"&lt;"&amp;AW9,WeightedMinAge18),MAX(CapacityAge18*АбонементНовых*AW9,MeanMinAge18)))</f>
        <v/>
      </c>
      <c r="AX65" s="5">
        <f>IF(OR(AX38=0,18&lt;=КаникулыРоялти),0,AX38*IF(РоялтиПоГруппам="Да",MeanMinAge18+AX9*SUMIF(ThresholdAge18,"&lt;"&amp;AX9,WeightedRevAge18)-SUMIF(ThresholdAge18,"&lt;"&amp;AX9,WeightedMinAge18),MAX(CapacityAge18*АбонементНовых*AX9,MeanMinAge18)))</f>
        <v/>
      </c>
      <c r="AY65" s="5">
        <f>IF(OR(AY38=0,18&lt;=КаникулыРоялти),0,AY38*IF(РоялтиПоГруппам="Да",MeanMinAge18+AY9*SUMIF(ThresholdAge18,"&lt;"&amp;AY9,WeightedRevAge18)-SUMIF(ThresholdAge18,"&lt;"&amp;AY9,WeightedMinAge18),MAX(CapacityAge18*АбонементНовых*AY9,MeanMinAge18)))</f>
        <v/>
      </c>
      <c r="AZ65" s="5">
        <f>IF(OR(AZ38=0,18&lt;=КаникулыРоялти),0,AZ38*IF(РоялтиПоГруппам="Да",MeanMinAge18+AZ9*SUMIF(ThresholdAge18,"&lt;"&amp;AZ9,WeightedRevAge18)-SUMIF(ThresholdAge18,"&lt;"&amp;AZ9,WeightedMinAge18),MAX(CapacityAge18*АбонементНовых*AZ9,MeanMinAge18)))</f>
        <v/>
      </c>
      <c r="BA65" s="5">
        <f>IF(OR(BA38=0,18&lt;=КаникулыРоялти),0,BA38*IF(РоялтиПоГруппам="Да",MeanMinAge18+BA9*SUMIF(ThresholdAge18,"&lt;"&amp;BA9,WeightedRevAge18)-SUMIF(ThresholdAge18,"&lt;"&amp;BA9,WeightedMinAge18),MAX(CapacityAge18*АбонементНовых*BA9,MeanMinAge18)))</f>
        <v/>
      </c>
      <c r="BB65" s="5">
        <f>IF(OR(BB38=0,18&lt;=КаникулыРоялти),0,BB38*IF(РоялтиПоГруппам="Да",MeanMinAge18+BB9*SUMIF(ThresholdAge18,"&lt;"&amp;BB9,WeightedRevAge18)-SUMIF(ThresholdAge18,"&lt;"&amp;BB9,WeightedMinAge18),MAX(CapacityAge18*АбонементНовых*BB9,MeanMinAge18)))</f>
        <v/>
      </c>
      <c r="BC65" s="5">
        <f>IF(OR(BC38=0,18&lt;=КаникулыРоялти),0,BC38*IF(РоялтиПоГруппам="Да",MeanMinAge18+BC9*SUMIF(ThresholdAge18,"&lt;"&amp;BC9,WeightedRevAge18)-SUMIF(ThresholdAge18,"&lt;"&amp;BC9,WeightedMinAge18),MAX(CapacityAge18*АбонементНовых*BC9,MeanMinAge18)))</f>
        <v/>
      </c>
      <c r="BD65" s="5">
        <f>IF(OR(BD38=0,18&lt;=КаникулыРоялти),0,BD38*IF(РоялтиПоГруппам="Да",MeanMinAge18+BD9*SUMIF(ThresholdAge18,"&lt;"&amp;BD9,WeightedRevAge18)-SUMIF(ThresholdAge18,"&lt;"&amp;BD9,WeightedMinAge18),MAX(CapacityAge18*АбонементНовых*BD9,MeanMinAge18)))</f>
        <v/>
      </c>
      <c r="BE65" s="5">
        <f>IF(OR(BE38=0,18&lt;=КаникулыРоялти),0,BE38*IF(РоялтиПоГруппам="Да",MeanMinAge18+BE9*SUMIF(ThresholdAge18,"&lt;"&amp;BE9,WeightedRevAge18)-SUMIF(ThresholdAge18,"&lt;"&amp;BE9,WeightedMinAge18),MAX(CapacityAge18*АбонементНовых*BE9,MeanMinAge18)))</f>
        <v/>
      </c>
      <c r="BF65" s="5">
        <f>IF(OR(BF38=0,18&lt;=КаникулыРоялти),0,BF38*IF(РоялтиПоГруппам="Да",MeanMinAge18+BF9*SUMIF(ThresholdAge18,"&lt;"&amp;BF9,WeightedRevAge18)-SUMIF(ThresholdAge18,"&lt;"&amp;BF9,WeightedMinAge18),MAX(CapacityAge18*АбонементНовых*BF9,MeanMinAge18)))</f>
        <v/>
      </c>
      <c r="BG65" s="5">
        <f>IF(OR(BG38=0,18&lt;=КаникулыРоялти),0,BG38*IF(РоялтиПоГруппам="Да",MeanMinAge18+BG9*SUMIF(ThresholdAge18,"&lt;"&amp;BG9,WeightedRevAge18)-SUMIF(ThresholdAge18,"&lt;"&amp;BG9,WeightedMinAge18),MAX(CapacityAge18*АбонементНовых*BG9,MeanMinAge18)))</f>
        <v/>
      </c>
      <c r="BH65" s="5">
        <f>IF(OR(BH38=0,18&lt;=КаникулыРоялти),0,BH38*IF(РоялтиПоГруппам="Да",MeanMinAge18+BH9*SUMIF(ThresholdAge18,"&lt;"&amp;BH9,WeightedRevAge18)-SUMIF(ThresholdAge18,"&lt;"&amp;BH9,WeightedMinAge18),MAX(CapacityAge18*АбонементНовых*BH9,MeanMinAge18)))</f>
        <v/>
      </c>
      <c r="BI65" s="5">
        <f>IF(OR(BI38=0,18&lt;=КаникулыРоялти),0,BI38*IF(РоялтиПоГруппам="Да",MeanMinAge18+BI9*SUMIF(ThresholdAge18,"&lt;"&amp;BI9,WeightedRevAge18)-SUMIF(ThresholdAge18,"&lt;"&amp;BI9,WeightedMinAge18),MAX(CapacityAge18*АбонементНовых*BI9,MeanMinAge18)))</f>
        <v/>
      </c>
      <c r="BJ65" s="5">
        <f>IF(OR(BJ38=0,18&lt;=КаникулыРоялти),0,BJ38*IF(РоялтиПоГруппам="Да",MeanMinAge18+BJ9*SUMIF(ThresholdAge18,"&lt;"&amp;BJ9,WeightedRevAge18)-SUMIF(ThresholdAge18,"&lt;"&amp;BJ9,WeightedMinAge18),MAX(CapacityAge18*АбонементНовых*BJ9,MeanMinAge18)))</f>
        <v/>
      </c>
      <c r="BK65" s="5">
        <f>IF(OR(BK38=0,18&lt;=КаникулыРоялти),0,BK38*IF(РоялтиПоГруппам="Да",MeanMinAge18+BK9*SUMIF(ThresholdAge18,"&lt;"&amp;BK9,WeightedRevAge18)-SUMIF(ThresholdAge18,"&lt;"&amp;BK9,WeightedMinAge18),MAX(CapacityAge18*АбонементНовых*BK9,MeanMinAge18)))</f>
        <v/>
      </c>
      <c r="BL65" s="5">
        <f>IF(OR(BL38=0,18&lt;=КаникулыРоялти),0,BL38*IF(РоялтиПоГруппам="Да",MeanMinAge18+BL9*SUMIF(ThresholdAge18,"&lt;"&amp;BL9,WeightedRevAge18)-SUMIF(ThresholdAge18,"&lt;"&amp;BL9,WeightedMinAge18),MAX(CapacityAge18*АбонементНовых*BL9,MeanMinAge18)))</f>
        <v/>
      </c>
      <c r="BM65" s="5">
        <f>IF(OR(BM38=0,18&lt;=КаникулыРоялти),0,BM38*IF(РоялтиПоГруппам="Да",MeanMinAge18+BM9*SUMIF(ThresholdAge18,"&lt;"&amp;BM9,WeightedRevAge18)-SUMIF(ThresholdAge18,"&lt;"&amp;BM9,WeightedMinAge18),MAX(CapacityAge18*АбонементНовых*BM9,MeanMinAge18)))</f>
        <v/>
      </c>
      <c r="BN65" s="5">
        <f>IF(OR(BN38=0,18&lt;=КаникулыРоялти),0,BN38*IF(РоялтиПоГруппам="Да",MeanMinAge18+BN9*SUMIF(ThresholdAge18,"&lt;"&amp;BN9,WeightedRevAge18)-SUMIF(ThresholdAge18,"&lt;"&amp;BN9,WeightedMinAge18),MAX(CapacityAge18*АбонементНовых*BN9,MeanMinAge18)))</f>
        <v/>
      </c>
      <c r="BO65" s="5">
        <f>IF(OR(BO38=0,18&lt;=КаникулыРоялти),0,BO38*IF(РоялтиПоГруппам="Да",MeanMinAge18+BO9*SUMIF(ThresholdAge18,"&lt;"&amp;BO9,WeightedRevAge18)-SUMIF(ThresholdAge18,"&lt;"&amp;BO9,WeightedMinAge18),MAX(CapacityAge18*АбонементНовых*BO9,MeanMinAge18)))</f>
        <v/>
      </c>
      <c r="BP65" s="5">
        <f>IF(OR(BP38=0,18&lt;=КаникулыРоялти),0,BP38*IF(РоялтиПоГруппам="Да",MeanMinAge18+BP9*SUMIF(ThresholdAge18,"&lt;"&amp;BP9,WeightedRevAge18)-SUMIF(ThresholdAge18,"&lt;"&amp;BP9,WeightedMinAge18),MAX(CapacityAge18*АбонементНовых*BP9,MeanMinAge18)))</f>
        <v/>
      </c>
      <c r="BQ65" s="5">
        <f>IF(OR(BQ38=0,18&lt;=КаникулыРоялти),0,BQ38*IF(РоялтиПоГруппам="Да",MeanMinAge18+BQ9*SUMIF(ThresholdAge18,"&lt;"&amp;BQ9,WeightedRevAge18)-SUMIF(ThresholdAge18,"&lt;"&amp;BQ9,WeightedMinAge18),MAX(CapacityAge18*АбонементНовых*BQ9,MeanMinAge18)))</f>
        <v/>
      </c>
      <c r="BR65" s="5">
        <f>IF(OR(BR38=0,18&lt;=КаникулыРоялти),0,BR38*IF(РоялтиПоГруппам="Да",MeanMinAge18+BR9*SUMIF(ThresholdAge18,"&lt;"&amp;BR9,WeightedRevAge18)-SUMIF(ThresholdAge18,"&lt;"&amp;BR9,WeightedMinAge18),MAX(CapacityAge18*АбонементНовых*BR9,MeanMinAge18)))</f>
        <v/>
      </c>
      <c r="BS65" s="5">
        <f>IF(OR(BS38=0,18&lt;=КаникулыРоялти),0,BS38*IF(РоялтиПоГруппам="Да",MeanMinAge18+BS9*SUMIF(ThresholdAge18,"&lt;"&amp;BS9,WeightedRevAge18)-SUMIF(ThresholdAge18,"&lt;"&amp;BS9,WeightedMinAge18),MAX(CapacityAge18*АбонементНовых*BS9,MeanMinAge18)))</f>
        <v/>
      </c>
      <c r="BT65" s="5">
        <f>IF(OR(BT38=0,18&lt;=КаникулыРоялти),0,BT38*IF(РоялтиПоГруппам="Да",MeanMinAge18+BT9*SUMIF(ThresholdAge18,"&lt;"&amp;BT9,WeightedRevAge18)-SUMIF(ThresholdAge18,"&lt;"&amp;BT9,WeightedMinAge18),MAX(CapacityAge18*АбонементНовых*BT9,MeanMinAge18)))</f>
        <v/>
      </c>
      <c r="BU65" s="5">
        <f>IF(OR(BU38=0,18&lt;=КаникулыРоялти),0,BU38*IF(РоялтиПоГруппам="Да",MeanMinAge18+BU9*SUMIF(ThresholdAge18,"&lt;"&amp;BU9,WeightedRevAge18)-SUMIF(ThresholdAge18,"&lt;"&amp;BU9,WeightedMinAge18),MAX(CapacityAge18*АбонементНовых*BU9,MeanMinAge18)))</f>
        <v/>
      </c>
      <c r="BV65" s="5">
        <f>IF(OR(BV38=0,18&lt;=КаникулыРоялти),0,BV38*IF(РоялтиПоГруппам="Да",MeanMinAge18+BV9*SUMIF(ThresholdAge18,"&lt;"&amp;BV9,WeightedRevAge18)-SUMIF(ThresholdAge18,"&lt;"&amp;BV9,WeightedMinAge18),MAX(CapacityAge18*АбонементНовых*BV9,MeanMinAge18)))</f>
        <v/>
      </c>
      <c r="BW65" s="5">
        <f>IF(OR(BW38=0,18&lt;=КаникулыРоялти),0,BW38*IF(РоялтиПоГруппам="Да",MeanMinAge18+BW9*SUMIF(ThresholdAge18,"&lt;"&amp;BW9,WeightedRevAge18)-SUMIF(ThresholdAge18,"&lt;"&amp;BW9,WeightedMinAge18),MAX(CapacityAge18*АбонементНовых*BW9,MeanMinAge18)))</f>
        <v/>
      </c>
      <c r="BX65" s="5">
        <f>IF(OR(BX38=0,18&lt;=КаникулыРоялти),0,BX38*IF(РоялтиПоГруппам="Да",MeanMinAge18+BX9*SUMIF(ThresholdAge18,"&lt;"&amp;BX9,WeightedRevAge18)-SUMIF(ThresholdAge18,"&lt;"&amp;BX9,WeightedMinAge18),MAX(CapacityAge18*АбонементНовых*BX9,MeanMinAge18)))</f>
        <v/>
      </c>
      <c r="BY65" s="5">
        <f>IF(OR(BY38=0,18&lt;=КаникулыРоялти),0,BY38*IF(РоялтиПоГруппам="Да",MeanMinAge18+BY9*SUMIF(ThresholdAge18,"&lt;"&amp;BY9,WeightedRevAge18)-SUMIF(ThresholdAge18,"&lt;"&amp;BY9,WeightedMinAge18),MAX(CapacityAge18*АбонементНовых*BY9,MeanMinAge18)))</f>
        <v/>
      </c>
    </row>
    <row r="66">
      <c r="B66" t="inlineStr">
        <is>
          <t>19 мес.</t>
        </is>
      </c>
      <c r="C66" t="inlineStr">
        <is>
          <t>₽</t>
        </is>
      </c>
      <c r="D66" s="127" t="inlineStr"/>
      <c r="E66" s="129">
        <f>SUM(L66:W66)</f>
        <v/>
      </c>
      <c r="F66" s="129">
        <f>SUM(X66:AI66)</f>
        <v/>
      </c>
      <c r="G66" s="129">
        <f>SUM(AJ66:AU66)</f>
        <v/>
      </c>
      <c r="H66" s="129">
        <f>SUM(AV66:BG66)</f>
        <v/>
      </c>
      <c r="I66" s="129">
        <f>SUM(BH66:BS66)</f>
        <v/>
      </c>
      <c r="J66" s="6">
        <f>SUM(L66:BS66)</f>
        <v/>
      </c>
      <c r="L66" s="5">
        <f>IF(OR(L39=0,19&lt;=КаникулыРоялти),0,L39*IF(РоялтиПоГруппам="Да",MeanMinAge19+L9*SUMIF(ThresholdAge19,"&lt;"&amp;L9,WeightedRevAge19)-SUMIF(ThresholdAge19,"&lt;"&amp;L9,WeightedMinAge19),MAX(CapacityAge19*АбонементНовых*L9,MeanMinAge19)))</f>
        <v/>
      </c>
      <c r="M66" s="5">
        <f>IF(OR(M39=0,19&lt;=КаникулыРоялти),0,M39*IF(РоялтиПоГруппам="Да",MeanMinAge19+M9*SUMIF(ThresholdAge19,"&lt;"&amp;M9,WeightedRevAge19)-SUMIF(ThresholdAge19,"&lt;"&amp;M9,WeightedMinAge19),MAX(CapacityAge19*АбонементНовых*M9,MeanMinAge19)))</f>
        <v/>
      </c>
      <c r="N66" s="5">
        <f>IF(OR(N39=0,19&lt;=КаникулыРоялти),0,N39*IF(РоялтиПоГруппам="Да",MeanMinAge19+N9*SUMIF(ThresholdAge19,"&lt;"&amp;N9,WeightedRevAge19)-SUMIF(ThresholdAge19,"&lt;"&amp;N9,WeightedMinAge19),MAX(CapacityAge19*АбонементНовых*N9,MeanMinAge19)))</f>
        <v/>
      </c>
      <c r="O66" s="5">
        <f>IF(OR(O39=0,19&lt;=КаникулыРоялти),0,O39*IF(РоялтиПоГруппам="Да",MeanMinAge19+O9*SUMIF(ThresholdAge19,"&lt;"&amp;O9,WeightedRevAge19)-SUMIF(ThresholdAge19,"&lt;"&amp;O9,WeightedMinAge19),MAX(CapacityAge19*АбонементНовых*O9,MeanMinAge19)))</f>
        <v/>
      </c>
      <c r="P66" s="5">
        <f>IF(OR(P39=0,19&lt;=КаникулыРоялти),0,P39*IF(РоялтиПоГруппам="Да",MeanMinAge19+P9*SUMIF(ThresholdAge19,"&lt;"&amp;P9,WeightedRevAge19)-SUMIF(ThresholdAge19,"&lt;"&amp;P9,WeightedMinAge19),MAX(CapacityAge19*АбонементНовых*P9,MeanMinAge19)))</f>
        <v/>
      </c>
      <c r="Q66" s="5">
        <f>IF(OR(Q39=0,19&lt;=КаникулыРоялти),0,Q39*IF(РоялтиПоГруппам="Да",MeanMinAge19+Q9*SUMIF(ThresholdAge19,"&lt;"&amp;Q9,WeightedRevAge19)-SUMIF(ThresholdAge19,"&lt;"&amp;Q9,WeightedMinAge19),MAX(CapacityAge19*АбонементНовых*Q9,MeanMinAge19)))</f>
        <v/>
      </c>
      <c r="R66" s="5">
        <f>IF(OR(R39=0,19&lt;=КаникулыРоялти),0,R39*IF(РоялтиПоГруппам="Да",MeanMinAge19+R9*SUMIF(ThresholdAge19,"&lt;"&amp;R9,WeightedRevAge19)-SUMIF(ThresholdAge19,"&lt;"&amp;R9,WeightedMinAge19),MAX(CapacityAge19*АбонементНовых*R9,MeanMinAge19)))</f>
        <v/>
      </c>
      <c r="S66" s="5">
        <f>IF(OR(S39=0,19&lt;=КаникулыРоялти),0,S39*IF(РоялтиПоГруппам="Да",MeanMinAge19+S9*SUMIF(ThresholdAge19,"&lt;"&amp;S9,WeightedRevAge19)-SUMIF(ThresholdAge19,"&lt;"&amp;S9,WeightedMinAge19),MAX(CapacityAge19*АбонементНовых*S9,MeanMinAge19)))</f>
        <v/>
      </c>
      <c r="T66" s="5">
        <f>IF(OR(T39=0,19&lt;=КаникулыРоялти),0,T39*IF(РоялтиПоГруппам="Да",MeanMinAge19+T9*SUMIF(ThresholdAge19,"&lt;"&amp;T9,WeightedRevAge19)-SUMIF(ThresholdAge19,"&lt;"&amp;T9,WeightedMinAge19),MAX(CapacityAge19*АбонементНовых*T9,MeanMinAge19)))</f>
        <v/>
      </c>
      <c r="U66" s="5">
        <f>IF(OR(U39=0,19&lt;=КаникулыРоялти),0,U39*IF(РоялтиПоГруппам="Да",MeanMinAge19+U9*SUMIF(ThresholdAge19,"&lt;"&amp;U9,WeightedRevAge19)-SUMIF(ThresholdAge19,"&lt;"&amp;U9,WeightedMinAge19),MAX(CapacityAge19*АбонементНовых*U9,MeanMinAge19)))</f>
        <v/>
      </c>
      <c r="V66" s="5">
        <f>IF(OR(V39=0,19&lt;=КаникулыРоялти),0,V39*IF(РоялтиПоГруппам="Да",MeanMinAge19+V9*SUMIF(ThresholdAge19,"&lt;"&amp;V9,WeightedRevAge19)-SUMIF(ThresholdAge19,"&lt;"&amp;V9,WeightedMinAge19),MAX(CapacityAge19*АбонементНовых*V9,MeanMinAge19)))</f>
        <v/>
      </c>
      <c r="W66" s="5">
        <f>IF(OR(W39=0,19&lt;=КаникулыРоялти),0,W39*IF(РоялтиПоГруппам="Да",MeanMinAge19+W9*SUMIF(ThresholdAge19,"&lt;"&amp;W9,WeightedRevAge19)-SUMIF(ThresholdAge19,"&lt;"&amp;W9,WeightedMinAge19),MAX(CapacityAge19*АбонементНовых*W9,MeanMinAge19)))</f>
        <v/>
      </c>
      <c r="X66" s="5">
        <f>IF(OR(X39=0,19&lt;=КаникулыРоялти),0,X39*IF(РоялтиПоГруппам="Да",MeanMinAge19+X9*SUMIF(ThresholdAge19,"&lt;"&amp;X9,WeightedRevAge19)-SUMIF(ThresholdAge19,"&lt;"&amp;X9,WeightedMinAge19),MAX(CapacityAge19*АбонементНовых*X9,MeanMinAge19)))</f>
        <v/>
      </c>
      <c r="Y66" s="5">
        <f>IF(OR(Y39=0,19&lt;=КаникулыРоялти),0,Y39*IF(РоялтиПоГруппам="Да",MeanMinAge19+Y9*SUMIF(ThresholdAge19,"&lt;"&amp;Y9,WeightedRevAge19)-SUMIF(ThresholdAge19,"&lt;"&amp;Y9,WeightedMinAge19),MAX(CapacityAge19*АбонементНовых*Y9,MeanMinAge19)))</f>
        <v/>
      </c>
      <c r="Z66" s="5">
        <f>IF(OR(Z39=0,19&lt;=КаникулыРоялти),0,Z39*IF(РоялтиПоГруппам="Да",MeanMinAge19+Z9*SUMIF(ThresholdAge19,"&lt;"&amp;Z9,WeightedRevAge19)-SUMIF(ThresholdAge19,"&lt;"&amp;Z9,WeightedMinAge19),MAX(CapacityAge19*АбонементНовых*Z9,MeanMinAge19)))</f>
        <v/>
      </c>
      <c r="AA66" s="5">
        <f>IF(OR(AA39=0,19&lt;=КаникулыРоялти),0,AA39*IF(РоялтиПоГруппам="Да",MeanMinAge19+AA9*SUMIF(ThresholdAge19,"&lt;"&amp;AA9,WeightedRevAge19)-SUMIF(ThresholdAge19,"&lt;"&amp;AA9,WeightedMinAge19),MAX(CapacityAge19*АбонементНовых*AA9,MeanMinAge19)))</f>
        <v/>
      </c>
      <c r="AB66" s="5">
        <f>IF(OR(AB39=0,19&lt;=КаникулыРоялти),0,AB39*IF(РоялтиПоГруппам="Да",MeanMinAge19+AB9*SUMIF(ThresholdAge19,"&lt;"&amp;AB9,WeightedRevAge19)-SUMIF(ThresholdAge19,"&lt;"&amp;AB9,WeightedMinAge19),MAX(CapacityAge19*АбонементНовых*AB9,MeanMinAge19)))</f>
        <v/>
      </c>
      <c r="AC66" s="5">
        <f>IF(OR(AC39=0,19&lt;=КаникулыРоялти),0,AC39*IF(РоялтиПоГруппам="Да",MeanMinAge19+AC9*SUMIF(ThresholdAge19,"&lt;"&amp;AC9,WeightedRevAge19)-SUMIF(ThresholdAge19,"&lt;"&amp;AC9,WeightedMinAge19),MAX(CapacityAge19*АбонементНовых*AC9,MeanMinAge19)))</f>
        <v/>
      </c>
      <c r="AD66" s="5">
        <f>IF(OR(AD39=0,19&lt;=КаникулыРоялти),0,AD39*IF(РоялтиПоГруппам="Да",MeanMinAge19+AD9*SUMIF(ThresholdAge19,"&lt;"&amp;AD9,WeightedRevAge19)-SUMIF(ThresholdAge19,"&lt;"&amp;AD9,WeightedMinAge19),MAX(CapacityAge19*АбонементНовых*AD9,MeanMinAge19)))</f>
        <v/>
      </c>
      <c r="AE66" s="5">
        <f>IF(OR(AE39=0,19&lt;=КаникулыРоялти),0,AE39*IF(РоялтиПоГруппам="Да",MeanMinAge19+AE9*SUMIF(ThresholdAge19,"&lt;"&amp;AE9,WeightedRevAge19)-SUMIF(ThresholdAge19,"&lt;"&amp;AE9,WeightedMinAge19),MAX(CapacityAge19*АбонементНовых*AE9,MeanMinAge19)))</f>
        <v/>
      </c>
      <c r="AF66" s="5">
        <f>IF(OR(AF39=0,19&lt;=КаникулыРоялти),0,AF39*IF(РоялтиПоГруппам="Да",MeanMinAge19+AF9*SUMIF(ThresholdAge19,"&lt;"&amp;AF9,WeightedRevAge19)-SUMIF(ThresholdAge19,"&lt;"&amp;AF9,WeightedMinAge19),MAX(CapacityAge19*АбонементНовых*AF9,MeanMinAge19)))</f>
        <v/>
      </c>
      <c r="AG66" s="5">
        <f>IF(OR(AG39=0,19&lt;=КаникулыРоялти),0,AG39*IF(РоялтиПоГруппам="Да",MeanMinAge19+AG9*SUMIF(ThresholdAge19,"&lt;"&amp;AG9,WeightedRevAge19)-SUMIF(ThresholdAge19,"&lt;"&amp;AG9,WeightedMinAge19),MAX(CapacityAge19*АбонементНовых*AG9,MeanMinAge19)))</f>
        <v/>
      </c>
      <c r="AH66" s="5">
        <f>IF(OR(AH39=0,19&lt;=КаникулыРоялти),0,AH39*IF(РоялтиПоГруппам="Да",MeanMinAge19+AH9*SUMIF(ThresholdAge19,"&lt;"&amp;AH9,WeightedRevAge19)-SUMIF(ThresholdAge19,"&lt;"&amp;AH9,WeightedMinAge19),MAX(CapacityAge19*АбонементНовых*AH9,MeanMinAge19)))</f>
        <v/>
      </c>
      <c r="AI66" s="5">
        <f>IF(OR(AI39=0,19&lt;=КаникулыРоялти),0,AI39*IF(РоялтиПоГруппам="Да",MeanMinAge19+AI9*SUMIF(ThresholdAge19,"&lt;"&amp;AI9,WeightedRevAge19)-SUMIF(ThresholdAge19,"&lt;"&amp;AI9,WeightedMinAge19),MAX(CapacityAge19*АбонементНовых*AI9,MeanMinAge19)))</f>
        <v/>
      </c>
      <c r="AJ66" s="5">
        <f>IF(OR(AJ39=0,19&lt;=КаникулыРоялти),0,AJ39*IF(РоялтиПоГруппам="Да",MeanMinAge19+AJ9*SUMIF(ThresholdAge19,"&lt;"&amp;AJ9,WeightedRevAge19)-SUMIF(ThresholdAge19,"&lt;"&amp;AJ9,WeightedMinAge19),MAX(CapacityAge19*АбонементНовых*AJ9,MeanMinAge19)))</f>
        <v/>
      </c>
      <c r="AK66" s="5">
        <f>IF(OR(AK39=0,19&lt;=КаникулыРоялти),0,AK39*IF(РоялтиПоГруппам="Да",MeanMinAge19+AK9*SUMIF(ThresholdAge19,"&lt;"&amp;AK9,WeightedRevAge19)-SUMIF(ThresholdAge19,"&lt;"&amp;AK9,WeightedMinAge19),MAX(CapacityAge19*АбонементНовых*AK9,MeanMinAge19)))</f>
        <v/>
      </c>
      <c r="AL66" s="5">
        <f>IF(OR(AL39=0,19&lt;=КаникулыРоялти),0,AL39*IF(РоялтиПоГруппам="Да",MeanMinAge19+AL9*SUMIF(ThresholdAge19,"&lt;"&amp;AL9,WeightedRevAge19)-SUMIF(ThresholdAge19,"&lt;"&amp;AL9,WeightedMinAge19),MAX(CapacityAge19*АбонементНовых*AL9,MeanMinAge19)))</f>
        <v/>
      </c>
      <c r="AM66" s="5">
        <f>IF(OR(AM39=0,19&lt;=КаникулыРоялти),0,AM39*IF(РоялтиПоГруппам="Да",MeanMinAge19+AM9*SUMIF(ThresholdAge19,"&lt;"&amp;AM9,WeightedRevAge19)-SUMIF(ThresholdAge19,"&lt;"&amp;AM9,WeightedMinAge19),MAX(CapacityAge19*АбонементНовых*AM9,MeanMinAge19)))</f>
        <v/>
      </c>
      <c r="AN66" s="5">
        <f>IF(OR(AN39=0,19&lt;=КаникулыРоялти),0,AN39*IF(РоялтиПоГруппам="Да",MeanMinAge19+AN9*SUMIF(ThresholdAge19,"&lt;"&amp;AN9,WeightedRevAge19)-SUMIF(ThresholdAge19,"&lt;"&amp;AN9,WeightedMinAge19),MAX(CapacityAge19*АбонементНовых*AN9,MeanMinAge19)))</f>
        <v/>
      </c>
      <c r="AO66" s="5">
        <f>IF(OR(AO39=0,19&lt;=КаникулыРоялти),0,AO39*IF(РоялтиПоГруппам="Да",MeanMinAge19+AO9*SUMIF(ThresholdAge19,"&lt;"&amp;AO9,WeightedRevAge19)-SUMIF(ThresholdAge19,"&lt;"&amp;AO9,WeightedMinAge19),MAX(CapacityAge19*АбонементНовых*AO9,MeanMinAge19)))</f>
        <v/>
      </c>
      <c r="AP66" s="5">
        <f>IF(OR(AP39=0,19&lt;=КаникулыРоялти),0,AP39*IF(РоялтиПоГруппам="Да",MeanMinAge19+AP9*SUMIF(ThresholdAge19,"&lt;"&amp;AP9,WeightedRevAge19)-SUMIF(ThresholdAge19,"&lt;"&amp;AP9,WeightedMinAge19),MAX(CapacityAge19*АбонементНовых*AP9,MeanMinAge19)))</f>
        <v/>
      </c>
      <c r="AQ66" s="5">
        <f>IF(OR(AQ39=0,19&lt;=КаникулыРоялти),0,AQ39*IF(РоялтиПоГруппам="Да",MeanMinAge19+AQ9*SUMIF(ThresholdAge19,"&lt;"&amp;AQ9,WeightedRevAge19)-SUMIF(ThresholdAge19,"&lt;"&amp;AQ9,WeightedMinAge19),MAX(CapacityAge19*АбонементНовых*AQ9,MeanMinAge19)))</f>
        <v/>
      </c>
      <c r="AR66" s="5">
        <f>IF(OR(AR39=0,19&lt;=КаникулыРоялти),0,AR39*IF(РоялтиПоГруппам="Да",MeanMinAge19+AR9*SUMIF(ThresholdAge19,"&lt;"&amp;AR9,WeightedRevAge19)-SUMIF(ThresholdAge19,"&lt;"&amp;AR9,WeightedMinAge19),MAX(CapacityAge19*АбонементНовых*AR9,MeanMinAge19)))</f>
        <v/>
      </c>
      <c r="AS66" s="5">
        <f>IF(OR(AS39=0,19&lt;=КаникулыРоялти),0,AS39*IF(РоялтиПоГруппам="Да",MeanMinAge19+AS9*SUMIF(ThresholdAge19,"&lt;"&amp;AS9,WeightedRevAge19)-SUMIF(ThresholdAge19,"&lt;"&amp;AS9,WeightedMinAge19),MAX(CapacityAge19*АбонементНовых*AS9,MeanMinAge19)))</f>
        <v/>
      </c>
      <c r="AT66" s="5">
        <f>IF(OR(AT39=0,19&lt;=КаникулыРоялти),0,AT39*IF(РоялтиПоГруппам="Да",MeanMinAge19+AT9*SUMIF(ThresholdAge19,"&lt;"&amp;AT9,WeightedRevAge19)-SUMIF(ThresholdAge19,"&lt;"&amp;AT9,WeightedMinAge19),MAX(CapacityAge19*АбонементНовых*AT9,MeanMinAge19)))</f>
        <v/>
      </c>
      <c r="AU66" s="5">
        <f>IF(OR(AU39=0,19&lt;=КаникулыРоялти),0,AU39*IF(РоялтиПоГруппам="Да",MeanMinAge19+AU9*SUMIF(ThresholdAge19,"&lt;"&amp;AU9,WeightedRevAge19)-SUMIF(ThresholdAge19,"&lt;"&amp;AU9,WeightedMinAge19),MAX(CapacityAge19*АбонементНовых*AU9,MeanMinAge19)))</f>
        <v/>
      </c>
      <c r="AV66" s="5">
        <f>IF(OR(AV39=0,19&lt;=КаникулыРоялти),0,AV39*IF(РоялтиПоГруппам="Да",MeanMinAge19+AV9*SUMIF(ThresholdAge19,"&lt;"&amp;AV9,WeightedRevAge19)-SUMIF(ThresholdAge19,"&lt;"&amp;AV9,WeightedMinAge19),MAX(CapacityAge19*АбонементНовых*AV9,MeanMinAge19)))</f>
        <v/>
      </c>
      <c r="AW66" s="5">
        <f>IF(OR(AW39=0,19&lt;=КаникулыРоялти),0,AW39*IF(РоялтиПоГруппам="Да",MeanMinAge19+AW9*SUMIF(ThresholdAge19,"&lt;"&amp;AW9,WeightedRevAge19)-SUMIF(ThresholdAge19,"&lt;"&amp;AW9,WeightedMinAge19),MAX(CapacityAge19*АбонементНовых*AW9,MeanMinAge19)))</f>
        <v/>
      </c>
      <c r="AX66" s="5">
        <f>IF(OR(AX39=0,19&lt;=КаникулыРоялти),0,AX39*IF(РоялтиПоГруппам="Да",MeanMinAge19+AX9*SUMIF(ThresholdAge19,"&lt;"&amp;AX9,WeightedRevAge19)-SUMIF(ThresholdAge19,"&lt;"&amp;AX9,WeightedMinAge19),MAX(CapacityAge19*АбонементНовых*AX9,MeanMinAge19)))</f>
        <v/>
      </c>
      <c r="AY66" s="5">
        <f>IF(OR(AY39=0,19&lt;=КаникулыРоялти),0,AY39*IF(РоялтиПоГруппам="Да",MeanMinAge19+AY9*SUMIF(ThresholdAge19,"&lt;"&amp;AY9,WeightedRevAge19)-SUMIF(ThresholdAge19,"&lt;"&amp;AY9,WeightedMinAge19),MAX(CapacityAge19*АбонементНовых*AY9,MeanMinAge19)))</f>
        <v/>
      </c>
      <c r="AZ66" s="5">
        <f>IF(OR(AZ39=0,19&lt;=КаникулыРоялти),0,AZ39*IF(РоялтиПоГруппам="Да",MeanMinAge19+AZ9*SUMIF(ThresholdAge19,"&lt;"&amp;AZ9,WeightedRevAge19)-SUMIF(ThresholdAge19,"&lt;"&amp;AZ9,WeightedMinAge19),MAX(CapacityAge19*АбонементНовых*AZ9,MeanMinAge19)))</f>
        <v/>
      </c>
      <c r="BA66" s="5">
        <f>IF(OR(BA39=0,19&lt;=КаникулыРоялти),0,BA39*IF(РоялтиПоГруппам="Да",MeanMinAge19+BA9*SUMIF(ThresholdAge19,"&lt;"&amp;BA9,WeightedRevAge19)-SUMIF(ThresholdAge19,"&lt;"&amp;BA9,WeightedMinAge19),MAX(CapacityAge19*АбонементНовых*BA9,MeanMinAge19)))</f>
        <v/>
      </c>
      <c r="BB66" s="5">
        <f>IF(OR(BB39=0,19&lt;=КаникулыРоялти),0,BB39*IF(РоялтиПоГруппам="Да",MeanMinAge19+BB9*SUMIF(ThresholdAge19,"&lt;"&amp;BB9,WeightedRevAge19)-SUMIF(ThresholdAge19,"&lt;"&amp;BB9,WeightedMinAge19),MAX(CapacityAge19*АбонементНовых*BB9,MeanMinAge19)))</f>
        <v/>
      </c>
      <c r="BC66" s="5">
        <f>IF(OR(BC39=0,19&lt;=КаникулыРоялти),0,BC39*IF(РоялтиПоГруппам="Да",MeanMinAge19+BC9*SUMIF(ThresholdAge19,"&lt;"&amp;BC9,WeightedRevAge19)-SUMIF(ThresholdAge19,"&lt;"&amp;BC9,WeightedMinAge19),MAX(CapacityAge19*АбонементНовых*BC9,MeanMinAge19)))</f>
        <v/>
      </c>
      <c r="BD66" s="5">
        <f>IF(OR(BD39=0,19&lt;=КаникулыРоялти),0,BD39*IF(РоялтиПоГруппам="Да",MeanMinAge19+BD9*SUMIF(ThresholdAge19,"&lt;"&amp;BD9,WeightedRevAge19)-SUMIF(ThresholdAge19,"&lt;"&amp;BD9,WeightedMinAge19),MAX(CapacityAge19*АбонементНовых*BD9,MeanMinAge19)))</f>
        <v/>
      </c>
      <c r="BE66" s="5">
        <f>IF(OR(BE39=0,19&lt;=КаникулыРоялти),0,BE39*IF(РоялтиПоГруппам="Да",MeanMinAge19+BE9*SUMIF(ThresholdAge19,"&lt;"&amp;BE9,WeightedRevAge19)-SUMIF(ThresholdAge19,"&lt;"&amp;BE9,WeightedMinAge19),MAX(CapacityAge19*АбонементНовых*BE9,MeanMinAge19)))</f>
        <v/>
      </c>
      <c r="BF66" s="5">
        <f>IF(OR(BF39=0,19&lt;=КаникулыРоялти),0,BF39*IF(РоялтиПоГруппам="Да",MeanMinAge19+BF9*SUMIF(ThresholdAge19,"&lt;"&amp;BF9,WeightedRevAge19)-SUMIF(ThresholdAge19,"&lt;"&amp;BF9,WeightedMinAge19),MAX(CapacityAge19*АбонементНовых*BF9,MeanMinAge19)))</f>
        <v/>
      </c>
      <c r="BG66" s="5">
        <f>IF(OR(BG39=0,19&lt;=КаникулыРоялти),0,BG39*IF(РоялтиПоГруппам="Да",MeanMinAge19+BG9*SUMIF(ThresholdAge19,"&lt;"&amp;BG9,WeightedRevAge19)-SUMIF(ThresholdAge19,"&lt;"&amp;BG9,WeightedMinAge19),MAX(CapacityAge19*АбонементНовых*BG9,MeanMinAge19)))</f>
        <v/>
      </c>
      <c r="BH66" s="5">
        <f>IF(OR(BH39=0,19&lt;=КаникулыРоялти),0,BH39*IF(РоялтиПоГруппам="Да",MeanMinAge19+BH9*SUMIF(ThresholdAge19,"&lt;"&amp;BH9,WeightedRevAge19)-SUMIF(ThresholdAge19,"&lt;"&amp;BH9,WeightedMinAge19),MAX(CapacityAge19*АбонементНовых*BH9,MeanMinAge19)))</f>
        <v/>
      </c>
      <c r="BI66" s="5">
        <f>IF(OR(BI39=0,19&lt;=КаникулыРоялти),0,BI39*IF(РоялтиПоГруппам="Да",MeanMinAge19+BI9*SUMIF(ThresholdAge19,"&lt;"&amp;BI9,WeightedRevAge19)-SUMIF(ThresholdAge19,"&lt;"&amp;BI9,WeightedMinAge19),MAX(CapacityAge19*АбонементНовых*BI9,MeanMinAge19)))</f>
        <v/>
      </c>
      <c r="BJ66" s="5">
        <f>IF(OR(BJ39=0,19&lt;=КаникулыРоялти),0,BJ39*IF(РоялтиПоГруппам="Да",MeanMinAge19+BJ9*SUMIF(ThresholdAge19,"&lt;"&amp;BJ9,WeightedRevAge19)-SUMIF(ThresholdAge19,"&lt;"&amp;BJ9,WeightedMinAge19),MAX(CapacityAge19*АбонементНовых*BJ9,MeanMinAge19)))</f>
        <v/>
      </c>
      <c r="BK66" s="5">
        <f>IF(OR(BK39=0,19&lt;=КаникулыРоялти),0,BK39*IF(РоялтиПоГруппам="Да",MeanMinAge19+BK9*SUMIF(ThresholdAge19,"&lt;"&amp;BK9,WeightedRevAge19)-SUMIF(ThresholdAge19,"&lt;"&amp;BK9,WeightedMinAge19),MAX(CapacityAge19*АбонементНовых*BK9,MeanMinAge19)))</f>
        <v/>
      </c>
      <c r="BL66" s="5">
        <f>IF(OR(BL39=0,19&lt;=КаникулыРоялти),0,BL39*IF(РоялтиПоГруппам="Да",MeanMinAge19+BL9*SUMIF(ThresholdAge19,"&lt;"&amp;BL9,WeightedRevAge19)-SUMIF(ThresholdAge19,"&lt;"&amp;BL9,WeightedMinAge19),MAX(CapacityAge19*АбонементНовых*BL9,MeanMinAge19)))</f>
        <v/>
      </c>
      <c r="BM66" s="5">
        <f>IF(OR(BM39=0,19&lt;=КаникулыРоялти),0,BM39*IF(РоялтиПоГруппам="Да",MeanMinAge19+BM9*SUMIF(ThresholdAge19,"&lt;"&amp;BM9,WeightedRevAge19)-SUMIF(ThresholdAge19,"&lt;"&amp;BM9,WeightedMinAge19),MAX(CapacityAge19*АбонементНовых*BM9,MeanMinAge19)))</f>
        <v/>
      </c>
      <c r="BN66" s="5">
        <f>IF(OR(BN39=0,19&lt;=КаникулыРоялти),0,BN39*IF(РоялтиПоГруппам="Да",MeanMinAge19+BN9*SUMIF(ThresholdAge19,"&lt;"&amp;BN9,WeightedRevAge19)-SUMIF(ThresholdAge19,"&lt;"&amp;BN9,WeightedMinAge19),MAX(CapacityAge19*АбонементНовых*BN9,MeanMinAge19)))</f>
        <v/>
      </c>
      <c r="BO66" s="5">
        <f>IF(OR(BO39=0,19&lt;=КаникулыРоялти),0,BO39*IF(РоялтиПоГруппам="Да",MeanMinAge19+BO9*SUMIF(ThresholdAge19,"&lt;"&amp;BO9,WeightedRevAge19)-SUMIF(ThresholdAge19,"&lt;"&amp;BO9,WeightedMinAge19),MAX(CapacityAge19*АбонементНовых*BO9,MeanMinAge19)))</f>
        <v/>
      </c>
      <c r="BP66" s="5">
        <f>IF(OR(BP39=0,19&lt;=КаникулыРоялти),0,BP39*IF(РоялтиПоГруппам="Да",MeanMinAge19+BP9*SUMIF(ThresholdAge19,"&lt;"&amp;BP9,WeightedRevAge19)-SUMIF(ThresholdAge19,"&lt;"&amp;BP9,WeightedMinAge19),MAX(CapacityAge19*АбонементНовых*BP9,MeanMinAge19)))</f>
        <v/>
      </c>
      <c r="BQ66" s="5">
        <f>IF(OR(BQ39=0,19&lt;=КаникулыРоялти),0,BQ39*IF(РоялтиПоГруппам="Да",MeanMinAge19+BQ9*SUMIF(ThresholdAge19,"&lt;"&amp;BQ9,WeightedRevAge19)-SUMIF(ThresholdAge19,"&lt;"&amp;BQ9,WeightedMinAge19),MAX(CapacityAge19*АбонементНовых*BQ9,MeanMinAge19)))</f>
        <v/>
      </c>
      <c r="BR66" s="5">
        <f>IF(OR(BR39=0,19&lt;=КаникулыРоялти),0,BR39*IF(РоялтиПоГруппам="Да",MeanMinAge19+BR9*SUMIF(ThresholdAge19,"&lt;"&amp;BR9,WeightedRevAge19)-SUMIF(ThresholdAge19,"&lt;"&amp;BR9,WeightedMinAge19),MAX(CapacityAge19*АбонементНовых*BR9,MeanMinAge19)))</f>
        <v/>
      </c>
      <c r="BS66" s="5">
        <f>IF(OR(BS39=0,19&lt;=КаникулыРоялти),0,BS39*IF(РоялтиПоГруппам="Да",MeanMinAge19+BS9*SUMIF(ThresholdAge19,"&lt;"&amp;BS9,WeightedRevAge19)-SUMIF(ThresholdAge19,"&lt;"&amp;BS9,WeightedMinAge19),MAX(CapacityAge19*АбонементНовых*BS9,MeanMinAge19)))</f>
        <v/>
      </c>
      <c r="BT66" s="5">
        <f>IF(OR(BT39=0,19&lt;=КаникулыРоялти),0,BT39*IF(РоялтиПоГруппам="Да",MeanMinAge19+BT9*SUMIF(ThresholdAge19,"&lt;"&amp;BT9,WeightedRevAge19)-SUMIF(ThresholdAge19,"&lt;"&amp;BT9,WeightedMinAge19),MAX(CapacityAge19*АбонементНовых*BT9,MeanMinAge19)))</f>
        <v/>
      </c>
      <c r="BU66" s="5">
        <f>IF(OR(BU39=0,19&lt;=КаникулыРоялти),0,BU39*IF(РоялтиПоГруппам="Да",MeanMinAge19+BU9*SUMIF(ThresholdAge19,"&lt;"&amp;BU9,WeightedRevAge19)-SUMIF(ThresholdAge19,"&lt;"&amp;BU9,WeightedMinAge19),MAX(CapacityAge19*АбонементНовых*BU9,MeanMinAge19)))</f>
        <v/>
      </c>
      <c r="BV66" s="5">
        <f>IF(OR(BV39=0,19&lt;=КаникулыРоялти),0,BV39*IF(РоялтиПоГруппам="Да",MeanMinAge19+BV9*SUMIF(ThresholdAge19,"&lt;"&amp;BV9,WeightedRevAge19)-SUMIF(ThresholdAge19,"&lt;"&amp;BV9,WeightedMinAge19),MAX(CapacityAge19*АбонементНовых*BV9,MeanMinAge19)))</f>
        <v/>
      </c>
      <c r="BW66" s="5">
        <f>IF(OR(BW39=0,19&lt;=КаникулыРоялти),0,BW39*IF(РоялтиПоГруппам="Да",MeanMinAge19+BW9*SUMIF(ThresholdAge19,"&lt;"&amp;BW9,WeightedRevAge19)-SUMIF(ThresholdAge19,"&lt;"&amp;BW9,WeightedMinAge19),MAX(CapacityAge19*АбонементНовых*BW9,MeanMinAge19)))</f>
        <v/>
      </c>
      <c r="BX66" s="5">
        <f>IF(OR(BX39=0,19&lt;=КаникулыРоялти),0,BX39*IF(РоялтиПоГруппам="Да",MeanMinAge19+BX9*SUMIF(ThresholdAge19,"&lt;"&amp;BX9,WeightedRevAge19)-SUMIF(ThresholdAge19,"&lt;"&amp;BX9,WeightedMinAge19),MAX(CapacityAge19*АбонементНовых*BX9,MeanMinAge19)))</f>
        <v/>
      </c>
      <c r="BY66" s="5">
        <f>IF(OR(BY39=0,19&lt;=КаникулыРоялти),0,BY39*IF(РоялтиПоГруппам="Да",MeanMinAge19+BY9*SUMIF(ThresholdAge19,"&lt;"&amp;BY9,WeightedRevAge19)-SUMIF(ThresholdAge19,"&lt;"&amp;BY9,WeightedMinAge19),MAX(CapacityAge19*АбонементНовых*BY9,MeanMinAge19)))</f>
        <v/>
      </c>
    </row>
    <row r="67">
      <c r="B67" t="inlineStr">
        <is>
          <t>20 мес.</t>
        </is>
      </c>
      <c r="C67" t="inlineStr">
        <is>
          <t>₽</t>
        </is>
      </c>
      <c r="D67" s="127" t="inlineStr"/>
      <c r="E67" s="129">
        <f>SUM(L67:W67)</f>
        <v/>
      </c>
      <c r="F67" s="129">
        <f>SUM(X67:AI67)</f>
        <v/>
      </c>
      <c r="G67" s="129">
        <f>SUM(AJ67:AU67)</f>
        <v/>
      </c>
      <c r="H67" s="129">
        <f>SUM(AV67:BG67)</f>
        <v/>
      </c>
      <c r="I67" s="129">
        <f>SUM(BH67:BS67)</f>
        <v/>
      </c>
      <c r="J67" s="6">
        <f>SUM(L67:BS67)</f>
        <v/>
      </c>
      <c r="L67" s="5">
        <f>IF(OR(L40=0,20&lt;=КаникулыРоялти),0,L40*IF(РоялтиПоГруппам="Да",MeanMinAge20+L9*SUMIF(ThresholdAge20,"&lt;"&amp;L9,WeightedRevAge20)-SUMIF(ThresholdAge20,"&lt;"&amp;L9,WeightedMinAge20),MAX(CapacityAge20*АбонементНовых*L9,MeanMinAge20)))</f>
        <v/>
      </c>
      <c r="M67" s="5">
        <f>IF(OR(M40=0,20&lt;=КаникулыРоялти),0,M40*IF(РоялтиПоГруппам="Да",MeanMinAge20+M9*SUMIF(ThresholdAge20,"&lt;"&amp;M9,WeightedRevAge20)-SUMIF(ThresholdAge20,"&lt;"&amp;M9,WeightedMinAge20),MAX(CapacityAge20*АбонементНовых*M9,MeanMinAge20)))</f>
        <v/>
      </c>
      <c r="N67" s="5">
        <f>IF(OR(N40=0,20&lt;=КаникулыРоялти),0,N40*IF(РоялтиПоГруппам="Да",MeanMinAge20+N9*SUMIF(ThresholdAge20,"&lt;"&amp;N9,WeightedRevAge20)-SUMIF(ThresholdAge20,"&lt;"&amp;N9,WeightedMinAge20),MAX(CapacityAge20*АбонементНовых*N9,MeanMinAge20)))</f>
        <v/>
      </c>
      <c r="O67" s="5">
        <f>IF(OR(O40=0,20&lt;=КаникулыРоялти),0,O40*IF(РоялтиПоГруппам="Да",MeanMinAge20+O9*SUMIF(ThresholdAge20,"&lt;"&amp;O9,WeightedRevAge20)-SUMIF(ThresholdAge20,"&lt;"&amp;O9,WeightedMinAge20),MAX(CapacityAge20*АбонементНовых*O9,MeanMinAge20)))</f>
        <v/>
      </c>
      <c r="P67" s="5">
        <f>IF(OR(P40=0,20&lt;=КаникулыРоялти),0,P40*IF(РоялтиПоГруппам="Да",MeanMinAge20+P9*SUMIF(ThresholdAge20,"&lt;"&amp;P9,WeightedRevAge20)-SUMIF(ThresholdAge20,"&lt;"&amp;P9,WeightedMinAge20),MAX(CapacityAge20*АбонементНовых*P9,MeanMinAge20)))</f>
        <v/>
      </c>
      <c r="Q67" s="5">
        <f>IF(OR(Q40=0,20&lt;=КаникулыРоялти),0,Q40*IF(РоялтиПоГруппам="Да",MeanMinAge20+Q9*SUMIF(ThresholdAge20,"&lt;"&amp;Q9,WeightedRevAge20)-SUMIF(ThresholdAge20,"&lt;"&amp;Q9,WeightedMinAge20),MAX(CapacityAge20*АбонементНовых*Q9,MeanMinAge20)))</f>
        <v/>
      </c>
      <c r="R67" s="5">
        <f>IF(OR(R40=0,20&lt;=КаникулыРоялти),0,R40*IF(РоялтиПоГруппам="Да",MeanMinAge20+R9*SUMIF(ThresholdAge20,"&lt;"&amp;R9,WeightedRevAge20)-SUMIF(ThresholdAge20,"&lt;"&amp;R9,WeightedMinAge20),MAX(CapacityAge20*АбонементНовых*R9,MeanMinAge20)))</f>
        <v/>
      </c>
      <c r="S67" s="5">
        <f>IF(OR(S40=0,20&lt;=КаникулыРоялти),0,S40*IF(РоялтиПоГруппам="Да",MeanMinAge20+S9*SUMIF(ThresholdAge20,"&lt;"&amp;S9,WeightedRevAge20)-SUMIF(ThresholdAge20,"&lt;"&amp;S9,WeightedMinAge20),MAX(CapacityAge20*АбонементНовых*S9,MeanMinAge20)))</f>
        <v/>
      </c>
      <c r="T67" s="5">
        <f>IF(OR(T40=0,20&lt;=КаникулыРоялти),0,T40*IF(РоялтиПоГруппам="Да",MeanMinAge20+T9*SUMIF(ThresholdAge20,"&lt;"&amp;T9,WeightedRevAge20)-SUMIF(ThresholdAge20,"&lt;"&amp;T9,WeightedMinAge20),MAX(CapacityAge20*АбонементНовых*T9,MeanMinAge20)))</f>
        <v/>
      </c>
      <c r="U67" s="5">
        <f>IF(OR(U40=0,20&lt;=КаникулыРоялти),0,U40*IF(РоялтиПоГруппам="Да",MeanMinAge20+U9*SUMIF(ThresholdAge20,"&lt;"&amp;U9,WeightedRevAge20)-SUMIF(ThresholdAge20,"&lt;"&amp;U9,WeightedMinAge20),MAX(CapacityAge20*АбонементНовых*U9,MeanMinAge20)))</f>
        <v/>
      </c>
      <c r="V67" s="5">
        <f>IF(OR(V40=0,20&lt;=КаникулыРоялти),0,V40*IF(РоялтиПоГруппам="Да",MeanMinAge20+V9*SUMIF(ThresholdAge20,"&lt;"&amp;V9,WeightedRevAge20)-SUMIF(ThresholdAge20,"&lt;"&amp;V9,WeightedMinAge20),MAX(CapacityAge20*АбонементНовых*V9,MeanMinAge20)))</f>
        <v/>
      </c>
      <c r="W67" s="5">
        <f>IF(OR(W40=0,20&lt;=КаникулыРоялти),0,W40*IF(РоялтиПоГруппам="Да",MeanMinAge20+W9*SUMIF(ThresholdAge20,"&lt;"&amp;W9,WeightedRevAge20)-SUMIF(ThresholdAge20,"&lt;"&amp;W9,WeightedMinAge20),MAX(CapacityAge20*АбонементНовых*W9,MeanMinAge20)))</f>
        <v/>
      </c>
      <c r="X67" s="5">
        <f>IF(OR(X40=0,20&lt;=КаникулыРоялти),0,X40*IF(РоялтиПоГруппам="Да",MeanMinAge20+X9*SUMIF(ThresholdAge20,"&lt;"&amp;X9,WeightedRevAge20)-SUMIF(ThresholdAge20,"&lt;"&amp;X9,WeightedMinAge20),MAX(CapacityAge20*АбонементНовых*X9,MeanMinAge20)))</f>
        <v/>
      </c>
      <c r="Y67" s="5">
        <f>IF(OR(Y40=0,20&lt;=КаникулыРоялти),0,Y40*IF(РоялтиПоГруппам="Да",MeanMinAge20+Y9*SUMIF(ThresholdAge20,"&lt;"&amp;Y9,WeightedRevAge20)-SUMIF(ThresholdAge20,"&lt;"&amp;Y9,WeightedMinAge20),MAX(CapacityAge20*АбонементНовых*Y9,MeanMinAge20)))</f>
        <v/>
      </c>
      <c r="Z67" s="5">
        <f>IF(OR(Z40=0,20&lt;=КаникулыРоялти),0,Z40*IF(РоялтиПоГруппам="Да",MeanMinAge20+Z9*SUMIF(ThresholdAge20,"&lt;"&amp;Z9,WeightedRevAge20)-SUMIF(ThresholdAge20,"&lt;"&amp;Z9,WeightedMinAge20),MAX(CapacityAge20*АбонементНовых*Z9,MeanMinAge20)))</f>
        <v/>
      </c>
      <c r="AA67" s="5">
        <f>IF(OR(AA40=0,20&lt;=КаникулыРоялти),0,AA40*IF(РоялтиПоГруппам="Да",MeanMinAge20+AA9*SUMIF(ThresholdAge20,"&lt;"&amp;AA9,WeightedRevAge20)-SUMIF(ThresholdAge20,"&lt;"&amp;AA9,WeightedMinAge20),MAX(CapacityAge20*АбонементНовых*AA9,MeanMinAge20)))</f>
        <v/>
      </c>
      <c r="AB67" s="5">
        <f>IF(OR(AB40=0,20&lt;=КаникулыРоялти),0,AB40*IF(РоялтиПоГруппам="Да",MeanMinAge20+AB9*SUMIF(ThresholdAge20,"&lt;"&amp;AB9,WeightedRevAge20)-SUMIF(ThresholdAge20,"&lt;"&amp;AB9,WeightedMinAge20),MAX(CapacityAge20*АбонементНовых*AB9,MeanMinAge20)))</f>
        <v/>
      </c>
      <c r="AC67" s="5">
        <f>IF(OR(AC40=0,20&lt;=КаникулыРоялти),0,AC40*IF(РоялтиПоГруппам="Да",MeanMinAge20+AC9*SUMIF(ThresholdAge20,"&lt;"&amp;AC9,WeightedRevAge20)-SUMIF(ThresholdAge20,"&lt;"&amp;AC9,WeightedMinAge20),MAX(CapacityAge20*АбонементНовых*AC9,MeanMinAge20)))</f>
        <v/>
      </c>
      <c r="AD67" s="5">
        <f>IF(OR(AD40=0,20&lt;=КаникулыРоялти),0,AD40*IF(РоялтиПоГруппам="Да",MeanMinAge20+AD9*SUMIF(ThresholdAge20,"&lt;"&amp;AD9,WeightedRevAge20)-SUMIF(ThresholdAge20,"&lt;"&amp;AD9,WeightedMinAge20),MAX(CapacityAge20*АбонементНовых*AD9,MeanMinAge20)))</f>
        <v/>
      </c>
      <c r="AE67" s="5">
        <f>IF(OR(AE40=0,20&lt;=КаникулыРоялти),0,AE40*IF(РоялтиПоГруппам="Да",MeanMinAge20+AE9*SUMIF(ThresholdAge20,"&lt;"&amp;AE9,WeightedRevAge20)-SUMIF(ThresholdAge20,"&lt;"&amp;AE9,WeightedMinAge20),MAX(CapacityAge20*АбонементНовых*AE9,MeanMinAge20)))</f>
        <v/>
      </c>
      <c r="AF67" s="5">
        <f>IF(OR(AF40=0,20&lt;=КаникулыРоялти),0,AF40*IF(РоялтиПоГруппам="Да",MeanMinAge20+AF9*SUMIF(ThresholdAge20,"&lt;"&amp;AF9,WeightedRevAge20)-SUMIF(ThresholdAge20,"&lt;"&amp;AF9,WeightedMinAge20),MAX(CapacityAge20*АбонементНовых*AF9,MeanMinAge20)))</f>
        <v/>
      </c>
      <c r="AG67" s="5">
        <f>IF(OR(AG40=0,20&lt;=КаникулыРоялти),0,AG40*IF(РоялтиПоГруппам="Да",MeanMinAge20+AG9*SUMIF(ThresholdAge20,"&lt;"&amp;AG9,WeightedRevAge20)-SUMIF(ThresholdAge20,"&lt;"&amp;AG9,WeightedMinAge20),MAX(CapacityAge20*АбонементНовых*AG9,MeanMinAge20)))</f>
        <v/>
      </c>
      <c r="AH67" s="5">
        <f>IF(OR(AH40=0,20&lt;=КаникулыРоялти),0,AH40*IF(РоялтиПоГруппам="Да",MeanMinAge20+AH9*SUMIF(ThresholdAge20,"&lt;"&amp;AH9,WeightedRevAge20)-SUMIF(ThresholdAge20,"&lt;"&amp;AH9,WeightedMinAge20),MAX(CapacityAge20*АбонементНовых*AH9,MeanMinAge20)))</f>
        <v/>
      </c>
      <c r="AI67" s="5">
        <f>IF(OR(AI40=0,20&lt;=КаникулыРоялти),0,AI40*IF(РоялтиПоГруппам="Да",MeanMinAge20+AI9*SUMIF(ThresholdAge20,"&lt;"&amp;AI9,WeightedRevAge20)-SUMIF(ThresholdAge20,"&lt;"&amp;AI9,WeightedMinAge20),MAX(CapacityAge20*АбонементНовых*AI9,MeanMinAge20)))</f>
        <v/>
      </c>
      <c r="AJ67" s="5">
        <f>IF(OR(AJ40=0,20&lt;=КаникулыРоялти),0,AJ40*IF(РоялтиПоГруппам="Да",MeanMinAge20+AJ9*SUMIF(ThresholdAge20,"&lt;"&amp;AJ9,WeightedRevAge20)-SUMIF(ThresholdAge20,"&lt;"&amp;AJ9,WeightedMinAge20),MAX(CapacityAge20*АбонементНовых*AJ9,MeanMinAge20)))</f>
        <v/>
      </c>
      <c r="AK67" s="5">
        <f>IF(OR(AK40=0,20&lt;=КаникулыРоялти),0,AK40*IF(РоялтиПоГруппам="Да",MeanMinAge20+AK9*SUMIF(ThresholdAge20,"&lt;"&amp;AK9,WeightedRevAge20)-SUMIF(ThresholdAge20,"&lt;"&amp;AK9,WeightedMinAge20),MAX(CapacityAge20*АбонементНовых*AK9,MeanMinAge20)))</f>
        <v/>
      </c>
      <c r="AL67" s="5">
        <f>IF(OR(AL40=0,20&lt;=КаникулыРоялти),0,AL40*IF(РоялтиПоГруппам="Да",MeanMinAge20+AL9*SUMIF(ThresholdAge20,"&lt;"&amp;AL9,WeightedRevAge20)-SUMIF(ThresholdAge20,"&lt;"&amp;AL9,WeightedMinAge20),MAX(CapacityAge20*АбонементНовых*AL9,MeanMinAge20)))</f>
        <v/>
      </c>
      <c r="AM67" s="5">
        <f>IF(OR(AM40=0,20&lt;=КаникулыРоялти),0,AM40*IF(РоялтиПоГруппам="Да",MeanMinAge20+AM9*SUMIF(ThresholdAge20,"&lt;"&amp;AM9,WeightedRevAge20)-SUMIF(ThresholdAge20,"&lt;"&amp;AM9,WeightedMinAge20),MAX(CapacityAge20*АбонементНовых*AM9,MeanMinAge20)))</f>
        <v/>
      </c>
      <c r="AN67" s="5">
        <f>IF(OR(AN40=0,20&lt;=КаникулыРоялти),0,AN40*IF(РоялтиПоГруппам="Да",MeanMinAge20+AN9*SUMIF(ThresholdAge20,"&lt;"&amp;AN9,WeightedRevAge20)-SUMIF(ThresholdAge20,"&lt;"&amp;AN9,WeightedMinAge20),MAX(CapacityAge20*АбонементНовых*AN9,MeanMinAge20)))</f>
        <v/>
      </c>
      <c r="AO67" s="5">
        <f>IF(OR(AO40=0,20&lt;=КаникулыРоялти),0,AO40*IF(РоялтиПоГруппам="Да",MeanMinAge20+AO9*SUMIF(ThresholdAge20,"&lt;"&amp;AO9,WeightedRevAge20)-SUMIF(ThresholdAge20,"&lt;"&amp;AO9,WeightedMinAge20),MAX(CapacityAge20*АбонементНовых*AO9,MeanMinAge20)))</f>
        <v/>
      </c>
      <c r="AP67" s="5">
        <f>IF(OR(AP40=0,20&lt;=КаникулыРоялти),0,AP40*IF(РоялтиПоГруппам="Да",MeanMinAge20+AP9*SUMIF(ThresholdAge20,"&lt;"&amp;AP9,WeightedRevAge20)-SUMIF(ThresholdAge20,"&lt;"&amp;AP9,WeightedMinAge20),MAX(CapacityAge20*АбонементНовых*AP9,MeanMinAge20)))</f>
        <v/>
      </c>
      <c r="AQ67" s="5">
        <f>IF(OR(AQ40=0,20&lt;=КаникулыРоялти),0,AQ40*IF(РоялтиПоГруппам="Да",MeanMinAge20+AQ9*SUMIF(ThresholdAge20,"&lt;"&amp;AQ9,WeightedRevAge20)-SUMIF(ThresholdAge20,"&lt;"&amp;AQ9,WeightedMinAge20),MAX(CapacityAge20*АбонементНовых*AQ9,MeanMinAge20)))</f>
        <v/>
      </c>
      <c r="AR67" s="5">
        <f>IF(OR(AR40=0,20&lt;=КаникулыРоялти),0,AR40*IF(РоялтиПоГруппам="Да",MeanMinAge20+AR9*SUMIF(ThresholdAge20,"&lt;"&amp;AR9,WeightedRevAge20)-SUMIF(ThresholdAge20,"&lt;"&amp;AR9,WeightedMinAge20),MAX(CapacityAge20*АбонементНовых*AR9,MeanMinAge20)))</f>
        <v/>
      </c>
      <c r="AS67" s="5">
        <f>IF(OR(AS40=0,20&lt;=КаникулыРоялти),0,AS40*IF(РоялтиПоГруппам="Да",MeanMinAge20+AS9*SUMIF(ThresholdAge20,"&lt;"&amp;AS9,WeightedRevAge20)-SUMIF(ThresholdAge20,"&lt;"&amp;AS9,WeightedMinAge20),MAX(CapacityAge20*АбонементНовых*AS9,MeanMinAge20)))</f>
        <v/>
      </c>
      <c r="AT67" s="5">
        <f>IF(OR(AT40=0,20&lt;=КаникулыРоялти),0,AT40*IF(РоялтиПоГруппам="Да",MeanMinAge20+AT9*SUMIF(ThresholdAge20,"&lt;"&amp;AT9,WeightedRevAge20)-SUMIF(ThresholdAge20,"&lt;"&amp;AT9,WeightedMinAge20),MAX(CapacityAge20*АбонементНовых*AT9,MeanMinAge20)))</f>
        <v/>
      </c>
      <c r="AU67" s="5">
        <f>IF(OR(AU40=0,20&lt;=КаникулыРоялти),0,AU40*IF(РоялтиПоГруппам="Да",MeanMinAge20+AU9*SUMIF(ThresholdAge20,"&lt;"&amp;AU9,WeightedRevAge20)-SUMIF(ThresholdAge20,"&lt;"&amp;AU9,WeightedMinAge20),MAX(CapacityAge20*АбонементНовых*AU9,MeanMinAge20)))</f>
        <v/>
      </c>
      <c r="AV67" s="5">
        <f>IF(OR(AV40=0,20&lt;=КаникулыРоялти),0,AV40*IF(РоялтиПоГруппам="Да",MeanMinAge20+AV9*SUMIF(ThresholdAge20,"&lt;"&amp;AV9,WeightedRevAge20)-SUMIF(ThresholdAge20,"&lt;"&amp;AV9,WeightedMinAge20),MAX(CapacityAge20*АбонементНовых*AV9,MeanMinAge20)))</f>
        <v/>
      </c>
      <c r="AW67" s="5">
        <f>IF(OR(AW40=0,20&lt;=КаникулыРоялти),0,AW40*IF(РоялтиПоГруппам="Да",MeanMinAge20+AW9*SUMIF(ThresholdAge20,"&lt;"&amp;AW9,WeightedRevAge20)-SUMIF(ThresholdAge20,"&lt;"&amp;AW9,WeightedMinAge20),MAX(CapacityAge20*АбонементНовых*AW9,MeanMinAge20)))</f>
        <v/>
      </c>
      <c r="AX67" s="5">
        <f>IF(OR(AX40=0,20&lt;=КаникулыРоялти),0,AX40*IF(РоялтиПоГруппам="Да",MeanMinAge20+AX9*SUMIF(ThresholdAge20,"&lt;"&amp;AX9,WeightedRevAge20)-SUMIF(ThresholdAge20,"&lt;"&amp;AX9,WeightedMinAge20),MAX(CapacityAge20*АбонементНовых*AX9,MeanMinAge20)))</f>
        <v/>
      </c>
      <c r="AY67" s="5">
        <f>IF(OR(AY40=0,20&lt;=КаникулыРоялти),0,AY40*IF(РоялтиПоГруппам="Да",MeanMinAge20+AY9*SUMIF(ThresholdAge20,"&lt;"&amp;AY9,WeightedRevAge20)-SUMIF(ThresholdAge20,"&lt;"&amp;AY9,WeightedMinAge20),MAX(CapacityAge20*АбонементНовых*AY9,MeanMinAge20)))</f>
        <v/>
      </c>
      <c r="AZ67" s="5">
        <f>IF(OR(AZ40=0,20&lt;=КаникулыРоялти),0,AZ40*IF(РоялтиПоГруппам="Да",MeanMinAge20+AZ9*SUMIF(ThresholdAge20,"&lt;"&amp;AZ9,WeightedRevAge20)-SUMIF(ThresholdAge20,"&lt;"&amp;AZ9,WeightedMinAge20),MAX(CapacityAge20*АбонементНовых*AZ9,MeanMinAge20)))</f>
        <v/>
      </c>
      <c r="BA67" s="5">
        <f>IF(OR(BA40=0,20&lt;=КаникулыРоялти),0,BA40*IF(РоялтиПоГруппам="Да",MeanMinAge20+BA9*SUMIF(ThresholdAge20,"&lt;"&amp;BA9,WeightedRevAge20)-SUMIF(ThresholdAge20,"&lt;"&amp;BA9,WeightedMinAge20),MAX(CapacityAge20*АбонементНовых*BA9,MeanMinAge20)))</f>
        <v/>
      </c>
      <c r="BB67" s="5">
        <f>IF(OR(BB40=0,20&lt;=КаникулыРоялти),0,BB40*IF(РоялтиПоГруппам="Да",MeanMinAge20+BB9*SUMIF(ThresholdAge20,"&lt;"&amp;BB9,WeightedRevAge20)-SUMIF(ThresholdAge20,"&lt;"&amp;BB9,WeightedMinAge20),MAX(CapacityAge20*АбонементНовых*BB9,MeanMinAge20)))</f>
        <v/>
      </c>
      <c r="BC67" s="5">
        <f>IF(OR(BC40=0,20&lt;=КаникулыРоялти),0,BC40*IF(РоялтиПоГруппам="Да",MeanMinAge20+BC9*SUMIF(ThresholdAge20,"&lt;"&amp;BC9,WeightedRevAge20)-SUMIF(ThresholdAge20,"&lt;"&amp;BC9,WeightedMinAge20),MAX(CapacityAge20*АбонементНовых*BC9,MeanMinAge20)))</f>
        <v/>
      </c>
      <c r="BD67" s="5">
        <f>IF(OR(BD40=0,20&lt;=КаникулыРоялти),0,BD40*IF(РоялтиПоГруппам="Да",MeanMinAge20+BD9*SUMIF(ThresholdAge20,"&lt;"&amp;BD9,WeightedRevAge20)-SUMIF(ThresholdAge20,"&lt;"&amp;BD9,WeightedMinAge20),MAX(CapacityAge20*АбонементНовых*BD9,MeanMinAge20)))</f>
        <v/>
      </c>
      <c r="BE67" s="5">
        <f>IF(OR(BE40=0,20&lt;=КаникулыРоялти),0,BE40*IF(РоялтиПоГруппам="Да",MeanMinAge20+BE9*SUMIF(ThresholdAge20,"&lt;"&amp;BE9,WeightedRevAge20)-SUMIF(ThresholdAge20,"&lt;"&amp;BE9,WeightedMinAge20),MAX(CapacityAge20*АбонементНовых*BE9,MeanMinAge20)))</f>
        <v/>
      </c>
      <c r="BF67" s="5">
        <f>IF(OR(BF40=0,20&lt;=КаникулыРоялти),0,BF40*IF(РоялтиПоГруппам="Да",MeanMinAge20+BF9*SUMIF(ThresholdAge20,"&lt;"&amp;BF9,WeightedRevAge20)-SUMIF(ThresholdAge20,"&lt;"&amp;BF9,WeightedMinAge20),MAX(CapacityAge20*АбонементНовых*BF9,MeanMinAge20)))</f>
        <v/>
      </c>
      <c r="BG67" s="5">
        <f>IF(OR(BG40=0,20&lt;=КаникулыРоялти),0,BG40*IF(РоялтиПоГруппам="Да",MeanMinAge20+BG9*SUMIF(ThresholdAge20,"&lt;"&amp;BG9,WeightedRevAge20)-SUMIF(ThresholdAge20,"&lt;"&amp;BG9,WeightedMinAge20),MAX(CapacityAge20*АбонементНовых*BG9,MeanMinAge20)))</f>
        <v/>
      </c>
      <c r="BH67" s="5">
        <f>IF(OR(BH40=0,20&lt;=КаникулыРоялти),0,BH40*IF(РоялтиПоГруппам="Да",MeanMinAge20+BH9*SUMIF(ThresholdAge20,"&lt;"&amp;BH9,WeightedRevAge20)-SUMIF(ThresholdAge20,"&lt;"&amp;BH9,WeightedMinAge20),MAX(CapacityAge20*АбонементНовых*BH9,MeanMinAge20)))</f>
        <v/>
      </c>
      <c r="BI67" s="5">
        <f>IF(OR(BI40=0,20&lt;=КаникулыРоялти),0,BI40*IF(РоялтиПоГруппам="Да",MeanMinAge20+BI9*SUMIF(ThresholdAge20,"&lt;"&amp;BI9,WeightedRevAge20)-SUMIF(ThresholdAge20,"&lt;"&amp;BI9,WeightedMinAge20),MAX(CapacityAge20*АбонементНовых*BI9,MeanMinAge20)))</f>
        <v/>
      </c>
      <c r="BJ67" s="5">
        <f>IF(OR(BJ40=0,20&lt;=КаникулыРоялти),0,BJ40*IF(РоялтиПоГруппам="Да",MeanMinAge20+BJ9*SUMIF(ThresholdAge20,"&lt;"&amp;BJ9,WeightedRevAge20)-SUMIF(ThresholdAge20,"&lt;"&amp;BJ9,WeightedMinAge20),MAX(CapacityAge20*АбонементНовых*BJ9,MeanMinAge20)))</f>
        <v/>
      </c>
      <c r="BK67" s="5">
        <f>IF(OR(BK40=0,20&lt;=КаникулыРоялти),0,BK40*IF(РоялтиПоГруппам="Да",MeanMinAge20+BK9*SUMIF(ThresholdAge20,"&lt;"&amp;BK9,WeightedRevAge20)-SUMIF(ThresholdAge20,"&lt;"&amp;BK9,WeightedMinAge20),MAX(CapacityAge20*АбонементНовых*BK9,MeanMinAge20)))</f>
        <v/>
      </c>
      <c r="BL67" s="5">
        <f>IF(OR(BL40=0,20&lt;=КаникулыРоялти),0,BL40*IF(РоялтиПоГруппам="Да",MeanMinAge20+BL9*SUMIF(ThresholdAge20,"&lt;"&amp;BL9,WeightedRevAge20)-SUMIF(ThresholdAge20,"&lt;"&amp;BL9,WeightedMinAge20),MAX(CapacityAge20*АбонементНовых*BL9,MeanMinAge20)))</f>
        <v/>
      </c>
      <c r="BM67" s="5">
        <f>IF(OR(BM40=0,20&lt;=КаникулыРоялти),0,BM40*IF(РоялтиПоГруппам="Да",MeanMinAge20+BM9*SUMIF(ThresholdAge20,"&lt;"&amp;BM9,WeightedRevAge20)-SUMIF(ThresholdAge20,"&lt;"&amp;BM9,WeightedMinAge20),MAX(CapacityAge20*АбонементНовых*BM9,MeanMinAge20)))</f>
        <v/>
      </c>
      <c r="BN67" s="5">
        <f>IF(OR(BN40=0,20&lt;=КаникулыРоялти),0,BN40*IF(РоялтиПоГруппам="Да",MeanMinAge20+BN9*SUMIF(ThresholdAge20,"&lt;"&amp;BN9,WeightedRevAge20)-SUMIF(ThresholdAge20,"&lt;"&amp;BN9,WeightedMinAge20),MAX(CapacityAge20*АбонементНовых*BN9,MeanMinAge20)))</f>
        <v/>
      </c>
      <c r="BO67" s="5">
        <f>IF(OR(BO40=0,20&lt;=КаникулыРоялти),0,BO40*IF(РоялтиПоГруппам="Да",MeanMinAge20+BO9*SUMIF(ThresholdAge20,"&lt;"&amp;BO9,WeightedRevAge20)-SUMIF(ThresholdAge20,"&lt;"&amp;BO9,WeightedMinAge20),MAX(CapacityAge20*АбонементНовых*BO9,MeanMinAge20)))</f>
        <v/>
      </c>
      <c r="BP67" s="5">
        <f>IF(OR(BP40=0,20&lt;=КаникулыРоялти),0,BP40*IF(РоялтиПоГруппам="Да",MeanMinAge20+BP9*SUMIF(ThresholdAge20,"&lt;"&amp;BP9,WeightedRevAge20)-SUMIF(ThresholdAge20,"&lt;"&amp;BP9,WeightedMinAge20),MAX(CapacityAge20*АбонементНовых*BP9,MeanMinAge20)))</f>
        <v/>
      </c>
      <c r="BQ67" s="5">
        <f>IF(OR(BQ40=0,20&lt;=КаникулыРоялти),0,BQ40*IF(РоялтиПоГруппам="Да",MeanMinAge20+BQ9*SUMIF(ThresholdAge20,"&lt;"&amp;BQ9,WeightedRevAge20)-SUMIF(ThresholdAge20,"&lt;"&amp;BQ9,WeightedMinAge20),MAX(CapacityAge20*АбонементНовых*BQ9,MeanMinAge20)))</f>
        <v/>
      </c>
      <c r="BR67" s="5">
        <f>IF(OR(BR40=0,20&lt;=КаникулыРоялти),0,BR40*IF(РоялтиПоГруппам="Да",MeanMinAge20+BR9*SUMIF(ThresholdAge20,"&lt;"&amp;BR9,WeightedRevAge20)-SUMIF(ThresholdAge20,"&lt;"&amp;BR9,WeightedMinAge20),MAX(CapacityAge20*АбонементНовых*BR9,MeanMinAge20)))</f>
        <v/>
      </c>
      <c r="BS67" s="5">
        <f>IF(OR(BS40=0,20&lt;=КаникулыРоялти),0,BS40*IF(РоялтиПоГруппам="Да",MeanMinAge20+BS9*SUMIF(ThresholdAge20,"&lt;"&amp;BS9,WeightedRevAge20)-SUMIF(ThresholdAge20,"&lt;"&amp;BS9,WeightedMinAge20),MAX(CapacityAge20*АбонементНовых*BS9,MeanMinAge20)))</f>
        <v/>
      </c>
      <c r="BT67" s="5">
        <f>IF(OR(BT40=0,20&lt;=КаникулыРоялти),0,BT40*IF(РоялтиПоГруппам="Да",MeanMinAge20+BT9*SUMIF(ThresholdAge20,"&lt;"&amp;BT9,WeightedRevAge20)-SUMIF(ThresholdAge20,"&lt;"&amp;BT9,WeightedMinAge20),MAX(CapacityAge20*АбонементНовых*BT9,MeanMinAge20)))</f>
        <v/>
      </c>
      <c r="BU67" s="5">
        <f>IF(OR(BU40=0,20&lt;=КаникулыРоялти),0,BU40*IF(РоялтиПоГруппам="Да",MeanMinAge20+BU9*SUMIF(ThresholdAge20,"&lt;"&amp;BU9,WeightedRevAge20)-SUMIF(ThresholdAge20,"&lt;"&amp;BU9,WeightedMinAge20),MAX(CapacityAge20*АбонементНовых*BU9,MeanMinAge20)))</f>
        <v/>
      </c>
      <c r="BV67" s="5">
        <f>IF(OR(BV40=0,20&lt;=КаникулыРоялти),0,BV40*IF(РоялтиПоГруппам="Да",MeanMinAge20+BV9*SUMIF(ThresholdAge20,"&lt;"&amp;BV9,WeightedRevAge20)-SUMIF(ThresholdAge20,"&lt;"&amp;BV9,WeightedMinAge20),MAX(CapacityAge20*АбонементНовых*BV9,MeanMinAge20)))</f>
        <v/>
      </c>
      <c r="BW67" s="5">
        <f>IF(OR(BW40=0,20&lt;=КаникулыРоялти),0,BW40*IF(РоялтиПоГруппам="Да",MeanMinAge20+BW9*SUMIF(ThresholdAge20,"&lt;"&amp;BW9,WeightedRevAge20)-SUMIF(ThresholdAge20,"&lt;"&amp;BW9,WeightedMinAge20),MAX(CapacityAge20*АбонементНовых*BW9,MeanMinAge20)))</f>
        <v/>
      </c>
      <c r="BX67" s="5">
        <f>IF(OR(BX40=0,20&lt;=КаникулыРоялти),0,BX40*IF(РоялтиПоГруппам="Да",MeanMinAge20+BX9*SUMIF(ThresholdAge20,"&lt;"&amp;BX9,WeightedRevAge20)-SUMIF(ThresholdAge20,"&lt;"&amp;BX9,WeightedMinAge20),MAX(CapacityAge20*АбонементНовых*BX9,MeanMinAge20)))</f>
        <v/>
      </c>
      <c r="BY67" s="5">
        <f>IF(OR(BY40=0,20&lt;=КаникулыРоялти),0,BY40*IF(РоялтиПоГруппам="Да",MeanMinAge20+BY9*SUMIF(ThresholdAge20,"&lt;"&amp;BY9,WeightedRevAge20)-SUMIF(ThresholdAge20,"&lt;"&amp;BY9,WeightedMinAge20),MAX(CapacityAge20*АбонементНовых*BY9,MeanMinAge20)))</f>
        <v/>
      </c>
    </row>
    <row r="68">
      <c r="B68" t="inlineStr">
        <is>
          <t>21 мес.</t>
        </is>
      </c>
      <c r="C68" t="inlineStr">
        <is>
          <t>₽</t>
        </is>
      </c>
      <c r="D68" s="127" t="inlineStr"/>
      <c r="E68" s="129">
        <f>SUM(L68:W68)</f>
        <v/>
      </c>
      <c r="F68" s="129">
        <f>SUM(X68:AI68)</f>
        <v/>
      </c>
      <c r="G68" s="129">
        <f>SUM(AJ68:AU68)</f>
        <v/>
      </c>
      <c r="H68" s="129">
        <f>SUM(AV68:BG68)</f>
        <v/>
      </c>
      <c r="I68" s="129">
        <f>SUM(BH68:BS68)</f>
        <v/>
      </c>
      <c r="J68" s="6">
        <f>SUM(L68:BS68)</f>
        <v/>
      </c>
      <c r="L68" s="5">
        <f>IF(OR(L41=0,21&lt;=КаникулыРоялти),0,L41*IF(РоялтиПоГруппам="Да",MeanMinAge21+L9*SUMIF(ThresholdAge21,"&lt;"&amp;L9,WeightedRevAge21)-SUMIF(ThresholdAge21,"&lt;"&amp;L9,WeightedMinAge21),MAX(CapacityAge21*АбонементНовых*L9,MeanMinAge21)))</f>
        <v/>
      </c>
      <c r="M68" s="5">
        <f>IF(OR(M41=0,21&lt;=КаникулыРоялти),0,M41*IF(РоялтиПоГруппам="Да",MeanMinAge21+M9*SUMIF(ThresholdAge21,"&lt;"&amp;M9,WeightedRevAge21)-SUMIF(ThresholdAge21,"&lt;"&amp;M9,WeightedMinAge21),MAX(CapacityAge21*АбонементНовых*M9,MeanMinAge21)))</f>
        <v/>
      </c>
      <c r="N68" s="5">
        <f>IF(OR(N41=0,21&lt;=КаникулыРоялти),0,N41*IF(РоялтиПоГруппам="Да",MeanMinAge21+N9*SUMIF(ThresholdAge21,"&lt;"&amp;N9,WeightedRevAge21)-SUMIF(ThresholdAge21,"&lt;"&amp;N9,WeightedMinAge21),MAX(CapacityAge21*АбонементНовых*N9,MeanMinAge21)))</f>
        <v/>
      </c>
      <c r="O68" s="5">
        <f>IF(OR(O41=0,21&lt;=КаникулыРоялти),0,O41*IF(РоялтиПоГруппам="Да",MeanMinAge21+O9*SUMIF(ThresholdAge21,"&lt;"&amp;O9,WeightedRevAge21)-SUMIF(ThresholdAge21,"&lt;"&amp;O9,WeightedMinAge21),MAX(CapacityAge21*АбонементНовых*O9,MeanMinAge21)))</f>
        <v/>
      </c>
      <c r="P68" s="5">
        <f>IF(OR(P41=0,21&lt;=КаникулыРоялти),0,P41*IF(РоялтиПоГруппам="Да",MeanMinAge21+P9*SUMIF(ThresholdAge21,"&lt;"&amp;P9,WeightedRevAge21)-SUMIF(ThresholdAge21,"&lt;"&amp;P9,WeightedMinAge21),MAX(CapacityAge21*АбонементНовых*P9,MeanMinAge21)))</f>
        <v/>
      </c>
      <c r="Q68" s="5">
        <f>IF(OR(Q41=0,21&lt;=КаникулыРоялти),0,Q41*IF(РоялтиПоГруппам="Да",MeanMinAge21+Q9*SUMIF(ThresholdAge21,"&lt;"&amp;Q9,WeightedRevAge21)-SUMIF(ThresholdAge21,"&lt;"&amp;Q9,WeightedMinAge21),MAX(CapacityAge21*АбонементНовых*Q9,MeanMinAge21)))</f>
        <v/>
      </c>
      <c r="R68" s="5">
        <f>IF(OR(R41=0,21&lt;=КаникулыРоялти),0,R41*IF(РоялтиПоГруппам="Да",MeanMinAge21+R9*SUMIF(ThresholdAge21,"&lt;"&amp;R9,WeightedRevAge21)-SUMIF(ThresholdAge21,"&lt;"&amp;R9,WeightedMinAge21),MAX(CapacityAge21*АбонементНовых*R9,MeanMinAge21)))</f>
        <v/>
      </c>
      <c r="S68" s="5">
        <f>IF(OR(S41=0,21&lt;=КаникулыРоялти),0,S41*IF(РоялтиПоГруппам="Да",MeanMinAge21+S9*SUMIF(ThresholdAge21,"&lt;"&amp;S9,WeightedRevAge21)-SUMIF(ThresholdAge21,"&lt;"&amp;S9,WeightedMinAge21),MAX(CapacityAge21*АбонементНовых*S9,MeanMinAge21)))</f>
        <v/>
      </c>
      <c r="T68" s="5">
        <f>IF(OR(T41=0,21&lt;=КаникулыРоялти),0,T41*IF(РоялтиПоГруппам="Да",MeanMinAge21+T9*SUMIF(ThresholdAge21,"&lt;"&amp;T9,WeightedRevAge21)-SUMIF(ThresholdAge21,"&lt;"&amp;T9,WeightedMinAge21),MAX(CapacityAge21*АбонементНовых*T9,MeanMinAge21)))</f>
        <v/>
      </c>
      <c r="U68" s="5">
        <f>IF(OR(U41=0,21&lt;=КаникулыРоялти),0,U41*IF(РоялтиПоГруппам="Да",MeanMinAge21+U9*SUMIF(ThresholdAge21,"&lt;"&amp;U9,WeightedRevAge21)-SUMIF(ThresholdAge21,"&lt;"&amp;U9,WeightedMinAge21),MAX(CapacityAge21*АбонементНовых*U9,MeanMinAge21)))</f>
        <v/>
      </c>
      <c r="V68" s="5">
        <f>IF(OR(V41=0,21&lt;=КаникулыРоялти),0,V41*IF(РоялтиПоГруппам="Да",MeanMinAge21+V9*SUMIF(ThresholdAge21,"&lt;"&amp;V9,WeightedRevAge21)-SUMIF(ThresholdAge21,"&lt;"&amp;V9,WeightedMinAge21),MAX(CapacityAge21*АбонементНовых*V9,MeanMinAge21)))</f>
        <v/>
      </c>
      <c r="W68" s="5">
        <f>IF(OR(W41=0,21&lt;=КаникулыРоялти),0,W41*IF(РоялтиПоГруппам="Да",MeanMinAge21+W9*SUMIF(ThresholdAge21,"&lt;"&amp;W9,WeightedRevAge21)-SUMIF(ThresholdAge21,"&lt;"&amp;W9,WeightedMinAge21),MAX(CapacityAge21*АбонементНовых*W9,MeanMinAge21)))</f>
        <v/>
      </c>
      <c r="X68" s="5">
        <f>IF(OR(X41=0,21&lt;=КаникулыРоялти),0,X41*IF(РоялтиПоГруппам="Да",MeanMinAge21+X9*SUMIF(ThresholdAge21,"&lt;"&amp;X9,WeightedRevAge21)-SUMIF(ThresholdAge21,"&lt;"&amp;X9,WeightedMinAge21),MAX(CapacityAge21*АбонементНовых*X9,MeanMinAge21)))</f>
        <v/>
      </c>
      <c r="Y68" s="5">
        <f>IF(OR(Y41=0,21&lt;=КаникулыРоялти),0,Y41*IF(РоялтиПоГруппам="Да",MeanMinAge21+Y9*SUMIF(ThresholdAge21,"&lt;"&amp;Y9,WeightedRevAge21)-SUMIF(ThresholdAge21,"&lt;"&amp;Y9,WeightedMinAge21),MAX(CapacityAge21*АбонементНовых*Y9,MeanMinAge21)))</f>
        <v/>
      </c>
      <c r="Z68" s="5">
        <f>IF(OR(Z41=0,21&lt;=КаникулыРоялти),0,Z41*IF(РоялтиПоГруппам="Да",MeanMinAge21+Z9*SUMIF(ThresholdAge21,"&lt;"&amp;Z9,WeightedRevAge21)-SUMIF(ThresholdAge21,"&lt;"&amp;Z9,WeightedMinAge21),MAX(CapacityAge21*АбонементНовых*Z9,MeanMinAge21)))</f>
        <v/>
      </c>
      <c r="AA68" s="5">
        <f>IF(OR(AA41=0,21&lt;=КаникулыРоялти),0,AA41*IF(РоялтиПоГруппам="Да",MeanMinAge21+AA9*SUMIF(ThresholdAge21,"&lt;"&amp;AA9,WeightedRevAge21)-SUMIF(ThresholdAge21,"&lt;"&amp;AA9,WeightedMinAge21),MAX(CapacityAge21*АбонементНовых*AA9,MeanMinAge21)))</f>
        <v/>
      </c>
      <c r="AB68" s="5">
        <f>IF(OR(AB41=0,21&lt;=КаникулыРоялти),0,AB41*IF(РоялтиПоГруппам="Да",MeanMinAge21+AB9*SUMIF(ThresholdAge21,"&lt;"&amp;AB9,WeightedRevAge21)-SUMIF(ThresholdAge21,"&lt;"&amp;AB9,WeightedMinAge21),MAX(CapacityAge21*АбонементНовых*AB9,MeanMinAge21)))</f>
        <v/>
      </c>
      <c r="AC68" s="5">
        <f>IF(OR(AC41=0,21&lt;=КаникулыРоялти),0,AC41*IF(РоялтиПоГруппам="Да",MeanMinAge21+AC9*SUMIF(ThresholdAge21,"&lt;"&amp;AC9,WeightedRevAge21)-SUMIF(ThresholdAge21,"&lt;"&amp;AC9,WeightedMinAge21),MAX(CapacityAge21*АбонементНовых*AC9,MeanMinAge21)))</f>
        <v/>
      </c>
      <c r="AD68" s="5">
        <f>IF(OR(AD41=0,21&lt;=КаникулыРоялти),0,AD41*IF(РоялтиПоГруппам="Да",MeanMinAge21+AD9*SUMIF(ThresholdAge21,"&lt;"&amp;AD9,WeightedRevAge21)-SUMIF(ThresholdAge21,"&lt;"&amp;AD9,WeightedMinAge21),MAX(CapacityAge21*АбонементНовых*AD9,MeanMinAge21)))</f>
        <v/>
      </c>
      <c r="AE68" s="5">
        <f>IF(OR(AE41=0,21&lt;=КаникулыРоялти),0,AE41*IF(РоялтиПоГруппам="Да",MeanMinAge21+AE9*SUMIF(ThresholdAge21,"&lt;"&amp;AE9,WeightedRevAge21)-SUMIF(ThresholdAge21,"&lt;"&amp;AE9,WeightedMinAge21),MAX(CapacityAge21*АбонементНовых*AE9,MeanMinAge21)))</f>
        <v/>
      </c>
      <c r="AF68" s="5">
        <f>IF(OR(AF41=0,21&lt;=КаникулыРоялти),0,AF41*IF(РоялтиПоГруппам="Да",MeanMinAge21+AF9*SUMIF(ThresholdAge21,"&lt;"&amp;AF9,WeightedRevAge21)-SUMIF(ThresholdAge21,"&lt;"&amp;AF9,WeightedMinAge21),MAX(CapacityAge21*АбонементНовых*AF9,MeanMinAge21)))</f>
        <v/>
      </c>
      <c r="AG68" s="5">
        <f>IF(OR(AG41=0,21&lt;=КаникулыРоялти),0,AG41*IF(РоялтиПоГруппам="Да",MeanMinAge21+AG9*SUMIF(ThresholdAge21,"&lt;"&amp;AG9,WeightedRevAge21)-SUMIF(ThresholdAge21,"&lt;"&amp;AG9,WeightedMinAge21),MAX(CapacityAge21*АбонементНовых*AG9,MeanMinAge21)))</f>
        <v/>
      </c>
      <c r="AH68" s="5">
        <f>IF(OR(AH41=0,21&lt;=КаникулыРоялти),0,AH41*IF(РоялтиПоГруппам="Да",MeanMinAge21+AH9*SUMIF(ThresholdAge21,"&lt;"&amp;AH9,WeightedRevAge21)-SUMIF(ThresholdAge21,"&lt;"&amp;AH9,WeightedMinAge21),MAX(CapacityAge21*АбонементНовых*AH9,MeanMinAge21)))</f>
        <v/>
      </c>
      <c r="AI68" s="5">
        <f>IF(OR(AI41=0,21&lt;=КаникулыРоялти),0,AI41*IF(РоялтиПоГруппам="Да",MeanMinAge21+AI9*SUMIF(ThresholdAge21,"&lt;"&amp;AI9,WeightedRevAge21)-SUMIF(ThresholdAge21,"&lt;"&amp;AI9,WeightedMinAge21),MAX(CapacityAge21*АбонементНовых*AI9,MeanMinAge21)))</f>
        <v/>
      </c>
      <c r="AJ68" s="5">
        <f>IF(OR(AJ41=0,21&lt;=КаникулыРоялти),0,AJ41*IF(РоялтиПоГруппам="Да",MeanMinAge21+AJ9*SUMIF(ThresholdAge21,"&lt;"&amp;AJ9,WeightedRevAge21)-SUMIF(ThresholdAge21,"&lt;"&amp;AJ9,WeightedMinAge21),MAX(CapacityAge21*АбонементНовых*AJ9,MeanMinAge21)))</f>
        <v/>
      </c>
      <c r="AK68" s="5">
        <f>IF(OR(AK41=0,21&lt;=КаникулыРоялти),0,AK41*IF(РоялтиПоГруппам="Да",MeanMinAge21+AK9*SUMIF(ThresholdAge21,"&lt;"&amp;AK9,WeightedRevAge21)-SUMIF(ThresholdAge21,"&lt;"&amp;AK9,WeightedMinAge21),MAX(CapacityAge21*АбонементНовых*AK9,MeanMinAge21)))</f>
        <v/>
      </c>
      <c r="AL68" s="5">
        <f>IF(OR(AL41=0,21&lt;=КаникулыРоялти),0,AL41*IF(РоялтиПоГруппам="Да",MeanMinAge21+AL9*SUMIF(ThresholdAge21,"&lt;"&amp;AL9,WeightedRevAge21)-SUMIF(ThresholdAge21,"&lt;"&amp;AL9,WeightedMinAge21),MAX(CapacityAge21*АбонементНовых*AL9,MeanMinAge21)))</f>
        <v/>
      </c>
      <c r="AM68" s="5">
        <f>IF(OR(AM41=0,21&lt;=КаникулыРоялти),0,AM41*IF(РоялтиПоГруппам="Да",MeanMinAge21+AM9*SUMIF(ThresholdAge21,"&lt;"&amp;AM9,WeightedRevAge21)-SUMIF(ThresholdAge21,"&lt;"&amp;AM9,WeightedMinAge21),MAX(CapacityAge21*АбонементНовых*AM9,MeanMinAge21)))</f>
        <v/>
      </c>
      <c r="AN68" s="5">
        <f>IF(OR(AN41=0,21&lt;=КаникулыРоялти),0,AN41*IF(РоялтиПоГруппам="Да",MeanMinAge21+AN9*SUMIF(ThresholdAge21,"&lt;"&amp;AN9,WeightedRevAge21)-SUMIF(ThresholdAge21,"&lt;"&amp;AN9,WeightedMinAge21),MAX(CapacityAge21*АбонементНовых*AN9,MeanMinAge21)))</f>
        <v/>
      </c>
      <c r="AO68" s="5">
        <f>IF(OR(AO41=0,21&lt;=КаникулыРоялти),0,AO41*IF(РоялтиПоГруппам="Да",MeanMinAge21+AO9*SUMIF(ThresholdAge21,"&lt;"&amp;AO9,WeightedRevAge21)-SUMIF(ThresholdAge21,"&lt;"&amp;AO9,WeightedMinAge21),MAX(CapacityAge21*АбонементНовых*AO9,MeanMinAge21)))</f>
        <v/>
      </c>
      <c r="AP68" s="5">
        <f>IF(OR(AP41=0,21&lt;=КаникулыРоялти),0,AP41*IF(РоялтиПоГруппам="Да",MeanMinAge21+AP9*SUMIF(ThresholdAge21,"&lt;"&amp;AP9,WeightedRevAge21)-SUMIF(ThresholdAge21,"&lt;"&amp;AP9,WeightedMinAge21),MAX(CapacityAge21*АбонементНовых*AP9,MeanMinAge21)))</f>
        <v/>
      </c>
      <c r="AQ68" s="5">
        <f>IF(OR(AQ41=0,21&lt;=КаникулыРоялти),0,AQ41*IF(РоялтиПоГруппам="Да",MeanMinAge21+AQ9*SUMIF(ThresholdAge21,"&lt;"&amp;AQ9,WeightedRevAge21)-SUMIF(ThresholdAge21,"&lt;"&amp;AQ9,WeightedMinAge21),MAX(CapacityAge21*АбонементНовых*AQ9,MeanMinAge21)))</f>
        <v/>
      </c>
      <c r="AR68" s="5">
        <f>IF(OR(AR41=0,21&lt;=КаникулыРоялти),0,AR41*IF(РоялтиПоГруппам="Да",MeanMinAge21+AR9*SUMIF(ThresholdAge21,"&lt;"&amp;AR9,WeightedRevAge21)-SUMIF(ThresholdAge21,"&lt;"&amp;AR9,WeightedMinAge21),MAX(CapacityAge21*АбонементНовых*AR9,MeanMinAge21)))</f>
        <v/>
      </c>
      <c r="AS68" s="5">
        <f>IF(OR(AS41=0,21&lt;=КаникулыРоялти),0,AS41*IF(РоялтиПоГруппам="Да",MeanMinAge21+AS9*SUMIF(ThresholdAge21,"&lt;"&amp;AS9,WeightedRevAge21)-SUMIF(ThresholdAge21,"&lt;"&amp;AS9,WeightedMinAge21),MAX(CapacityAge21*АбонементНовых*AS9,MeanMinAge21)))</f>
        <v/>
      </c>
      <c r="AT68" s="5">
        <f>IF(OR(AT41=0,21&lt;=КаникулыРоялти),0,AT41*IF(РоялтиПоГруппам="Да",MeanMinAge21+AT9*SUMIF(ThresholdAge21,"&lt;"&amp;AT9,WeightedRevAge21)-SUMIF(ThresholdAge21,"&lt;"&amp;AT9,WeightedMinAge21),MAX(CapacityAge21*АбонементНовых*AT9,MeanMinAge21)))</f>
        <v/>
      </c>
      <c r="AU68" s="5">
        <f>IF(OR(AU41=0,21&lt;=КаникулыРоялти),0,AU41*IF(РоялтиПоГруппам="Да",MeanMinAge21+AU9*SUMIF(ThresholdAge21,"&lt;"&amp;AU9,WeightedRevAge21)-SUMIF(ThresholdAge21,"&lt;"&amp;AU9,WeightedMinAge21),MAX(CapacityAge21*АбонементНовых*AU9,MeanMinAge21)))</f>
        <v/>
      </c>
      <c r="AV68" s="5">
        <f>IF(OR(AV41=0,21&lt;=КаникулыРоялти),0,AV41*IF(РоялтиПоГруппам="Да",MeanMinAge21+AV9*SUMIF(ThresholdAge21,"&lt;"&amp;AV9,WeightedRevAge21)-SUMIF(ThresholdAge21,"&lt;"&amp;AV9,WeightedMinAge21),MAX(CapacityAge21*АбонементНовых*AV9,MeanMinAge21)))</f>
        <v/>
      </c>
      <c r="AW68" s="5">
        <f>IF(OR(AW41=0,21&lt;=КаникулыРоялти),0,AW41*IF(РоялтиПоГруппам="Да",MeanMinAge21+AW9*SUMIF(ThresholdAge21,"&lt;"&amp;AW9,WeightedRevAge21)-SUMIF(ThresholdAge21,"&lt;"&amp;AW9,WeightedMinAge21),MAX(CapacityAge21*АбонементНовых*AW9,MeanMinAge21)))</f>
        <v/>
      </c>
      <c r="AX68" s="5">
        <f>IF(OR(AX41=0,21&lt;=КаникулыРоялти),0,AX41*IF(РоялтиПоГруппам="Да",MeanMinAge21+AX9*SUMIF(ThresholdAge21,"&lt;"&amp;AX9,WeightedRevAge21)-SUMIF(ThresholdAge21,"&lt;"&amp;AX9,WeightedMinAge21),MAX(CapacityAge21*АбонементНовых*AX9,MeanMinAge21)))</f>
        <v/>
      </c>
      <c r="AY68" s="5">
        <f>IF(OR(AY41=0,21&lt;=КаникулыРоялти),0,AY41*IF(РоялтиПоГруппам="Да",MeanMinAge21+AY9*SUMIF(ThresholdAge21,"&lt;"&amp;AY9,WeightedRevAge21)-SUMIF(ThresholdAge21,"&lt;"&amp;AY9,WeightedMinAge21),MAX(CapacityAge21*АбонементНовых*AY9,MeanMinAge21)))</f>
        <v/>
      </c>
      <c r="AZ68" s="5">
        <f>IF(OR(AZ41=0,21&lt;=КаникулыРоялти),0,AZ41*IF(РоялтиПоГруппам="Да",MeanMinAge21+AZ9*SUMIF(ThresholdAge21,"&lt;"&amp;AZ9,WeightedRevAge21)-SUMIF(ThresholdAge21,"&lt;"&amp;AZ9,WeightedMinAge21),MAX(CapacityAge21*АбонементНовых*AZ9,MeanMinAge21)))</f>
        <v/>
      </c>
      <c r="BA68" s="5">
        <f>IF(OR(BA41=0,21&lt;=КаникулыРоялти),0,BA41*IF(РоялтиПоГруппам="Да",MeanMinAge21+BA9*SUMIF(ThresholdAge21,"&lt;"&amp;BA9,WeightedRevAge21)-SUMIF(ThresholdAge21,"&lt;"&amp;BA9,WeightedMinAge21),MAX(CapacityAge21*АбонементНовых*BA9,MeanMinAge21)))</f>
        <v/>
      </c>
      <c r="BB68" s="5">
        <f>IF(OR(BB41=0,21&lt;=КаникулыРоялти),0,BB41*IF(РоялтиПоГруппам="Да",MeanMinAge21+BB9*SUMIF(ThresholdAge21,"&lt;"&amp;BB9,WeightedRevAge21)-SUMIF(ThresholdAge21,"&lt;"&amp;BB9,WeightedMinAge21),MAX(CapacityAge21*АбонементНовых*BB9,MeanMinAge21)))</f>
        <v/>
      </c>
      <c r="BC68" s="5">
        <f>IF(OR(BC41=0,21&lt;=КаникулыРоялти),0,BC41*IF(РоялтиПоГруппам="Да",MeanMinAge21+BC9*SUMIF(ThresholdAge21,"&lt;"&amp;BC9,WeightedRevAge21)-SUMIF(ThresholdAge21,"&lt;"&amp;BC9,WeightedMinAge21),MAX(CapacityAge21*АбонементНовых*BC9,MeanMinAge21)))</f>
        <v/>
      </c>
      <c r="BD68" s="5">
        <f>IF(OR(BD41=0,21&lt;=КаникулыРоялти),0,BD41*IF(РоялтиПоГруппам="Да",MeanMinAge21+BD9*SUMIF(ThresholdAge21,"&lt;"&amp;BD9,WeightedRevAge21)-SUMIF(ThresholdAge21,"&lt;"&amp;BD9,WeightedMinAge21),MAX(CapacityAge21*АбонементНовых*BD9,MeanMinAge21)))</f>
        <v/>
      </c>
      <c r="BE68" s="5">
        <f>IF(OR(BE41=0,21&lt;=КаникулыРоялти),0,BE41*IF(РоялтиПоГруппам="Да",MeanMinAge21+BE9*SUMIF(ThresholdAge21,"&lt;"&amp;BE9,WeightedRevAge21)-SUMIF(ThresholdAge21,"&lt;"&amp;BE9,WeightedMinAge21),MAX(CapacityAge21*АбонементНовых*BE9,MeanMinAge21)))</f>
        <v/>
      </c>
      <c r="BF68" s="5">
        <f>IF(OR(BF41=0,21&lt;=КаникулыРоялти),0,BF41*IF(РоялтиПоГруппам="Да",MeanMinAge21+BF9*SUMIF(ThresholdAge21,"&lt;"&amp;BF9,WeightedRevAge21)-SUMIF(ThresholdAge21,"&lt;"&amp;BF9,WeightedMinAge21),MAX(CapacityAge21*АбонементНовых*BF9,MeanMinAge21)))</f>
        <v/>
      </c>
      <c r="BG68" s="5">
        <f>IF(OR(BG41=0,21&lt;=КаникулыРоялти),0,BG41*IF(РоялтиПоГруппам="Да",MeanMinAge21+BG9*SUMIF(ThresholdAge21,"&lt;"&amp;BG9,WeightedRevAge21)-SUMIF(ThresholdAge21,"&lt;"&amp;BG9,WeightedMinAge21),MAX(CapacityAge21*АбонементНовых*BG9,MeanMinAge21)))</f>
        <v/>
      </c>
      <c r="BH68" s="5">
        <f>IF(OR(BH41=0,21&lt;=КаникулыРоялти),0,BH41*IF(РоялтиПоГруппам="Да",MeanMinAge21+BH9*SUMIF(ThresholdAge21,"&lt;"&amp;BH9,WeightedRevAge21)-SUMIF(ThresholdAge21,"&lt;"&amp;BH9,WeightedMinAge21),MAX(CapacityAge21*АбонементНовых*BH9,MeanMinAge21)))</f>
        <v/>
      </c>
      <c r="BI68" s="5">
        <f>IF(OR(BI41=0,21&lt;=КаникулыРоялти),0,BI41*IF(РоялтиПоГруппам="Да",MeanMinAge21+BI9*SUMIF(ThresholdAge21,"&lt;"&amp;BI9,WeightedRevAge21)-SUMIF(ThresholdAge21,"&lt;"&amp;BI9,WeightedMinAge21),MAX(CapacityAge21*АбонементНовых*BI9,MeanMinAge21)))</f>
        <v/>
      </c>
      <c r="BJ68" s="5">
        <f>IF(OR(BJ41=0,21&lt;=КаникулыРоялти),0,BJ41*IF(РоялтиПоГруппам="Да",MeanMinAge21+BJ9*SUMIF(ThresholdAge21,"&lt;"&amp;BJ9,WeightedRevAge21)-SUMIF(ThresholdAge21,"&lt;"&amp;BJ9,WeightedMinAge21),MAX(CapacityAge21*АбонементНовых*BJ9,MeanMinAge21)))</f>
        <v/>
      </c>
      <c r="BK68" s="5">
        <f>IF(OR(BK41=0,21&lt;=КаникулыРоялти),0,BK41*IF(РоялтиПоГруппам="Да",MeanMinAge21+BK9*SUMIF(ThresholdAge21,"&lt;"&amp;BK9,WeightedRevAge21)-SUMIF(ThresholdAge21,"&lt;"&amp;BK9,WeightedMinAge21),MAX(CapacityAge21*АбонементНовых*BK9,MeanMinAge21)))</f>
        <v/>
      </c>
      <c r="BL68" s="5">
        <f>IF(OR(BL41=0,21&lt;=КаникулыРоялти),0,BL41*IF(РоялтиПоГруппам="Да",MeanMinAge21+BL9*SUMIF(ThresholdAge21,"&lt;"&amp;BL9,WeightedRevAge21)-SUMIF(ThresholdAge21,"&lt;"&amp;BL9,WeightedMinAge21),MAX(CapacityAge21*АбонементНовых*BL9,MeanMinAge21)))</f>
        <v/>
      </c>
      <c r="BM68" s="5">
        <f>IF(OR(BM41=0,21&lt;=КаникулыРоялти),0,BM41*IF(РоялтиПоГруппам="Да",MeanMinAge21+BM9*SUMIF(ThresholdAge21,"&lt;"&amp;BM9,WeightedRevAge21)-SUMIF(ThresholdAge21,"&lt;"&amp;BM9,WeightedMinAge21),MAX(CapacityAge21*АбонементНовых*BM9,MeanMinAge21)))</f>
        <v/>
      </c>
      <c r="BN68" s="5">
        <f>IF(OR(BN41=0,21&lt;=КаникулыРоялти),0,BN41*IF(РоялтиПоГруппам="Да",MeanMinAge21+BN9*SUMIF(ThresholdAge21,"&lt;"&amp;BN9,WeightedRevAge21)-SUMIF(ThresholdAge21,"&lt;"&amp;BN9,WeightedMinAge21),MAX(CapacityAge21*АбонементНовых*BN9,MeanMinAge21)))</f>
        <v/>
      </c>
      <c r="BO68" s="5">
        <f>IF(OR(BO41=0,21&lt;=КаникулыРоялти),0,BO41*IF(РоялтиПоГруппам="Да",MeanMinAge21+BO9*SUMIF(ThresholdAge21,"&lt;"&amp;BO9,WeightedRevAge21)-SUMIF(ThresholdAge21,"&lt;"&amp;BO9,WeightedMinAge21),MAX(CapacityAge21*АбонементНовых*BO9,MeanMinAge21)))</f>
        <v/>
      </c>
      <c r="BP68" s="5">
        <f>IF(OR(BP41=0,21&lt;=КаникулыРоялти),0,BP41*IF(РоялтиПоГруппам="Да",MeanMinAge21+BP9*SUMIF(ThresholdAge21,"&lt;"&amp;BP9,WeightedRevAge21)-SUMIF(ThresholdAge21,"&lt;"&amp;BP9,WeightedMinAge21),MAX(CapacityAge21*АбонементНовых*BP9,MeanMinAge21)))</f>
        <v/>
      </c>
      <c r="BQ68" s="5">
        <f>IF(OR(BQ41=0,21&lt;=КаникулыРоялти),0,BQ41*IF(РоялтиПоГруппам="Да",MeanMinAge21+BQ9*SUMIF(ThresholdAge21,"&lt;"&amp;BQ9,WeightedRevAge21)-SUMIF(ThresholdAge21,"&lt;"&amp;BQ9,WeightedMinAge21),MAX(CapacityAge21*АбонементНовых*BQ9,MeanMinAge21)))</f>
        <v/>
      </c>
      <c r="BR68" s="5">
        <f>IF(OR(BR41=0,21&lt;=КаникулыРоялти),0,BR41*IF(РоялтиПоГруппам="Да",MeanMinAge21+BR9*SUMIF(ThresholdAge21,"&lt;"&amp;BR9,WeightedRevAge21)-SUMIF(ThresholdAge21,"&lt;"&amp;BR9,WeightedMinAge21),MAX(CapacityAge21*АбонементНовых*BR9,MeanMinAge21)))</f>
        <v/>
      </c>
      <c r="BS68" s="5">
        <f>IF(OR(BS41=0,21&lt;=КаникулыРоялти),0,BS41*IF(РоялтиПоГруппам="Да",MeanMinAge21+BS9*SUMIF(ThresholdAge21,"&lt;"&amp;BS9,WeightedRevAge21)-SUMIF(ThresholdAge21,"&lt;"&amp;BS9,WeightedMinAge21),MAX(CapacityAge21*АбонементНовых*BS9,MeanMinAge21)))</f>
        <v/>
      </c>
      <c r="BT68" s="5">
        <f>IF(OR(BT41=0,21&lt;=КаникулыРоялти),0,BT41*IF(РоялтиПоГруппам="Да",MeanMinAge21+BT9*SUMIF(ThresholdAge21,"&lt;"&amp;BT9,WeightedRevAge21)-SUMIF(ThresholdAge21,"&lt;"&amp;BT9,WeightedMinAge21),MAX(CapacityAge21*АбонементНовых*BT9,MeanMinAge21)))</f>
        <v/>
      </c>
      <c r="BU68" s="5">
        <f>IF(OR(BU41=0,21&lt;=КаникулыРоялти),0,BU41*IF(РоялтиПоГруппам="Да",MeanMinAge21+BU9*SUMIF(ThresholdAge21,"&lt;"&amp;BU9,WeightedRevAge21)-SUMIF(ThresholdAge21,"&lt;"&amp;BU9,WeightedMinAge21),MAX(CapacityAge21*АбонементНовых*BU9,MeanMinAge21)))</f>
        <v/>
      </c>
      <c r="BV68" s="5">
        <f>IF(OR(BV41=0,21&lt;=КаникулыРоялти),0,BV41*IF(РоялтиПоГруппам="Да",MeanMinAge21+BV9*SUMIF(ThresholdAge21,"&lt;"&amp;BV9,WeightedRevAge21)-SUMIF(ThresholdAge21,"&lt;"&amp;BV9,WeightedMinAge21),MAX(CapacityAge21*АбонементНовых*BV9,MeanMinAge21)))</f>
        <v/>
      </c>
      <c r="BW68" s="5">
        <f>IF(OR(BW41=0,21&lt;=КаникулыРоялти),0,BW41*IF(РоялтиПоГруппам="Да",MeanMinAge21+BW9*SUMIF(ThresholdAge21,"&lt;"&amp;BW9,WeightedRevAge21)-SUMIF(ThresholdAge21,"&lt;"&amp;BW9,WeightedMinAge21),MAX(CapacityAge21*АбонементНовых*BW9,MeanMinAge21)))</f>
        <v/>
      </c>
      <c r="BX68" s="5">
        <f>IF(OR(BX41=0,21&lt;=КаникулыРоялти),0,BX41*IF(РоялтиПоГруппам="Да",MeanMinAge21+BX9*SUMIF(ThresholdAge21,"&lt;"&amp;BX9,WeightedRevAge21)-SUMIF(ThresholdAge21,"&lt;"&amp;BX9,WeightedMinAge21),MAX(CapacityAge21*АбонементНовых*BX9,MeanMinAge21)))</f>
        <v/>
      </c>
      <c r="BY68" s="5">
        <f>IF(OR(BY41=0,21&lt;=КаникулыРоялти),0,BY41*IF(РоялтиПоГруппам="Да",MeanMinAge21+BY9*SUMIF(ThresholdAge21,"&lt;"&amp;BY9,WeightedRevAge21)-SUMIF(ThresholdAge21,"&lt;"&amp;BY9,WeightedMinAge21),MAX(CapacityAge21*АбонементНовых*BY9,MeanMinAge21)))</f>
        <v/>
      </c>
    </row>
    <row r="69">
      <c r="B69" t="inlineStr">
        <is>
          <t>22 мес.</t>
        </is>
      </c>
      <c r="C69" t="inlineStr">
        <is>
          <t>₽</t>
        </is>
      </c>
      <c r="D69" s="127" t="inlineStr"/>
      <c r="E69" s="129">
        <f>SUM(L69:W69)</f>
        <v/>
      </c>
      <c r="F69" s="129">
        <f>SUM(X69:AI69)</f>
        <v/>
      </c>
      <c r="G69" s="129">
        <f>SUM(AJ69:AU69)</f>
        <v/>
      </c>
      <c r="H69" s="129">
        <f>SUM(AV69:BG69)</f>
        <v/>
      </c>
      <c r="I69" s="129">
        <f>SUM(BH69:BS69)</f>
        <v/>
      </c>
      <c r="J69" s="6">
        <f>SUM(L69:BS69)</f>
        <v/>
      </c>
      <c r="L69" s="5">
        <f>IF(OR(L42=0,22&lt;=КаникулыРоялти),0,L42*IF(РоялтиПоГруппам="Да",MeanMinAge22+L9*SUMIF(ThresholdAge22,"&lt;"&amp;L9,WeightedRevAge22)-SUMIF(ThresholdAge22,"&lt;"&amp;L9,WeightedMinAge22),MAX(CapacityAge22*АбонементНовых*L9,MeanMinAge22)))</f>
        <v/>
      </c>
      <c r="M69" s="5">
        <f>IF(OR(M42=0,22&lt;=КаникулыРоялти),0,M42*IF(РоялтиПоГруппам="Да",MeanMinAge22+M9*SUMIF(ThresholdAge22,"&lt;"&amp;M9,WeightedRevAge22)-SUMIF(ThresholdAge22,"&lt;"&amp;M9,WeightedMinAge22),MAX(CapacityAge22*АбонементНовых*M9,MeanMinAge22)))</f>
        <v/>
      </c>
      <c r="N69" s="5">
        <f>IF(OR(N42=0,22&lt;=КаникулыРоялти),0,N42*IF(РоялтиПоГруппам="Да",MeanMinAge22+N9*SUMIF(ThresholdAge22,"&lt;"&amp;N9,WeightedRevAge22)-SUMIF(ThresholdAge22,"&lt;"&amp;N9,WeightedMinAge22),MAX(CapacityAge22*АбонементНовых*N9,MeanMinAge22)))</f>
        <v/>
      </c>
      <c r="O69" s="5">
        <f>IF(OR(O42=0,22&lt;=КаникулыРоялти),0,O42*IF(РоялтиПоГруппам="Да",MeanMinAge22+O9*SUMIF(ThresholdAge22,"&lt;"&amp;O9,WeightedRevAge22)-SUMIF(ThresholdAge22,"&lt;"&amp;O9,WeightedMinAge22),MAX(CapacityAge22*АбонементНовых*O9,MeanMinAge22)))</f>
        <v/>
      </c>
      <c r="P69" s="5">
        <f>IF(OR(P42=0,22&lt;=КаникулыРоялти),0,P42*IF(РоялтиПоГруппам="Да",MeanMinAge22+P9*SUMIF(ThresholdAge22,"&lt;"&amp;P9,WeightedRevAge22)-SUMIF(ThresholdAge22,"&lt;"&amp;P9,WeightedMinAge22),MAX(CapacityAge22*АбонементНовых*P9,MeanMinAge22)))</f>
        <v/>
      </c>
      <c r="Q69" s="5">
        <f>IF(OR(Q42=0,22&lt;=КаникулыРоялти),0,Q42*IF(РоялтиПоГруппам="Да",MeanMinAge22+Q9*SUMIF(ThresholdAge22,"&lt;"&amp;Q9,WeightedRevAge22)-SUMIF(ThresholdAge22,"&lt;"&amp;Q9,WeightedMinAge22),MAX(CapacityAge22*АбонементНовых*Q9,MeanMinAge22)))</f>
        <v/>
      </c>
      <c r="R69" s="5">
        <f>IF(OR(R42=0,22&lt;=КаникулыРоялти),0,R42*IF(РоялтиПоГруппам="Да",MeanMinAge22+R9*SUMIF(ThresholdAge22,"&lt;"&amp;R9,WeightedRevAge22)-SUMIF(ThresholdAge22,"&lt;"&amp;R9,WeightedMinAge22),MAX(CapacityAge22*АбонементНовых*R9,MeanMinAge22)))</f>
        <v/>
      </c>
      <c r="S69" s="5">
        <f>IF(OR(S42=0,22&lt;=КаникулыРоялти),0,S42*IF(РоялтиПоГруппам="Да",MeanMinAge22+S9*SUMIF(ThresholdAge22,"&lt;"&amp;S9,WeightedRevAge22)-SUMIF(ThresholdAge22,"&lt;"&amp;S9,WeightedMinAge22),MAX(CapacityAge22*АбонементНовых*S9,MeanMinAge22)))</f>
        <v/>
      </c>
      <c r="T69" s="5">
        <f>IF(OR(T42=0,22&lt;=КаникулыРоялти),0,T42*IF(РоялтиПоГруппам="Да",MeanMinAge22+T9*SUMIF(ThresholdAge22,"&lt;"&amp;T9,WeightedRevAge22)-SUMIF(ThresholdAge22,"&lt;"&amp;T9,WeightedMinAge22),MAX(CapacityAge22*АбонементНовых*T9,MeanMinAge22)))</f>
        <v/>
      </c>
      <c r="U69" s="5">
        <f>IF(OR(U42=0,22&lt;=КаникулыРоялти),0,U42*IF(РоялтиПоГруппам="Да",MeanMinAge22+U9*SUMIF(ThresholdAge22,"&lt;"&amp;U9,WeightedRevAge22)-SUMIF(ThresholdAge22,"&lt;"&amp;U9,WeightedMinAge22),MAX(CapacityAge22*АбонементНовых*U9,MeanMinAge22)))</f>
        <v/>
      </c>
      <c r="V69" s="5">
        <f>IF(OR(V42=0,22&lt;=КаникулыРоялти),0,V42*IF(РоялтиПоГруппам="Да",MeanMinAge22+V9*SUMIF(ThresholdAge22,"&lt;"&amp;V9,WeightedRevAge22)-SUMIF(ThresholdAge22,"&lt;"&amp;V9,WeightedMinAge22),MAX(CapacityAge22*АбонементНовых*V9,MeanMinAge22)))</f>
        <v/>
      </c>
      <c r="W69" s="5">
        <f>IF(OR(W42=0,22&lt;=КаникулыРоялти),0,W42*IF(РоялтиПоГруппам="Да",MeanMinAge22+W9*SUMIF(ThresholdAge22,"&lt;"&amp;W9,WeightedRevAge22)-SUMIF(ThresholdAge22,"&lt;"&amp;W9,WeightedMinAge22),MAX(CapacityAge22*АбонементНовых*W9,MeanMinAge22)))</f>
        <v/>
      </c>
      <c r="X69" s="5">
        <f>IF(OR(X42=0,22&lt;=КаникулыРоялти),0,X42*IF(РоялтиПоГруппам="Да",MeanMinAge22+X9*SUMIF(ThresholdAge22,"&lt;"&amp;X9,WeightedRevAge22)-SUMIF(ThresholdAge22,"&lt;"&amp;X9,WeightedMinAge22),MAX(CapacityAge22*АбонементНовых*X9,MeanMinAge22)))</f>
        <v/>
      </c>
      <c r="Y69" s="5">
        <f>IF(OR(Y42=0,22&lt;=КаникулыРоялти),0,Y42*IF(РоялтиПоГруппам="Да",MeanMinAge22+Y9*SUMIF(ThresholdAge22,"&lt;"&amp;Y9,WeightedRevAge22)-SUMIF(ThresholdAge22,"&lt;"&amp;Y9,WeightedMinAge22),MAX(CapacityAge22*АбонементНовых*Y9,MeanMinAge22)))</f>
        <v/>
      </c>
      <c r="Z69" s="5">
        <f>IF(OR(Z42=0,22&lt;=КаникулыРоялти),0,Z42*IF(РоялтиПоГруппам="Да",MeanMinAge22+Z9*SUMIF(ThresholdAge22,"&lt;"&amp;Z9,WeightedRevAge22)-SUMIF(ThresholdAge22,"&lt;"&amp;Z9,WeightedMinAge22),MAX(CapacityAge22*АбонементНовых*Z9,MeanMinAge22)))</f>
        <v/>
      </c>
      <c r="AA69" s="5">
        <f>IF(OR(AA42=0,22&lt;=КаникулыРоялти),0,AA42*IF(РоялтиПоГруппам="Да",MeanMinAge22+AA9*SUMIF(ThresholdAge22,"&lt;"&amp;AA9,WeightedRevAge22)-SUMIF(ThresholdAge22,"&lt;"&amp;AA9,WeightedMinAge22),MAX(CapacityAge22*АбонементНовых*AA9,MeanMinAge22)))</f>
        <v/>
      </c>
      <c r="AB69" s="5">
        <f>IF(OR(AB42=0,22&lt;=КаникулыРоялти),0,AB42*IF(РоялтиПоГруппам="Да",MeanMinAge22+AB9*SUMIF(ThresholdAge22,"&lt;"&amp;AB9,WeightedRevAge22)-SUMIF(ThresholdAge22,"&lt;"&amp;AB9,WeightedMinAge22),MAX(CapacityAge22*АбонементНовых*AB9,MeanMinAge22)))</f>
        <v/>
      </c>
      <c r="AC69" s="5">
        <f>IF(OR(AC42=0,22&lt;=КаникулыРоялти),0,AC42*IF(РоялтиПоГруппам="Да",MeanMinAge22+AC9*SUMIF(ThresholdAge22,"&lt;"&amp;AC9,WeightedRevAge22)-SUMIF(ThresholdAge22,"&lt;"&amp;AC9,WeightedMinAge22),MAX(CapacityAge22*АбонементНовых*AC9,MeanMinAge22)))</f>
        <v/>
      </c>
      <c r="AD69" s="5">
        <f>IF(OR(AD42=0,22&lt;=КаникулыРоялти),0,AD42*IF(РоялтиПоГруппам="Да",MeanMinAge22+AD9*SUMIF(ThresholdAge22,"&lt;"&amp;AD9,WeightedRevAge22)-SUMIF(ThresholdAge22,"&lt;"&amp;AD9,WeightedMinAge22),MAX(CapacityAge22*АбонементНовых*AD9,MeanMinAge22)))</f>
        <v/>
      </c>
      <c r="AE69" s="5">
        <f>IF(OR(AE42=0,22&lt;=КаникулыРоялти),0,AE42*IF(РоялтиПоГруппам="Да",MeanMinAge22+AE9*SUMIF(ThresholdAge22,"&lt;"&amp;AE9,WeightedRevAge22)-SUMIF(ThresholdAge22,"&lt;"&amp;AE9,WeightedMinAge22),MAX(CapacityAge22*АбонементНовых*AE9,MeanMinAge22)))</f>
        <v/>
      </c>
      <c r="AF69" s="5">
        <f>IF(OR(AF42=0,22&lt;=КаникулыРоялти),0,AF42*IF(РоялтиПоГруппам="Да",MeanMinAge22+AF9*SUMIF(ThresholdAge22,"&lt;"&amp;AF9,WeightedRevAge22)-SUMIF(ThresholdAge22,"&lt;"&amp;AF9,WeightedMinAge22),MAX(CapacityAge22*АбонементНовых*AF9,MeanMinAge22)))</f>
        <v/>
      </c>
      <c r="AG69" s="5">
        <f>IF(OR(AG42=0,22&lt;=КаникулыРоялти),0,AG42*IF(РоялтиПоГруппам="Да",MeanMinAge22+AG9*SUMIF(ThresholdAge22,"&lt;"&amp;AG9,WeightedRevAge22)-SUMIF(ThresholdAge22,"&lt;"&amp;AG9,WeightedMinAge22),MAX(CapacityAge22*АбонементНовых*AG9,MeanMinAge22)))</f>
        <v/>
      </c>
      <c r="AH69" s="5">
        <f>IF(OR(AH42=0,22&lt;=КаникулыРоялти),0,AH42*IF(РоялтиПоГруппам="Да",MeanMinAge22+AH9*SUMIF(ThresholdAge22,"&lt;"&amp;AH9,WeightedRevAge22)-SUMIF(ThresholdAge22,"&lt;"&amp;AH9,WeightedMinAge22),MAX(CapacityAge22*АбонементНовых*AH9,MeanMinAge22)))</f>
        <v/>
      </c>
      <c r="AI69" s="5">
        <f>IF(OR(AI42=0,22&lt;=КаникулыРоялти),0,AI42*IF(РоялтиПоГруппам="Да",MeanMinAge22+AI9*SUMIF(ThresholdAge22,"&lt;"&amp;AI9,WeightedRevAge22)-SUMIF(ThresholdAge22,"&lt;"&amp;AI9,WeightedMinAge22),MAX(CapacityAge22*АбонементНовых*AI9,MeanMinAge22)))</f>
        <v/>
      </c>
      <c r="AJ69" s="5">
        <f>IF(OR(AJ42=0,22&lt;=КаникулыРоялти),0,AJ42*IF(РоялтиПоГруппам="Да",MeanMinAge22+AJ9*SUMIF(ThresholdAge22,"&lt;"&amp;AJ9,WeightedRevAge22)-SUMIF(ThresholdAge22,"&lt;"&amp;AJ9,WeightedMinAge22),MAX(CapacityAge22*АбонементНовых*AJ9,MeanMinAge22)))</f>
        <v/>
      </c>
      <c r="AK69" s="5">
        <f>IF(OR(AK42=0,22&lt;=КаникулыРоялти),0,AK42*IF(РоялтиПоГруппам="Да",MeanMinAge22+AK9*SUMIF(ThresholdAge22,"&lt;"&amp;AK9,WeightedRevAge22)-SUMIF(ThresholdAge22,"&lt;"&amp;AK9,WeightedMinAge22),MAX(CapacityAge22*АбонементНовых*AK9,MeanMinAge22)))</f>
        <v/>
      </c>
      <c r="AL69" s="5">
        <f>IF(OR(AL42=0,22&lt;=КаникулыРоялти),0,AL42*IF(РоялтиПоГруппам="Да",MeanMinAge22+AL9*SUMIF(ThresholdAge22,"&lt;"&amp;AL9,WeightedRevAge22)-SUMIF(ThresholdAge22,"&lt;"&amp;AL9,WeightedMinAge22),MAX(CapacityAge22*АбонементНовых*AL9,MeanMinAge22)))</f>
        <v/>
      </c>
      <c r="AM69" s="5">
        <f>IF(OR(AM42=0,22&lt;=КаникулыРоялти),0,AM42*IF(РоялтиПоГруппам="Да",MeanMinAge22+AM9*SUMIF(ThresholdAge22,"&lt;"&amp;AM9,WeightedRevAge22)-SUMIF(ThresholdAge22,"&lt;"&amp;AM9,WeightedMinAge22),MAX(CapacityAge22*АбонементНовых*AM9,MeanMinAge22)))</f>
        <v/>
      </c>
      <c r="AN69" s="5">
        <f>IF(OR(AN42=0,22&lt;=КаникулыРоялти),0,AN42*IF(РоялтиПоГруппам="Да",MeanMinAge22+AN9*SUMIF(ThresholdAge22,"&lt;"&amp;AN9,WeightedRevAge22)-SUMIF(ThresholdAge22,"&lt;"&amp;AN9,WeightedMinAge22),MAX(CapacityAge22*АбонементНовых*AN9,MeanMinAge22)))</f>
        <v/>
      </c>
      <c r="AO69" s="5">
        <f>IF(OR(AO42=0,22&lt;=КаникулыРоялти),0,AO42*IF(РоялтиПоГруппам="Да",MeanMinAge22+AO9*SUMIF(ThresholdAge22,"&lt;"&amp;AO9,WeightedRevAge22)-SUMIF(ThresholdAge22,"&lt;"&amp;AO9,WeightedMinAge22),MAX(CapacityAge22*АбонементНовых*AO9,MeanMinAge22)))</f>
        <v/>
      </c>
      <c r="AP69" s="5">
        <f>IF(OR(AP42=0,22&lt;=КаникулыРоялти),0,AP42*IF(РоялтиПоГруппам="Да",MeanMinAge22+AP9*SUMIF(ThresholdAge22,"&lt;"&amp;AP9,WeightedRevAge22)-SUMIF(ThresholdAge22,"&lt;"&amp;AP9,WeightedMinAge22),MAX(CapacityAge22*АбонементНовых*AP9,MeanMinAge22)))</f>
        <v/>
      </c>
      <c r="AQ69" s="5">
        <f>IF(OR(AQ42=0,22&lt;=КаникулыРоялти),0,AQ42*IF(РоялтиПоГруппам="Да",MeanMinAge22+AQ9*SUMIF(ThresholdAge22,"&lt;"&amp;AQ9,WeightedRevAge22)-SUMIF(ThresholdAge22,"&lt;"&amp;AQ9,WeightedMinAge22),MAX(CapacityAge22*АбонементНовых*AQ9,MeanMinAge22)))</f>
        <v/>
      </c>
      <c r="AR69" s="5">
        <f>IF(OR(AR42=0,22&lt;=КаникулыРоялти),0,AR42*IF(РоялтиПоГруппам="Да",MeanMinAge22+AR9*SUMIF(ThresholdAge22,"&lt;"&amp;AR9,WeightedRevAge22)-SUMIF(ThresholdAge22,"&lt;"&amp;AR9,WeightedMinAge22),MAX(CapacityAge22*АбонементНовых*AR9,MeanMinAge22)))</f>
        <v/>
      </c>
      <c r="AS69" s="5">
        <f>IF(OR(AS42=0,22&lt;=КаникулыРоялти),0,AS42*IF(РоялтиПоГруппам="Да",MeanMinAge22+AS9*SUMIF(ThresholdAge22,"&lt;"&amp;AS9,WeightedRevAge22)-SUMIF(ThresholdAge22,"&lt;"&amp;AS9,WeightedMinAge22),MAX(CapacityAge22*АбонементНовых*AS9,MeanMinAge22)))</f>
        <v/>
      </c>
      <c r="AT69" s="5">
        <f>IF(OR(AT42=0,22&lt;=КаникулыРоялти),0,AT42*IF(РоялтиПоГруппам="Да",MeanMinAge22+AT9*SUMIF(ThresholdAge22,"&lt;"&amp;AT9,WeightedRevAge22)-SUMIF(ThresholdAge22,"&lt;"&amp;AT9,WeightedMinAge22),MAX(CapacityAge22*АбонементНовых*AT9,MeanMinAge22)))</f>
        <v/>
      </c>
      <c r="AU69" s="5">
        <f>IF(OR(AU42=0,22&lt;=КаникулыРоялти),0,AU42*IF(РоялтиПоГруппам="Да",MeanMinAge22+AU9*SUMIF(ThresholdAge22,"&lt;"&amp;AU9,WeightedRevAge22)-SUMIF(ThresholdAge22,"&lt;"&amp;AU9,WeightedMinAge22),MAX(CapacityAge22*АбонементНовых*AU9,MeanMinAge22)))</f>
        <v/>
      </c>
      <c r="AV69" s="5">
        <f>IF(OR(AV42=0,22&lt;=КаникулыРоялти),0,AV42*IF(РоялтиПоГруппам="Да",MeanMinAge22+AV9*SUMIF(ThresholdAge22,"&lt;"&amp;AV9,WeightedRevAge22)-SUMIF(ThresholdAge22,"&lt;"&amp;AV9,WeightedMinAge22),MAX(CapacityAge22*АбонементНовых*AV9,MeanMinAge22)))</f>
        <v/>
      </c>
      <c r="AW69" s="5">
        <f>IF(OR(AW42=0,22&lt;=КаникулыРоялти),0,AW42*IF(РоялтиПоГруппам="Да",MeanMinAge22+AW9*SUMIF(ThresholdAge22,"&lt;"&amp;AW9,WeightedRevAge22)-SUMIF(ThresholdAge22,"&lt;"&amp;AW9,WeightedMinAge22),MAX(CapacityAge22*АбонементНовых*AW9,MeanMinAge22)))</f>
        <v/>
      </c>
      <c r="AX69" s="5">
        <f>IF(OR(AX42=0,22&lt;=КаникулыРоялти),0,AX42*IF(РоялтиПоГруппам="Да",MeanMinAge22+AX9*SUMIF(ThresholdAge22,"&lt;"&amp;AX9,WeightedRevAge22)-SUMIF(ThresholdAge22,"&lt;"&amp;AX9,WeightedMinAge22),MAX(CapacityAge22*АбонементНовых*AX9,MeanMinAge22)))</f>
        <v/>
      </c>
      <c r="AY69" s="5">
        <f>IF(OR(AY42=0,22&lt;=КаникулыРоялти),0,AY42*IF(РоялтиПоГруппам="Да",MeanMinAge22+AY9*SUMIF(ThresholdAge22,"&lt;"&amp;AY9,WeightedRevAge22)-SUMIF(ThresholdAge22,"&lt;"&amp;AY9,WeightedMinAge22),MAX(CapacityAge22*АбонементНовых*AY9,MeanMinAge22)))</f>
        <v/>
      </c>
      <c r="AZ69" s="5">
        <f>IF(OR(AZ42=0,22&lt;=КаникулыРоялти),0,AZ42*IF(РоялтиПоГруппам="Да",MeanMinAge22+AZ9*SUMIF(ThresholdAge22,"&lt;"&amp;AZ9,WeightedRevAge22)-SUMIF(ThresholdAge22,"&lt;"&amp;AZ9,WeightedMinAge22),MAX(CapacityAge22*АбонементНовых*AZ9,MeanMinAge22)))</f>
        <v/>
      </c>
      <c r="BA69" s="5">
        <f>IF(OR(BA42=0,22&lt;=КаникулыРоялти),0,BA42*IF(РоялтиПоГруппам="Да",MeanMinAge22+BA9*SUMIF(ThresholdAge22,"&lt;"&amp;BA9,WeightedRevAge22)-SUMIF(ThresholdAge22,"&lt;"&amp;BA9,WeightedMinAge22),MAX(CapacityAge22*АбонементНовых*BA9,MeanMinAge22)))</f>
        <v/>
      </c>
      <c r="BB69" s="5">
        <f>IF(OR(BB42=0,22&lt;=КаникулыРоялти),0,BB42*IF(РоялтиПоГруппам="Да",MeanMinAge22+BB9*SUMIF(ThresholdAge22,"&lt;"&amp;BB9,WeightedRevAge22)-SUMIF(ThresholdAge22,"&lt;"&amp;BB9,WeightedMinAge22),MAX(CapacityAge22*АбонементНовых*BB9,MeanMinAge22)))</f>
        <v/>
      </c>
      <c r="BC69" s="5">
        <f>IF(OR(BC42=0,22&lt;=КаникулыРоялти),0,BC42*IF(РоялтиПоГруппам="Да",MeanMinAge22+BC9*SUMIF(ThresholdAge22,"&lt;"&amp;BC9,WeightedRevAge22)-SUMIF(ThresholdAge22,"&lt;"&amp;BC9,WeightedMinAge22),MAX(CapacityAge22*АбонементНовых*BC9,MeanMinAge22)))</f>
        <v/>
      </c>
      <c r="BD69" s="5">
        <f>IF(OR(BD42=0,22&lt;=КаникулыРоялти),0,BD42*IF(РоялтиПоГруппам="Да",MeanMinAge22+BD9*SUMIF(ThresholdAge22,"&lt;"&amp;BD9,WeightedRevAge22)-SUMIF(ThresholdAge22,"&lt;"&amp;BD9,WeightedMinAge22),MAX(CapacityAge22*АбонементНовых*BD9,MeanMinAge22)))</f>
        <v/>
      </c>
      <c r="BE69" s="5">
        <f>IF(OR(BE42=0,22&lt;=КаникулыРоялти),0,BE42*IF(РоялтиПоГруппам="Да",MeanMinAge22+BE9*SUMIF(ThresholdAge22,"&lt;"&amp;BE9,WeightedRevAge22)-SUMIF(ThresholdAge22,"&lt;"&amp;BE9,WeightedMinAge22),MAX(CapacityAge22*АбонементНовых*BE9,MeanMinAge22)))</f>
        <v/>
      </c>
      <c r="BF69" s="5">
        <f>IF(OR(BF42=0,22&lt;=КаникулыРоялти),0,BF42*IF(РоялтиПоГруппам="Да",MeanMinAge22+BF9*SUMIF(ThresholdAge22,"&lt;"&amp;BF9,WeightedRevAge22)-SUMIF(ThresholdAge22,"&lt;"&amp;BF9,WeightedMinAge22),MAX(CapacityAge22*АбонементНовых*BF9,MeanMinAge22)))</f>
        <v/>
      </c>
      <c r="BG69" s="5">
        <f>IF(OR(BG42=0,22&lt;=КаникулыРоялти),0,BG42*IF(РоялтиПоГруппам="Да",MeanMinAge22+BG9*SUMIF(ThresholdAge22,"&lt;"&amp;BG9,WeightedRevAge22)-SUMIF(ThresholdAge22,"&lt;"&amp;BG9,WeightedMinAge22),MAX(CapacityAge22*АбонементНовых*BG9,MeanMinAge22)))</f>
        <v/>
      </c>
      <c r="BH69" s="5">
        <f>IF(OR(BH42=0,22&lt;=КаникулыРоялти),0,BH42*IF(РоялтиПоГруппам="Да",MeanMinAge22+BH9*SUMIF(ThresholdAge22,"&lt;"&amp;BH9,WeightedRevAge22)-SUMIF(ThresholdAge22,"&lt;"&amp;BH9,WeightedMinAge22),MAX(CapacityAge22*АбонементНовых*BH9,MeanMinAge22)))</f>
        <v/>
      </c>
      <c r="BI69" s="5">
        <f>IF(OR(BI42=0,22&lt;=КаникулыРоялти),0,BI42*IF(РоялтиПоГруппам="Да",MeanMinAge22+BI9*SUMIF(ThresholdAge22,"&lt;"&amp;BI9,WeightedRevAge22)-SUMIF(ThresholdAge22,"&lt;"&amp;BI9,WeightedMinAge22),MAX(CapacityAge22*АбонементНовых*BI9,MeanMinAge22)))</f>
        <v/>
      </c>
      <c r="BJ69" s="5">
        <f>IF(OR(BJ42=0,22&lt;=КаникулыРоялти),0,BJ42*IF(РоялтиПоГруппам="Да",MeanMinAge22+BJ9*SUMIF(ThresholdAge22,"&lt;"&amp;BJ9,WeightedRevAge22)-SUMIF(ThresholdAge22,"&lt;"&amp;BJ9,WeightedMinAge22),MAX(CapacityAge22*АбонементНовых*BJ9,MeanMinAge22)))</f>
        <v/>
      </c>
      <c r="BK69" s="5">
        <f>IF(OR(BK42=0,22&lt;=КаникулыРоялти),0,BK42*IF(РоялтиПоГруппам="Да",MeanMinAge22+BK9*SUMIF(ThresholdAge22,"&lt;"&amp;BK9,WeightedRevAge22)-SUMIF(ThresholdAge22,"&lt;"&amp;BK9,WeightedMinAge22),MAX(CapacityAge22*АбонементНовых*BK9,MeanMinAge22)))</f>
        <v/>
      </c>
      <c r="BL69" s="5">
        <f>IF(OR(BL42=0,22&lt;=КаникулыРоялти),0,BL42*IF(РоялтиПоГруппам="Да",MeanMinAge22+BL9*SUMIF(ThresholdAge22,"&lt;"&amp;BL9,WeightedRevAge22)-SUMIF(ThresholdAge22,"&lt;"&amp;BL9,WeightedMinAge22),MAX(CapacityAge22*АбонементНовых*BL9,MeanMinAge22)))</f>
        <v/>
      </c>
      <c r="BM69" s="5">
        <f>IF(OR(BM42=0,22&lt;=КаникулыРоялти),0,BM42*IF(РоялтиПоГруппам="Да",MeanMinAge22+BM9*SUMIF(ThresholdAge22,"&lt;"&amp;BM9,WeightedRevAge22)-SUMIF(ThresholdAge22,"&lt;"&amp;BM9,WeightedMinAge22),MAX(CapacityAge22*АбонементНовых*BM9,MeanMinAge22)))</f>
        <v/>
      </c>
      <c r="BN69" s="5">
        <f>IF(OR(BN42=0,22&lt;=КаникулыРоялти),0,BN42*IF(РоялтиПоГруппам="Да",MeanMinAge22+BN9*SUMIF(ThresholdAge22,"&lt;"&amp;BN9,WeightedRevAge22)-SUMIF(ThresholdAge22,"&lt;"&amp;BN9,WeightedMinAge22),MAX(CapacityAge22*АбонементНовых*BN9,MeanMinAge22)))</f>
        <v/>
      </c>
      <c r="BO69" s="5">
        <f>IF(OR(BO42=0,22&lt;=КаникулыРоялти),0,BO42*IF(РоялтиПоГруппам="Да",MeanMinAge22+BO9*SUMIF(ThresholdAge22,"&lt;"&amp;BO9,WeightedRevAge22)-SUMIF(ThresholdAge22,"&lt;"&amp;BO9,WeightedMinAge22),MAX(CapacityAge22*АбонементНовых*BO9,MeanMinAge22)))</f>
        <v/>
      </c>
      <c r="BP69" s="5">
        <f>IF(OR(BP42=0,22&lt;=КаникулыРоялти),0,BP42*IF(РоялтиПоГруппам="Да",MeanMinAge22+BP9*SUMIF(ThresholdAge22,"&lt;"&amp;BP9,WeightedRevAge22)-SUMIF(ThresholdAge22,"&lt;"&amp;BP9,WeightedMinAge22),MAX(CapacityAge22*АбонементНовых*BP9,MeanMinAge22)))</f>
        <v/>
      </c>
      <c r="BQ69" s="5">
        <f>IF(OR(BQ42=0,22&lt;=КаникулыРоялти),0,BQ42*IF(РоялтиПоГруппам="Да",MeanMinAge22+BQ9*SUMIF(ThresholdAge22,"&lt;"&amp;BQ9,WeightedRevAge22)-SUMIF(ThresholdAge22,"&lt;"&amp;BQ9,WeightedMinAge22),MAX(CapacityAge22*АбонементНовых*BQ9,MeanMinAge22)))</f>
        <v/>
      </c>
      <c r="BR69" s="5">
        <f>IF(OR(BR42=0,22&lt;=КаникулыРоялти),0,BR42*IF(РоялтиПоГруппам="Да",MeanMinAge22+BR9*SUMIF(ThresholdAge22,"&lt;"&amp;BR9,WeightedRevAge22)-SUMIF(ThresholdAge22,"&lt;"&amp;BR9,WeightedMinAge22),MAX(CapacityAge22*АбонементНовых*BR9,MeanMinAge22)))</f>
        <v/>
      </c>
      <c r="BS69" s="5">
        <f>IF(OR(BS42=0,22&lt;=КаникулыРоялти),0,BS42*IF(РоялтиПоГруппам="Да",MeanMinAge22+BS9*SUMIF(ThresholdAge22,"&lt;"&amp;BS9,WeightedRevAge22)-SUMIF(ThresholdAge22,"&lt;"&amp;BS9,WeightedMinAge22),MAX(CapacityAge22*АбонементНовых*BS9,MeanMinAge22)))</f>
        <v/>
      </c>
      <c r="BT69" s="5">
        <f>IF(OR(BT42=0,22&lt;=КаникулыРоялти),0,BT42*IF(РоялтиПоГруппам="Да",MeanMinAge22+BT9*SUMIF(ThresholdAge22,"&lt;"&amp;BT9,WeightedRevAge22)-SUMIF(ThresholdAge22,"&lt;"&amp;BT9,WeightedMinAge22),MAX(CapacityAge22*АбонементНовых*BT9,MeanMinAge22)))</f>
        <v/>
      </c>
      <c r="BU69" s="5">
        <f>IF(OR(BU42=0,22&lt;=КаникулыРоялти),0,BU42*IF(РоялтиПоГруппам="Да",MeanMinAge22+BU9*SUMIF(ThresholdAge22,"&lt;"&amp;BU9,WeightedRevAge22)-SUMIF(ThresholdAge22,"&lt;"&amp;BU9,WeightedMinAge22),MAX(CapacityAge22*АбонементНовых*BU9,MeanMinAge22)))</f>
        <v/>
      </c>
      <c r="BV69" s="5">
        <f>IF(OR(BV42=0,22&lt;=КаникулыРоялти),0,BV42*IF(РоялтиПоГруппам="Да",MeanMinAge22+BV9*SUMIF(ThresholdAge22,"&lt;"&amp;BV9,WeightedRevAge22)-SUMIF(ThresholdAge22,"&lt;"&amp;BV9,WeightedMinAge22),MAX(CapacityAge22*АбонементНовых*BV9,MeanMinAge22)))</f>
        <v/>
      </c>
      <c r="BW69" s="5">
        <f>IF(OR(BW42=0,22&lt;=КаникулыРоялти),0,BW42*IF(РоялтиПоГруппам="Да",MeanMinAge22+BW9*SUMIF(ThresholdAge22,"&lt;"&amp;BW9,WeightedRevAge22)-SUMIF(ThresholdAge22,"&lt;"&amp;BW9,WeightedMinAge22),MAX(CapacityAge22*АбонементНовых*BW9,MeanMinAge22)))</f>
        <v/>
      </c>
      <c r="BX69" s="5">
        <f>IF(OR(BX42=0,22&lt;=КаникулыРоялти),0,BX42*IF(РоялтиПоГруппам="Да",MeanMinAge22+BX9*SUMIF(ThresholdAge22,"&lt;"&amp;BX9,WeightedRevAge22)-SUMIF(ThresholdAge22,"&lt;"&amp;BX9,WeightedMinAge22),MAX(CapacityAge22*АбонементНовых*BX9,MeanMinAge22)))</f>
        <v/>
      </c>
      <c r="BY69" s="5">
        <f>IF(OR(BY42=0,22&lt;=КаникулыРоялти),0,BY42*IF(РоялтиПоГруппам="Да",MeanMinAge22+BY9*SUMIF(ThresholdAge22,"&lt;"&amp;BY9,WeightedRevAge22)-SUMIF(ThresholdAge22,"&lt;"&amp;BY9,WeightedMinAge22),MAX(CapacityAge22*АбонементНовых*BY9,MeanMinAge22)))</f>
        <v/>
      </c>
    </row>
    <row r="70">
      <c r="B70" t="inlineStr">
        <is>
          <t>23 мес.</t>
        </is>
      </c>
      <c r="C70" t="inlineStr">
        <is>
          <t>₽</t>
        </is>
      </c>
      <c r="D70" s="127" t="inlineStr"/>
      <c r="E70" s="129">
        <f>SUM(L70:W70)</f>
        <v/>
      </c>
      <c r="F70" s="129">
        <f>SUM(X70:AI70)</f>
        <v/>
      </c>
      <c r="G70" s="129">
        <f>SUM(AJ70:AU70)</f>
        <v/>
      </c>
      <c r="H70" s="129">
        <f>SUM(AV70:BG70)</f>
        <v/>
      </c>
      <c r="I70" s="129">
        <f>SUM(BH70:BS70)</f>
        <v/>
      </c>
      <c r="J70" s="6">
        <f>SUM(L70:BS70)</f>
        <v/>
      </c>
      <c r="L70" s="5">
        <f>IF(OR(L43=0,23&lt;=КаникулыРоялти),0,L43*IF(РоялтиПоГруппам="Да",MeanMinAge23+L9*SUMIF(ThresholdAge23,"&lt;"&amp;L9,WeightedRevAge23)-SUMIF(ThresholdAge23,"&lt;"&amp;L9,WeightedMinAge23),MAX(CapacityAge23*АбонементНовых*L9,MeanMinAge23)))</f>
        <v/>
      </c>
      <c r="M70" s="5">
        <f>IF(OR(M43=0,23&lt;=КаникулыРоялти),0,M43*IF(РоялтиПоГруппам="Да",MeanMinAge23+M9*SUMIF(ThresholdAge23,"&lt;"&amp;M9,WeightedRevAge23)-SUMIF(ThresholdAge23,"&lt;"&amp;M9,WeightedMinAge23),MAX(CapacityAge23*АбонементНовых*M9,MeanMinAge23)))</f>
        <v/>
      </c>
      <c r="N70" s="5">
        <f>IF(OR(N43=0,23&lt;=КаникулыРоялти),0,N43*IF(РоялтиПоГруппам="Да",MeanMinAge23+N9*SUMIF(ThresholdAge23,"&lt;"&amp;N9,WeightedRevAge23)-SUMIF(ThresholdAge23,"&lt;"&amp;N9,WeightedMinAge23),MAX(CapacityAge23*АбонементНовых*N9,MeanMinAge23)))</f>
        <v/>
      </c>
      <c r="O70" s="5">
        <f>IF(OR(O43=0,23&lt;=КаникулыРоялти),0,O43*IF(РоялтиПоГруппам="Да",MeanMinAge23+O9*SUMIF(ThresholdAge23,"&lt;"&amp;O9,WeightedRevAge23)-SUMIF(ThresholdAge23,"&lt;"&amp;O9,WeightedMinAge23),MAX(CapacityAge23*АбонементНовых*O9,MeanMinAge23)))</f>
        <v/>
      </c>
      <c r="P70" s="5">
        <f>IF(OR(P43=0,23&lt;=КаникулыРоялти),0,P43*IF(РоялтиПоГруппам="Да",MeanMinAge23+P9*SUMIF(ThresholdAge23,"&lt;"&amp;P9,WeightedRevAge23)-SUMIF(ThresholdAge23,"&lt;"&amp;P9,WeightedMinAge23),MAX(CapacityAge23*АбонементНовых*P9,MeanMinAge23)))</f>
        <v/>
      </c>
      <c r="Q70" s="5">
        <f>IF(OR(Q43=0,23&lt;=КаникулыРоялти),0,Q43*IF(РоялтиПоГруппам="Да",MeanMinAge23+Q9*SUMIF(ThresholdAge23,"&lt;"&amp;Q9,WeightedRevAge23)-SUMIF(ThresholdAge23,"&lt;"&amp;Q9,WeightedMinAge23),MAX(CapacityAge23*АбонементНовых*Q9,MeanMinAge23)))</f>
        <v/>
      </c>
      <c r="R70" s="5">
        <f>IF(OR(R43=0,23&lt;=КаникулыРоялти),0,R43*IF(РоялтиПоГруппам="Да",MeanMinAge23+R9*SUMIF(ThresholdAge23,"&lt;"&amp;R9,WeightedRevAge23)-SUMIF(ThresholdAge23,"&lt;"&amp;R9,WeightedMinAge23),MAX(CapacityAge23*АбонементНовых*R9,MeanMinAge23)))</f>
        <v/>
      </c>
      <c r="S70" s="5">
        <f>IF(OR(S43=0,23&lt;=КаникулыРоялти),0,S43*IF(РоялтиПоГруппам="Да",MeanMinAge23+S9*SUMIF(ThresholdAge23,"&lt;"&amp;S9,WeightedRevAge23)-SUMIF(ThresholdAge23,"&lt;"&amp;S9,WeightedMinAge23),MAX(CapacityAge23*АбонементНовых*S9,MeanMinAge23)))</f>
        <v/>
      </c>
      <c r="T70" s="5">
        <f>IF(OR(T43=0,23&lt;=КаникулыРоялти),0,T43*IF(РоялтиПоГруппам="Да",MeanMinAge23+T9*SUMIF(ThresholdAge23,"&lt;"&amp;T9,WeightedRevAge23)-SUMIF(ThresholdAge23,"&lt;"&amp;T9,WeightedMinAge23),MAX(CapacityAge23*АбонементНовых*T9,MeanMinAge23)))</f>
        <v/>
      </c>
      <c r="U70" s="5">
        <f>IF(OR(U43=0,23&lt;=КаникулыРоялти),0,U43*IF(РоялтиПоГруппам="Да",MeanMinAge23+U9*SUMIF(ThresholdAge23,"&lt;"&amp;U9,WeightedRevAge23)-SUMIF(ThresholdAge23,"&lt;"&amp;U9,WeightedMinAge23),MAX(CapacityAge23*АбонементНовых*U9,MeanMinAge23)))</f>
        <v/>
      </c>
      <c r="V70" s="5">
        <f>IF(OR(V43=0,23&lt;=КаникулыРоялти),0,V43*IF(РоялтиПоГруппам="Да",MeanMinAge23+V9*SUMIF(ThresholdAge23,"&lt;"&amp;V9,WeightedRevAge23)-SUMIF(ThresholdAge23,"&lt;"&amp;V9,WeightedMinAge23),MAX(CapacityAge23*АбонементНовых*V9,MeanMinAge23)))</f>
        <v/>
      </c>
      <c r="W70" s="5">
        <f>IF(OR(W43=0,23&lt;=КаникулыРоялти),0,W43*IF(РоялтиПоГруппам="Да",MeanMinAge23+W9*SUMIF(ThresholdAge23,"&lt;"&amp;W9,WeightedRevAge23)-SUMIF(ThresholdAge23,"&lt;"&amp;W9,WeightedMinAge23),MAX(CapacityAge23*АбонементНовых*W9,MeanMinAge23)))</f>
        <v/>
      </c>
      <c r="X70" s="5">
        <f>IF(OR(X43=0,23&lt;=КаникулыРоялти),0,X43*IF(РоялтиПоГруппам="Да",MeanMinAge23+X9*SUMIF(ThresholdAge23,"&lt;"&amp;X9,WeightedRevAge23)-SUMIF(ThresholdAge23,"&lt;"&amp;X9,WeightedMinAge23),MAX(CapacityAge23*АбонементНовых*X9,MeanMinAge23)))</f>
        <v/>
      </c>
      <c r="Y70" s="5">
        <f>IF(OR(Y43=0,23&lt;=КаникулыРоялти),0,Y43*IF(РоялтиПоГруппам="Да",MeanMinAge23+Y9*SUMIF(ThresholdAge23,"&lt;"&amp;Y9,WeightedRevAge23)-SUMIF(ThresholdAge23,"&lt;"&amp;Y9,WeightedMinAge23),MAX(CapacityAge23*АбонементНовых*Y9,MeanMinAge23)))</f>
        <v/>
      </c>
      <c r="Z70" s="5">
        <f>IF(OR(Z43=0,23&lt;=КаникулыРоялти),0,Z43*IF(РоялтиПоГруппам="Да",MeanMinAge23+Z9*SUMIF(ThresholdAge23,"&lt;"&amp;Z9,WeightedRevAge23)-SUMIF(ThresholdAge23,"&lt;"&amp;Z9,WeightedMinAge23),MAX(CapacityAge23*АбонементНовых*Z9,MeanMinAge23)))</f>
        <v/>
      </c>
      <c r="AA70" s="5">
        <f>IF(OR(AA43=0,23&lt;=КаникулыРоялти),0,AA43*IF(РоялтиПоГруппам="Да",MeanMinAge23+AA9*SUMIF(ThresholdAge23,"&lt;"&amp;AA9,WeightedRevAge23)-SUMIF(ThresholdAge23,"&lt;"&amp;AA9,WeightedMinAge23),MAX(CapacityAge23*АбонементНовых*AA9,MeanMinAge23)))</f>
        <v/>
      </c>
      <c r="AB70" s="5">
        <f>IF(OR(AB43=0,23&lt;=КаникулыРоялти),0,AB43*IF(РоялтиПоГруппам="Да",MeanMinAge23+AB9*SUMIF(ThresholdAge23,"&lt;"&amp;AB9,WeightedRevAge23)-SUMIF(ThresholdAge23,"&lt;"&amp;AB9,WeightedMinAge23),MAX(CapacityAge23*АбонементНовых*AB9,MeanMinAge23)))</f>
        <v/>
      </c>
      <c r="AC70" s="5">
        <f>IF(OR(AC43=0,23&lt;=КаникулыРоялти),0,AC43*IF(РоялтиПоГруппам="Да",MeanMinAge23+AC9*SUMIF(ThresholdAge23,"&lt;"&amp;AC9,WeightedRevAge23)-SUMIF(ThresholdAge23,"&lt;"&amp;AC9,WeightedMinAge23),MAX(CapacityAge23*АбонементНовых*AC9,MeanMinAge23)))</f>
        <v/>
      </c>
      <c r="AD70" s="5">
        <f>IF(OR(AD43=0,23&lt;=КаникулыРоялти),0,AD43*IF(РоялтиПоГруппам="Да",MeanMinAge23+AD9*SUMIF(ThresholdAge23,"&lt;"&amp;AD9,WeightedRevAge23)-SUMIF(ThresholdAge23,"&lt;"&amp;AD9,WeightedMinAge23),MAX(CapacityAge23*АбонементНовых*AD9,MeanMinAge23)))</f>
        <v/>
      </c>
      <c r="AE70" s="5">
        <f>IF(OR(AE43=0,23&lt;=КаникулыРоялти),0,AE43*IF(РоялтиПоГруппам="Да",MeanMinAge23+AE9*SUMIF(ThresholdAge23,"&lt;"&amp;AE9,WeightedRevAge23)-SUMIF(ThresholdAge23,"&lt;"&amp;AE9,WeightedMinAge23),MAX(CapacityAge23*АбонементНовых*AE9,MeanMinAge23)))</f>
        <v/>
      </c>
      <c r="AF70" s="5">
        <f>IF(OR(AF43=0,23&lt;=КаникулыРоялти),0,AF43*IF(РоялтиПоГруппам="Да",MeanMinAge23+AF9*SUMIF(ThresholdAge23,"&lt;"&amp;AF9,WeightedRevAge23)-SUMIF(ThresholdAge23,"&lt;"&amp;AF9,WeightedMinAge23),MAX(CapacityAge23*АбонементНовых*AF9,MeanMinAge23)))</f>
        <v/>
      </c>
      <c r="AG70" s="5">
        <f>IF(OR(AG43=0,23&lt;=КаникулыРоялти),0,AG43*IF(РоялтиПоГруппам="Да",MeanMinAge23+AG9*SUMIF(ThresholdAge23,"&lt;"&amp;AG9,WeightedRevAge23)-SUMIF(ThresholdAge23,"&lt;"&amp;AG9,WeightedMinAge23),MAX(CapacityAge23*АбонементНовых*AG9,MeanMinAge23)))</f>
        <v/>
      </c>
      <c r="AH70" s="5">
        <f>IF(OR(AH43=0,23&lt;=КаникулыРоялти),0,AH43*IF(РоялтиПоГруппам="Да",MeanMinAge23+AH9*SUMIF(ThresholdAge23,"&lt;"&amp;AH9,WeightedRevAge23)-SUMIF(ThresholdAge23,"&lt;"&amp;AH9,WeightedMinAge23),MAX(CapacityAge23*АбонементНовых*AH9,MeanMinAge23)))</f>
        <v/>
      </c>
      <c r="AI70" s="5">
        <f>IF(OR(AI43=0,23&lt;=КаникулыРоялти),0,AI43*IF(РоялтиПоГруппам="Да",MeanMinAge23+AI9*SUMIF(ThresholdAge23,"&lt;"&amp;AI9,WeightedRevAge23)-SUMIF(ThresholdAge23,"&lt;"&amp;AI9,WeightedMinAge23),MAX(CapacityAge23*АбонементНовых*AI9,MeanMinAge23)))</f>
        <v/>
      </c>
      <c r="AJ70" s="5">
        <f>IF(OR(AJ43=0,23&lt;=КаникулыРоялти),0,AJ43*IF(РоялтиПоГруппам="Да",MeanMinAge23+AJ9*SUMIF(ThresholdAge23,"&lt;"&amp;AJ9,WeightedRevAge23)-SUMIF(ThresholdAge23,"&lt;"&amp;AJ9,WeightedMinAge23),MAX(CapacityAge23*АбонементНовых*AJ9,MeanMinAge23)))</f>
        <v/>
      </c>
      <c r="AK70" s="5">
        <f>IF(OR(AK43=0,23&lt;=КаникулыРоялти),0,AK43*IF(РоялтиПоГруппам="Да",MeanMinAge23+AK9*SUMIF(ThresholdAge23,"&lt;"&amp;AK9,WeightedRevAge23)-SUMIF(ThresholdAge23,"&lt;"&amp;AK9,WeightedMinAge23),MAX(CapacityAge23*АбонементНовых*AK9,MeanMinAge23)))</f>
        <v/>
      </c>
      <c r="AL70" s="5">
        <f>IF(OR(AL43=0,23&lt;=КаникулыРоялти),0,AL43*IF(РоялтиПоГруппам="Да",MeanMinAge23+AL9*SUMIF(ThresholdAge23,"&lt;"&amp;AL9,WeightedRevAge23)-SUMIF(ThresholdAge23,"&lt;"&amp;AL9,WeightedMinAge23),MAX(CapacityAge23*АбонементНовых*AL9,MeanMinAge23)))</f>
        <v/>
      </c>
      <c r="AM70" s="5">
        <f>IF(OR(AM43=0,23&lt;=КаникулыРоялти),0,AM43*IF(РоялтиПоГруппам="Да",MeanMinAge23+AM9*SUMIF(ThresholdAge23,"&lt;"&amp;AM9,WeightedRevAge23)-SUMIF(ThresholdAge23,"&lt;"&amp;AM9,WeightedMinAge23),MAX(CapacityAge23*АбонементНовых*AM9,MeanMinAge23)))</f>
        <v/>
      </c>
      <c r="AN70" s="5">
        <f>IF(OR(AN43=0,23&lt;=КаникулыРоялти),0,AN43*IF(РоялтиПоГруппам="Да",MeanMinAge23+AN9*SUMIF(ThresholdAge23,"&lt;"&amp;AN9,WeightedRevAge23)-SUMIF(ThresholdAge23,"&lt;"&amp;AN9,WeightedMinAge23),MAX(CapacityAge23*АбонементНовых*AN9,MeanMinAge23)))</f>
        <v/>
      </c>
      <c r="AO70" s="5">
        <f>IF(OR(AO43=0,23&lt;=КаникулыРоялти),0,AO43*IF(РоялтиПоГруппам="Да",MeanMinAge23+AO9*SUMIF(ThresholdAge23,"&lt;"&amp;AO9,WeightedRevAge23)-SUMIF(ThresholdAge23,"&lt;"&amp;AO9,WeightedMinAge23),MAX(CapacityAge23*АбонементНовых*AO9,MeanMinAge23)))</f>
        <v/>
      </c>
      <c r="AP70" s="5">
        <f>IF(OR(AP43=0,23&lt;=КаникулыРоялти),0,AP43*IF(РоялтиПоГруппам="Да",MeanMinAge23+AP9*SUMIF(ThresholdAge23,"&lt;"&amp;AP9,WeightedRevAge23)-SUMIF(ThresholdAge23,"&lt;"&amp;AP9,WeightedMinAge23),MAX(CapacityAge23*АбонементНовых*AP9,MeanMinAge23)))</f>
        <v/>
      </c>
      <c r="AQ70" s="5">
        <f>IF(OR(AQ43=0,23&lt;=КаникулыРоялти),0,AQ43*IF(РоялтиПоГруппам="Да",MeanMinAge23+AQ9*SUMIF(ThresholdAge23,"&lt;"&amp;AQ9,WeightedRevAge23)-SUMIF(ThresholdAge23,"&lt;"&amp;AQ9,WeightedMinAge23),MAX(CapacityAge23*АбонементНовых*AQ9,MeanMinAge23)))</f>
        <v/>
      </c>
      <c r="AR70" s="5">
        <f>IF(OR(AR43=0,23&lt;=КаникулыРоялти),0,AR43*IF(РоялтиПоГруппам="Да",MeanMinAge23+AR9*SUMIF(ThresholdAge23,"&lt;"&amp;AR9,WeightedRevAge23)-SUMIF(ThresholdAge23,"&lt;"&amp;AR9,WeightedMinAge23),MAX(CapacityAge23*АбонементНовых*AR9,MeanMinAge23)))</f>
        <v/>
      </c>
      <c r="AS70" s="5">
        <f>IF(OR(AS43=0,23&lt;=КаникулыРоялти),0,AS43*IF(РоялтиПоГруппам="Да",MeanMinAge23+AS9*SUMIF(ThresholdAge23,"&lt;"&amp;AS9,WeightedRevAge23)-SUMIF(ThresholdAge23,"&lt;"&amp;AS9,WeightedMinAge23),MAX(CapacityAge23*АбонементНовых*AS9,MeanMinAge23)))</f>
        <v/>
      </c>
      <c r="AT70" s="5">
        <f>IF(OR(AT43=0,23&lt;=КаникулыРоялти),0,AT43*IF(РоялтиПоГруппам="Да",MeanMinAge23+AT9*SUMIF(ThresholdAge23,"&lt;"&amp;AT9,WeightedRevAge23)-SUMIF(ThresholdAge23,"&lt;"&amp;AT9,WeightedMinAge23),MAX(CapacityAge23*АбонементНовых*AT9,MeanMinAge23)))</f>
        <v/>
      </c>
      <c r="AU70" s="5">
        <f>IF(OR(AU43=0,23&lt;=КаникулыРоялти),0,AU43*IF(РоялтиПоГруппам="Да",MeanMinAge23+AU9*SUMIF(ThresholdAge23,"&lt;"&amp;AU9,WeightedRevAge23)-SUMIF(ThresholdAge23,"&lt;"&amp;AU9,WeightedMinAge23),MAX(CapacityAge23*АбонементНовых*AU9,MeanMinAge23)))</f>
        <v/>
      </c>
      <c r="AV70" s="5">
        <f>IF(OR(AV43=0,23&lt;=КаникулыРоялти),0,AV43*IF(РоялтиПоГруппам="Да",MeanMinAge23+AV9*SUMIF(ThresholdAge23,"&lt;"&amp;AV9,WeightedRevAge23)-SUMIF(ThresholdAge23,"&lt;"&amp;AV9,WeightedMinAge23),MAX(CapacityAge23*АбонементНовых*AV9,MeanMinAge23)))</f>
        <v/>
      </c>
      <c r="AW70" s="5">
        <f>IF(OR(AW43=0,23&lt;=КаникулыРоялти),0,AW43*IF(РоялтиПоГруппам="Да",MeanMinAge23+AW9*SUMIF(ThresholdAge23,"&lt;"&amp;AW9,WeightedRevAge23)-SUMIF(ThresholdAge23,"&lt;"&amp;AW9,WeightedMinAge23),MAX(CapacityAge23*АбонементНовых*AW9,MeanMinAge23)))</f>
        <v/>
      </c>
      <c r="AX70" s="5">
        <f>IF(OR(AX43=0,23&lt;=КаникулыРоялти),0,AX43*IF(РоялтиПоГруппам="Да",MeanMinAge23+AX9*SUMIF(ThresholdAge23,"&lt;"&amp;AX9,WeightedRevAge23)-SUMIF(ThresholdAge23,"&lt;"&amp;AX9,WeightedMinAge23),MAX(CapacityAge23*АбонементНовых*AX9,MeanMinAge23)))</f>
        <v/>
      </c>
      <c r="AY70" s="5">
        <f>IF(OR(AY43=0,23&lt;=КаникулыРоялти),0,AY43*IF(РоялтиПоГруппам="Да",MeanMinAge23+AY9*SUMIF(ThresholdAge23,"&lt;"&amp;AY9,WeightedRevAge23)-SUMIF(ThresholdAge23,"&lt;"&amp;AY9,WeightedMinAge23),MAX(CapacityAge23*АбонементНовых*AY9,MeanMinAge23)))</f>
        <v/>
      </c>
      <c r="AZ70" s="5">
        <f>IF(OR(AZ43=0,23&lt;=КаникулыРоялти),0,AZ43*IF(РоялтиПоГруппам="Да",MeanMinAge23+AZ9*SUMIF(ThresholdAge23,"&lt;"&amp;AZ9,WeightedRevAge23)-SUMIF(ThresholdAge23,"&lt;"&amp;AZ9,WeightedMinAge23),MAX(CapacityAge23*АбонементНовых*AZ9,MeanMinAge23)))</f>
        <v/>
      </c>
      <c r="BA70" s="5">
        <f>IF(OR(BA43=0,23&lt;=КаникулыРоялти),0,BA43*IF(РоялтиПоГруппам="Да",MeanMinAge23+BA9*SUMIF(ThresholdAge23,"&lt;"&amp;BA9,WeightedRevAge23)-SUMIF(ThresholdAge23,"&lt;"&amp;BA9,WeightedMinAge23),MAX(CapacityAge23*АбонементНовых*BA9,MeanMinAge23)))</f>
        <v/>
      </c>
      <c r="BB70" s="5">
        <f>IF(OR(BB43=0,23&lt;=КаникулыРоялти),0,BB43*IF(РоялтиПоГруппам="Да",MeanMinAge23+BB9*SUMIF(ThresholdAge23,"&lt;"&amp;BB9,WeightedRevAge23)-SUMIF(ThresholdAge23,"&lt;"&amp;BB9,WeightedMinAge23),MAX(CapacityAge23*АбонементНовых*BB9,MeanMinAge23)))</f>
        <v/>
      </c>
      <c r="BC70" s="5">
        <f>IF(OR(BC43=0,23&lt;=КаникулыРоялти),0,BC43*IF(РоялтиПоГруппам="Да",MeanMinAge23+BC9*SUMIF(ThresholdAge23,"&lt;"&amp;BC9,WeightedRevAge23)-SUMIF(ThresholdAge23,"&lt;"&amp;BC9,WeightedMinAge23),MAX(CapacityAge23*АбонементНовых*BC9,MeanMinAge23)))</f>
        <v/>
      </c>
      <c r="BD70" s="5">
        <f>IF(OR(BD43=0,23&lt;=КаникулыРоялти),0,BD43*IF(РоялтиПоГруппам="Да",MeanMinAge23+BD9*SUMIF(ThresholdAge23,"&lt;"&amp;BD9,WeightedRevAge23)-SUMIF(ThresholdAge23,"&lt;"&amp;BD9,WeightedMinAge23),MAX(CapacityAge23*АбонементНовых*BD9,MeanMinAge23)))</f>
        <v/>
      </c>
      <c r="BE70" s="5">
        <f>IF(OR(BE43=0,23&lt;=КаникулыРоялти),0,BE43*IF(РоялтиПоГруппам="Да",MeanMinAge23+BE9*SUMIF(ThresholdAge23,"&lt;"&amp;BE9,WeightedRevAge23)-SUMIF(ThresholdAge23,"&lt;"&amp;BE9,WeightedMinAge23),MAX(CapacityAge23*АбонементНовых*BE9,MeanMinAge23)))</f>
        <v/>
      </c>
      <c r="BF70" s="5">
        <f>IF(OR(BF43=0,23&lt;=КаникулыРоялти),0,BF43*IF(РоялтиПоГруппам="Да",MeanMinAge23+BF9*SUMIF(ThresholdAge23,"&lt;"&amp;BF9,WeightedRevAge23)-SUMIF(ThresholdAge23,"&lt;"&amp;BF9,WeightedMinAge23),MAX(CapacityAge23*АбонементНовых*BF9,MeanMinAge23)))</f>
        <v/>
      </c>
      <c r="BG70" s="5">
        <f>IF(OR(BG43=0,23&lt;=КаникулыРоялти),0,BG43*IF(РоялтиПоГруппам="Да",MeanMinAge23+BG9*SUMIF(ThresholdAge23,"&lt;"&amp;BG9,WeightedRevAge23)-SUMIF(ThresholdAge23,"&lt;"&amp;BG9,WeightedMinAge23),MAX(CapacityAge23*АбонементНовых*BG9,MeanMinAge23)))</f>
        <v/>
      </c>
      <c r="BH70" s="5">
        <f>IF(OR(BH43=0,23&lt;=КаникулыРоялти),0,BH43*IF(РоялтиПоГруппам="Да",MeanMinAge23+BH9*SUMIF(ThresholdAge23,"&lt;"&amp;BH9,WeightedRevAge23)-SUMIF(ThresholdAge23,"&lt;"&amp;BH9,WeightedMinAge23),MAX(CapacityAge23*АбонементНовых*BH9,MeanMinAge23)))</f>
        <v/>
      </c>
      <c r="BI70" s="5">
        <f>IF(OR(BI43=0,23&lt;=КаникулыРоялти),0,BI43*IF(РоялтиПоГруппам="Да",MeanMinAge23+BI9*SUMIF(ThresholdAge23,"&lt;"&amp;BI9,WeightedRevAge23)-SUMIF(ThresholdAge23,"&lt;"&amp;BI9,WeightedMinAge23),MAX(CapacityAge23*АбонементНовых*BI9,MeanMinAge23)))</f>
        <v/>
      </c>
      <c r="BJ70" s="5">
        <f>IF(OR(BJ43=0,23&lt;=КаникулыРоялти),0,BJ43*IF(РоялтиПоГруппам="Да",MeanMinAge23+BJ9*SUMIF(ThresholdAge23,"&lt;"&amp;BJ9,WeightedRevAge23)-SUMIF(ThresholdAge23,"&lt;"&amp;BJ9,WeightedMinAge23),MAX(CapacityAge23*АбонементНовых*BJ9,MeanMinAge23)))</f>
        <v/>
      </c>
      <c r="BK70" s="5">
        <f>IF(OR(BK43=0,23&lt;=КаникулыРоялти),0,BK43*IF(РоялтиПоГруппам="Да",MeanMinAge23+BK9*SUMIF(ThresholdAge23,"&lt;"&amp;BK9,WeightedRevAge23)-SUMIF(ThresholdAge23,"&lt;"&amp;BK9,WeightedMinAge23),MAX(CapacityAge23*АбонементНовых*BK9,MeanMinAge23)))</f>
        <v/>
      </c>
      <c r="BL70" s="5">
        <f>IF(OR(BL43=0,23&lt;=КаникулыРоялти),0,BL43*IF(РоялтиПоГруппам="Да",MeanMinAge23+BL9*SUMIF(ThresholdAge23,"&lt;"&amp;BL9,WeightedRevAge23)-SUMIF(ThresholdAge23,"&lt;"&amp;BL9,WeightedMinAge23),MAX(CapacityAge23*АбонементНовых*BL9,MeanMinAge23)))</f>
        <v/>
      </c>
      <c r="BM70" s="5">
        <f>IF(OR(BM43=0,23&lt;=КаникулыРоялти),0,BM43*IF(РоялтиПоГруппам="Да",MeanMinAge23+BM9*SUMIF(ThresholdAge23,"&lt;"&amp;BM9,WeightedRevAge23)-SUMIF(ThresholdAge23,"&lt;"&amp;BM9,WeightedMinAge23),MAX(CapacityAge23*АбонементНовых*BM9,MeanMinAge23)))</f>
        <v/>
      </c>
      <c r="BN70" s="5">
        <f>IF(OR(BN43=0,23&lt;=КаникулыРоялти),0,BN43*IF(РоялтиПоГруппам="Да",MeanMinAge23+BN9*SUMIF(ThresholdAge23,"&lt;"&amp;BN9,WeightedRevAge23)-SUMIF(ThresholdAge23,"&lt;"&amp;BN9,WeightedMinAge23),MAX(CapacityAge23*АбонементНовых*BN9,MeanMinAge23)))</f>
        <v/>
      </c>
      <c r="BO70" s="5">
        <f>IF(OR(BO43=0,23&lt;=КаникулыРоялти),0,BO43*IF(РоялтиПоГруппам="Да",MeanMinAge23+BO9*SUMIF(ThresholdAge23,"&lt;"&amp;BO9,WeightedRevAge23)-SUMIF(ThresholdAge23,"&lt;"&amp;BO9,WeightedMinAge23),MAX(CapacityAge23*АбонементНовых*BO9,MeanMinAge23)))</f>
        <v/>
      </c>
      <c r="BP70" s="5">
        <f>IF(OR(BP43=0,23&lt;=КаникулыРоялти),0,BP43*IF(РоялтиПоГруппам="Да",MeanMinAge23+BP9*SUMIF(ThresholdAge23,"&lt;"&amp;BP9,WeightedRevAge23)-SUMIF(ThresholdAge23,"&lt;"&amp;BP9,WeightedMinAge23),MAX(CapacityAge23*АбонементНовых*BP9,MeanMinAge23)))</f>
        <v/>
      </c>
      <c r="BQ70" s="5">
        <f>IF(OR(BQ43=0,23&lt;=КаникулыРоялти),0,BQ43*IF(РоялтиПоГруппам="Да",MeanMinAge23+BQ9*SUMIF(ThresholdAge23,"&lt;"&amp;BQ9,WeightedRevAge23)-SUMIF(ThresholdAge23,"&lt;"&amp;BQ9,WeightedMinAge23),MAX(CapacityAge23*АбонементНовых*BQ9,MeanMinAge23)))</f>
        <v/>
      </c>
      <c r="BR70" s="5">
        <f>IF(OR(BR43=0,23&lt;=КаникулыРоялти),0,BR43*IF(РоялтиПоГруппам="Да",MeanMinAge23+BR9*SUMIF(ThresholdAge23,"&lt;"&amp;BR9,WeightedRevAge23)-SUMIF(ThresholdAge23,"&lt;"&amp;BR9,WeightedMinAge23),MAX(CapacityAge23*АбонементНовых*BR9,MeanMinAge23)))</f>
        <v/>
      </c>
      <c r="BS70" s="5">
        <f>IF(OR(BS43=0,23&lt;=КаникулыРоялти),0,BS43*IF(РоялтиПоГруппам="Да",MeanMinAge23+BS9*SUMIF(ThresholdAge23,"&lt;"&amp;BS9,WeightedRevAge23)-SUMIF(ThresholdAge23,"&lt;"&amp;BS9,WeightedMinAge23),MAX(CapacityAge23*АбонементНовых*BS9,MeanMinAge23)))</f>
        <v/>
      </c>
      <c r="BT70" s="5">
        <f>IF(OR(BT43=0,23&lt;=КаникулыРоялти),0,BT43*IF(РоялтиПоГруппам="Да",MeanMinAge23+BT9*SUMIF(ThresholdAge23,"&lt;"&amp;BT9,WeightedRevAge23)-SUMIF(ThresholdAge23,"&lt;"&amp;BT9,WeightedMinAge23),MAX(CapacityAge23*АбонементНовых*BT9,MeanMinAge23)))</f>
        <v/>
      </c>
      <c r="BU70" s="5">
        <f>IF(OR(BU43=0,23&lt;=КаникулыРоялти),0,BU43*IF(РоялтиПоГруппам="Да",MeanMinAge23+BU9*SUMIF(ThresholdAge23,"&lt;"&amp;BU9,WeightedRevAge23)-SUMIF(ThresholdAge23,"&lt;"&amp;BU9,WeightedMinAge23),MAX(CapacityAge23*АбонементНовых*BU9,MeanMinAge23)))</f>
        <v/>
      </c>
      <c r="BV70" s="5">
        <f>IF(OR(BV43=0,23&lt;=КаникулыРоялти),0,BV43*IF(РоялтиПоГруппам="Да",MeanMinAge23+BV9*SUMIF(ThresholdAge23,"&lt;"&amp;BV9,WeightedRevAge23)-SUMIF(ThresholdAge23,"&lt;"&amp;BV9,WeightedMinAge23),MAX(CapacityAge23*АбонементНовых*BV9,MeanMinAge23)))</f>
        <v/>
      </c>
      <c r="BW70" s="5">
        <f>IF(OR(BW43=0,23&lt;=КаникулыРоялти),0,BW43*IF(РоялтиПоГруппам="Да",MeanMinAge23+BW9*SUMIF(ThresholdAge23,"&lt;"&amp;BW9,WeightedRevAge23)-SUMIF(ThresholdAge23,"&lt;"&amp;BW9,WeightedMinAge23),MAX(CapacityAge23*АбонементНовых*BW9,MeanMinAge23)))</f>
        <v/>
      </c>
      <c r="BX70" s="5">
        <f>IF(OR(BX43=0,23&lt;=КаникулыРоялти),0,BX43*IF(РоялтиПоГруппам="Да",MeanMinAge23+BX9*SUMIF(ThresholdAge23,"&lt;"&amp;BX9,WeightedRevAge23)-SUMIF(ThresholdAge23,"&lt;"&amp;BX9,WeightedMinAge23),MAX(CapacityAge23*АбонементНовых*BX9,MeanMinAge23)))</f>
        <v/>
      </c>
      <c r="BY70" s="5">
        <f>IF(OR(BY43=0,23&lt;=КаникулыРоялти),0,BY43*IF(РоялтиПоГруппам="Да",MeanMinAge23+BY9*SUMIF(ThresholdAge23,"&lt;"&amp;BY9,WeightedRevAge23)-SUMIF(ThresholdAge23,"&lt;"&amp;BY9,WeightedMinAge23),MAX(CapacityAge23*АбонементНовых*BY9,MeanMinAge23)))</f>
        <v/>
      </c>
    </row>
    <row r="71">
      <c r="B71" t="inlineStr">
        <is>
          <t>24 мес.</t>
        </is>
      </c>
      <c r="C71" t="inlineStr">
        <is>
          <t>₽</t>
        </is>
      </c>
      <c r="D71" s="127" t="inlineStr"/>
      <c r="E71" s="129">
        <f>SUM(L71:W71)</f>
        <v/>
      </c>
      <c r="F71" s="129">
        <f>SUM(X71:AI71)</f>
        <v/>
      </c>
      <c r="G71" s="129">
        <f>SUM(AJ71:AU71)</f>
        <v/>
      </c>
      <c r="H71" s="129">
        <f>SUM(AV71:BG71)</f>
        <v/>
      </c>
      <c r="I71" s="129">
        <f>SUM(BH71:BS71)</f>
        <v/>
      </c>
      <c r="J71" s="6">
        <f>SUM(L71:BS71)</f>
        <v/>
      </c>
      <c r="L71" s="5">
        <f>IF(OR(L44=0,24&lt;=КаникулыРоялти),0,L44*IF(РоялтиПоГруппам="Да",MeanMinAge24+L9*SUMIF(ThresholdAge24,"&lt;"&amp;L9,WeightedRevAge24)-SUMIF(ThresholdAge24,"&lt;"&amp;L9,WeightedMinAge24),MAX(CapacityAge24*АбонементНовых*L9,MeanMinAge24)))</f>
        <v/>
      </c>
      <c r="M71" s="5">
        <f>IF(OR(M44=0,24&lt;=КаникулыРоялти),0,M44*IF(РоялтиПоГруппам="Да",MeanMinAge24+M9*SUMIF(ThresholdAge24,"&lt;"&amp;M9,WeightedRevAge24)-SUMIF(ThresholdAge24,"&lt;"&amp;M9,WeightedMinAge24),MAX(CapacityAge24*АбонементНовых*M9,MeanMinAge24)))</f>
        <v/>
      </c>
      <c r="N71" s="5">
        <f>IF(OR(N44=0,24&lt;=КаникулыРоялти),0,N44*IF(РоялтиПоГруппам="Да",MeanMinAge24+N9*SUMIF(ThresholdAge24,"&lt;"&amp;N9,WeightedRevAge24)-SUMIF(ThresholdAge24,"&lt;"&amp;N9,WeightedMinAge24),MAX(CapacityAge24*АбонементНовых*N9,MeanMinAge24)))</f>
        <v/>
      </c>
      <c r="O71" s="5">
        <f>IF(OR(O44=0,24&lt;=КаникулыРоялти),0,O44*IF(РоялтиПоГруппам="Да",MeanMinAge24+O9*SUMIF(ThresholdAge24,"&lt;"&amp;O9,WeightedRevAge24)-SUMIF(ThresholdAge24,"&lt;"&amp;O9,WeightedMinAge24),MAX(CapacityAge24*АбонементНовых*O9,MeanMinAge24)))</f>
        <v/>
      </c>
      <c r="P71" s="5">
        <f>IF(OR(P44=0,24&lt;=КаникулыРоялти),0,P44*IF(РоялтиПоГруппам="Да",MeanMinAge24+P9*SUMIF(ThresholdAge24,"&lt;"&amp;P9,WeightedRevAge24)-SUMIF(ThresholdAge24,"&lt;"&amp;P9,WeightedMinAge24),MAX(CapacityAge24*АбонементНовых*P9,MeanMinAge24)))</f>
        <v/>
      </c>
      <c r="Q71" s="5">
        <f>IF(OR(Q44=0,24&lt;=КаникулыРоялти),0,Q44*IF(РоялтиПоГруппам="Да",MeanMinAge24+Q9*SUMIF(ThresholdAge24,"&lt;"&amp;Q9,WeightedRevAge24)-SUMIF(ThresholdAge24,"&lt;"&amp;Q9,WeightedMinAge24),MAX(CapacityAge24*АбонементНовых*Q9,MeanMinAge24)))</f>
        <v/>
      </c>
      <c r="R71" s="5">
        <f>IF(OR(R44=0,24&lt;=КаникулыРоялти),0,R44*IF(РоялтиПоГруппам="Да",MeanMinAge24+R9*SUMIF(ThresholdAge24,"&lt;"&amp;R9,WeightedRevAge24)-SUMIF(ThresholdAge24,"&lt;"&amp;R9,WeightedMinAge24),MAX(CapacityAge24*АбонементНовых*R9,MeanMinAge24)))</f>
        <v/>
      </c>
      <c r="S71" s="5">
        <f>IF(OR(S44=0,24&lt;=КаникулыРоялти),0,S44*IF(РоялтиПоГруппам="Да",MeanMinAge24+S9*SUMIF(ThresholdAge24,"&lt;"&amp;S9,WeightedRevAge24)-SUMIF(ThresholdAge24,"&lt;"&amp;S9,WeightedMinAge24),MAX(CapacityAge24*АбонементНовых*S9,MeanMinAge24)))</f>
        <v/>
      </c>
      <c r="T71" s="5">
        <f>IF(OR(T44=0,24&lt;=КаникулыРоялти),0,T44*IF(РоялтиПоГруппам="Да",MeanMinAge24+T9*SUMIF(ThresholdAge24,"&lt;"&amp;T9,WeightedRevAge24)-SUMIF(ThresholdAge24,"&lt;"&amp;T9,WeightedMinAge24),MAX(CapacityAge24*АбонементНовых*T9,MeanMinAge24)))</f>
        <v/>
      </c>
      <c r="U71" s="5">
        <f>IF(OR(U44=0,24&lt;=КаникулыРоялти),0,U44*IF(РоялтиПоГруппам="Да",MeanMinAge24+U9*SUMIF(ThresholdAge24,"&lt;"&amp;U9,WeightedRevAge24)-SUMIF(ThresholdAge24,"&lt;"&amp;U9,WeightedMinAge24),MAX(CapacityAge24*АбонементНовых*U9,MeanMinAge24)))</f>
        <v/>
      </c>
      <c r="V71" s="5">
        <f>IF(OR(V44=0,24&lt;=КаникулыРоялти),0,V44*IF(РоялтиПоГруппам="Да",MeanMinAge24+V9*SUMIF(ThresholdAge24,"&lt;"&amp;V9,WeightedRevAge24)-SUMIF(ThresholdAge24,"&lt;"&amp;V9,WeightedMinAge24),MAX(CapacityAge24*АбонементНовых*V9,MeanMinAge24)))</f>
        <v/>
      </c>
      <c r="W71" s="5">
        <f>IF(OR(W44=0,24&lt;=КаникулыРоялти),0,W44*IF(РоялтиПоГруппам="Да",MeanMinAge24+W9*SUMIF(ThresholdAge24,"&lt;"&amp;W9,WeightedRevAge24)-SUMIF(ThresholdAge24,"&lt;"&amp;W9,WeightedMinAge24),MAX(CapacityAge24*АбонементНовых*W9,MeanMinAge24)))</f>
        <v/>
      </c>
      <c r="X71" s="5">
        <f>IF(OR(X44=0,24&lt;=КаникулыРоялти),0,X44*IF(РоялтиПоГруппам="Да",MeanMinAge24+X9*SUMIF(ThresholdAge24,"&lt;"&amp;X9,WeightedRevAge24)-SUMIF(ThresholdAge24,"&lt;"&amp;X9,WeightedMinAge24),MAX(CapacityAge24*АбонементНовых*X9,MeanMinAge24)))</f>
        <v/>
      </c>
      <c r="Y71" s="5">
        <f>IF(OR(Y44=0,24&lt;=КаникулыРоялти),0,Y44*IF(РоялтиПоГруппам="Да",MeanMinAge24+Y9*SUMIF(ThresholdAge24,"&lt;"&amp;Y9,WeightedRevAge24)-SUMIF(ThresholdAge24,"&lt;"&amp;Y9,WeightedMinAge24),MAX(CapacityAge24*АбонементНовых*Y9,MeanMinAge24)))</f>
        <v/>
      </c>
      <c r="Z71" s="5">
        <f>IF(OR(Z44=0,24&lt;=КаникулыРоялти),0,Z44*IF(РоялтиПоГруппам="Да",MeanMinAge24+Z9*SUMIF(ThresholdAge24,"&lt;"&amp;Z9,WeightedRevAge24)-SUMIF(ThresholdAge24,"&lt;"&amp;Z9,WeightedMinAge24),MAX(CapacityAge24*АбонементНовых*Z9,MeanMinAge24)))</f>
        <v/>
      </c>
      <c r="AA71" s="5">
        <f>IF(OR(AA44=0,24&lt;=КаникулыРоялти),0,AA44*IF(РоялтиПоГруппам="Да",MeanMinAge24+AA9*SUMIF(ThresholdAge24,"&lt;"&amp;AA9,WeightedRevAge24)-SUMIF(ThresholdAge24,"&lt;"&amp;AA9,WeightedMinAge24),MAX(CapacityAge24*АбонементНовых*AA9,MeanMinAge24)))</f>
        <v/>
      </c>
      <c r="AB71" s="5">
        <f>IF(OR(AB44=0,24&lt;=КаникулыРоялти),0,AB44*IF(РоялтиПоГруппам="Да",MeanMinAge24+AB9*SUMIF(ThresholdAge24,"&lt;"&amp;AB9,WeightedRevAge24)-SUMIF(ThresholdAge24,"&lt;"&amp;AB9,WeightedMinAge24),MAX(CapacityAge24*АбонементНовых*AB9,MeanMinAge24)))</f>
        <v/>
      </c>
      <c r="AC71" s="5">
        <f>IF(OR(AC44=0,24&lt;=КаникулыРоялти),0,AC44*IF(РоялтиПоГруппам="Да",MeanMinAge24+AC9*SUMIF(ThresholdAge24,"&lt;"&amp;AC9,WeightedRevAge24)-SUMIF(ThresholdAge24,"&lt;"&amp;AC9,WeightedMinAge24),MAX(CapacityAge24*АбонементНовых*AC9,MeanMinAge24)))</f>
        <v/>
      </c>
      <c r="AD71" s="5">
        <f>IF(OR(AD44=0,24&lt;=КаникулыРоялти),0,AD44*IF(РоялтиПоГруппам="Да",MeanMinAge24+AD9*SUMIF(ThresholdAge24,"&lt;"&amp;AD9,WeightedRevAge24)-SUMIF(ThresholdAge24,"&lt;"&amp;AD9,WeightedMinAge24),MAX(CapacityAge24*АбонементНовых*AD9,MeanMinAge24)))</f>
        <v/>
      </c>
      <c r="AE71" s="5">
        <f>IF(OR(AE44=0,24&lt;=КаникулыРоялти),0,AE44*IF(РоялтиПоГруппам="Да",MeanMinAge24+AE9*SUMIF(ThresholdAge24,"&lt;"&amp;AE9,WeightedRevAge24)-SUMIF(ThresholdAge24,"&lt;"&amp;AE9,WeightedMinAge24),MAX(CapacityAge24*АбонементНовых*AE9,MeanMinAge24)))</f>
        <v/>
      </c>
      <c r="AF71" s="5">
        <f>IF(OR(AF44=0,24&lt;=КаникулыРоялти),0,AF44*IF(РоялтиПоГруппам="Да",MeanMinAge24+AF9*SUMIF(ThresholdAge24,"&lt;"&amp;AF9,WeightedRevAge24)-SUMIF(ThresholdAge24,"&lt;"&amp;AF9,WeightedMinAge24),MAX(CapacityAge24*АбонементНовых*AF9,MeanMinAge24)))</f>
        <v/>
      </c>
      <c r="AG71" s="5">
        <f>IF(OR(AG44=0,24&lt;=КаникулыРоялти),0,AG44*IF(РоялтиПоГруппам="Да",MeanMinAge24+AG9*SUMIF(ThresholdAge24,"&lt;"&amp;AG9,WeightedRevAge24)-SUMIF(ThresholdAge24,"&lt;"&amp;AG9,WeightedMinAge24),MAX(CapacityAge24*АбонементНовых*AG9,MeanMinAge24)))</f>
        <v/>
      </c>
      <c r="AH71" s="5">
        <f>IF(OR(AH44=0,24&lt;=КаникулыРоялти),0,AH44*IF(РоялтиПоГруппам="Да",MeanMinAge24+AH9*SUMIF(ThresholdAge24,"&lt;"&amp;AH9,WeightedRevAge24)-SUMIF(ThresholdAge24,"&lt;"&amp;AH9,WeightedMinAge24),MAX(CapacityAge24*АбонементНовых*AH9,MeanMinAge24)))</f>
        <v/>
      </c>
      <c r="AI71" s="5">
        <f>IF(OR(AI44=0,24&lt;=КаникулыРоялти),0,AI44*IF(РоялтиПоГруппам="Да",MeanMinAge24+AI9*SUMIF(ThresholdAge24,"&lt;"&amp;AI9,WeightedRevAge24)-SUMIF(ThresholdAge24,"&lt;"&amp;AI9,WeightedMinAge24),MAX(CapacityAge24*АбонементНовых*AI9,MeanMinAge24)))</f>
        <v/>
      </c>
      <c r="AJ71" s="5">
        <f>IF(OR(AJ44=0,24&lt;=КаникулыРоялти),0,AJ44*IF(РоялтиПоГруппам="Да",MeanMinAge24+AJ9*SUMIF(ThresholdAge24,"&lt;"&amp;AJ9,WeightedRevAge24)-SUMIF(ThresholdAge24,"&lt;"&amp;AJ9,WeightedMinAge24),MAX(CapacityAge24*АбонементНовых*AJ9,MeanMinAge24)))</f>
        <v/>
      </c>
      <c r="AK71" s="5">
        <f>IF(OR(AK44=0,24&lt;=КаникулыРоялти),0,AK44*IF(РоялтиПоГруппам="Да",MeanMinAge24+AK9*SUMIF(ThresholdAge24,"&lt;"&amp;AK9,WeightedRevAge24)-SUMIF(ThresholdAge24,"&lt;"&amp;AK9,WeightedMinAge24),MAX(CapacityAge24*АбонементНовых*AK9,MeanMinAge24)))</f>
        <v/>
      </c>
      <c r="AL71" s="5">
        <f>IF(OR(AL44=0,24&lt;=КаникулыРоялти),0,AL44*IF(РоялтиПоГруппам="Да",MeanMinAge24+AL9*SUMIF(ThresholdAge24,"&lt;"&amp;AL9,WeightedRevAge24)-SUMIF(ThresholdAge24,"&lt;"&amp;AL9,WeightedMinAge24),MAX(CapacityAge24*АбонементНовых*AL9,MeanMinAge24)))</f>
        <v/>
      </c>
      <c r="AM71" s="5">
        <f>IF(OR(AM44=0,24&lt;=КаникулыРоялти),0,AM44*IF(РоялтиПоГруппам="Да",MeanMinAge24+AM9*SUMIF(ThresholdAge24,"&lt;"&amp;AM9,WeightedRevAge24)-SUMIF(ThresholdAge24,"&lt;"&amp;AM9,WeightedMinAge24),MAX(CapacityAge24*АбонементНовых*AM9,MeanMinAge24)))</f>
        <v/>
      </c>
      <c r="AN71" s="5">
        <f>IF(OR(AN44=0,24&lt;=КаникулыРоялти),0,AN44*IF(РоялтиПоГруппам="Да",MeanMinAge24+AN9*SUMIF(ThresholdAge24,"&lt;"&amp;AN9,WeightedRevAge24)-SUMIF(ThresholdAge24,"&lt;"&amp;AN9,WeightedMinAge24),MAX(CapacityAge24*АбонементНовых*AN9,MeanMinAge24)))</f>
        <v/>
      </c>
      <c r="AO71" s="5">
        <f>IF(OR(AO44=0,24&lt;=КаникулыРоялти),0,AO44*IF(РоялтиПоГруппам="Да",MeanMinAge24+AO9*SUMIF(ThresholdAge24,"&lt;"&amp;AO9,WeightedRevAge24)-SUMIF(ThresholdAge24,"&lt;"&amp;AO9,WeightedMinAge24),MAX(CapacityAge24*АбонементНовых*AO9,MeanMinAge24)))</f>
        <v/>
      </c>
      <c r="AP71" s="5">
        <f>IF(OR(AP44=0,24&lt;=КаникулыРоялти),0,AP44*IF(РоялтиПоГруппам="Да",MeanMinAge24+AP9*SUMIF(ThresholdAge24,"&lt;"&amp;AP9,WeightedRevAge24)-SUMIF(ThresholdAge24,"&lt;"&amp;AP9,WeightedMinAge24),MAX(CapacityAge24*АбонементНовых*AP9,MeanMinAge24)))</f>
        <v/>
      </c>
      <c r="AQ71" s="5">
        <f>IF(OR(AQ44=0,24&lt;=КаникулыРоялти),0,AQ44*IF(РоялтиПоГруппам="Да",MeanMinAge24+AQ9*SUMIF(ThresholdAge24,"&lt;"&amp;AQ9,WeightedRevAge24)-SUMIF(ThresholdAge24,"&lt;"&amp;AQ9,WeightedMinAge24),MAX(CapacityAge24*АбонементНовых*AQ9,MeanMinAge24)))</f>
        <v/>
      </c>
      <c r="AR71" s="5">
        <f>IF(OR(AR44=0,24&lt;=КаникулыРоялти),0,AR44*IF(РоялтиПоГруппам="Да",MeanMinAge24+AR9*SUMIF(ThresholdAge24,"&lt;"&amp;AR9,WeightedRevAge24)-SUMIF(ThresholdAge24,"&lt;"&amp;AR9,WeightedMinAge24),MAX(CapacityAge24*АбонементНовых*AR9,MeanMinAge24)))</f>
        <v/>
      </c>
      <c r="AS71" s="5">
        <f>IF(OR(AS44=0,24&lt;=КаникулыРоялти),0,AS44*IF(РоялтиПоГруппам="Да",MeanMinAge24+AS9*SUMIF(ThresholdAge24,"&lt;"&amp;AS9,WeightedRevAge24)-SUMIF(ThresholdAge24,"&lt;"&amp;AS9,WeightedMinAge24),MAX(CapacityAge24*АбонементНовых*AS9,MeanMinAge24)))</f>
        <v/>
      </c>
      <c r="AT71" s="5">
        <f>IF(OR(AT44=0,24&lt;=КаникулыРоялти),0,AT44*IF(РоялтиПоГруппам="Да",MeanMinAge24+AT9*SUMIF(ThresholdAge24,"&lt;"&amp;AT9,WeightedRevAge24)-SUMIF(ThresholdAge24,"&lt;"&amp;AT9,WeightedMinAge24),MAX(CapacityAge24*АбонементНовых*AT9,MeanMinAge24)))</f>
        <v/>
      </c>
      <c r="AU71" s="5">
        <f>IF(OR(AU44=0,24&lt;=КаникулыРоялти),0,AU44*IF(РоялтиПоГруппам="Да",MeanMinAge24+AU9*SUMIF(ThresholdAge24,"&lt;"&amp;AU9,WeightedRevAge24)-SUMIF(ThresholdAge24,"&lt;"&amp;AU9,WeightedMinAge24),MAX(CapacityAge24*АбонементНовых*AU9,MeanMinAge24)))</f>
        <v/>
      </c>
      <c r="AV71" s="5">
        <f>IF(OR(AV44=0,24&lt;=КаникулыРоялти),0,AV44*IF(РоялтиПоГруппам="Да",MeanMinAge24+AV9*SUMIF(ThresholdAge24,"&lt;"&amp;AV9,WeightedRevAge24)-SUMIF(ThresholdAge24,"&lt;"&amp;AV9,WeightedMinAge24),MAX(CapacityAge24*АбонементНовых*AV9,MeanMinAge24)))</f>
        <v/>
      </c>
      <c r="AW71" s="5">
        <f>IF(OR(AW44=0,24&lt;=КаникулыРоялти),0,AW44*IF(РоялтиПоГруппам="Да",MeanMinAge24+AW9*SUMIF(ThresholdAge24,"&lt;"&amp;AW9,WeightedRevAge24)-SUMIF(ThresholdAge24,"&lt;"&amp;AW9,WeightedMinAge24),MAX(CapacityAge24*АбонементНовых*AW9,MeanMinAge24)))</f>
        <v/>
      </c>
      <c r="AX71" s="5">
        <f>IF(OR(AX44=0,24&lt;=КаникулыРоялти),0,AX44*IF(РоялтиПоГруппам="Да",MeanMinAge24+AX9*SUMIF(ThresholdAge24,"&lt;"&amp;AX9,WeightedRevAge24)-SUMIF(ThresholdAge24,"&lt;"&amp;AX9,WeightedMinAge24),MAX(CapacityAge24*АбонементНовых*AX9,MeanMinAge24)))</f>
        <v/>
      </c>
      <c r="AY71" s="5">
        <f>IF(OR(AY44=0,24&lt;=КаникулыРоялти),0,AY44*IF(РоялтиПоГруппам="Да",MeanMinAge24+AY9*SUMIF(ThresholdAge24,"&lt;"&amp;AY9,WeightedRevAge24)-SUMIF(ThresholdAge24,"&lt;"&amp;AY9,WeightedMinAge24),MAX(CapacityAge24*АбонементНовых*AY9,MeanMinAge24)))</f>
        <v/>
      </c>
      <c r="AZ71" s="5">
        <f>IF(OR(AZ44=0,24&lt;=КаникулыРоялти),0,AZ44*IF(РоялтиПоГруппам="Да",MeanMinAge24+AZ9*SUMIF(ThresholdAge24,"&lt;"&amp;AZ9,WeightedRevAge24)-SUMIF(ThresholdAge24,"&lt;"&amp;AZ9,WeightedMinAge24),MAX(CapacityAge24*АбонементНовых*AZ9,MeanMinAge24)))</f>
        <v/>
      </c>
      <c r="BA71" s="5">
        <f>IF(OR(BA44=0,24&lt;=КаникулыРоялти),0,BA44*IF(РоялтиПоГруппам="Да",MeanMinAge24+BA9*SUMIF(ThresholdAge24,"&lt;"&amp;BA9,WeightedRevAge24)-SUMIF(ThresholdAge24,"&lt;"&amp;BA9,WeightedMinAge24),MAX(CapacityAge24*АбонементНовых*BA9,MeanMinAge24)))</f>
        <v/>
      </c>
      <c r="BB71" s="5">
        <f>IF(OR(BB44=0,24&lt;=КаникулыРоялти),0,BB44*IF(РоялтиПоГруппам="Да",MeanMinAge24+BB9*SUMIF(ThresholdAge24,"&lt;"&amp;BB9,WeightedRevAge24)-SUMIF(ThresholdAge24,"&lt;"&amp;BB9,WeightedMinAge24),MAX(CapacityAge24*АбонементНовых*BB9,MeanMinAge24)))</f>
        <v/>
      </c>
      <c r="BC71" s="5">
        <f>IF(OR(BC44=0,24&lt;=КаникулыРоялти),0,BC44*IF(РоялтиПоГруппам="Да",MeanMinAge24+BC9*SUMIF(ThresholdAge24,"&lt;"&amp;BC9,WeightedRevAge24)-SUMIF(ThresholdAge24,"&lt;"&amp;BC9,WeightedMinAge24),MAX(CapacityAge24*АбонементНовых*BC9,MeanMinAge24)))</f>
        <v/>
      </c>
      <c r="BD71" s="5">
        <f>IF(OR(BD44=0,24&lt;=КаникулыРоялти),0,BD44*IF(РоялтиПоГруппам="Да",MeanMinAge24+BD9*SUMIF(ThresholdAge24,"&lt;"&amp;BD9,WeightedRevAge24)-SUMIF(ThresholdAge24,"&lt;"&amp;BD9,WeightedMinAge24),MAX(CapacityAge24*АбонементНовых*BD9,MeanMinAge24)))</f>
        <v/>
      </c>
      <c r="BE71" s="5">
        <f>IF(OR(BE44=0,24&lt;=КаникулыРоялти),0,BE44*IF(РоялтиПоГруппам="Да",MeanMinAge24+BE9*SUMIF(ThresholdAge24,"&lt;"&amp;BE9,WeightedRevAge24)-SUMIF(ThresholdAge24,"&lt;"&amp;BE9,WeightedMinAge24),MAX(CapacityAge24*АбонементНовых*BE9,MeanMinAge24)))</f>
        <v/>
      </c>
      <c r="BF71" s="5">
        <f>IF(OR(BF44=0,24&lt;=КаникулыРоялти),0,BF44*IF(РоялтиПоГруппам="Да",MeanMinAge24+BF9*SUMIF(ThresholdAge24,"&lt;"&amp;BF9,WeightedRevAge24)-SUMIF(ThresholdAge24,"&lt;"&amp;BF9,WeightedMinAge24),MAX(CapacityAge24*АбонементНовых*BF9,MeanMinAge24)))</f>
        <v/>
      </c>
      <c r="BG71" s="5">
        <f>IF(OR(BG44=0,24&lt;=КаникулыРоялти),0,BG44*IF(РоялтиПоГруппам="Да",MeanMinAge24+BG9*SUMIF(ThresholdAge24,"&lt;"&amp;BG9,WeightedRevAge24)-SUMIF(ThresholdAge24,"&lt;"&amp;BG9,WeightedMinAge24),MAX(CapacityAge24*АбонементНовых*BG9,MeanMinAge24)))</f>
        <v/>
      </c>
      <c r="BH71" s="5">
        <f>IF(OR(BH44=0,24&lt;=КаникулыРоялти),0,BH44*IF(РоялтиПоГруппам="Да",MeanMinAge24+BH9*SUMIF(ThresholdAge24,"&lt;"&amp;BH9,WeightedRevAge24)-SUMIF(ThresholdAge24,"&lt;"&amp;BH9,WeightedMinAge24),MAX(CapacityAge24*АбонементНовых*BH9,MeanMinAge24)))</f>
        <v/>
      </c>
      <c r="BI71" s="5">
        <f>IF(OR(BI44=0,24&lt;=КаникулыРоялти),0,BI44*IF(РоялтиПоГруппам="Да",MeanMinAge24+BI9*SUMIF(ThresholdAge24,"&lt;"&amp;BI9,WeightedRevAge24)-SUMIF(ThresholdAge24,"&lt;"&amp;BI9,WeightedMinAge24),MAX(CapacityAge24*АбонементНовых*BI9,MeanMinAge24)))</f>
        <v/>
      </c>
      <c r="BJ71" s="5">
        <f>IF(OR(BJ44=0,24&lt;=КаникулыРоялти),0,BJ44*IF(РоялтиПоГруппам="Да",MeanMinAge24+BJ9*SUMIF(ThresholdAge24,"&lt;"&amp;BJ9,WeightedRevAge24)-SUMIF(ThresholdAge24,"&lt;"&amp;BJ9,WeightedMinAge24),MAX(CapacityAge24*АбонементНовых*BJ9,MeanMinAge24)))</f>
        <v/>
      </c>
      <c r="BK71" s="5">
        <f>IF(OR(BK44=0,24&lt;=КаникулыРоялти),0,BK44*IF(РоялтиПоГруппам="Да",MeanMinAge24+BK9*SUMIF(ThresholdAge24,"&lt;"&amp;BK9,WeightedRevAge24)-SUMIF(ThresholdAge24,"&lt;"&amp;BK9,WeightedMinAge24),MAX(CapacityAge24*АбонементНовых*BK9,MeanMinAge24)))</f>
        <v/>
      </c>
      <c r="BL71" s="5">
        <f>IF(OR(BL44=0,24&lt;=КаникулыРоялти),0,BL44*IF(РоялтиПоГруппам="Да",MeanMinAge24+BL9*SUMIF(ThresholdAge24,"&lt;"&amp;BL9,WeightedRevAge24)-SUMIF(ThresholdAge24,"&lt;"&amp;BL9,WeightedMinAge24),MAX(CapacityAge24*АбонементНовых*BL9,MeanMinAge24)))</f>
        <v/>
      </c>
      <c r="BM71" s="5">
        <f>IF(OR(BM44=0,24&lt;=КаникулыРоялти),0,BM44*IF(РоялтиПоГруппам="Да",MeanMinAge24+BM9*SUMIF(ThresholdAge24,"&lt;"&amp;BM9,WeightedRevAge24)-SUMIF(ThresholdAge24,"&lt;"&amp;BM9,WeightedMinAge24),MAX(CapacityAge24*АбонементНовых*BM9,MeanMinAge24)))</f>
        <v/>
      </c>
      <c r="BN71" s="5">
        <f>IF(OR(BN44=0,24&lt;=КаникулыРоялти),0,BN44*IF(РоялтиПоГруппам="Да",MeanMinAge24+BN9*SUMIF(ThresholdAge24,"&lt;"&amp;BN9,WeightedRevAge24)-SUMIF(ThresholdAge24,"&lt;"&amp;BN9,WeightedMinAge24),MAX(CapacityAge24*АбонементНовых*BN9,MeanMinAge24)))</f>
        <v/>
      </c>
      <c r="BO71" s="5">
        <f>IF(OR(BO44=0,24&lt;=КаникулыРоялти),0,BO44*IF(РоялтиПоГруппам="Да",MeanMinAge24+BO9*SUMIF(ThresholdAge24,"&lt;"&amp;BO9,WeightedRevAge24)-SUMIF(ThresholdAge24,"&lt;"&amp;BO9,WeightedMinAge24),MAX(CapacityAge24*АбонементНовых*BO9,MeanMinAge24)))</f>
        <v/>
      </c>
      <c r="BP71" s="5">
        <f>IF(OR(BP44=0,24&lt;=КаникулыРоялти),0,BP44*IF(РоялтиПоГруппам="Да",MeanMinAge24+BP9*SUMIF(ThresholdAge24,"&lt;"&amp;BP9,WeightedRevAge24)-SUMIF(ThresholdAge24,"&lt;"&amp;BP9,WeightedMinAge24),MAX(CapacityAge24*АбонементНовых*BP9,MeanMinAge24)))</f>
        <v/>
      </c>
      <c r="BQ71" s="5">
        <f>IF(OR(BQ44=0,24&lt;=КаникулыРоялти),0,BQ44*IF(РоялтиПоГруппам="Да",MeanMinAge24+BQ9*SUMIF(ThresholdAge24,"&lt;"&amp;BQ9,WeightedRevAge24)-SUMIF(ThresholdAge24,"&lt;"&amp;BQ9,WeightedMinAge24),MAX(CapacityAge24*АбонементНовых*BQ9,MeanMinAge24)))</f>
        <v/>
      </c>
      <c r="BR71" s="5">
        <f>IF(OR(BR44=0,24&lt;=КаникулыРоялти),0,BR44*IF(РоялтиПоГруппам="Да",MeanMinAge24+BR9*SUMIF(ThresholdAge24,"&lt;"&amp;BR9,WeightedRevAge24)-SUMIF(ThresholdAge24,"&lt;"&amp;BR9,WeightedMinAge24),MAX(CapacityAge24*АбонементНовых*BR9,MeanMinAge24)))</f>
        <v/>
      </c>
      <c r="BS71" s="5">
        <f>IF(OR(BS44=0,24&lt;=КаникулыРоялти),0,BS44*IF(РоялтиПоГруппам="Да",MeanMinAge24+BS9*SUMIF(ThresholdAge24,"&lt;"&amp;BS9,WeightedRevAge24)-SUMIF(ThresholdAge24,"&lt;"&amp;BS9,WeightedMinAge24),MAX(CapacityAge24*АбонементНовых*BS9,MeanMinAge24)))</f>
        <v/>
      </c>
      <c r="BT71" s="5">
        <f>IF(OR(BT44=0,24&lt;=КаникулыРоялти),0,BT44*IF(РоялтиПоГруппам="Да",MeanMinAge24+BT9*SUMIF(ThresholdAge24,"&lt;"&amp;BT9,WeightedRevAge24)-SUMIF(ThresholdAge24,"&lt;"&amp;BT9,WeightedMinAge24),MAX(CapacityAge24*АбонементНовых*BT9,MeanMinAge24)))</f>
        <v/>
      </c>
      <c r="BU71" s="5">
        <f>IF(OR(BU44=0,24&lt;=КаникулыРоялти),0,BU44*IF(РоялтиПоГруппам="Да",MeanMinAge24+BU9*SUMIF(ThresholdAge24,"&lt;"&amp;BU9,WeightedRevAge24)-SUMIF(ThresholdAge24,"&lt;"&amp;BU9,WeightedMinAge24),MAX(CapacityAge24*АбонементНовых*BU9,MeanMinAge24)))</f>
        <v/>
      </c>
      <c r="BV71" s="5">
        <f>IF(OR(BV44=0,24&lt;=КаникулыРоялти),0,BV44*IF(РоялтиПоГруппам="Да",MeanMinAge24+BV9*SUMIF(ThresholdAge24,"&lt;"&amp;BV9,WeightedRevAge24)-SUMIF(ThresholdAge24,"&lt;"&amp;BV9,WeightedMinAge24),MAX(CapacityAge24*АбонементНовых*BV9,MeanMinAge24)))</f>
        <v/>
      </c>
      <c r="BW71" s="5">
        <f>IF(OR(BW44=0,24&lt;=КаникулыРоялти),0,BW44*IF(РоялтиПоГруппам="Да",MeanMinAge24+BW9*SUMIF(ThresholdAge24,"&lt;"&amp;BW9,WeightedRevAge24)-SUMIF(ThresholdAge24,"&lt;"&amp;BW9,WeightedMinAge24),MAX(CapacityAge24*АбонементНовых*BW9,MeanMinAge24)))</f>
        <v/>
      </c>
      <c r="BX71" s="5">
        <f>IF(OR(BX44=0,24&lt;=КаникулыРоялти),0,BX44*IF(РоялтиПоГруппам="Да",MeanMinAge24+BX9*SUMIF(ThresholdAge24,"&lt;"&amp;BX9,WeightedRevAge24)-SUMIF(ThresholdAge24,"&lt;"&amp;BX9,WeightedMinAge24),MAX(CapacityAge24*АбонементНовых*BX9,MeanMinAge24)))</f>
        <v/>
      </c>
      <c r="BY71" s="5">
        <f>IF(OR(BY44=0,24&lt;=КаникулыРоялти),0,BY44*IF(РоялтиПоГруппам="Да",MeanMinAge24+BY9*SUMIF(ThresholdAge24,"&lt;"&amp;BY9,WeightedRevAge24)-SUMIF(ThresholdAge24,"&lt;"&amp;BY9,WeightedMinAge24),MAX(CapacityAge24*АбонементНовых*BY9,MeanMinAge24)))</f>
        <v/>
      </c>
    </row>
    <row r="72">
      <c r="B72" t="inlineStr">
        <is>
          <t>25+ мес.</t>
        </is>
      </c>
      <c r="C72" t="inlineStr">
        <is>
          <t>₽</t>
        </is>
      </c>
      <c r="D72" s="127" t="inlineStr"/>
      <c r="E72" s="129">
        <f>SUM(L72:W72)</f>
        <v/>
      </c>
      <c r="F72" s="129">
        <f>SUM(X72:AI72)</f>
        <v/>
      </c>
      <c r="G72" s="129">
        <f>SUM(AJ72:AU72)</f>
        <v/>
      </c>
      <c r="H72" s="129">
        <f>SUM(AV72:BG72)</f>
        <v/>
      </c>
      <c r="I72" s="129">
        <f>SUM(BH72:BS72)</f>
        <v/>
      </c>
      <c r="J72" s="6">
        <f>SUM(L72:BS72)</f>
        <v/>
      </c>
      <c r="L72" s="5">
        <f>IF(OR(L45=0,25&lt;=КаникулыРоялти),0,L45*IF(РоялтиПоГруппам="Да",MeanMinAge25+L9*SUMIF(ThresholdAge25,"&lt;"&amp;L9,WeightedRevAge25)-SUMIF(ThresholdAge25,"&lt;"&amp;L9,WeightedMinAge25),MAX(CapacityAge25*АбонементНовых*L9,MeanMinAge25)))</f>
        <v/>
      </c>
      <c r="M72" s="5">
        <f>IF(OR(M45=0,25&lt;=КаникулыРоялти),0,M45*IF(РоялтиПоГруппам="Да",MeanMinAge25+M9*SUMIF(ThresholdAge25,"&lt;"&amp;M9,WeightedRevAge25)-SUMIF(ThresholdAge25,"&lt;"&amp;M9,WeightedMinAge25),MAX(CapacityAge25*АбонементНовых*M9,MeanMinAge25)))</f>
        <v/>
      </c>
      <c r="N72" s="5">
        <f>IF(OR(N45=0,25&lt;=КаникулыРоялти),0,N45*IF(РоялтиПоГруппам="Да",MeanMinAge25+N9*SUMIF(ThresholdAge25,"&lt;"&amp;N9,WeightedRevAge25)-SUMIF(ThresholdAge25,"&lt;"&amp;N9,WeightedMinAge25),MAX(CapacityAge25*АбонементНовых*N9,MeanMinAge25)))</f>
        <v/>
      </c>
      <c r="O72" s="5">
        <f>IF(OR(O45=0,25&lt;=КаникулыРоялти),0,O45*IF(РоялтиПоГруппам="Да",MeanMinAge25+O9*SUMIF(ThresholdAge25,"&lt;"&amp;O9,WeightedRevAge25)-SUMIF(ThresholdAge25,"&lt;"&amp;O9,WeightedMinAge25),MAX(CapacityAge25*АбонементНовых*O9,MeanMinAge25)))</f>
        <v/>
      </c>
      <c r="P72" s="5">
        <f>IF(OR(P45=0,25&lt;=КаникулыРоялти),0,P45*IF(РоялтиПоГруппам="Да",MeanMinAge25+P9*SUMIF(ThresholdAge25,"&lt;"&amp;P9,WeightedRevAge25)-SUMIF(ThresholdAge25,"&lt;"&amp;P9,WeightedMinAge25),MAX(CapacityAge25*АбонементНовых*P9,MeanMinAge25)))</f>
        <v/>
      </c>
      <c r="Q72" s="5">
        <f>IF(OR(Q45=0,25&lt;=КаникулыРоялти),0,Q45*IF(РоялтиПоГруппам="Да",MeanMinAge25+Q9*SUMIF(ThresholdAge25,"&lt;"&amp;Q9,WeightedRevAge25)-SUMIF(ThresholdAge25,"&lt;"&amp;Q9,WeightedMinAge25),MAX(CapacityAge25*АбонементНовых*Q9,MeanMinAge25)))</f>
        <v/>
      </c>
      <c r="R72" s="5">
        <f>IF(OR(R45=0,25&lt;=КаникулыРоялти),0,R45*IF(РоялтиПоГруппам="Да",MeanMinAge25+R9*SUMIF(ThresholdAge25,"&lt;"&amp;R9,WeightedRevAge25)-SUMIF(ThresholdAge25,"&lt;"&amp;R9,WeightedMinAge25),MAX(CapacityAge25*АбонементНовых*R9,MeanMinAge25)))</f>
        <v/>
      </c>
      <c r="S72" s="5">
        <f>IF(OR(S45=0,25&lt;=КаникулыРоялти),0,S45*IF(РоялтиПоГруппам="Да",MeanMinAge25+S9*SUMIF(ThresholdAge25,"&lt;"&amp;S9,WeightedRevAge25)-SUMIF(ThresholdAge25,"&lt;"&amp;S9,WeightedMinAge25),MAX(CapacityAge25*АбонементНовых*S9,MeanMinAge25)))</f>
        <v/>
      </c>
      <c r="T72" s="5">
        <f>IF(OR(T45=0,25&lt;=КаникулыРоялти),0,T45*IF(РоялтиПоГруппам="Да",MeanMinAge25+T9*SUMIF(ThresholdAge25,"&lt;"&amp;T9,WeightedRevAge25)-SUMIF(ThresholdAge25,"&lt;"&amp;T9,WeightedMinAge25),MAX(CapacityAge25*АбонементНовых*T9,MeanMinAge25)))</f>
        <v/>
      </c>
      <c r="U72" s="5">
        <f>IF(OR(U45=0,25&lt;=КаникулыРоялти),0,U45*IF(РоялтиПоГруппам="Да",MeanMinAge25+U9*SUMIF(ThresholdAge25,"&lt;"&amp;U9,WeightedRevAge25)-SUMIF(ThresholdAge25,"&lt;"&amp;U9,WeightedMinAge25),MAX(CapacityAge25*АбонементНовых*U9,MeanMinAge25)))</f>
        <v/>
      </c>
      <c r="V72" s="5">
        <f>IF(OR(V45=0,25&lt;=КаникулыРоялти),0,V45*IF(РоялтиПоГруппам="Да",MeanMinAge25+V9*SUMIF(ThresholdAge25,"&lt;"&amp;V9,WeightedRevAge25)-SUMIF(ThresholdAge25,"&lt;"&amp;V9,WeightedMinAge25),MAX(CapacityAge25*АбонементНовых*V9,MeanMinAge25)))</f>
        <v/>
      </c>
      <c r="W72" s="5">
        <f>IF(OR(W45=0,25&lt;=КаникулыРоялти),0,W45*IF(РоялтиПоГруппам="Да",MeanMinAge25+W9*SUMIF(ThresholdAge25,"&lt;"&amp;W9,WeightedRevAge25)-SUMIF(ThresholdAge25,"&lt;"&amp;W9,WeightedMinAge25),MAX(CapacityAge25*АбонементНовых*W9,MeanMinAge25)))</f>
        <v/>
      </c>
      <c r="X72" s="5">
        <f>IF(OR(X45=0,25&lt;=КаникулыРоялти),0,X45*IF(РоялтиПоГруппам="Да",MeanMinAge25+X9*SUMIF(ThresholdAge25,"&lt;"&amp;X9,WeightedRevAge25)-SUMIF(ThresholdAge25,"&lt;"&amp;X9,WeightedMinAge25),MAX(CapacityAge25*АбонементНовых*X9,MeanMinAge25)))</f>
        <v/>
      </c>
      <c r="Y72" s="5">
        <f>IF(OR(Y45=0,25&lt;=КаникулыРоялти),0,Y45*IF(РоялтиПоГруппам="Да",MeanMinAge25+Y9*SUMIF(ThresholdAge25,"&lt;"&amp;Y9,WeightedRevAge25)-SUMIF(ThresholdAge25,"&lt;"&amp;Y9,WeightedMinAge25),MAX(CapacityAge25*АбонементНовых*Y9,MeanMinAge25)))</f>
        <v/>
      </c>
      <c r="Z72" s="5">
        <f>IF(OR(Z45=0,25&lt;=КаникулыРоялти),0,Z45*IF(РоялтиПоГруппам="Да",MeanMinAge25+Z9*SUMIF(ThresholdAge25,"&lt;"&amp;Z9,WeightedRevAge25)-SUMIF(ThresholdAge25,"&lt;"&amp;Z9,WeightedMinAge25),MAX(CapacityAge25*АбонементНовых*Z9,MeanMinAge25)))</f>
        <v/>
      </c>
      <c r="AA72" s="5">
        <f>IF(OR(AA45=0,25&lt;=КаникулыРоялти),0,AA45*IF(РоялтиПоГруппам="Да",MeanMinAge25+AA9*SUMIF(ThresholdAge25,"&lt;"&amp;AA9,WeightedRevAge25)-SUMIF(ThresholdAge25,"&lt;"&amp;AA9,WeightedMinAge25),MAX(CapacityAge25*АбонементНовых*AA9,MeanMinAge25)))</f>
        <v/>
      </c>
      <c r="AB72" s="5">
        <f>IF(OR(AB45=0,25&lt;=КаникулыРоялти),0,AB45*IF(РоялтиПоГруппам="Да",MeanMinAge25+AB9*SUMIF(ThresholdAge25,"&lt;"&amp;AB9,WeightedRevAge25)-SUMIF(ThresholdAge25,"&lt;"&amp;AB9,WeightedMinAge25),MAX(CapacityAge25*АбонементНовых*AB9,MeanMinAge25)))</f>
        <v/>
      </c>
      <c r="AC72" s="5">
        <f>IF(OR(AC45=0,25&lt;=КаникулыРоялти),0,AC45*IF(РоялтиПоГруппам="Да",MeanMinAge25+AC9*SUMIF(ThresholdAge25,"&lt;"&amp;AC9,WeightedRevAge25)-SUMIF(ThresholdAge25,"&lt;"&amp;AC9,WeightedMinAge25),MAX(CapacityAge25*АбонементНовых*AC9,MeanMinAge25)))</f>
        <v/>
      </c>
      <c r="AD72" s="5">
        <f>IF(OR(AD45=0,25&lt;=КаникулыРоялти),0,AD45*IF(РоялтиПоГруппам="Да",MeanMinAge25+AD9*SUMIF(ThresholdAge25,"&lt;"&amp;AD9,WeightedRevAge25)-SUMIF(ThresholdAge25,"&lt;"&amp;AD9,WeightedMinAge25),MAX(CapacityAge25*АбонементНовых*AD9,MeanMinAge25)))</f>
        <v/>
      </c>
      <c r="AE72" s="5">
        <f>IF(OR(AE45=0,25&lt;=КаникулыРоялти),0,AE45*IF(РоялтиПоГруппам="Да",MeanMinAge25+AE9*SUMIF(ThresholdAge25,"&lt;"&amp;AE9,WeightedRevAge25)-SUMIF(ThresholdAge25,"&lt;"&amp;AE9,WeightedMinAge25),MAX(CapacityAge25*АбонементНовых*AE9,MeanMinAge25)))</f>
        <v/>
      </c>
      <c r="AF72" s="5">
        <f>IF(OR(AF45=0,25&lt;=КаникулыРоялти),0,AF45*IF(РоялтиПоГруппам="Да",MeanMinAge25+AF9*SUMIF(ThresholdAge25,"&lt;"&amp;AF9,WeightedRevAge25)-SUMIF(ThresholdAge25,"&lt;"&amp;AF9,WeightedMinAge25),MAX(CapacityAge25*АбонементНовых*AF9,MeanMinAge25)))</f>
        <v/>
      </c>
      <c r="AG72" s="5">
        <f>IF(OR(AG45=0,25&lt;=КаникулыРоялти),0,AG45*IF(РоялтиПоГруппам="Да",MeanMinAge25+AG9*SUMIF(ThresholdAge25,"&lt;"&amp;AG9,WeightedRevAge25)-SUMIF(ThresholdAge25,"&lt;"&amp;AG9,WeightedMinAge25),MAX(CapacityAge25*АбонементНовых*AG9,MeanMinAge25)))</f>
        <v/>
      </c>
      <c r="AH72" s="5">
        <f>IF(OR(AH45=0,25&lt;=КаникулыРоялти),0,AH45*IF(РоялтиПоГруппам="Да",MeanMinAge25+AH9*SUMIF(ThresholdAge25,"&lt;"&amp;AH9,WeightedRevAge25)-SUMIF(ThresholdAge25,"&lt;"&amp;AH9,WeightedMinAge25),MAX(CapacityAge25*АбонементНовых*AH9,MeanMinAge25)))</f>
        <v/>
      </c>
      <c r="AI72" s="5">
        <f>IF(OR(AI45=0,25&lt;=КаникулыРоялти),0,AI45*IF(РоялтиПоГруппам="Да",MeanMinAge25+AI9*SUMIF(ThresholdAge25,"&lt;"&amp;AI9,WeightedRevAge25)-SUMIF(ThresholdAge25,"&lt;"&amp;AI9,WeightedMinAge25),MAX(CapacityAge25*АбонементНовых*AI9,MeanMinAge25)))</f>
        <v/>
      </c>
      <c r="AJ72" s="5">
        <f>IF(OR(AJ45=0,25&lt;=КаникулыРоялти),0,AJ45*IF(РоялтиПоГруппам="Да",MeanMinAge25+AJ9*SUMIF(ThresholdAge25,"&lt;"&amp;AJ9,WeightedRevAge25)-SUMIF(ThresholdAge25,"&lt;"&amp;AJ9,WeightedMinAge25),MAX(CapacityAge25*АбонементНовых*AJ9,MeanMinAge25)))</f>
        <v/>
      </c>
      <c r="AK72" s="5">
        <f>IF(OR(AK45=0,25&lt;=КаникулыРоялти),0,AK45*IF(РоялтиПоГруппам="Да",MeanMinAge25+AK9*SUMIF(ThresholdAge25,"&lt;"&amp;AK9,WeightedRevAge25)-SUMIF(ThresholdAge25,"&lt;"&amp;AK9,WeightedMinAge25),MAX(CapacityAge25*АбонементНовых*AK9,MeanMinAge25)))</f>
        <v/>
      </c>
      <c r="AL72" s="5">
        <f>IF(OR(AL45=0,25&lt;=КаникулыРоялти),0,AL45*IF(РоялтиПоГруппам="Да",MeanMinAge25+AL9*SUMIF(ThresholdAge25,"&lt;"&amp;AL9,WeightedRevAge25)-SUMIF(ThresholdAge25,"&lt;"&amp;AL9,WeightedMinAge25),MAX(CapacityAge25*АбонементНовых*AL9,MeanMinAge25)))</f>
        <v/>
      </c>
      <c r="AM72" s="5">
        <f>IF(OR(AM45=0,25&lt;=КаникулыРоялти),0,AM45*IF(РоялтиПоГруппам="Да",MeanMinAge25+AM9*SUMIF(ThresholdAge25,"&lt;"&amp;AM9,WeightedRevAge25)-SUMIF(ThresholdAge25,"&lt;"&amp;AM9,WeightedMinAge25),MAX(CapacityAge25*АбонементНовых*AM9,MeanMinAge25)))</f>
        <v/>
      </c>
      <c r="AN72" s="5">
        <f>IF(OR(AN45=0,25&lt;=КаникулыРоялти),0,AN45*IF(РоялтиПоГруппам="Да",MeanMinAge25+AN9*SUMIF(ThresholdAge25,"&lt;"&amp;AN9,WeightedRevAge25)-SUMIF(ThresholdAge25,"&lt;"&amp;AN9,WeightedMinAge25),MAX(CapacityAge25*АбонементНовых*AN9,MeanMinAge25)))</f>
        <v/>
      </c>
      <c r="AO72" s="5">
        <f>IF(OR(AO45=0,25&lt;=КаникулыРоялти),0,AO45*IF(РоялтиПоГруппам="Да",MeanMinAge25+AO9*SUMIF(ThresholdAge25,"&lt;"&amp;AO9,WeightedRevAge25)-SUMIF(ThresholdAge25,"&lt;"&amp;AO9,WeightedMinAge25),MAX(CapacityAge25*АбонементНовых*AO9,MeanMinAge25)))</f>
        <v/>
      </c>
      <c r="AP72" s="5">
        <f>IF(OR(AP45=0,25&lt;=КаникулыРоялти),0,AP45*IF(РоялтиПоГруппам="Да",MeanMinAge25+AP9*SUMIF(ThresholdAge25,"&lt;"&amp;AP9,WeightedRevAge25)-SUMIF(ThresholdAge25,"&lt;"&amp;AP9,WeightedMinAge25),MAX(CapacityAge25*АбонементНовых*AP9,MeanMinAge25)))</f>
        <v/>
      </c>
      <c r="AQ72" s="5">
        <f>IF(OR(AQ45=0,25&lt;=КаникулыРоялти),0,AQ45*IF(РоялтиПоГруппам="Да",MeanMinAge25+AQ9*SUMIF(ThresholdAge25,"&lt;"&amp;AQ9,WeightedRevAge25)-SUMIF(ThresholdAge25,"&lt;"&amp;AQ9,WeightedMinAge25),MAX(CapacityAge25*АбонементНовых*AQ9,MeanMinAge25)))</f>
        <v/>
      </c>
      <c r="AR72" s="5">
        <f>IF(OR(AR45=0,25&lt;=КаникулыРоялти),0,AR45*IF(РоялтиПоГруппам="Да",MeanMinAge25+AR9*SUMIF(ThresholdAge25,"&lt;"&amp;AR9,WeightedRevAge25)-SUMIF(ThresholdAge25,"&lt;"&amp;AR9,WeightedMinAge25),MAX(CapacityAge25*АбонементНовых*AR9,MeanMinAge25)))</f>
        <v/>
      </c>
      <c r="AS72" s="5">
        <f>IF(OR(AS45=0,25&lt;=КаникулыРоялти),0,AS45*IF(РоялтиПоГруппам="Да",MeanMinAge25+AS9*SUMIF(ThresholdAge25,"&lt;"&amp;AS9,WeightedRevAge25)-SUMIF(ThresholdAge25,"&lt;"&amp;AS9,WeightedMinAge25),MAX(CapacityAge25*АбонементНовых*AS9,MeanMinAge25)))</f>
        <v/>
      </c>
      <c r="AT72" s="5">
        <f>IF(OR(AT45=0,25&lt;=КаникулыРоялти),0,AT45*IF(РоялтиПоГруппам="Да",MeanMinAge25+AT9*SUMIF(ThresholdAge25,"&lt;"&amp;AT9,WeightedRevAge25)-SUMIF(ThresholdAge25,"&lt;"&amp;AT9,WeightedMinAge25),MAX(CapacityAge25*АбонементНовых*AT9,MeanMinAge25)))</f>
        <v/>
      </c>
      <c r="AU72" s="5">
        <f>IF(OR(AU45=0,25&lt;=КаникулыРоялти),0,AU45*IF(РоялтиПоГруппам="Да",MeanMinAge25+AU9*SUMIF(ThresholdAge25,"&lt;"&amp;AU9,WeightedRevAge25)-SUMIF(ThresholdAge25,"&lt;"&amp;AU9,WeightedMinAge25),MAX(CapacityAge25*АбонементНовых*AU9,MeanMinAge25)))</f>
        <v/>
      </c>
      <c r="AV72" s="5">
        <f>IF(OR(AV45=0,25&lt;=КаникулыРоялти),0,AV45*IF(РоялтиПоГруппам="Да",MeanMinAge25+AV9*SUMIF(ThresholdAge25,"&lt;"&amp;AV9,WeightedRevAge25)-SUMIF(ThresholdAge25,"&lt;"&amp;AV9,WeightedMinAge25),MAX(CapacityAge25*АбонементНовых*AV9,MeanMinAge25)))</f>
        <v/>
      </c>
      <c r="AW72" s="5">
        <f>IF(OR(AW45=0,25&lt;=КаникулыРоялти),0,AW45*IF(РоялтиПоГруппам="Да",MeanMinAge25+AW9*SUMIF(ThresholdAge25,"&lt;"&amp;AW9,WeightedRevAge25)-SUMIF(ThresholdAge25,"&lt;"&amp;AW9,WeightedMinAge25),MAX(CapacityAge25*АбонементНовых*AW9,MeanMinAge25)))</f>
        <v/>
      </c>
      <c r="AX72" s="5">
        <f>IF(OR(AX45=0,25&lt;=КаникулыРоялти),0,AX45*IF(РоялтиПоГруппам="Да",MeanMinAge25+AX9*SUMIF(ThresholdAge25,"&lt;"&amp;AX9,WeightedRevAge25)-SUMIF(ThresholdAge25,"&lt;"&amp;AX9,WeightedMinAge25),MAX(CapacityAge25*АбонементНовых*AX9,MeanMinAge25)))</f>
        <v/>
      </c>
      <c r="AY72" s="5">
        <f>IF(OR(AY45=0,25&lt;=КаникулыРоялти),0,AY45*IF(РоялтиПоГруппам="Да",MeanMinAge25+AY9*SUMIF(ThresholdAge25,"&lt;"&amp;AY9,WeightedRevAge25)-SUMIF(ThresholdAge25,"&lt;"&amp;AY9,WeightedMinAge25),MAX(CapacityAge25*АбонементНовых*AY9,MeanMinAge25)))</f>
        <v/>
      </c>
      <c r="AZ72" s="5">
        <f>IF(OR(AZ45=0,25&lt;=КаникулыРоялти),0,AZ45*IF(РоялтиПоГруппам="Да",MeanMinAge25+AZ9*SUMIF(ThresholdAge25,"&lt;"&amp;AZ9,WeightedRevAge25)-SUMIF(ThresholdAge25,"&lt;"&amp;AZ9,WeightedMinAge25),MAX(CapacityAge25*АбонементНовых*AZ9,MeanMinAge25)))</f>
        <v/>
      </c>
      <c r="BA72" s="5">
        <f>IF(OR(BA45=0,25&lt;=КаникулыРоялти),0,BA45*IF(РоялтиПоГруппам="Да",MeanMinAge25+BA9*SUMIF(ThresholdAge25,"&lt;"&amp;BA9,WeightedRevAge25)-SUMIF(ThresholdAge25,"&lt;"&amp;BA9,WeightedMinAge25),MAX(CapacityAge25*АбонементНовых*BA9,MeanMinAge25)))</f>
        <v/>
      </c>
      <c r="BB72" s="5">
        <f>IF(OR(BB45=0,25&lt;=КаникулыРоялти),0,BB45*IF(РоялтиПоГруппам="Да",MeanMinAge25+BB9*SUMIF(ThresholdAge25,"&lt;"&amp;BB9,WeightedRevAge25)-SUMIF(ThresholdAge25,"&lt;"&amp;BB9,WeightedMinAge25),MAX(CapacityAge25*АбонементНовых*BB9,MeanMinAge25)))</f>
        <v/>
      </c>
      <c r="BC72" s="5">
        <f>IF(OR(BC45=0,25&lt;=КаникулыРоялти),0,BC45*IF(РоялтиПоГруппам="Да",MeanMinAge25+BC9*SUMIF(ThresholdAge25,"&lt;"&amp;BC9,WeightedRevAge25)-SUMIF(ThresholdAge25,"&lt;"&amp;BC9,WeightedMinAge25),MAX(CapacityAge25*АбонементНовых*BC9,MeanMinAge25)))</f>
        <v/>
      </c>
      <c r="BD72" s="5">
        <f>IF(OR(BD45=0,25&lt;=КаникулыРоялти),0,BD45*IF(РоялтиПоГруппам="Да",MeanMinAge25+BD9*SUMIF(ThresholdAge25,"&lt;"&amp;BD9,WeightedRevAge25)-SUMIF(ThresholdAge25,"&lt;"&amp;BD9,WeightedMinAge25),MAX(CapacityAge25*АбонементНовых*BD9,MeanMinAge25)))</f>
        <v/>
      </c>
      <c r="BE72" s="5">
        <f>IF(OR(BE45=0,25&lt;=КаникулыРоялти),0,BE45*IF(РоялтиПоГруппам="Да",MeanMinAge25+BE9*SUMIF(ThresholdAge25,"&lt;"&amp;BE9,WeightedRevAge25)-SUMIF(ThresholdAge25,"&lt;"&amp;BE9,WeightedMinAge25),MAX(CapacityAge25*АбонементНовых*BE9,MeanMinAge25)))</f>
        <v/>
      </c>
      <c r="BF72" s="5">
        <f>IF(OR(BF45=0,25&lt;=КаникулыРоялти),0,BF45*IF(РоялтиПоГруппам="Да",MeanMinAge25+BF9*SUMIF(ThresholdAge25,"&lt;"&amp;BF9,WeightedRevAge25)-SUMIF(ThresholdAge25,"&lt;"&amp;BF9,WeightedMinAge25),MAX(CapacityAge25*АбонементНовых*BF9,MeanMinAge25)))</f>
        <v/>
      </c>
      <c r="BG72" s="5">
        <f>IF(OR(BG45=0,25&lt;=КаникулыРоялти),0,BG45*IF(РоялтиПоГруппам="Да",MeanMinAge25+BG9*SUMIF(ThresholdAge25,"&lt;"&amp;BG9,WeightedRevAge25)-SUMIF(ThresholdAge25,"&lt;"&amp;BG9,WeightedMinAge25),MAX(CapacityAge25*АбонементНовых*BG9,MeanMinAge25)))</f>
        <v/>
      </c>
      <c r="BH72" s="5">
        <f>IF(OR(BH45=0,25&lt;=КаникулыРоялти),0,BH45*IF(РоялтиПоГруппам="Да",MeanMinAge25+BH9*SUMIF(ThresholdAge25,"&lt;"&amp;BH9,WeightedRevAge25)-SUMIF(ThresholdAge25,"&lt;"&amp;BH9,WeightedMinAge25),MAX(CapacityAge25*АбонементНовых*BH9,MeanMinAge25)))</f>
        <v/>
      </c>
      <c r="BI72" s="5">
        <f>IF(OR(BI45=0,25&lt;=КаникулыРоялти),0,BI45*IF(РоялтиПоГруппам="Да",MeanMinAge25+BI9*SUMIF(ThresholdAge25,"&lt;"&amp;BI9,WeightedRevAge25)-SUMIF(ThresholdAge25,"&lt;"&amp;BI9,WeightedMinAge25),MAX(CapacityAge25*АбонементНовых*BI9,MeanMinAge25)))</f>
        <v/>
      </c>
      <c r="BJ72" s="5">
        <f>IF(OR(BJ45=0,25&lt;=КаникулыРоялти),0,BJ45*IF(РоялтиПоГруппам="Да",MeanMinAge25+BJ9*SUMIF(ThresholdAge25,"&lt;"&amp;BJ9,WeightedRevAge25)-SUMIF(ThresholdAge25,"&lt;"&amp;BJ9,WeightedMinAge25),MAX(CapacityAge25*АбонементНовых*BJ9,MeanMinAge25)))</f>
        <v/>
      </c>
      <c r="BK72" s="5">
        <f>IF(OR(BK45=0,25&lt;=КаникулыРоялти),0,BK45*IF(РоялтиПоГруппам="Да",MeanMinAge25+BK9*SUMIF(ThresholdAge25,"&lt;"&amp;BK9,WeightedRevAge25)-SUMIF(ThresholdAge25,"&lt;"&amp;BK9,WeightedMinAge25),MAX(CapacityAge25*АбонементНовых*BK9,MeanMinAge25)))</f>
        <v/>
      </c>
      <c r="BL72" s="5">
        <f>IF(OR(BL45=0,25&lt;=КаникулыРоялти),0,BL45*IF(РоялтиПоГруппам="Да",MeanMinAge25+BL9*SUMIF(ThresholdAge25,"&lt;"&amp;BL9,WeightedRevAge25)-SUMIF(ThresholdAge25,"&lt;"&amp;BL9,WeightedMinAge25),MAX(CapacityAge25*АбонементНовых*BL9,MeanMinAge25)))</f>
        <v/>
      </c>
      <c r="BM72" s="5">
        <f>IF(OR(BM45=0,25&lt;=КаникулыРоялти),0,BM45*IF(РоялтиПоГруппам="Да",MeanMinAge25+BM9*SUMIF(ThresholdAge25,"&lt;"&amp;BM9,WeightedRevAge25)-SUMIF(ThresholdAge25,"&lt;"&amp;BM9,WeightedMinAge25),MAX(CapacityAge25*АбонементНовых*BM9,MeanMinAge25)))</f>
        <v/>
      </c>
      <c r="BN72" s="5">
        <f>IF(OR(BN45=0,25&lt;=КаникулыРоялти),0,BN45*IF(РоялтиПоГруппам="Да",MeanMinAge25+BN9*SUMIF(ThresholdAge25,"&lt;"&amp;BN9,WeightedRevAge25)-SUMIF(ThresholdAge25,"&lt;"&amp;BN9,WeightedMinAge25),MAX(CapacityAge25*АбонементНовых*BN9,MeanMinAge25)))</f>
        <v/>
      </c>
      <c r="BO72" s="5">
        <f>IF(OR(BO45=0,25&lt;=КаникулыРоялти),0,BO45*IF(РоялтиПоГруппам="Да",MeanMinAge25+BO9*SUMIF(ThresholdAge25,"&lt;"&amp;BO9,WeightedRevAge25)-SUMIF(ThresholdAge25,"&lt;"&amp;BO9,WeightedMinAge25),MAX(CapacityAge25*АбонементНовых*BO9,MeanMinAge25)))</f>
        <v/>
      </c>
      <c r="BP72" s="5">
        <f>IF(OR(BP45=0,25&lt;=КаникулыРоялти),0,BP45*IF(РоялтиПоГруппам="Да",MeanMinAge25+BP9*SUMIF(ThresholdAge25,"&lt;"&amp;BP9,WeightedRevAge25)-SUMIF(ThresholdAge25,"&lt;"&amp;BP9,WeightedMinAge25),MAX(CapacityAge25*АбонементНовых*BP9,MeanMinAge25)))</f>
        <v/>
      </c>
      <c r="BQ72" s="5">
        <f>IF(OR(BQ45=0,25&lt;=КаникулыРоялти),0,BQ45*IF(РоялтиПоГруппам="Да",MeanMinAge25+BQ9*SUMIF(ThresholdAge25,"&lt;"&amp;BQ9,WeightedRevAge25)-SUMIF(ThresholdAge25,"&lt;"&amp;BQ9,WeightedMinAge25),MAX(CapacityAge25*АбонементНовых*BQ9,MeanMinAge25)))</f>
        <v/>
      </c>
      <c r="BR72" s="5">
        <f>IF(OR(BR45=0,25&lt;=КаникулыРоялти),0,BR45*IF(РоялтиПоГруппам="Да",MeanMinAge25+BR9*SUMIF(ThresholdAge25,"&lt;"&amp;BR9,WeightedRevAge25)-SUMIF(ThresholdAge25,"&lt;"&amp;BR9,WeightedMinAge25),MAX(CapacityAge25*АбонементНовых*BR9,MeanMinAge25)))</f>
        <v/>
      </c>
      <c r="BS72" s="5">
        <f>IF(OR(BS45=0,25&lt;=КаникулыРоялти),0,BS45*IF(РоялтиПоГруппам="Да",MeanMinAge25+BS9*SUMIF(ThresholdAge25,"&lt;"&amp;BS9,WeightedRevAge25)-SUMIF(ThresholdAge25,"&lt;"&amp;BS9,WeightedMinAge25),MAX(CapacityAge25*АбонементНовых*BS9,MeanMinAge25)))</f>
        <v/>
      </c>
      <c r="BT72" s="5">
        <f>IF(OR(BT45=0,25&lt;=КаникулыРоялти),0,BT45*IF(РоялтиПоГруппам="Да",MeanMinAge25+BT9*SUMIF(ThresholdAge25,"&lt;"&amp;BT9,WeightedRevAge25)-SUMIF(ThresholdAge25,"&lt;"&amp;BT9,WeightedMinAge25),MAX(CapacityAge25*АбонементНовых*BT9,MeanMinAge25)))</f>
        <v/>
      </c>
      <c r="BU72" s="5">
        <f>IF(OR(BU45=0,25&lt;=КаникулыРоялти),0,BU45*IF(РоялтиПоГруппам="Да",MeanMinAge25+BU9*SUMIF(ThresholdAge25,"&lt;"&amp;BU9,WeightedRevAge25)-SUMIF(ThresholdAge25,"&lt;"&amp;BU9,WeightedMinAge25),MAX(CapacityAge25*АбонементНовых*BU9,MeanMinAge25)))</f>
        <v/>
      </c>
      <c r="BV72" s="5">
        <f>IF(OR(BV45=0,25&lt;=КаникулыРоялти),0,BV45*IF(РоялтиПоГруппам="Да",MeanMinAge25+BV9*SUMIF(ThresholdAge25,"&lt;"&amp;BV9,WeightedRevAge25)-SUMIF(ThresholdAge25,"&lt;"&amp;BV9,WeightedMinAge25),MAX(CapacityAge25*АбонементНовых*BV9,MeanMinAge25)))</f>
        <v/>
      </c>
      <c r="BW72" s="5">
        <f>IF(OR(BW45=0,25&lt;=КаникулыРоялти),0,BW45*IF(РоялтиПоГруппам="Да",MeanMinAge25+BW9*SUMIF(ThresholdAge25,"&lt;"&amp;BW9,WeightedRevAge25)-SUMIF(ThresholdAge25,"&lt;"&amp;BW9,WeightedMinAge25),MAX(CapacityAge25*АбонементНовых*BW9,MeanMinAge25)))</f>
        <v/>
      </c>
      <c r="BX72" s="5">
        <f>IF(OR(BX45=0,25&lt;=КаникулыРоялти),0,BX45*IF(РоялтиПоГруппам="Да",MeanMinAge25+BX9*SUMIF(ThresholdAge25,"&lt;"&amp;BX9,WeightedRevAge25)-SUMIF(ThresholdAge25,"&lt;"&amp;BX9,WeightedMinAge25),MAX(CapacityAge25*АбонементНовых*BX9,MeanMinAge25)))</f>
        <v/>
      </c>
      <c r="BY72" s="5">
        <f>IF(OR(BY45=0,25&lt;=КаникулыРоялти),0,BY45*IF(РоялтиПоГруппам="Да",MeanMinAge25+BY9*SUMIF(ThresholdAge25,"&lt;"&amp;BY9,WeightedRevAge25)-SUMIF(ThresholdAge25,"&lt;"&amp;BY9,WeightedMinAge25),MAX(CapacityAge25*АбонементНовых*BY9,MeanMinAge25)))</f>
        <v/>
      </c>
    </row>
    <row r="73"/>
    <row r="74">
      <c r="B74" s="125" t="inlineStr">
        <is>
          <t>Роялти новых школ по возрасту — новая ставка</t>
        </is>
      </c>
      <c r="C74" s="126" t="n"/>
      <c r="D74" s="126" t="n"/>
      <c r="E74" s="126" t="n"/>
      <c r="F74" s="126" t="n"/>
      <c r="G74" s="126" t="n"/>
      <c r="H74" s="126" t="n"/>
      <c r="I74" s="126" t="n"/>
      <c r="J74" s="126" t="n"/>
      <c r="K74" s="126" t="n"/>
      <c r="L74" s="126" t="n"/>
      <c r="M74" s="126" t="n"/>
      <c r="N74" s="126" t="n"/>
      <c r="O74" s="126" t="n"/>
      <c r="P74" s="126" t="n"/>
      <c r="Q74" s="126" t="n"/>
      <c r="R74" s="126" t="n"/>
      <c r="S74" s="126" t="n"/>
      <c r="T74" s="126" t="n"/>
      <c r="U74" s="126" t="n"/>
      <c r="V74" s="126" t="n"/>
      <c r="W74" s="126" t="n"/>
      <c r="X74" s="126" t="n"/>
      <c r="Y74" s="126" t="n"/>
      <c r="Z74" s="126" t="n"/>
      <c r="AA74" s="126" t="n"/>
      <c r="AB74" s="126" t="n"/>
      <c r="AC74" s="126" t="n"/>
      <c r="AD74" s="126" t="n"/>
      <c r="AE74" s="126" t="n"/>
      <c r="AF74" s="126" t="n"/>
      <c r="AG74" s="126" t="n"/>
      <c r="AH74" s="126" t="n"/>
      <c r="AI74" s="126" t="n"/>
      <c r="AJ74" s="126" t="n"/>
      <c r="AK74" s="126" t="n"/>
      <c r="AL74" s="126" t="n"/>
      <c r="AM74" s="126" t="n"/>
      <c r="AN74" s="126" t="n"/>
      <c r="AO74" s="126" t="n"/>
      <c r="AP74" s="126" t="n"/>
      <c r="AQ74" s="126" t="n"/>
      <c r="AR74" s="126" t="n"/>
      <c r="AS74" s="126" t="n"/>
      <c r="AT74" s="126" t="n"/>
      <c r="AU74" s="126" t="n"/>
      <c r="AV74" s="126" t="n"/>
      <c r="AW74" s="126" t="n"/>
      <c r="AX74" s="126" t="n"/>
      <c r="AY74" s="126" t="n"/>
      <c r="AZ74" s="126" t="n"/>
      <c r="BA74" s="126" t="n"/>
      <c r="BB74" s="126" t="n"/>
      <c r="BC74" s="126" t="n"/>
      <c r="BD74" s="126" t="n"/>
      <c r="BE74" s="126" t="n"/>
      <c r="BF74" s="126" t="n"/>
      <c r="BG74" s="126" t="n"/>
      <c r="BH74" s="126" t="n"/>
      <c r="BI74" s="126" t="n"/>
      <c r="BJ74" s="126" t="n"/>
      <c r="BK74" s="126" t="n"/>
      <c r="BL74" s="126" t="n"/>
      <c r="BM74" s="126" t="n"/>
      <c r="BN74" s="126" t="n"/>
      <c r="BO74" s="126" t="n"/>
      <c r="BP74" s="126" t="n"/>
      <c r="BQ74" s="126" t="n"/>
      <c r="BR74" s="126" t="n"/>
      <c r="BS74" s="126" t="n"/>
      <c r="BT74" s="126" t="n"/>
      <c r="BU74" s="126" t="n"/>
      <c r="BV74" s="126" t="n"/>
      <c r="BW74" s="126" t="n"/>
      <c r="BX74" s="126" t="n"/>
      <c r="BY74" s="126" t="n"/>
    </row>
    <row r="75">
      <c r="B75" t="inlineStr">
        <is>
          <t>1 мес.</t>
        </is>
      </c>
      <c r="C75" t="inlineStr">
        <is>
          <t>₽</t>
        </is>
      </c>
      <c r="D75" s="127" t="inlineStr"/>
      <c r="E75" s="129">
        <f>SUM(L75:W75)</f>
        <v/>
      </c>
      <c r="F75" s="129">
        <f>SUM(X75:AI75)</f>
        <v/>
      </c>
      <c r="G75" s="129">
        <f>SUM(AJ75:AU75)</f>
        <v/>
      </c>
      <c r="H75" s="129">
        <f>SUM(AV75:BG75)</f>
        <v/>
      </c>
      <c r="I75" s="129">
        <f>SUM(BH75:BS75)</f>
        <v/>
      </c>
      <c r="J75" s="6">
        <f>SUM(L75:BS75)</f>
        <v/>
      </c>
      <c r="L75" s="5">
        <f>IF(OR(('03_Сеть'!L23-L21)=0,1&lt;=КаникулыРоялти),0,('03_Сеть'!L23-L21)*IF(РоялтиПоГруппам="Да",MeanMinAge01+L10*SUMIF(ThresholdAge01,"&lt;"&amp;L10,WeightedRevAge01)-SUMIF(ThresholdAge01,"&lt;"&amp;L10,WeightedMinAge01),MAX(CapacityAge01*АбонементНовых*L10,MeanMinAge01)))</f>
        <v/>
      </c>
      <c r="M75" s="5">
        <f>IF(OR(('03_Сеть'!M23-M21)=0,1&lt;=КаникулыРоялти),0,('03_Сеть'!M23-M21)*IF(РоялтиПоГруппам="Да",MeanMinAge01+M10*SUMIF(ThresholdAge01,"&lt;"&amp;M10,WeightedRevAge01)-SUMIF(ThresholdAge01,"&lt;"&amp;M10,WeightedMinAge01),MAX(CapacityAge01*АбонементНовых*M10,MeanMinAge01)))</f>
        <v/>
      </c>
      <c r="N75" s="5">
        <f>IF(OR(('03_Сеть'!N23-N21)=0,1&lt;=КаникулыРоялти),0,('03_Сеть'!N23-N21)*IF(РоялтиПоГруппам="Да",MeanMinAge01+N10*SUMIF(ThresholdAge01,"&lt;"&amp;N10,WeightedRevAge01)-SUMIF(ThresholdAge01,"&lt;"&amp;N10,WeightedMinAge01),MAX(CapacityAge01*АбонементНовых*N10,MeanMinAge01)))</f>
        <v/>
      </c>
      <c r="O75" s="5">
        <f>IF(OR(('03_Сеть'!O23-O21)=0,1&lt;=КаникулыРоялти),0,('03_Сеть'!O23-O21)*IF(РоялтиПоГруппам="Да",MeanMinAge01+O10*SUMIF(ThresholdAge01,"&lt;"&amp;O10,WeightedRevAge01)-SUMIF(ThresholdAge01,"&lt;"&amp;O10,WeightedMinAge01),MAX(CapacityAge01*АбонементНовых*O10,MeanMinAge01)))</f>
        <v/>
      </c>
      <c r="P75" s="5">
        <f>IF(OR(('03_Сеть'!P23-P21)=0,1&lt;=КаникулыРоялти),0,('03_Сеть'!P23-P21)*IF(РоялтиПоГруппам="Да",MeanMinAge01+P10*SUMIF(ThresholdAge01,"&lt;"&amp;P10,WeightedRevAge01)-SUMIF(ThresholdAge01,"&lt;"&amp;P10,WeightedMinAge01),MAX(CapacityAge01*АбонементНовых*P10,MeanMinAge01)))</f>
        <v/>
      </c>
      <c r="Q75" s="5">
        <f>IF(OR(('03_Сеть'!Q23-Q21)=0,1&lt;=КаникулыРоялти),0,('03_Сеть'!Q23-Q21)*IF(РоялтиПоГруппам="Да",MeanMinAge01+Q10*SUMIF(ThresholdAge01,"&lt;"&amp;Q10,WeightedRevAge01)-SUMIF(ThresholdAge01,"&lt;"&amp;Q10,WeightedMinAge01),MAX(CapacityAge01*АбонементНовых*Q10,MeanMinAge01)))</f>
        <v/>
      </c>
      <c r="R75" s="5">
        <f>IF(OR(('03_Сеть'!R23-R21)=0,1&lt;=КаникулыРоялти),0,('03_Сеть'!R23-R21)*IF(РоялтиПоГруппам="Да",MeanMinAge01+R10*SUMIF(ThresholdAge01,"&lt;"&amp;R10,WeightedRevAge01)-SUMIF(ThresholdAge01,"&lt;"&amp;R10,WeightedMinAge01),MAX(CapacityAge01*АбонементНовых*R10,MeanMinAge01)))</f>
        <v/>
      </c>
      <c r="S75" s="5">
        <f>IF(OR(('03_Сеть'!S23-S21)=0,1&lt;=КаникулыРоялти),0,('03_Сеть'!S23-S21)*IF(РоялтиПоГруппам="Да",MeanMinAge01+S10*SUMIF(ThresholdAge01,"&lt;"&amp;S10,WeightedRevAge01)-SUMIF(ThresholdAge01,"&lt;"&amp;S10,WeightedMinAge01),MAX(CapacityAge01*АбонементНовых*S10,MeanMinAge01)))</f>
        <v/>
      </c>
      <c r="T75" s="5">
        <f>IF(OR(('03_Сеть'!T23-T21)=0,1&lt;=КаникулыРоялти),0,('03_Сеть'!T23-T21)*IF(РоялтиПоГруппам="Да",MeanMinAge01+T10*SUMIF(ThresholdAge01,"&lt;"&amp;T10,WeightedRevAge01)-SUMIF(ThresholdAge01,"&lt;"&amp;T10,WeightedMinAge01),MAX(CapacityAge01*АбонементНовых*T10,MeanMinAge01)))</f>
        <v/>
      </c>
      <c r="U75" s="5">
        <f>IF(OR(('03_Сеть'!U23-U21)=0,1&lt;=КаникулыРоялти),0,('03_Сеть'!U23-U21)*IF(РоялтиПоГруппам="Да",MeanMinAge01+U10*SUMIF(ThresholdAge01,"&lt;"&amp;U10,WeightedRevAge01)-SUMIF(ThresholdAge01,"&lt;"&amp;U10,WeightedMinAge01),MAX(CapacityAge01*АбонементНовых*U10,MeanMinAge01)))</f>
        <v/>
      </c>
      <c r="V75" s="5">
        <f>IF(OR(('03_Сеть'!V23-V21)=0,1&lt;=КаникулыРоялти),0,('03_Сеть'!V23-V21)*IF(РоялтиПоГруппам="Да",MeanMinAge01+V10*SUMIF(ThresholdAge01,"&lt;"&amp;V10,WeightedRevAge01)-SUMIF(ThresholdAge01,"&lt;"&amp;V10,WeightedMinAge01),MAX(CapacityAge01*АбонементНовых*V10,MeanMinAge01)))</f>
        <v/>
      </c>
      <c r="W75" s="5">
        <f>IF(OR(('03_Сеть'!W23-W21)=0,1&lt;=КаникулыРоялти),0,('03_Сеть'!W23-W21)*IF(РоялтиПоГруппам="Да",MeanMinAge01+W10*SUMIF(ThresholdAge01,"&lt;"&amp;W10,WeightedRevAge01)-SUMIF(ThresholdAge01,"&lt;"&amp;W10,WeightedMinAge01),MAX(CapacityAge01*АбонементНовых*W10,MeanMinAge01)))</f>
        <v/>
      </c>
      <c r="X75" s="5">
        <f>IF(OR(('03_Сеть'!X23-X21)=0,1&lt;=КаникулыРоялти),0,('03_Сеть'!X23-X21)*IF(РоялтиПоГруппам="Да",MeanMinAge01+X10*SUMIF(ThresholdAge01,"&lt;"&amp;X10,WeightedRevAge01)-SUMIF(ThresholdAge01,"&lt;"&amp;X10,WeightedMinAge01),MAX(CapacityAge01*АбонементНовых*X10,MeanMinAge01)))</f>
        <v/>
      </c>
      <c r="Y75" s="5">
        <f>IF(OR(('03_Сеть'!Y23-Y21)=0,1&lt;=КаникулыРоялти),0,('03_Сеть'!Y23-Y21)*IF(РоялтиПоГруппам="Да",MeanMinAge01+Y10*SUMIF(ThresholdAge01,"&lt;"&amp;Y10,WeightedRevAge01)-SUMIF(ThresholdAge01,"&lt;"&amp;Y10,WeightedMinAge01),MAX(CapacityAge01*АбонементНовых*Y10,MeanMinAge01)))</f>
        <v/>
      </c>
      <c r="Z75" s="5">
        <f>IF(OR(('03_Сеть'!Z23-Z21)=0,1&lt;=КаникулыРоялти),0,('03_Сеть'!Z23-Z21)*IF(РоялтиПоГруппам="Да",MeanMinAge01+Z10*SUMIF(ThresholdAge01,"&lt;"&amp;Z10,WeightedRevAge01)-SUMIF(ThresholdAge01,"&lt;"&amp;Z10,WeightedMinAge01),MAX(CapacityAge01*АбонементНовых*Z10,MeanMinAge01)))</f>
        <v/>
      </c>
      <c r="AA75" s="5">
        <f>IF(OR(('03_Сеть'!AA23-AA21)=0,1&lt;=КаникулыРоялти),0,('03_Сеть'!AA23-AA21)*IF(РоялтиПоГруппам="Да",MeanMinAge01+AA10*SUMIF(ThresholdAge01,"&lt;"&amp;AA10,WeightedRevAge01)-SUMIF(ThresholdAge01,"&lt;"&amp;AA10,WeightedMinAge01),MAX(CapacityAge01*АбонементНовых*AA10,MeanMinAge01)))</f>
        <v/>
      </c>
      <c r="AB75" s="5">
        <f>IF(OR(('03_Сеть'!AB23-AB21)=0,1&lt;=КаникулыРоялти),0,('03_Сеть'!AB23-AB21)*IF(РоялтиПоГруппам="Да",MeanMinAge01+AB10*SUMIF(ThresholdAge01,"&lt;"&amp;AB10,WeightedRevAge01)-SUMIF(ThresholdAge01,"&lt;"&amp;AB10,WeightedMinAge01),MAX(CapacityAge01*АбонементНовых*AB10,MeanMinAge01)))</f>
        <v/>
      </c>
      <c r="AC75" s="5">
        <f>IF(OR(('03_Сеть'!AC23-AC21)=0,1&lt;=КаникулыРоялти),0,('03_Сеть'!AC23-AC21)*IF(РоялтиПоГруппам="Да",MeanMinAge01+AC10*SUMIF(ThresholdAge01,"&lt;"&amp;AC10,WeightedRevAge01)-SUMIF(ThresholdAge01,"&lt;"&amp;AC10,WeightedMinAge01),MAX(CapacityAge01*АбонементНовых*AC10,MeanMinAge01)))</f>
        <v/>
      </c>
      <c r="AD75" s="5">
        <f>IF(OR(('03_Сеть'!AD23-AD21)=0,1&lt;=КаникулыРоялти),0,('03_Сеть'!AD23-AD21)*IF(РоялтиПоГруппам="Да",MeanMinAge01+AD10*SUMIF(ThresholdAge01,"&lt;"&amp;AD10,WeightedRevAge01)-SUMIF(ThresholdAge01,"&lt;"&amp;AD10,WeightedMinAge01),MAX(CapacityAge01*АбонементНовых*AD10,MeanMinAge01)))</f>
        <v/>
      </c>
      <c r="AE75" s="5">
        <f>IF(OR(('03_Сеть'!AE23-AE21)=0,1&lt;=КаникулыРоялти),0,('03_Сеть'!AE23-AE21)*IF(РоялтиПоГруппам="Да",MeanMinAge01+AE10*SUMIF(ThresholdAge01,"&lt;"&amp;AE10,WeightedRevAge01)-SUMIF(ThresholdAge01,"&lt;"&amp;AE10,WeightedMinAge01),MAX(CapacityAge01*АбонементНовых*AE10,MeanMinAge01)))</f>
        <v/>
      </c>
      <c r="AF75" s="5">
        <f>IF(OR(('03_Сеть'!AF23-AF21)=0,1&lt;=КаникулыРоялти),0,('03_Сеть'!AF23-AF21)*IF(РоялтиПоГруппам="Да",MeanMinAge01+AF10*SUMIF(ThresholdAge01,"&lt;"&amp;AF10,WeightedRevAge01)-SUMIF(ThresholdAge01,"&lt;"&amp;AF10,WeightedMinAge01),MAX(CapacityAge01*АбонементНовых*AF10,MeanMinAge01)))</f>
        <v/>
      </c>
      <c r="AG75" s="5">
        <f>IF(OR(('03_Сеть'!AG23-AG21)=0,1&lt;=КаникулыРоялти),0,('03_Сеть'!AG23-AG21)*IF(РоялтиПоГруппам="Да",MeanMinAge01+AG10*SUMIF(ThresholdAge01,"&lt;"&amp;AG10,WeightedRevAge01)-SUMIF(ThresholdAge01,"&lt;"&amp;AG10,WeightedMinAge01),MAX(CapacityAge01*АбонементНовых*AG10,MeanMinAge01)))</f>
        <v/>
      </c>
      <c r="AH75" s="5">
        <f>IF(OR(('03_Сеть'!AH23-AH21)=0,1&lt;=КаникулыРоялти),0,('03_Сеть'!AH23-AH21)*IF(РоялтиПоГруппам="Да",MeanMinAge01+AH10*SUMIF(ThresholdAge01,"&lt;"&amp;AH10,WeightedRevAge01)-SUMIF(ThresholdAge01,"&lt;"&amp;AH10,WeightedMinAge01),MAX(CapacityAge01*АбонементНовых*AH10,MeanMinAge01)))</f>
        <v/>
      </c>
      <c r="AI75" s="5">
        <f>IF(OR(('03_Сеть'!AI23-AI21)=0,1&lt;=КаникулыРоялти),0,('03_Сеть'!AI23-AI21)*IF(РоялтиПоГруппам="Да",MeanMinAge01+AI10*SUMIF(ThresholdAge01,"&lt;"&amp;AI10,WeightedRevAge01)-SUMIF(ThresholdAge01,"&lt;"&amp;AI10,WeightedMinAge01),MAX(CapacityAge01*АбонементНовых*AI10,MeanMinAge01)))</f>
        <v/>
      </c>
      <c r="AJ75" s="5">
        <f>IF(OR(('03_Сеть'!AJ23-AJ21)=0,1&lt;=КаникулыРоялти),0,('03_Сеть'!AJ23-AJ21)*IF(РоялтиПоГруппам="Да",MeanMinAge01+AJ10*SUMIF(ThresholdAge01,"&lt;"&amp;AJ10,WeightedRevAge01)-SUMIF(ThresholdAge01,"&lt;"&amp;AJ10,WeightedMinAge01),MAX(CapacityAge01*АбонементНовых*AJ10,MeanMinAge01)))</f>
        <v/>
      </c>
      <c r="AK75" s="5">
        <f>IF(OR(('03_Сеть'!AK23-AK21)=0,1&lt;=КаникулыРоялти),0,('03_Сеть'!AK23-AK21)*IF(РоялтиПоГруппам="Да",MeanMinAge01+AK10*SUMIF(ThresholdAge01,"&lt;"&amp;AK10,WeightedRevAge01)-SUMIF(ThresholdAge01,"&lt;"&amp;AK10,WeightedMinAge01),MAX(CapacityAge01*АбонементНовых*AK10,MeanMinAge01)))</f>
        <v/>
      </c>
      <c r="AL75" s="5">
        <f>IF(OR(('03_Сеть'!AL23-AL21)=0,1&lt;=КаникулыРоялти),0,('03_Сеть'!AL23-AL21)*IF(РоялтиПоГруппам="Да",MeanMinAge01+AL10*SUMIF(ThresholdAge01,"&lt;"&amp;AL10,WeightedRevAge01)-SUMIF(ThresholdAge01,"&lt;"&amp;AL10,WeightedMinAge01),MAX(CapacityAge01*АбонементНовых*AL10,MeanMinAge01)))</f>
        <v/>
      </c>
      <c r="AM75" s="5">
        <f>IF(OR(('03_Сеть'!AM23-AM21)=0,1&lt;=КаникулыРоялти),0,('03_Сеть'!AM23-AM21)*IF(РоялтиПоГруппам="Да",MeanMinAge01+AM10*SUMIF(ThresholdAge01,"&lt;"&amp;AM10,WeightedRevAge01)-SUMIF(ThresholdAge01,"&lt;"&amp;AM10,WeightedMinAge01),MAX(CapacityAge01*АбонементНовых*AM10,MeanMinAge01)))</f>
        <v/>
      </c>
      <c r="AN75" s="5">
        <f>IF(OR(('03_Сеть'!AN23-AN21)=0,1&lt;=КаникулыРоялти),0,('03_Сеть'!AN23-AN21)*IF(РоялтиПоГруппам="Да",MeanMinAge01+AN10*SUMIF(ThresholdAge01,"&lt;"&amp;AN10,WeightedRevAge01)-SUMIF(ThresholdAge01,"&lt;"&amp;AN10,WeightedMinAge01),MAX(CapacityAge01*АбонементНовых*AN10,MeanMinAge01)))</f>
        <v/>
      </c>
      <c r="AO75" s="5">
        <f>IF(OR(('03_Сеть'!AO23-AO21)=0,1&lt;=КаникулыРоялти),0,('03_Сеть'!AO23-AO21)*IF(РоялтиПоГруппам="Да",MeanMinAge01+AO10*SUMIF(ThresholdAge01,"&lt;"&amp;AO10,WeightedRevAge01)-SUMIF(ThresholdAge01,"&lt;"&amp;AO10,WeightedMinAge01),MAX(CapacityAge01*АбонементНовых*AO10,MeanMinAge01)))</f>
        <v/>
      </c>
      <c r="AP75" s="5">
        <f>IF(OR(('03_Сеть'!AP23-AP21)=0,1&lt;=КаникулыРоялти),0,('03_Сеть'!AP23-AP21)*IF(РоялтиПоГруппам="Да",MeanMinAge01+AP10*SUMIF(ThresholdAge01,"&lt;"&amp;AP10,WeightedRevAge01)-SUMIF(ThresholdAge01,"&lt;"&amp;AP10,WeightedMinAge01),MAX(CapacityAge01*АбонементНовых*AP10,MeanMinAge01)))</f>
        <v/>
      </c>
      <c r="AQ75" s="5">
        <f>IF(OR(('03_Сеть'!AQ23-AQ21)=0,1&lt;=КаникулыРоялти),0,('03_Сеть'!AQ23-AQ21)*IF(РоялтиПоГруппам="Да",MeanMinAge01+AQ10*SUMIF(ThresholdAge01,"&lt;"&amp;AQ10,WeightedRevAge01)-SUMIF(ThresholdAge01,"&lt;"&amp;AQ10,WeightedMinAge01),MAX(CapacityAge01*АбонементНовых*AQ10,MeanMinAge01)))</f>
        <v/>
      </c>
      <c r="AR75" s="5">
        <f>IF(OR(('03_Сеть'!AR23-AR21)=0,1&lt;=КаникулыРоялти),0,('03_Сеть'!AR23-AR21)*IF(РоялтиПоГруппам="Да",MeanMinAge01+AR10*SUMIF(ThresholdAge01,"&lt;"&amp;AR10,WeightedRevAge01)-SUMIF(ThresholdAge01,"&lt;"&amp;AR10,WeightedMinAge01),MAX(CapacityAge01*АбонементНовых*AR10,MeanMinAge01)))</f>
        <v/>
      </c>
      <c r="AS75" s="5">
        <f>IF(OR(('03_Сеть'!AS23-AS21)=0,1&lt;=КаникулыРоялти),0,('03_Сеть'!AS23-AS21)*IF(РоялтиПоГруппам="Да",MeanMinAge01+AS10*SUMIF(ThresholdAge01,"&lt;"&amp;AS10,WeightedRevAge01)-SUMIF(ThresholdAge01,"&lt;"&amp;AS10,WeightedMinAge01),MAX(CapacityAge01*АбонементНовых*AS10,MeanMinAge01)))</f>
        <v/>
      </c>
      <c r="AT75" s="5">
        <f>IF(OR(('03_Сеть'!AT23-AT21)=0,1&lt;=КаникулыРоялти),0,('03_Сеть'!AT23-AT21)*IF(РоялтиПоГруппам="Да",MeanMinAge01+AT10*SUMIF(ThresholdAge01,"&lt;"&amp;AT10,WeightedRevAge01)-SUMIF(ThresholdAge01,"&lt;"&amp;AT10,WeightedMinAge01),MAX(CapacityAge01*АбонементНовых*AT10,MeanMinAge01)))</f>
        <v/>
      </c>
      <c r="AU75" s="5">
        <f>IF(OR(('03_Сеть'!AU23-AU21)=0,1&lt;=КаникулыРоялти),0,('03_Сеть'!AU23-AU21)*IF(РоялтиПоГруппам="Да",MeanMinAge01+AU10*SUMIF(ThresholdAge01,"&lt;"&amp;AU10,WeightedRevAge01)-SUMIF(ThresholdAge01,"&lt;"&amp;AU10,WeightedMinAge01),MAX(CapacityAge01*АбонементНовых*AU10,MeanMinAge01)))</f>
        <v/>
      </c>
      <c r="AV75" s="5">
        <f>IF(OR(('03_Сеть'!AV23-AV21)=0,1&lt;=КаникулыРоялти),0,('03_Сеть'!AV23-AV21)*IF(РоялтиПоГруппам="Да",MeanMinAge01+AV10*SUMIF(ThresholdAge01,"&lt;"&amp;AV10,WeightedRevAge01)-SUMIF(ThresholdAge01,"&lt;"&amp;AV10,WeightedMinAge01),MAX(CapacityAge01*АбонементНовых*AV10,MeanMinAge01)))</f>
        <v/>
      </c>
      <c r="AW75" s="5">
        <f>IF(OR(('03_Сеть'!AW23-AW21)=0,1&lt;=КаникулыРоялти),0,('03_Сеть'!AW23-AW21)*IF(РоялтиПоГруппам="Да",MeanMinAge01+AW10*SUMIF(ThresholdAge01,"&lt;"&amp;AW10,WeightedRevAge01)-SUMIF(ThresholdAge01,"&lt;"&amp;AW10,WeightedMinAge01),MAX(CapacityAge01*АбонементНовых*AW10,MeanMinAge01)))</f>
        <v/>
      </c>
      <c r="AX75" s="5">
        <f>IF(OR(('03_Сеть'!AX23-AX21)=0,1&lt;=КаникулыРоялти),0,('03_Сеть'!AX23-AX21)*IF(РоялтиПоГруппам="Да",MeanMinAge01+AX10*SUMIF(ThresholdAge01,"&lt;"&amp;AX10,WeightedRevAge01)-SUMIF(ThresholdAge01,"&lt;"&amp;AX10,WeightedMinAge01),MAX(CapacityAge01*АбонементНовых*AX10,MeanMinAge01)))</f>
        <v/>
      </c>
      <c r="AY75" s="5">
        <f>IF(OR(('03_Сеть'!AY23-AY21)=0,1&lt;=КаникулыРоялти),0,('03_Сеть'!AY23-AY21)*IF(РоялтиПоГруппам="Да",MeanMinAge01+AY10*SUMIF(ThresholdAge01,"&lt;"&amp;AY10,WeightedRevAge01)-SUMIF(ThresholdAge01,"&lt;"&amp;AY10,WeightedMinAge01),MAX(CapacityAge01*АбонементНовых*AY10,MeanMinAge01)))</f>
        <v/>
      </c>
      <c r="AZ75" s="5">
        <f>IF(OR(('03_Сеть'!AZ23-AZ21)=0,1&lt;=КаникулыРоялти),0,('03_Сеть'!AZ23-AZ21)*IF(РоялтиПоГруппам="Да",MeanMinAge01+AZ10*SUMIF(ThresholdAge01,"&lt;"&amp;AZ10,WeightedRevAge01)-SUMIF(ThresholdAge01,"&lt;"&amp;AZ10,WeightedMinAge01),MAX(CapacityAge01*АбонементНовых*AZ10,MeanMinAge01)))</f>
        <v/>
      </c>
      <c r="BA75" s="5">
        <f>IF(OR(('03_Сеть'!BA23-BA21)=0,1&lt;=КаникулыРоялти),0,('03_Сеть'!BA23-BA21)*IF(РоялтиПоГруппам="Да",MeanMinAge01+BA10*SUMIF(ThresholdAge01,"&lt;"&amp;BA10,WeightedRevAge01)-SUMIF(ThresholdAge01,"&lt;"&amp;BA10,WeightedMinAge01),MAX(CapacityAge01*АбонементНовых*BA10,MeanMinAge01)))</f>
        <v/>
      </c>
      <c r="BB75" s="5">
        <f>IF(OR(('03_Сеть'!BB23-BB21)=0,1&lt;=КаникулыРоялти),0,('03_Сеть'!BB23-BB21)*IF(РоялтиПоГруппам="Да",MeanMinAge01+BB10*SUMIF(ThresholdAge01,"&lt;"&amp;BB10,WeightedRevAge01)-SUMIF(ThresholdAge01,"&lt;"&amp;BB10,WeightedMinAge01),MAX(CapacityAge01*АбонементНовых*BB10,MeanMinAge01)))</f>
        <v/>
      </c>
      <c r="BC75" s="5">
        <f>IF(OR(('03_Сеть'!BC23-BC21)=0,1&lt;=КаникулыРоялти),0,('03_Сеть'!BC23-BC21)*IF(РоялтиПоГруппам="Да",MeanMinAge01+BC10*SUMIF(ThresholdAge01,"&lt;"&amp;BC10,WeightedRevAge01)-SUMIF(ThresholdAge01,"&lt;"&amp;BC10,WeightedMinAge01),MAX(CapacityAge01*АбонементНовых*BC10,MeanMinAge01)))</f>
        <v/>
      </c>
      <c r="BD75" s="5">
        <f>IF(OR(('03_Сеть'!BD23-BD21)=0,1&lt;=КаникулыРоялти),0,('03_Сеть'!BD23-BD21)*IF(РоялтиПоГруппам="Да",MeanMinAge01+BD10*SUMIF(ThresholdAge01,"&lt;"&amp;BD10,WeightedRevAge01)-SUMIF(ThresholdAge01,"&lt;"&amp;BD10,WeightedMinAge01),MAX(CapacityAge01*АбонементНовых*BD10,MeanMinAge01)))</f>
        <v/>
      </c>
      <c r="BE75" s="5">
        <f>IF(OR(('03_Сеть'!BE23-BE21)=0,1&lt;=КаникулыРоялти),0,('03_Сеть'!BE23-BE21)*IF(РоялтиПоГруппам="Да",MeanMinAge01+BE10*SUMIF(ThresholdAge01,"&lt;"&amp;BE10,WeightedRevAge01)-SUMIF(ThresholdAge01,"&lt;"&amp;BE10,WeightedMinAge01),MAX(CapacityAge01*АбонементНовых*BE10,MeanMinAge01)))</f>
        <v/>
      </c>
      <c r="BF75" s="5">
        <f>IF(OR(('03_Сеть'!BF23-BF21)=0,1&lt;=КаникулыРоялти),0,('03_Сеть'!BF23-BF21)*IF(РоялтиПоГруппам="Да",MeanMinAge01+BF10*SUMIF(ThresholdAge01,"&lt;"&amp;BF10,WeightedRevAge01)-SUMIF(ThresholdAge01,"&lt;"&amp;BF10,WeightedMinAge01),MAX(CapacityAge01*АбонементНовых*BF10,MeanMinAge01)))</f>
        <v/>
      </c>
      <c r="BG75" s="5">
        <f>IF(OR(('03_Сеть'!BG23-BG21)=0,1&lt;=КаникулыРоялти),0,('03_Сеть'!BG23-BG21)*IF(РоялтиПоГруппам="Да",MeanMinAge01+BG10*SUMIF(ThresholdAge01,"&lt;"&amp;BG10,WeightedRevAge01)-SUMIF(ThresholdAge01,"&lt;"&amp;BG10,WeightedMinAge01),MAX(CapacityAge01*АбонементНовых*BG10,MeanMinAge01)))</f>
        <v/>
      </c>
      <c r="BH75" s="5">
        <f>IF(OR(('03_Сеть'!BH23-BH21)=0,1&lt;=КаникулыРоялти),0,('03_Сеть'!BH23-BH21)*IF(РоялтиПоГруппам="Да",MeanMinAge01+BH10*SUMIF(ThresholdAge01,"&lt;"&amp;BH10,WeightedRevAge01)-SUMIF(ThresholdAge01,"&lt;"&amp;BH10,WeightedMinAge01),MAX(CapacityAge01*АбонементНовых*BH10,MeanMinAge01)))</f>
        <v/>
      </c>
      <c r="BI75" s="5">
        <f>IF(OR(('03_Сеть'!BI23-BI21)=0,1&lt;=КаникулыРоялти),0,('03_Сеть'!BI23-BI21)*IF(РоялтиПоГруппам="Да",MeanMinAge01+BI10*SUMIF(ThresholdAge01,"&lt;"&amp;BI10,WeightedRevAge01)-SUMIF(ThresholdAge01,"&lt;"&amp;BI10,WeightedMinAge01),MAX(CapacityAge01*АбонементНовых*BI10,MeanMinAge01)))</f>
        <v/>
      </c>
      <c r="BJ75" s="5">
        <f>IF(OR(('03_Сеть'!BJ23-BJ21)=0,1&lt;=КаникулыРоялти),0,('03_Сеть'!BJ23-BJ21)*IF(РоялтиПоГруппам="Да",MeanMinAge01+BJ10*SUMIF(ThresholdAge01,"&lt;"&amp;BJ10,WeightedRevAge01)-SUMIF(ThresholdAge01,"&lt;"&amp;BJ10,WeightedMinAge01),MAX(CapacityAge01*АбонементНовых*BJ10,MeanMinAge01)))</f>
        <v/>
      </c>
      <c r="BK75" s="5">
        <f>IF(OR(('03_Сеть'!BK23-BK21)=0,1&lt;=КаникулыРоялти),0,('03_Сеть'!BK23-BK21)*IF(РоялтиПоГруппам="Да",MeanMinAge01+BK10*SUMIF(ThresholdAge01,"&lt;"&amp;BK10,WeightedRevAge01)-SUMIF(ThresholdAge01,"&lt;"&amp;BK10,WeightedMinAge01),MAX(CapacityAge01*АбонементНовых*BK10,MeanMinAge01)))</f>
        <v/>
      </c>
      <c r="BL75" s="5">
        <f>IF(OR(('03_Сеть'!BL23-BL21)=0,1&lt;=КаникулыРоялти),0,('03_Сеть'!BL23-BL21)*IF(РоялтиПоГруппам="Да",MeanMinAge01+BL10*SUMIF(ThresholdAge01,"&lt;"&amp;BL10,WeightedRevAge01)-SUMIF(ThresholdAge01,"&lt;"&amp;BL10,WeightedMinAge01),MAX(CapacityAge01*АбонементНовых*BL10,MeanMinAge01)))</f>
        <v/>
      </c>
      <c r="BM75" s="5">
        <f>IF(OR(('03_Сеть'!BM23-BM21)=0,1&lt;=КаникулыРоялти),0,('03_Сеть'!BM23-BM21)*IF(РоялтиПоГруппам="Да",MeanMinAge01+BM10*SUMIF(ThresholdAge01,"&lt;"&amp;BM10,WeightedRevAge01)-SUMIF(ThresholdAge01,"&lt;"&amp;BM10,WeightedMinAge01),MAX(CapacityAge01*АбонементНовых*BM10,MeanMinAge01)))</f>
        <v/>
      </c>
      <c r="BN75" s="5">
        <f>IF(OR(('03_Сеть'!BN23-BN21)=0,1&lt;=КаникулыРоялти),0,('03_Сеть'!BN23-BN21)*IF(РоялтиПоГруппам="Да",MeanMinAge01+BN10*SUMIF(ThresholdAge01,"&lt;"&amp;BN10,WeightedRevAge01)-SUMIF(ThresholdAge01,"&lt;"&amp;BN10,WeightedMinAge01),MAX(CapacityAge01*АбонементНовых*BN10,MeanMinAge01)))</f>
        <v/>
      </c>
      <c r="BO75" s="5">
        <f>IF(OR(('03_Сеть'!BO23-BO21)=0,1&lt;=КаникулыРоялти),0,('03_Сеть'!BO23-BO21)*IF(РоялтиПоГруппам="Да",MeanMinAge01+BO10*SUMIF(ThresholdAge01,"&lt;"&amp;BO10,WeightedRevAge01)-SUMIF(ThresholdAge01,"&lt;"&amp;BO10,WeightedMinAge01),MAX(CapacityAge01*АбонементНовых*BO10,MeanMinAge01)))</f>
        <v/>
      </c>
      <c r="BP75" s="5">
        <f>IF(OR(('03_Сеть'!BP23-BP21)=0,1&lt;=КаникулыРоялти),0,('03_Сеть'!BP23-BP21)*IF(РоялтиПоГруппам="Да",MeanMinAge01+BP10*SUMIF(ThresholdAge01,"&lt;"&amp;BP10,WeightedRevAge01)-SUMIF(ThresholdAge01,"&lt;"&amp;BP10,WeightedMinAge01),MAX(CapacityAge01*АбонементНовых*BP10,MeanMinAge01)))</f>
        <v/>
      </c>
      <c r="BQ75" s="5">
        <f>IF(OR(('03_Сеть'!BQ23-BQ21)=0,1&lt;=КаникулыРоялти),0,('03_Сеть'!BQ23-BQ21)*IF(РоялтиПоГруппам="Да",MeanMinAge01+BQ10*SUMIF(ThresholdAge01,"&lt;"&amp;BQ10,WeightedRevAge01)-SUMIF(ThresholdAge01,"&lt;"&amp;BQ10,WeightedMinAge01),MAX(CapacityAge01*АбонементНовых*BQ10,MeanMinAge01)))</f>
        <v/>
      </c>
      <c r="BR75" s="5">
        <f>IF(OR(('03_Сеть'!BR23-BR21)=0,1&lt;=КаникулыРоялти),0,('03_Сеть'!BR23-BR21)*IF(РоялтиПоГруппам="Да",MeanMinAge01+BR10*SUMIF(ThresholdAge01,"&lt;"&amp;BR10,WeightedRevAge01)-SUMIF(ThresholdAge01,"&lt;"&amp;BR10,WeightedMinAge01),MAX(CapacityAge01*АбонементНовых*BR10,MeanMinAge01)))</f>
        <v/>
      </c>
      <c r="BS75" s="5">
        <f>IF(OR(('03_Сеть'!BS23-BS21)=0,1&lt;=КаникулыРоялти),0,('03_Сеть'!BS23-BS21)*IF(РоялтиПоГруппам="Да",MeanMinAge01+BS10*SUMIF(ThresholdAge01,"&lt;"&amp;BS10,WeightedRevAge01)-SUMIF(ThresholdAge01,"&lt;"&amp;BS10,WeightedMinAge01),MAX(CapacityAge01*АбонементНовых*BS10,MeanMinAge01)))</f>
        <v/>
      </c>
      <c r="BT75" s="5">
        <f>IF(OR(('03_Сеть'!BT23-BT21)=0,1&lt;=КаникулыРоялти),0,('03_Сеть'!BT23-BT21)*IF(РоялтиПоГруппам="Да",MeanMinAge01+BT10*SUMIF(ThresholdAge01,"&lt;"&amp;BT10,WeightedRevAge01)-SUMIF(ThresholdAge01,"&lt;"&amp;BT10,WeightedMinAge01),MAX(CapacityAge01*АбонементНовых*BT10,MeanMinAge01)))</f>
        <v/>
      </c>
      <c r="BU75" s="5">
        <f>IF(OR(('03_Сеть'!BU23-BU21)=0,1&lt;=КаникулыРоялти),0,('03_Сеть'!BU23-BU21)*IF(РоялтиПоГруппам="Да",MeanMinAge01+BU10*SUMIF(ThresholdAge01,"&lt;"&amp;BU10,WeightedRevAge01)-SUMIF(ThresholdAge01,"&lt;"&amp;BU10,WeightedMinAge01),MAX(CapacityAge01*АбонементНовых*BU10,MeanMinAge01)))</f>
        <v/>
      </c>
      <c r="BV75" s="5">
        <f>IF(OR(('03_Сеть'!BV23-BV21)=0,1&lt;=КаникулыРоялти),0,('03_Сеть'!BV23-BV21)*IF(РоялтиПоГруппам="Да",MeanMinAge01+BV10*SUMIF(ThresholdAge01,"&lt;"&amp;BV10,WeightedRevAge01)-SUMIF(ThresholdAge01,"&lt;"&amp;BV10,WeightedMinAge01),MAX(CapacityAge01*АбонементНовых*BV10,MeanMinAge01)))</f>
        <v/>
      </c>
      <c r="BW75" s="5">
        <f>IF(OR(('03_Сеть'!BW23-BW21)=0,1&lt;=КаникулыРоялти),0,('03_Сеть'!BW23-BW21)*IF(РоялтиПоГруппам="Да",MeanMinAge01+BW10*SUMIF(ThresholdAge01,"&lt;"&amp;BW10,WeightedRevAge01)-SUMIF(ThresholdAge01,"&lt;"&amp;BW10,WeightedMinAge01),MAX(CapacityAge01*АбонементНовых*BW10,MeanMinAge01)))</f>
        <v/>
      </c>
      <c r="BX75" s="5">
        <f>IF(OR(('03_Сеть'!BX23-BX21)=0,1&lt;=КаникулыРоялти),0,('03_Сеть'!BX23-BX21)*IF(РоялтиПоГруппам="Да",MeanMinAge01+BX10*SUMIF(ThresholdAge01,"&lt;"&amp;BX10,WeightedRevAge01)-SUMIF(ThresholdAge01,"&lt;"&amp;BX10,WeightedMinAge01),MAX(CapacityAge01*АбонементНовых*BX10,MeanMinAge01)))</f>
        <v/>
      </c>
      <c r="BY75" s="5">
        <f>IF(OR(('03_Сеть'!BY23-BY21)=0,1&lt;=КаникулыРоялти),0,('03_Сеть'!BY23-BY21)*IF(РоялтиПоГруппам="Да",MeanMinAge01+BY10*SUMIF(ThresholdAge01,"&lt;"&amp;BY10,WeightedRevAge01)-SUMIF(ThresholdAge01,"&lt;"&amp;BY10,WeightedMinAge01),MAX(CapacityAge01*АбонементНовых*BY10,MeanMinAge01)))</f>
        <v/>
      </c>
    </row>
    <row r="76">
      <c r="B76" t="inlineStr">
        <is>
          <t>2 мес.</t>
        </is>
      </c>
      <c r="C76" t="inlineStr">
        <is>
          <t>₽</t>
        </is>
      </c>
      <c r="D76" s="127" t="inlineStr"/>
      <c r="E76" s="129">
        <f>SUM(L76:W76)</f>
        <v/>
      </c>
      <c r="F76" s="129">
        <f>SUM(X76:AI76)</f>
        <v/>
      </c>
      <c r="G76" s="129">
        <f>SUM(AJ76:AU76)</f>
        <v/>
      </c>
      <c r="H76" s="129">
        <f>SUM(AV76:BG76)</f>
        <v/>
      </c>
      <c r="I76" s="129">
        <f>SUM(BH76:BS76)</f>
        <v/>
      </c>
      <c r="J76" s="6">
        <f>SUM(L76:BS76)</f>
        <v/>
      </c>
      <c r="L76" s="5">
        <f>IF(OR(('03_Сеть'!L24-L22)=0,2&lt;=КаникулыРоялти),0,('03_Сеть'!L24-L22)*IF(РоялтиПоГруппам="Да",MeanMinAge02+L10*SUMIF(ThresholdAge02,"&lt;"&amp;L10,WeightedRevAge02)-SUMIF(ThresholdAge02,"&lt;"&amp;L10,WeightedMinAge02),MAX(CapacityAge02*АбонементНовых*L10,MeanMinAge02)))</f>
        <v/>
      </c>
      <c r="M76" s="5">
        <f>IF(OR(('03_Сеть'!M24-M22)=0,2&lt;=КаникулыРоялти),0,('03_Сеть'!M24-M22)*IF(РоялтиПоГруппам="Да",MeanMinAge02+M10*SUMIF(ThresholdAge02,"&lt;"&amp;M10,WeightedRevAge02)-SUMIF(ThresholdAge02,"&lt;"&amp;M10,WeightedMinAge02),MAX(CapacityAge02*АбонементНовых*M10,MeanMinAge02)))</f>
        <v/>
      </c>
      <c r="N76" s="5">
        <f>IF(OR(('03_Сеть'!N24-N22)=0,2&lt;=КаникулыРоялти),0,('03_Сеть'!N24-N22)*IF(РоялтиПоГруппам="Да",MeanMinAge02+N10*SUMIF(ThresholdAge02,"&lt;"&amp;N10,WeightedRevAge02)-SUMIF(ThresholdAge02,"&lt;"&amp;N10,WeightedMinAge02),MAX(CapacityAge02*АбонементНовых*N10,MeanMinAge02)))</f>
        <v/>
      </c>
      <c r="O76" s="5">
        <f>IF(OR(('03_Сеть'!O24-O22)=0,2&lt;=КаникулыРоялти),0,('03_Сеть'!O24-O22)*IF(РоялтиПоГруппам="Да",MeanMinAge02+O10*SUMIF(ThresholdAge02,"&lt;"&amp;O10,WeightedRevAge02)-SUMIF(ThresholdAge02,"&lt;"&amp;O10,WeightedMinAge02),MAX(CapacityAge02*АбонементНовых*O10,MeanMinAge02)))</f>
        <v/>
      </c>
      <c r="P76" s="5">
        <f>IF(OR(('03_Сеть'!P24-P22)=0,2&lt;=КаникулыРоялти),0,('03_Сеть'!P24-P22)*IF(РоялтиПоГруппам="Да",MeanMinAge02+P10*SUMIF(ThresholdAge02,"&lt;"&amp;P10,WeightedRevAge02)-SUMIF(ThresholdAge02,"&lt;"&amp;P10,WeightedMinAge02),MAX(CapacityAge02*АбонементНовых*P10,MeanMinAge02)))</f>
        <v/>
      </c>
      <c r="Q76" s="5">
        <f>IF(OR(('03_Сеть'!Q24-Q22)=0,2&lt;=КаникулыРоялти),0,('03_Сеть'!Q24-Q22)*IF(РоялтиПоГруппам="Да",MeanMinAge02+Q10*SUMIF(ThresholdAge02,"&lt;"&amp;Q10,WeightedRevAge02)-SUMIF(ThresholdAge02,"&lt;"&amp;Q10,WeightedMinAge02),MAX(CapacityAge02*АбонементНовых*Q10,MeanMinAge02)))</f>
        <v/>
      </c>
      <c r="R76" s="5">
        <f>IF(OR(('03_Сеть'!R24-R22)=0,2&lt;=КаникулыРоялти),0,('03_Сеть'!R24-R22)*IF(РоялтиПоГруппам="Да",MeanMinAge02+R10*SUMIF(ThresholdAge02,"&lt;"&amp;R10,WeightedRevAge02)-SUMIF(ThresholdAge02,"&lt;"&amp;R10,WeightedMinAge02),MAX(CapacityAge02*АбонементНовых*R10,MeanMinAge02)))</f>
        <v/>
      </c>
      <c r="S76" s="5">
        <f>IF(OR(('03_Сеть'!S24-S22)=0,2&lt;=КаникулыРоялти),0,('03_Сеть'!S24-S22)*IF(РоялтиПоГруппам="Да",MeanMinAge02+S10*SUMIF(ThresholdAge02,"&lt;"&amp;S10,WeightedRevAge02)-SUMIF(ThresholdAge02,"&lt;"&amp;S10,WeightedMinAge02),MAX(CapacityAge02*АбонементНовых*S10,MeanMinAge02)))</f>
        <v/>
      </c>
      <c r="T76" s="5">
        <f>IF(OR(('03_Сеть'!T24-T22)=0,2&lt;=КаникулыРоялти),0,('03_Сеть'!T24-T22)*IF(РоялтиПоГруппам="Да",MeanMinAge02+T10*SUMIF(ThresholdAge02,"&lt;"&amp;T10,WeightedRevAge02)-SUMIF(ThresholdAge02,"&lt;"&amp;T10,WeightedMinAge02),MAX(CapacityAge02*АбонементНовых*T10,MeanMinAge02)))</f>
        <v/>
      </c>
      <c r="U76" s="5">
        <f>IF(OR(('03_Сеть'!U24-U22)=0,2&lt;=КаникулыРоялти),0,('03_Сеть'!U24-U22)*IF(РоялтиПоГруппам="Да",MeanMinAge02+U10*SUMIF(ThresholdAge02,"&lt;"&amp;U10,WeightedRevAge02)-SUMIF(ThresholdAge02,"&lt;"&amp;U10,WeightedMinAge02),MAX(CapacityAge02*АбонементНовых*U10,MeanMinAge02)))</f>
        <v/>
      </c>
      <c r="V76" s="5">
        <f>IF(OR(('03_Сеть'!V24-V22)=0,2&lt;=КаникулыРоялти),0,('03_Сеть'!V24-V22)*IF(РоялтиПоГруппам="Да",MeanMinAge02+V10*SUMIF(ThresholdAge02,"&lt;"&amp;V10,WeightedRevAge02)-SUMIF(ThresholdAge02,"&lt;"&amp;V10,WeightedMinAge02),MAX(CapacityAge02*АбонементНовых*V10,MeanMinAge02)))</f>
        <v/>
      </c>
      <c r="W76" s="5">
        <f>IF(OR(('03_Сеть'!W24-W22)=0,2&lt;=КаникулыРоялти),0,('03_Сеть'!W24-W22)*IF(РоялтиПоГруппам="Да",MeanMinAge02+W10*SUMIF(ThresholdAge02,"&lt;"&amp;W10,WeightedRevAge02)-SUMIF(ThresholdAge02,"&lt;"&amp;W10,WeightedMinAge02),MAX(CapacityAge02*АбонементНовых*W10,MeanMinAge02)))</f>
        <v/>
      </c>
      <c r="X76" s="5">
        <f>IF(OR(('03_Сеть'!X24-X22)=0,2&lt;=КаникулыРоялти),0,('03_Сеть'!X24-X22)*IF(РоялтиПоГруппам="Да",MeanMinAge02+X10*SUMIF(ThresholdAge02,"&lt;"&amp;X10,WeightedRevAge02)-SUMIF(ThresholdAge02,"&lt;"&amp;X10,WeightedMinAge02),MAX(CapacityAge02*АбонементНовых*X10,MeanMinAge02)))</f>
        <v/>
      </c>
      <c r="Y76" s="5">
        <f>IF(OR(('03_Сеть'!Y24-Y22)=0,2&lt;=КаникулыРоялти),0,('03_Сеть'!Y24-Y22)*IF(РоялтиПоГруппам="Да",MeanMinAge02+Y10*SUMIF(ThresholdAge02,"&lt;"&amp;Y10,WeightedRevAge02)-SUMIF(ThresholdAge02,"&lt;"&amp;Y10,WeightedMinAge02),MAX(CapacityAge02*АбонементНовых*Y10,MeanMinAge02)))</f>
        <v/>
      </c>
      <c r="Z76" s="5">
        <f>IF(OR(('03_Сеть'!Z24-Z22)=0,2&lt;=КаникулыРоялти),0,('03_Сеть'!Z24-Z22)*IF(РоялтиПоГруппам="Да",MeanMinAge02+Z10*SUMIF(ThresholdAge02,"&lt;"&amp;Z10,WeightedRevAge02)-SUMIF(ThresholdAge02,"&lt;"&amp;Z10,WeightedMinAge02),MAX(CapacityAge02*АбонементНовых*Z10,MeanMinAge02)))</f>
        <v/>
      </c>
      <c r="AA76" s="5">
        <f>IF(OR(('03_Сеть'!AA24-AA22)=0,2&lt;=КаникулыРоялти),0,('03_Сеть'!AA24-AA22)*IF(РоялтиПоГруппам="Да",MeanMinAge02+AA10*SUMIF(ThresholdAge02,"&lt;"&amp;AA10,WeightedRevAge02)-SUMIF(ThresholdAge02,"&lt;"&amp;AA10,WeightedMinAge02),MAX(CapacityAge02*АбонементНовых*AA10,MeanMinAge02)))</f>
        <v/>
      </c>
      <c r="AB76" s="5">
        <f>IF(OR(('03_Сеть'!AB24-AB22)=0,2&lt;=КаникулыРоялти),0,('03_Сеть'!AB24-AB22)*IF(РоялтиПоГруппам="Да",MeanMinAge02+AB10*SUMIF(ThresholdAge02,"&lt;"&amp;AB10,WeightedRevAge02)-SUMIF(ThresholdAge02,"&lt;"&amp;AB10,WeightedMinAge02),MAX(CapacityAge02*АбонементНовых*AB10,MeanMinAge02)))</f>
        <v/>
      </c>
      <c r="AC76" s="5">
        <f>IF(OR(('03_Сеть'!AC24-AC22)=0,2&lt;=КаникулыРоялти),0,('03_Сеть'!AC24-AC22)*IF(РоялтиПоГруппам="Да",MeanMinAge02+AC10*SUMIF(ThresholdAge02,"&lt;"&amp;AC10,WeightedRevAge02)-SUMIF(ThresholdAge02,"&lt;"&amp;AC10,WeightedMinAge02),MAX(CapacityAge02*АбонементНовых*AC10,MeanMinAge02)))</f>
        <v/>
      </c>
      <c r="AD76" s="5">
        <f>IF(OR(('03_Сеть'!AD24-AD22)=0,2&lt;=КаникулыРоялти),0,('03_Сеть'!AD24-AD22)*IF(РоялтиПоГруппам="Да",MeanMinAge02+AD10*SUMIF(ThresholdAge02,"&lt;"&amp;AD10,WeightedRevAge02)-SUMIF(ThresholdAge02,"&lt;"&amp;AD10,WeightedMinAge02),MAX(CapacityAge02*АбонементНовых*AD10,MeanMinAge02)))</f>
        <v/>
      </c>
      <c r="AE76" s="5">
        <f>IF(OR(('03_Сеть'!AE24-AE22)=0,2&lt;=КаникулыРоялти),0,('03_Сеть'!AE24-AE22)*IF(РоялтиПоГруппам="Да",MeanMinAge02+AE10*SUMIF(ThresholdAge02,"&lt;"&amp;AE10,WeightedRevAge02)-SUMIF(ThresholdAge02,"&lt;"&amp;AE10,WeightedMinAge02),MAX(CapacityAge02*АбонементНовых*AE10,MeanMinAge02)))</f>
        <v/>
      </c>
      <c r="AF76" s="5">
        <f>IF(OR(('03_Сеть'!AF24-AF22)=0,2&lt;=КаникулыРоялти),0,('03_Сеть'!AF24-AF22)*IF(РоялтиПоГруппам="Да",MeanMinAge02+AF10*SUMIF(ThresholdAge02,"&lt;"&amp;AF10,WeightedRevAge02)-SUMIF(ThresholdAge02,"&lt;"&amp;AF10,WeightedMinAge02),MAX(CapacityAge02*АбонементНовых*AF10,MeanMinAge02)))</f>
        <v/>
      </c>
      <c r="AG76" s="5">
        <f>IF(OR(('03_Сеть'!AG24-AG22)=0,2&lt;=КаникулыРоялти),0,('03_Сеть'!AG24-AG22)*IF(РоялтиПоГруппам="Да",MeanMinAge02+AG10*SUMIF(ThresholdAge02,"&lt;"&amp;AG10,WeightedRevAge02)-SUMIF(ThresholdAge02,"&lt;"&amp;AG10,WeightedMinAge02),MAX(CapacityAge02*АбонементНовых*AG10,MeanMinAge02)))</f>
        <v/>
      </c>
      <c r="AH76" s="5">
        <f>IF(OR(('03_Сеть'!AH24-AH22)=0,2&lt;=КаникулыРоялти),0,('03_Сеть'!AH24-AH22)*IF(РоялтиПоГруппам="Да",MeanMinAge02+AH10*SUMIF(ThresholdAge02,"&lt;"&amp;AH10,WeightedRevAge02)-SUMIF(ThresholdAge02,"&lt;"&amp;AH10,WeightedMinAge02),MAX(CapacityAge02*АбонементНовых*AH10,MeanMinAge02)))</f>
        <v/>
      </c>
      <c r="AI76" s="5">
        <f>IF(OR(('03_Сеть'!AI24-AI22)=0,2&lt;=КаникулыРоялти),0,('03_Сеть'!AI24-AI22)*IF(РоялтиПоГруппам="Да",MeanMinAge02+AI10*SUMIF(ThresholdAge02,"&lt;"&amp;AI10,WeightedRevAge02)-SUMIF(ThresholdAge02,"&lt;"&amp;AI10,WeightedMinAge02),MAX(CapacityAge02*АбонементНовых*AI10,MeanMinAge02)))</f>
        <v/>
      </c>
      <c r="AJ76" s="5">
        <f>IF(OR(('03_Сеть'!AJ24-AJ22)=0,2&lt;=КаникулыРоялти),0,('03_Сеть'!AJ24-AJ22)*IF(РоялтиПоГруппам="Да",MeanMinAge02+AJ10*SUMIF(ThresholdAge02,"&lt;"&amp;AJ10,WeightedRevAge02)-SUMIF(ThresholdAge02,"&lt;"&amp;AJ10,WeightedMinAge02),MAX(CapacityAge02*АбонементНовых*AJ10,MeanMinAge02)))</f>
        <v/>
      </c>
      <c r="AK76" s="5">
        <f>IF(OR(('03_Сеть'!AK24-AK22)=0,2&lt;=КаникулыРоялти),0,('03_Сеть'!AK24-AK22)*IF(РоялтиПоГруппам="Да",MeanMinAge02+AK10*SUMIF(ThresholdAge02,"&lt;"&amp;AK10,WeightedRevAge02)-SUMIF(ThresholdAge02,"&lt;"&amp;AK10,WeightedMinAge02),MAX(CapacityAge02*АбонементНовых*AK10,MeanMinAge02)))</f>
        <v/>
      </c>
      <c r="AL76" s="5">
        <f>IF(OR(('03_Сеть'!AL24-AL22)=0,2&lt;=КаникулыРоялти),0,('03_Сеть'!AL24-AL22)*IF(РоялтиПоГруппам="Да",MeanMinAge02+AL10*SUMIF(ThresholdAge02,"&lt;"&amp;AL10,WeightedRevAge02)-SUMIF(ThresholdAge02,"&lt;"&amp;AL10,WeightedMinAge02),MAX(CapacityAge02*АбонементНовых*AL10,MeanMinAge02)))</f>
        <v/>
      </c>
      <c r="AM76" s="5">
        <f>IF(OR(('03_Сеть'!AM24-AM22)=0,2&lt;=КаникулыРоялти),0,('03_Сеть'!AM24-AM22)*IF(РоялтиПоГруппам="Да",MeanMinAge02+AM10*SUMIF(ThresholdAge02,"&lt;"&amp;AM10,WeightedRevAge02)-SUMIF(ThresholdAge02,"&lt;"&amp;AM10,WeightedMinAge02),MAX(CapacityAge02*АбонементНовых*AM10,MeanMinAge02)))</f>
        <v/>
      </c>
      <c r="AN76" s="5">
        <f>IF(OR(('03_Сеть'!AN24-AN22)=0,2&lt;=КаникулыРоялти),0,('03_Сеть'!AN24-AN22)*IF(РоялтиПоГруппам="Да",MeanMinAge02+AN10*SUMIF(ThresholdAge02,"&lt;"&amp;AN10,WeightedRevAge02)-SUMIF(ThresholdAge02,"&lt;"&amp;AN10,WeightedMinAge02),MAX(CapacityAge02*АбонементНовых*AN10,MeanMinAge02)))</f>
        <v/>
      </c>
      <c r="AO76" s="5">
        <f>IF(OR(('03_Сеть'!AO24-AO22)=0,2&lt;=КаникулыРоялти),0,('03_Сеть'!AO24-AO22)*IF(РоялтиПоГруппам="Да",MeanMinAge02+AO10*SUMIF(ThresholdAge02,"&lt;"&amp;AO10,WeightedRevAge02)-SUMIF(ThresholdAge02,"&lt;"&amp;AO10,WeightedMinAge02),MAX(CapacityAge02*АбонементНовых*AO10,MeanMinAge02)))</f>
        <v/>
      </c>
      <c r="AP76" s="5">
        <f>IF(OR(('03_Сеть'!AP24-AP22)=0,2&lt;=КаникулыРоялти),0,('03_Сеть'!AP24-AP22)*IF(РоялтиПоГруппам="Да",MeanMinAge02+AP10*SUMIF(ThresholdAge02,"&lt;"&amp;AP10,WeightedRevAge02)-SUMIF(ThresholdAge02,"&lt;"&amp;AP10,WeightedMinAge02),MAX(CapacityAge02*АбонементНовых*AP10,MeanMinAge02)))</f>
        <v/>
      </c>
      <c r="AQ76" s="5">
        <f>IF(OR(('03_Сеть'!AQ24-AQ22)=0,2&lt;=КаникулыРоялти),0,('03_Сеть'!AQ24-AQ22)*IF(РоялтиПоГруппам="Да",MeanMinAge02+AQ10*SUMIF(ThresholdAge02,"&lt;"&amp;AQ10,WeightedRevAge02)-SUMIF(ThresholdAge02,"&lt;"&amp;AQ10,WeightedMinAge02),MAX(CapacityAge02*АбонементНовых*AQ10,MeanMinAge02)))</f>
        <v/>
      </c>
      <c r="AR76" s="5">
        <f>IF(OR(('03_Сеть'!AR24-AR22)=0,2&lt;=КаникулыРоялти),0,('03_Сеть'!AR24-AR22)*IF(РоялтиПоГруппам="Да",MeanMinAge02+AR10*SUMIF(ThresholdAge02,"&lt;"&amp;AR10,WeightedRevAge02)-SUMIF(ThresholdAge02,"&lt;"&amp;AR10,WeightedMinAge02),MAX(CapacityAge02*АбонементНовых*AR10,MeanMinAge02)))</f>
        <v/>
      </c>
      <c r="AS76" s="5">
        <f>IF(OR(('03_Сеть'!AS24-AS22)=0,2&lt;=КаникулыРоялти),0,('03_Сеть'!AS24-AS22)*IF(РоялтиПоГруппам="Да",MeanMinAge02+AS10*SUMIF(ThresholdAge02,"&lt;"&amp;AS10,WeightedRevAge02)-SUMIF(ThresholdAge02,"&lt;"&amp;AS10,WeightedMinAge02),MAX(CapacityAge02*АбонементНовых*AS10,MeanMinAge02)))</f>
        <v/>
      </c>
      <c r="AT76" s="5">
        <f>IF(OR(('03_Сеть'!AT24-AT22)=0,2&lt;=КаникулыРоялти),0,('03_Сеть'!AT24-AT22)*IF(РоялтиПоГруппам="Да",MeanMinAge02+AT10*SUMIF(ThresholdAge02,"&lt;"&amp;AT10,WeightedRevAge02)-SUMIF(ThresholdAge02,"&lt;"&amp;AT10,WeightedMinAge02),MAX(CapacityAge02*АбонементНовых*AT10,MeanMinAge02)))</f>
        <v/>
      </c>
      <c r="AU76" s="5">
        <f>IF(OR(('03_Сеть'!AU24-AU22)=0,2&lt;=КаникулыРоялти),0,('03_Сеть'!AU24-AU22)*IF(РоялтиПоГруппам="Да",MeanMinAge02+AU10*SUMIF(ThresholdAge02,"&lt;"&amp;AU10,WeightedRevAge02)-SUMIF(ThresholdAge02,"&lt;"&amp;AU10,WeightedMinAge02),MAX(CapacityAge02*АбонементНовых*AU10,MeanMinAge02)))</f>
        <v/>
      </c>
      <c r="AV76" s="5">
        <f>IF(OR(('03_Сеть'!AV24-AV22)=0,2&lt;=КаникулыРоялти),0,('03_Сеть'!AV24-AV22)*IF(РоялтиПоГруппам="Да",MeanMinAge02+AV10*SUMIF(ThresholdAge02,"&lt;"&amp;AV10,WeightedRevAge02)-SUMIF(ThresholdAge02,"&lt;"&amp;AV10,WeightedMinAge02),MAX(CapacityAge02*АбонементНовых*AV10,MeanMinAge02)))</f>
        <v/>
      </c>
      <c r="AW76" s="5">
        <f>IF(OR(('03_Сеть'!AW24-AW22)=0,2&lt;=КаникулыРоялти),0,('03_Сеть'!AW24-AW22)*IF(РоялтиПоГруппам="Да",MeanMinAge02+AW10*SUMIF(ThresholdAge02,"&lt;"&amp;AW10,WeightedRevAge02)-SUMIF(ThresholdAge02,"&lt;"&amp;AW10,WeightedMinAge02),MAX(CapacityAge02*АбонементНовых*AW10,MeanMinAge02)))</f>
        <v/>
      </c>
      <c r="AX76" s="5">
        <f>IF(OR(('03_Сеть'!AX24-AX22)=0,2&lt;=КаникулыРоялти),0,('03_Сеть'!AX24-AX22)*IF(РоялтиПоГруппам="Да",MeanMinAge02+AX10*SUMIF(ThresholdAge02,"&lt;"&amp;AX10,WeightedRevAge02)-SUMIF(ThresholdAge02,"&lt;"&amp;AX10,WeightedMinAge02),MAX(CapacityAge02*АбонементНовых*AX10,MeanMinAge02)))</f>
        <v/>
      </c>
      <c r="AY76" s="5">
        <f>IF(OR(('03_Сеть'!AY24-AY22)=0,2&lt;=КаникулыРоялти),0,('03_Сеть'!AY24-AY22)*IF(РоялтиПоГруппам="Да",MeanMinAge02+AY10*SUMIF(ThresholdAge02,"&lt;"&amp;AY10,WeightedRevAge02)-SUMIF(ThresholdAge02,"&lt;"&amp;AY10,WeightedMinAge02),MAX(CapacityAge02*АбонементНовых*AY10,MeanMinAge02)))</f>
        <v/>
      </c>
      <c r="AZ76" s="5">
        <f>IF(OR(('03_Сеть'!AZ24-AZ22)=0,2&lt;=КаникулыРоялти),0,('03_Сеть'!AZ24-AZ22)*IF(РоялтиПоГруппам="Да",MeanMinAge02+AZ10*SUMIF(ThresholdAge02,"&lt;"&amp;AZ10,WeightedRevAge02)-SUMIF(ThresholdAge02,"&lt;"&amp;AZ10,WeightedMinAge02),MAX(CapacityAge02*АбонементНовых*AZ10,MeanMinAge02)))</f>
        <v/>
      </c>
      <c r="BA76" s="5">
        <f>IF(OR(('03_Сеть'!BA24-BA22)=0,2&lt;=КаникулыРоялти),0,('03_Сеть'!BA24-BA22)*IF(РоялтиПоГруппам="Да",MeanMinAge02+BA10*SUMIF(ThresholdAge02,"&lt;"&amp;BA10,WeightedRevAge02)-SUMIF(ThresholdAge02,"&lt;"&amp;BA10,WeightedMinAge02),MAX(CapacityAge02*АбонементНовых*BA10,MeanMinAge02)))</f>
        <v/>
      </c>
      <c r="BB76" s="5">
        <f>IF(OR(('03_Сеть'!BB24-BB22)=0,2&lt;=КаникулыРоялти),0,('03_Сеть'!BB24-BB22)*IF(РоялтиПоГруппам="Да",MeanMinAge02+BB10*SUMIF(ThresholdAge02,"&lt;"&amp;BB10,WeightedRevAge02)-SUMIF(ThresholdAge02,"&lt;"&amp;BB10,WeightedMinAge02),MAX(CapacityAge02*АбонементНовых*BB10,MeanMinAge02)))</f>
        <v/>
      </c>
      <c r="BC76" s="5">
        <f>IF(OR(('03_Сеть'!BC24-BC22)=0,2&lt;=КаникулыРоялти),0,('03_Сеть'!BC24-BC22)*IF(РоялтиПоГруппам="Да",MeanMinAge02+BC10*SUMIF(ThresholdAge02,"&lt;"&amp;BC10,WeightedRevAge02)-SUMIF(ThresholdAge02,"&lt;"&amp;BC10,WeightedMinAge02),MAX(CapacityAge02*АбонементНовых*BC10,MeanMinAge02)))</f>
        <v/>
      </c>
      <c r="BD76" s="5">
        <f>IF(OR(('03_Сеть'!BD24-BD22)=0,2&lt;=КаникулыРоялти),0,('03_Сеть'!BD24-BD22)*IF(РоялтиПоГруппам="Да",MeanMinAge02+BD10*SUMIF(ThresholdAge02,"&lt;"&amp;BD10,WeightedRevAge02)-SUMIF(ThresholdAge02,"&lt;"&amp;BD10,WeightedMinAge02),MAX(CapacityAge02*АбонементНовых*BD10,MeanMinAge02)))</f>
        <v/>
      </c>
      <c r="BE76" s="5">
        <f>IF(OR(('03_Сеть'!BE24-BE22)=0,2&lt;=КаникулыРоялти),0,('03_Сеть'!BE24-BE22)*IF(РоялтиПоГруппам="Да",MeanMinAge02+BE10*SUMIF(ThresholdAge02,"&lt;"&amp;BE10,WeightedRevAge02)-SUMIF(ThresholdAge02,"&lt;"&amp;BE10,WeightedMinAge02),MAX(CapacityAge02*АбонементНовых*BE10,MeanMinAge02)))</f>
        <v/>
      </c>
      <c r="BF76" s="5">
        <f>IF(OR(('03_Сеть'!BF24-BF22)=0,2&lt;=КаникулыРоялти),0,('03_Сеть'!BF24-BF22)*IF(РоялтиПоГруппам="Да",MeanMinAge02+BF10*SUMIF(ThresholdAge02,"&lt;"&amp;BF10,WeightedRevAge02)-SUMIF(ThresholdAge02,"&lt;"&amp;BF10,WeightedMinAge02),MAX(CapacityAge02*АбонементНовых*BF10,MeanMinAge02)))</f>
        <v/>
      </c>
      <c r="BG76" s="5">
        <f>IF(OR(('03_Сеть'!BG24-BG22)=0,2&lt;=КаникулыРоялти),0,('03_Сеть'!BG24-BG22)*IF(РоялтиПоГруппам="Да",MeanMinAge02+BG10*SUMIF(ThresholdAge02,"&lt;"&amp;BG10,WeightedRevAge02)-SUMIF(ThresholdAge02,"&lt;"&amp;BG10,WeightedMinAge02),MAX(CapacityAge02*АбонементНовых*BG10,MeanMinAge02)))</f>
        <v/>
      </c>
      <c r="BH76" s="5">
        <f>IF(OR(('03_Сеть'!BH24-BH22)=0,2&lt;=КаникулыРоялти),0,('03_Сеть'!BH24-BH22)*IF(РоялтиПоГруппам="Да",MeanMinAge02+BH10*SUMIF(ThresholdAge02,"&lt;"&amp;BH10,WeightedRevAge02)-SUMIF(ThresholdAge02,"&lt;"&amp;BH10,WeightedMinAge02),MAX(CapacityAge02*АбонементНовых*BH10,MeanMinAge02)))</f>
        <v/>
      </c>
      <c r="BI76" s="5">
        <f>IF(OR(('03_Сеть'!BI24-BI22)=0,2&lt;=КаникулыРоялти),0,('03_Сеть'!BI24-BI22)*IF(РоялтиПоГруппам="Да",MeanMinAge02+BI10*SUMIF(ThresholdAge02,"&lt;"&amp;BI10,WeightedRevAge02)-SUMIF(ThresholdAge02,"&lt;"&amp;BI10,WeightedMinAge02),MAX(CapacityAge02*АбонементНовых*BI10,MeanMinAge02)))</f>
        <v/>
      </c>
      <c r="BJ76" s="5">
        <f>IF(OR(('03_Сеть'!BJ24-BJ22)=0,2&lt;=КаникулыРоялти),0,('03_Сеть'!BJ24-BJ22)*IF(РоялтиПоГруппам="Да",MeanMinAge02+BJ10*SUMIF(ThresholdAge02,"&lt;"&amp;BJ10,WeightedRevAge02)-SUMIF(ThresholdAge02,"&lt;"&amp;BJ10,WeightedMinAge02),MAX(CapacityAge02*АбонементНовых*BJ10,MeanMinAge02)))</f>
        <v/>
      </c>
      <c r="BK76" s="5">
        <f>IF(OR(('03_Сеть'!BK24-BK22)=0,2&lt;=КаникулыРоялти),0,('03_Сеть'!BK24-BK22)*IF(РоялтиПоГруппам="Да",MeanMinAge02+BK10*SUMIF(ThresholdAge02,"&lt;"&amp;BK10,WeightedRevAge02)-SUMIF(ThresholdAge02,"&lt;"&amp;BK10,WeightedMinAge02),MAX(CapacityAge02*АбонементНовых*BK10,MeanMinAge02)))</f>
        <v/>
      </c>
      <c r="BL76" s="5">
        <f>IF(OR(('03_Сеть'!BL24-BL22)=0,2&lt;=КаникулыРоялти),0,('03_Сеть'!BL24-BL22)*IF(РоялтиПоГруппам="Да",MeanMinAge02+BL10*SUMIF(ThresholdAge02,"&lt;"&amp;BL10,WeightedRevAge02)-SUMIF(ThresholdAge02,"&lt;"&amp;BL10,WeightedMinAge02),MAX(CapacityAge02*АбонементНовых*BL10,MeanMinAge02)))</f>
        <v/>
      </c>
      <c r="BM76" s="5">
        <f>IF(OR(('03_Сеть'!BM24-BM22)=0,2&lt;=КаникулыРоялти),0,('03_Сеть'!BM24-BM22)*IF(РоялтиПоГруппам="Да",MeanMinAge02+BM10*SUMIF(ThresholdAge02,"&lt;"&amp;BM10,WeightedRevAge02)-SUMIF(ThresholdAge02,"&lt;"&amp;BM10,WeightedMinAge02),MAX(CapacityAge02*АбонементНовых*BM10,MeanMinAge02)))</f>
        <v/>
      </c>
      <c r="BN76" s="5">
        <f>IF(OR(('03_Сеть'!BN24-BN22)=0,2&lt;=КаникулыРоялти),0,('03_Сеть'!BN24-BN22)*IF(РоялтиПоГруппам="Да",MeanMinAge02+BN10*SUMIF(ThresholdAge02,"&lt;"&amp;BN10,WeightedRevAge02)-SUMIF(ThresholdAge02,"&lt;"&amp;BN10,WeightedMinAge02),MAX(CapacityAge02*АбонементНовых*BN10,MeanMinAge02)))</f>
        <v/>
      </c>
      <c r="BO76" s="5">
        <f>IF(OR(('03_Сеть'!BO24-BO22)=0,2&lt;=КаникулыРоялти),0,('03_Сеть'!BO24-BO22)*IF(РоялтиПоГруппам="Да",MeanMinAge02+BO10*SUMIF(ThresholdAge02,"&lt;"&amp;BO10,WeightedRevAge02)-SUMIF(ThresholdAge02,"&lt;"&amp;BO10,WeightedMinAge02),MAX(CapacityAge02*АбонементНовых*BO10,MeanMinAge02)))</f>
        <v/>
      </c>
      <c r="BP76" s="5">
        <f>IF(OR(('03_Сеть'!BP24-BP22)=0,2&lt;=КаникулыРоялти),0,('03_Сеть'!BP24-BP22)*IF(РоялтиПоГруппам="Да",MeanMinAge02+BP10*SUMIF(ThresholdAge02,"&lt;"&amp;BP10,WeightedRevAge02)-SUMIF(ThresholdAge02,"&lt;"&amp;BP10,WeightedMinAge02),MAX(CapacityAge02*АбонементНовых*BP10,MeanMinAge02)))</f>
        <v/>
      </c>
      <c r="BQ76" s="5">
        <f>IF(OR(('03_Сеть'!BQ24-BQ22)=0,2&lt;=КаникулыРоялти),0,('03_Сеть'!BQ24-BQ22)*IF(РоялтиПоГруппам="Да",MeanMinAge02+BQ10*SUMIF(ThresholdAge02,"&lt;"&amp;BQ10,WeightedRevAge02)-SUMIF(ThresholdAge02,"&lt;"&amp;BQ10,WeightedMinAge02),MAX(CapacityAge02*АбонементНовых*BQ10,MeanMinAge02)))</f>
        <v/>
      </c>
      <c r="BR76" s="5">
        <f>IF(OR(('03_Сеть'!BR24-BR22)=0,2&lt;=КаникулыРоялти),0,('03_Сеть'!BR24-BR22)*IF(РоялтиПоГруппам="Да",MeanMinAge02+BR10*SUMIF(ThresholdAge02,"&lt;"&amp;BR10,WeightedRevAge02)-SUMIF(ThresholdAge02,"&lt;"&amp;BR10,WeightedMinAge02),MAX(CapacityAge02*АбонементНовых*BR10,MeanMinAge02)))</f>
        <v/>
      </c>
      <c r="BS76" s="5">
        <f>IF(OR(('03_Сеть'!BS24-BS22)=0,2&lt;=КаникулыРоялти),0,('03_Сеть'!BS24-BS22)*IF(РоялтиПоГруппам="Да",MeanMinAge02+BS10*SUMIF(ThresholdAge02,"&lt;"&amp;BS10,WeightedRevAge02)-SUMIF(ThresholdAge02,"&lt;"&amp;BS10,WeightedMinAge02),MAX(CapacityAge02*АбонементНовых*BS10,MeanMinAge02)))</f>
        <v/>
      </c>
      <c r="BT76" s="5">
        <f>IF(OR(('03_Сеть'!BT24-BT22)=0,2&lt;=КаникулыРоялти),0,('03_Сеть'!BT24-BT22)*IF(РоялтиПоГруппам="Да",MeanMinAge02+BT10*SUMIF(ThresholdAge02,"&lt;"&amp;BT10,WeightedRevAge02)-SUMIF(ThresholdAge02,"&lt;"&amp;BT10,WeightedMinAge02),MAX(CapacityAge02*АбонементНовых*BT10,MeanMinAge02)))</f>
        <v/>
      </c>
      <c r="BU76" s="5">
        <f>IF(OR(('03_Сеть'!BU24-BU22)=0,2&lt;=КаникулыРоялти),0,('03_Сеть'!BU24-BU22)*IF(РоялтиПоГруппам="Да",MeanMinAge02+BU10*SUMIF(ThresholdAge02,"&lt;"&amp;BU10,WeightedRevAge02)-SUMIF(ThresholdAge02,"&lt;"&amp;BU10,WeightedMinAge02),MAX(CapacityAge02*АбонементНовых*BU10,MeanMinAge02)))</f>
        <v/>
      </c>
      <c r="BV76" s="5">
        <f>IF(OR(('03_Сеть'!BV24-BV22)=0,2&lt;=КаникулыРоялти),0,('03_Сеть'!BV24-BV22)*IF(РоялтиПоГруппам="Да",MeanMinAge02+BV10*SUMIF(ThresholdAge02,"&lt;"&amp;BV10,WeightedRevAge02)-SUMIF(ThresholdAge02,"&lt;"&amp;BV10,WeightedMinAge02),MAX(CapacityAge02*АбонементНовых*BV10,MeanMinAge02)))</f>
        <v/>
      </c>
      <c r="BW76" s="5">
        <f>IF(OR(('03_Сеть'!BW24-BW22)=0,2&lt;=КаникулыРоялти),0,('03_Сеть'!BW24-BW22)*IF(РоялтиПоГруппам="Да",MeanMinAge02+BW10*SUMIF(ThresholdAge02,"&lt;"&amp;BW10,WeightedRevAge02)-SUMIF(ThresholdAge02,"&lt;"&amp;BW10,WeightedMinAge02),MAX(CapacityAge02*АбонементНовых*BW10,MeanMinAge02)))</f>
        <v/>
      </c>
      <c r="BX76" s="5">
        <f>IF(OR(('03_Сеть'!BX24-BX22)=0,2&lt;=КаникулыРоялти),0,('03_Сеть'!BX24-BX22)*IF(РоялтиПоГруппам="Да",MeanMinAge02+BX10*SUMIF(ThresholdAge02,"&lt;"&amp;BX10,WeightedRevAge02)-SUMIF(ThresholdAge02,"&lt;"&amp;BX10,WeightedMinAge02),MAX(CapacityAge02*АбонементНовых*BX10,MeanMinAge02)))</f>
        <v/>
      </c>
      <c r="BY76" s="5">
        <f>IF(OR(('03_Сеть'!BY24-BY22)=0,2&lt;=КаникулыРоялти),0,('03_Сеть'!BY24-BY22)*IF(РоялтиПоГруппам="Да",MeanMinAge02+BY10*SUMIF(ThresholdAge02,"&lt;"&amp;BY10,WeightedRevAge02)-SUMIF(ThresholdAge02,"&lt;"&amp;BY10,WeightedMinAge02),MAX(CapacityAge02*АбонементНовых*BY10,MeanMinAge02)))</f>
        <v/>
      </c>
    </row>
    <row r="77">
      <c r="B77" t="inlineStr">
        <is>
          <t>3 мес.</t>
        </is>
      </c>
      <c r="C77" t="inlineStr">
        <is>
          <t>₽</t>
        </is>
      </c>
      <c r="D77" s="127" t="inlineStr"/>
      <c r="E77" s="129">
        <f>SUM(L77:W77)</f>
        <v/>
      </c>
      <c r="F77" s="129">
        <f>SUM(X77:AI77)</f>
        <v/>
      </c>
      <c r="G77" s="129">
        <f>SUM(AJ77:AU77)</f>
        <v/>
      </c>
      <c r="H77" s="129">
        <f>SUM(AV77:BG77)</f>
        <v/>
      </c>
      <c r="I77" s="129">
        <f>SUM(BH77:BS77)</f>
        <v/>
      </c>
      <c r="J77" s="6">
        <f>SUM(L77:BS77)</f>
        <v/>
      </c>
      <c r="L77" s="5">
        <f>IF(OR(('03_Сеть'!L25-L23)=0,3&lt;=КаникулыРоялти),0,('03_Сеть'!L25-L23)*IF(РоялтиПоГруппам="Да",MeanMinAge03+L10*SUMIF(ThresholdAge03,"&lt;"&amp;L10,WeightedRevAge03)-SUMIF(ThresholdAge03,"&lt;"&amp;L10,WeightedMinAge03),MAX(CapacityAge03*АбонементНовых*L10,MeanMinAge03)))</f>
        <v/>
      </c>
      <c r="M77" s="5">
        <f>IF(OR(('03_Сеть'!M25-M23)=0,3&lt;=КаникулыРоялти),0,('03_Сеть'!M25-M23)*IF(РоялтиПоГруппам="Да",MeanMinAge03+M10*SUMIF(ThresholdAge03,"&lt;"&amp;M10,WeightedRevAge03)-SUMIF(ThresholdAge03,"&lt;"&amp;M10,WeightedMinAge03),MAX(CapacityAge03*АбонементНовых*M10,MeanMinAge03)))</f>
        <v/>
      </c>
      <c r="N77" s="5">
        <f>IF(OR(('03_Сеть'!N25-N23)=0,3&lt;=КаникулыРоялти),0,('03_Сеть'!N25-N23)*IF(РоялтиПоГруппам="Да",MeanMinAge03+N10*SUMIF(ThresholdAge03,"&lt;"&amp;N10,WeightedRevAge03)-SUMIF(ThresholdAge03,"&lt;"&amp;N10,WeightedMinAge03),MAX(CapacityAge03*АбонементНовых*N10,MeanMinAge03)))</f>
        <v/>
      </c>
      <c r="O77" s="5">
        <f>IF(OR(('03_Сеть'!O25-O23)=0,3&lt;=КаникулыРоялти),0,('03_Сеть'!O25-O23)*IF(РоялтиПоГруппам="Да",MeanMinAge03+O10*SUMIF(ThresholdAge03,"&lt;"&amp;O10,WeightedRevAge03)-SUMIF(ThresholdAge03,"&lt;"&amp;O10,WeightedMinAge03),MAX(CapacityAge03*АбонементНовых*O10,MeanMinAge03)))</f>
        <v/>
      </c>
      <c r="P77" s="5">
        <f>IF(OR(('03_Сеть'!P25-P23)=0,3&lt;=КаникулыРоялти),0,('03_Сеть'!P25-P23)*IF(РоялтиПоГруппам="Да",MeanMinAge03+P10*SUMIF(ThresholdAge03,"&lt;"&amp;P10,WeightedRevAge03)-SUMIF(ThresholdAge03,"&lt;"&amp;P10,WeightedMinAge03),MAX(CapacityAge03*АбонементНовых*P10,MeanMinAge03)))</f>
        <v/>
      </c>
      <c r="Q77" s="5">
        <f>IF(OR(('03_Сеть'!Q25-Q23)=0,3&lt;=КаникулыРоялти),0,('03_Сеть'!Q25-Q23)*IF(РоялтиПоГруппам="Да",MeanMinAge03+Q10*SUMIF(ThresholdAge03,"&lt;"&amp;Q10,WeightedRevAge03)-SUMIF(ThresholdAge03,"&lt;"&amp;Q10,WeightedMinAge03),MAX(CapacityAge03*АбонементНовых*Q10,MeanMinAge03)))</f>
        <v/>
      </c>
      <c r="R77" s="5">
        <f>IF(OR(('03_Сеть'!R25-R23)=0,3&lt;=КаникулыРоялти),0,('03_Сеть'!R25-R23)*IF(РоялтиПоГруппам="Да",MeanMinAge03+R10*SUMIF(ThresholdAge03,"&lt;"&amp;R10,WeightedRevAge03)-SUMIF(ThresholdAge03,"&lt;"&amp;R10,WeightedMinAge03),MAX(CapacityAge03*АбонементНовых*R10,MeanMinAge03)))</f>
        <v/>
      </c>
      <c r="S77" s="5">
        <f>IF(OR(('03_Сеть'!S25-S23)=0,3&lt;=КаникулыРоялти),0,('03_Сеть'!S25-S23)*IF(РоялтиПоГруппам="Да",MeanMinAge03+S10*SUMIF(ThresholdAge03,"&lt;"&amp;S10,WeightedRevAge03)-SUMIF(ThresholdAge03,"&lt;"&amp;S10,WeightedMinAge03),MAX(CapacityAge03*АбонементНовых*S10,MeanMinAge03)))</f>
        <v/>
      </c>
      <c r="T77" s="5">
        <f>IF(OR(('03_Сеть'!T25-T23)=0,3&lt;=КаникулыРоялти),0,('03_Сеть'!T25-T23)*IF(РоялтиПоГруппам="Да",MeanMinAge03+T10*SUMIF(ThresholdAge03,"&lt;"&amp;T10,WeightedRevAge03)-SUMIF(ThresholdAge03,"&lt;"&amp;T10,WeightedMinAge03),MAX(CapacityAge03*АбонементНовых*T10,MeanMinAge03)))</f>
        <v/>
      </c>
      <c r="U77" s="5">
        <f>IF(OR(('03_Сеть'!U25-U23)=0,3&lt;=КаникулыРоялти),0,('03_Сеть'!U25-U23)*IF(РоялтиПоГруппам="Да",MeanMinAge03+U10*SUMIF(ThresholdAge03,"&lt;"&amp;U10,WeightedRevAge03)-SUMIF(ThresholdAge03,"&lt;"&amp;U10,WeightedMinAge03),MAX(CapacityAge03*АбонементНовых*U10,MeanMinAge03)))</f>
        <v/>
      </c>
      <c r="V77" s="5">
        <f>IF(OR(('03_Сеть'!V25-V23)=0,3&lt;=КаникулыРоялти),0,('03_Сеть'!V25-V23)*IF(РоялтиПоГруппам="Да",MeanMinAge03+V10*SUMIF(ThresholdAge03,"&lt;"&amp;V10,WeightedRevAge03)-SUMIF(ThresholdAge03,"&lt;"&amp;V10,WeightedMinAge03),MAX(CapacityAge03*АбонементНовых*V10,MeanMinAge03)))</f>
        <v/>
      </c>
      <c r="W77" s="5">
        <f>IF(OR(('03_Сеть'!W25-W23)=0,3&lt;=КаникулыРоялти),0,('03_Сеть'!W25-W23)*IF(РоялтиПоГруппам="Да",MeanMinAge03+W10*SUMIF(ThresholdAge03,"&lt;"&amp;W10,WeightedRevAge03)-SUMIF(ThresholdAge03,"&lt;"&amp;W10,WeightedMinAge03),MAX(CapacityAge03*АбонементНовых*W10,MeanMinAge03)))</f>
        <v/>
      </c>
      <c r="X77" s="5">
        <f>IF(OR(('03_Сеть'!X25-X23)=0,3&lt;=КаникулыРоялти),0,('03_Сеть'!X25-X23)*IF(РоялтиПоГруппам="Да",MeanMinAge03+X10*SUMIF(ThresholdAge03,"&lt;"&amp;X10,WeightedRevAge03)-SUMIF(ThresholdAge03,"&lt;"&amp;X10,WeightedMinAge03),MAX(CapacityAge03*АбонементНовых*X10,MeanMinAge03)))</f>
        <v/>
      </c>
      <c r="Y77" s="5">
        <f>IF(OR(('03_Сеть'!Y25-Y23)=0,3&lt;=КаникулыРоялти),0,('03_Сеть'!Y25-Y23)*IF(РоялтиПоГруппам="Да",MeanMinAge03+Y10*SUMIF(ThresholdAge03,"&lt;"&amp;Y10,WeightedRevAge03)-SUMIF(ThresholdAge03,"&lt;"&amp;Y10,WeightedMinAge03),MAX(CapacityAge03*АбонементНовых*Y10,MeanMinAge03)))</f>
        <v/>
      </c>
      <c r="Z77" s="5">
        <f>IF(OR(('03_Сеть'!Z25-Z23)=0,3&lt;=КаникулыРоялти),0,('03_Сеть'!Z25-Z23)*IF(РоялтиПоГруппам="Да",MeanMinAge03+Z10*SUMIF(ThresholdAge03,"&lt;"&amp;Z10,WeightedRevAge03)-SUMIF(ThresholdAge03,"&lt;"&amp;Z10,WeightedMinAge03),MAX(CapacityAge03*АбонементНовых*Z10,MeanMinAge03)))</f>
        <v/>
      </c>
      <c r="AA77" s="5">
        <f>IF(OR(('03_Сеть'!AA25-AA23)=0,3&lt;=КаникулыРоялти),0,('03_Сеть'!AA25-AA23)*IF(РоялтиПоГруппам="Да",MeanMinAge03+AA10*SUMIF(ThresholdAge03,"&lt;"&amp;AA10,WeightedRevAge03)-SUMIF(ThresholdAge03,"&lt;"&amp;AA10,WeightedMinAge03),MAX(CapacityAge03*АбонементНовых*AA10,MeanMinAge03)))</f>
        <v/>
      </c>
      <c r="AB77" s="5">
        <f>IF(OR(('03_Сеть'!AB25-AB23)=0,3&lt;=КаникулыРоялти),0,('03_Сеть'!AB25-AB23)*IF(РоялтиПоГруппам="Да",MeanMinAge03+AB10*SUMIF(ThresholdAge03,"&lt;"&amp;AB10,WeightedRevAge03)-SUMIF(ThresholdAge03,"&lt;"&amp;AB10,WeightedMinAge03),MAX(CapacityAge03*АбонементНовых*AB10,MeanMinAge03)))</f>
        <v/>
      </c>
      <c r="AC77" s="5">
        <f>IF(OR(('03_Сеть'!AC25-AC23)=0,3&lt;=КаникулыРоялти),0,('03_Сеть'!AC25-AC23)*IF(РоялтиПоГруппам="Да",MeanMinAge03+AC10*SUMIF(ThresholdAge03,"&lt;"&amp;AC10,WeightedRevAge03)-SUMIF(ThresholdAge03,"&lt;"&amp;AC10,WeightedMinAge03),MAX(CapacityAge03*АбонементНовых*AC10,MeanMinAge03)))</f>
        <v/>
      </c>
      <c r="AD77" s="5">
        <f>IF(OR(('03_Сеть'!AD25-AD23)=0,3&lt;=КаникулыРоялти),0,('03_Сеть'!AD25-AD23)*IF(РоялтиПоГруппам="Да",MeanMinAge03+AD10*SUMIF(ThresholdAge03,"&lt;"&amp;AD10,WeightedRevAge03)-SUMIF(ThresholdAge03,"&lt;"&amp;AD10,WeightedMinAge03),MAX(CapacityAge03*АбонементНовых*AD10,MeanMinAge03)))</f>
        <v/>
      </c>
      <c r="AE77" s="5">
        <f>IF(OR(('03_Сеть'!AE25-AE23)=0,3&lt;=КаникулыРоялти),0,('03_Сеть'!AE25-AE23)*IF(РоялтиПоГруппам="Да",MeanMinAge03+AE10*SUMIF(ThresholdAge03,"&lt;"&amp;AE10,WeightedRevAge03)-SUMIF(ThresholdAge03,"&lt;"&amp;AE10,WeightedMinAge03),MAX(CapacityAge03*АбонементНовых*AE10,MeanMinAge03)))</f>
        <v/>
      </c>
      <c r="AF77" s="5">
        <f>IF(OR(('03_Сеть'!AF25-AF23)=0,3&lt;=КаникулыРоялти),0,('03_Сеть'!AF25-AF23)*IF(РоялтиПоГруппам="Да",MeanMinAge03+AF10*SUMIF(ThresholdAge03,"&lt;"&amp;AF10,WeightedRevAge03)-SUMIF(ThresholdAge03,"&lt;"&amp;AF10,WeightedMinAge03),MAX(CapacityAge03*АбонементНовых*AF10,MeanMinAge03)))</f>
        <v/>
      </c>
      <c r="AG77" s="5">
        <f>IF(OR(('03_Сеть'!AG25-AG23)=0,3&lt;=КаникулыРоялти),0,('03_Сеть'!AG25-AG23)*IF(РоялтиПоГруппам="Да",MeanMinAge03+AG10*SUMIF(ThresholdAge03,"&lt;"&amp;AG10,WeightedRevAge03)-SUMIF(ThresholdAge03,"&lt;"&amp;AG10,WeightedMinAge03),MAX(CapacityAge03*АбонементНовых*AG10,MeanMinAge03)))</f>
        <v/>
      </c>
      <c r="AH77" s="5">
        <f>IF(OR(('03_Сеть'!AH25-AH23)=0,3&lt;=КаникулыРоялти),0,('03_Сеть'!AH25-AH23)*IF(РоялтиПоГруппам="Да",MeanMinAge03+AH10*SUMIF(ThresholdAge03,"&lt;"&amp;AH10,WeightedRevAge03)-SUMIF(ThresholdAge03,"&lt;"&amp;AH10,WeightedMinAge03),MAX(CapacityAge03*АбонементНовых*AH10,MeanMinAge03)))</f>
        <v/>
      </c>
      <c r="AI77" s="5">
        <f>IF(OR(('03_Сеть'!AI25-AI23)=0,3&lt;=КаникулыРоялти),0,('03_Сеть'!AI25-AI23)*IF(РоялтиПоГруппам="Да",MeanMinAge03+AI10*SUMIF(ThresholdAge03,"&lt;"&amp;AI10,WeightedRevAge03)-SUMIF(ThresholdAge03,"&lt;"&amp;AI10,WeightedMinAge03),MAX(CapacityAge03*АбонементНовых*AI10,MeanMinAge03)))</f>
        <v/>
      </c>
      <c r="AJ77" s="5">
        <f>IF(OR(('03_Сеть'!AJ25-AJ23)=0,3&lt;=КаникулыРоялти),0,('03_Сеть'!AJ25-AJ23)*IF(РоялтиПоГруппам="Да",MeanMinAge03+AJ10*SUMIF(ThresholdAge03,"&lt;"&amp;AJ10,WeightedRevAge03)-SUMIF(ThresholdAge03,"&lt;"&amp;AJ10,WeightedMinAge03),MAX(CapacityAge03*АбонементНовых*AJ10,MeanMinAge03)))</f>
        <v/>
      </c>
      <c r="AK77" s="5">
        <f>IF(OR(('03_Сеть'!AK25-AK23)=0,3&lt;=КаникулыРоялти),0,('03_Сеть'!AK25-AK23)*IF(РоялтиПоГруппам="Да",MeanMinAge03+AK10*SUMIF(ThresholdAge03,"&lt;"&amp;AK10,WeightedRevAge03)-SUMIF(ThresholdAge03,"&lt;"&amp;AK10,WeightedMinAge03),MAX(CapacityAge03*АбонементНовых*AK10,MeanMinAge03)))</f>
        <v/>
      </c>
      <c r="AL77" s="5">
        <f>IF(OR(('03_Сеть'!AL25-AL23)=0,3&lt;=КаникулыРоялти),0,('03_Сеть'!AL25-AL23)*IF(РоялтиПоГруппам="Да",MeanMinAge03+AL10*SUMIF(ThresholdAge03,"&lt;"&amp;AL10,WeightedRevAge03)-SUMIF(ThresholdAge03,"&lt;"&amp;AL10,WeightedMinAge03),MAX(CapacityAge03*АбонементНовых*AL10,MeanMinAge03)))</f>
        <v/>
      </c>
      <c r="AM77" s="5">
        <f>IF(OR(('03_Сеть'!AM25-AM23)=0,3&lt;=КаникулыРоялти),0,('03_Сеть'!AM25-AM23)*IF(РоялтиПоГруппам="Да",MeanMinAge03+AM10*SUMIF(ThresholdAge03,"&lt;"&amp;AM10,WeightedRevAge03)-SUMIF(ThresholdAge03,"&lt;"&amp;AM10,WeightedMinAge03),MAX(CapacityAge03*АбонементНовых*AM10,MeanMinAge03)))</f>
        <v/>
      </c>
      <c r="AN77" s="5">
        <f>IF(OR(('03_Сеть'!AN25-AN23)=0,3&lt;=КаникулыРоялти),0,('03_Сеть'!AN25-AN23)*IF(РоялтиПоГруппам="Да",MeanMinAge03+AN10*SUMIF(ThresholdAge03,"&lt;"&amp;AN10,WeightedRevAge03)-SUMIF(ThresholdAge03,"&lt;"&amp;AN10,WeightedMinAge03),MAX(CapacityAge03*АбонементНовых*AN10,MeanMinAge03)))</f>
        <v/>
      </c>
      <c r="AO77" s="5">
        <f>IF(OR(('03_Сеть'!AO25-AO23)=0,3&lt;=КаникулыРоялти),0,('03_Сеть'!AO25-AO23)*IF(РоялтиПоГруппам="Да",MeanMinAge03+AO10*SUMIF(ThresholdAge03,"&lt;"&amp;AO10,WeightedRevAge03)-SUMIF(ThresholdAge03,"&lt;"&amp;AO10,WeightedMinAge03),MAX(CapacityAge03*АбонементНовых*AO10,MeanMinAge03)))</f>
        <v/>
      </c>
      <c r="AP77" s="5">
        <f>IF(OR(('03_Сеть'!AP25-AP23)=0,3&lt;=КаникулыРоялти),0,('03_Сеть'!AP25-AP23)*IF(РоялтиПоГруппам="Да",MeanMinAge03+AP10*SUMIF(ThresholdAge03,"&lt;"&amp;AP10,WeightedRevAge03)-SUMIF(ThresholdAge03,"&lt;"&amp;AP10,WeightedMinAge03),MAX(CapacityAge03*АбонементНовых*AP10,MeanMinAge03)))</f>
        <v/>
      </c>
      <c r="AQ77" s="5">
        <f>IF(OR(('03_Сеть'!AQ25-AQ23)=0,3&lt;=КаникулыРоялти),0,('03_Сеть'!AQ25-AQ23)*IF(РоялтиПоГруппам="Да",MeanMinAge03+AQ10*SUMIF(ThresholdAge03,"&lt;"&amp;AQ10,WeightedRevAge03)-SUMIF(ThresholdAge03,"&lt;"&amp;AQ10,WeightedMinAge03),MAX(CapacityAge03*АбонементНовых*AQ10,MeanMinAge03)))</f>
        <v/>
      </c>
      <c r="AR77" s="5">
        <f>IF(OR(('03_Сеть'!AR25-AR23)=0,3&lt;=КаникулыРоялти),0,('03_Сеть'!AR25-AR23)*IF(РоялтиПоГруппам="Да",MeanMinAge03+AR10*SUMIF(ThresholdAge03,"&lt;"&amp;AR10,WeightedRevAge03)-SUMIF(ThresholdAge03,"&lt;"&amp;AR10,WeightedMinAge03),MAX(CapacityAge03*АбонементНовых*AR10,MeanMinAge03)))</f>
        <v/>
      </c>
      <c r="AS77" s="5">
        <f>IF(OR(('03_Сеть'!AS25-AS23)=0,3&lt;=КаникулыРоялти),0,('03_Сеть'!AS25-AS23)*IF(РоялтиПоГруппам="Да",MeanMinAge03+AS10*SUMIF(ThresholdAge03,"&lt;"&amp;AS10,WeightedRevAge03)-SUMIF(ThresholdAge03,"&lt;"&amp;AS10,WeightedMinAge03),MAX(CapacityAge03*АбонементНовых*AS10,MeanMinAge03)))</f>
        <v/>
      </c>
      <c r="AT77" s="5">
        <f>IF(OR(('03_Сеть'!AT25-AT23)=0,3&lt;=КаникулыРоялти),0,('03_Сеть'!AT25-AT23)*IF(РоялтиПоГруппам="Да",MeanMinAge03+AT10*SUMIF(ThresholdAge03,"&lt;"&amp;AT10,WeightedRevAge03)-SUMIF(ThresholdAge03,"&lt;"&amp;AT10,WeightedMinAge03),MAX(CapacityAge03*АбонементНовых*AT10,MeanMinAge03)))</f>
        <v/>
      </c>
      <c r="AU77" s="5">
        <f>IF(OR(('03_Сеть'!AU25-AU23)=0,3&lt;=КаникулыРоялти),0,('03_Сеть'!AU25-AU23)*IF(РоялтиПоГруппам="Да",MeanMinAge03+AU10*SUMIF(ThresholdAge03,"&lt;"&amp;AU10,WeightedRevAge03)-SUMIF(ThresholdAge03,"&lt;"&amp;AU10,WeightedMinAge03),MAX(CapacityAge03*АбонементНовых*AU10,MeanMinAge03)))</f>
        <v/>
      </c>
      <c r="AV77" s="5">
        <f>IF(OR(('03_Сеть'!AV25-AV23)=0,3&lt;=КаникулыРоялти),0,('03_Сеть'!AV25-AV23)*IF(РоялтиПоГруппам="Да",MeanMinAge03+AV10*SUMIF(ThresholdAge03,"&lt;"&amp;AV10,WeightedRevAge03)-SUMIF(ThresholdAge03,"&lt;"&amp;AV10,WeightedMinAge03),MAX(CapacityAge03*АбонементНовых*AV10,MeanMinAge03)))</f>
        <v/>
      </c>
      <c r="AW77" s="5">
        <f>IF(OR(('03_Сеть'!AW25-AW23)=0,3&lt;=КаникулыРоялти),0,('03_Сеть'!AW25-AW23)*IF(РоялтиПоГруппам="Да",MeanMinAge03+AW10*SUMIF(ThresholdAge03,"&lt;"&amp;AW10,WeightedRevAge03)-SUMIF(ThresholdAge03,"&lt;"&amp;AW10,WeightedMinAge03),MAX(CapacityAge03*АбонементНовых*AW10,MeanMinAge03)))</f>
        <v/>
      </c>
      <c r="AX77" s="5">
        <f>IF(OR(('03_Сеть'!AX25-AX23)=0,3&lt;=КаникулыРоялти),0,('03_Сеть'!AX25-AX23)*IF(РоялтиПоГруппам="Да",MeanMinAge03+AX10*SUMIF(ThresholdAge03,"&lt;"&amp;AX10,WeightedRevAge03)-SUMIF(ThresholdAge03,"&lt;"&amp;AX10,WeightedMinAge03),MAX(CapacityAge03*АбонементНовых*AX10,MeanMinAge03)))</f>
        <v/>
      </c>
      <c r="AY77" s="5">
        <f>IF(OR(('03_Сеть'!AY25-AY23)=0,3&lt;=КаникулыРоялти),0,('03_Сеть'!AY25-AY23)*IF(РоялтиПоГруппам="Да",MeanMinAge03+AY10*SUMIF(ThresholdAge03,"&lt;"&amp;AY10,WeightedRevAge03)-SUMIF(ThresholdAge03,"&lt;"&amp;AY10,WeightedMinAge03),MAX(CapacityAge03*АбонементНовых*AY10,MeanMinAge03)))</f>
        <v/>
      </c>
      <c r="AZ77" s="5">
        <f>IF(OR(('03_Сеть'!AZ25-AZ23)=0,3&lt;=КаникулыРоялти),0,('03_Сеть'!AZ25-AZ23)*IF(РоялтиПоГруппам="Да",MeanMinAge03+AZ10*SUMIF(ThresholdAge03,"&lt;"&amp;AZ10,WeightedRevAge03)-SUMIF(ThresholdAge03,"&lt;"&amp;AZ10,WeightedMinAge03),MAX(CapacityAge03*АбонементНовых*AZ10,MeanMinAge03)))</f>
        <v/>
      </c>
      <c r="BA77" s="5">
        <f>IF(OR(('03_Сеть'!BA25-BA23)=0,3&lt;=КаникулыРоялти),0,('03_Сеть'!BA25-BA23)*IF(РоялтиПоГруппам="Да",MeanMinAge03+BA10*SUMIF(ThresholdAge03,"&lt;"&amp;BA10,WeightedRevAge03)-SUMIF(ThresholdAge03,"&lt;"&amp;BA10,WeightedMinAge03),MAX(CapacityAge03*АбонементНовых*BA10,MeanMinAge03)))</f>
        <v/>
      </c>
      <c r="BB77" s="5">
        <f>IF(OR(('03_Сеть'!BB25-BB23)=0,3&lt;=КаникулыРоялти),0,('03_Сеть'!BB25-BB23)*IF(РоялтиПоГруппам="Да",MeanMinAge03+BB10*SUMIF(ThresholdAge03,"&lt;"&amp;BB10,WeightedRevAge03)-SUMIF(ThresholdAge03,"&lt;"&amp;BB10,WeightedMinAge03),MAX(CapacityAge03*АбонементНовых*BB10,MeanMinAge03)))</f>
        <v/>
      </c>
      <c r="BC77" s="5">
        <f>IF(OR(('03_Сеть'!BC25-BC23)=0,3&lt;=КаникулыРоялти),0,('03_Сеть'!BC25-BC23)*IF(РоялтиПоГруппам="Да",MeanMinAge03+BC10*SUMIF(ThresholdAge03,"&lt;"&amp;BC10,WeightedRevAge03)-SUMIF(ThresholdAge03,"&lt;"&amp;BC10,WeightedMinAge03),MAX(CapacityAge03*АбонементНовых*BC10,MeanMinAge03)))</f>
        <v/>
      </c>
      <c r="BD77" s="5">
        <f>IF(OR(('03_Сеть'!BD25-BD23)=0,3&lt;=КаникулыРоялти),0,('03_Сеть'!BD25-BD23)*IF(РоялтиПоГруппам="Да",MeanMinAge03+BD10*SUMIF(ThresholdAge03,"&lt;"&amp;BD10,WeightedRevAge03)-SUMIF(ThresholdAge03,"&lt;"&amp;BD10,WeightedMinAge03),MAX(CapacityAge03*АбонементНовых*BD10,MeanMinAge03)))</f>
        <v/>
      </c>
      <c r="BE77" s="5">
        <f>IF(OR(('03_Сеть'!BE25-BE23)=0,3&lt;=КаникулыРоялти),0,('03_Сеть'!BE25-BE23)*IF(РоялтиПоГруппам="Да",MeanMinAge03+BE10*SUMIF(ThresholdAge03,"&lt;"&amp;BE10,WeightedRevAge03)-SUMIF(ThresholdAge03,"&lt;"&amp;BE10,WeightedMinAge03),MAX(CapacityAge03*АбонементНовых*BE10,MeanMinAge03)))</f>
        <v/>
      </c>
      <c r="BF77" s="5">
        <f>IF(OR(('03_Сеть'!BF25-BF23)=0,3&lt;=КаникулыРоялти),0,('03_Сеть'!BF25-BF23)*IF(РоялтиПоГруппам="Да",MeanMinAge03+BF10*SUMIF(ThresholdAge03,"&lt;"&amp;BF10,WeightedRevAge03)-SUMIF(ThresholdAge03,"&lt;"&amp;BF10,WeightedMinAge03),MAX(CapacityAge03*АбонементНовых*BF10,MeanMinAge03)))</f>
        <v/>
      </c>
      <c r="BG77" s="5">
        <f>IF(OR(('03_Сеть'!BG25-BG23)=0,3&lt;=КаникулыРоялти),0,('03_Сеть'!BG25-BG23)*IF(РоялтиПоГруппам="Да",MeanMinAge03+BG10*SUMIF(ThresholdAge03,"&lt;"&amp;BG10,WeightedRevAge03)-SUMIF(ThresholdAge03,"&lt;"&amp;BG10,WeightedMinAge03),MAX(CapacityAge03*АбонементНовых*BG10,MeanMinAge03)))</f>
        <v/>
      </c>
      <c r="BH77" s="5">
        <f>IF(OR(('03_Сеть'!BH25-BH23)=0,3&lt;=КаникулыРоялти),0,('03_Сеть'!BH25-BH23)*IF(РоялтиПоГруппам="Да",MeanMinAge03+BH10*SUMIF(ThresholdAge03,"&lt;"&amp;BH10,WeightedRevAge03)-SUMIF(ThresholdAge03,"&lt;"&amp;BH10,WeightedMinAge03),MAX(CapacityAge03*АбонементНовых*BH10,MeanMinAge03)))</f>
        <v/>
      </c>
      <c r="BI77" s="5">
        <f>IF(OR(('03_Сеть'!BI25-BI23)=0,3&lt;=КаникулыРоялти),0,('03_Сеть'!BI25-BI23)*IF(РоялтиПоГруппам="Да",MeanMinAge03+BI10*SUMIF(ThresholdAge03,"&lt;"&amp;BI10,WeightedRevAge03)-SUMIF(ThresholdAge03,"&lt;"&amp;BI10,WeightedMinAge03),MAX(CapacityAge03*АбонементНовых*BI10,MeanMinAge03)))</f>
        <v/>
      </c>
      <c r="BJ77" s="5">
        <f>IF(OR(('03_Сеть'!BJ25-BJ23)=0,3&lt;=КаникулыРоялти),0,('03_Сеть'!BJ25-BJ23)*IF(РоялтиПоГруппам="Да",MeanMinAge03+BJ10*SUMIF(ThresholdAge03,"&lt;"&amp;BJ10,WeightedRevAge03)-SUMIF(ThresholdAge03,"&lt;"&amp;BJ10,WeightedMinAge03),MAX(CapacityAge03*АбонементНовых*BJ10,MeanMinAge03)))</f>
        <v/>
      </c>
      <c r="BK77" s="5">
        <f>IF(OR(('03_Сеть'!BK25-BK23)=0,3&lt;=КаникулыРоялти),0,('03_Сеть'!BK25-BK23)*IF(РоялтиПоГруппам="Да",MeanMinAge03+BK10*SUMIF(ThresholdAge03,"&lt;"&amp;BK10,WeightedRevAge03)-SUMIF(ThresholdAge03,"&lt;"&amp;BK10,WeightedMinAge03),MAX(CapacityAge03*АбонементНовых*BK10,MeanMinAge03)))</f>
        <v/>
      </c>
      <c r="BL77" s="5">
        <f>IF(OR(('03_Сеть'!BL25-BL23)=0,3&lt;=КаникулыРоялти),0,('03_Сеть'!BL25-BL23)*IF(РоялтиПоГруппам="Да",MeanMinAge03+BL10*SUMIF(ThresholdAge03,"&lt;"&amp;BL10,WeightedRevAge03)-SUMIF(ThresholdAge03,"&lt;"&amp;BL10,WeightedMinAge03),MAX(CapacityAge03*АбонементНовых*BL10,MeanMinAge03)))</f>
        <v/>
      </c>
      <c r="BM77" s="5">
        <f>IF(OR(('03_Сеть'!BM25-BM23)=0,3&lt;=КаникулыРоялти),0,('03_Сеть'!BM25-BM23)*IF(РоялтиПоГруппам="Да",MeanMinAge03+BM10*SUMIF(ThresholdAge03,"&lt;"&amp;BM10,WeightedRevAge03)-SUMIF(ThresholdAge03,"&lt;"&amp;BM10,WeightedMinAge03),MAX(CapacityAge03*АбонементНовых*BM10,MeanMinAge03)))</f>
        <v/>
      </c>
      <c r="BN77" s="5">
        <f>IF(OR(('03_Сеть'!BN25-BN23)=0,3&lt;=КаникулыРоялти),0,('03_Сеть'!BN25-BN23)*IF(РоялтиПоГруппам="Да",MeanMinAge03+BN10*SUMIF(ThresholdAge03,"&lt;"&amp;BN10,WeightedRevAge03)-SUMIF(ThresholdAge03,"&lt;"&amp;BN10,WeightedMinAge03),MAX(CapacityAge03*АбонементНовых*BN10,MeanMinAge03)))</f>
        <v/>
      </c>
      <c r="BO77" s="5">
        <f>IF(OR(('03_Сеть'!BO25-BO23)=0,3&lt;=КаникулыРоялти),0,('03_Сеть'!BO25-BO23)*IF(РоялтиПоГруппам="Да",MeanMinAge03+BO10*SUMIF(ThresholdAge03,"&lt;"&amp;BO10,WeightedRevAge03)-SUMIF(ThresholdAge03,"&lt;"&amp;BO10,WeightedMinAge03),MAX(CapacityAge03*АбонементНовых*BO10,MeanMinAge03)))</f>
        <v/>
      </c>
      <c r="BP77" s="5">
        <f>IF(OR(('03_Сеть'!BP25-BP23)=0,3&lt;=КаникулыРоялти),0,('03_Сеть'!BP25-BP23)*IF(РоялтиПоГруппам="Да",MeanMinAge03+BP10*SUMIF(ThresholdAge03,"&lt;"&amp;BP10,WeightedRevAge03)-SUMIF(ThresholdAge03,"&lt;"&amp;BP10,WeightedMinAge03),MAX(CapacityAge03*АбонементНовых*BP10,MeanMinAge03)))</f>
        <v/>
      </c>
      <c r="BQ77" s="5">
        <f>IF(OR(('03_Сеть'!BQ25-BQ23)=0,3&lt;=КаникулыРоялти),0,('03_Сеть'!BQ25-BQ23)*IF(РоялтиПоГруппам="Да",MeanMinAge03+BQ10*SUMIF(ThresholdAge03,"&lt;"&amp;BQ10,WeightedRevAge03)-SUMIF(ThresholdAge03,"&lt;"&amp;BQ10,WeightedMinAge03),MAX(CapacityAge03*АбонементНовых*BQ10,MeanMinAge03)))</f>
        <v/>
      </c>
      <c r="BR77" s="5">
        <f>IF(OR(('03_Сеть'!BR25-BR23)=0,3&lt;=КаникулыРоялти),0,('03_Сеть'!BR25-BR23)*IF(РоялтиПоГруппам="Да",MeanMinAge03+BR10*SUMIF(ThresholdAge03,"&lt;"&amp;BR10,WeightedRevAge03)-SUMIF(ThresholdAge03,"&lt;"&amp;BR10,WeightedMinAge03),MAX(CapacityAge03*АбонементНовых*BR10,MeanMinAge03)))</f>
        <v/>
      </c>
      <c r="BS77" s="5">
        <f>IF(OR(('03_Сеть'!BS25-BS23)=0,3&lt;=КаникулыРоялти),0,('03_Сеть'!BS25-BS23)*IF(РоялтиПоГруппам="Да",MeanMinAge03+BS10*SUMIF(ThresholdAge03,"&lt;"&amp;BS10,WeightedRevAge03)-SUMIF(ThresholdAge03,"&lt;"&amp;BS10,WeightedMinAge03),MAX(CapacityAge03*АбонементНовых*BS10,MeanMinAge03)))</f>
        <v/>
      </c>
      <c r="BT77" s="5">
        <f>IF(OR(('03_Сеть'!BT25-BT23)=0,3&lt;=КаникулыРоялти),0,('03_Сеть'!BT25-BT23)*IF(РоялтиПоГруппам="Да",MeanMinAge03+BT10*SUMIF(ThresholdAge03,"&lt;"&amp;BT10,WeightedRevAge03)-SUMIF(ThresholdAge03,"&lt;"&amp;BT10,WeightedMinAge03),MAX(CapacityAge03*АбонементНовых*BT10,MeanMinAge03)))</f>
        <v/>
      </c>
      <c r="BU77" s="5">
        <f>IF(OR(('03_Сеть'!BU25-BU23)=0,3&lt;=КаникулыРоялти),0,('03_Сеть'!BU25-BU23)*IF(РоялтиПоГруппам="Да",MeanMinAge03+BU10*SUMIF(ThresholdAge03,"&lt;"&amp;BU10,WeightedRevAge03)-SUMIF(ThresholdAge03,"&lt;"&amp;BU10,WeightedMinAge03),MAX(CapacityAge03*АбонементНовых*BU10,MeanMinAge03)))</f>
        <v/>
      </c>
      <c r="BV77" s="5">
        <f>IF(OR(('03_Сеть'!BV25-BV23)=0,3&lt;=КаникулыРоялти),0,('03_Сеть'!BV25-BV23)*IF(РоялтиПоГруппам="Да",MeanMinAge03+BV10*SUMIF(ThresholdAge03,"&lt;"&amp;BV10,WeightedRevAge03)-SUMIF(ThresholdAge03,"&lt;"&amp;BV10,WeightedMinAge03),MAX(CapacityAge03*АбонементНовых*BV10,MeanMinAge03)))</f>
        <v/>
      </c>
      <c r="BW77" s="5">
        <f>IF(OR(('03_Сеть'!BW25-BW23)=0,3&lt;=КаникулыРоялти),0,('03_Сеть'!BW25-BW23)*IF(РоялтиПоГруппам="Да",MeanMinAge03+BW10*SUMIF(ThresholdAge03,"&lt;"&amp;BW10,WeightedRevAge03)-SUMIF(ThresholdAge03,"&lt;"&amp;BW10,WeightedMinAge03),MAX(CapacityAge03*АбонементНовых*BW10,MeanMinAge03)))</f>
        <v/>
      </c>
      <c r="BX77" s="5">
        <f>IF(OR(('03_Сеть'!BX25-BX23)=0,3&lt;=КаникулыРоялти),0,('03_Сеть'!BX25-BX23)*IF(РоялтиПоГруппам="Да",MeanMinAge03+BX10*SUMIF(ThresholdAge03,"&lt;"&amp;BX10,WeightedRevAge03)-SUMIF(ThresholdAge03,"&lt;"&amp;BX10,WeightedMinAge03),MAX(CapacityAge03*АбонементНовых*BX10,MeanMinAge03)))</f>
        <v/>
      </c>
      <c r="BY77" s="5">
        <f>IF(OR(('03_Сеть'!BY25-BY23)=0,3&lt;=КаникулыРоялти),0,('03_Сеть'!BY25-BY23)*IF(РоялтиПоГруппам="Да",MeanMinAge03+BY10*SUMIF(ThresholdAge03,"&lt;"&amp;BY10,WeightedRevAge03)-SUMIF(ThresholdAge03,"&lt;"&amp;BY10,WeightedMinAge03),MAX(CapacityAge03*АбонементНовых*BY10,MeanMinAge03)))</f>
        <v/>
      </c>
    </row>
    <row r="78">
      <c r="B78" t="inlineStr">
        <is>
          <t>4 мес.</t>
        </is>
      </c>
      <c r="C78" t="inlineStr">
        <is>
          <t>₽</t>
        </is>
      </c>
      <c r="D78" s="127" t="inlineStr"/>
      <c r="E78" s="129">
        <f>SUM(L78:W78)</f>
        <v/>
      </c>
      <c r="F78" s="129">
        <f>SUM(X78:AI78)</f>
        <v/>
      </c>
      <c r="G78" s="129">
        <f>SUM(AJ78:AU78)</f>
        <v/>
      </c>
      <c r="H78" s="129">
        <f>SUM(AV78:BG78)</f>
        <v/>
      </c>
      <c r="I78" s="129">
        <f>SUM(BH78:BS78)</f>
        <v/>
      </c>
      <c r="J78" s="6">
        <f>SUM(L78:BS78)</f>
        <v/>
      </c>
      <c r="L78" s="5">
        <f>IF(OR(('03_Сеть'!L26-L24)=0,4&lt;=КаникулыРоялти),0,('03_Сеть'!L26-L24)*IF(РоялтиПоГруппам="Да",MeanMinAge04+L10*SUMIF(ThresholdAge04,"&lt;"&amp;L10,WeightedRevAge04)-SUMIF(ThresholdAge04,"&lt;"&amp;L10,WeightedMinAge04),MAX(CapacityAge04*АбонементНовых*L10,MeanMinAge04)))</f>
        <v/>
      </c>
      <c r="M78" s="5">
        <f>IF(OR(('03_Сеть'!M26-M24)=0,4&lt;=КаникулыРоялти),0,('03_Сеть'!M26-M24)*IF(РоялтиПоГруппам="Да",MeanMinAge04+M10*SUMIF(ThresholdAge04,"&lt;"&amp;M10,WeightedRevAge04)-SUMIF(ThresholdAge04,"&lt;"&amp;M10,WeightedMinAge04),MAX(CapacityAge04*АбонементНовых*M10,MeanMinAge04)))</f>
        <v/>
      </c>
      <c r="N78" s="5">
        <f>IF(OR(('03_Сеть'!N26-N24)=0,4&lt;=КаникулыРоялти),0,('03_Сеть'!N26-N24)*IF(РоялтиПоГруппам="Да",MeanMinAge04+N10*SUMIF(ThresholdAge04,"&lt;"&amp;N10,WeightedRevAge04)-SUMIF(ThresholdAge04,"&lt;"&amp;N10,WeightedMinAge04),MAX(CapacityAge04*АбонементНовых*N10,MeanMinAge04)))</f>
        <v/>
      </c>
      <c r="O78" s="5">
        <f>IF(OR(('03_Сеть'!O26-O24)=0,4&lt;=КаникулыРоялти),0,('03_Сеть'!O26-O24)*IF(РоялтиПоГруппам="Да",MeanMinAge04+O10*SUMIF(ThresholdAge04,"&lt;"&amp;O10,WeightedRevAge04)-SUMIF(ThresholdAge04,"&lt;"&amp;O10,WeightedMinAge04),MAX(CapacityAge04*АбонементНовых*O10,MeanMinAge04)))</f>
        <v/>
      </c>
      <c r="P78" s="5">
        <f>IF(OR(('03_Сеть'!P26-P24)=0,4&lt;=КаникулыРоялти),0,('03_Сеть'!P26-P24)*IF(РоялтиПоГруппам="Да",MeanMinAge04+P10*SUMIF(ThresholdAge04,"&lt;"&amp;P10,WeightedRevAge04)-SUMIF(ThresholdAge04,"&lt;"&amp;P10,WeightedMinAge04),MAX(CapacityAge04*АбонементНовых*P10,MeanMinAge04)))</f>
        <v/>
      </c>
      <c r="Q78" s="5">
        <f>IF(OR(('03_Сеть'!Q26-Q24)=0,4&lt;=КаникулыРоялти),0,('03_Сеть'!Q26-Q24)*IF(РоялтиПоГруппам="Да",MeanMinAge04+Q10*SUMIF(ThresholdAge04,"&lt;"&amp;Q10,WeightedRevAge04)-SUMIF(ThresholdAge04,"&lt;"&amp;Q10,WeightedMinAge04),MAX(CapacityAge04*АбонементНовых*Q10,MeanMinAge04)))</f>
        <v/>
      </c>
      <c r="R78" s="5">
        <f>IF(OR(('03_Сеть'!R26-R24)=0,4&lt;=КаникулыРоялти),0,('03_Сеть'!R26-R24)*IF(РоялтиПоГруппам="Да",MeanMinAge04+R10*SUMIF(ThresholdAge04,"&lt;"&amp;R10,WeightedRevAge04)-SUMIF(ThresholdAge04,"&lt;"&amp;R10,WeightedMinAge04),MAX(CapacityAge04*АбонементНовых*R10,MeanMinAge04)))</f>
        <v/>
      </c>
      <c r="S78" s="5">
        <f>IF(OR(('03_Сеть'!S26-S24)=0,4&lt;=КаникулыРоялти),0,('03_Сеть'!S26-S24)*IF(РоялтиПоГруппам="Да",MeanMinAge04+S10*SUMIF(ThresholdAge04,"&lt;"&amp;S10,WeightedRevAge04)-SUMIF(ThresholdAge04,"&lt;"&amp;S10,WeightedMinAge04),MAX(CapacityAge04*АбонементНовых*S10,MeanMinAge04)))</f>
        <v/>
      </c>
      <c r="T78" s="5">
        <f>IF(OR(('03_Сеть'!T26-T24)=0,4&lt;=КаникулыРоялти),0,('03_Сеть'!T26-T24)*IF(РоялтиПоГруппам="Да",MeanMinAge04+T10*SUMIF(ThresholdAge04,"&lt;"&amp;T10,WeightedRevAge04)-SUMIF(ThresholdAge04,"&lt;"&amp;T10,WeightedMinAge04),MAX(CapacityAge04*АбонементНовых*T10,MeanMinAge04)))</f>
        <v/>
      </c>
      <c r="U78" s="5">
        <f>IF(OR(('03_Сеть'!U26-U24)=0,4&lt;=КаникулыРоялти),0,('03_Сеть'!U26-U24)*IF(РоялтиПоГруппам="Да",MeanMinAge04+U10*SUMIF(ThresholdAge04,"&lt;"&amp;U10,WeightedRevAge04)-SUMIF(ThresholdAge04,"&lt;"&amp;U10,WeightedMinAge04),MAX(CapacityAge04*АбонементНовых*U10,MeanMinAge04)))</f>
        <v/>
      </c>
      <c r="V78" s="5">
        <f>IF(OR(('03_Сеть'!V26-V24)=0,4&lt;=КаникулыРоялти),0,('03_Сеть'!V26-V24)*IF(РоялтиПоГруппам="Да",MeanMinAge04+V10*SUMIF(ThresholdAge04,"&lt;"&amp;V10,WeightedRevAge04)-SUMIF(ThresholdAge04,"&lt;"&amp;V10,WeightedMinAge04),MAX(CapacityAge04*АбонементНовых*V10,MeanMinAge04)))</f>
        <v/>
      </c>
      <c r="W78" s="5">
        <f>IF(OR(('03_Сеть'!W26-W24)=0,4&lt;=КаникулыРоялти),0,('03_Сеть'!W26-W24)*IF(РоялтиПоГруппам="Да",MeanMinAge04+W10*SUMIF(ThresholdAge04,"&lt;"&amp;W10,WeightedRevAge04)-SUMIF(ThresholdAge04,"&lt;"&amp;W10,WeightedMinAge04),MAX(CapacityAge04*АбонементНовых*W10,MeanMinAge04)))</f>
        <v/>
      </c>
      <c r="X78" s="5">
        <f>IF(OR(('03_Сеть'!X26-X24)=0,4&lt;=КаникулыРоялти),0,('03_Сеть'!X26-X24)*IF(РоялтиПоГруппам="Да",MeanMinAge04+X10*SUMIF(ThresholdAge04,"&lt;"&amp;X10,WeightedRevAge04)-SUMIF(ThresholdAge04,"&lt;"&amp;X10,WeightedMinAge04),MAX(CapacityAge04*АбонементНовых*X10,MeanMinAge04)))</f>
        <v/>
      </c>
      <c r="Y78" s="5">
        <f>IF(OR(('03_Сеть'!Y26-Y24)=0,4&lt;=КаникулыРоялти),0,('03_Сеть'!Y26-Y24)*IF(РоялтиПоГруппам="Да",MeanMinAge04+Y10*SUMIF(ThresholdAge04,"&lt;"&amp;Y10,WeightedRevAge04)-SUMIF(ThresholdAge04,"&lt;"&amp;Y10,WeightedMinAge04),MAX(CapacityAge04*АбонементНовых*Y10,MeanMinAge04)))</f>
        <v/>
      </c>
      <c r="Z78" s="5">
        <f>IF(OR(('03_Сеть'!Z26-Z24)=0,4&lt;=КаникулыРоялти),0,('03_Сеть'!Z26-Z24)*IF(РоялтиПоГруппам="Да",MeanMinAge04+Z10*SUMIF(ThresholdAge04,"&lt;"&amp;Z10,WeightedRevAge04)-SUMIF(ThresholdAge04,"&lt;"&amp;Z10,WeightedMinAge04),MAX(CapacityAge04*АбонементНовых*Z10,MeanMinAge04)))</f>
        <v/>
      </c>
      <c r="AA78" s="5">
        <f>IF(OR(('03_Сеть'!AA26-AA24)=0,4&lt;=КаникулыРоялти),0,('03_Сеть'!AA26-AA24)*IF(РоялтиПоГруппам="Да",MeanMinAge04+AA10*SUMIF(ThresholdAge04,"&lt;"&amp;AA10,WeightedRevAge04)-SUMIF(ThresholdAge04,"&lt;"&amp;AA10,WeightedMinAge04),MAX(CapacityAge04*АбонементНовых*AA10,MeanMinAge04)))</f>
        <v/>
      </c>
      <c r="AB78" s="5">
        <f>IF(OR(('03_Сеть'!AB26-AB24)=0,4&lt;=КаникулыРоялти),0,('03_Сеть'!AB26-AB24)*IF(РоялтиПоГруппам="Да",MeanMinAge04+AB10*SUMIF(ThresholdAge04,"&lt;"&amp;AB10,WeightedRevAge04)-SUMIF(ThresholdAge04,"&lt;"&amp;AB10,WeightedMinAge04),MAX(CapacityAge04*АбонементНовых*AB10,MeanMinAge04)))</f>
        <v/>
      </c>
      <c r="AC78" s="5">
        <f>IF(OR(('03_Сеть'!AC26-AC24)=0,4&lt;=КаникулыРоялти),0,('03_Сеть'!AC26-AC24)*IF(РоялтиПоГруппам="Да",MeanMinAge04+AC10*SUMIF(ThresholdAge04,"&lt;"&amp;AC10,WeightedRevAge04)-SUMIF(ThresholdAge04,"&lt;"&amp;AC10,WeightedMinAge04),MAX(CapacityAge04*АбонементНовых*AC10,MeanMinAge04)))</f>
        <v/>
      </c>
      <c r="AD78" s="5">
        <f>IF(OR(('03_Сеть'!AD26-AD24)=0,4&lt;=КаникулыРоялти),0,('03_Сеть'!AD26-AD24)*IF(РоялтиПоГруппам="Да",MeanMinAge04+AD10*SUMIF(ThresholdAge04,"&lt;"&amp;AD10,WeightedRevAge04)-SUMIF(ThresholdAge04,"&lt;"&amp;AD10,WeightedMinAge04),MAX(CapacityAge04*АбонементНовых*AD10,MeanMinAge04)))</f>
        <v/>
      </c>
      <c r="AE78" s="5">
        <f>IF(OR(('03_Сеть'!AE26-AE24)=0,4&lt;=КаникулыРоялти),0,('03_Сеть'!AE26-AE24)*IF(РоялтиПоГруппам="Да",MeanMinAge04+AE10*SUMIF(ThresholdAge04,"&lt;"&amp;AE10,WeightedRevAge04)-SUMIF(ThresholdAge04,"&lt;"&amp;AE10,WeightedMinAge04),MAX(CapacityAge04*АбонементНовых*AE10,MeanMinAge04)))</f>
        <v/>
      </c>
      <c r="AF78" s="5">
        <f>IF(OR(('03_Сеть'!AF26-AF24)=0,4&lt;=КаникулыРоялти),0,('03_Сеть'!AF26-AF24)*IF(РоялтиПоГруппам="Да",MeanMinAge04+AF10*SUMIF(ThresholdAge04,"&lt;"&amp;AF10,WeightedRevAge04)-SUMIF(ThresholdAge04,"&lt;"&amp;AF10,WeightedMinAge04),MAX(CapacityAge04*АбонементНовых*AF10,MeanMinAge04)))</f>
        <v/>
      </c>
      <c r="AG78" s="5">
        <f>IF(OR(('03_Сеть'!AG26-AG24)=0,4&lt;=КаникулыРоялти),0,('03_Сеть'!AG26-AG24)*IF(РоялтиПоГруппам="Да",MeanMinAge04+AG10*SUMIF(ThresholdAge04,"&lt;"&amp;AG10,WeightedRevAge04)-SUMIF(ThresholdAge04,"&lt;"&amp;AG10,WeightedMinAge04),MAX(CapacityAge04*АбонементНовых*AG10,MeanMinAge04)))</f>
        <v/>
      </c>
      <c r="AH78" s="5">
        <f>IF(OR(('03_Сеть'!AH26-AH24)=0,4&lt;=КаникулыРоялти),0,('03_Сеть'!AH26-AH24)*IF(РоялтиПоГруппам="Да",MeanMinAge04+AH10*SUMIF(ThresholdAge04,"&lt;"&amp;AH10,WeightedRevAge04)-SUMIF(ThresholdAge04,"&lt;"&amp;AH10,WeightedMinAge04),MAX(CapacityAge04*АбонементНовых*AH10,MeanMinAge04)))</f>
        <v/>
      </c>
      <c r="AI78" s="5">
        <f>IF(OR(('03_Сеть'!AI26-AI24)=0,4&lt;=КаникулыРоялти),0,('03_Сеть'!AI26-AI24)*IF(РоялтиПоГруппам="Да",MeanMinAge04+AI10*SUMIF(ThresholdAge04,"&lt;"&amp;AI10,WeightedRevAge04)-SUMIF(ThresholdAge04,"&lt;"&amp;AI10,WeightedMinAge04),MAX(CapacityAge04*АбонементНовых*AI10,MeanMinAge04)))</f>
        <v/>
      </c>
      <c r="AJ78" s="5">
        <f>IF(OR(('03_Сеть'!AJ26-AJ24)=0,4&lt;=КаникулыРоялти),0,('03_Сеть'!AJ26-AJ24)*IF(РоялтиПоГруппам="Да",MeanMinAge04+AJ10*SUMIF(ThresholdAge04,"&lt;"&amp;AJ10,WeightedRevAge04)-SUMIF(ThresholdAge04,"&lt;"&amp;AJ10,WeightedMinAge04),MAX(CapacityAge04*АбонементНовых*AJ10,MeanMinAge04)))</f>
        <v/>
      </c>
      <c r="AK78" s="5">
        <f>IF(OR(('03_Сеть'!AK26-AK24)=0,4&lt;=КаникулыРоялти),0,('03_Сеть'!AK26-AK24)*IF(РоялтиПоГруппам="Да",MeanMinAge04+AK10*SUMIF(ThresholdAge04,"&lt;"&amp;AK10,WeightedRevAge04)-SUMIF(ThresholdAge04,"&lt;"&amp;AK10,WeightedMinAge04),MAX(CapacityAge04*АбонементНовых*AK10,MeanMinAge04)))</f>
        <v/>
      </c>
      <c r="AL78" s="5">
        <f>IF(OR(('03_Сеть'!AL26-AL24)=0,4&lt;=КаникулыРоялти),0,('03_Сеть'!AL26-AL24)*IF(РоялтиПоГруппам="Да",MeanMinAge04+AL10*SUMIF(ThresholdAge04,"&lt;"&amp;AL10,WeightedRevAge04)-SUMIF(ThresholdAge04,"&lt;"&amp;AL10,WeightedMinAge04),MAX(CapacityAge04*АбонементНовых*AL10,MeanMinAge04)))</f>
        <v/>
      </c>
      <c r="AM78" s="5">
        <f>IF(OR(('03_Сеть'!AM26-AM24)=0,4&lt;=КаникулыРоялти),0,('03_Сеть'!AM26-AM24)*IF(РоялтиПоГруппам="Да",MeanMinAge04+AM10*SUMIF(ThresholdAge04,"&lt;"&amp;AM10,WeightedRevAge04)-SUMIF(ThresholdAge04,"&lt;"&amp;AM10,WeightedMinAge04),MAX(CapacityAge04*АбонементНовых*AM10,MeanMinAge04)))</f>
        <v/>
      </c>
      <c r="AN78" s="5">
        <f>IF(OR(('03_Сеть'!AN26-AN24)=0,4&lt;=КаникулыРоялти),0,('03_Сеть'!AN26-AN24)*IF(РоялтиПоГруппам="Да",MeanMinAge04+AN10*SUMIF(ThresholdAge04,"&lt;"&amp;AN10,WeightedRevAge04)-SUMIF(ThresholdAge04,"&lt;"&amp;AN10,WeightedMinAge04),MAX(CapacityAge04*АбонементНовых*AN10,MeanMinAge04)))</f>
        <v/>
      </c>
      <c r="AO78" s="5">
        <f>IF(OR(('03_Сеть'!AO26-AO24)=0,4&lt;=КаникулыРоялти),0,('03_Сеть'!AO26-AO24)*IF(РоялтиПоГруппам="Да",MeanMinAge04+AO10*SUMIF(ThresholdAge04,"&lt;"&amp;AO10,WeightedRevAge04)-SUMIF(ThresholdAge04,"&lt;"&amp;AO10,WeightedMinAge04),MAX(CapacityAge04*АбонементНовых*AO10,MeanMinAge04)))</f>
        <v/>
      </c>
      <c r="AP78" s="5">
        <f>IF(OR(('03_Сеть'!AP26-AP24)=0,4&lt;=КаникулыРоялти),0,('03_Сеть'!AP26-AP24)*IF(РоялтиПоГруппам="Да",MeanMinAge04+AP10*SUMIF(ThresholdAge04,"&lt;"&amp;AP10,WeightedRevAge04)-SUMIF(ThresholdAge04,"&lt;"&amp;AP10,WeightedMinAge04),MAX(CapacityAge04*АбонементНовых*AP10,MeanMinAge04)))</f>
        <v/>
      </c>
      <c r="AQ78" s="5">
        <f>IF(OR(('03_Сеть'!AQ26-AQ24)=0,4&lt;=КаникулыРоялти),0,('03_Сеть'!AQ26-AQ24)*IF(РоялтиПоГруппам="Да",MeanMinAge04+AQ10*SUMIF(ThresholdAge04,"&lt;"&amp;AQ10,WeightedRevAge04)-SUMIF(ThresholdAge04,"&lt;"&amp;AQ10,WeightedMinAge04),MAX(CapacityAge04*АбонементНовых*AQ10,MeanMinAge04)))</f>
        <v/>
      </c>
      <c r="AR78" s="5">
        <f>IF(OR(('03_Сеть'!AR26-AR24)=0,4&lt;=КаникулыРоялти),0,('03_Сеть'!AR26-AR24)*IF(РоялтиПоГруппам="Да",MeanMinAge04+AR10*SUMIF(ThresholdAge04,"&lt;"&amp;AR10,WeightedRevAge04)-SUMIF(ThresholdAge04,"&lt;"&amp;AR10,WeightedMinAge04),MAX(CapacityAge04*АбонементНовых*AR10,MeanMinAge04)))</f>
        <v/>
      </c>
      <c r="AS78" s="5">
        <f>IF(OR(('03_Сеть'!AS26-AS24)=0,4&lt;=КаникулыРоялти),0,('03_Сеть'!AS26-AS24)*IF(РоялтиПоГруппам="Да",MeanMinAge04+AS10*SUMIF(ThresholdAge04,"&lt;"&amp;AS10,WeightedRevAge04)-SUMIF(ThresholdAge04,"&lt;"&amp;AS10,WeightedMinAge04),MAX(CapacityAge04*АбонементНовых*AS10,MeanMinAge04)))</f>
        <v/>
      </c>
      <c r="AT78" s="5">
        <f>IF(OR(('03_Сеть'!AT26-AT24)=0,4&lt;=КаникулыРоялти),0,('03_Сеть'!AT26-AT24)*IF(РоялтиПоГруппам="Да",MeanMinAge04+AT10*SUMIF(ThresholdAge04,"&lt;"&amp;AT10,WeightedRevAge04)-SUMIF(ThresholdAge04,"&lt;"&amp;AT10,WeightedMinAge04),MAX(CapacityAge04*АбонементНовых*AT10,MeanMinAge04)))</f>
        <v/>
      </c>
      <c r="AU78" s="5">
        <f>IF(OR(('03_Сеть'!AU26-AU24)=0,4&lt;=КаникулыРоялти),0,('03_Сеть'!AU26-AU24)*IF(РоялтиПоГруппам="Да",MeanMinAge04+AU10*SUMIF(ThresholdAge04,"&lt;"&amp;AU10,WeightedRevAge04)-SUMIF(ThresholdAge04,"&lt;"&amp;AU10,WeightedMinAge04),MAX(CapacityAge04*АбонементНовых*AU10,MeanMinAge04)))</f>
        <v/>
      </c>
      <c r="AV78" s="5">
        <f>IF(OR(('03_Сеть'!AV26-AV24)=0,4&lt;=КаникулыРоялти),0,('03_Сеть'!AV26-AV24)*IF(РоялтиПоГруппам="Да",MeanMinAge04+AV10*SUMIF(ThresholdAge04,"&lt;"&amp;AV10,WeightedRevAge04)-SUMIF(ThresholdAge04,"&lt;"&amp;AV10,WeightedMinAge04),MAX(CapacityAge04*АбонементНовых*AV10,MeanMinAge04)))</f>
        <v/>
      </c>
      <c r="AW78" s="5">
        <f>IF(OR(('03_Сеть'!AW26-AW24)=0,4&lt;=КаникулыРоялти),0,('03_Сеть'!AW26-AW24)*IF(РоялтиПоГруппам="Да",MeanMinAge04+AW10*SUMIF(ThresholdAge04,"&lt;"&amp;AW10,WeightedRevAge04)-SUMIF(ThresholdAge04,"&lt;"&amp;AW10,WeightedMinAge04),MAX(CapacityAge04*АбонементНовых*AW10,MeanMinAge04)))</f>
        <v/>
      </c>
      <c r="AX78" s="5">
        <f>IF(OR(('03_Сеть'!AX26-AX24)=0,4&lt;=КаникулыРоялти),0,('03_Сеть'!AX26-AX24)*IF(РоялтиПоГруппам="Да",MeanMinAge04+AX10*SUMIF(ThresholdAge04,"&lt;"&amp;AX10,WeightedRevAge04)-SUMIF(ThresholdAge04,"&lt;"&amp;AX10,WeightedMinAge04),MAX(CapacityAge04*АбонементНовых*AX10,MeanMinAge04)))</f>
        <v/>
      </c>
      <c r="AY78" s="5">
        <f>IF(OR(('03_Сеть'!AY26-AY24)=0,4&lt;=КаникулыРоялти),0,('03_Сеть'!AY26-AY24)*IF(РоялтиПоГруппам="Да",MeanMinAge04+AY10*SUMIF(ThresholdAge04,"&lt;"&amp;AY10,WeightedRevAge04)-SUMIF(ThresholdAge04,"&lt;"&amp;AY10,WeightedMinAge04),MAX(CapacityAge04*АбонементНовых*AY10,MeanMinAge04)))</f>
        <v/>
      </c>
      <c r="AZ78" s="5">
        <f>IF(OR(('03_Сеть'!AZ26-AZ24)=0,4&lt;=КаникулыРоялти),0,('03_Сеть'!AZ26-AZ24)*IF(РоялтиПоГруппам="Да",MeanMinAge04+AZ10*SUMIF(ThresholdAge04,"&lt;"&amp;AZ10,WeightedRevAge04)-SUMIF(ThresholdAge04,"&lt;"&amp;AZ10,WeightedMinAge04),MAX(CapacityAge04*АбонементНовых*AZ10,MeanMinAge04)))</f>
        <v/>
      </c>
      <c r="BA78" s="5">
        <f>IF(OR(('03_Сеть'!BA26-BA24)=0,4&lt;=КаникулыРоялти),0,('03_Сеть'!BA26-BA24)*IF(РоялтиПоГруппам="Да",MeanMinAge04+BA10*SUMIF(ThresholdAge04,"&lt;"&amp;BA10,WeightedRevAge04)-SUMIF(ThresholdAge04,"&lt;"&amp;BA10,WeightedMinAge04),MAX(CapacityAge04*АбонементНовых*BA10,MeanMinAge04)))</f>
        <v/>
      </c>
      <c r="BB78" s="5">
        <f>IF(OR(('03_Сеть'!BB26-BB24)=0,4&lt;=КаникулыРоялти),0,('03_Сеть'!BB26-BB24)*IF(РоялтиПоГруппам="Да",MeanMinAge04+BB10*SUMIF(ThresholdAge04,"&lt;"&amp;BB10,WeightedRevAge04)-SUMIF(ThresholdAge04,"&lt;"&amp;BB10,WeightedMinAge04),MAX(CapacityAge04*АбонементНовых*BB10,MeanMinAge04)))</f>
        <v/>
      </c>
      <c r="BC78" s="5">
        <f>IF(OR(('03_Сеть'!BC26-BC24)=0,4&lt;=КаникулыРоялти),0,('03_Сеть'!BC26-BC24)*IF(РоялтиПоГруппам="Да",MeanMinAge04+BC10*SUMIF(ThresholdAge04,"&lt;"&amp;BC10,WeightedRevAge04)-SUMIF(ThresholdAge04,"&lt;"&amp;BC10,WeightedMinAge04),MAX(CapacityAge04*АбонементНовых*BC10,MeanMinAge04)))</f>
        <v/>
      </c>
      <c r="BD78" s="5">
        <f>IF(OR(('03_Сеть'!BD26-BD24)=0,4&lt;=КаникулыРоялти),0,('03_Сеть'!BD26-BD24)*IF(РоялтиПоГруппам="Да",MeanMinAge04+BD10*SUMIF(ThresholdAge04,"&lt;"&amp;BD10,WeightedRevAge04)-SUMIF(ThresholdAge04,"&lt;"&amp;BD10,WeightedMinAge04),MAX(CapacityAge04*АбонементНовых*BD10,MeanMinAge04)))</f>
        <v/>
      </c>
      <c r="BE78" s="5">
        <f>IF(OR(('03_Сеть'!BE26-BE24)=0,4&lt;=КаникулыРоялти),0,('03_Сеть'!BE26-BE24)*IF(РоялтиПоГруппам="Да",MeanMinAge04+BE10*SUMIF(ThresholdAge04,"&lt;"&amp;BE10,WeightedRevAge04)-SUMIF(ThresholdAge04,"&lt;"&amp;BE10,WeightedMinAge04),MAX(CapacityAge04*АбонементНовых*BE10,MeanMinAge04)))</f>
        <v/>
      </c>
      <c r="BF78" s="5">
        <f>IF(OR(('03_Сеть'!BF26-BF24)=0,4&lt;=КаникулыРоялти),0,('03_Сеть'!BF26-BF24)*IF(РоялтиПоГруппам="Да",MeanMinAge04+BF10*SUMIF(ThresholdAge04,"&lt;"&amp;BF10,WeightedRevAge04)-SUMIF(ThresholdAge04,"&lt;"&amp;BF10,WeightedMinAge04),MAX(CapacityAge04*АбонементНовых*BF10,MeanMinAge04)))</f>
        <v/>
      </c>
      <c r="BG78" s="5">
        <f>IF(OR(('03_Сеть'!BG26-BG24)=0,4&lt;=КаникулыРоялти),0,('03_Сеть'!BG26-BG24)*IF(РоялтиПоГруппам="Да",MeanMinAge04+BG10*SUMIF(ThresholdAge04,"&lt;"&amp;BG10,WeightedRevAge04)-SUMIF(ThresholdAge04,"&lt;"&amp;BG10,WeightedMinAge04),MAX(CapacityAge04*АбонементНовых*BG10,MeanMinAge04)))</f>
        <v/>
      </c>
      <c r="BH78" s="5">
        <f>IF(OR(('03_Сеть'!BH26-BH24)=0,4&lt;=КаникулыРоялти),0,('03_Сеть'!BH26-BH24)*IF(РоялтиПоГруппам="Да",MeanMinAge04+BH10*SUMIF(ThresholdAge04,"&lt;"&amp;BH10,WeightedRevAge04)-SUMIF(ThresholdAge04,"&lt;"&amp;BH10,WeightedMinAge04),MAX(CapacityAge04*АбонементНовых*BH10,MeanMinAge04)))</f>
        <v/>
      </c>
      <c r="BI78" s="5">
        <f>IF(OR(('03_Сеть'!BI26-BI24)=0,4&lt;=КаникулыРоялти),0,('03_Сеть'!BI26-BI24)*IF(РоялтиПоГруппам="Да",MeanMinAge04+BI10*SUMIF(ThresholdAge04,"&lt;"&amp;BI10,WeightedRevAge04)-SUMIF(ThresholdAge04,"&lt;"&amp;BI10,WeightedMinAge04),MAX(CapacityAge04*АбонементНовых*BI10,MeanMinAge04)))</f>
        <v/>
      </c>
      <c r="BJ78" s="5">
        <f>IF(OR(('03_Сеть'!BJ26-BJ24)=0,4&lt;=КаникулыРоялти),0,('03_Сеть'!BJ26-BJ24)*IF(РоялтиПоГруппам="Да",MeanMinAge04+BJ10*SUMIF(ThresholdAge04,"&lt;"&amp;BJ10,WeightedRevAge04)-SUMIF(ThresholdAge04,"&lt;"&amp;BJ10,WeightedMinAge04),MAX(CapacityAge04*АбонементНовых*BJ10,MeanMinAge04)))</f>
        <v/>
      </c>
      <c r="BK78" s="5">
        <f>IF(OR(('03_Сеть'!BK26-BK24)=0,4&lt;=КаникулыРоялти),0,('03_Сеть'!BK26-BK24)*IF(РоялтиПоГруппам="Да",MeanMinAge04+BK10*SUMIF(ThresholdAge04,"&lt;"&amp;BK10,WeightedRevAge04)-SUMIF(ThresholdAge04,"&lt;"&amp;BK10,WeightedMinAge04),MAX(CapacityAge04*АбонементНовых*BK10,MeanMinAge04)))</f>
        <v/>
      </c>
      <c r="BL78" s="5">
        <f>IF(OR(('03_Сеть'!BL26-BL24)=0,4&lt;=КаникулыРоялти),0,('03_Сеть'!BL26-BL24)*IF(РоялтиПоГруппам="Да",MeanMinAge04+BL10*SUMIF(ThresholdAge04,"&lt;"&amp;BL10,WeightedRevAge04)-SUMIF(ThresholdAge04,"&lt;"&amp;BL10,WeightedMinAge04),MAX(CapacityAge04*АбонементНовых*BL10,MeanMinAge04)))</f>
        <v/>
      </c>
      <c r="BM78" s="5">
        <f>IF(OR(('03_Сеть'!BM26-BM24)=0,4&lt;=КаникулыРоялти),0,('03_Сеть'!BM26-BM24)*IF(РоялтиПоГруппам="Да",MeanMinAge04+BM10*SUMIF(ThresholdAge04,"&lt;"&amp;BM10,WeightedRevAge04)-SUMIF(ThresholdAge04,"&lt;"&amp;BM10,WeightedMinAge04),MAX(CapacityAge04*АбонементНовых*BM10,MeanMinAge04)))</f>
        <v/>
      </c>
      <c r="BN78" s="5">
        <f>IF(OR(('03_Сеть'!BN26-BN24)=0,4&lt;=КаникулыРоялти),0,('03_Сеть'!BN26-BN24)*IF(РоялтиПоГруппам="Да",MeanMinAge04+BN10*SUMIF(ThresholdAge04,"&lt;"&amp;BN10,WeightedRevAge04)-SUMIF(ThresholdAge04,"&lt;"&amp;BN10,WeightedMinAge04),MAX(CapacityAge04*АбонементНовых*BN10,MeanMinAge04)))</f>
        <v/>
      </c>
      <c r="BO78" s="5">
        <f>IF(OR(('03_Сеть'!BO26-BO24)=0,4&lt;=КаникулыРоялти),0,('03_Сеть'!BO26-BO24)*IF(РоялтиПоГруппам="Да",MeanMinAge04+BO10*SUMIF(ThresholdAge04,"&lt;"&amp;BO10,WeightedRevAge04)-SUMIF(ThresholdAge04,"&lt;"&amp;BO10,WeightedMinAge04),MAX(CapacityAge04*АбонементНовых*BO10,MeanMinAge04)))</f>
        <v/>
      </c>
      <c r="BP78" s="5">
        <f>IF(OR(('03_Сеть'!BP26-BP24)=0,4&lt;=КаникулыРоялти),0,('03_Сеть'!BP26-BP24)*IF(РоялтиПоГруппам="Да",MeanMinAge04+BP10*SUMIF(ThresholdAge04,"&lt;"&amp;BP10,WeightedRevAge04)-SUMIF(ThresholdAge04,"&lt;"&amp;BP10,WeightedMinAge04),MAX(CapacityAge04*АбонементНовых*BP10,MeanMinAge04)))</f>
        <v/>
      </c>
      <c r="BQ78" s="5">
        <f>IF(OR(('03_Сеть'!BQ26-BQ24)=0,4&lt;=КаникулыРоялти),0,('03_Сеть'!BQ26-BQ24)*IF(РоялтиПоГруппам="Да",MeanMinAge04+BQ10*SUMIF(ThresholdAge04,"&lt;"&amp;BQ10,WeightedRevAge04)-SUMIF(ThresholdAge04,"&lt;"&amp;BQ10,WeightedMinAge04),MAX(CapacityAge04*АбонементНовых*BQ10,MeanMinAge04)))</f>
        <v/>
      </c>
      <c r="BR78" s="5">
        <f>IF(OR(('03_Сеть'!BR26-BR24)=0,4&lt;=КаникулыРоялти),0,('03_Сеть'!BR26-BR24)*IF(РоялтиПоГруппам="Да",MeanMinAge04+BR10*SUMIF(ThresholdAge04,"&lt;"&amp;BR10,WeightedRevAge04)-SUMIF(ThresholdAge04,"&lt;"&amp;BR10,WeightedMinAge04),MAX(CapacityAge04*АбонементНовых*BR10,MeanMinAge04)))</f>
        <v/>
      </c>
      <c r="BS78" s="5">
        <f>IF(OR(('03_Сеть'!BS26-BS24)=0,4&lt;=КаникулыРоялти),0,('03_Сеть'!BS26-BS24)*IF(РоялтиПоГруппам="Да",MeanMinAge04+BS10*SUMIF(ThresholdAge04,"&lt;"&amp;BS10,WeightedRevAge04)-SUMIF(ThresholdAge04,"&lt;"&amp;BS10,WeightedMinAge04),MAX(CapacityAge04*АбонементНовых*BS10,MeanMinAge04)))</f>
        <v/>
      </c>
      <c r="BT78" s="5">
        <f>IF(OR(('03_Сеть'!BT26-BT24)=0,4&lt;=КаникулыРоялти),0,('03_Сеть'!BT26-BT24)*IF(РоялтиПоГруппам="Да",MeanMinAge04+BT10*SUMIF(ThresholdAge04,"&lt;"&amp;BT10,WeightedRevAge04)-SUMIF(ThresholdAge04,"&lt;"&amp;BT10,WeightedMinAge04),MAX(CapacityAge04*АбонементНовых*BT10,MeanMinAge04)))</f>
        <v/>
      </c>
      <c r="BU78" s="5">
        <f>IF(OR(('03_Сеть'!BU26-BU24)=0,4&lt;=КаникулыРоялти),0,('03_Сеть'!BU26-BU24)*IF(РоялтиПоГруппам="Да",MeanMinAge04+BU10*SUMIF(ThresholdAge04,"&lt;"&amp;BU10,WeightedRevAge04)-SUMIF(ThresholdAge04,"&lt;"&amp;BU10,WeightedMinAge04),MAX(CapacityAge04*АбонементНовых*BU10,MeanMinAge04)))</f>
        <v/>
      </c>
      <c r="BV78" s="5">
        <f>IF(OR(('03_Сеть'!BV26-BV24)=0,4&lt;=КаникулыРоялти),0,('03_Сеть'!BV26-BV24)*IF(РоялтиПоГруппам="Да",MeanMinAge04+BV10*SUMIF(ThresholdAge04,"&lt;"&amp;BV10,WeightedRevAge04)-SUMIF(ThresholdAge04,"&lt;"&amp;BV10,WeightedMinAge04),MAX(CapacityAge04*АбонементНовых*BV10,MeanMinAge04)))</f>
        <v/>
      </c>
      <c r="BW78" s="5">
        <f>IF(OR(('03_Сеть'!BW26-BW24)=0,4&lt;=КаникулыРоялти),0,('03_Сеть'!BW26-BW24)*IF(РоялтиПоГруппам="Да",MeanMinAge04+BW10*SUMIF(ThresholdAge04,"&lt;"&amp;BW10,WeightedRevAge04)-SUMIF(ThresholdAge04,"&lt;"&amp;BW10,WeightedMinAge04),MAX(CapacityAge04*АбонементНовых*BW10,MeanMinAge04)))</f>
        <v/>
      </c>
      <c r="BX78" s="5">
        <f>IF(OR(('03_Сеть'!BX26-BX24)=0,4&lt;=КаникулыРоялти),0,('03_Сеть'!BX26-BX24)*IF(РоялтиПоГруппам="Да",MeanMinAge04+BX10*SUMIF(ThresholdAge04,"&lt;"&amp;BX10,WeightedRevAge04)-SUMIF(ThresholdAge04,"&lt;"&amp;BX10,WeightedMinAge04),MAX(CapacityAge04*АбонементНовых*BX10,MeanMinAge04)))</f>
        <v/>
      </c>
      <c r="BY78" s="5">
        <f>IF(OR(('03_Сеть'!BY26-BY24)=0,4&lt;=КаникулыРоялти),0,('03_Сеть'!BY26-BY24)*IF(РоялтиПоГруппам="Да",MeanMinAge04+BY10*SUMIF(ThresholdAge04,"&lt;"&amp;BY10,WeightedRevAge04)-SUMIF(ThresholdAge04,"&lt;"&amp;BY10,WeightedMinAge04),MAX(CapacityAge04*АбонементНовых*BY10,MeanMinAge04)))</f>
        <v/>
      </c>
    </row>
    <row r="79">
      <c r="B79" t="inlineStr">
        <is>
          <t>5 мес.</t>
        </is>
      </c>
      <c r="C79" t="inlineStr">
        <is>
          <t>₽</t>
        </is>
      </c>
      <c r="D79" s="127" t="inlineStr"/>
      <c r="E79" s="129">
        <f>SUM(L79:W79)</f>
        <v/>
      </c>
      <c r="F79" s="129">
        <f>SUM(X79:AI79)</f>
        <v/>
      </c>
      <c r="G79" s="129">
        <f>SUM(AJ79:AU79)</f>
        <v/>
      </c>
      <c r="H79" s="129">
        <f>SUM(AV79:BG79)</f>
        <v/>
      </c>
      <c r="I79" s="129">
        <f>SUM(BH79:BS79)</f>
        <v/>
      </c>
      <c r="J79" s="6">
        <f>SUM(L79:BS79)</f>
        <v/>
      </c>
      <c r="L79" s="5">
        <f>IF(OR(('03_Сеть'!L27-L25)=0,5&lt;=КаникулыРоялти),0,('03_Сеть'!L27-L25)*IF(РоялтиПоГруппам="Да",MeanMinAge05+L10*SUMIF(ThresholdAge05,"&lt;"&amp;L10,WeightedRevAge05)-SUMIF(ThresholdAge05,"&lt;"&amp;L10,WeightedMinAge05),MAX(CapacityAge05*АбонементНовых*L10,MeanMinAge05)))</f>
        <v/>
      </c>
      <c r="M79" s="5">
        <f>IF(OR(('03_Сеть'!M27-M25)=0,5&lt;=КаникулыРоялти),0,('03_Сеть'!M27-M25)*IF(РоялтиПоГруппам="Да",MeanMinAge05+M10*SUMIF(ThresholdAge05,"&lt;"&amp;M10,WeightedRevAge05)-SUMIF(ThresholdAge05,"&lt;"&amp;M10,WeightedMinAge05),MAX(CapacityAge05*АбонементНовых*M10,MeanMinAge05)))</f>
        <v/>
      </c>
      <c r="N79" s="5">
        <f>IF(OR(('03_Сеть'!N27-N25)=0,5&lt;=КаникулыРоялти),0,('03_Сеть'!N27-N25)*IF(РоялтиПоГруппам="Да",MeanMinAge05+N10*SUMIF(ThresholdAge05,"&lt;"&amp;N10,WeightedRevAge05)-SUMIF(ThresholdAge05,"&lt;"&amp;N10,WeightedMinAge05),MAX(CapacityAge05*АбонементНовых*N10,MeanMinAge05)))</f>
        <v/>
      </c>
      <c r="O79" s="5">
        <f>IF(OR(('03_Сеть'!O27-O25)=0,5&lt;=КаникулыРоялти),0,('03_Сеть'!O27-O25)*IF(РоялтиПоГруппам="Да",MeanMinAge05+O10*SUMIF(ThresholdAge05,"&lt;"&amp;O10,WeightedRevAge05)-SUMIF(ThresholdAge05,"&lt;"&amp;O10,WeightedMinAge05),MAX(CapacityAge05*АбонементНовых*O10,MeanMinAge05)))</f>
        <v/>
      </c>
      <c r="P79" s="5">
        <f>IF(OR(('03_Сеть'!P27-P25)=0,5&lt;=КаникулыРоялти),0,('03_Сеть'!P27-P25)*IF(РоялтиПоГруппам="Да",MeanMinAge05+P10*SUMIF(ThresholdAge05,"&lt;"&amp;P10,WeightedRevAge05)-SUMIF(ThresholdAge05,"&lt;"&amp;P10,WeightedMinAge05),MAX(CapacityAge05*АбонементНовых*P10,MeanMinAge05)))</f>
        <v/>
      </c>
      <c r="Q79" s="5">
        <f>IF(OR(('03_Сеть'!Q27-Q25)=0,5&lt;=КаникулыРоялти),0,('03_Сеть'!Q27-Q25)*IF(РоялтиПоГруппам="Да",MeanMinAge05+Q10*SUMIF(ThresholdAge05,"&lt;"&amp;Q10,WeightedRevAge05)-SUMIF(ThresholdAge05,"&lt;"&amp;Q10,WeightedMinAge05),MAX(CapacityAge05*АбонементНовых*Q10,MeanMinAge05)))</f>
        <v/>
      </c>
      <c r="R79" s="5">
        <f>IF(OR(('03_Сеть'!R27-R25)=0,5&lt;=КаникулыРоялти),0,('03_Сеть'!R27-R25)*IF(РоялтиПоГруппам="Да",MeanMinAge05+R10*SUMIF(ThresholdAge05,"&lt;"&amp;R10,WeightedRevAge05)-SUMIF(ThresholdAge05,"&lt;"&amp;R10,WeightedMinAge05),MAX(CapacityAge05*АбонементНовых*R10,MeanMinAge05)))</f>
        <v/>
      </c>
      <c r="S79" s="5">
        <f>IF(OR(('03_Сеть'!S27-S25)=0,5&lt;=КаникулыРоялти),0,('03_Сеть'!S27-S25)*IF(РоялтиПоГруппам="Да",MeanMinAge05+S10*SUMIF(ThresholdAge05,"&lt;"&amp;S10,WeightedRevAge05)-SUMIF(ThresholdAge05,"&lt;"&amp;S10,WeightedMinAge05),MAX(CapacityAge05*АбонементНовых*S10,MeanMinAge05)))</f>
        <v/>
      </c>
      <c r="T79" s="5">
        <f>IF(OR(('03_Сеть'!T27-T25)=0,5&lt;=КаникулыРоялти),0,('03_Сеть'!T27-T25)*IF(РоялтиПоГруппам="Да",MeanMinAge05+T10*SUMIF(ThresholdAge05,"&lt;"&amp;T10,WeightedRevAge05)-SUMIF(ThresholdAge05,"&lt;"&amp;T10,WeightedMinAge05),MAX(CapacityAge05*АбонементНовых*T10,MeanMinAge05)))</f>
        <v/>
      </c>
      <c r="U79" s="5">
        <f>IF(OR(('03_Сеть'!U27-U25)=0,5&lt;=КаникулыРоялти),0,('03_Сеть'!U27-U25)*IF(РоялтиПоГруппам="Да",MeanMinAge05+U10*SUMIF(ThresholdAge05,"&lt;"&amp;U10,WeightedRevAge05)-SUMIF(ThresholdAge05,"&lt;"&amp;U10,WeightedMinAge05),MAX(CapacityAge05*АбонементНовых*U10,MeanMinAge05)))</f>
        <v/>
      </c>
      <c r="V79" s="5">
        <f>IF(OR(('03_Сеть'!V27-V25)=0,5&lt;=КаникулыРоялти),0,('03_Сеть'!V27-V25)*IF(РоялтиПоГруппам="Да",MeanMinAge05+V10*SUMIF(ThresholdAge05,"&lt;"&amp;V10,WeightedRevAge05)-SUMIF(ThresholdAge05,"&lt;"&amp;V10,WeightedMinAge05),MAX(CapacityAge05*АбонементНовых*V10,MeanMinAge05)))</f>
        <v/>
      </c>
      <c r="W79" s="5">
        <f>IF(OR(('03_Сеть'!W27-W25)=0,5&lt;=КаникулыРоялти),0,('03_Сеть'!W27-W25)*IF(РоялтиПоГруппам="Да",MeanMinAge05+W10*SUMIF(ThresholdAge05,"&lt;"&amp;W10,WeightedRevAge05)-SUMIF(ThresholdAge05,"&lt;"&amp;W10,WeightedMinAge05),MAX(CapacityAge05*АбонементНовых*W10,MeanMinAge05)))</f>
        <v/>
      </c>
      <c r="X79" s="5">
        <f>IF(OR(('03_Сеть'!X27-X25)=0,5&lt;=КаникулыРоялти),0,('03_Сеть'!X27-X25)*IF(РоялтиПоГруппам="Да",MeanMinAge05+X10*SUMIF(ThresholdAge05,"&lt;"&amp;X10,WeightedRevAge05)-SUMIF(ThresholdAge05,"&lt;"&amp;X10,WeightedMinAge05),MAX(CapacityAge05*АбонементНовых*X10,MeanMinAge05)))</f>
        <v/>
      </c>
      <c r="Y79" s="5">
        <f>IF(OR(('03_Сеть'!Y27-Y25)=0,5&lt;=КаникулыРоялти),0,('03_Сеть'!Y27-Y25)*IF(РоялтиПоГруппам="Да",MeanMinAge05+Y10*SUMIF(ThresholdAge05,"&lt;"&amp;Y10,WeightedRevAge05)-SUMIF(ThresholdAge05,"&lt;"&amp;Y10,WeightedMinAge05),MAX(CapacityAge05*АбонементНовых*Y10,MeanMinAge05)))</f>
        <v/>
      </c>
      <c r="Z79" s="5">
        <f>IF(OR(('03_Сеть'!Z27-Z25)=0,5&lt;=КаникулыРоялти),0,('03_Сеть'!Z27-Z25)*IF(РоялтиПоГруппам="Да",MeanMinAge05+Z10*SUMIF(ThresholdAge05,"&lt;"&amp;Z10,WeightedRevAge05)-SUMIF(ThresholdAge05,"&lt;"&amp;Z10,WeightedMinAge05),MAX(CapacityAge05*АбонементНовых*Z10,MeanMinAge05)))</f>
        <v/>
      </c>
      <c r="AA79" s="5">
        <f>IF(OR(('03_Сеть'!AA27-AA25)=0,5&lt;=КаникулыРоялти),0,('03_Сеть'!AA27-AA25)*IF(РоялтиПоГруппам="Да",MeanMinAge05+AA10*SUMIF(ThresholdAge05,"&lt;"&amp;AA10,WeightedRevAge05)-SUMIF(ThresholdAge05,"&lt;"&amp;AA10,WeightedMinAge05),MAX(CapacityAge05*АбонементНовых*AA10,MeanMinAge05)))</f>
        <v/>
      </c>
      <c r="AB79" s="5">
        <f>IF(OR(('03_Сеть'!AB27-AB25)=0,5&lt;=КаникулыРоялти),0,('03_Сеть'!AB27-AB25)*IF(РоялтиПоГруппам="Да",MeanMinAge05+AB10*SUMIF(ThresholdAge05,"&lt;"&amp;AB10,WeightedRevAge05)-SUMIF(ThresholdAge05,"&lt;"&amp;AB10,WeightedMinAge05),MAX(CapacityAge05*АбонементНовых*AB10,MeanMinAge05)))</f>
        <v/>
      </c>
      <c r="AC79" s="5">
        <f>IF(OR(('03_Сеть'!AC27-AC25)=0,5&lt;=КаникулыРоялти),0,('03_Сеть'!AC27-AC25)*IF(РоялтиПоГруппам="Да",MeanMinAge05+AC10*SUMIF(ThresholdAge05,"&lt;"&amp;AC10,WeightedRevAge05)-SUMIF(ThresholdAge05,"&lt;"&amp;AC10,WeightedMinAge05),MAX(CapacityAge05*АбонементНовых*AC10,MeanMinAge05)))</f>
        <v/>
      </c>
      <c r="AD79" s="5">
        <f>IF(OR(('03_Сеть'!AD27-AD25)=0,5&lt;=КаникулыРоялти),0,('03_Сеть'!AD27-AD25)*IF(РоялтиПоГруппам="Да",MeanMinAge05+AD10*SUMIF(ThresholdAge05,"&lt;"&amp;AD10,WeightedRevAge05)-SUMIF(ThresholdAge05,"&lt;"&amp;AD10,WeightedMinAge05),MAX(CapacityAge05*АбонементНовых*AD10,MeanMinAge05)))</f>
        <v/>
      </c>
      <c r="AE79" s="5">
        <f>IF(OR(('03_Сеть'!AE27-AE25)=0,5&lt;=КаникулыРоялти),0,('03_Сеть'!AE27-AE25)*IF(РоялтиПоГруппам="Да",MeanMinAge05+AE10*SUMIF(ThresholdAge05,"&lt;"&amp;AE10,WeightedRevAge05)-SUMIF(ThresholdAge05,"&lt;"&amp;AE10,WeightedMinAge05),MAX(CapacityAge05*АбонементНовых*AE10,MeanMinAge05)))</f>
        <v/>
      </c>
      <c r="AF79" s="5">
        <f>IF(OR(('03_Сеть'!AF27-AF25)=0,5&lt;=КаникулыРоялти),0,('03_Сеть'!AF27-AF25)*IF(РоялтиПоГруппам="Да",MeanMinAge05+AF10*SUMIF(ThresholdAge05,"&lt;"&amp;AF10,WeightedRevAge05)-SUMIF(ThresholdAge05,"&lt;"&amp;AF10,WeightedMinAge05),MAX(CapacityAge05*АбонементНовых*AF10,MeanMinAge05)))</f>
        <v/>
      </c>
      <c r="AG79" s="5">
        <f>IF(OR(('03_Сеть'!AG27-AG25)=0,5&lt;=КаникулыРоялти),0,('03_Сеть'!AG27-AG25)*IF(РоялтиПоГруппам="Да",MeanMinAge05+AG10*SUMIF(ThresholdAge05,"&lt;"&amp;AG10,WeightedRevAge05)-SUMIF(ThresholdAge05,"&lt;"&amp;AG10,WeightedMinAge05),MAX(CapacityAge05*АбонементНовых*AG10,MeanMinAge05)))</f>
        <v/>
      </c>
      <c r="AH79" s="5">
        <f>IF(OR(('03_Сеть'!AH27-AH25)=0,5&lt;=КаникулыРоялти),0,('03_Сеть'!AH27-AH25)*IF(РоялтиПоГруппам="Да",MeanMinAge05+AH10*SUMIF(ThresholdAge05,"&lt;"&amp;AH10,WeightedRevAge05)-SUMIF(ThresholdAge05,"&lt;"&amp;AH10,WeightedMinAge05),MAX(CapacityAge05*АбонементНовых*AH10,MeanMinAge05)))</f>
        <v/>
      </c>
      <c r="AI79" s="5">
        <f>IF(OR(('03_Сеть'!AI27-AI25)=0,5&lt;=КаникулыРоялти),0,('03_Сеть'!AI27-AI25)*IF(РоялтиПоГруппам="Да",MeanMinAge05+AI10*SUMIF(ThresholdAge05,"&lt;"&amp;AI10,WeightedRevAge05)-SUMIF(ThresholdAge05,"&lt;"&amp;AI10,WeightedMinAge05),MAX(CapacityAge05*АбонементНовых*AI10,MeanMinAge05)))</f>
        <v/>
      </c>
      <c r="AJ79" s="5">
        <f>IF(OR(('03_Сеть'!AJ27-AJ25)=0,5&lt;=КаникулыРоялти),0,('03_Сеть'!AJ27-AJ25)*IF(РоялтиПоГруппам="Да",MeanMinAge05+AJ10*SUMIF(ThresholdAge05,"&lt;"&amp;AJ10,WeightedRevAge05)-SUMIF(ThresholdAge05,"&lt;"&amp;AJ10,WeightedMinAge05),MAX(CapacityAge05*АбонементНовых*AJ10,MeanMinAge05)))</f>
        <v/>
      </c>
      <c r="AK79" s="5">
        <f>IF(OR(('03_Сеть'!AK27-AK25)=0,5&lt;=КаникулыРоялти),0,('03_Сеть'!AK27-AK25)*IF(РоялтиПоГруппам="Да",MeanMinAge05+AK10*SUMIF(ThresholdAge05,"&lt;"&amp;AK10,WeightedRevAge05)-SUMIF(ThresholdAge05,"&lt;"&amp;AK10,WeightedMinAge05),MAX(CapacityAge05*АбонементНовых*AK10,MeanMinAge05)))</f>
        <v/>
      </c>
      <c r="AL79" s="5">
        <f>IF(OR(('03_Сеть'!AL27-AL25)=0,5&lt;=КаникулыРоялти),0,('03_Сеть'!AL27-AL25)*IF(РоялтиПоГруппам="Да",MeanMinAge05+AL10*SUMIF(ThresholdAge05,"&lt;"&amp;AL10,WeightedRevAge05)-SUMIF(ThresholdAge05,"&lt;"&amp;AL10,WeightedMinAge05),MAX(CapacityAge05*АбонементНовых*AL10,MeanMinAge05)))</f>
        <v/>
      </c>
      <c r="AM79" s="5">
        <f>IF(OR(('03_Сеть'!AM27-AM25)=0,5&lt;=КаникулыРоялти),0,('03_Сеть'!AM27-AM25)*IF(РоялтиПоГруппам="Да",MeanMinAge05+AM10*SUMIF(ThresholdAge05,"&lt;"&amp;AM10,WeightedRevAge05)-SUMIF(ThresholdAge05,"&lt;"&amp;AM10,WeightedMinAge05),MAX(CapacityAge05*АбонементНовых*AM10,MeanMinAge05)))</f>
        <v/>
      </c>
      <c r="AN79" s="5">
        <f>IF(OR(('03_Сеть'!AN27-AN25)=0,5&lt;=КаникулыРоялти),0,('03_Сеть'!AN27-AN25)*IF(РоялтиПоГруппам="Да",MeanMinAge05+AN10*SUMIF(ThresholdAge05,"&lt;"&amp;AN10,WeightedRevAge05)-SUMIF(ThresholdAge05,"&lt;"&amp;AN10,WeightedMinAge05),MAX(CapacityAge05*АбонементНовых*AN10,MeanMinAge05)))</f>
        <v/>
      </c>
      <c r="AO79" s="5">
        <f>IF(OR(('03_Сеть'!AO27-AO25)=0,5&lt;=КаникулыРоялти),0,('03_Сеть'!AO27-AO25)*IF(РоялтиПоГруппам="Да",MeanMinAge05+AO10*SUMIF(ThresholdAge05,"&lt;"&amp;AO10,WeightedRevAge05)-SUMIF(ThresholdAge05,"&lt;"&amp;AO10,WeightedMinAge05),MAX(CapacityAge05*АбонементНовых*AO10,MeanMinAge05)))</f>
        <v/>
      </c>
      <c r="AP79" s="5">
        <f>IF(OR(('03_Сеть'!AP27-AP25)=0,5&lt;=КаникулыРоялти),0,('03_Сеть'!AP27-AP25)*IF(РоялтиПоГруппам="Да",MeanMinAge05+AP10*SUMIF(ThresholdAge05,"&lt;"&amp;AP10,WeightedRevAge05)-SUMIF(ThresholdAge05,"&lt;"&amp;AP10,WeightedMinAge05),MAX(CapacityAge05*АбонементНовых*AP10,MeanMinAge05)))</f>
        <v/>
      </c>
      <c r="AQ79" s="5">
        <f>IF(OR(('03_Сеть'!AQ27-AQ25)=0,5&lt;=КаникулыРоялти),0,('03_Сеть'!AQ27-AQ25)*IF(РоялтиПоГруппам="Да",MeanMinAge05+AQ10*SUMIF(ThresholdAge05,"&lt;"&amp;AQ10,WeightedRevAge05)-SUMIF(ThresholdAge05,"&lt;"&amp;AQ10,WeightedMinAge05),MAX(CapacityAge05*АбонементНовых*AQ10,MeanMinAge05)))</f>
        <v/>
      </c>
      <c r="AR79" s="5">
        <f>IF(OR(('03_Сеть'!AR27-AR25)=0,5&lt;=КаникулыРоялти),0,('03_Сеть'!AR27-AR25)*IF(РоялтиПоГруппам="Да",MeanMinAge05+AR10*SUMIF(ThresholdAge05,"&lt;"&amp;AR10,WeightedRevAge05)-SUMIF(ThresholdAge05,"&lt;"&amp;AR10,WeightedMinAge05),MAX(CapacityAge05*АбонементНовых*AR10,MeanMinAge05)))</f>
        <v/>
      </c>
      <c r="AS79" s="5">
        <f>IF(OR(('03_Сеть'!AS27-AS25)=0,5&lt;=КаникулыРоялти),0,('03_Сеть'!AS27-AS25)*IF(РоялтиПоГруппам="Да",MeanMinAge05+AS10*SUMIF(ThresholdAge05,"&lt;"&amp;AS10,WeightedRevAge05)-SUMIF(ThresholdAge05,"&lt;"&amp;AS10,WeightedMinAge05),MAX(CapacityAge05*АбонементНовых*AS10,MeanMinAge05)))</f>
        <v/>
      </c>
      <c r="AT79" s="5">
        <f>IF(OR(('03_Сеть'!AT27-AT25)=0,5&lt;=КаникулыРоялти),0,('03_Сеть'!AT27-AT25)*IF(РоялтиПоГруппам="Да",MeanMinAge05+AT10*SUMIF(ThresholdAge05,"&lt;"&amp;AT10,WeightedRevAge05)-SUMIF(ThresholdAge05,"&lt;"&amp;AT10,WeightedMinAge05),MAX(CapacityAge05*АбонементНовых*AT10,MeanMinAge05)))</f>
        <v/>
      </c>
      <c r="AU79" s="5">
        <f>IF(OR(('03_Сеть'!AU27-AU25)=0,5&lt;=КаникулыРоялти),0,('03_Сеть'!AU27-AU25)*IF(РоялтиПоГруппам="Да",MeanMinAge05+AU10*SUMIF(ThresholdAge05,"&lt;"&amp;AU10,WeightedRevAge05)-SUMIF(ThresholdAge05,"&lt;"&amp;AU10,WeightedMinAge05),MAX(CapacityAge05*АбонементНовых*AU10,MeanMinAge05)))</f>
        <v/>
      </c>
      <c r="AV79" s="5">
        <f>IF(OR(('03_Сеть'!AV27-AV25)=0,5&lt;=КаникулыРоялти),0,('03_Сеть'!AV27-AV25)*IF(РоялтиПоГруппам="Да",MeanMinAge05+AV10*SUMIF(ThresholdAge05,"&lt;"&amp;AV10,WeightedRevAge05)-SUMIF(ThresholdAge05,"&lt;"&amp;AV10,WeightedMinAge05),MAX(CapacityAge05*АбонементНовых*AV10,MeanMinAge05)))</f>
        <v/>
      </c>
      <c r="AW79" s="5">
        <f>IF(OR(('03_Сеть'!AW27-AW25)=0,5&lt;=КаникулыРоялти),0,('03_Сеть'!AW27-AW25)*IF(РоялтиПоГруппам="Да",MeanMinAge05+AW10*SUMIF(ThresholdAge05,"&lt;"&amp;AW10,WeightedRevAge05)-SUMIF(ThresholdAge05,"&lt;"&amp;AW10,WeightedMinAge05),MAX(CapacityAge05*АбонементНовых*AW10,MeanMinAge05)))</f>
        <v/>
      </c>
      <c r="AX79" s="5">
        <f>IF(OR(('03_Сеть'!AX27-AX25)=0,5&lt;=КаникулыРоялти),0,('03_Сеть'!AX27-AX25)*IF(РоялтиПоГруппам="Да",MeanMinAge05+AX10*SUMIF(ThresholdAge05,"&lt;"&amp;AX10,WeightedRevAge05)-SUMIF(ThresholdAge05,"&lt;"&amp;AX10,WeightedMinAge05),MAX(CapacityAge05*АбонементНовых*AX10,MeanMinAge05)))</f>
        <v/>
      </c>
      <c r="AY79" s="5">
        <f>IF(OR(('03_Сеть'!AY27-AY25)=0,5&lt;=КаникулыРоялти),0,('03_Сеть'!AY27-AY25)*IF(РоялтиПоГруппам="Да",MeanMinAge05+AY10*SUMIF(ThresholdAge05,"&lt;"&amp;AY10,WeightedRevAge05)-SUMIF(ThresholdAge05,"&lt;"&amp;AY10,WeightedMinAge05),MAX(CapacityAge05*АбонементНовых*AY10,MeanMinAge05)))</f>
        <v/>
      </c>
      <c r="AZ79" s="5">
        <f>IF(OR(('03_Сеть'!AZ27-AZ25)=0,5&lt;=КаникулыРоялти),0,('03_Сеть'!AZ27-AZ25)*IF(РоялтиПоГруппам="Да",MeanMinAge05+AZ10*SUMIF(ThresholdAge05,"&lt;"&amp;AZ10,WeightedRevAge05)-SUMIF(ThresholdAge05,"&lt;"&amp;AZ10,WeightedMinAge05),MAX(CapacityAge05*АбонементНовых*AZ10,MeanMinAge05)))</f>
        <v/>
      </c>
      <c r="BA79" s="5">
        <f>IF(OR(('03_Сеть'!BA27-BA25)=0,5&lt;=КаникулыРоялти),0,('03_Сеть'!BA27-BA25)*IF(РоялтиПоГруппам="Да",MeanMinAge05+BA10*SUMIF(ThresholdAge05,"&lt;"&amp;BA10,WeightedRevAge05)-SUMIF(ThresholdAge05,"&lt;"&amp;BA10,WeightedMinAge05),MAX(CapacityAge05*АбонементНовых*BA10,MeanMinAge05)))</f>
        <v/>
      </c>
      <c r="BB79" s="5">
        <f>IF(OR(('03_Сеть'!BB27-BB25)=0,5&lt;=КаникулыРоялти),0,('03_Сеть'!BB27-BB25)*IF(РоялтиПоГруппам="Да",MeanMinAge05+BB10*SUMIF(ThresholdAge05,"&lt;"&amp;BB10,WeightedRevAge05)-SUMIF(ThresholdAge05,"&lt;"&amp;BB10,WeightedMinAge05),MAX(CapacityAge05*АбонементНовых*BB10,MeanMinAge05)))</f>
        <v/>
      </c>
      <c r="BC79" s="5">
        <f>IF(OR(('03_Сеть'!BC27-BC25)=0,5&lt;=КаникулыРоялти),0,('03_Сеть'!BC27-BC25)*IF(РоялтиПоГруппам="Да",MeanMinAge05+BC10*SUMIF(ThresholdAge05,"&lt;"&amp;BC10,WeightedRevAge05)-SUMIF(ThresholdAge05,"&lt;"&amp;BC10,WeightedMinAge05),MAX(CapacityAge05*АбонементНовых*BC10,MeanMinAge05)))</f>
        <v/>
      </c>
      <c r="BD79" s="5">
        <f>IF(OR(('03_Сеть'!BD27-BD25)=0,5&lt;=КаникулыРоялти),0,('03_Сеть'!BD27-BD25)*IF(РоялтиПоГруппам="Да",MeanMinAge05+BD10*SUMIF(ThresholdAge05,"&lt;"&amp;BD10,WeightedRevAge05)-SUMIF(ThresholdAge05,"&lt;"&amp;BD10,WeightedMinAge05),MAX(CapacityAge05*АбонементНовых*BD10,MeanMinAge05)))</f>
        <v/>
      </c>
      <c r="BE79" s="5">
        <f>IF(OR(('03_Сеть'!BE27-BE25)=0,5&lt;=КаникулыРоялти),0,('03_Сеть'!BE27-BE25)*IF(РоялтиПоГруппам="Да",MeanMinAge05+BE10*SUMIF(ThresholdAge05,"&lt;"&amp;BE10,WeightedRevAge05)-SUMIF(ThresholdAge05,"&lt;"&amp;BE10,WeightedMinAge05),MAX(CapacityAge05*АбонементНовых*BE10,MeanMinAge05)))</f>
        <v/>
      </c>
      <c r="BF79" s="5">
        <f>IF(OR(('03_Сеть'!BF27-BF25)=0,5&lt;=КаникулыРоялти),0,('03_Сеть'!BF27-BF25)*IF(РоялтиПоГруппам="Да",MeanMinAge05+BF10*SUMIF(ThresholdAge05,"&lt;"&amp;BF10,WeightedRevAge05)-SUMIF(ThresholdAge05,"&lt;"&amp;BF10,WeightedMinAge05),MAX(CapacityAge05*АбонементНовых*BF10,MeanMinAge05)))</f>
        <v/>
      </c>
      <c r="BG79" s="5">
        <f>IF(OR(('03_Сеть'!BG27-BG25)=0,5&lt;=КаникулыРоялти),0,('03_Сеть'!BG27-BG25)*IF(РоялтиПоГруппам="Да",MeanMinAge05+BG10*SUMIF(ThresholdAge05,"&lt;"&amp;BG10,WeightedRevAge05)-SUMIF(ThresholdAge05,"&lt;"&amp;BG10,WeightedMinAge05),MAX(CapacityAge05*АбонементНовых*BG10,MeanMinAge05)))</f>
        <v/>
      </c>
      <c r="BH79" s="5">
        <f>IF(OR(('03_Сеть'!BH27-BH25)=0,5&lt;=КаникулыРоялти),0,('03_Сеть'!BH27-BH25)*IF(РоялтиПоГруппам="Да",MeanMinAge05+BH10*SUMIF(ThresholdAge05,"&lt;"&amp;BH10,WeightedRevAge05)-SUMIF(ThresholdAge05,"&lt;"&amp;BH10,WeightedMinAge05),MAX(CapacityAge05*АбонементНовых*BH10,MeanMinAge05)))</f>
        <v/>
      </c>
      <c r="BI79" s="5">
        <f>IF(OR(('03_Сеть'!BI27-BI25)=0,5&lt;=КаникулыРоялти),0,('03_Сеть'!BI27-BI25)*IF(РоялтиПоГруппам="Да",MeanMinAge05+BI10*SUMIF(ThresholdAge05,"&lt;"&amp;BI10,WeightedRevAge05)-SUMIF(ThresholdAge05,"&lt;"&amp;BI10,WeightedMinAge05),MAX(CapacityAge05*АбонементНовых*BI10,MeanMinAge05)))</f>
        <v/>
      </c>
      <c r="BJ79" s="5">
        <f>IF(OR(('03_Сеть'!BJ27-BJ25)=0,5&lt;=КаникулыРоялти),0,('03_Сеть'!BJ27-BJ25)*IF(РоялтиПоГруппам="Да",MeanMinAge05+BJ10*SUMIF(ThresholdAge05,"&lt;"&amp;BJ10,WeightedRevAge05)-SUMIF(ThresholdAge05,"&lt;"&amp;BJ10,WeightedMinAge05),MAX(CapacityAge05*АбонементНовых*BJ10,MeanMinAge05)))</f>
        <v/>
      </c>
      <c r="BK79" s="5">
        <f>IF(OR(('03_Сеть'!BK27-BK25)=0,5&lt;=КаникулыРоялти),0,('03_Сеть'!BK27-BK25)*IF(РоялтиПоГруппам="Да",MeanMinAge05+BK10*SUMIF(ThresholdAge05,"&lt;"&amp;BK10,WeightedRevAge05)-SUMIF(ThresholdAge05,"&lt;"&amp;BK10,WeightedMinAge05),MAX(CapacityAge05*АбонементНовых*BK10,MeanMinAge05)))</f>
        <v/>
      </c>
      <c r="BL79" s="5">
        <f>IF(OR(('03_Сеть'!BL27-BL25)=0,5&lt;=КаникулыРоялти),0,('03_Сеть'!BL27-BL25)*IF(РоялтиПоГруппам="Да",MeanMinAge05+BL10*SUMIF(ThresholdAge05,"&lt;"&amp;BL10,WeightedRevAge05)-SUMIF(ThresholdAge05,"&lt;"&amp;BL10,WeightedMinAge05),MAX(CapacityAge05*АбонементНовых*BL10,MeanMinAge05)))</f>
        <v/>
      </c>
      <c r="BM79" s="5">
        <f>IF(OR(('03_Сеть'!BM27-BM25)=0,5&lt;=КаникулыРоялти),0,('03_Сеть'!BM27-BM25)*IF(РоялтиПоГруппам="Да",MeanMinAge05+BM10*SUMIF(ThresholdAge05,"&lt;"&amp;BM10,WeightedRevAge05)-SUMIF(ThresholdAge05,"&lt;"&amp;BM10,WeightedMinAge05),MAX(CapacityAge05*АбонементНовых*BM10,MeanMinAge05)))</f>
        <v/>
      </c>
      <c r="BN79" s="5">
        <f>IF(OR(('03_Сеть'!BN27-BN25)=0,5&lt;=КаникулыРоялти),0,('03_Сеть'!BN27-BN25)*IF(РоялтиПоГруппам="Да",MeanMinAge05+BN10*SUMIF(ThresholdAge05,"&lt;"&amp;BN10,WeightedRevAge05)-SUMIF(ThresholdAge05,"&lt;"&amp;BN10,WeightedMinAge05),MAX(CapacityAge05*АбонементНовых*BN10,MeanMinAge05)))</f>
        <v/>
      </c>
      <c r="BO79" s="5">
        <f>IF(OR(('03_Сеть'!BO27-BO25)=0,5&lt;=КаникулыРоялти),0,('03_Сеть'!BO27-BO25)*IF(РоялтиПоГруппам="Да",MeanMinAge05+BO10*SUMIF(ThresholdAge05,"&lt;"&amp;BO10,WeightedRevAge05)-SUMIF(ThresholdAge05,"&lt;"&amp;BO10,WeightedMinAge05),MAX(CapacityAge05*АбонементНовых*BO10,MeanMinAge05)))</f>
        <v/>
      </c>
      <c r="BP79" s="5">
        <f>IF(OR(('03_Сеть'!BP27-BP25)=0,5&lt;=КаникулыРоялти),0,('03_Сеть'!BP27-BP25)*IF(РоялтиПоГруппам="Да",MeanMinAge05+BP10*SUMIF(ThresholdAge05,"&lt;"&amp;BP10,WeightedRevAge05)-SUMIF(ThresholdAge05,"&lt;"&amp;BP10,WeightedMinAge05),MAX(CapacityAge05*АбонементНовых*BP10,MeanMinAge05)))</f>
        <v/>
      </c>
      <c r="BQ79" s="5">
        <f>IF(OR(('03_Сеть'!BQ27-BQ25)=0,5&lt;=КаникулыРоялти),0,('03_Сеть'!BQ27-BQ25)*IF(РоялтиПоГруппам="Да",MeanMinAge05+BQ10*SUMIF(ThresholdAge05,"&lt;"&amp;BQ10,WeightedRevAge05)-SUMIF(ThresholdAge05,"&lt;"&amp;BQ10,WeightedMinAge05),MAX(CapacityAge05*АбонементНовых*BQ10,MeanMinAge05)))</f>
        <v/>
      </c>
      <c r="BR79" s="5">
        <f>IF(OR(('03_Сеть'!BR27-BR25)=0,5&lt;=КаникулыРоялти),0,('03_Сеть'!BR27-BR25)*IF(РоялтиПоГруппам="Да",MeanMinAge05+BR10*SUMIF(ThresholdAge05,"&lt;"&amp;BR10,WeightedRevAge05)-SUMIF(ThresholdAge05,"&lt;"&amp;BR10,WeightedMinAge05),MAX(CapacityAge05*АбонементНовых*BR10,MeanMinAge05)))</f>
        <v/>
      </c>
      <c r="BS79" s="5">
        <f>IF(OR(('03_Сеть'!BS27-BS25)=0,5&lt;=КаникулыРоялти),0,('03_Сеть'!BS27-BS25)*IF(РоялтиПоГруппам="Да",MeanMinAge05+BS10*SUMIF(ThresholdAge05,"&lt;"&amp;BS10,WeightedRevAge05)-SUMIF(ThresholdAge05,"&lt;"&amp;BS10,WeightedMinAge05),MAX(CapacityAge05*АбонементНовых*BS10,MeanMinAge05)))</f>
        <v/>
      </c>
      <c r="BT79" s="5">
        <f>IF(OR(('03_Сеть'!BT27-BT25)=0,5&lt;=КаникулыРоялти),0,('03_Сеть'!BT27-BT25)*IF(РоялтиПоГруппам="Да",MeanMinAge05+BT10*SUMIF(ThresholdAge05,"&lt;"&amp;BT10,WeightedRevAge05)-SUMIF(ThresholdAge05,"&lt;"&amp;BT10,WeightedMinAge05),MAX(CapacityAge05*АбонементНовых*BT10,MeanMinAge05)))</f>
        <v/>
      </c>
      <c r="BU79" s="5">
        <f>IF(OR(('03_Сеть'!BU27-BU25)=0,5&lt;=КаникулыРоялти),0,('03_Сеть'!BU27-BU25)*IF(РоялтиПоГруппам="Да",MeanMinAge05+BU10*SUMIF(ThresholdAge05,"&lt;"&amp;BU10,WeightedRevAge05)-SUMIF(ThresholdAge05,"&lt;"&amp;BU10,WeightedMinAge05),MAX(CapacityAge05*АбонементНовых*BU10,MeanMinAge05)))</f>
        <v/>
      </c>
      <c r="BV79" s="5">
        <f>IF(OR(('03_Сеть'!BV27-BV25)=0,5&lt;=КаникулыРоялти),0,('03_Сеть'!BV27-BV25)*IF(РоялтиПоГруппам="Да",MeanMinAge05+BV10*SUMIF(ThresholdAge05,"&lt;"&amp;BV10,WeightedRevAge05)-SUMIF(ThresholdAge05,"&lt;"&amp;BV10,WeightedMinAge05),MAX(CapacityAge05*АбонементНовых*BV10,MeanMinAge05)))</f>
        <v/>
      </c>
      <c r="BW79" s="5">
        <f>IF(OR(('03_Сеть'!BW27-BW25)=0,5&lt;=КаникулыРоялти),0,('03_Сеть'!BW27-BW25)*IF(РоялтиПоГруппам="Да",MeanMinAge05+BW10*SUMIF(ThresholdAge05,"&lt;"&amp;BW10,WeightedRevAge05)-SUMIF(ThresholdAge05,"&lt;"&amp;BW10,WeightedMinAge05),MAX(CapacityAge05*АбонементНовых*BW10,MeanMinAge05)))</f>
        <v/>
      </c>
      <c r="BX79" s="5">
        <f>IF(OR(('03_Сеть'!BX27-BX25)=0,5&lt;=КаникулыРоялти),0,('03_Сеть'!BX27-BX25)*IF(РоялтиПоГруппам="Да",MeanMinAge05+BX10*SUMIF(ThresholdAge05,"&lt;"&amp;BX10,WeightedRevAge05)-SUMIF(ThresholdAge05,"&lt;"&amp;BX10,WeightedMinAge05),MAX(CapacityAge05*АбонементНовых*BX10,MeanMinAge05)))</f>
        <v/>
      </c>
      <c r="BY79" s="5">
        <f>IF(OR(('03_Сеть'!BY27-BY25)=0,5&lt;=КаникулыРоялти),0,('03_Сеть'!BY27-BY25)*IF(РоялтиПоГруппам="Да",MeanMinAge05+BY10*SUMIF(ThresholdAge05,"&lt;"&amp;BY10,WeightedRevAge05)-SUMIF(ThresholdAge05,"&lt;"&amp;BY10,WeightedMinAge05),MAX(CapacityAge05*АбонементНовых*BY10,MeanMinAge05)))</f>
        <v/>
      </c>
    </row>
    <row r="80">
      <c r="B80" t="inlineStr">
        <is>
          <t>6 мес.</t>
        </is>
      </c>
      <c r="C80" t="inlineStr">
        <is>
          <t>₽</t>
        </is>
      </c>
      <c r="D80" s="127" t="inlineStr"/>
      <c r="E80" s="129">
        <f>SUM(L80:W80)</f>
        <v/>
      </c>
      <c r="F80" s="129">
        <f>SUM(X80:AI80)</f>
        <v/>
      </c>
      <c r="G80" s="129">
        <f>SUM(AJ80:AU80)</f>
        <v/>
      </c>
      <c r="H80" s="129">
        <f>SUM(AV80:BG80)</f>
        <v/>
      </c>
      <c r="I80" s="129">
        <f>SUM(BH80:BS80)</f>
        <v/>
      </c>
      <c r="J80" s="6">
        <f>SUM(L80:BS80)</f>
        <v/>
      </c>
      <c r="L80" s="5">
        <f>IF(OR(('03_Сеть'!L28-L26)=0,6&lt;=КаникулыРоялти),0,('03_Сеть'!L28-L26)*IF(РоялтиПоГруппам="Да",MeanMinAge06+L10*SUMIF(ThresholdAge06,"&lt;"&amp;L10,WeightedRevAge06)-SUMIF(ThresholdAge06,"&lt;"&amp;L10,WeightedMinAge06),MAX(CapacityAge06*АбонементНовых*L10,MeanMinAge06)))</f>
        <v/>
      </c>
      <c r="M80" s="5">
        <f>IF(OR(('03_Сеть'!M28-M26)=0,6&lt;=КаникулыРоялти),0,('03_Сеть'!M28-M26)*IF(РоялтиПоГруппам="Да",MeanMinAge06+M10*SUMIF(ThresholdAge06,"&lt;"&amp;M10,WeightedRevAge06)-SUMIF(ThresholdAge06,"&lt;"&amp;M10,WeightedMinAge06),MAX(CapacityAge06*АбонементНовых*M10,MeanMinAge06)))</f>
        <v/>
      </c>
      <c r="N80" s="5">
        <f>IF(OR(('03_Сеть'!N28-N26)=0,6&lt;=КаникулыРоялти),0,('03_Сеть'!N28-N26)*IF(РоялтиПоГруппам="Да",MeanMinAge06+N10*SUMIF(ThresholdAge06,"&lt;"&amp;N10,WeightedRevAge06)-SUMIF(ThresholdAge06,"&lt;"&amp;N10,WeightedMinAge06),MAX(CapacityAge06*АбонементНовых*N10,MeanMinAge06)))</f>
        <v/>
      </c>
      <c r="O80" s="5">
        <f>IF(OR(('03_Сеть'!O28-O26)=0,6&lt;=КаникулыРоялти),0,('03_Сеть'!O28-O26)*IF(РоялтиПоГруппам="Да",MeanMinAge06+O10*SUMIF(ThresholdAge06,"&lt;"&amp;O10,WeightedRevAge06)-SUMIF(ThresholdAge06,"&lt;"&amp;O10,WeightedMinAge06),MAX(CapacityAge06*АбонементНовых*O10,MeanMinAge06)))</f>
        <v/>
      </c>
      <c r="P80" s="5">
        <f>IF(OR(('03_Сеть'!P28-P26)=0,6&lt;=КаникулыРоялти),0,('03_Сеть'!P28-P26)*IF(РоялтиПоГруппам="Да",MeanMinAge06+P10*SUMIF(ThresholdAge06,"&lt;"&amp;P10,WeightedRevAge06)-SUMIF(ThresholdAge06,"&lt;"&amp;P10,WeightedMinAge06),MAX(CapacityAge06*АбонементНовых*P10,MeanMinAge06)))</f>
        <v/>
      </c>
      <c r="Q80" s="5">
        <f>IF(OR(('03_Сеть'!Q28-Q26)=0,6&lt;=КаникулыРоялти),0,('03_Сеть'!Q28-Q26)*IF(РоялтиПоГруппам="Да",MeanMinAge06+Q10*SUMIF(ThresholdAge06,"&lt;"&amp;Q10,WeightedRevAge06)-SUMIF(ThresholdAge06,"&lt;"&amp;Q10,WeightedMinAge06),MAX(CapacityAge06*АбонементНовых*Q10,MeanMinAge06)))</f>
        <v/>
      </c>
      <c r="R80" s="5">
        <f>IF(OR(('03_Сеть'!R28-R26)=0,6&lt;=КаникулыРоялти),0,('03_Сеть'!R28-R26)*IF(РоялтиПоГруппам="Да",MeanMinAge06+R10*SUMIF(ThresholdAge06,"&lt;"&amp;R10,WeightedRevAge06)-SUMIF(ThresholdAge06,"&lt;"&amp;R10,WeightedMinAge06),MAX(CapacityAge06*АбонементНовых*R10,MeanMinAge06)))</f>
        <v/>
      </c>
      <c r="S80" s="5">
        <f>IF(OR(('03_Сеть'!S28-S26)=0,6&lt;=КаникулыРоялти),0,('03_Сеть'!S28-S26)*IF(РоялтиПоГруппам="Да",MeanMinAge06+S10*SUMIF(ThresholdAge06,"&lt;"&amp;S10,WeightedRevAge06)-SUMIF(ThresholdAge06,"&lt;"&amp;S10,WeightedMinAge06),MAX(CapacityAge06*АбонементНовых*S10,MeanMinAge06)))</f>
        <v/>
      </c>
      <c r="T80" s="5">
        <f>IF(OR(('03_Сеть'!T28-T26)=0,6&lt;=КаникулыРоялти),0,('03_Сеть'!T28-T26)*IF(РоялтиПоГруппам="Да",MeanMinAge06+T10*SUMIF(ThresholdAge06,"&lt;"&amp;T10,WeightedRevAge06)-SUMIF(ThresholdAge06,"&lt;"&amp;T10,WeightedMinAge06),MAX(CapacityAge06*АбонементНовых*T10,MeanMinAge06)))</f>
        <v/>
      </c>
      <c r="U80" s="5">
        <f>IF(OR(('03_Сеть'!U28-U26)=0,6&lt;=КаникулыРоялти),0,('03_Сеть'!U28-U26)*IF(РоялтиПоГруппам="Да",MeanMinAge06+U10*SUMIF(ThresholdAge06,"&lt;"&amp;U10,WeightedRevAge06)-SUMIF(ThresholdAge06,"&lt;"&amp;U10,WeightedMinAge06),MAX(CapacityAge06*АбонементНовых*U10,MeanMinAge06)))</f>
        <v/>
      </c>
      <c r="V80" s="5">
        <f>IF(OR(('03_Сеть'!V28-V26)=0,6&lt;=КаникулыРоялти),0,('03_Сеть'!V28-V26)*IF(РоялтиПоГруппам="Да",MeanMinAge06+V10*SUMIF(ThresholdAge06,"&lt;"&amp;V10,WeightedRevAge06)-SUMIF(ThresholdAge06,"&lt;"&amp;V10,WeightedMinAge06),MAX(CapacityAge06*АбонементНовых*V10,MeanMinAge06)))</f>
        <v/>
      </c>
      <c r="W80" s="5">
        <f>IF(OR(('03_Сеть'!W28-W26)=0,6&lt;=КаникулыРоялти),0,('03_Сеть'!W28-W26)*IF(РоялтиПоГруппам="Да",MeanMinAge06+W10*SUMIF(ThresholdAge06,"&lt;"&amp;W10,WeightedRevAge06)-SUMIF(ThresholdAge06,"&lt;"&amp;W10,WeightedMinAge06),MAX(CapacityAge06*АбонементНовых*W10,MeanMinAge06)))</f>
        <v/>
      </c>
      <c r="X80" s="5">
        <f>IF(OR(('03_Сеть'!X28-X26)=0,6&lt;=КаникулыРоялти),0,('03_Сеть'!X28-X26)*IF(РоялтиПоГруппам="Да",MeanMinAge06+X10*SUMIF(ThresholdAge06,"&lt;"&amp;X10,WeightedRevAge06)-SUMIF(ThresholdAge06,"&lt;"&amp;X10,WeightedMinAge06),MAX(CapacityAge06*АбонементНовых*X10,MeanMinAge06)))</f>
        <v/>
      </c>
      <c r="Y80" s="5">
        <f>IF(OR(('03_Сеть'!Y28-Y26)=0,6&lt;=КаникулыРоялти),0,('03_Сеть'!Y28-Y26)*IF(РоялтиПоГруппам="Да",MeanMinAge06+Y10*SUMIF(ThresholdAge06,"&lt;"&amp;Y10,WeightedRevAge06)-SUMIF(ThresholdAge06,"&lt;"&amp;Y10,WeightedMinAge06),MAX(CapacityAge06*АбонементНовых*Y10,MeanMinAge06)))</f>
        <v/>
      </c>
      <c r="Z80" s="5">
        <f>IF(OR(('03_Сеть'!Z28-Z26)=0,6&lt;=КаникулыРоялти),0,('03_Сеть'!Z28-Z26)*IF(РоялтиПоГруппам="Да",MeanMinAge06+Z10*SUMIF(ThresholdAge06,"&lt;"&amp;Z10,WeightedRevAge06)-SUMIF(ThresholdAge06,"&lt;"&amp;Z10,WeightedMinAge06),MAX(CapacityAge06*АбонементНовых*Z10,MeanMinAge06)))</f>
        <v/>
      </c>
      <c r="AA80" s="5">
        <f>IF(OR(('03_Сеть'!AA28-AA26)=0,6&lt;=КаникулыРоялти),0,('03_Сеть'!AA28-AA26)*IF(РоялтиПоГруппам="Да",MeanMinAge06+AA10*SUMIF(ThresholdAge06,"&lt;"&amp;AA10,WeightedRevAge06)-SUMIF(ThresholdAge06,"&lt;"&amp;AA10,WeightedMinAge06),MAX(CapacityAge06*АбонементНовых*AA10,MeanMinAge06)))</f>
        <v/>
      </c>
      <c r="AB80" s="5">
        <f>IF(OR(('03_Сеть'!AB28-AB26)=0,6&lt;=КаникулыРоялти),0,('03_Сеть'!AB28-AB26)*IF(РоялтиПоГруппам="Да",MeanMinAge06+AB10*SUMIF(ThresholdAge06,"&lt;"&amp;AB10,WeightedRevAge06)-SUMIF(ThresholdAge06,"&lt;"&amp;AB10,WeightedMinAge06),MAX(CapacityAge06*АбонементНовых*AB10,MeanMinAge06)))</f>
        <v/>
      </c>
      <c r="AC80" s="5">
        <f>IF(OR(('03_Сеть'!AC28-AC26)=0,6&lt;=КаникулыРоялти),0,('03_Сеть'!AC28-AC26)*IF(РоялтиПоГруппам="Да",MeanMinAge06+AC10*SUMIF(ThresholdAge06,"&lt;"&amp;AC10,WeightedRevAge06)-SUMIF(ThresholdAge06,"&lt;"&amp;AC10,WeightedMinAge06),MAX(CapacityAge06*АбонементНовых*AC10,MeanMinAge06)))</f>
        <v/>
      </c>
      <c r="AD80" s="5">
        <f>IF(OR(('03_Сеть'!AD28-AD26)=0,6&lt;=КаникулыРоялти),0,('03_Сеть'!AD28-AD26)*IF(РоялтиПоГруппам="Да",MeanMinAge06+AD10*SUMIF(ThresholdAge06,"&lt;"&amp;AD10,WeightedRevAge06)-SUMIF(ThresholdAge06,"&lt;"&amp;AD10,WeightedMinAge06),MAX(CapacityAge06*АбонементНовых*AD10,MeanMinAge06)))</f>
        <v/>
      </c>
      <c r="AE80" s="5">
        <f>IF(OR(('03_Сеть'!AE28-AE26)=0,6&lt;=КаникулыРоялти),0,('03_Сеть'!AE28-AE26)*IF(РоялтиПоГруппам="Да",MeanMinAge06+AE10*SUMIF(ThresholdAge06,"&lt;"&amp;AE10,WeightedRevAge06)-SUMIF(ThresholdAge06,"&lt;"&amp;AE10,WeightedMinAge06),MAX(CapacityAge06*АбонементНовых*AE10,MeanMinAge06)))</f>
        <v/>
      </c>
      <c r="AF80" s="5">
        <f>IF(OR(('03_Сеть'!AF28-AF26)=0,6&lt;=КаникулыРоялти),0,('03_Сеть'!AF28-AF26)*IF(РоялтиПоГруппам="Да",MeanMinAge06+AF10*SUMIF(ThresholdAge06,"&lt;"&amp;AF10,WeightedRevAge06)-SUMIF(ThresholdAge06,"&lt;"&amp;AF10,WeightedMinAge06),MAX(CapacityAge06*АбонементНовых*AF10,MeanMinAge06)))</f>
        <v/>
      </c>
      <c r="AG80" s="5">
        <f>IF(OR(('03_Сеть'!AG28-AG26)=0,6&lt;=КаникулыРоялти),0,('03_Сеть'!AG28-AG26)*IF(РоялтиПоГруппам="Да",MeanMinAge06+AG10*SUMIF(ThresholdAge06,"&lt;"&amp;AG10,WeightedRevAge06)-SUMIF(ThresholdAge06,"&lt;"&amp;AG10,WeightedMinAge06),MAX(CapacityAge06*АбонементНовых*AG10,MeanMinAge06)))</f>
        <v/>
      </c>
      <c r="AH80" s="5">
        <f>IF(OR(('03_Сеть'!AH28-AH26)=0,6&lt;=КаникулыРоялти),0,('03_Сеть'!AH28-AH26)*IF(РоялтиПоГруппам="Да",MeanMinAge06+AH10*SUMIF(ThresholdAge06,"&lt;"&amp;AH10,WeightedRevAge06)-SUMIF(ThresholdAge06,"&lt;"&amp;AH10,WeightedMinAge06),MAX(CapacityAge06*АбонементНовых*AH10,MeanMinAge06)))</f>
        <v/>
      </c>
      <c r="AI80" s="5">
        <f>IF(OR(('03_Сеть'!AI28-AI26)=0,6&lt;=КаникулыРоялти),0,('03_Сеть'!AI28-AI26)*IF(РоялтиПоГруппам="Да",MeanMinAge06+AI10*SUMIF(ThresholdAge06,"&lt;"&amp;AI10,WeightedRevAge06)-SUMIF(ThresholdAge06,"&lt;"&amp;AI10,WeightedMinAge06),MAX(CapacityAge06*АбонементНовых*AI10,MeanMinAge06)))</f>
        <v/>
      </c>
      <c r="AJ80" s="5">
        <f>IF(OR(('03_Сеть'!AJ28-AJ26)=0,6&lt;=КаникулыРоялти),0,('03_Сеть'!AJ28-AJ26)*IF(РоялтиПоГруппам="Да",MeanMinAge06+AJ10*SUMIF(ThresholdAge06,"&lt;"&amp;AJ10,WeightedRevAge06)-SUMIF(ThresholdAge06,"&lt;"&amp;AJ10,WeightedMinAge06),MAX(CapacityAge06*АбонементНовых*AJ10,MeanMinAge06)))</f>
        <v/>
      </c>
      <c r="AK80" s="5">
        <f>IF(OR(('03_Сеть'!AK28-AK26)=0,6&lt;=КаникулыРоялти),0,('03_Сеть'!AK28-AK26)*IF(РоялтиПоГруппам="Да",MeanMinAge06+AK10*SUMIF(ThresholdAge06,"&lt;"&amp;AK10,WeightedRevAge06)-SUMIF(ThresholdAge06,"&lt;"&amp;AK10,WeightedMinAge06),MAX(CapacityAge06*АбонементНовых*AK10,MeanMinAge06)))</f>
        <v/>
      </c>
      <c r="AL80" s="5">
        <f>IF(OR(('03_Сеть'!AL28-AL26)=0,6&lt;=КаникулыРоялти),0,('03_Сеть'!AL28-AL26)*IF(РоялтиПоГруппам="Да",MeanMinAge06+AL10*SUMIF(ThresholdAge06,"&lt;"&amp;AL10,WeightedRevAge06)-SUMIF(ThresholdAge06,"&lt;"&amp;AL10,WeightedMinAge06),MAX(CapacityAge06*АбонементНовых*AL10,MeanMinAge06)))</f>
        <v/>
      </c>
      <c r="AM80" s="5">
        <f>IF(OR(('03_Сеть'!AM28-AM26)=0,6&lt;=КаникулыРоялти),0,('03_Сеть'!AM28-AM26)*IF(РоялтиПоГруппам="Да",MeanMinAge06+AM10*SUMIF(ThresholdAge06,"&lt;"&amp;AM10,WeightedRevAge06)-SUMIF(ThresholdAge06,"&lt;"&amp;AM10,WeightedMinAge06),MAX(CapacityAge06*АбонементНовых*AM10,MeanMinAge06)))</f>
        <v/>
      </c>
      <c r="AN80" s="5">
        <f>IF(OR(('03_Сеть'!AN28-AN26)=0,6&lt;=КаникулыРоялти),0,('03_Сеть'!AN28-AN26)*IF(РоялтиПоГруппам="Да",MeanMinAge06+AN10*SUMIF(ThresholdAge06,"&lt;"&amp;AN10,WeightedRevAge06)-SUMIF(ThresholdAge06,"&lt;"&amp;AN10,WeightedMinAge06),MAX(CapacityAge06*АбонементНовых*AN10,MeanMinAge06)))</f>
        <v/>
      </c>
      <c r="AO80" s="5">
        <f>IF(OR(('03_Сеть'!AO28-AO26)=0,6&lt;=КаникулыРоялти),0,('03_Сеть'!AO28-AO26)*IF(РоялтиПоГруппам="Да",MeanMinAge06+AO10*SUMIF(ThresholdAge06,"&lt;"&amp;AO10,WeightedRevAge06)-SUMIF(ThresholdAge06,"&lt;"&amp;AO10,WeightedMinAge06),MAX(CapacityAge06*АбонементНовых*AO10,MeanMinAge06)))</f>
        <v/>
      </c>
      <c r="AP80" s="5">
        <f>IF(OR(('03_Сеть'!AP28-AP26)=0,6&lt;=КаникулыРоялти),0,('03_Сеть'!AP28-AP26)*IF(РоялтиПоГруппам="Да",MeanMinAge06+AP10*SUMIF(ThresholdAge06,"&lt;"&amp;AP10,WeightedRevAge06)-SUMIF(ThresholdAge06,"&lt;"&amp;AP10,WeightedMinAge06),MAX(CapacityAge06*АбонементНовых*AP10,MeanMinAge06)))</f>
        <v/>
      </c>
      <c r="AQ80" s="5">
        <f>IF(OR(('03_Сеть'!AQ28-AQ26)=0,6&lt;=КаникулыРоялти),0,('03_Сеть'!AQ28-AQ26)*IF(РоялтиПоГруппам="Да",MeanMinAge06+AQ10*SUMIF(ThresholdAge06,"&lt;"&amp;AQ10,WeightedRevAge06)-SUMIF(ThresholdAge06,"&lt;"&amp;AQ10,WeightedMinAge06),MAX(CapacityAge06*АбонементНовых*AQ10,MeanMinAge06)))</f>
        <v/>
      </c>
      <c r="AR80" s="5">
        <f>IF(OR(('03_Сеть'!AR28-AR26)=0,6&lt;=КаникулыРоялти),0,('03_Сеть'!AR28-AR26)*IF(РоялтиПоГруппам="Да",MeanMinAge06+AR10*SUMIF(ThresholdAge06,"&lt;"&amp;AR10,WeightedRevAge06)-SUMIF(ThresholdAge06,"&lt;"&amp;AR10,WeightedMinAge06),MAX(CapacityAge06*АбонементНовых*AR10,MeanMinAge06)))</f>
        <v/>
      </c>
      <c r="AS80" s="5">
        <f>IF(OR(('03_Сеть'!AS28-AS26)=0,6&lt;=КаникулыРоялти),0,('03_Сеть'!AS28-AS26)*IF(РоялтиПоГруппам="Да",MeanMinAge06+AS10*SUMIF(ThresholdAge06,"&lt;"&amp;AS10,WeightedRevAge06)-SUMIF(ThresholdAge06,"&lt;"&amp;AS10,WeightedMinAge06),MAX(CapacityAge06*АбонементНовых*AS10,MeanMinAge06)))</f>
        <v/>
      </c>
      <c r="AT80" s="5">
        <f>IF(OR(('03_Сеть'!AT28-AT26)=0,6&lt;=КаникулыРоялти),0,('03_Сеть'!AT28-AT26)*IF(РоялтиПоГруппам="Да",MeanMinAge06+AT10*SUMIF(ThresholdAge06,"&lt;"&amp;AT10,WeightedRevAge06)-SUMIF(ThresholdAge06,"&lt;"&amp;AT10,WeightedMinAge06),MAX(CapacityAge06*АбонементНовых*AT10,MeanMinAge06)))</f>
        <v/>
      </c>
      <c r="AU80" s="5">
        <f>IF(OR(('03_Сеть'!AU28-AU26)=0,6&lt;=КаникулыРоялти),0,('03_Сеть'!AU28-AU26)*IF(РоялтиПоГруппам="Да",MeanMinAge06+AU10*SUMIF(ThresholdAge06,"&lt;"&amp;AU10,WeightedRevAge06)-SUMIF(ThresholdAge06,"&lt;"&amp;AU10,WeightedMinAge06),MAX(CapacityAge06*АбонементНовых*AU10,MeanMinAge06)))</f>
        <v/>
      </c>
      <c r="AV80" s="5">
        <f>IF(OR(('03_Сеть'!AV28-AV26)=0,6&lt;=КаникулыРоялти),0,('03_Сеть'!AV28-AV26)*IF(РоялтиПоГруппам="Да",MeanMinAge06+AV10*SUMIF(ThresholdAge06,"&lt;"&amp;AV10,WeightedRevAge06)-SUMIF(ThresholdAge06,"&lt;"&amp;AV10,WeightedMinAge06),MAX(CapacityAge06*АбонементНовых*AV10,MeanMinAge06)))</f>
        <v/>
      </c>
      <c r="AW80" s="5">
        <f>IF(OR(('03_Сеть'!AW28-AW26)=0,6&lt;=КаникулыРоялти),0,('03_Сеть'!AW28-AW26)*IF(РоялтиПоГруппам="Да",MeanMinAge06+AW10*SUMIF(ThresholdAge06,"&lt;"&amp;AW10,WeightedRevAge06)-SUMIF(ThresholdAge06,"&lt;"&amp;AW10,WeightedMinAge06),MAX(CapacityAge06*АбонементНовых*AW10,MeanMinAge06)))</f>
        <v/>
      </c>
      <c r="AX80" s="5">
        <f>IF(OR(('03_Сеть'!AX28-AX26)=0,6&lt;=КаникулыРоялти),0,('03_Сеть'!AX28-AX26)*IF(РоялтиПоГруппам="Да",MeanMinAge06+AX10*SUMIF(ThresholdAge06,"&lt;"&amp;AX10,WeightedRevAge06)-SUMIF(ThresholdAge06,"&lt;"&amp;AX10,WeightedMinAge06),MAX(CapacityAge06*АбонементНовых*AX10,MeanMinAge06)))</f>
        <v/>
      </c>
      <c r="AY80" s="5">
        <f>IF(OR(('03_Сеть'!AY28-AY26)=0,6&lt;=КаникулыРоялти),0,('03_Сеть'!AY28-AY26)*IF(РоялтиПоГруппам="Да",MeanMinAge06+AY10*SUMIF(ThresholdAge06,"&lt;"&amp;AY10,WeightedRevAge06)-SUMIF(ThresholdAge06,"&lt;"&amp;AY10,WeightedMinAge06),MAX(CapacityAge06*АбонементНовых*AY10,MeanMinAge06)))</f>
        <v/>
      </c>
      <c r="AZ80" s="5">
        <f>IF(OR(('03_Сеть'!AZ28-AZ26)=0,6&lt;=КаникулыРоялти),0,('03_Сеть'!AZ28-AZ26)*IF(РоялтиПоГруппам="Да",MeanMinAge06+AZ10*SUMIF(ThresholdAge06,"&lt;"&amp;AZ10,WeightedRevAge06)-SUMIF(ThresholdAge06,"&lt;"&amp;AZ10,WeightedMinAge06),MAX(CapacityAge06*АбонементНовых*AZ10,MeanMinAge06)))</f>
        <v/>
      </c>
      <c r="BA80" s="5">
        <f>IF(OR(('03_Сеть'!BA28-BA26)=0,6&lt;=КаникулыРоялти),0,('03_Сеть'!BA28-BA26)*IF(РоялтиПоГруппам="Да",MeanMinAge06+BA10*SUMIF(ThresholdAge06,"&lt;"&amp;BA10,WeightedRevAge06)-SUMIF(ThresholdAge06,"&lt;"&amp;BA10,WeightedMinAge06),MAX(CapacityAge06*АбонементНовых*BA10,MeanMinAge06)))</f>
        <v/>
      </c>
      <c r="BB80" s="5">
        <f>IF(OR(('03_Сеть'!BB28-BB26)=0,6&lt;=КаникулыРоялти),0,('03_Сеть'!BB28-BB26)*IF(РоялтиПоГруппам="Да",MeanMinAge06+BB10*SUMIF(ThresholdAge06,"&lt;"&amp;BB10,WeightedRevAge06)-SUMIF(ThresholdAge06,"&lt;"&amp;BB10,WeightedMinAge06),MAX(CapacityAge06*АбонементНовых*BB10,MeanMinAge06)))</f>
        <v/>
      </c>
      <c r="BC80" s="5">
        <f>IF(OR(('03_Сеть'!BC28-BC26)=0,6&lt;=КаникулыРоялти),0,('03_Сеть'!BC28-BC26)*IF(РоялтиПоГруппам="Да",MeanMinAge06+BC10*SUMIF(ThresholdAge06,"&lt;"&amp;BC10,WeightedRevAge06)-SUMIF(ThresholdAge06,"&lt;"&amp;BC10,WeightedMinAge06),MAX(CapacityAge06*АбонементНовых*BC10,MeanMinAge06)))</f>
        <v/>
      </c>
      <c r="BD80" s="5">
        <f>IF(OR(('03_Сеть'!BD28-BD26)=0,6&lt;=КаникулыРоялти),0,('03_Сеть'!BD28-BD26)*IF(РоялтиПоГруппам="Да",MeanMinAge06+BD10*SUMIF(ThresholdAge06,"&lt;"&amp;BD10,WeightedRevAge06)-SUMIF(ThresholdAge06,"&lt;"&amp;BD10,WeightedMinAge06),MAX(CapacityAge06*АбонементНовых*BD10,MeanMinAge06)))</f>
        <v/>
      </c>
      <c r="BE80" s="5">
        <f>IF(OR(('03_Сеть'!BE28-BE26)=0,6&lt;=КаникулыРоялти),0,('03_Сеть'!BE28-BE26)*IF(РоялтиПоГруппам="Да",MeanMinAge06+BE10*SUMIF(ThresholdAge06,"&lt;"&amp;BE10,WeightedRevAge06)-SUMIF(ThresholdAge06,"&lt;"&amp;BE10,WeightedMinAge06),MAX(CapacityAge06*АбонементНовых*BE10,MeanMinAge06)))</f>
        <v/>
      </c>
      <c r="BF80" s="5">
        <f>IF(OR(('03_Сеть'!BF28-BF26)=0,6&lt;=КаникулыРоялти),0,('03_Сеть'!BF28-BF26)*IF(РоялтиПоГруппам="Да",MeanMinAge06+BF10*SUMIF(ThresholdAge06,"&lt;"&amp;BF10,WeightedRevAge06)-SUMIF(ThresholdAge06,"&lt;"&amp;BF10,WeightedMinAge06),MAX(CapacityAge06*АбонементНовых*BF10,MeanMinAge06)))</f>
        <v/>
      </c>
      <c r="BG80" s="5">
        <f>IF(OR(('03_Сеть'!BG28-BG26)=0,6&lt;=КаникулыРоялти),0,('03_Сеть'!BG28-BG26)*IF(РоялтиПоГруппам="Да",MeanMinAge06+BG10*SUMIF(ThresholdAge06,"&lt;"&amp;BG10,WeightedRevAge06)-SUMIF(ThresholdAge06,"&lt;"&amp;BG10,WeightedMinAge06),MAX(CapacityAge06*АбонементНовых*BG10,MeanMinAge06)))</f>
        <v/>
      </c>
      <c r="BH80" s="5">
        <f>IF(OR(('03_Сеть'!BH28-BH26)=0,6&lt;=КаникулыРоялти),0,('03_Сеть'!BH28-BH26)*IF(РоялтиПоГруппам="Да",MeanMinAge06+BH10*SUMIF(ThresholdAge06,"&lt;"&amp;BH10,WeightedRevAge06)-SUMIF(ThresholdAge06,"&lt;"&amp;BH10,WeightedMinAge06),MAX(CapacityAge06*АбонементНовых*BH10,MeanMinAge06)))</f>
        <v/>
      </c>
      <c r="BI80" s="5">
        <f>IF(OR(('03_Сеть'!BI28-BI26)=0,6&lt;=КаникулыРоялти),0,('03_Сеть'!BI28-BI26)*IF(РоялтиПоГруппам="Да",MeanMinAge06+BI10*SUMIF(ThresholdAge06,"&lt;"&amp;BI10,WeightedRevAge06)-SUMIF(ThresholdAge06,"&lt;"&amp;BI10,WeightedMinAge06),MAX(CapacityAge06*АбонементНовых*BI10,MeanMinAge06)))</f>
        <v/>
      </c>
      <c r="BJ80" s="5">
        <f>IF(OR(('03_Сеть'!BJ28-BJ26)=0,6&lt;=КаникулыРоялти),0,('03_Сеть'!BJ28-BJ26)*IF(РоялтиПоГруппам="Да",MeanMinAge06+BJ10*SUMIF(ThresholdAge06,"&lt;"&amp;BJ10,WeightedRevAge06)-SUMIF(ThresholdAge06,"&lt;"&amp;BJ10,WeightedMinAge06),MAX(CapacityAge06*АбонементНовых*BJ10,MeanMinAge06)))</f>
        <v/>
      </c>
      <c r="BK80" s="5">
        <f>IF(OR(('03_Сеть'!BK28-BK26)=0,6&lt;=КаникулыРоялти),0,('03_Сеть'!BK28-BK26)*IF(РоялтиПоГруппам="Да",MeanMinAge06+BK10*SUMIF(ThresholdAge06,"&lt;"&amp;BK10,WeightedRevAge06)-SUMIF(ThresholdAge06,"&lt;"&amp;BK10,WeightedMinAge06),MAX(CapacityAge06*АбонементНовых*BK10,MeanMinAge06)))</f>
        <v/>
      </c>
      <c r="BL80" s="5">
        <f>IF(OR(('03_Сеть'!BL28-BL26)=0,6&lt;=КаникулыРоялти),0,('03_Сеть'!BL28-BL26)*IF(РоялтиПоГруппам="Да",MeanMinAge06+BL10*SUMIF(ThresholdAge06,"&lt;"&amp;BL10,WeightedRevAge06)-SUMIF(ThresholdAge06,"&lt;"&amp;BL10,WeightedMinAge06),MAX(CapacityAge06*АбонементНовых*BL10,MeanMinAge06)))</f>
        <v/>
      </c>
      <c r="BM80" s="5">
        <f>IF(OR(('03_Сеть'!BM28-BM26)=0,6&lt;=КаникулыРоялти),0,('03_Сеть'!BM28-BM26)*IF(РоялтиПоГруппам="Да",MeanMinAge06+BM10*SUMIF(ThresholdAge06,"&lt;"&amp;BM10,WeightedRevAge06)-SUMIF(ThresholdAge06,"&lt;"&amp;BM10,WeightedMinAge06),MAX(CapacityAge06*АбонементНовых*BM10,MeanMinAge06)))</f>
        <v/>
      </c>
      <c r="BN80" s="5">
        <f>IF(OR(('03_Сеть'!BN28-BN26)=0,6&lt;=КаникулыРоялти),0,('03_Сеть'!BN28-BN26)*IF(РоялтиПоГруппам="Да",MeanMinAge06+BN10*SUMIF(ThresholdAge06,"&lt;"&amp;BN10,WeightedRevAge06)-SUMIF(ThresholdAge06,"&lt;"&amp;BN10,WeightedMinAge06),MAX(CapacityAge06*АбонементНовых*BN10,MeanMinAge06)))</f>
        <v/>
      </c>
      <c r="BO80" s="5">
        <f>IF(OR(('03_Сеть'!BO28-BO26)=0,6&lt;=КаникулыРоялти),0,('03_Сеть'!BO28-BO26)*IF(РоялтиПоГруппам="Да",MeanMinAge06+BO10*SUMIF(ThresholdAge06,"&lt;"&amp;BO10,WeightedRevAge06)-SUMIF(ThresholdAge06,"&lt;"&amp;BO10,WeightedMinAge06),MAX(CapacityAge06*АбонементНовых*BO10,MeanMinAge06)))</f>
        <v/>
      </c>
      <c r="BP80" s="5">
        <f>IF(OR(('03_Сеть'!BP28-BP26)=0,6&lt;=КаникулыРоялти),0,('03_Сеть'!BP28-BP26)*IF(РоялтиПоГруппам="Да",MeanMinAge06+BP10*SUMIF(ThresholdAge06,"&lt;"&amp;BP10,WeightedRevAge06)-SUMIF(ThresholdAge06,"&lt;"&amp;BP10,WeightedMinAge06),MAX(CapacityAge06*АбонементНовых*BP10,MeanMinAge06)))</f>
        <v/>
      </c>
      <c r="BQ80" s="5">
        <f>IF(OR(('03_Сеть'!BQ28-BQ26)=0,6&lt;=КаникулыРоялти),0,('03_Сеть'!BQ28-BQ26)*IF(РоялтиПоГруппам="Да",MeanMinAge06+BQ10*SUMIF(ThresholdAge06,"&lt;"&amp;BQ10,WeightedRevAge06)-SUMIF(ThresholdAge06,"&lt;"&amp;BQ10,WeightedMinAge06),MAX(CapacityAge06*АбонементНовых*BQ10,MeanMinAge06)))</f>
        <v/>
      </c>
      <c r="BR80" s="5">
        <f>IF(OR(('03_Сеть'!BR28-BR26)=0,6&lt;=КаникулыРоялти),0,('03_Сеть'!BR28-BR26)*IF(РоялтиПоГруппам="Да",MeanMinAge06+BR10*SUMIF(ThresholdAge06,"&lt;"&amp;BR10,WeightedRevAge06)-SUMIF(ThresholdAge06,"&lt;"&amp;BR10,WeightedMinAge06),MAX(CapacityAge06*АбонементНовых*BR10,MeanMinAge06)))</f>
        <v/>
      </c>
      <c r="BS80" s="5">
        <f>IF(OR(('03_Сеть'!BS28-BS26)=0,6&lt;=КаникулыРоялти),0,('03_Сеть'!BS28-BS26)*IF(РоялтиПоГруппам="Да",MeanMinAge06+BS10*SUMIF(ThresholdAge06,"&lt;"&amp;BS10,WeightedRevAge06)-SUMIF(ThresholdAge06,"&lt;"&amp;BS10,WeightedMinAge06),MAX(CapacityAge06*АбонементНовых*BS10,MeanMinAge06)))</f>
        <v/>
      </c>
      <c r="BT80" s="5">
        <f>IF(OR(('03_Сеть'!BT28-BT26)=0,6&lt;=КаникулыРоялти),0,('03_Сеть'!BT28-BT26)*IF(РоялтиПоГруппам="Да",MeanMinAge06+BT10*SUMIF(ThresholdAge06,"&lt;"&amp;BT10,WeightedRevAge06)-SUMIF(ThresholdAge06,"&lt;"&amp;BT10,WeightedMinAge06),MAX(CapacityAge06*АбонементНовых*BT10,MeanMinAge06)))</f>
        <v/>
      </c>
      <c r="BU80" s="5">
        <f>IF(OR(('03_Сеть'!BU28-BU26)=0,6&lt;=КаникулыРоялти),0,('03_Сеть'!BU28-BU26)*IF(РоялтиПоГруппам="Да",MeanMinAge06+BU10*SUMIF(ThresholdAge06,"&lt;"&amp;BU10,WeightedRevAge06)-SUMIF(ThresholdAge06,"&lt;"&amp;BU10,WeightedMinAge06),MAX(CapacityAge06*АбонементНовых*BU10,MeanMinAge06)))</f>
        <v/>
      </c>
      <c r="BV80" s="5">
        <f>IF(OR(('03_Сеть'!BV28-BV26)=0,6&lt;=КаникулыРоялти),0,('03_Сеть'!BV28-BV26)*IF(РоялтиПоГруппам="Да",MeanMinAge06+BV10*SUMIF(ThresholdAge06,"&lt;"&amp;BV10,WeightedRevAge06)-SUMIF(ThresholdAge06,"&lt;"&amp;BV10,WeightedMinAge06),MAX(CapacityAge06*АбонементНовых*BV10,MeanMinAge06)))</f>
        <v/>
      </c>
      <c r="BW80" s="5">
        <f>IF(OR(('03_Сеть'!BW28-BW26)=0,6&lt;=КаникулыРоялти),0,('03_Сеть'!BW28-BW26)*IF(РоялтиПоГруппам="Да",MeanMinAge06+BW10*SUMIF(ThresholdAge06,"&lt;"&amp;BW10,WeightedRevAge06)-SUMIF(ThresholdAge06,"&lt;"&amp;BW10,WeightedMinAge06),MAX(CapacityAge06*АбонементНовых*BW10,MeanMinAge06)))</f>
        <v/>
      </c>
      <c r="BX80" s="5">
        <f>IF(OR(('03_Сеть'!BX28-BX26)=0,6&lt;=КаникулыРоялти),0,('03_Сеть'!BX28-BX26)*IF(РоялтиПоГруппам="Да",MeanMinAge06+BX10*SUMIF(ThresholdAge06,"&lt;"&amp;BX10,WeightedRevAge06)-SUMIF(ThresholdAge06,"&lt;"&amp;BX10,WeightedMinAge06),MAX(CapacityAge06*АбонементНовых*BX10,MeanMinAge06)))</f>
        <v/>
      </c>
      <c r="BY80" s="5">
        <f>IF(OR(('03_Сеть'!BY28-BY26)=0,6&lt;=КаникулыРоялти),0,('03_Сеть'!BY28-BY26)*IF(РоялтиПоГруппам="Да",MeanMinAge06+BY10*SUMIF(ThresholdAge06,"&lt;"&amp;BY10,WeightedRevAge06)-SUMIF(ThresholdAge06,"&lt;"&amp;BY10,WeightedMinAge06),MAX(CapacityAge06*АбонементНовых*BY10,MeanMinAge06)))</f>
        <v/>
      </c>
    </row>
    <row r="81">
      <c r="B81" t="inlineStr">
        <is>
          <t>7 мес.</t>
        </is>
      </c>
      <c r="C81" t="inlineStr">
        <is>
          <t>₽</t>
        </is>
      </c>
      <c r="D81" s="127" t="inlineStr"/>
      <c r="E81" s="129">
        <f>SUM(L81:W81)</f>
        <v/>
      </c>
      <c r="F81" s="129">
        <f>SUM(X81:AI81)</f>
        <v/>
      </c>
      <c r="G81" s="129">
        <f>SUM(AJ81:AU81)</f>
        <v/>
      </c>
      <c r="H81" s="129">
        <f>SUM(AV81:BG81)</f>
        <v/>
      </c>
      <c r="I81" s="129">
        <f>SUM(BH81:BS81)</f>
        <v/>
      </c>
      <c r="J81" s="6">
        <f>SUM(L81:BS81)</f>
        <v/>
      </c>
      <c r="L81" s="5">
        <f>IF(OR(('03_Сеть'!L29-L27)=0,7&lt;=КаникулыРоялти),0,('03_Сеть'!L29-L27)*IF(РоялтиПоГруппам="Да",MeanMinAge07+L10*SUMIF(ThresholdAge07,"&lt;"&amp;L10,WeightedRevAge07)-SUMIF(ThresholdAge07,"&lt;"&amp;L10,WeightedMinAge07),MAX(CapacityAge07*АбонементНовых*L10,MeanMinAge07)))</f>
        <v/>
      </c>
      <c r="M81" s="5">
        <f>IF(OR(('03_Сеть'!M29-M27)=0,7&lt;=КаникулыРоялти),0,('03_Сеть'!M29-M27)*IF(РоялтиПоГруппам="Да",MeanMinAge07+M10*SUMIF(ThresholdAge07,"&lt;"&amp;M10,WeightedRevAge07)-SUMIF(ThresholdAge07,"&lt;"&amp;M10,WeightedMinAge07),MAX(CapacityAge07*АбонементНовых*M10,MeanMinAge07)))</f>
        <v/>
      </c>
      <c r="N81" s="5">
        <f>IF(OR(('03_Сеть'!N29-N27)=0,7&lt;=КаникулыРоялти),0,('03_Сеть'!N29-N27)*IF(РоялтиПоГруппам="Да",MeanMinAge07+N10*SUMIF(ThresholdAge07,"&lt;"&amp;N10,WeightedRevAge07)-SUMIF(ThresholdAge07,"&lt;"&amp;N10,WeightedMinAge07),MAX(CapacityAge07*АбонементНовых*N10,MeanMinAge07)))</f>
        <v/>
      </c>
      <c r="O81" s="5">
        <f>IF(OR(('03_Сеть'!O29-O27)=0,7&lt;=КаникулыРоялти),0,('03_Сеть'!O29-O27)*IF(РоялтиПоГруппам="Да",MeanMinAge07+O10*SUMIF(ThresholdAge07,"&lt;"&amp;O10,WeightedRevAge07)-SUMIF(ThresholdAge07,"&lt;"&amp;O10,WeightedMinAge07),MAX(CapacityAge07*АбонементНовых*O10,MeanMinAge07)))</f>
        <v/>
      </c>
      <c r="P81" s="5">
        <f>IF(OR(('03_Сеть'!P29-P27)=0,7&lt;=КаникулыРоялти),0,('03_Сеть'!P29-P27)*IF(РоялтиПоГруппам="Да",MeanMinAge07+P10*SUMIF(ThresholdAge07,"&lt;"&amp;P10,WeightedRevAge07)-SUMIF(ThresholdAge07,"&lt;"&amp;P10,WeightedMinAge07),MAX(CapacityAge07*АбонементНовых*P10,MeanMinAge07)))</f>
        <v/>
      </c>
      <c r="Q81" s="5">
        <f>IF(OR(('03_Сеть'!Q29-Q27)=0,7&lt;=КаникулыРоялти),0,('03_Сеть'!Q29-Q27)*IF(РоялтиПоГруппам="Да",MeanMinAge07+Q10*SUMIF(ThresholdAge07,"&lt;"&amp;Q10,WeightedRevAge07)-SUMIF(ThresholdAge07,"&lt;"&amp;Q10,WeightedMinAge07),MAX(CapacityAge07*АбонементНовых*Q10,MeanMinAge07)))</f>
        <v/>
      </c>
      <c r="R81" s="5">
        <f>IF(OR(('03_Сеть'!R29-R27)=0,7&lt;=КаникулыРоялти),0,('03_Сеть'!R29-R27)*IF(РоялтиПоГруппам="Да",MeanMinAge07+R10*SUMIF(ThresholdAge07,"&lt;"&amp;R10,WeightedRevAge07)-SUMIF(ThresholdAge07,"&lt;"&amp;R10,WeightedMinAge07),MAX(CapacityAge07*АбонементНовых*R10,MeanMinAge07)))</f>
        <v/>
      </c>
      <c r="S81" s="5">
        <f>IF(OR(('03_Сеть'!S29-S27)=0,7&lt;=КаникулыРоялти),0,('03_Сеть'!S29-S27)*IF(РоялтиПоГруппам="Да",MeanMinAge07+S10*SUMIF(ThresholdAge07,"&lt;"&amp;S10,WeightedRevAge07)-SUMIF(ThresholdAge07,"&lt;"&amp;S10,WeightedMinAge07),MAX(CapacityAge07*АбонементНовых*S10,MeanMinAge07)))</f>
        <v/>
      </c>
      <c r="T81" s="5">
        <f>IF(OR(('03_Сеть'!T29-T27)=0,7&lt;=КаникулыРоялти),0,('03_Сеть'!T29-T27)*IF(РоялтиПоГруппам="Да",MeanMinAge07+T10*SUMIF(ThresholdAge07,"&lt;"&amp;T10,WeightedRevAge07)-SUMIF(ThresholdAge07,"&lt;"&amp;T10,WeightedMinAge07),MAX(CapacityAge07*АбонементНовых*T10,MeanMinAge07)))</f>
        <v/>
      </c>
      <c r="U81" s="5">
        <f>IF(OR(('03_Сеть'!U29-U27)=0,7&lt;=КаникулыРоялти),0,('03_Сеть'!U29-U27)*IF(РоялтиПоГруппам="Да",MeanMinAge07+U10*SUMIF(ThresholdAge07,"&lt;"&amp;U10,WeightedRevAge07)-SUMIF(ThresholdAge07,"&lt;"&amp;U10,WeightedMinAge07),MAX(CapacityAge07*АбонементНовых*U10,MeanMinAge07)))</f>
        <v/>
      </c>
      <c r="V81" s="5">
        <f>IF(OR(('03_Сеть'!V29-V27)=0,7&lt;=КаникулыРоялти),0,('03_Сеть'!V29-V27)*IF(РоялтиПоГруппам="Да",MeanMinAge07+V10*SUMIF(ThresholdAge07,"&lt;"&amp;V10,WeightedRevAge07)-SUMIF(ThresholdAge07,"&lt;"&amp;V10,WeightedMinAge07),MAX(CapacityAge07*АбонементНовых*V10,MeanMinAge07)))</f>
        <v/>
      </c>
      <c r="W81" s="5">
        <f>IF(OR(('03_Сеть'!W29-W27)=0,7&lt;=КаникулыРоялти),0,('03_Сеть'!W29-W27)*IF(РоялтиПоГруппам="Да",MeanMinAge07+W10*SUMIF(ThresholdAge07,"&lt;"&amp;W10,WeightedRevAge07)-SUMIF(ThresholdAge07,"&lt;"&amp;W10,WeightedMinAge07),MAX(CapacityAge07*АбонементНовых*W10,MeanMinAge07)))</f>
        <v/>
      </c>
      <c r="X81" s="5">
        <f>IF(OR(('03_Сеть'!X29-X27)=0,7&lt;=КаникулыРоялти),0,('03_Сеть'!X29-X27)*IF(РоялтиПоГруппам="Да",MeanMinAge07+X10*SUMIF(ThresholdAge07,"&lt;"&amp;X10,WeightedRevAge07)-SUMIF(ThresholdAge07,"&lt;"&amp;X10,WeightedMinAge07),MAX(CapacityAge07*АбонементНовых*X10,MeanMinAge07)))</f>
        <v/>
      </c>
      <c r="Y81" s="5">
        <f>IF(OR(('03_Сеть'!Y29-Y27)=0,7&lt;=КаникулыРоялти),0,('03_Сеть'!Y29-Y27)*IF(РоялтиПоГруппам="Да",MeanMinAge07+Y10*SUMIF(ThresholdAge07,"&lt;"&amp;Y10,WeightedRevAge07)-SUMIF(ThresholdAge07,"&lt;"&amp;Y10,WeightedMinAge07),MAX(CapacityAge07*АбонементНовых*Y10,MeanMinAge07)))</f>
        <v/>
      </c>
      <c r="Z81" s="5">
        <f>IF(OR(('03_Сеть'!Z29-Z27)=0,7&lt;=КаникулыРоялти),0,('03_Сеть'!Z29-Z27)*IF(РоялтиПоГруппам="Да",MeanMinAge07+Z10*SUMIF(ThresholdAge07,"&lt;"&amp;Z10,WeightedRevAge07)-SUMIF(ThresholdAge07,"&lt;"&amp;Z10,WeightedMinAge07),MAX(CapacityAge07*АбонементНовых*Z10,MeanMinAge07)))</f>
        <v/>
      </c>
      <c r="AA81" s="5">
        <f>IF(OR(('03_Сеть'!AA29-AA27)=0,7&lt;=КаникулыРоялти),0,('03_Сеть'!AA29-AA27)*IF(РоялтиПоГруппам="Да",MeanMinAge07+AA10*SUMIF(ThresholdAge07,"&lt;"&amp;AA10,WeightedRevAge07)-SUMIF(ThresholdAge07,"&lt;"&amp;AA10,WeightedMinAge07),MAX(CapacityAge07*АбонементНовых*AA10,MeanMinAge07)))</f>
        <v/>
      </c>
      <c r="AB81" s="5">
        <f>IF(OR(('03_Сеть'!AB29-AB27)=0,7&lt;=КаникулыРоялти),0,('03_Сеть'!AB29-AB27)*IF(РоялтиПоГруппам="Да",MeanMinAge07+AB10*SUMIF(ThresholdAge07,"&lt;"&amp;AB10,WeightedRevAge07)-SUMIF(ThresholdAge07,"&lt;"&amp;AB10,WeightedMinAge07),MAX(CapacityAge07*АбонементНовых*AB10,MeanMinAge07)))</f>
        <v/>
      </c>
      <c r="AC81" s="5">
        <f>IF(OR(('03_Сеть'!AC29-AC27)=0,7&lt;=КаникулыРоялти),0,('03_Сеть'!AC29-AC27)*IF(РоялтиПоГруппам="Да",MeanMinAge07+AC10*SUMIF(ThresholdAge07,"&lt;"&amp;AC10,WeightedRevAge07)-SUMIF(ThresholdAge07,"&lt;"&amp;AC10,WeightedMinAge07),MAX(CapacityAge07*АбонементНовых*AC10,MeanMinAge07)))</f>
        <v/>
      </c>
      <c r="AD81" s="5">
        <f>IF(OR(('03_Сеть'!AD29-AD27)=0,7&lt;=КаникулыРоялти),0,('03_Сеть'!AD29-AD27)*IF(РоялтиПоГруппам="Да",MeanMinAge07+AD10*SUMIF(ThresholdAge07,"&lt;"&amp;AD10,WeightedRevAge07)-SUMIF(ThresholdAge07,"&lt;"&amp;AD10,WeightedMinAge07),MAX(CapacityAge07*АбонементНовых*AD10,MeanMinAge07)))</f>
        <v/>
      </c>
      <c r="AE81" s="5">
        <f>IF(OR(('03_Сеть'!AE29-AE27)=0,7&lt;=КаникулыРоялти),0,('03_Сеть'!AE29-AE27)*IF(РоялтиПоГруппам="Да",MeanMinAge07+AE10*SUMIF(ThresholdAge07,"&lt;"&amp;AE10,WeightedRevAge07)-SUMIF(ThresholdAge07,"&lt;"&amp;AE10,WeightedMinAge07),MAX(CapacityAge07*АбонементНовых*AE10,MeanMinAge07)))</f>
        <v/>
      </c>
      <c r="AF81" s="5">
        <f>IF(OR(('03_Сеть'!AF29-AF27)=0,7&lt;=КаникулыРоялти),0,('03_Сеть'!AF29-AF27)*IF(РоялтиПоГруппам="Да",MeanMinAge07+AF10*SUMIF(ThresholdAge07,"&lt;"&amp;AF10,WeightedRevAge07)-SUMIF(ThresholdAge07,"&lt;"&amp;AF10,WeightedMinAge07),MAX(CapacityAge07*АбонементНовых*AF10,MeanMinAge07)))</f>
        <v/>
      </c>
      <c r="AG81" s="5">
        <f>IF(OR(('03_Сеть'!AG29-AG27)=0,7&lt;=КаникулыРоялти),0,('03_Сеть'!AG29-AG27)*IF(РоялтиПоГруппам="Да",MeanMinAge07+AG10*SUMIF(ThresholdAge07,"&lt;"&amp;AG10,WeightedRevAge07)-SUMIF(ThresholdAge07,"&lt;"&amp;AG10,WeightedMinAge07),MAX(CapacityAge07*АбонементНовых*AG10,MeanMinAge07)))</f>
        <v/>
      </c>
      <c r="AH81" s="5">
        <f>IF(OR(('03_Сеть'!AH29-AH27)=0,7&lt;=КаникулыРоялти),0,('03_Сеть'!AH29-AH27)*IF(РоялтиПоГруппам="Да",MeanMinAge07+AH10*SUMIF(ThresholdAge07,"&lt;"&amp;AH10,WeightedRevAge07)-SUMIF(ThresholdAge07,"&lt;"&amp;AH10,WeightedMinAge07),MAX(CapacityAge07*АбонементНовых*AH10,MeanMinAge07)))</f>
        <v/>
      </c>
      <c r="AI81" s="5">
        <f>IF(OR(('03_Сеть'!AI29-AI27)=0,7&lt;=КаникулыРоялти),0,('03_Сеть'!AI29-AI27)*IF(РоялтиПоГруппам="Да",MeanMinAge07+AI10*SUMIF(ThresholdAge07,"&lt;"&amp;AI10,WeightedRevAge07)-SUMIF(ThresholdAge07,"&lt;"&amp;AI10,WeightedMinAge07),MAX(CapacityAge07*АбонементНовых*AI10,MeanMinAge07)))</f>
        <v/>
      </c>
      <c r="AJ81" s="5">
        <f>IF(OR(('03_Сеть'!AJ29-AJ27)=0,7&lt;=КаникулыРоялти),0,('03_Сеть'!AJ29-AJ27)*IF(РоялтиПоГруппам="Да",MeanMinAge07+AJ10*SUMIF(ThresholdAge07,"&lt;"&amp;AJ10,WeightedRevAge07)-SUMIF(ThresholdAge07,"&lt;"&amp;AJ10,WeightedMinAge07),MAX(CapacityAge07*АбонементНовых*AJ10,MeanMinAge07)))</f>
        <v/>
      </c>
      <c r="AK81" s="5">
        <f>IF(OR(('03_Сеть'!AK29-AK27)=0,7&lt;=КаникулыРоялти),0,('03_Сеть'!AK29-AK27)*IF(РоялтиПоГруппам="Да",MeanMinAge07+AK10*SUMIF(ThresholdAge07,"&lt;"&amp;AK10,WeightedRevAge07)-SUMIF(ThresholdAge07,"&lt;"&amp;AK10,WeightedMinAge07),MAX(CapacityAge07*АбонементНовых*AK10,MeanMinAge07)))</f>
        <v/>
      </c>
      <c r="AL81" s="5">
        <f>IF(OR(('03_Сеть'!AL29-AL27)=0,7&lt;=КаникулыРоялти),0,('03_Сеть'!AL29-AL27)*IF(РоялтиПоГруппам="Да",MeanMinAge07+AL10*SUMIF(ThresholdAge07,"&lt;"&amp;AL10,WeightedRevAge07)-SUMIF(ThresholdAge07,"&lt;"&amp;AL10,WeightedMinAge07),MAX(CapacityAge07*АбонементНовых*AL10,MeanMinAge07)))</f>
        <v/>
      </c>
      <c r="AM81" s="5">
        <f>IF(OR(('03_Сеть'!AM29-AM27)=0,7&lt;=КаникулыРоялти),0,('03_Сеть'!AM29-AM27)*IF(РоялтиПоГруппам="Да",MeanMinAge07+AM10*SUMIF(ThresholdAge07,"&lt;"&amp;AM10,WeightedRevAge07)-SUMIF(ThresholdAge07,"&lt;"&amp;AM10,WeightedMinAge07),MAX(CapacityAge07*АбонементНовых*AM10,MeanMinAge07)))</f>
        <v/>
      </c>
      <c r="AN81" s="5">
        <f>IF(OR(('03_Сеть'!AN29-AN27)=0,7&lt;=КаникулыРоялти),0,('03_Сеть'!AN29-AN27)*IF(РоялтиПоГруппам="Да",MeanMinAge07+AN10*SUMIF(ThresholdAge07,"&lt;"&amp;AN10,WeightedRevAge07)-SUMIF(ThresholdAge07,"&lt;"&amp;AN10,WeightedMinAge07),MAX(CapacityAge07*АбонементНовых*AN10,MeanMinAge07)))</f>
        <v/>
      </c>
      <c r="AO81" s="5">
        <f>IF(OR(('03_Сеть'!AO29-AO27)=0,7&lt;=КаникулыРоялти),0,('03_Сеть'!AO29-AO27)*IF(РоялтиПоГруппам="Да",MeanMinAge07+AO10*SUMIF(ThresholdAge07,"&lt;"&amp;AO10,WeightedRevAge07)-SUMIF(ThresholdAge07,"&lt;"&amp;AO10,WeightedMinAge07),MAX(CapacityAge07*АбонементНовых*AO10,MeanMinAge07)))</f>
        <v/>
      </c>
      <c r="AP81" s="5">
        <f>IF(OR(('03_Сеть'!AP29-AP27)=0,7&lt;=КаникулыРоялти),0,('03_Сеть'!AP29-AP27)*IF(РоялтиПоГруппам="Да",MeanMinAge07+AP10*SUMIF(ThresholdAge07,"&lt;"&amp;AP10,WeightedRevAge07)-SUMIF(ThresholdAge07,"&lt;"&amp;AP10,WeightedMinAge07),MAX(CapacityAge07*АбонементНовых*AP10,MeanMinAge07)))</f>
        <v/>
      </c>
      <c r="AQ81" s="5">
        <f>IF(OR(('03_Сеть'!AQ29-AQ27)=0,7&lt;=КаникулыРоялти),0,('03_Сеть'!AQ29-AQ27)*IF(РоялтиПоГруппам="Да",MeanMinAge07+AQ10*SUMIF(ThresholdAge07,"&lt;"&amp;AQ10,WeightedRevAge07)-SUMIF(ThresholdAge07,"&lt;"&amp;AQ10,WeightedMinAge07),MAX(CapacityAge07*АбонементНовых*AQ10,MeanMinAge07)))</f>
        <v/>
      </c>
      <c r="AR81" s="5">
        <f>IF(OR(('03_Сеть'!AR29-AR27)=0,7&lt;=КаникулыРоялти),0,('03_Сеть'!AR29-AR27)*IF(РоялтиПоГруппам="Да",MeanMinAge07+AR10*SUMIF(ThresholdAge07,"&lt;"&amp;AR10,WeightedRevAge07)-SUMIF(ThresholdAge07,"&lt;"&amp;AR10,WeightedMinAge07),MAX(CapacityAge07*АбонементНовых*AR10,MeanMinAge07)))</f>
        <v/>
      </c>
      <c r="AS81" s="5">
        <f>IF(OR(('03_Сеть'!AS29-AS27)=0,7&lt;=КаникулыРоялти),0,('03_Сеть'!AS29-AS27)*IF(РоялтиПоГруппам="Да",MeanMinAge07+AS10*SUMIF(ThresholdAge07,"&lt;"&amp;AS10,WeightedRevAge07)-SUMIF(ThresholdAge07,"&lt;"&amp;AS10,WeightedMinAge07),MAX(CapacityAge07*АбонементНовых*AS10,MeanMinAge07)))</f>
        <v/>
      </c>
      <c r="AT81" s="5">
        <f>IF(OR(('03_Сеть'!AT29-AT27)=0,7&lt;=КаникулыРоялти),0,('03_Сеть'!AT29-AT27)*IF(РоялтиПоГруппам="Да",MeanMinAge07+AT10*SUMIF(ThresholdAge07,"&lt;"&amp;AT10,WeightedRevAge07)-SUMIF(ThresholdAge07,"&lt;"&amp;AT10,WeightedMinAge07),MAX(CapacityAge07*АбонементНовых*AT10,MeanMinAge07)))</f>
        <v/>
      </c>
      <c r="AU81" s="5">
        <f>IF(OR(('03_Сеть'!AU29-AU27)=0,7&lt;=КаникулыРоялти),0,('03_Сеть'!AU29-AU27)*IF(РоялтиПоГруппам="Да",MeanMinAge07+AU10*SUMIF(ThresholdAge07,"&lt;"&amp;AU10,WeightedRevAge07)-SUMIF(ThresholdAge07,"&lt;"&amp;AU10,WeightedMinAge07),MAX(CapacityAge07*АбонементНовых*AU10,MeanMinAge07)))</f>
        <v/>
      </c>
      <c r="AV81" s="5">
        <f>IF(OR(('03_Сеть'!AV29-AV27)=0,7&lt;=КаникулыРоялти),0,('03_Сеть'!AV29-AV27)*IF(РоялтиПоГруппам="Да",MeanMinAge07+AV10*SUMIF(ThresholdAge07,"&lt;"&amp;AV10,WeightedRevAge07)-SUMIF(ThresholdAge07,"&lt;"&amp;AV10,WeightedMinAge07),MAX(CapacityAge07*АбонементНовых*AV10,MeanMinAge07)))</f>
        <v/>
      </c>
      <c r="AW81" s="5">
        <f>IF(OR(('03_Сеть'!AW29-AW27)=0,7&lt;=КаникулыРоялти),0,('03_Сеть'!AW29-AW27)*IF(РоялтиПоГруппам="Да",MeanMinAge07+AW10*SUMIF(ThresholdAge07,"&lt;"&amp;AW10,WeightedRevAge07)-SUMIF(ThresholdAge07,"&lt;"&amp;AW10,WeightedMinAge07),MAX(CapacityAge07*АбонементНовых*AW10,MeanMinAge07)))</f>
        <v/>
      </c>
      <c r="AX81" s="5">
        <f>IF(OR(('03_Сеть'!AX29-AX27)=0,7&lt;=КаникулыРоялти),0,('03_Сеть'!AX29-AX27)*IF(РоялтиПоГруппам="Да",MeanMinAge07+AX10*SUMIF(ThresholdAge07,"&lt;"&amp;AX10,WeightedRevAge07)-SUMIF(ThresholdAge07,"&lt;"&amp;AX10,WeightedMinAge07),MAX(CapacityAge07*АбонементНовых*AX10,MeanMinAge07)))</f>
        <v/>
      </c>
      <c r="AY81" s="5">
        <f>IF(OR(('03_Сеть'!AY29-AY27)=0,7&lt;=КаникулыРоялти),0,('03_Сеть'!AY29-AY27)*IF(РоялтиПоГруппам="Да",MeanMinAge07+AY10*SUMIF(ThresholdAge07,"&lt;"&amp;AY10,WeightedRevAge07)-SUMIF(ThresholdAge07,"&lt;"&amp;AY10,WeightedMinAge07),MAX(CapacityAge07*АбонементНовых*AY10,MeanMinAge07)))</f>
        <v/>
      </c>
      <c r="AZ81" s="5">
        <f>IF(OR(('03_Сеть'!AZ29-AZ27)=0,7&lt;=КаникулыРоялти),0,('03_Сеть'!AZ29-AZ27)*IF(РоялтиПоГруппам="Да",MeanMinAge07+AZ10*SUMIF(ThresholdAge07,"&lt;"&amp;AZ10,WeightedRevAge07)-SUMIF(ThresholdAge07,"&lt;"&amp;AZ10,WeightedMinAge07),MAX(CapacityAge07*АбонементНовых*AZ10,MeanMinAge07)))</f>
        <v/>
      </c>
      <c r="BA81" s="5">
        <f>IF(OR(('03_Сеть'!BA29-BA27)=0,7&lt;=КаникулыРоялти),0,('03_Сеть'!BA29-BA27)*IF(РоялтиПоГруппам="Да",MeanMinAge07+BA10*SUMIF(ThresholdAge07,"&lt;"&amp;BA10,WeightedRevAge07)-SUMIF(ThresholdAge07,"&lt;"&amp;BA10,WeightedMinAge07),MAX(CapacityAge07*АбонементНовых*BA10,MeanMinAge07)))</f>
        <v/>
      </c>
      <c r="BB81" s="5">
        <f>IF(OR(('03_Сеть'!BB29-BB27)=0,7&lt;=КаникулыРоялти),0,('03_Сеть'!BB29-BB27)*IF(РоялтиПоГруппам="Да",MeanMinAge07+BB10*SUMIF(ThresholdAge07,"&lt;"&amp;BB10,WeightedRevAge07)-SUMIF(ThresholdAge07,"&lt;"&amp;BB10,WeightedMinAge07),MAX(CapacityAge07*АбонементНовых*BB10,MeanMinAge07)))</f>
        <v/>
      </c>
      <c r="BC81" s="5">
        <f>IF(OR(('03_Сеть'!BC29-BC27)=0,7&lt;=КаникулыРоялти),0,('03_Сеть'!BC29-BC27)*IF(РоялтиПоГруппам="Да",MeanMinAge07+BC10*SUMIF(ThresholdAge07,"&lt;"&amp;BC10,WeightedRevAge07)-SUMIF(ThresholdAge07,"&lt;"&amp;BC10,WeightedMinAge07),MAX(CapacityAge07*АбонементНовых*BC10,MeanMinAge07)))</f>
        <v/>
      </c>
      <c r="BD81" s="5">
        <f>IF(OR(('03_Сеть'!BD29-BD27)=0,7&lt;=КаникулыРоялти),0,('03_Сеть'!BD29-BD27)*IF(РоялтиПоГруппам="Да",MeanMinAge07+BD10*SUMIF(ThresholdAge07,"&lt;"&amp;BD10,WeightedRevAge07)-SUMIF(ThresholdAge07,"&lt;"&amp;BD10,WeightedMinAge07),MAX(CapacityAge07*АбонементНовых*BD10,MeanMinAge07)))</f>
        <v/>
      </c>
      <c r="BE81" s="5">
        <f>IF(OR(('03_Сеть'!BE29-BE27)=0,7&lt;=КаникулыРоялти),0,('03_Сеть'!BE29-BE27)*IF(РоялтиПоГруппам="Да",MeanMinAge07+BE10*SUMIF(ThresholdAge07,"&lt;"&amp;BE10,WeightedRevAge07)-SUMIF(ThresholdAge07,"&lt;"&amp;BE10,WeightedMinAge07),MAX(CapacityAge07*АбонементНовых*BE10,MeanMinAge07)))</f>
        <v/>
      </c>
      <c r="BF81" s="5">
        <f>IF(OR(('03_Сеть'!BF29-BF27)=0,7&lt;=КаникулыРоялти),0,('03_Сеть'!BF29-BF27)*IF(РоялтиПоГруппам="Да",MeanMinAge07+BF10*SUMIF(ThresholdAge07,"&lt;"&amp;BF10,WeightedRevAge07)-SUMIF(ThresholdAge07,"&lt;"&amp;BF10,WeightedMinAge07),MAX(CapacityAge07*АбонементНовых*BF10,MeanMinAge07)))</f>
        <v/>
      </c>
      <c r="BG81" s="5">
        <f>IF(OR(('03_Сеть'!BG29-BG27)=0,7&lt;=КаникулыРоялти),0,('03_Сеть'!BG29-BG27)*IF(РоялтиПоГруппам="Да",MeanMinAge07+BG10*SUMIF(ThresholdAge07,"&lt;"&amp;BG10,WeightedRevAge07)-SUMIF(ThresholdAge07,"&lt;"&amp;BG10,WeightedMinAge07),MAX(CapacityAge07*АбонементНовых*BG10,MeanMinAge07)))</f>
        <v/>
      </c>
      <c r="BH81" s="5">
        <f>IF(OR(('03_Сеть'!BH29-BH27)=0,7&lt;=КаникулыРоялти),0,('03_Сеть'!BH29-BH27)*IF(РоялтиПоГруппам="Да",MeanMinAge07+BH10*SUMIF(ThresholdAge07,"&lt;"&amp;BH10,WeightedRevAge07)-SUMIF(ThresholdAge07,"&lt;"&amp;BH10,WeightedMinAge07),MAX(CapacityAge07*АбонементНовых*BH10,MeanMinAge07)))</f>
        <v/>
      </c>
      <c r="BI81" s="5">
        <f>IF(OR(('03_Сеть'!BI29-BI27)=0,7&lt;=КаникулыРоялти),0,('03_Сеть'!BI29-BI27)*IF(РоялтиПоГруппам="Да",MeanMinAge07+BI10*SUMIF(ThresholdAge07,"&lt;"&amp;BI10,WeightedRevAge07)-SUMIF(ThresholdAge07,"&lt;"&amp;BI10,WeightedMinAge07),MAX(CapacityAge07*АбонементНовых*BI10,MeanMinAge07)))</f>
        <v/>
      </c>
      <c r="BJ81" s="5">
        <f>IF(OR(('03_Сеть'!BJ29-BJ27)=0,7&lt;=КаникулыРоялти),0,('03_Сеть'!BJ29-BJ27)*IF(РоялтиПоГруппам="Да",MeanMinAge07+BJ10*SUMIF(ThresholdAge07,"&lt;"&amp;BJ10,WeightedRevAge07)-SUMIF(ThresholdAge07,"&lt;"&amp;BJ10,WeightedMinAge07),MAX(CapacityAge07*АбонементНовых*BJ10,MeanMinAge07)))</f>
        <v/>
      </c>
      <c r="BK81" s="5">
        <f>IF(OR(('03_Сеть'!BK29-BK27)=0,7&lt;=КаникулыРоялти),0,('03_Сеть'!BK29-BK27)*IF(РоялтиПоГруппам="Да",MeanMinAge07+BK10*SUMIF(ThresholdAge07,"&lt;"&amp;BK10,WeightedRevAge07)-SUMIF(ThresholdAge07,"&lt;"&amp;BK10,WeightedMinAge07),MAX(CapacityAge07*АбонементНовых*BK10,MeanMinAge07)))</f>
        <v/>
      </c>
      <c r="BL81" s="5">
        <f>IF(OR(('03_Сеть'!BL29-BL27)=0,7&lt;=КаникулыРоялти),0,('03_Сеть'!BL29-BL27)*IF(РоялтиПоГруппам="Да",MeanMinAge07+BL10*SUMIF(ThresholdAge07,"&lt;"&amp;BL10,WeightedRevAge07)-SUMIF(ThresholdAge07,"&lt;"&amp;BL10,WeightedMinAge07),MAX(CapacityAge07*АбонементНовых*BL10,MeanMinAge07)))</f>
        <v/>
      </c>
      <c r="BM81" s="5">
        <f>IF(OR(('03_Сеть'!BM29-BM27)=0,7&lt;=КаникулыРоялти),0,('03_Сеть'!BM29-BM27)*IF(РоялтиПоГруппам="Да",MeanMinAge07+BM10*SUMIF(ThresholdAge07,"&lt;"&amp;BM10,WeightedRevAge07)-SUMIF(ThresholdAge07,"&lt;"&amp;BM10,WeightedMinAge07),MAX(CapacityAge07*АбонементНовых*BM10,MeanMinAge07)))</f>
        <v/>
      </c>
      <c r="BN81" s="5">
        <f>IF(OR(('03_Сеть'!BN29-BN27)=0,7&lt;=КаникулыРоялти),0,('03_Сеть'!BN29-BN27)*IF(РоялтиПоГруппам="Да",MeanMinAge07+BN10*SUMIF(ThresholdAge07,"&lt;"&amp;BN10,WeightedRevAge07)-SUMIF(ThresholdAge07,"&lt;"&amp;BN10,WeightedMinAge07),MAX(CapacityAge07*АбонементНовых*BN10,MeanMinAge07)))</f>
        <v/>
      </c>
      <c r="BO81" s="5">
        <f>IF(OR(('03_Сеть'!BO29-BO27)=0,7&lt;=КаникулыРоялти),0,('03_Сеть'!BO29-BO27)*IF(РоялтиПоГруппам="Да",MeanMinAge07+BO10*SUMIF(ThresholdAge07,"&lt;"&amp;BO10,WeightedRevAge07)-SUMIF(ThresholdAge07,"&lt;"&amp;BO10,WeightedMinAge07),MAX(CapacityAge07*АбонементНовых*BO10,MeanMinAge07)))</f>
        <v/>
      </c>
      <c r="BP81" s="5">
        <f>IF(OR(('03_Сеть'!BP29-BP27)=0,7&lt;=КаникулыРоялти),0,('03_Сеть'!BP29-BP27)*IF(РоялтиПоГруппам="Да",MeanMinAge07+BP10*SUMIF(ThresholdAge07,"&lt;"&amp;BP10,WeightedRevAge07)-SUMIF(ThresholdAge07,"&lt;"&amp;BP10,WeightedMinAge07),MAX(CapacityAge07*АбонементНовых*BP10,MeanMinAge07)))</f>
        <v/>
      </c>
      <c r="BQ81" s="5">
        <f>IF(OR(('03_Сеть'!BQ29-BQ27)=0,7&lt;=КаникулыРоялти),0,('03_Сеть'!BQ29-BQ27)*IF(РоялтиПоГруппам="Да",MeanMinAge07+BQ10*SUMIF(ThresholdAge07,"&lt;"&amp;BQ10,WeightedRevAge07)-SUMIF(ThresholdAge07,"&lt;"&amp;BQ10,WeightedMinAge07),MAX(CapacityAge07*АбонементНовых*BQ10,MeanMinAge07)))</f>
        <v/>
      </c>
      <c r="BR81" s="5">
        <f>IF(OR(('03_Сеть'!BR29-BR27)=0,7&lt;=КаникулыРоялти),0,('03_Сеть'!BR29-BR27)*IF(РоялтиПоГруппам="Да",MeanMinAge07+BR10*SUMIF(ThresholdAge07,"&lt;"&amp;BR10,WeightedRevAge07)-SUMIF(ThresholdAge07,"&lt;"&amp;BR10,WeightedMinAge07),MAX(CapacityAge07*АбонементНовых*BR10,MeanMinAge07)))</f>
        <v/>
      </c>
      <c r="BS81" s="5">
        <f>IF(OR(('03_Сеть'!BS29-BS27)=0,7&lt;=КаникулыРоялти),0,('03_Сеть'!BS29-BS27)*IF(РоялтиПоГруппам="Да",MeanMinAge07+BS10*SUMIF(ThresholdAge07,"&lt;"&amp;BS10,WeightedRevAge07)-SUMIF(ThresholdAge07,"&lt;"&amp;BS10,WeightedMinAge07),MAX(CapacityAge07*АбонементНовых*BS10,MeanMinAge07)))</f>
        <v/>
      </c>
      <c r="BT81" s="5">
        <f>IF(OR(('03_Сеть'!BT29-BT27)=0,7&lt;=КаникулыРоялти),0,('03_Сеть'!BT29-BT27)*IF(РоялтиПоГруппам="Да",MeanMinAge07+BT10*SUMIF(ThresholdAge07,"&lt;"&amp;BT10,WeightedRevAge07)-SUMIF(ThresholdAge07,"&lt;"&amp;BT10,WeightedMinAge07),MAX(CapacityAge07*АбонементНовых*BT10,MeanMinAge07)))</f>
        <v/>
      </c>
      <c r="BU81" s="5">
        <f>IF(OR(('03_Сеть'!BU29-BU27)=0,7&lt;=КаникулыРоялти),0,('03_Сеть'!BU29-BU27)*IF(РоялтиПоГруппам="Да",MeanMinAge07+BU10*SUMIF(ThresholdAge07,"&lt;"&amp;BU10,WeightedRevAge07)-SUMIF(ThresholdAge07,"&lt;"&amp;BU10,WeightedMinAge07),MAX(CapacityAge07*АбонементНовых*BU10,MeanMinAge07)))</f>
        <v/>
      </c>
      <c r="BV81" s="5">
        <f>IF(OR(('03_Сеть'!BV29-BV27)=0,7&lt;=КаникулыРоялти),0,('03_Сеть'!BV29-BV27)*IF(РоялтиПоГруппам="Да",MeanMinAge07+BV10*SUMIF(ThresholdAge07,"&lt;"&amp;BV10,WeightedRevAge07)-SUMIF(ThresholdAge07,"&lt;"&amp;BV10,WeightedMinAge07),MAX(CapacityAge07*АбонементНовых*BV10,MeanMinAge07)))</f>
        <v/>
      </c>
      <c r="BW81" s="5">
        <f>IF(OR(('03_Сеть'!BW29-BW27)=0,7&lt;=КаникулыРоялти),0,('03_Сеть'!BW29-BW27)*IF(РоялтиПоГруппам="Да",MeanMinAge07+BW10*SUMIF(ThresholdAge07,"&lt;"&amp;BW10,WeightedRevAge07)-SUMIF(ThresholdAge07,"&lt;"&amp;BW10,WeightedMinAge07),MAX(CapacityAge07*АбонементНовых*BW10,MeanMinAge07)))</f>
        <v/>
      </c>
      <c r="BX81" s="5">
        <f>IF(OR(('03_Сеть'!BX29-BX27)=0,7&lt;=КаникулыРоялти),0,('03_Сеть'!BX29-BX27)*IF(РоялтиПоГруппам="Да",MeanMinAge07+BX10*SUMIF(ThresholdAge07,"&lt;"&amp;BX10,WeightedRevAge07)-SUMIF(ThresholdAge07,"&lt;"&amp;BX10,WeightedMinAge07),MAX(CapacityAge07*АбонементНовых*BX10,MeanMinAge07)))</f>
        <v/>
      </c>
      <c r="BY81" s="5">
        <f>IF(OR(('03_Сеть'!BY29-BY27)=0,7&lt;=КаникулыРоялти),0,('03_Сеть'!BY29-BY27)*IF(РоялтиПоГруппам="Да",MeanMinAge07+BY10*SUMIF(ThresholdAge07,"&lt;"&amp;BY10,WeightedRevAge07)-SUMIF(ThresholdAge07,"&lt;"&amp;BY10,WeightedMinAge07),MAX(CapacityAge07*АбонементНовых*BY10,MeanMinAge07)))</f>
        <v/>
      </c>
    </row>
    <row r="82">
      <c r="B82" t="inlineStr">
        <is>
          <t>8 мес.</t>
        </is>
      </c>
      <c r="C82" t="inlineStr">
        <is>
          <t>₽</t>
        </is>
      </c>
      <c r="D82" s="127" t="inlineStr"/>
      <c r="E82" s="129">
        <f>SUM(L82:W82)</f>
        <v/>
      </c>
      <c r="F82" s="129">
        <f>SUM(X82:AI82)</f>
        <v/>
      </c>
      <c r="G82" s="129">
        <f>SUM(AJ82:AU82)</f>
        <v/>
      </c>
      <c r="H82" s="129">
        <f>SUM(AV82:BG82)</f>
        <v/>
      </c>
      <c r="I82" s="129">
        <f>SUM(BH82:BS82)</f>
        <v/>
      </c>
      <c r="J82" s="6">
        <f>SUM(L82:BS82)</f>
        <v/>
      </c>
      <c r="L82" s="5">
        <f>IF(OR(('03_Сеть'!L30-L28)=0,8&lt;=КаникулыРоялти),0,('03_Сеть'!L30-L28)*IF(РоялтиПоГруппам="Да",MeanMinAge08+L10*SUMIF(ThresholdAge08,"&lt;"&amp;L10,WeightedRevAge08)-SUMIF(ThresholdAge08,"&lt;"&amp;L10,WeightedMinAge08),MAX(CapacityAge08*АбонементНовых*L10,MeanMinAge08)))</f>
        <v/>
      </c>
      <c r="M82" s="5">
        <f>IF(OR(('03_Сеть'!M30-M28)=0,8&lt;=КаникулыРоялти),0,('03_Сеть'!M30-M28)*IF(РоялтиПоГруппам="Да",MeanMinAge08+M10*SUMIF(ThresholdAge08,"&lt;"&amp;M10,WeightedRevAge08)-SUMIF(ThresholdAge08,"&lt;"&amp;M10,WeightedMinAge08),MAX(CapacityAge08*АбонементНовых*M10,MeanMinAge08)))</f>
        <v/>
      </c>
      <c r="N82" s="5">
        <f>IF(OR(('03_Сеть'!N30-N28)=0,8&lt;=КаникулыРоялти),0,('03_Сеть'!N30-N28)*IF(РоялтиПоГруппам="Да",MeanMinAge08+N10*SUMIF(ThresholdAge08,"&lt;"&amp;N10,WeightedRevAge08)-SUMIF(ThresholdAge08,"&lt;"&amp;N10,WeightedMinAge08),MAX(CapacityAge08*АбонементНовых*N10,MeanMinAge08)))</f>
        <v/>
      </c>
      <c r="O82" s="5">
        <f>IF(OR(('03_Сеть'!O30-O28)=0,8&lt;=КаникулыРоялти),0,('03_Сеть'!O30-O28)*IF(РоялтиПоГруппам="Да",MeanMinAge08+O10*SUMIF(ThresholdAge08,"&lt;"&amp;O10,WeightedRevAge08)-SUMIF(ThresholdAge08,"&lt;"&amp;O10,WeightedMinAge08),MAX(CapacityAge08*АбонементНовых*O10,MeanMinAge08)))</f>
        <v/>
      </c>
      <c r="P82" s="5">
        <f>IF(OR(('03_Сеть'!P30-P28)=0,8&lt;=КаникулыРоялти),0,('03_Сеть'!P30-P28)*IF(РоялтиПоГруппам="Да",MeanMinAge08+P10*SUMIF(ThresholdAge08,"&lt;"&amp;P10,WeightedRevAge08)-SUMIF(ThresholdAge08,"&lt;"&amp;P10,WeightedMinAge08),MAX(CapacityAge08*АбонементНовых*P10,MeanMinAge08)))</f>
        <v/>
      </c>
      <c r="Q82" s="5">
        <f>IF(OR(('03_Сеть'!Q30-Q28)=0,8&lt;=КаникулыРоялти),0,('03_Сеть'!Q30-Q28)*IF(РоялтиПоГруппам="Да",MeanMinAge08+Q10*SUMIF(ThresholdAge08,"&lt;"&amp;Q10,WeightedRevAge08)-SUMIF(ThresholdAge08,"&lt;"&amp;Q10,WeightedMinAge08),MAX(CapacityAge08*АбонементНовых*Q10,MeanMinAge08)))</f>
        <v/>
      </c>
      <c r="R82" s="5">
        <f>IF(OR(('03_Сеть'!R30-R28)=0,8&lt;=КаникулыРоялти),0,('03_Сеть'!R30-R28)*IF(РоялтиПоГруппам="Да",MeanMinAge08+R10*SUMIF(ThresholdAge08,"&lt;"&amp;R10,WeightedRevAge08)-SUMIF(ThresholdAge08,"&lt;"&amp;R10,WeightedMinAge08),MAX(CapacityAge08*АбонементНовых*R10,MeanMinAge08)))</f>
        <v/>
      </c>
      <c r="S82" s="5">
        <f>IF(OR(('03_Сеть'!S30-S28)=0,8&lt;=КаникулыРоялти),0,('03_Сеть'!S30-S28)*IF(РоялтиПоГруппам="Да",MeanMinAge08+S10*SUMIF(ThresholdAge08,"&lt;"&amp;S10,WeightedRevAge08)-SUMIF(ThresholdAge08,"&lt;"&amp;S10,WeightedMinAge08),MAX(CapacityAge08*АбонементНовых*S10,MeanMinAge08)))</f>
        <v/>
      </c>
      <c r="T82" s="5">
        <f>IF(OR(('03_Сеть'!T30-T28)=0,8&lt;=КаникулыРоялти),0,('03_Сеть'!T30-T28)*IF(РоялтиПоГруппам="Да",MeanMinAge08+T10*SUMIF(ThresholdAge08,"&lt;"&amp;T10,WeightedRevAge08)-SUMIF(ThresholdAge08,"&lt;"&amp;T10,WeightedMinAge08),MAX(CapacityAge08*АбонементНовых*T10,MeanMinAge08)))</f>
        <v/>
      </c>
      <c r="U82" s="5">
        <f>IF(OR(('03_Сеть'!U30-U28)=0,8&lt;=КаникулыРоялти),0,('03_Сеть'!U30-U28)*IF(РоялтиПоГруппам="Да",MeanMinAge08+U10*SUMIF(ThresholdAge08,"&lt;"&amp;U10,WeightedRevAge08)-SUMIF(ThresholdAge08,"&lt;"&amp;U10,WeightedMinAge08),MAX(CapacityAge08*АбонементНовых*U10,MeanMinAge08)))</f>
        <v/>
      </c>
      <c r="V82" s="5">
        <f>IF(OR(('03_Сеть'!V30-V28)=0,8&lt;=КаникулыРоялти),0,('03_Сеть'!V30-V28)*IF(РоялтиПоГруппам="Да",MeanMinAge08+V10*SUMIF(ThresholdAge08,"&lt;"&amp;V10,WeightedRevAge08)-SUMIF(ThresholdAge08,"&lt;"&amp;V10,WeightedMinAge08),MAX(CapacityAge08*АбонементНовых*V10,MeanMinAge08)))</f>
        <v/>
      </c>
      <c r="W82" s="5">
        <f>IF(OR(('03_Сеть'!W30-W28)=0,8&lt;=КаникулыРоялти),0,('03_Сеть'!W30-W28)*IF(РоялтиПоГруппам="Да",MeanMinAge08+W10*SUMIF(ThresholdAge08,"&lt;"&amp;W10,WeightedRevAge08)-SUMIF(ThresholdAge08,"&lt;"&amp;W10,WeightedMinAge08),MAX(CapacityAge08*АбонементНовых*W10,MeanMinAge08)))</f>
        <v/>
      </c>
      <c r="X82" s="5">
        <f>IF(OR(('03_Сеть'!X30-X28)=0,8&lt;=КаникулыРоялти),0,('03_Сеть'!X30-X28)*IF(РоялтиПоГруппам="Да",MeanMinAge08+X10*SUMIF(ThresholdAge08,"&lt;"&amp;X10,WeightedRevAge08)-SUMIF(ThresholdAge08,"&lt;"&amp;X10,WeightedMinAge08),MAX(CapacityAge08*АбонементНовых*X10,MeanMinAge08)))</f>
        <v/>
      </c>
      <c r="Y82" s="5">
        <f>IF(OR(('03_Сеть'!Y30-Y28)=0,8&lt;=КаникулыРоялти),0,('03_Сеть'!Y30-Y28)*IF(РоялтиПоГруппам="Да",MeanMinAge08+Y10*SUMIF(ThresholdAge08,"&lt;"&amp;Y10,WeightedRevAge08)-SUMIF(ThresholdAge08,"&lt;"&amp;Y10,WeightedMinAge08),MAX(CapacityAge08*АбонементНовых*Y10,MeanMinAge08)))</f>
        <v/>
      </c>
      <c r="Z82" s="5">
        <f>IF(OR(('03_Сеть'!Z30-Z28)=0,8&lt;=КаникулыРоялти),0,('03_Сеть'!Z30-Z28)*IF(РоялтиПоГруппам="Да",MeanMinAge08+Z10*SUMIF(ThresholdAge08,"&lt;"&amp;Z10,WeightedRevAge08)-SUMIF(ThresholdAge08,"&lt;"&amp;Z10,WeightedMinAge08),MAX(CapacityAge08*АбонементНовых*Z10,MeanMinAge08)))</f>
        <v/>
      </c>
      <c r="AA82" s="5">
        <f>IF(OR(('03_Сеть'!AA30-AA28)=0,8&lt;=КаникулыРоялти),0,('03_Сеть'!AA30-AA28)*IF(РоялтиПоГруппам="Да",MeanMinAge08+AA10*SUMIF(ThresholdAge08,"&lt;"&amp;AA10,WeightedRevAge08)-SUMIF(ThresholdAge08,"&lt;"&amp;AA10,WeightedMinAge08),MAX(CapacityAge08*АбонементНовых*AA10,MeanMinAge08)))</f>
        <v/>
      </c>
      <c r="AB82" s="5">
        <f>IF(OR(('03_Сеть'!AB30-AB28)=0,8&lt;=КаникулыРоялти),0,('03_Сеть'!AB30-AB28)*IF(РоялтиПоГруппам="Да",MeanMinAge08+AB10*SUMIF(ThresholdAge08,"&lt;"&amp;AB10,WeightedRevAge08)-SUMIF(ThresholdAge08,"&lt;"&amp;AB10,WeightedMinAge08),MAX(CapacityAge08*АбонементНовых*AB10,MeanMinAge08)))</f>
        <v/>
      </c>
      <c r="AC82" s="5">
        <f>IF(OR(('03_Сеть'!AC30-AC28)=0,8&lt;=КаникулыРоялти),0,('03_Сеть'!AC30-AC28)*IF(РоялтиПоГруппам="Да",MeanMinAge08+AC10*SUMIF(ThresholdAge08,"&lt;"&amp;AC10,WeightedRevAge08)-SUMIF(ThresholdAge08,"&lt;"&amp;AC10,WeightedMinAge08),MAX(CapacityAge08*АбонементНовых*AC10,MeanMinAge08)))</f>
        <v/>
      </c>
      <c r="AD82" s="5">
        <f>IF(OR(('03_Сеть'!AD30-AD28)=0,8&lt;=КаникулыРоялти),0,('03_Сеть'!AD30-AD28)*IF(РоялтиПоГруппам="Да",MeanMinAge08+AD10*SUMIF(ThresholdAge08,"&lt;"&amp;AD10,WeightedRevAge08)-SUMIF(ThresholdAge08,"&lt;"&amp;AD10,WeightedMinAge08),MAX(CapacityAge08*АбонементНовых*AD10,MeanMinAge08)))</f>
        <v/>
      </c>
      <c r="AE82" s="5">
        <f>IF(OR(('03_Сеть'!AE30-AE28)=0,8&lt;=КаникулыРоялти),0,('03_Сеть'!AE30-AE28)*IF(РоялтиПоГруппам="Да",MeanMinAge08+AE10*SUMIF(ThresholdAge08,"&lt;"&amp;AE10,WeightedRevAge08)-SUMIF(ThresholdAge08,"&lt;"&amp;AE10,WeightedMinAge08),MAX(CapacityAge08*АбонементНовых*AE10,MeanMinAge08)))</f>
        <v/>
      </c>
      <c r="AF82" s="5">
        <f>IF(OR(('03_Сеть'!AF30-AF28)=0,8&lt;=КаникулыРоялти),0,('03_Сеть'!AF30-AF28)*IF(РоялтиПоГруппам="Да",MeanMinAge08+AF10*SUMIF(ThresholdAge08,"&lt;"&amp;AF10,WeightedRevAge08)-SUMIF(ThresholdAge08,"&lt;"&amp;AF10,WeightedMinAge08),MAX(CapacityAge08*АбонементНовых*AF10,MeanMinAge08)))</f>
        <v/>
      </c>
      <c r="AG82" s="5">
        <f>IF(OR(('03_Сеть'!AG30-AG28)=0,8&lt;=КаникулыРоялти),0,('03_Сеть'!AG30-AG28)*IF(РоялтиПоГруппам="Да",MeanMinAge08+AG10*SUMIF(ThresholdAge08,"&lt;"&amp;AG10,WeightedRevAge08)-SUMIF(ThresholdAge08,"&lt;"&amp;AG10,WeightedMinAge08),MAX(CapacityAge08*АбонементНовых*AG10,MeanMinAge08)))</f>
        <v/>
      </c>
      <c r="AH82" s="5">
        <f>IF(OR(('03_Сеть'!AH30-AH28)=0,8&lt;=КаникулыРоялти),0,('03_Сеть'!AH30-AH28)*IF(РоялтиПоГруппам="Да",MeanMinAge08+AH10*SUMIF(ThresholdAge08,"&lt;"&amp;AH10,WeightedRevAge08)-SUMIF(ThresholdAge08,"&lt;"&amp;AH10,WeightedMinAge08),MAX(CapacityAge08*АбонементНовых*AH10,MeanMinAge08)))</f>
        <v/>
      </c>
      <c r="AI82" s="5">
        <f>IF(OR(('03_Сеть'!AI30-AI28)=0,8&lt;=КаникулыРоялти),0,('03_Сеть'!AI30-AI28)*IF(РоялтиПоГруппам="Да",MeanMinAge08+AI10*SUMIF(ThresholdAge08,"&lt;"&amp;AI10,WeightedRevAge08)-SUMIF(ThresholdAge08,"&lt;"&amp;AI10,WeightedMinAge08),MAX(CapacityAge08*АбонементНовых*AI10,MeanMinAge08)))</f>
        <v/>
      </c>
      <c r="AJ82" s="5">
        <f>IF(OR(('03_Сеть'!AJ30-AJ28)=0,8&lt;=КаникулыРоялти),0,('03_Сеть'!AJ30-AJ28)*IF(РоялтиПоГруппам="Да",MeanMinAge08+AJ10*SUMIF(ThresholdAge08,"&lt;"&amp;AJ10,WeightedRevAge08)-SUMIF(ThresholdAge08,"&lt;"&amp;AJ10,WeightedMinAge08),MAX(CapacityAge08*АбонементНовых*AJ10,MeanMinAge08)))</f>
        <v/>
      </c>
      <c r="AK82" s="5">
        <f>IF(OR(('03_Сеть'!AK30-AK28)=0,8&lt;=КаникулыРоялти),0,('03_Сеть'!AK30-AK28)*IF(РоялтиПоГруппам="Да",MeanMinAge08+AK10*SUMIF(ThresholdAge08,"&lt;"&amp;AK10,WeightedRevAge08)-SUMIF(ThresholdAge08,"&lt;"&amp;AK10,WeightedMinAge08),MAX(CapacityAge08*АбонементНовых*AK10,MeanMinAge08)))</f>
        <v/>
      </c>
      <c r="AL82" s="5">
        <f>IF(OR(('03_Сеть'!AL30-AL28)=0,8&lt;=КаникулыРоялти),0,('03_Сеть'!AL30-AL28)*IF(РоялтиПоГруппам="Да",MeanMinAge08+AL10*SUMIF(ThresholdAge08,"&lt;"&amp;AL10,WeightedRevAge08)-SUMIF(ThresholdAge08,"&lt;"&amp;AL10,WeightedMinAge08),MAX(CapacityAge08*АбонементНовых*AL10,MeanMinAge08)))</f>
        <v/>
      </c>
      <c r="AM82" s="5">
        <f>IF(OR(('03_Сеть'!AM30-AM28)=0,8&lt;=КаникулыРоялти),0,('03_Сеть'!AM30-AM28)*IF(РоялтиПоГруппам="Да",MeanMinAge08+AM10*SUMIF(ThresholdAge08,"&lt;"&amp;AM10,WeightedRevAge08)-SUMIF(ThresholdAge08,"&lt;"&amp;AM10,WeightedMinAge08),MAX(CapacityAge08*АбонементНовых*AM10,MeanMinAge08)))</f>
        <v/>
      </c>
      <c r="AN82" s="5">
        <f>IF(OR(('03_Сеть'!AN30-AN28)=0,8&lt;=КаникулыРоялти),0,('03_Сеть'!AN30-AN28)*IF(РоялтиПоГруппам="Да",MeanMinAge08+AN10*SUMIF(ThresholdAge08,"&lt;"&amp;AN10,WeightedRevAge08)-SUMIF(ThresholdAge08,"&lt;"&amp;AN10,WeightedMinAge08),MAX(CapacityAge08*АбонементНовых*AN10,MeanMinAge08)))</f>
        <v/>
      </c>
      <c r="AO82" s="5">
        <f>IF(OR(('03_Сеть'!AO30-AO28)=0,8&lt;=КаникулыРоялти),0,('03_Сеть'!AO30-AO28)*IF(РоялтиПоГруппам="Да",MeanMinAge08+AO10*SUMIF(ThresholdAge08,"&lt;"&amp;AO10,WeightedRevAge08)-SUMIF(ThresholdAge08,"&lt;"&amp;AO10,WeightedMinAge08),MAX(CapacityAge08*АбонементНовых*AO10,MeanMinAge08)))</f>
        <v/>
      </c>
      <c r="AP82" s="5">
        <f>IF(OR(('03_Сеть'!AP30-AP28)=0,8&lt;=КаникулыРоялти),0,('03_Сеть'!AP30-AP28)*IF(РоялтиПоГруппам="Да",MeanMinAge08+AP10*SUMIF(ThresholdAge08,"&lt;"&amp;AP10,WeightedRevAge08)-SUMIF(ThresholdAge08,"&lt;"&amp;AP10,WeightedMinAge08),MAX(CapacityAge08*АбонементНовых*AP10,MeanMinAge08)))</f>
        <v/>
      </c>
      <c r="AQ82" s="5">
        <f>IF(OR(('03_Сеть'!AQ30-AQ28)=0,8&lt;=КаникулыРоялти),0,('03_Сеть'!AQ30-AQ28)*IF(РоялтиПоГруппам="Да",MeanMinAge08+AQ10*SUMIF(ThresholdAge08,"&lt;"&amp;AQ10,WeightedRevAge08)-SUMIF(ThresholdAge08,"&lt;"&amp;AQ10,WeightedMinAge08),MAX(CapacityAge08*АбонементНовых*AQ10,MeanMinAge08)))</f>
        <v/>
      </c>
      <c r="AR82" s="5">
        <f>IF(OR(('03_Сеть'!AR30-AR28)=0,8&lt;=КаникулыРоялти),0,('03_Сеть'!AR30-AR28)*IF(РоялтиПоГруппам="Да",MeanMinAge08+AR10*SUMIF(ThresholdAge08,"&lt;"&amp;AR10,WeightedRevAge08)-SUMIF(ThresholdAge08,"&lt;"&amp;AR10,WeightedMinAge08),MAX(CapacityAge08*АбонементНовых*AR10,MeanMinAge08)))</f>
        <v/>
      </c>
      <c r="AS82" s="5">
        <f>IF(OR(('03_Сеть'!AS30-AS28)=0,8&lt;=КаникулыРоялти),0,('03_Сеть'!AS30-AS28)*IF(РоялтиПоГруппам="Да",MeanMinAge08+AS10*SUMIF(ThresholdAge08,"&lt;"&amp;AS10,WeightedRevAge08)-SUMIF(ThresholdAge08,"&lt;"&amp;AS10,WeightedMinAge08),MAX(CapacityAge08*АбонементНовых*AS10,MeanMinAge08)))</f>
        <v/>
      </c>
      <c r="AT82" s="5">
        <f>IF(OR(('03_Сеть'!AT30-AT28)=0,8&lt;=КаникулыРоялти),0,('03_Сеть'!AT30-AT28)*IF(РоялтиПоГруппам="Да",MeanMinAge08+AT10*SUMIF(ThresholdAge08,"&lt;"&amp;AT10,WeightedRevAge08)-SUMIF(ThresholdAge08,"&lt;"&amp;AT10,WeightedMinAge08),MAX(CapacityAge08*АбонементНовых*AT10,MeanMinAge08)))</f>
        <v/>
      </c>
      <c r="AU82" s="5">
        <f>IF(OR(('03_Сеть'!AU30-AU28)=0,8&lt;=КаникулыРоялти),0,('03_Сеть'!AU30-AU28)*IF(РоялтиПоГруппам="Да",MeanMinAge08+AU10*SUMIF(ThresholdAge08,"&lt;"&amp;AU10,WeightedRevAge08)-SUMIF(ThresholdAge08,"&lt;"&amp;AU10,WeightedMinAge08),MAX(CapacityAge08*АбонементНовых*AU10,MeanMinAge08)))</f>
        <v/>
      </c>
      <c r="AV82" s="5">
        <f>IF(OR(('03_Сеть'!AV30-AV28)=0,8&lt;=КаникулыРоялти),0,('03_Сеть'!AV30-AV28)*IF(РоялтиПоГруппам="Да",MeanMinAge08+AV10*SUMIF(ThresholdAge08,"&lt;"&amp;AV10,WeightedRevAge08)-SUMIF(ThresholdAge08,"&lt;"&amp;AV10,WeightedMinAge08),MAX(CapacityAge08*АбонементНовых*AV10,MeanMinAge08)))</f>
        <v/>
      </c>
      <c r="AW82" s="5">
        <f>IF(OR(('03_Сеть'!AW30-AW28)=0,8&lt;=КаникулыРоялти),0,('03_Сеть'!AW30-AW28)*IF(РоялтиПоГруппам="Да",MeanMinAge08+AW10*SUMIF(ThresholdAge08,"&lt;"&amp;AW10,WeightedRevAge08)-SUMIF(ThresholdAge08,"&lt;"&amp;AW10,WeightedMinAge08),MAX(CapacityAge08*АбонементНовых*AW10,MeanMinAge08)))</f>
        <v/>
      </c>
      <c r="AX82" s="5">
        <f>IF(OR(('03_Сеть'!AX30-AX28)=0,8&lt;=КаникулыРоялти),0,('03_Сеть'!AX30-AX28)*IF(РоялтиПоГруппам="Да",MeanMinAge08+AX10*SUMIF(ThresholdAge08,"&lt;"&amp;AX10,WeightedRevAge08)-SUMIF(ThresholdAge08,"&lt;"&amp;AX10,WeightedMinAge08),MAX(CapacityAge08*АбонементНовых*AX10,MeanMinAge08)))</f>
        <v/>
      </c>
      <c r="AY82" s="5">
        <f>IF(OR(('03_Сеть'!AY30-AY28)=0,8&lt;=КаникулыРоялти),0,('03_Сеть'!AY30-AY28)*IF(РоялтиПоГруппам="Да",MeanMinAge08+AY10*SUMIF(ThresholdAge08,"&lt;"&amp;AY10,WeightedRevAge08)-SUMIF(ThresholdAge08,"&lt;"&amp;AY10,WeightedMinAge08),MAX(CapacityAge08*АбонементНовых*AY10,MeanMinAge08)))</f>
        <v/>
      </c>
      <c r="AZ82" s="5">
        <f>IF(OR(('03_Сеть'!AZ30-AZ28)=0,8&lt;=КаникулыРоялти),0,('03_Сеть'!AZ30-AZ28)*IF(РоялтиПоГруппам="Да",MeanMinAge08+AZ10*SUMIF(ThresholdAge08,"&lt;"&amp;AZ10,WeightedRevAge08)-SUMIF(ThresholdAge08,"&lt;"&amp;AZ10,WeightedMinAge08),MAX(CapacityAge08*АбонементНовых*AZ10,MeanMinAge08)))</f>
        <v/>
      </c>
      <c r="BA82" s="5">
        <f>IF(OR(('03_Сеть'!BA30-BA28)=0,8&lt;=КаникулыРоялти),0,('03_Сеть'!BA30-BA28)*IF(РоялтиПоГруппам="Да",MeanMinAge08+BA10*SUMIF(ThresholdAge08,"&lt;"&amp;BA10,WeightedRevAge08)-SUMIF(ThresholdAge08,"&lt;"&amp;BA10,WeightedMinAge08),MAX(CapacityAge08*АбонементНовых*BA10,MeanMinAge08)))</f>
        <v/>
      </c>
      <c r="BB82" s="5">
        <f>IF(OR(('03_Сеть'!BB30-BB28)=0,8&lt;=КаникулыРоялти),0,('03_Сеть'!BB30-BB28)*IF(РоялтиПоГруппам="Да",MeanMinAge08+BB10*SUMIF(ThresholdAge08,"&lt;"&amp;BB10,WeightedRevAge08)-SUMIF(ThresholdAge08,"&lt;"&amp;BB10,WeightedMinAge08),MAX(CapacityAge08*АбонементНовых*BB10,MeanMinAge08)))</f>
        <v/>
      </c>
      <c r="BC82" s="5">
        <f>IF(OR(('03_Сеть'!BC30-BC28)=0,8&lt;=КаникулыРоялти),0,('03_Сеть'!BC30-BC28)*IF(РоялтиПоГруппам="Да",MeanMinAge08+BC10*SUMIF(ThresholdAge08,"&lt;"&amp;BC10,WeightedRevAge08)-SUMIF(ThresholdAge08,"&lt;"&amp;BC10,WeightedMinAge08),MAX(CapacityAge08*АбонементНовых*BC10,MeanMinAge08)))</f>
        <v/>
      </c>
      <c r="BD82" s="5">
        <f>IF(OR(('03_Сеть'!BD30-BD28)=0,8&lt;=КаникулыРоялти),0,('03_Сеть'!BD30-BD28)*IF(РоялтиПоГруппам="Да",MeanMinAge08+BD10*SUMIF(ThresholdAge08,"&lt;"&amp;BD10,WeightedRevAge08)-SUMIF(ThresholdAge08,"&lt;"&amp;BD10,WeightedMinAge08),MAX(CapacityAge08*АбонементНовых*BD10,MeanMinAge08)))</f>
        <v/>
      </c>
      <c r="BE82" s="5">
        <f>IF(OR(('03_Сеть'!BE30-BE28)=0,8&lt;=КаникулыРоялти),0,('03_Сеть'!BE30-BE28)*IF(РоялтиПоГруппам="Да",MeanMinAge08+BE10*SUMIF(ThresholdAge08,"&lt;"&amp;BE10,WeightedRevAge08)-SUMIF(ThresholdAge08,"&lt;"&amp;BE10,WeightedMinAge08),MAX(CapacityAge08*АбонементНовых*BE10,MeanMinAge08)))</f>
        <v/>
      </c>
      <c r="BF82" s="5">
        <f>IF(OR(('03_Сеть'!BF30-BF28)=0,8&lt;=КаникулыРоялти),0,('03_Сеть'!BF30-BF28)*IF(РоялтиПоГруппам="Да",MeanMinAge08+BF10*SUMIF(ThresholdAge08,"&lt;"&amp;BF10,WeightedRevAge08)-SUMIF(ThresholdAge08,"&lt;"&amp;BF10,WeightedMinAge08),MAX(CapacityAge08*АбонементНовых*BF10,MeanMinAge08)))</f>
        <v/>
      </c>
      <c r="BG82" s="5">
        <f>IF(OR(('03_Сеть'!BG30-BG28)=0,8&lt;=КаникулыРоялти),0,('03_Сеть'!BG30-BG28)*IF(РоялтиПоГруппам="Да",MeanMinAge08+BG10*SUMIF(ThresholdAge08,"&lt;"&amp;BG10,WeightedRevAge08)-SUMIF(ThresholdAge08,"&lt;"&amp;BG10,WeightedMinAge08),MAX(CapacityAge08*АбонементНовых*BG10,MeanMinAge08)))</f>
        <v/>
      </c>
      <c r="BH82" s="5">
        <f>IF(OR(('03_Сеть'!BH30-BH28)=0,8&lt;=КаникулыРоялти),0,('03_Сеть'!BH30-BH28)*IF(РоялтиПоГруппам="Да",MeanMinAge08+BH10*SUMIF(ThresholdAge08,"&lt;"&amp;BH10,WeightedRevAge08)-SUMIF(ThresholdAge08,"&lt;"&amp;BH10,WeightedMinAge08),MAX(CapacityAge08*АбонементНовых*BH10,MeanMinAge08)))</f>
        <v/>
      </c>
      <c r="BI82" s="5">
        <f>IF(OR(('03_Сеть'!BI30-BI28)=0,8&lt;=КаникулыРоялти),0,('03_Сеть'!BI30-BI28)*IF(РоялтиПоГруппам="Да",MeanMinAge08+BI10*SUMIF(ThresholdAge08,"&lt;"&amp;BI10,WeightedRevAge08)-SUMIF(ThresholdAge08,"&lt;"&amp;BI10,WeightedMinAge08),MAX(CapacityAge08*АбонементНовых*BI10,MeanMinAge08)))</f>
        <v/>
      </c>
      <c r="BJ82" s="5">
        <f>IF(OR(('03_Сеть'!BJ30-BJ28)=0,8&lt;=КаникулыРоялти),0,('03_Сеть'!BJ30-BJ28)*IF(РоялтиПоГруппам="Да",MeanMinAge08+BJ10*SUMIF(ThresholdAge08,"&lt;"&amp;BJ10,WeightedRevAge08)-SUMIF(ThresholdAge08,"&lt;"&amp;BJ10,WeightedMinAge08),MAX(CapacityAge08*АбонементНовых*BJ10,MeanMinAge08)))</f>
        <v/>
      </c>
      <c r="BK82" s="5">
        <f>IF(OR(('03_Сеть'!BK30-BK28)=0,8&lt;=КаникулыРоялти),0,('03_Сеть'!BK30-BK28)*IF(РоялтиПоГруппам="Да",MeanMinAge08+BK10*SUMIF(ThresholdAge08,"&lt;"&amp;BK10,WeightedRevAge08)-SUMIF(ThresholdAge08,"&lt;"&amp;BK10,WeightedMinAge08),MAX(CapacityAge08*АбонементНовых*BK10,MeanMinAge08)))</f>
        <v/>
      </c>
      <c r="BL82" s="5">
        <f>IF(OR(('03_Сеть'!BL30-BL28)=0,8&lt;=КаникулыРоялти),0,('03_Сеть'!BL30-BL28)*IF(РоялтиПоГруппам="Да",MeanMinAge08+BL10*SUMIF(ThresholdAge08,"&lt;"&amp;BL10,WeightedRevAge08)-SUMIF(ThresholdAge08,"&lt;"&amp;BL10,WeightedMinAge08),MAX(CapacityAge08*АбонементНовых*BL10,MeanMinAge08)))</f>
        <v/>
      </c>
      <c r="BM82" s="5">
        <f>IF(OR(('03_Сеть'!BM30-BM28)=0,8&lt;=КаникулыРоялти),0,('03_Сеть'!BM30-BM28)*IF(РоялтиПоГруппам="Да",MeanMinAge08+BM10*SUMIF(ThresholdAge08,"&lt;"&amp;BM10,WeightedRevAge08)-SUMIF(ThresholdAge08,"&lt;"&amp;BM10,WeightedMinAge08),MAX(CapacityAge08*АбонементНовых*BM10,MeanMinAge08)))</f>
        <v/>
      </c>
      <c r="BN82" s="5">
        <f>IF(OR(('03_Сеть'!BN30-BN28)=0,8&lt;=КаникулыРоялти),0,('03_Сеть'!BN30-BN28)*IF(РоялтиПоГруппам="Да",MeanMinAge08+BN10*SUMIF(ThresholdAge08,"&lt;"&amp;BN10,WeightedRevAge08)-SUMIF(ThresholdAge08,"&lt;"&amp;BN10,WeightedMinAge08),MAX(CapacityAge08*АбонементНовых*BN10,MeanMinAge08)))</f>
        <v/>
      </c>
      <c r="BO82" s="5">
        <f>IF(OR(('03_Сеть'!BO30-BO28)=0,8&lt;=КаникулыРоялти),0,('03_Сеть'!BO30-BO28)*IF(РоялтиПоГруппам="Да",MeanMinAge08+BO10*SUMIF(ThresholdAge08,"&lt;"&amp;BO10,WeightedRevAge08)-SUMIF(ThresholdAge08,"&lt;"&amp;BO10,WeightedMinAge08),MAX(CapacityAge08*АбонементНовых*BO10,MeanMinAge08)))</f>
        <v/>
      </c>
      <c r="BP82" s="5">
        <f>IF(OR(('03_Сеть'!BP30-BP28)=0,8&lt;=КаникулыРоялти),0,('03_Сеть'!BP30-BP28)*IF(РоялтиПоГруппам="Да",MeanMinAge08+BP10*SUMIF(ThresholdAge08,"&lt;"&amp;BP10,WeightedRevAge08)-SUMIF(ThresholdAge08,"&lt;"&amp;BP10,WeightedMinAge08),MAX(CapacityAge08*АбонементНовых*BP10,MeanMinAge08)))</f>
        <v/>
      </c>
      <c r="BQ82" s="5">
        <f>IF(OR(('03_Сеть'!BQ30-BQ28)=0,8&lt;=КаникулыРоялти),0,('03_Сеть'!BQ30-BQ28)*IF(РоялтиПоГруппам="Да",MeanMinAge08+BQ10*SUMIF(ThresholdAge08,"&lt;"&amp;BQ10,WeightedRevAge08)-SUMIF(ThresholdAge08,"&lt;"&amp;BQ10,WeightedMinAge08),MAX(CapacityAge08*АбонементНовых*BQ10,MeanMinAge08)))</f>
        <v/>
      </c>
      <c r="BR82" s="5">
        <f>IF(OR(('03_Сеть'!BR30-BR28)=0,8&lt;=КаникулыРоялти),0,('03_Сеть'!BR30-BR28)*IF(РоялтиПоГруппам="Да",MeanMinAge08+BR10*SUMIF(ThresholdAge08,"&lt;"&amp;BR10,WeightedRevAge08)-SUMIF(ThresholdAge08,"&lt;"&amp;BR10,WeightedMinAge08),MAX(CapacityAge08*АбонементНовых*BR10,MeanMinAge08)))</f>
        <v/>
      </c>
      <c r="BS82" s="5">
        <f>IF(OR(('03_Сеть'!BS30-BS28)=0,8&lt;=КаникулыРоялти),0,('03_Сеть'!BS30-BS28)*IF(РоялтиПоГруппам="Да",MeanMinAge08+BS10*SUMIF(ThresholdAge08,"&lt;"&amp;BS10,WeightedRevAge08)-SUMIF(ThresholdAge08,"&lt;"&amp;BS10,WeightedMinAge08),MAX(CapacityAge08*АбонементНовых*BS10,MeanMinAge08)))</f>
        <v/>
      </c>
      <c r="BT82" s="5">
        <f>IF(OR(('03_Сеть'!BT30-BT28)=0,8&lt;=КаникулыРоялти),0,('03_Сеть'!BT30-BT28)*IF(РоялтиПоГруппам="Да",MeanMinAge08+BT10*SUMIF(ThresholdAge08,"&lt;"&amp;BT10,WeightedRevAge08)-SUMIF(ThresholdAge08,"&lt;"&amp;BT10,WeightedMinAge08),MAX(CapacityAge08*АбонементНовых*BT10,MeanMinAge08)))</f>
        <v/>
      </c>
      <c r="BU82" s="5">
        <f>IF(OR(('03_Сеть'!BU30-BU28)=0,8&lt;=КаникулыРоялти),0,('03_Сеть'!BU30-BU28)*IF(РоялтиПоГруппам="Да",MeanMinAge08+BU10*SUMIF(ThresholdAge08,"&lt;"&amp;BU10,WeightedRevAge08)-SUMIF(ThresholdAge08,"&lt;"&amp;BU10,WeightedMinAge08),MAX(CapacityAge08*АбонементНовых*BU10,MeanMinAge08)))</f>
        <v/>
      </c>
      <c r="BV82" s="5">
        <f>IF(OR(('03_Сеть'!BV30-BV28)=0,8&lt;=КаникулыРоялти),0,('03_Сеть'!BV30-BV28)*IF(РоялтиПоГруппам="Да",MeanMinAge08+BV10*SUMIF(ThresholdAge08,"&lt;"&amp;BV10,WeightedRevAge08)-SUMIF(ThresholdAge08,"&lt;"&amp;BV10,WeightedMinAge08),MAX(CapacityAge08*АбонементНовых*BV10,MeanMinAge08)))</f>
        <v/>
      </c>
      <c r="BW82" s="5">
        <f>IF(OR(('03_Сеть'!BW30-BW28)=0,8&lt;=КаникулыРоялти),0,('03_Сеть'!BW30-BW28)*IF(РоялтиПоГруппам="Да",MeanMinAge08+BW10*SUMIF(ThresholdAge08,"&lt;"&amp;BW10,WeightedRevAge08)-SUMIF(ThresholdAge08,"&lt;"&amp;BW10,WeightedMinAge08),MAX(CapacityAge08*АбонементНовых*BW10,MeanMinAge08)))</f>
        <v/>
      </c>
      <c r="BX82" s="5">
        <f>IF(OR(('03_Сеть'!BX30-BX28)=0,8&lt;=КаникулыРоялти),0,('03_Сеть'!BX30-BX28)*IF(РоялтиПоГруппам="Да",MeanMinAge08+BX10*SUMIF(ThresholdAge08,"&lt;"&amp;BX10,WeightedRevAge08)-SUMIF(ThresholdAge08,"&lt;"&amp;BX10,WeightedMinAge08),MAX(CapacityAge08*АбонементНовых*BX10,MeanMinAge08)))</f>
        <v/>
      </c>
      <c r="BY82" s="5">
        <f>IF(OR(('03_Сеть'!BY30-BY28)=0,8&lt;=КаникулыРоялти),0,('03_Сеть'!BY30-BY28)*IF(РоялтиПоГруппам="Да",MeanMinAge08+BY10*SUMIF(ThresholdAge08,"&lt;"&amp;BY10,WeightedRevAge08)-SUMIF(ThresholdAge08,"&lt;"&amp;BY10,WeightedMinAge08),MAX(CapacityAge08*АбонементНовых*BY10,MeanMinAge08)))</f>
        <v/>
      </c>
    </row>
    <row r="83">
      <c r="B83" t="inlineStr">
        <is>
          <t>9 мес.</t>
        </is>
      </c>
      <c r="C83" t="inlineStr">
        <is>
          <t>₽</t>
        </is>
      </c>
      <c r="D83" s="127" t="inlineStr"/>
      <c r="E83" s="129">
        <f>SUM(L83:W83)</f>
        <v/>
      </c>
      <c r="F83" s="129">
        <f>SUM(X83:AI83)</f>
        <v/>
      </c>
      <c r="G83" s="129">
        <f>SUM(AJ83:AU83)</f>
        <v/>
      </c>
      <c r="H83" s="129">
        <f>SUM(AV83:BG83)</f>
        <v/>
      </c>
      <c r="I83" s="129">
        <f>SUM(BH83:BS83)</f>
        <v/>
      </c>
      <c r="J83" s="6">
        <f>SUM(L83:BS83)</f>
        <v/>
      </c>
      <c r="L83" s="5">
        <f>IF(OR(('03_Сеть'!L31-L29)=0,9&lt;=КаникулыРоялти),0,('03_Сеть'!L31-L29)*IF(РоялтиПоГруппам="Да",MeanMinAge09+L10*SUMIF(ThresholdAge09,"&lt;"&amp;L10,WeightedRevAge09)-SUMIF(ThresholdAge09,"&lt;"&amp;L10,WeightedMinAge09),MAX(CapacityAge09*АбонементНовых*L10,MeanMinAge09)))</f>
        <v/>
      </c>
      <c r="M83" s="5">
        <f>IF(OR(('03_Сеть'!M31-M29)=0,9&lt;=КаникулыРоялти),0,('03_Сеть'!M31-M29)*IF(РоялтиПоГруппам="Да",MeanMinAge09+M10*SUMIF(ThresholdAge09,"&lt;"&amp;M10,WeightedRevAge09)-SUMIF(ThresholdAge09,"&lt;"&amp;M10,WeightedMinAge09),MAX(CapacityAge09*АбонементНовых*M10,MeanMinAge09)))</f>
        <v/>
      </c>
      <c r="N83" s="5">
        <f>IF(OR(('03_Сеть'!N31-N29)=0,9&lt;=КаникулыРоялти),0,('03_Сеть'!N31-N29)*IF(РоялтиПоГруппам="Да",MeanMinAge09+N10*SUMIF(ThresholdAge09,"&lt;"&amp;N10,WeightedRevAge09)-SUMIF(ThresholdAge09,"&lt;"&amp;N10,WeightedMinAge09),MAX(CapacityAge09*АбонементНовых*N10,MeanMinAge09)))</f>
        <v/>
      </c>
      <c r="O83" s="5">
        <f>IF(OR(('03_Сеть'!O31-O29)=0,9&lt;=КаникулыРоялти),0,('03_Сеть'!O31-O29)*IF(РоялтиПоГруппам="Да",MeanMinAge09+O10*SUMIF(ThresholdAge09,"&lt;"&amp;O10,WeightedRevAge09)-SUMIF(ThresholdAge09,"&lt;"&amp;O10,WeightedMinAge09),MAX(CapacityAge09*АбонементНовых*O10,MeanMinAge09)))</f>
        <v/>
      </c>
      <c r="P83" s="5">
        <f>IF(OR(('03_Сеть'!P31-P29)=0,9&lt;=КаникулыРоялти),0,('03_Сеть'!P31-P29)*IF(РоялтиПоГруппам="Да",MeanMinAge09+P10*SUMIF(ThresholdAge09,"&lt;"&amp;P10,WeightedRevAge09)-SUMIF(ThresholdAge09,"&lt;"&amp;P10,WeightedMinAge09),MAX(CapacityAge09*АбонементНовых*P10,MeanMinAge09)))</f>
        <v/>
      </c>
      <c r="Q83" s="5">
        <f>IF(OR(('03_Сеть'!Q31-Q29)=0,9&lt;=КаникулыРоялти),0,('03_Сеть'!Q31-Q29)*IF(РоялтиПоГруппам="Да",MeanMinAge09+Q10*SUMIF(ThresholdAge09,"&lt;"&amp;Q10,WeightedRevAge09)-SUMIF(ThresholdAge09,"&lt;"&amp;Q10,WeightedMinAge09),MAX(CapacityAge09*АбонементНовых*Q10,MeanMinAge09)))</f>
        <v/>
      </c>
      <c r="R83" s="5">
        <f>IF(OR(('03_Сеть'!R31-R29)=0,9&lt;=КаникулыРоялти),0,('03_Сеть'!R31-R29)*IF(РоялтиПоГруппам="Да",MeanMinAge09+R10*SUMIF(ThresholdAge09,"&lt;"&amp;R10,WeightedRevAge09)-SUMIF(ThresholdAge09,"&lt;"&amp;R10,WeightedMinAge09),MAX(CapacityAge09*АбонементНовых*R10,MeanMinAge09)))</f>
        <v/>
      </c>
      <c r="S83" s="5">
        <f>IF(OR(('03_Сеть'!S31-S29)=0,9&lt;=КаникулыРоялти),0,('03_Сеть'!S31-S29)*IF(РоялтиПоГруппам="Да",MeanMinAge09+S10*SUMIF(ThresholdAge09,"&lt;"&amp;S10,WeightedRevAge09)-SUMIF(ThresholdAge09,"&lt;"&amp;S10,WeightedMinAge09),MAX(CapacityAge09*АбонементНовых*S10,MeanMinAge09)))</f>
        <v/>
      </c>
      <c r="T83" s="5">
        <f>IF(OR(('03_Сеть'!T31-T29)=0,9&lt;=КаникулыРоялти),0,('03_Сеть'!T31-T29)*IF(РоялтиПоГруппам="Да",MeanMinAge09+T10*SUMIF(ThresholdAge09,"&lt;"&amp;T10,WeightedRevAge09)-SUMIF(ThresholdAge09,"&lt;"&amp;T10,WeightedMinAge09),MAX(CapacityAge09*АбонементНовых*T10,MeanMinAge09)))</f>
        <v/>
      </c>
      <c r="U83" s="5">
        <f>IF(OR(('03_Сеть'!U31-U29)=0,9&lt;=КаникулыРоялти),0,('03_Сеть'!U31-U29)*IF(РоялтиПоГруппам="Да",MeanMinAge09+U10*SUMIF(ThresholdAge09,"&lt;"&amp;U10,WeightedRevAge09)-SUMIF(ThresholdAge09,"&lt;"&amp;U10,WeightedMinAge09),MAX(CapacityAge09*АбонементНовых*U10,MeanMinAge09)))</f>
        <v/>
      </c>
      <c r="V83" s="5">
        <f>IF(OR(('03_Сеть'!V31-V29)=0,9&lt;=КаникулыРоялти),0,('03_Сеть'!V31-V29)*IF(РоялтиПоГруппам="Да",MeanMinAge09+V10*SUMIF(ThresholdAge09,"&lt;"&amp;V10,WeightedRevAge09)-SUMIF(ThresholdAge09,"&lt;"&amp;V10,WeightedMinAge09),MAX(CapacityAge09*АбонементНовых*V10,MeanMinAge09)))</f>
        <v/>
      </c>
      <c r="W83" s="5">
        <f>IF(OR(('03_Сеть'!W31-W29)=0,9&lt;=КаникулыРоялти),0,('03_Сеть'!W31-W29)*IF(РоялтиПоГруппам="Да",MeanMinAge09+W10*SUMIF(ThresholdAge09,"&lt;"&amp;W10,WeightedRevAge09)-SUMIF(ThresholdAge09,"&lt;"&amp;W10,WeightedMinAge09),MAX(CapacityAge09*АбонементНовых*W10,MeanMinAge09)))</f>
        <v/>
      </c>
      <c r="X83" s="5">
        <f>IF(OR(('03_Сеть'!X31-X29)=0,9&lt;=КаникулыРоялти),0,('03_Сеть'!X31-X29)*IF(РоялтиПоГруппам="Да",MeanMinAge09+X10*SUMIF(ThresholdAge09,"&lt;"&amp;X10,WeightedRevAge09)-SUMIF(ThresholdAge09,"&lt;"&amp;X10,WeightedMinAge09),MAX(CapacityAge09*АбонементНовых*X10,MeanMinAge09)))</f>
        <v/>
      </c>
      <c r="Y83" s="5">
        <f>IF(OR(('03_Сеть'!Y31-Y29)=0,9&lt;=КаникулыРоялти),0,('03_Сеть'!Y31-Y29)*IF(РоялтиПоГруппам="Да",MeanMinAge09+Y10*SUMIF(ThresholdAge09,"&lt;"&amp;Y10,WeightedRevAge09)-SUMIF(ThresholdAge09,"&lt;"&amp;Y10,WeightedMinAge09),MAX(CapacityAge09*АбонементНовых*Y10,MeanMinAge09)))</f>
        <v/>
      </c>
      <c r="Z83" s="5">
        <f>IF(OR(('03_Сеть'!Z31-Z29)=0,9&lt;=КаникулыРоялти),0,('03_Сеть'!Z31-Z29)*IF(РоялтиПоГруппам="Да",MeanMinAge09+Z10*SUMIF(ThresholdAge09,"&lt;"&amp;Z10,WeightedRevAge09)-SUMIF(ThresholdAge09,"&lt;"&amp;Z10,WeightedMinAge09),MAX(CapacityAge09*АбонементНовых*Z10,MeanMinAge09)))</f>
        <v/>
      </c>
      <c r="AA83" s="5">
        <f>IF(OR(('03_Сеть'!AA31-AA29)=0,9&lt;=КаникулыРоялти),0,('03_Сеть'!AA31-AA29)*IF(РоялтиПоГруппам="Да",MeanMinAge09+AA10*SUMIF(ThresholdAge09,"&lt;"&amp;AA10,WeightedRevAge09)-SUMIF(ThresholdAge09,"&lt;"&amp;AA10,WeightedMinAge09),MAX(CapacityAge09*АбонементНовых*AA10,MeanMinAge09)))</f>
        <v/>
      </c>
      <c r="AB83" s="5">
        <f>IF(OR(('03_Сеть'!AB31-AB29)=0,9&lt;=КаникулыРоялти),0,('03_Сеть'!AB31-AB29)*IF(РоялтиПоГруппам="Да",MeanMinAge09+AB10*SUMIF(ThresholdAge09,"&lt;"&amp;AB10,WeightedRevAge09)-SUMIF(ThresholdAge09,"&lt;"&amp;AB10,WeightedMinAge09),MAX(CapacityAge09*АбонементНовых*AB10,MeanMinAge09)))</f>
        <v/>
      </c>
      <c r="AC83" s="5">
        <f>IF(OR(('03_Сеть'!AC31-AC29)=0,9&lt;=КаникулыРоялти),0,('03_Сеть'!AC31-AC29)*IF(РоялтиПоГруппам="Да",MeanMinAge09+AC10*SUMIF(ThresholdAge09,"&lt;"&amp;AC10,WeightedRevAge09)-SUMIF(ThresholdAge09,"&lt;"&amp;AC10,WeightedMinAge09),MAX(CapacityAge09*АбонементНовых*AC10,MeanMinAge09)))</f>
        <v/>
      </c>
      <c r="AD83" s="5">
        <f>IF(OR(('03_Сеть'!AD31-AD29)=0,9&lt;=КаникулыРоялти),0,('03_Сеть'!AD31-AD29)*IF(РоялтиПоГруппам="Да",MeanMinAge09+AD10*SUMIF(ThresholdAge09,"&lt;"&amp;AD10,WeightedRevAge09)-SUMIF(ThresholdAge09,"&lt;"&amp;AD10,WeightedMinAge09),MAX(CapacityAge09*АбонементНовых*AD10,MeanMinAge09)))</f>
        <v/>
      </c>
      <c r="AE83" s="5">
        <f>IF(OR(('03_Сеть'!AE31-AE29)=0,9&lt;=КаникулыРоялти),0,('03_Сеть'!AE31-AE29)*IF(РоялтиПоГруппам="Да",MeanMinAge09+AE10*SUMIF(ThresholdAge09,"&lt;"&amp;AE10,WeightedRevAge09)-SUMIF(ThresholdAge09,"&lt;"&amp;AE10,WeightedMinAge09),MAX(CapacityAge09*АбонементНовых*AE10,MeanMinAge09)))</f>
        <v/>
      </c>
      <c r="AF83" s="5">
        <f>IF(OR(('03_Сеть'!AF31-AF29)=0,9&lt;=КаникулыРоялти),0,('03_Сеть'!AF31-AF29)*IF(РоялтиПоГруппам="Да",MeanMinAge09+AF10*SUMIF(ThresholdAge09,"&lt;"&amp;AF10,WeightedRevAge09)-SUMIF(ThresholdAge09,"&lt;"&amp;AF10,WeightedMinAge09),MAX(CapacityAge09*АбонементНовых*AF10,MeanMinAge09)))</f>
        <v/>
      </c>
      <c r="AG83" s="5">
        <f>IF(OR(('03_Сеть'!AG31-AG29)=0,9&lt;=КаникулыРоялти),0,('03_Сеть'!AG31-AG29)*IF(РоялтиПоГруппам="Да",MeanMinAge09+AG10*SUMIF(ThresholdAge09,"&lt;"&amp;AG10,WeightedRevAge09)-SUMIF(ThresholdAge09,"&lt;"&amp;AG10,WeightedMinAge09),MAX(CapacityAge09*АбонементНовых*AG10,MeanMinAge09)))</f>
        <v/>
      </c>
      <c r="AH83" s="5">
        <f>IF(OR(('03_Сеть'!AH31-AH29)=0,9&lt;=КаникулыРоялти),0,('03_Сеть'!AH31-AH29)*IF(РоялтиПоГруппам="Да",MeanMinAge09+AH10*SUMIF(ThresholdAge09,"&lt;"&amp;AH10,WeightedRevAge09)-SUMIF(ThresholdAge09,"&lt;"&amp;AH10,WeightedMinAge09),MAX(CapacityAge09*АбонементНовых*AH10,MeanMinAge09)))</f>
        <v/>
      </c>
      <c r="AI83" s="5">
        <f>IF(OR(('03_Сеть'!AI31-AI29)=0,9&lt;=КаникулыРоялти),0,('03_Сеть'!AI31-AI29)*IF(РоялтиПоГруппам="Да",MeanMinAge09+AI10*SUMIF(ThresholdAge09,"&lt;"&amp;AI10,WeightedRevAge09)-SUMIF(ThresholdAge09,"&lt;"&amp;AI10,WeightedMinAge09),MAX(CapacityAge09*АбонементНовых*AI10,MeanMinAge09)))</f>
        <v/>
      </c>
      <c r="AJ83" s="5">
        <f>IF(OR(('03_Сеть'!AJ31-AJ29)=0,9&lt;=КаникулыРоялти),0,('03_Сеть'!AJ31-AJ29)*IF(РоялтиПоГруппам="Да",MeanMinAge09+AJ10*SUMIF(ThresholdAge09,"&lt;"&amp;AJ10,WeightedRevAge09)-SUMIF(ThresholdAge09,"&lt;"&amp;AJ10,WeightedMinAge09),MAX(CapacityAge09*АбонементНовых*AJ10,MeanMinAge09)))</f>
        <v/>
      </c>
      <c r="AK83" s="5">
        <f>IF(OR(('03_Сеть'!AK31-AK29)=0,9&lt;=КаникулыРоялти),0,('03_Сеть'!AK31-AK29)*IF(РоялтиПоГруппам="Да",MeanMinAge09+AK10*SUMIF(ThresholdAge09,"&lt;"&amp;AK10,WeightedRevAge09)-SUMIF(ThresholdAge09,"&lt;"&amp;AK10,WeightedMinAge09),MAX(CapacityAge09*АбонементНовых*AK10,MeanMinAge09)))</f>
        <v/>
      </c>
      <c r="AL83" s="5">
        <f>IF(OR(('03_Сеть'!AL31-AL29)=0,9&lt;=КаникулыРоялти),0,('03_Сеть'!AL31-AL29)*IF(РоялтиПоГруппам="Да",MeanMinAge09+AL10*SUMIF(ThresholdAge09,"&lt;"&amp;AL10,WeightedRevAge09)-SUMIF(ThresholdAge09,"&lt;"&amp;AL10,WeightedMinAge09),MAX(CapacityAge09*АбонементНовых*AL10,MeanMinAge09)))</f>
        <v/>
      </c>
      <c r="AM83" s="5">
        <f>IF(OR(('03_Сеть'!AM31-AM29)=0,9&lt;=КаникулыРоялти),0,('03_Сеть'!AM31-AM29)*IF(РоялтиПоГруппам="Да",MeanMinAge09+AM10*SUMIF(ThresholdAge09,"&lt;"&amp;AM10,WeightedRevAge09)-SUMIF(ThresholdAge09,"&lt;"&amp;AM10,WeightedMinAge09),MAX(CapacityAge09*АбонементНовых*AM10,MeanMinAge09)))</f>
        <v/>
      </c>
      <c r="AN83" s="5">
        <f>IF(OR(('03_Сеть'!AN31-AN29)=0,9&lt;=КаникулыРоялти),0,('03_Сеть'!AN31-AN29)*IF(РоялтиПоГруппам="Да",MeanMinAge09+AN10*SUMIF(ThresholdAge09,"&lt;"&amp;AN10,WeightedRevAge09)-SUMIF(ThresholdAge09,"&lt;"&amp;AN10,WeightedMinAge09),MAX(CapacityAge09*АбонементНовых*AN10,MeanMinAge09)))</f>
        <v/>
      </c>
      <c r="AO83" s="5">
        <f>IF(OR(('03_Сеть'!AO31-AO29)=0,9&lt;=КаникулыРоялти),0,('03_Сеть'!AO31-AO29)*IF(РоялтиПоГруппам="Да",MeanMinAge09+AO10*SUMIF(ThresholdAge09,"&lt;"&amp;AO10,WeightedRevAge09)-SUMIF(ThresholdAge09,"&lt;"&amp;AO10,WeightedMinAge09),MAX(CapacityAge09*АбонементНовых*AO10,MeanMinAge09)))</f>
        <v/>
      </c>
      <c r="AP83" s="5">
        <f>IF(OR(('03_Сеть'!AP31-AP29)=0,9&lt;=КаникулыРоялти),0,('03_Сеть'!AP31-AP29)*IF(РоялтиПоГруппам="Да",MeanMinAge09+AP10*SUMIF(ThresholdAge09,"&lt;"&amp;AP10,WeightedRevAge09)-SUMIF(ThresholdAge09,"&lt;"&amp;AP10,WeightedMinAge09),MAX(CapacityAge09*АбонементНовых*AP10,MeanMinAge09)))</f>
        <v/>
      </c>
      <c r="AQ83" s="5">
        <f>IF(OR(('03_Сеть'!AQ31-AQ29)=0,9&lt;=КаникулыРоялти),0,('03_Сеть'!AQ31-AQ29)*IF(РоялтиПоГруппам="Да",MeanMinAge09+AQ10*SUMIF(ThresholdAge09,"&lt;"&amp;AQ10,WeightedRevAge09)-SUMIF(ThresholdAge09,"&lt;"&amp;AQ10,WeightedMinAge09),MAX(CapacityAge09*АбонементНовых*AQ10,MeanMinAge09)))</f>
        <v/>
      </c>
      <c r="AR83" s="5">
        <f>IF(OR(('03_Сеть'!AR31-AR29)=0,9&lt;=КаникулыРоялти),0,('03_Сеть'!AR31-AR29)*IF(РоялтиПоГруппам="Да",MeanMinAge09+AR10*SUMIF(ThresholdAge09,"&lt;"&amp;AR10,WeightedRevAge09)-SUMIF(ThresholdAge09,"&lt;"&amp;AR10,WeightedMinAge09),MAX(CapacityAge09*АбонементНовых*AR10,MeanMinAge09)))</f>
        <v/>
      </c>
      <c r="AS83" s="5">
        <f>IF(OR(('03_Сеть'!AS31-AS29)=0,9&lt;=КаникулыРоялти),0,('03_Сеть'!AS31-AS29)*IF(РоялтиПоГруппам="Да",MeanMinAge09+AS10*SUMIF(ThresholdAge09,"&lt;"&amp;AS10,WeightedRevAge09)-SUMIF(ThresholdAge09,"&lt;"&amp;AS10,WeightedMinAge09),MAX(CapacityAge09*АбонементНовых*AS10,MeanMinAge09)))</f>
        <v/>
      </c>
      <c r="AT83" s="5">
        <f>IF(OR(('03_Сеть'!AT31-AT29)=0,9&lt;=КаникулыРоялти),0,('03_Сеть'!AT31-AT29)*IF(РоялтиПоГруппам="Да",MeanMinAge09+AT10*SUMIF(ThresholdAge09,"&lt;"&amp;AT10,WeightedRevAge09)-SUMIF(ThresholdAge09,"&lt;"&amp;AT10,WeightedMinAge09),MAX(CapacityAge09*АбонементНовых*AT10,MeanMinAge09)))</f>
        <v/>
      </c>
      <c r="AU83" s="5">
        <f>IF(OR(('03_Сеть'!AU31-AU29)=0,9&lt;=КаникулыРоялти),0,('03_Сеть'!AU31-AU29)*IF(РоялтиПоГруппам="Да",MeanMinAge09+AU10*SUMIF(ThresholdAge09,"&lt;"&amp;AU10,WeightedRevAge09)-SUMIF(ThresholdAge09,"&lt;"&amp;AU10,WeightedMinAge09),MAX(CapacityAge09*АбонементНовых*AU10,MeanMinAge09)))</f>
        <v/>
      </c>
      <c r="AV83" s="5">
        <f>IF(OR(('03_Сеть'!AV31-AV29)=0,9&lt;=КаникулыРоялти),0,('03_Сеть'!AV31-AV29)*IF(РоялтиПоГруппам="Да",MeanMinAge09+AV10*SUMIF(ThresholdAge09,"&lt;"&amp;AV10,WeightedRevAge09)-SUMIF(ThresholdAge09,"&lt;"&amp;AV10,WeightedMinAge09),MAX(CapacityAge09*АбонементНовых*AV10,MeanMinAge09)))</f>
        <v/>
      </c>
      <c r="AW83" s="5">
        <f>IF(OR(('03_Сеть'!AW31-AW29)=0,9&lt;=КаникулыРоялти),0,('03_Сеть'!AW31-AW29)*IF(РоялтиПоГруппам="Да",MeanMinAge09+AW10*SUMIF(ThresholdAge09,"&lt;"&amp;AW10,WeightedRevAge09)-SUMIF(ThresholdAge09,"&lt;"&amp;AW10,WeightedMinAge09),MAX(CapacityAge09*АбонементНовых*AW10,MeanMinAge09)))</f>
        <v/>
      </c>
      <c r="AX83" s="5">
        <f>IF(OR(('03_Сеть'!AX31-AX29)=0,9&lt;=КаникулыРоялти),0,('03_Сеть'!AX31-AX29)*IF(РоялтиПоГруппам="Да",MeanMinAge09+AX10*SUMIF(ThresholdAge09,"&lt;"&amp;AX10,WeightedRevAge09)-SUMIF(ThresholdAge09,"&lt;"&amp;AX10,WeightedMinAge09),MAX(CapacityAge09*АбонементНовых*AX10,MeanMinAge09)))</f>
        <v/>
      </c>
      <c r="AY83" s="5">
        <f>IF(OR(('03_Сеть'!AY31-AY29)=0,9&lt;=КаникулыРоялти),0,('03_Сеть'!AY31-AY29)*IF(РоялтиПоГруппам="Да",MeanMinAge09+AY10*SUMIF(ThresholdAge09,"&lt;"&amp;AY10,WeightedRevAge09)-SUMIF(ThresholdAge09,"&lt;"&amp;AY10,WeightedMinAge09),MAX(CapacityAge09*АбонементНовых*AY10,MeanMinAge09)))</f>
        <v/>
      </c>
      <c r="AZ83" s="5">
        <f>IF(OR(('03_Сеть'!AZ31-AZ29)=0,9&lt;=КаникулыРоялти),0,('03_Сеть'!AZ31-AZ29)*IF(РоялтиПоГруппам="Да",MeanMinAge09+AZ10*SUMIF(ThresholdAge09,"&lt;"&amp;AZ10,WeightedRevAge09)-SUMIF(ThresholdAge09,"&lt;"&amp;AZ10,WeightedMinAge09),MAX(CapacityAge09*АбонементНовых*AZ10,MeanMinAge09)))</f>
        <v/>
      </c>
      <c r="BA83" s="5">
        <f>IF(OR(('03_Сеть'!BA31-BA29)=0,9&lt;=КаникулыРоялти),0,('03_Сеть'!BA31-BA29)*IF(РоялтиПоГруппам="Да",MeanMinAge09+BA10*SUMIF(ThresholdAge09,"&lt;"&amp;BA10,WeightedRevAge09)-SUMIF(ThresholdAge09,"&lt;"&amp;BA10,WeightedMinAge09),MAX(CapacityAge09*АбонементНовых*BA10,MeanMinAge09)))</f>
        <v/>
      </c>
      <c r="BB83" s="5">
        <f>IF(OR(('03_Сеть'!BB31-BB29)=0,9&lt;=КаникулыРоялти),0,('03_Сеть'!BB31-BB29)*IF(РоялтиПоГруппам="Да",MeanMinAge09+BB10*SUMIF(ThresholdAge09,"&lt;"&amp;BB10,WeightedRevAge09)-SUMIF(ThresholdAge09,"&lt;"&amp;BB10,WeightedMinAge09),MAX(CapacityAge09*АбонементНовых*BB10,MeanMinAge09)))</f>
        <v/>
      </c>
      <c r="BC83" s="5">
        <f>IF(OR(('03_Сеть'!BC31-BC29)=0,9&lt;=КаникулыРоялти),0,('03_Сеть'!BC31-BC29)*IF(РоялтиПоГруппам="Да",MeanMinAge09+BC10*SUMIF(ThresholdAge09,"&lt;"&amp;BC10,WeightedRevAge09)-SUMIF(ThresholdAge09,"&lt;"&amp;BC10,WeightedMinAge09),MAX(CapacityAge09*АбонементНовых*BC10,MeanMinAge09)))</f>
        <v/>
      </c>
      <c r="BD83" s="5">
        <f>IF(OR(('03_Сеть'!BD31-BD29)=0,9&lt;=КаникулыРоялти),0,('03_Сеть'!BD31-BD29)*IF(РоялтиПоГруппам="Да",MeanMinAge09+BD10*SUMIF(ThresholdAge09,"&lt;"&amp;BD10,WeightedRevAge09)-SUMIF(ThresholdAge09,"&lt;"&amp;BD10,WeightedMinAge09),MAX(CapacityAge09*АбонементНовых*BD10,MeanMinAge09)))</f>
        <v/>
      </c>
      <c r="BE83" s="5">
        <f>IF(OR(('03_Сеть'!BE31-BE29)=0,9&lt;=КаникулыРоялти),0,('03_Сеть'!BE31-BE29)*IF(РоялтиПоГруппам="Да",MeanMinAge09+BE10*SUMIF(ThresholdAge09,"&lt;"&amp;BE10,WeightedRevAge09)-SUMIF(ThresholdAge09,"&lt;"&amp;BE10,WeightedMinAge09),MAX(CapacityAge09*АбонементНовых*BE10,MeanMinAge09)))</f>
        <v/>
      </c>
      <c r="BF83" s="5">
        <f>IF(OR(('03_Сеть'!BF31-BF29)=0,9&lt;=КаникулыРоялти),0,('03_Сеть'!BF31-BF29)*IF(РоялтиПоГруппам="Да",MeanMinAge09+BF10*SUMIF(ThresholdAge09,"&lt;"&amp;BF10,WeightedRevAge09)-SUMIF(ThresholdAge09,"&lt;"&amp;BF10,WeightedMinAge09),MAX(CapacityAge09*АбонементНовых*BF10,MeanMinAge09)))</f>
        <v/>
      </c>
      <c r="BG83" s="5">
        <f>IF(OR(('03_Сеть'!BG31-BG29)=0,9&lt;=КаникулыРоялти),0,('03_Сеть'!BG31-BG29)*IF(РоялтиПоГруппам="Да",MeanMinAge09+BG10*SUMIF(ThresholdAge09,"&lt;"&amp;BG10,WeightedRevAge09)-SUMIF(ThresholdAge09,"&lt;"&amp;BG10,WeightedMinAge09),MAX(CapacityAge09*АбонементНовых*BG10,MeanMinAge09)))</f>
        <v/>
      </c>
      <c r="BH83" s="5">
        <f>IF(OR(('03_Сеть'!BH31-BH29)=0,9&lt;=КаникулыРоялти),0,('03_Сеть'!BH31-BH29)*IF(РоялтиПоГруппам="Да",MeanMinAge09+BH10*SUMIF(ThresholdAge09,"&lt;"&amp;BH10,WeightedRevAge09)-SUMIF(ThresholdAge09,"&lt;"&amp;BH10,WeightedMinAge09),MAX(CapacityAge09*АбонементНовых*BH10,MeanMinAge09)))</f>
        <v/>
      </c>
      <c r="BI83" s="5">
        <f>IF(OR(('03_Сеть'!BI31-BI29)=0,9&lt;=КаникулыРоялти),0,('03_Сеть'!BI31-BI29)*IF(РоялтиПоГруппам="Да",MeanMinAge09+BI10*SUMIF(ThresholdAge09,"&lt;"&amp;BI10,WeightedRevAge09)-SUMIF(ThresholdAge09,"&lt;"&amp;BI10,WeightedMinAge09),MAX(CapacityAge09*АбонементНовых*BI10,MeanMinAge09)))</f>
        <v/>
      </c>
      <c r="BJ83" s="5">
        <f>IF(OR(('03_Сеть'!BJ31-BJ29)=0,9&lt;=КаникулыРоялти),0,('03_Сеть'!BJ31-BJ29)*IF(РоялтиПоГруппам="Да",MeanMinAge09+BJ10*SUMIF(ThresholdAge09,"&lt;"&amp;BJ10,WeightedRevAge09)-SUMIF(ThresholdAge09,"&lt;"&amp;BJ10,WeightedMinAge09),MAX(CapacityAge09*АбонементНовых*BJ10,MeanMinAge09)))</f>
        <v/>
      </c>
      <c r="BK83" s="5">
        <f>IF(OR(('03_Сеть'!BK31-BK29)=0,9&lt;=КаникулыРоялти),0,('03_Сеть'!BK31-BK29)*IF(РоялтиПоГруппам="Да",MeanMinAge09+BK10*SUMIF(ThresholdAge09,"&lt;"&amp;BK10,WeightedRevAge09)-SUMIF(ThresholdAge09,"&lt;"&amp;BK10,WeightedMinAge09),MAX(CapacityAge09*АбонементНовых*BK10,MeanMinAge09)))</f>
        <v/>
      </c>
      <c r="BL83" s="5">
        <f>IF(OR(('03_Сеть'!BL31-BL29)=0,9&lt;=КаникулыРоялти),0,('03_Сеть'!BL31-BL29)*IF(РоялтиПоГруппам="Да",MeanMinAge09+BL10*SUMIF(ThresholdAge09,"&lt;"&amp;BL10,WeightedRevAge09)-SUMIF(ThresholdAge09,"&lt;"&amp;BL10,WeightedMinAge09),MAX(CapacityAge09*АбонементНовых*BL10,MeanMinAge09)))</f>
        <v/>
      </c>
      <c r="BM83" s="5">
        <f>IF(OR(('03_Сеть'!BM31-BM29)=0,9&lt;=КаникулыРоялти),0,('03_Сеть'!BM31-BM29)*IF(РоялтиПоГруппам="Да",MeanMinAge09+BM10*SUMIF(ThresholdAge09,"&lt;"&amp;BM10,WeightedRevAge09)-SUMIF(ThresholdAge09,"&lt;"&amp;BM10,WeightedMinAge09),MAX(CapacityAge09*АбонементНовых*BM10,MeanMinAge09)))</f>
        <v/>
      </c>
      <c r="BN83" s="5">
        <f>IF(OR(('03_Сеть'!BN31-BN29)=0,9&lt;=КаникулыРоялти),0,('03_Сеть'!BN31-BN29)*IF(РоялтиПоГруппам="Да",MeanMinAge09+BN10*SUMIF(ThresholdAge09,"&lt;"&amp;BN10,WeightedRevAge09)-SUMIF(ThresholdAge09,"&lt;"&amp;BN10,WeightedMinAge09),MAX(CapacityAge09*АбонементНовых*BN10,MeanMinAge09)))</f>
        <v/>
      </c>
      <c r="BO83" s="5">
        <f>IF(OR(('03_Сеть'!BO31-BO29)=0,9&lt;=КаникулыРоялти),0,('03_Сеть'!BO31-BO29)*IF(РоялтиПоГруппам="Да",MeanMinAge09+BO10*SUMIF(ThresholdAge09,"&lt;"&amp;BO10,WeightedRevAge09)-SUMIF(ThresholdAge09,"&lt;"&amp;BO10,WeightedMinAge09),MAX(CapacityAge09*АбонементНовых*BO10,MeanMinAge09)))</f>
        <v/>
      </c>
      <c r="BP83" s="5">
        <f>IF(OR(('03_Сеть'!BP31-BP29)=0,9&lt;=КаникулыРоялти),0,('03_Сеть'!BP31-BP29)*IF(РоялтиПоГруппам="Да",MeanMinAge09+BP10*SUMIF(ThresholdAge09,"&lt;"&amp;BP10,WeightedRevAge09)-SUMIF(ThresholdAge09,"&lt;"&amp;BP10,WeightedMinAge09),MAX(CapacityAge09*АбонементНовых*BP10,MeanMinAge09)))</f>
        <v/>
      </c>
      <c r="BQ83" s="5">
        <f>IF(OR(('03_Сеть'!BQ31-BQ29)=0,9&lt;=КаникулыРоялти),0,('03_Сеть'!BQ31-BQ29)*IF(РоялтиПоГруппам="Да",MeanMinAge09+BQ10*SUMIF(ThresholdAge09,"&lt;"&amp;BQ10,WeightedRevAge09)-SUMIF(ThresholdAge09,"&lt;"&amp;BQ10,WeightedMinAge09),MAX(CapacityAge09*АбонементНовых*BQ10,MeanMinAge09)))</f>
        <v/>
      </c>
      <c r="BR83" s="5">
        <f>IF(OR(('03_Сеть'!BR31-BR29)=0,9&lt;=КаникулыРоялти),0,('03_Сеть'!BR31-BR29)*IF(РоялтиПоГруппам="Да",MeanMinAge09+BR10*SUMIF(ThresholdAge09,"&lt;"&amp;BR10,WeightedRevAge09)-SUMIF(ThresholdAge09,"&lt;"&amp;BR10,WeightedMinAge09),MAX(CapacityAge09*АбонементНовых*BR10,MeanMinAge09)))</f>
        <v/>
      </c>
      <c r="BS83" s="5">
        <f>IF(OR(('03_Сеть'!BS31-BS29)=0,9&lt;=КаникулыРоялти),0,('03_Сеть'!BS31-BS29)*IF(РоялтиПоГруппам="Да",MeanMinAge09+BS10*SUMIF(ThresholdAge09,"&lt;"&amp;BS10,WeightedRevAge09)-SUMIF(ThresholdAge09,"&lt;"&amp;BS10,WeightedMinAge09),MAX(CapacityAge09*АбонементНовых*BS10,MeanMinAge09)))</f>
        <v/>
      </c>
      <c r="BT83" s="5">
        <f>IF(OR(('03_Сеть'!BT31-BT29)=0,9&lt;=КаникулыРоялти),0,('03_Сеть'!BT31-BT29)*IF(РоялтиПоГруппам="Да",MeanMinAge09+BT10*SUMIF(ThresholdAge09,"&lt;"&amp;BT10,WeightedRevAge09)-SUMIF(ThresholdAge09,"&lt;"&amp;BT10,WeightedMinAge09),MAX(CapacityAge09*АбонементНовых*BT10,MeanMinAge09)))</f>
        <v/>
      </c>
      <c r="BU83" s="5">
        <f>IF(OR(('03_Сеть'!BU31-BU29)=0,9&lt;=КаникулыРоялти),0,('03_Сеть'!BU31-BU29)*IF(РоялтиПоГруппам="Да",MeanMinAge09+BU10*SUMIF(ThresholdAge09,"&lt;"&amp;BU10,WeightedRevAge09)-SUMIF(ThresholdAge09,"&lt;"&amp;BU10,WeightedMinAge09),MAX(CapacityAge09*АбонементНовых*BU10,MeanMinAge09)))</f>
        <v/>
      </c>
      <c r="BV83" s="5">
        <f>IF(OR(('03_Сеть'!BV31-BV29)=0,9&lt;=КаникулыРоялти),0,('03_Сеть'!BV31-BV29)*IF(РоялтиПоГруппам="Да",MeanMinAge09+BV10*SUMIF(ThresholdAge09,"&lt;"&amp;BV10,WeightedRevAge09)-SUMIF(ThresholdAge09,"&lt;"&amp;BV10,WeightedMinAge09),MAX(CapacityAge09*АбонементНовых*BV10,MeanMinAge09)))</f>
        <v/>
      </c>
      <c r="BW83" s="5">
        <f>IF(OR(('03_Сеть'!BW31-BW29)=0,9&lt;=КаникулыРоялти),0,('03_Сеть'!BW31-BW29)*IF(РоялтиПоГруппам="Да",MeanMinAge09+BW10*SUMIF(ThresholdAge09,"&lt;"&amp;BW10,WeightedRevAge09)-SUMIF(ThresholdAge09,"&lt;"&amp;BW10,WeightedMinAge09),MAX(CapacityAge09*АбонементНовых*BW10,MeanMinAge09)))</f>
        <v/>
      </c>
      <c r="BX83" s="5">
        <f>IF(OR(('03_Сеть'!BX31-BX29)=0,9&lt;=КаникулыРоялти),0,('03_Сеть'!BX31-BX29)*IF(РоялтиПоГруппам="Да",MeanMinAge09+BX10*SUMIF(ThresholdAge09,"&lt;"&amp;BX10,WeightedRevAge09)-SUMIF(ThresholdAge09,"&lt;"&amp;BX10,WeightedMinAge09),MAX(CapacityAge09*АбонементНовых*BX10,MeanMinAge09)))</f>
        <v/>
      </c>
      <c r="BY83" s="5">
        <f>IF(OR(('03_Сеть'!BY31-BY29)=0,9&lt;=КаникулыРоялти),0,('03_Сеть'!BY31-BY29)*IF(РоялтиПоГруппам="Да",MeanMinAge09+BY10*SUMIF(ThresholdAge09,"&lt;"&amp;BY10,WeightedRevAge09)-SUMIF(ThresholdAge09,"&lt;"&amp;BY10,WeightedMinAge09),MAX(CapacityAge09*АбонементНовых*BY10,MeanMinAge09)))</f>
        <v/>
      </c>
    </row>
    <row r="84">
      <c r="B84" t="inlineStr">
        <is>
          <t>10 мес.</t>
        </is>
      </c>
      <c r="C84" t="inlineStr">
        <is>
          <t>₽</t>
        </is>
      </c>
      <c r="D84" s="127" t="inlineStr"/>
      <c r="E84" s="129">
        <f>SUM(L84:W84)</f>
        <v/>
      </c>
      <c r="F84" s="129">
        <f>SUM(X84:AI84)</f>
        <v/>
      </c>
      <c r="G84" s="129">
        <f>SUM(AJ84:AU84)</f>
        <v/>
      </c>
      <c r="H84" s="129">
        <f>SUM(AV84:BG84)</f>
        <v/>
      </c>
      <c r="I84" s="129">
        <f>SUM(BH84:BS84)</f>
        <v/>
      </c>
      <c r="J84" s="6">
        <f>SUM(L84:BS84)</f>
        <v/>
      </c>
      <c r="L84" s="5">
        <f>IF(OR(('03_Сеть'!L32-L30)=0,10&lt;=КаникулыРоялти),0,('03_Сеть'!L32-L30)*IF(РоялтиПоГруппам="Да",MeanMinAge10+L10*SUMIF(ThresholdAge10,"&lt;"&amp;L10,WeightedRevAge10)-SUMIF(ThresholdAge10,"&lt;"&amp;L10,WeightedMinAge10),MAX(CapacityAge10*АбонементНовых*L10,MeanMinAge10)))</f>
        <v/>
      </c>
      <c r="M84" s="5">
        <f>IF(OR(('03_Сеть'!M32-M30)=0,10&lt;=КаникулыРоялти),0,('03_Сеть'!M32-M30)*IF(РоялтиПоГруппам="Да",MeanMinAge10+M10*SUMIF(ThresholdAge10,"&lt;"&amp;M10,WeightedRevAge10)-SUMIF(ThresholdAge10,"&lt;"&amp;M10,WeightedMinAge10),MAX(CapacityAge10*АбонементНовых*M10,MeanMinAge10)))</f>
        <v/>
      </c>
      <c r="N84" s="5">
        <f>IF(OR(('03_Сеть'!N32-N30)=0,10&lt;=КаникулыРоялти),0,('03_Сеть'!N32-N30)*IF(РоялтиПоГруппам="Да",MeanMinAge10+N10*SUMIF(ThresholdAge10,"&lt;"&amp;N10,WeightedRevAge10)-SUMIF(ThresholdAge10,"&lt;"&amp;N10,WeightedMinAge10),MAX(CapacityAge10*АбонементНовых*N10,MeanMinAge10)))</f>
        <v/>
      </c>
      <c r="O84" s="5">
        <f>IF(OR(('03_Сеть'!O32-O30)=0,10&lt;=КаникулыРоялти),0,('03_Сеть'!O32-O30)*IF(РоялтиПоГруппам="Да",MeanMinAge10+O10*SUMIF(ThresholdAge10,"&lt;"&amp;O10,WeightedRevAge10)-SUMIF(ThresholdAge10,"&lt;"&amp;O10,WeightedMinAge10),MAX(CapacityAge10*АбонементНовых*O10,MeanMinAge10)))</f>
        <v/>
      </c>
      <c r="P84" s="5">
        <f>IF(OR(('03_Сеть'!P32-P30)=0,10&lt;=КаникулыРоялти),0,('03_Сеть'!P32-P30)*IF(РоялтиПоГруппам="Да",MeanMinAge10+P10*SUMIF(ThresholdAge10,"&lt;"&amp;P10,WeightedRevAge10)-SUMIF(ThresholdAge10,"&lt;"&amp;P10,WeightedMinAge10),MAX(CapacityAge10*АбонементНовых*P10,MeanMinAge10)))</f>
        <v/>
      </c>
      <c r="Q84" s="5">
        <f>IF(OR(('03_Сеть'!Q32-Q30)=0,10&lt;=КаникулыРоялти),0,('03_Сеть'!Q32-Q30)*IF(РоялтиПоГруппам="Да",MeanMinAge10+Q10*SUMIF(ThresholdAge10,"&lt;"&amp;Q10,WeightedRevAge10)-SUMIF(ThresholdAge10,"&lt;"&amp;Q10,WeightedMinAge10),MAX(CapacityAge10*АбонементНовых*Q10,MeanMinAge10)))</f>
        <v/>
      </c>
      <c r="R84" s="5">
        <f>IF(OR(('03_Сеть'!R32-R30)=0,10&lt;=КаникулыРоялти),0,('03_Сеть'!R32-R30)*IF(РоялтиПоГруппам="Да",MeanMinAge10+R10*SUMIF(ThresholdAge10,"&lt;"&amp;R10,WeightedRevAge10)-SUMIF(ThresholdAge10,"&lt;"&amp;R10,WeightedMinAge10),MAX(CapacityAge10*АбонементНовых*R10,MeanMinAge10)))</f>
        <v/>
      </c>
      <c r="S84" s="5">
        <f>IF(OR(('03_Сеть'!S32-S30)=0,10&lt;=КаникулыРоялти),0,('03_Сеть'!S32-S30)*IF(РоялтиПоГруппам="Да",MeanMinAge10+S10*SUMIF(ThresholdAge10,"&lt;"&amp;S10,WeightedRevAge10)-SUMIF(ThresholdAge10,"&lt;"&amp;S10,WeightedMinAge10),MAX(CapacityAge10*АбонементНовых*S10,MeanMinAge10)))</f>
        <v/>
      </c>
      <c r="T84" s="5">
        <f>IF(OR(('03_Сеть'!T32-T30)=0,10&lt;=КаникулыРоялти),0,('03_Сеть'!T32-T30)*IF(РоялтиПоГруппам="Да",MeanMinAge10+T10*SUMIF(ThresholdAge10,"&lt;"&amp;T10,WeightedRevAge10)-SUMIF(ThresholdAge10,"&lt;"&amp;T10,WeightedMinAge10),MAX(CapacityAge10*АбонементНовых*T10,MeanMinAge10)))</f>
        <v/>
      </c>
      <c r="U84" s="5">
        <f>IF(OR(('03_Сеть'!U32-U30)=0,10&lt;=КаникулыРоялти),0,('03_Сеть'!U32-U30)*IF(РоялтиПоГруппам="Да",MeanMinAge10+U10*SUMIF(ThresholdAge10,"&lt;"&amp;U10,WeightedRevAge10)-SUMIF(ThresholdAge10,"&lt;"&amp;U10,WeightedMinAge10),MAX(CapacityAge10*АбонементНовых*U10,MeanMinAge10)))</f>
        <v/>
      </c>
      <c r="V84" s="5">
        <f>IF(OR(('03_Сеть'!V32-V30)=0,10&lt;=КаникулыРоялти),0,('03_Сеть'!V32-V30)*IF(РоялтиПоГруппам="Да",MeanMinAge10+V10*SUMIF(ThresholdAge10,"&lt;"&amp;V10,WeightedRevAge10)-SUMIF(ThresholdAge10,"&lt;"&amp;V10,WeightedMinAge10),MAX(CapacityAge10*АбонементНовых*V10,MeanMinAge10)))</f>
        <v/>
      </c>
      <c r="W84" s="5">
        <f>IF(OR(('03_Сеть'!W32-W30)=0,10&lt;=КаникулыРоялти),0,('03_Сеть'!W32-W30)*IF(РоялтиПоГруппам="Да",MeanMinAge10+W10*SUMIF(ThresholdAge10,"&lt;"&amp;W10,WeightedRevAge10)-SUMIF(ThresholdAge10,"&lt;"&amp;W10,WeightedMinAge10),MAX(CapacityAge10*АбонементНовых*W10,MeanMinAge10)))</f>
        <v/>
      </c>
      <c r="X84" s="5">
        <f>IF(OR(('03_Сеть'!X32-X30)=0,10&lt;=КаникулыРоялти),0,('03_Сеть'!X32-X30)*IF(РоялтиПоГруппам="Да",MeanMinAge10+X10*SUMIF(ThresholdAge10,"&lt;"&amp;X10,WeightedRevAge10)-SUMIF(ThresholdAge10,"&lt;"&amp;X10,WeightedMinAge10),MAX(CapacityAge10*АбонементНовых*X10,MeanMinAge10)))</f>
        <v/>
      </c>
      <c r="Y84" s="5">
        <f>IF(OR(('03_Сеть'!Y32-Y30)=0,10&lt;=КаникулыРоялти),0,('03_Сеть'!Y32-Y30)*IF(РоялтиПоГруппам="Да",MeanMinAge10+Y10*SUMIF(ThresholdAge10,"&lt;"&amp;Y10,WeightedRevAge10)-SUMIF(ThresholdAge10,"&lt;"&amp;Y10,WeightedMinAge10),MAX(CapacityAge10*АбонементНовых*Y10,MeanMinAge10)))</f>
        <v/>
      </c>
      <c r="Z84" s="5">
        <f>IF(OR(('03_Сеть'!Z32-Z30)=0,10&lt;=КаникулыРоялти),0,('03_Сеть'!Z32-Z30)*IF(РоялтиПоГруппам="Да",MeanMinAge10+Z10*SUMIF(ThresholdAge10,"&lt;"&amp;Z10,WeightedRevAge10)-SUMIF(ThresholdAge10,"&lt;"&amp;Z10,WeightedMinAge10),MAX(CapacityAge10*АбонементНовых*Z10,MeanMinAge10)))</f>
        <v/>
      </c>
      <c r="AA84" s="5">
        <f>IF(OR(('03_Сеть'!AA32-AA30)=0,10&lt;=КаникулыРоялти),0,('03_Сеть'!AA32-AA30)*IF(РоялтиПоГруппам="Да",MeanMinAge10+AA10*SUMIF(ThresholdAge10,"&lt;"&amp;AA10,WeightedRevAge10)-SUMIF(ThresholdAge10,"&lt;"&amp;AA10,WeightedMinAge10),MAX(CapacityAge10*АбонементНовых*AA10,MeanMinAge10)))</f>
        <v/>
      </c>
      <c r="AB84" s="5">
        <f>IF(OR(('03_Сеть'!AB32-AB30)=0,10&lt;=КаникулыРоялти),0,('03_Сеть'!AB32-AB30)*IF(РоялтиПоГруппам="Да",MeanMinAge10+AB10*SUMIF(ThresholdAge10,"&lt;"&amp;AB10,WeightedRevAge10)-SUMIF(ThresholdAge10,"&lt;"&amp;AB10,WeightedMinAge10),MAX(CapacityAge10*АбонементНовых*AB10,MeanMinAge10)))</f>
        <v/>
      </c>
      <c r="AC84" s="5">
        <f>IF(OR(('03_Сеть'!AC32-AC30)=0,10&lt;=КаникулыРоялти),0,('03_Сеть'!AC32-AC30)*IF(РоялтиПоГруппам="Да",MeanMinAge10+AC10*SUMIF(ThresholdAge10,"&lt;"&amp;AC10,WeightedRevAge10)-SUMIF(ThresholdAge10,"&lt;"&amp;AC10,WeightedMinAge10),MAX(CapacityAge10*АбонементНовых*AC10,MeanMinAge10)))</f>
        <v/>
      </c>
      <c r="AD84" s="5">
        <f>IF(OR(('03_Сеть'!AD32-AD30)=0,10&lt;=КаникулыРоялти),0,('03_Сеть'!AD32-AD30)*IF(РоялтиПоГруппам="Да",MeanMinAge10+AD10*SUMIF(ThresholdAge10,"&lt;"&amp;AD10,WeightedRevAge10)-SUMIF(ThresholdAge10,"&lt;"&amp;AD10,WeightedMinAge10),MAX(CapacityAge10*АбонементНовых*AD10,MeanMinAge10)))</f>
        <v/>
      </c>
      <c r="AE84" s="5">
        <f>IF(OR(('03_Сеть'!AE32-AE30)=0,10&lt;=КаникулыРоялти),0,('03_Сеть'!AE32-AE30)*IF(РоялтиПоГруппам="Да",MeanMinAge10+AE10*SUMIF(ThresholdAge10,"&lt;"&amp;AE10,WeightedRevAge10)-SUMIF(ThresholdAge10,"&lt;"&amp;AE10,WeightedMinAge10),MAX(CapacityAge10*АбонементНовых*AE10,MeanMinAge10)))</f>
        <v/>
      </c>
      <c r="AF84" s="5">
        <f>IF(OR(('03_Сеть'!AF32-AF30)=0,10&lt;=КаникулыРоялти),0,('03_Сеть'!AF32-AF30)*IF(РоялтиПоГруппам="Да",MeanMinAge10+AF10*SUMIF(ThresholdAge10,"&lt;"&amp;AF10,WeightedRevAge10)-SUMIF(ThresholdAge10,"&lt;"&amp;AF10,WeightedMinAge10),MAX(CapacityAge10*АбонементНовых*AF10,MeanMinAge10)))</f>
        <v/>
      </c>
      <c r="AG84" s="5">
        <f>IF(OR(('03_Сеть'!AG32-AG30)=0,10&lt;=КаникулыРоялти),0,('03_Сеть'!AG32-AG30)*IF(РоялтиПоГруппам="Да",MeanMinAge10+AG10*SUMIF(ThresholdAge10,"&lt;"&amp;AG10,WeightedRevAge10)-SUMIF(ThresholdAge10,"&lt;"&amp;AG10,WeightedMinAge10),MAX(CapacityAge10*АбонементНовых*AG10,MeanMinAge10)))</f>
        <v/>
      </c>
      <c r="AH84" s="5">
        <f>IF(OR(('03_Сеть'!AH32-AH30)=0,10&lt;=КаникулыРоялти),0,('03_Сеть'!AH32-AH30)*IF(РоялтиПоГруппам="Да",MeanMinAge10+AH10*SUMIF(ThresholdAge10,"&lt;"&amp;AH10,WeightedRevAge10)-SUMIF(ThresholdAge10,"&lt;"&amp;AH10,WeightedMinAge10),MAX(CapacityAge10*АбонементНовых*AH10,MeanMinAge10)))</f>
        <v/>
      </c>
      <c r="AI84" s="5">
        <f>IF(OR(('03_Сеть'!AI32-AI30)=0,10&lt;=КаникулыРоялти),0,('03_Сеть'!AI32-AI30)*IF(РоялтиПоГруппам="Да",MeanMinAge10+AI10*SUMIF(ThresholdAge10,"&lt;"&amp;AI10,WeightedRevAge10)-SUMIF(ThresholdAge10,"&lt;"&amp;AI10,WeightedMinAge10),MAX(CapacityAge10*АбонементНовых*AI10,MeanMinAge10)))</f>
        <v/>
      </c>
      <c r="AJ84" s="5">
        <f>IF(OR(('03_Сеть'!AJ32-AJ30)=0,10&lt;=КаникулыРоялти),0,('03_Сеть'!AJ32-AJ30)*IF(РоялтиПоГруппам="Да",MeanMinAge10+AJ10*SUMIF(ThresholdAge10,"&lt;"&amp;AJ10,WeightedRevAge10)-SUMIF(ThresholdAge10,"&lt;"&amp;AJ10,WeightedMinAge10),MAX(CapacityAge10*АбонементНовых*AJ10,MeanMinAge10)))</f>
        <v/>
      </c>
      <c r="AK84" s="5">
        <f>IF(OR(('03_Сеть'!AK32-AK30)=0,10&lt;=КаникулыРоялти),0,('03_Сеть'!AK32-AK30)*IF(РоялтиПоГруппам="Да",MeanMinAge10+AK10*SUMIF(ThresholdAge10,"&lt;"&amp;AK10,WeightedRevAge10)-SUMIF(ThresholdAge10,"&lt;"&amp;AK10,WeightedMinAge10),MAX(CapacityAge10*АбонементНовых*AK10,MeanMinAge10)))</f>
        <v/>
      </c>
      <c r="AL84" s="5">
        <f>IF(OR(('03_Сеть'!AL32-AL30)=0,10&lt;=КаникулыРоялти),0,('03_Сеть'!AL32-AL30)*IF(РоялтиПоГруппам="Да",MeanMinAge10+AL10*SUMIF(ThresholdAge10,"&lt;"&amp;AL10,WeightedRevAge10)-SUMIF(ThresholdAge10,"&lt;"&amp;AL10,WeightedMinAge10),MAX(CapacityAge10*АбонементНовых*AL10,MeanMinAge10)))</f>
        <v/>
      </c>
      <c r="AM84" s="5">
        <f>IF(OR(('03_Сеть'!AM32-AM30)=0,10&lt;=КаникулыРоялти),0,('03_Сеть'!AM32-AM30)*IF(РоялтиПоГруппам="Да",MeanMinAge10+AM10*SUMIF(ThresholdAge10,"&lt;"&amp;AM10,WeightedRevAge10)-SUMIF(ThresholdAge10,"&lt;"&amp;AM10,WeightedMinAge10),MAX(CapacityAge10*АбонементНовых*AM10,MeanMinAge10)))</f>
        <v/>
      </c>
      <c r="AN84" s="5">
        <f>IF(OR(('03_Сеть'!AN32-AN30)=0,10&lt;=КаникулыРоялти),0,('03_Сеть'!AN32-AN30)*IF(РоялтиПоГруппам="Да",MeanMinAge10+AN10*SUMIF(ThresholdAge10,"&lt;"&amp;AN10,WeightedRevAge10)-SUMIF(ThresholdAge10,"&lt;"&amp;AN10,WeightedMinAge10),MAX(CapacityAge10*АбонементНовых*AN10,MeanMinAge10)))</f>
        <v/>
      </c>
      <c r="AO84" s="5">
        <f>IF(OR(('03_Сеть'!AO32-AO30)=0,10&lt;=КаникулыРоялти),0,('03_Сеть'!AO32-AO30)*IF(РоялтиПоГруппам="Да",MeanMinAge10+AO10*SUMIF(ThresholdAge10,"&lt;"&amp;AO10,WeightedRevAge10)-SUMIF(ThresholdAge10,"&lt;"&amp;AO10,WeightedMinAge10),MAX(CapacityAge10*АбонементНовых*AO10,MeanMinAge10)))</f>
        <v/>
      </c>
      <c r="AP84" s="5">
        <f>IF(OR(('03_Сеть'!AP32-AP30)=0,10&lt;=КаникулыРоялти),0,('03_Сеть'!AP32-AP30)*IF(РоялтиПоГруппам="Да",MeanMinAge10+AP10*SUMIF(ThresholdAge10,"&lt;"&amp;AP10,WeightedRevAge10)-SUMIF(ThresholdAge10,"&lt;"&amp;AP10,WeightedMinAge10),MAX(CapacityAge10*АбонементНовых*AP10,MeanMinAge10)))</f>
        <v/>
      </c>
      <c r="AQ84" s="5">
        <f>IF(OR(('03_Сеть'!AQ32-AQ30)=0,10&lt;=КаникулыРоялти),0,('03_Сеть'!AQ32-AQ30)*IF(РоялтиПоГруппам="Да",MeanMinAge10+AQ10*SUMIF(ThresholdAge10,"&lt;"&amp;AQ10,WeightedRevAge10)-SUMIF(ThresholdAge10,"&lt;"&amp;AQ10,WeightedMinAge10),MAX(CapacityAge10*АбонементНовых*AQ10,MeanMinAge10)))</f>
        <v/>
      </c>
      <c r="AR84" s="5">
        <f>IF(OR(('03_Сеть'!AR32-AR30)=0,10&lt;=КаникулыРоялти),0,('03_Сеть'!AR32-AR30)*IF(РоялтиПоГруппам="Да",MeanMinAge10+AR10*SUMIF(ThresholdAge10,"&lt;"&amp;AR10,WeightedRevAge10)-SUMIF(ThresholdAge10,"&lt;"&amp;AR10,WeightedMinAge10),MAX(CapacityAge10*АбонементНовых*AR10,MeanMinAge10)))</f>
        <v/>
      </c>
      <c r="AS84" s="5">
        <f>IF(OR(('03_Сеть'!AS32-AS30)=0,10&lt;=КаникулыРоялти),0,('03_Сеть'!AS32-AS30)*IF(РоялтиПоГруппам="Да",MeanMinAge10+AS10*SUMIF(ThresholdAge10,"&lt;"&amp;AS10,WeightedRevAge10)-SUMIF(ThresholdAge10,"&lt;"&amp;AS10,WeightedMinAge10),MAX(CapacityAge10*АбонементНовых*AS10,MeanMinAge10)))</f>
        <v/>
      </c>
      <c r="AT84" s="5">
        <f>IF(OR(('03_Сеть'!AT32-AT30)=0,10&lt;=КаникулыРоялти),0,('03_Сеть'!AT32-AT30)*IF(РоялтиПоГруппам="Да",MeanMinAge10+AT10*SUMIF(ThresholdAge10,"&lt;"&amp;AT10,WeightedRevAge10)-SUMIF(ThresholdAge10,"&lt;"&amp;AT10,WeightedMinAge10),MAX(CapacityAge10*АбонементНовых*AT10,MeanMinAge10)))</f>
        <v/>
      </c>
      <c r="AU84" s="5">
        <f>IF(OR(('03_Сеть'!AU32-AU30)=0,10&lt;=КаникулыРоялти),0,('03_Сеть'!AU32-AU30)*IF(РоялтиПоГруппам="Да",MeanMinAge10+AU10*SUMIF(ThresholdAge10,"&lt;"&amp;AU10,WeightedRevAge10)-SUMIF(ThresholdAge10,"&lt;"&amp;AU10,WeightedMinAge10),MAX(CapacityAge10*АбонементНовых*AU10,MeanMinAge10)))</f>
        <v/>
      </c>
      <c r="AV84" s="5">
        <f>IF(OR(('03_Сеть'!AV32-AV30)=0,10&lt;=КаникулыРоялти),0,('03_Сеть'!AV32-AV30)*IF(РоялтиПоГруппам="Да",MeanMinAge10+AV10*SUMIF(ThresholdAge10,"&lt;"&amp;AV10,WeightedRevAge10)-SUMIF(ThresholdAge10,"&lt;"&amp;AV10,WeightedMinAge10),MAX(CapacityAge10*АбонементНовых*AV10,MeanMinAge10)))</f>
        <v/>
      </c>
      <c r="AW84" s="5">
        <f>IF(OR(('03_Сеть'!AW32-AW30)=0,10&lt;=КаникулыРоялти),0,('03_Сеть'!AW32-AW30)*IF(РоялтиПоГруппам="Да",MeanMinAge10+AW10*SUMIF(ThresholdAge10,"&lt;"&amp;AW10,WeightedRevAge10)-SUMIF(ThresholdAge10,"&lt;"&amp;AW10,WeightedMinAge10),MAX(CapacityAge10*АбонементНовых*AW10,MeanMinAge10)))</f>
        <v/>
      </c>
      <c r="AX84" s="5">
        <f>IF(OR(('03_Сеть'!AX32-AX30)=0,10&lt;=КаникулыРоялти),0,('03_Сеть'!AX32-AX30)*IF(РоялтиПоГруппам="Да",MeanMinAge10+AX10*SUMIF(ThresholdAge10,"&lt;"&amp;AX10,WeightedRevAge10)-SUMIF(ThresholdAge10,"&lt;"&amp;AX10,WeightedMinAge10),MAX(CapacityAge10*АбонементНовых*AX10,MeanMinAge10)))</f>
        <v/>
      </c>
      <c r="AY84" s="5">
        <f>IF(OR(('03_Сеть'!AY32-AY30)=0,10&lt;=КаникулыРоялти),0,('03_Сеть'!AY32-AY30)*IF(РоялтиПоГруппам="Да",MeanMinAge10+AY10*SUMIF(ThresholdAge10,"&lt;"&amp;AY10,WeightedRevAge10)-SUMIF(ThresholdAge10,"&lt;"&amp;AY10,WeightedMinAge10),MAX(CapacityAge10*АбонементНовых*AY10,MeanMinAge10)))</f>
        <v/>
      </c>
      <c r="AZ84" s="5">
        <f>IF(OR(('03_Сеть'!AZ32-AZ30)=0,10&lt;=КаникулыРоялти),0,('03_Сеть'!AZ32-AZ30)*IF(РоялтиПоГруппам="Да",MeanMinAge10+AZ10*SUMIF(ThresholdAge10,"&lt;"&amp;AZ10,WeightedRevAge10)-SUMIF(ThresholdAge10,"&lt;"&amp;AZ10,WeightedMinAge10),MAX(CapacityAge10*АбонементНовых*AZ10,MeanMinAge10)))</f>
        <v/>
      </c>
      <c r="BA84" s="5">
        <f>IF(OR(('03_Сеть'!BA32-BA30)=0,10&lt;=КаникулыРоялти),0,('03_Сеть'!BA32-BA30)*IF(РоялтиПоГруппам="Да",MeanMinAge10+BA10*SUMIF(ThresholdAge10,"&lt;"&amp;BA10,WeightedRevAge10)-SUMIF(ThresholdAge10,"&lt;"&amp;BA10,WeightedMinAge10),MAX(CapacityAge10*АбонементНовых*BA10,MeanMinAge10)))</f>
        <v/>
      </c>
      <c r="BB84" s="5">
        <f>IF(OR(('03_Сеть'!BB32-BB30)=0,10&lt;=КаникулыРоялти),0,('03_Сеть'!BB32-BB30)*IF(РоялтиПоГруппам="Да",MeanMinAge10+BB10*SUMIF(ThresholdAge10,"&lt;"&amp;BB10,WeightedRevAge10)-SUMIF(ThresholdAge10,"&lt;"&amp;BB10,WeightedMinAge10),MAX(CapacityAge10*АбонементНовых*BB10,MeanMinAge10)))</f>
        <v/>
      </c>
      <c r="BC84" s="5">
        <f>IF(OR(('03_Сеть'!BC32-BC30)=0,10&lt;=КаникулыРоялти),0,('03_Сеть'!BC32-BC30)*IF(РоялтиПоГруппам="Да",MeanMinAge10+BC10*SUMIF(ThresholdAge10,"&lt;"&amp;BC10,WeightedRevAge10)-SUMIF(ThresholdAge10,"&lt;"&amp;BC10,WeightedMinAge10),MAX(CapacityAge10*АбонементНовых*BC10,MeanMinAge10)))</f>
        <v/>
      </c>
      <c r="BD84" s="5">
        <f>IF(OR(('03_Сеть'!BD32-BD30)=0,10&lt;=КаникулыРоялти),0,('03_Сеть'!BD32-BD30)*IF(РоялтиПоГруппам="Да",MeanMinAge10+BD10*SUMIF(ThresholdAge10,"&lt;"&amp;BD10,WeightedRevAge10)-SUMIF(ThresholdAge10,"&lt;"&amp;BD10,WeightedMinAge10),MAX(CapacityAge10*АбонементНовых*BD10,MeanMinAge10)))</f>
        <v/>
      </c>
      <c r="BE84" s="5">
        <f>IF(OR(('03_Сеть'!BE32-BE30)=0,10&lt;=КаникулыРоялти),0,('03_Сеть'!BE32-BE30)*IF(РоялтиПоГруппам="Да",MeanMinAge10+BE10*SUMIF(ThresholdAge10,"&lt;"&amp;BE10,WeightedRevAge10)-SUMIF(ThresholdAge10,"&lt;"&amp;BE10,WeightedMinAge10),MAX(CapacityAge10*АбонементНовых*BE10,MeanMinAge10)))</f>
        <v/>
      </c>
      <c r="BF84" s="5">
        <f>IF(OR(('03_Сеть'!BF32-BF30)=0,10&lt;=КаникулыРоялти),0,('03_Сеть'!BF32-BF30)*IF(РоялтиПоГруппам="Да",MeanMinAge10+BF10*SUMIF(ThresholdAge10,"&lt;"&amp;BF10,WeightedRevAge10)-SUMIF(ThresholdAge10,"&lt;"&amp;BF10,WeightedMinAge10),MAX(CapacityAge10*АбонементНовых*BF10,MeanMinAge10)))</f>
        <v/>
      </c>
      <c r="BG84" s="5">
        <f>IF(OR(('03_Сеть'!BG32-BG30)=0,10&lt;=КаникулыРоялти),0,('03_Сеть'!BG32-BG30)*IF(РоялтиПоГруппам="Да",MeanMinAge10+BG10*SUMIF(ThresholdAge10,"&lt;"&amp;BG10,WeightedRevAge10)-SUMIF(ThresholdAge10,"&lt;"&amp;BG10,WeightedMinAge10),MAX(CapacityAge10*АбонементНовых*BG10,MeanMinAge10)))</f>
        <v/>
      </c>
      <c r="BH84" s="5">
        <f>IF(OR(('03_Сеть'!BH32-BH30)=0,10&lt;=КаникулыРоялти),0,('03_Сеть'!BH32-BH30)*IF(РоялтиПоГруппам="Да",MeanMinAge10+BH10*SUMIF(ThresholdAge10,"&lt;"&amp;BH10,WeightedRevAge10)-SUMIF(ThresholdAge10,"&lt;"&amp;BH10,WeightedMinAge10),MAX(CapacityAge10*АбонементНовых*BH10,MeanMinAge10)))</f>
        <v/>
      </c>
      <c r="BI84" s="5">
        <f>IF(OR(('03_Сеть'!BI32-BI30)=0,10&lt;=КаникулыРоялти),0,('03_Сеть'!BI32-BI30)*IF(РоялтиПоГруппам="Да",MeanMinAge10+BI10*SUMIF(ThresholdAge10,"&lt;"&amp;BI10,WeightedRevAge10)-SUMIF(ThresholdAge10,"&lt;"&amp;BI10,WeightedMinAge10),MAX(CapacityAge10*АбонементНовых*BI10,MeanMinAge10)))</f>
        <v/>
      </c>
      <c r="BJ84" s="5">
        <f>IF(OR(('03_Сеть'!BJ32-BJ30)=0,10&lt;=КаникулыРоялти),0,('03_Сеть'!BJ32-BJ30)*IF(РоялтиПоГруппам="Да",MeanMinAge10+BJ10*SUMIF(ThresholdAge10,"&lt;"&amp;BJ10,WeightedRevAge10)-SUMIF(ThresholdAge10,"&lt;"&amp;BJ10,WeightedMinAge10),MAX(CapacityAge10*АбонементНовых*BJ10,MeanMinAge10)))</f>
        <v/>
      </c>
      <c r="BK84" s="5">
        <f>IF(OR(('03_Сеть'!BK32-BK30)=0,10&lt;=КаникулыРоялти),0,('03_Сеть'!BK32-BK30)*IF(РоялтиПоГруппам="Да",MeanMinAge10+BK10*SUMIF(ThresholdAge10,"&lt;"&amp;BK10,WeightedRevAge10)-SUMIF(ThresholdAge10,"&lt;"&amp;BK10,WeightedMinAge10),MAX(CapacityAge10*АбонементНовых*BK10,MeanMinAge10)))</f>
        <v/>
      </c>
      <c r="BL84" s="5">
        <f>IF(OR(('03_Сеть'!BL32-BL30)=0,10&lt;=КаникулыРоялти),0,('03_Сеть'!BL32-BL30)*IF(РоялтиПоГруппам="Да",MeanMinAge10+BL10*SUMIF(ThresholdAge10,"&lt;"&amp;BL10,WeightedRevAge10)-SUMIF(ThresholdAge10,"&lt;"&amp;BL10,WeightedMinAge10),MAX(CapacityAge10*АбонементНовых*BL10,MeanMinAge10)))</f>
        <v/>
      </c>
      <c r="BM84" s="5">
        <f>IF(OR(('03_Сеть'!BM32-BM30)=0,10&lt;=КаникулыРоялти),0,('03_Сеть'!BM32-BM30)*IF(РоялтиПоГруппам="Да",MeanMinAge10+BM10*SUMIF(ThresholdAge10,"&lt;"&amp;BM10,WeightedRevAge10)-SUMIF(ThresholdAge10,"&lt;"&amp;BM10,WeightedMinAge10),MAX(CapacityAge10*АбонементНовых*BM10,MeanMinAge10)))</f>
        <v/>
      </c>
      <c r="BN84" s="5">
        <f>IF(OR(('03_Сеть'!BN32-BN30)=0,10&lt;=КаникулыРоялти),0,('03_Сеть'!BN32-BN30)*IF(РоялтиПоГруппам="Да",MeanMinAge10+BN10*SUMIF(ThresholdAge10,"&lt;"&amp;BN10,WeightedRevAge10)-SUMIF(ThresholdAge10,"&lt;"&amp;BN10,WeightedMinAge10),MAX(CapacityAge10*АбонементНовых*BN10,MeanMinAge10)))</f>
        <v/>
      </c>
      <c r="BO84" s="5">
        <f>IF(OR(('03_Сеть'!BO32-BO30)=0,10&lt;=КаникулыРоялти),0,('03_Сеть'!BO32-BO30)*IF(РоялтиПоГруппам="Да",MeanMinAge10+BO10*SUMIF(ThresholdAge10,"&lt;"&amp;BO10,WeightedRevAge10)-SUMIF(ThresholdAge10,"&lt;"&amp;BO10,WeightedMinAge10),MAX(CapacityAge10*АбонементНовых*BO10,MeanMinAge10)))</f>
        <v/>
      </c>
      <c r="BP84" s="5">
        <f>IF(OR(('03_Сеть'!BP32-BP30)=0,10&lt;=КаникулыРоялти),0,('03_Сеть'!BP32-BP30)*IF(РоялтиПоГруппам="Да",MeanMinAge10+BP10*SUMIF(ThresholdAge10,"&lt;"&amp;BP10,WeightedRevAge10)-SUMIF(ThresholdAge10,"&lt;"&amp;BP10,WeightedMinAge10),MAX(CapacityAge10*АбонементНовых*BP10,MeanMinAge10)))</f>
        <v/>
      </c>
      <c r="BQ84" s="5">
        <f>IF(OR(('03_Сеть'!BQ32-BQ30)=0,10&lt;=КаникулыРоялти),0,('03_Сеть'!BQ32-BQ30)*IF(РоялтиПоГруппам="Да",MeanMinAge10+BQ10*SUMIF(ThresholdAge10,"&lt;"&amp;BQ10,WeightedRevAge10)-SUMIF(ThresholdAge10,"&lt;"&amp;BQ10,WeightedMinAge10),MAX(CapacityAge10*АбонементНовых*BQ10,MeanMinAge10)))</f>
        <v/>
      </c>
      <c r="BR84" s="5">
        <f>IF(OR(('03_Сеть'!BR32-BR30)=0,10&lt;=КаникулыРоялти),0,('03_Сеть'!BR32-BR30)*IF(РоялтиПоГруппам="Да",MeanMinAge10+BR10*SUMIF(ThresholdAge10,"&lt;"&amp;BR10,WeightedRevAge10)-SUMIF(ThresholdAge10,"&lt;"&amp;BR10,WeightedMinAge10),MAX(CapacityAge10*АбонементНовых*BR10,MeanMinAge10)))</f>
        <v/>
      </c>
      <c r="BS84" s="5">
        <f>IF(OR(('03_Сеть'!BS32-BS30)=0,10&lt;=КаникулыРоялти),0,('03_Сеть'!BS32-BS30)*IF(РоялтиПоГруппам="Да",MeanMinAge10+BS10*SUMIF(ThresholdAge10,"&lt;"&amp;BS10,WeightedRevAge10)-SUMIF(ThresholdAge10,"&lt;"&amp;BS10,WeightedMinAge10),MAX(CapacityAge10*АбонементНовых*BS10,MeanMinAge10)))</f>
        <v/>
      </c>
      <c r="BT84" s="5">
        <f>IF(OR(('03_Сеть'!BT32-BT30)=0,10&lt;=КаникулыРоялти),0,('03_Сеть'!BT32-BT30)*IF(РоялтиПоГруппам="Да",MeanMinAge10+BT10*SUMIF(ThresholdAge10,"&lt;"&amp;BT10,WeightedRevAge10)-SUMIF(ThresholdAge10,"&lt;"&amp;BT10,WeightedMinAge10),MAX(CapacityAge10*АбонементНовых*BT10,MeanMinAge10)))</f>
        <v/>
      </c>
      <c r="BU84" s="5">
        <f>IF(OR(('03_Сеть'!BU32-BU30)=0,10&lt;=КаникулыРоялти),0,('03_Сеть'!BU32-BU30)*IF(РоялтиПоГруппам="Да",MeanMinAge10+BU10*SUMIF(ThresholdAge10,"&lt;"&amp;BU10,WeightedRevAge10)-SUMIF(ThresholdAge10,"&lt;"&amp;BU10,WeightedMinAge10),MAX(CapacityAge10*АбонементНовых*BU10,MeanMinAge10)))</f>
        <v/>
      </c>
      <c r="BV84" s="5">
        <f>IF(OR(('03_Сеть'!BV32-BV30)=0,10&lt;=КаникулыРоялти),0,('03_Сеть'!BV32-BV30)*IF(РоялтиПоГруппам="Да",MeanMinAge10+BV10*SUMIF(ThresholdAge10,"&lt;"&amp;BV10,WeightedRevAge10)-SUMIF(ThresholdAge10,"&lt;"&amp;BV10,WeightedMinAge10),MAX(CapacityAge10*АбонементНовых*BV10,MeanMinAge10)))</f>
        <v/>
      </c>
      <c r="BW84" s="5">
        <f>IF(OR(('03_Сеть'!BW32-BW30)=0,10&lt;=КаникулыРоялти),0,('03_Сеть'!BW32-BW30)*IF(РоялтиПоГруппам="Да",MeanMinAge10+BW10*SUMIF(ThresholdAge10,"&lt;"&amp;BW10,WeightedRevAge10)-SUMIF(ThresholdAge10,"&lt;"&amp;BW10,WeightedMinAge10),MAX(CapacityAge10*АбонементНовых*BW10,MeanMinAge10)))</f>
        <v/>
      </c>
      <c r="BX84" s="5">
        <f>IF(OR(('03_Сеть'!BX32-BX30)=0,10&lt;=КаникулыРоялти),0,('03_Сеть'!BX32-BX30)*IF(РоялтиПоГруппам="Да",MeanMinAge10+BX10*SUMIF(ThresholdAge10,"&lt;"&amp;BX10,WeightedRevAge10)-SUMIF(ThresholdAge10,"&lt;"&amp;BX10,WeightedMinAge10),MAX(CapacityAge10*АбонементНовых*BX10,MeanMinAge10)))</f>
        <v/>
      </c>
      <c r="BY84" s="5">
        <f>IF(OR(('03_Сеть'!BY32-BY30)=0,10&lt;=КаникулыРоялти),0,('03_Сеть'!BY32-BY30)*IF(РоялтиПоГруппам="Да",MeanMinAge10+BY10*SUMIF(ThresholdAge10,"&lt;"&amp;BY10,WeightedRevAge10)-SUMIF(ThresholdAge10,"&lt;"&amp;BY10,WeightedMinAge10),MAX(CapacityAge10*АбонементНовых*BY10,MeanMinAge10)))</f>
        <v/>
      </c>
    </row>
    <row r="85">
      <c r="B85" t="inlineStr">
        <is>
          <t>11 мес.</t>
        </is>
      </c>
      <c r="C85" t="inlineStr">
        <is>
          <t>₽</t>
        </is>
      </c>
      <c r="D85" s="127" t="inlineStr"/>
      <c r="E85" s="129">
        <f>SUM(L85:W85)</f>
        <v/>
      </c>
      <c r="F85" s="129">
        <f>SUM(X85:AI85)</f>
        <v/>
      </c>
      <c r="G85" s="129">
        <f>SUM(AJ85:AU85)</f>
        <v/>
      </c>
      <c r="H85" s="129">
        <f>SUM(AV85:BG85)</f>
        <v/>
      </c>
      <c r="I85" s="129">
        <f>SUM(BH85:BS85)</f>
        <v/>
      </c>
      <c r="J85" s="6">
        <f>SUM(L85:BS85)</f>
        <v/>
      </c>
      <c r="L85" s="5">
        <f>IF(OR(('03_Сеть'!L33-L31)=0,11&lt;=КаникулыРоялти),0,('03_Сеть'!L33-L31)*IF(РоялтиПоГруппам="Да",MeanMinAge11+L10*SUMIF(ThresholdAge11,"&lt;"&amp;L10,WeightedRevAge11)-SUMIF(ThresholdAge11,"&lt;"&amp;L10,WeightedMinAge11),MAX(CapacityAge11*АбонементНовых*L10,MeanMinAge11)))</f>
        <v/>
      </c>
      <c r="M85" s="5">
        <f>IF(OR(('03_Сеть'!M33-M31)=0,11&lt;=КаникулыРоялти),0,('03_Сеть'!M33-M31)*IF(РоялтиПоГруппам="Да",MeanMinAge11+M10*SUMIF(ThresholdAge11,"&lt;"&amp;M10,WeightedRevAge11)-SUMIF(ThresholdAge11,"&lt;"&amp;M10,WeightedMinAge11),MAX(CapacityAge11*АбонементНовых*M10,MeanMinAge11)))</f>
        <v/>
      </c>
      <c r="N85" s="5">
        <f>IF(OR(('03_Сеть'!N33-N31)=0,11&lt;=КаникулыРоялти),0,('03_Сеть'!N33-N31)*IF(РоялтиПоГруппам="Да",MeanMinAge11+N10*SUMIF(ThresholdAge11,"&lt;"&amp;N10,WeightedRevAge11)-SUMIF(ThresholdAge11,"&lt;"&amp;N10,WeightedMinAge11),MAX(CapacityAge11*АбонементНовых*N10,MeanMinAge11)))</f>
        <v/>
      </c>
      <c r="O85" s="5">
        <f>IF(OR(('03_Сеть'!O33-O31)=0,11&lt;=КаникулыРоялти),0,('03_Сеть'!O33-O31)*IF(РоялтиПоГруппам="Да",MeanMinAge11+O10*SUMIF(ThresholdAge11,"&lt;"&amp;O10,WeightedRevAge11)-SUMIF(ThresholdAge11,"&lt;"&amp;O10,WeightedMinAge11),MAX(CapacityAge11*АбонементНовых*O10,MeanMinAge11)))</f>
        <v/>
      </c>
      <c r="P85" s="5">
        <f>IF(OR(('03_Сеть'!P33-P31)=0,11&lt;=КаникулыРоялти),0,('03_Сеть'!P33-P31)*IF(РоялтиПоГруппам="Да",MeanMinAge11+P10*SUMIF(ThresholdAge11,"&lt;"&amp;P10,WeightedRevAge11)-SUMIF(ThresholdAge11,"&lt;"&amp;P10,WeightedMinAge11),MAX(CapacityAge11*АбонементНовых*P10,MeanMinAge11)))</f>
        <v/>
      </c>
      <c r="Q85" s="5">
        <f>IF(OR(('03_Сеть'!Q33-Q31)=0,11&lt;=КаникулыРоялти),0,('03_Сеть'!Q33-Q31)*IF(РоялтиПоГруппам="Да",MeanMinAge11+Q10*SUMIF(ThresholdAge11,"&lt;"&amp;Q10,WeightedRevAge11)-SUMIF(ThresholdAge11,"&lt;"&amp;Q10,WeightedMinAge11),MAX(CapacityAge11*АбонементНовых*Q10,MeanMinAge11)))</f>
        <v/>
      </c>
      <c r="R85" s="5">
        <f>IF(OR(('03_Сеть'!R33-R31)=0,11&lt;=КаникулыРоялти),0,('03_Сеть'!R33-R31)*IF(РоялтиПоГруппам="Да",MeanMinAge11+R10*SUMIF(ThresholdAge11,"&lt;"&amp;R10,WeightedRevAge11)-SUMIF(ThresholdAge11,"&lt;"&amp;R10,WeightedMinAge11),MAX(CapacityAge11*АбонементНовых*R10,MeanMinAge11)))</f>
        <v/>
      </c>
      <c r="S85" s="5">
        <f>IF(OR(('03_Сеть'!S33-S31)=0,11&lt;=КаникулыРоялти),0,('03_Сеть'!S33-S31)*IF(РоялтиПоГруппам="Да",MeanMinAge11+S10*SUMIF(ThresholdAge11,"&lt;"&amp;S10,WeightedRevAge11)-SUMIF(ThresholdAge11,"&lt;"&amp;S10,WeightedMinAge11),MAX(CapacityAge11*АбонементНовых*S10,MeanMinAge11)))</f>
        <v/>
      </c>
      <c r="T85" s="5">
        <f>IF(OR(('03_Сеть'!T33-T31)=0,11&lt;=КаникулыРоялти),0,('03_Сеть'!T33-T31)*IF(РоялтиПоГруппам="Да",MeanMinAge11+T10*SUMIF(ThresholdAge11,"&lt;"&amp;T10,WeightedRevAge11)-SUMIF(ThresholdAge11,"&lt;"&amp;T10,WeightedMinAge11),MAX(CapacityAge11*АбонементНовых*T10,MeanMinAge11)))</f>
        <v/>
      </c>
      <c r="U85" s="5">
        <f>IF(OR(('03_Сеть'!U33-U31)=0,11&lt;=КаникулыРоялти),0,('03_Сеть'!U33-U31)*IF(РоялтиПоГруппам="Да",MeanMinAge11+U10*SUMIF(ThresholdAge11,"&lt;"&amp;U10,WeightedRevAge11)-SUMIF(ThresholdAge11,"&lt;"&amp;U10,WeightedMinAge11),MAX(CapacityAge11*АбонементНовых*U10,MeanMinAge11)))</f>
        <v/>
      </c>
      <c r="V85" s="5">
        <f>IF(OR(('03_Сеть'!V33-V31)=0,11&lt;=КаникулыРоялти),0,('03_Сеть'!V33-V31)*IF(РоялтиПоГруппам="Да",MeanMinAge11+V10*SUMIF(ThresholdAge11,"&lt;"&amp;V10,WeightedRevAge11)-SUMIF(ThresholdAge11,"&lt;"&amp;V10,WeightedMinAge11),MAX(CapacityAge11*АбонементНовых*V10,MeanMinAge11)))</f>
        <v/>
      </c>
      <c r="W85" s="5">
        <f>IF(OR(('03_Сеть'!W33-W31)=0,11&lt;=КаникулыРоялти),0,('03_Сеть'!W33-W31)*IF(РоялтиПоГруппам="Да",MeanMinAge11+W10*SUMIF(ThresholdAge11,"&lt;"&amp;W10,WeightedRevAge11)-SUMIF(ThresholdAge11,"&lt;"&amp;W10,WeightedMinAge11),MAX(CapacityAge11*АбонементНовых*W10,MeanMinAge11)))</f>
        <v/>
      </c>
      <c r="X85" s="5">
        <f>IF(OR(('03_Сеть'!X33-X31)=0,11&lt;=КаникулыРоялти),0,('03_Сеть'!X33-X31)*IF(РоялтиПоГруппам="Да",MeanMinAge11+X10*SUMIF(ThresholdAge11,"&lt;"&amp;X10,WeightedRevAge11)-SUMIF(ThresholdAge11,"&lt;"&amp;X10,WeightedMinAge11),MAX(CapacityAge11*АбонементНовых*X10,MeanMinAge11)))</f>
        <v/>
      </c>
      <c r="Y85" s="5">
        <f>IF(OR(('03_Сеть'!Y33-Y31)=0,11&lt;=КаникулыРоялти),0,('03_Сеть'!Y33-Y31)*IF(РоялтиПоГруппам="Да",MeanMinAge11+Y10*SUMIF(ThresholdAge11,"&lt;"&amp;Y10,WeightedRevAge11)-SUMIF(ThresholdAge11,"&lt;"&amp;Y10,WeightedMinAge11),MAX(CapacityAge11*АбонементНовых*Y10,MeanMinAge11)))</f>
        <v/>
      </c>
      <c r="Z85" s="5">
        <f>IF(OR(('03_Сеть'!Z33-Z31)=0,11&lt;=КаникулыРоялти),0,('03_Сеть'!Z33-Z31)*IF(РоялтиПоГруппам="Да",MeanMinAge11+Z10*SUMIF(ThresholdAge11,"&lt;"&amp;Z10,WeightedRevAge11)-SUMIF(ThresholdAge11,"&lt;"&amp;Z10,WeightedMinAge11),MAX(CapacityAge11*АбонементНовых*Z10,MeanMinAge11)))</f>
        <v/>
      </c>
      <c r="AA85" s="5">
        <f>IF(OR(('03_Сеть'!AA33-AA31)=0,11&lt;=КаникулыРоялти),0,('03_Сеть'!AA33-AA31)*IF(РоялтиПоГруппам="Да",MeanMinAge11+AA10*SUMIF(ThresholdAge11,"&lt;"&amp;AA10,WeightedRevAge11)-SUMIF(ThresholdAge11,"&lt;"&amp;AA10,WeightedMinAge11),MAX(CapacityAge11*АбонементНовых*AA10,MeanMinAge11)))</f>
        <v/>
      </c>
      <c r="AB85" s="5">
        <f>IF(OR(('03_Сеть'!AB33-AB31)=0,11&lt;=КаникулыРоялти),0,('03_Сеть'!AB33-AB31)*IF(РоялтиПоГруппам="Да",MeanMinAge11+AB10*SUMIF(ThresholdAge11,"&lt;"&amp;AB10,WeightedRevAge11)-SUMIF(ThresholdAge11,"&lt;"&amp;AB10,WeightedMinAge11),MAX(CapacityAge11*АбонементНовых*AB10,MeanMinAge11)))</f>
        <v/>
      </c>
      <c r="AC85" s="5">
        <f>IF(OR(('03_Сеть'!AC33-AC31)=0,11&lt;=КаникулыРоялти),0,('03_Сеть'!AC33-AC31)*IF(РоялтиПоГруппам="Да",MeanMinAge11+AC10*SUMIF(ThresholdAge11,"&lt;"&amp;AC10,WeightedRevAge11)-SUMIF(ThresholdAge11,"&lt;"&amp;AC10,WeightedMinAge11),MAX(CapacityAge11*АбонементНовых*AC10,MeanMinAge11)))</f>
        <v/>
      </c>
      <c r="AD85" s="5">
        <f>IF(OR(('03_Сеть'!AD33-AD31)=0,11&lt;=КаникулыРоялти),0,('03_Сеть'!AD33-AD31)*IF(РоялтиПоГруппам="Да",MeanMinAge11+AD10*SUMIF(ThresholdAge11,"&lt;"&amp;AD10,WeightedRevAge11)-SUMIF(ThresholdAge11,"&lt;"&amp;AD10,WeightedMinAge11),MAX(CapacityAge11*АбонементНовых*AD10,MeanMinAge11)))</f>
        <v/>
      </c>
      <c r="AE85" s="5">
        <f>IF(OR(('03_Сеть'!AE33-AE31)=0,11&lt;=КаникулыРоялти),0,('03_Сеть'!AE33-AE31)*IF(РоялтиПоГруппам="Да",MeanMinAge11+AE10*SUMIF(ThresholdAge11,"&lt;"&amp;AE10,WeightedRevAge11)-SUMIF(ThresholdAge11,"&lt;"&amp;AE10,WeightedMinAge11),MAX(CapacityAge11*АбонементНовых*AE10,MeanMinAge11)))</f>
        <v/>
      </c>
      <c r="AF85" s="5">
        <f>IF(OR(('03_Сеть'!AF33-AF31)=0,11&lt;=КаникулыРоялти),0,('03_Сеть'!AF33-AF31)*IF(РоялтиПоГруппам="Да",MeanMinAge11+AF10*SUMIF(ThresholdAge11,"&lt;"&amp;AF10,WeightedRevAge11)-SUMIF(ThresholdAge11,"&lt;"&amp;AF10,WeightedMinAge11),MAX(CapacityAge11*АбонементНовых*AF10,MeanMinAge11)))</f>
        <v/>
      </c>
      <c r="AG85" s="5">
        <f>IF(OR(('03_Сеть'!AG33-AG31)=0,11&lt;=КаникулыРоялти),0,('03_Сеть'!AG33-AG31)*IF(РоялтиПоГруппам="Да",MeanMinAge11+AG10*SUMIF(ThresholdAge11,"&lt;"&amp;AG10,WeightedRevAge11)-SUMIF(ThresholdAge11,"&lt;"&amp;AG10,WeightedMinAge11),MAX(CapacityAge11*АбонементНовых*AG10,MeanMinAge11)))</f>
        <v/>
      </c>
      <c r="AH85" s="5">
        <f>IF(OR(('03_Сеть'!AH33-AH31)=0,11&lt;=КаникулыРоялти),0,('03_Сеть'!AH33-AH31)*IF(РоялтиПоГруппам="Да",MeanMinAge11+AH10*SUMIF(ThresholdAge11,"&lt;"&amp;AH10,WeightedRevAge11)-SUMIF(ThresholdAge11,"&lt;"&amp;AH10,WeightedMinAge11),MAX(CapacityAge11*АбонементНовых*AH10,MeanMinAge11)))</f>
        <v/>
      </c>
      <c r="AI85" s="5">
        <f>IF(OR(('03_Сеть'!AI33-AI31)=0,11&lt;=КаникулыРоялти),0,('03_Сеть'!AI33-AI31)*IF(РоялтиПоГруппам="Да",MeanMinAge11+AI10*SUMIF(ThresholdAge11,"&lt;"&amp;AI10,WeightedRevAge11)-SUMIF(ThresholdAge11,"&lt;"&amp;AI10,WeightedMinAge11),MAX(CapacityAge11*АбонементНовых*AI10,MeanMinAge11)))</f>
        <v/>
      </c>
      <c r="AJ85" s="5">
        <f>IF(OR(('03_Сеть'!AJ33-AJ31)=0,11&lt;=КаникулыРоялти),0,('03_Сеть'!AJ33-AJ31)*IF(РоялтиПоГруппам="Да",MeanMinAge11+AJ10*SUMIF(ThresholdAge11,"&lt;"&amp;AJ10,WeightedRevAge11)-SUMIF(ThresholdAge11,"&lt;"&amp;AJ10,WeightedMinAge11),MAX(CapacityAge11*АбонементНовых*AJ10,MeanMinAge11)))</f>
        <v/>
      </c>
      <c r="AK85" s="5">
        <f>IF(OR(('03_Сеть'!AK33-AK31)=0,11&lt;=КаникулыРоялти),0,('03_Сеть'!AK33-AK31)*IF(РоялтиПоГруппам="Да",MeanMinAge11+AK10*SUMIF(ThresholdAge11,"&lt;"&amp;AK10,WeightedRevAge11)-SUMIF(ThresholdAge11,"&lt;"&amp;AK10,WeightedMinAge11),MAX(CapacityAge11*АбонементНовых*AK10,MeanMinAge11)))</f>
        <v/>
      </c>
      <c r="AL85" s="5">
        <f>IF(OR(('03_Сеть'!AL33-AL31)=0,11&lt;=КаникулыРоялти),0,('03_Сеть'!AL33-AL31)*IF(РоялтиПоГруппам="Да",MeanMinAge11+AL10*SUMIF(ThresholdAge11,"&lt;"&amp;AL10,WeightedRevAge11)-SUMIF(ThresholdAge11,"&lt;"&amp;AL10,WeightedMinAge11),MAX(CapacityAge11*АбонементНовых*AL10,MeanMinAge11)))</f>
        <v/>
      </c>
      <c r="AM85" s="5">
        <f>IF(OR(('03_Сеть'!AM33-AM31)=0,11&lt;=КаникулыРоялти),0,('03_Сеть'!AM33-AM31)*IF(РоялтиПоГруппам="Да",MeanMinAge11+AM10*SUMIF(ThresholdAge11,"&lt;"&amp;AM10,WeightedRevAge11)-SUMIF(ThresholdAge11,"&lt;"&amp;AM10,WeightedMinAge11),MAX(CapacityAge11*АбонементНовых*AM10,MeanMinAge11)))</f>
        <v/>
      </c>
      <c r="AN85" s="5">
        <f>IF(OR(('03_Сеть'!AN33-AN31)=0,11&lt;=КаникулыРоялти),0,('03_Сеть'!AN33-AN31)*IF(РоялтиПоГруппам="Да",MeanMinAge11+AN10*SUMIF(ThresholdAge11,"&lt;"&amp;AN10,WeightedRevAge11)-SUMIF(ThresholdAge11,"&lt;"&amp;AN10,WeightedMinAge11),MAX(CapacityAge11*АбонементНовых*AN10,MeanMinAge11)))</f>
        <v/>
      </c>
      <c r="AO85" s="5">
        <f>IF(OR(('03_Сеть'!AO33-AO31)=0,11&lt;=КаникулыРоялти),0,('03_Сеть'!AO33-AO31)*IF(РоялтиПоГруппам="Да",MeanMinAge11+AO10*SUMIF(ThresholdAge11,"&lt;"&amp;AO10,WeightedRevAge11)-SUMIF(ThresholdAge11,"&lt;"&amp;AO10,WeightedMinAge11),MAX(CapacityAge11*АбонементНовых*AO10,MeanMinAge11)))</f>
        <v/>
      </c>
      <c r="AP85" s="5">
        <f>IF(OR(('03_Сеть'!AP33-AP31)=0,11&lt;=КаникулыРоялти),0,('03_Сеть'!AP33-AP31)*IF(РоялтиПоГруппам="Да",MeanMinAge11+AP10*SUMIF(ThresholdAge11,"&lt;"&amp;AP10,WeightedRevAge11)-SUMIF(ThresholdAge11,"&lt;"&amp;AP10,WeightedMinAge11),MAX(CapacityAge11*АбонементНовых*AP10,MeanMinAge11)))</f>
        <v/>
      </c>
      <c r="AQ85" s="5">
        <f>IF(OR(('03_Сеть'!AQ33-AQ31)=0,11&lt;=КаникулыРоялти),0,('03_Сеть'!AQ33-AQ31)*IF(РоялтиПоГруппам="Да",MeanMinAge11+AQ10*SUMIF(ThresholdAge11,"&lt;"&amp;AQ10,WeightedRevAge11)-SUMIF(ThresholdAge11,"&lt;"&amp;AQ10,WeightedMinAge11),MAX(CapacityAge11*АбонементНовых*AQ10,MeanMinAge11)))</f>
        <v/>
      </c>
      <c r="AR85" s="5">
        <f>IF(OR(('03_Сеть'!AR33-AR31)=0,11&lt;=КаникулыРоялти),0,('03_Сеть'!AR33-AR31)*IF(РоялтиПоГруппам="Да",MeanMinAge11+AR10*SUMIF(ThresholdAge11,"&lt;"&amp;AR10,WeightedRevAge11)-SUMIF(ThresholdAge11,"&lt;"&amp;AR10,WeightedMinAge11),MAX(CapacityAge11*АбонементНовых*AR10,MeanMinAge11)))</f>
        <v/>
      </c>
      <c r="AS85" s="5">
        <f>IF(OR(('03_Сеть'!AS33-AS31)=0,11&lt;=КаникулыРоялти),0,('03_Сеть'!AS33-AS31)*IF(РоялтиПоГруппам="Да",MeanMinAge11+AS10*SUMIF(ThresholdAge11,"&lt;"&amp;AS10,WeightedRevAge11)-SUMIF(ThresholdAge11,"&lt;"&amp;AS10,WeightedMinAge11),MAX(CapacityAge11*АбонементНовых*AS10,MeanMinAge11)))</f>
        <v/>
      </c>
      <c r="AT85" s="5">
        <f>IF(OR(('03_Сеть'!AT33-AT31)=0,11&lt;=КаникулыРоялти),0,('03_Сеть'!AT33-AT31)*IF(РоялтиПоГруппам="Да",MeanMinAge11+AT10*SUMIF(ThresholdAge11,"&lt;"&amp;AT10,WeightedRevAge11)-SUMIF(ThresholdAge11,"&lt;"&amp;AT10,WeightedMinAge11),MAX(CapacityAge11*АбонементНовых*AT10,MeanMinAge11)))</f>
        <v/>
      </c>
      <c r="AU85" s="5">
        <f>IF(OR(('03_Сеть'!AU33-AU31)=0,11&lt;=КаникулыРоялти),0,('03_Сеть'!AU33-AU31)*IF(РоялтиПоГруппам="Да",MeanMinAge11+AU10*SUMIF(ThresholdAge11,"&lt;"&amp;AU10,WeightedRevAge11)-SUMIF(ThresholdAge11,"&lt;"&amp;AU10,WeightedMinAge11),MAX(CapacityAge11*АбонементНовых*AU10,MeanMinAge11)))</f>
        <v/>
      </c>
      <c r="AV85" s="5">
        <f>IF(OR(('03_Сеть'!AV33-AV31)=0,11&lt;=КаникулыРоялти),0,('03_Сеть'!AV33-AV31)*IF(РоялтиПоГруппам="Да",MeanMinAge11+AV10*SUMIF(ThresholdAge11,"&lt;"&amp;AV10,WeightedRevAge11)-SUMIF(ThresholdAge11,"&lt;"&amp;AV10,WeightedMinAge11),MAX(CapacityAge11*АбонементНовых*AV10,MeanMinAge11)))</f>
        <v/>
      </c>
      <c r="AW85" s="5">
        <f>IF(OR(('03_Сеть'!AW33-AW31)=0,11&lt;=КаникулыРоялти),0,('03_Сеть'!AW33-AW31)*IF(РоялтиПоГруппам="Да",MeanMinAge11+AW10*SUMIF(ThresholdAge11,"&lt;"&amp;AW10,WeightedRevAge11)-SUMIF(ThresholdAge11,"&lt;"&amp;AW10,WeightedMinAge11),MAX(CapacityAge11*АбонементНовых*AW10,MeanMinAge11)))</f>
        <v/>
      </c>
      <c r="AX85" s="5">
        <f>IF(OR(('03_Сеть'!AX33-AX31)=0,11&lt;=КаникулыРоялти),0,('03_Сеть'!AX33-AX31)*IF(РоялтиПоГруппам="Да",MeanMinAge11+AX10*SUMIF(ThresholdAge11,"&lt;"&amp;AX10,WeightedRevAge11)-SUMIF(ThresholdAge11,"&lt;"&amp;AX10,WeightedMinAge11),MAX(CapacityAge11*АбонементНовых*AX10,MeanMinAge11)))</f>
        <v/>
      </c>
      <c r="AY85" s="5">
        <f>IF(OR(('03_Сеть'!AY33-AY31)=0,11&lt;=КаникулыРоялти),0,('03_Сеть'!AY33-AY31)*IF(РоялтиПоГруппам="Да",MeanMinAge11+AY10*SUMIF(ThresholdAge11,"&lt;"&amp;AY10,WeightedRevAge11)-SUMIF(ThresholdAge11,"&lt;"&amp;AY10,WeightedMinAge11),MAX(CapacityAge11*АбонементНовых*AY10,MeanMinAge11)))</f>
        <v/>
      </c>
      <c r="AZ85" s="5">
        <f>IF(OR(('03_Сеть'!AZ33-AZ31)=0,11&lt;=КаникулыРоялти),0,('03_Сеть'!AZ33-AZ31)*IF(РоялтиПоГруппам="Да",MeanMinAge11+AZ10*SUMIF(ThresholdAge11,"&lt;"&amp;AZ10,WeightedRevAge11)-SUMIF(ThresholdAge11,"&lt;"&amp;AZ10,WeightedMinAge11),MAX(CapacityAge11*АбонементНовых*AZ10,MeanMinAge11)))</f>
        <v/>
      </c>
      <c r="BA85" s="5">
        <f>IF(OR(('03_Сеть'!BA33-BA31)=0,11&lt;=КаникулыРоялти),0,('03_Сеть'!BA33-BA31)*IF(РоялтиПоГруппам="Да",MeanMinAge11+BA10*SUMIF(ThresholdAge11,"&lt;"&amp;BA10,WeightedRevAge11)-SUMIF(ThresholdAge11,"&lt;"&amp;BA10,WeightedMinAge11),MAX(CapacityAge11*АбонементНовых*BA10,MeanMinAge11)))</f>
        <v/>
      </c>
      <c r="BB85" s="5">
        <f>IF(OR(('03_Сеть'!BB33-BB31)=0,11&lt;=КаникулыРоялти),0,('03_Сеть'!BB33-BB31)*IF(РоялтиПоГруппам="Да",MeanMinAge11+BB10*SUMIF(ThresholdAge11,"&lt;"&amp;BB10,WeightedRevAge11)-SUMIF(ThresholdAge11,"&lt;"&amp;BB10,WeightedMinAge11),MAX(CapacityAge11*АбонементНовых*BB10,MeanMinAge11)))</f>
        <v/>
      </c>
      <c r="BC85" s="5">
        <f>IF(OR(('03_Сеть'!BC33-BC31)=0,11&lt;=КаникулыРоялти),0,('03_Сеть'!BC33-BC31)*IF(РоялтиПоГруппам="Да",MeanMinAge11+BC10*SUMIF(ThresholdAge11,"&lt;"&amp;BC10,WeightedRevAge11)-SUMIF(ThresholdAge11,"&lt;"&amp;BC10,WeightedMinAge11),MAX(CapacityAge11*АбонементНовых*BC10,MeanMinAge11)))</f>
        <v/>
      </c>
      <c r="BD85" s="5">
        <f>IF(OR(('03_Сеть'!BD33-BD31)=0,11&lt;=КаникулыРоялти),0,('03_Сеть'!BD33-BD31)*IF(РоялтиПоГруппам="Да",MeanMinAge11+BD10*SUMIF(ThresholdAge11,"&lt;"&amp;BD10,WeightedRevAge11)-SUMIF(ThresholdAge11,"&lt;"&amp;BD10,WeightedMinAge11),MAX(CapacityAge11*АбонементНовых*BD10,MeanMinAge11)))</f>
        <v/>
      </c>
      <c r="BE85" s="5">
        <f>IF(OR(('03_Сеть'!BE33-BE31)=0,11&lt;=КаникулыРоялти),0,('03_Сеть'!BE33-BE31)*IF(РоялтиПоГруппам="Да",MeanMinAge11+BE10*SUMIF(ThresholdAge11,"&lt;"&amp;BE10,WeightedRevAge11)-SUMIF(ThresholdAge11,"&lt;"&amp;BE10,WeightedMinAge11),MAX(CapacityAge11*АбонементНовых*BE10,MeanMinAge11)))</f>
        <v/>
      </c>
      <c r="BF85" s="5">
        <f>IF(OR(('03_Сеть'!BF33-BF31)=0,11&lt;=КаникулыРоялти),0,('03_Сеть'!BF33-BF31)*IF(РоялтиПоГруппам="Да",MeanMinAge11+BF10*SUMIF(ThresholdAge11,"&lt;"&amp;BF10,WeightedRevAge11)-SUMIF(ThresholdAge11,"&lt;"&amp;BF10,WeightedMinAge11),MAX(CapacityAge11*АбонементНовых*BF10,MeanMinAge11)))</f>
        <v/>
      </c>
      <c r="BG85" s="5">
        <f>IF(OR(('03_Сеть'!BG33-BG31)=0,11&lt;=КаникулыРоялти),0,('03_Сеть'!BG33-BG31)*IF(РоялтиПоГруппам="Да",MeanMinAge11+BG10*SUMIF(ThresholdAge11,"&lt;"&amp;BG10,WeightedRevAge11)-SUMIF(ThresholdAge11,"&lt;"&amp;BG10,WeightedMinAge11),MAX(CapacityAge11*АбонементНовых*BG10,MeanMinAge11)))</f>
        <v/>
      </c>
      <c r="BH85" s="5">
        <f>IF(OR(('03_Сеть'!BH33-BH31)=0,11&lt;=КаникулыРоялти),0,('03_Сеть'!BH33-BH31)*IF(РоялтиПоГруппам="Да",MeanMinAge11+BH10*SUMIF(ThresholdAge11,"&lt;"&amp;BH10,WeightedRevAge11)-SUMIF(ThresholdAge11,"&lt;"&amp;BH10,WeightedMinAge11),MAX(CapacityAge11*АбонементНовых*BH10,MeanMinAge11)))</f>
        <v/>
      </c>
      <c r="BI85" s="5">
        <f>IF(OR(('03_Сеть'!BI33-BI31)=0,11&lt;=КаникулыРоялти),0,('03_Сеть'!BI33-BI31)*IF(РоялтиПоГруппам="Да",MeanMinAge11+BI10*SUMIF(ThresholdAge11,"&lt;"&amp;BI10,WeightedRevAge11)-SUMIF(ThresholdAge11,"&lt;"&amp;BI10,WeightedMinAge11),MAX(CapacityAge11*АбонементНовых*BI10,MeanMinAge11)))</f>
        <v/>
      </c>
      <c r="BJ85" s="5">
        <f>IF(OR(('03_Сеть'!BJ33-BJ31)=0,11&lt;=КаникулыРоялти),0,('03_Сеть'!BJ33-BJ31)*IF(РоялтиПоГруппам="Да",MeanMinAge11+BJ10*SUMIF(ThresholdAge11,"&lt;"&amp;BJ10,WeightedRevAge11)-SUMIF(ThresholdAge11,"&lt;"&amp;BJ10,WeightedMinAge11),MAX(CapacityAge11*АбонементНовых*BJ10,MeanMinAge11)))</f>
        <v/>
      </c>
      <c r="BK85" s="5">
        <f>IF(OR(('03_Сеть'!BK33-BK31)=0,11&lt;=КаникулыРоялти),0,('03_Сеть'!BK33-BK31)*IF(РоялтиПоГруппам="Да",MeanMinAge11+BK10*SUMIF(ThresholdAge11,"&lt;"&amp;BK10,WeightedRevAge11)-SUMIF(ThresholdAge11,"&lt;"&amp;BK10,WeightedMinAge11),MAX(CapacityAge11*АбонементНовых*BK10,MeanMinAge11)))</f>
        <v/>
      </c>
      <c r="BL85" s="5">
        <f>IF(OR(('03_Сеть'!BL33-BL31)=0,11&lt;=КаникулыРоялти),0,('03_Сеть'!BL33-BL31)*IF(РоялтиПоГруппам="Да",MeanMinAge11+BL10*SUMIF(ThresholdAge11,"&lt;"&amp;BL10,WeightedRevAge11)-SUMIF(ThresholdAge11,"&lt;"&amp;BL10,WeightedMinAge11),MAX(CapacityAge11*АбонементНовых*BL10,MeanMinAge11)))</f>
        <v/>
      </c>
      <c r="BM85" s="5">
        <f>IF(OR(('03_Сеть'!BM33-BM31)=0,11&lt;=КаникулыРоялти),0,('03_Сеть'!BM33-BM31)*IF(РоялтиПоГруппам="Да",MeanMinAge11+BM10*SUMIF(ThresholdAge11,"&lt;"&amp;BM10,WeightedRevAge11)-SUMIF(ThresholdAge11,"&lt;"&amp;BM10,WeightedMinAge11),MAX(CapacityAge11*АбонементНовых*BM10,MeanMinAge11)))</f>
        <v/>
      </c>
      <c r="BN85" s="5">
        <f>IF(OR(('03_Сеть'!BN33-BN31)=0,11&lt;=КаникулыРоялти),0,('03_Сеть'!BN33-BN31)*IF(РоялтиПоГруппам="Да",MeanMinAge11+BN10*SUMIF(ThresholdAge11,"&lt;"&amp;BN10,WeightedRevAge11)-SUMIF(ThresholdAge11,"&lt;"&amp;BN10,WeightedMinAge11),MAX(CapacityAge11*АбонементНовых*BN10,MeanMinAge11)))</f>
        <v/>
      </c>
      <c r="BO85" s="5">
        <f>IF(OR(('03_Сеть'!BO33-BO31)=0,11&lt;=КаникулыРоялти),0,('03_Сеть'!BO33-BO31)*IF(РоялтиПоГруппам="Да",MeanMinAge11+BO10*SUMIF(ThresholdAge11,"&lt;"&amp;BO10,WeightedRevAge11)-SUMIF(ThresholdAge11,"&lt;"&amp;BO10,WeightedMinAge11),MAX(CapacityAge11*АбонементНовых*BO10,MeanMinAge11)))</f>
        <v/>
      </c>
      <c r="BP85" s="5">
        <f>IF(OR(('03_Сеть'!BP33-BP31)=0,11&lt;=КаникулыРоялти),0,('03_Сеть'!BP33-BP31)*IF(РоялтиПоГруппам="Да",MeanMinAge11+BP10*SUMIF(ThresholdAge11,"&lt;"&amp;BP10,WeightedRevAge11)-SUMIF(ThresholdAge11,"&lt;"&amp;BP10,WeightedMinAge11),MAX(CapacityAge11*АбонементНовых*BP10,MeanMinAge11)))</f>
        <v/>
      </c>
      <c r="BQ85" s="5">
        <f>IF(OR(('03_Сеть'!BQ33-BQ31)=0,11&lt;=КаникулыРоялти),0,('03_Сеть'!BQ33-BQ31)*IF(РоялтиПоГруппам="Да",MeanMinAge11+BQ10*SUMIF(ThresholdAge11,"&lt;"&amp;BQ10,WeightedRevAge11)-SUMIF(ThresholdAge11,"&lt;"&amp;BQ10,WeightedMinAge11),MAX(CapacityAge11*АбонементНовых*BQ10,MeanMinAge11)))</f>
        <v/>
      </c>
      <c r="BR85" s="5">
        <f>IF(OR(('03_Сеть'!BR33-BR31)=0,11&lt;=КаникулыРоялти),0,('03_Сеть'!BR33-BR31)*IF(РоялтиПоГруппам="Да",MeanMinAge11+BR10*SUMIF(ThresholdAge11,"&lt;"&amp;BR10,WeightedRevAge11)-SUMIF(ThresholdAge11,"&lt;"&amp;BR10,WeightedMinAge11),MAX(CapacityAge11*АбонементНовых*BR10,MeanMinAge11)))</f>
        <v/>
      </c>
      <c r="BS85" s="5">
        <f>IF(OR(('03_Сеть'!BS33-BS31)=0,11&lt;=КаникулыРоялти),0,('03_Сеть'!BS33-BS31)*IF(РоялтиПоГруппам="Да",MeanMinAge11+BS10*SUMIF(ThresholdAge11,"&lt;"&amp;BS10,WeightedRevAge11)-SUMIF(ThresholdAge11,"&lt;"&amp;BS10,WeightedMinAge11),MAX(CapacityAge11*АбонементНовых*BS10,MeanMinAge11)))</f>
        <v/>
      </c>
      <c r="BT85" s="5">
        <f>IF(OR(('03_Сеть'!BT33-BT31)=0,11&lt;=КаникулыРоялти),0,('03_Сеть'!BT33-BT31)*IF(РоялтиПоГруппам="Да",MeanMinAge11+BT10*SUMIF(ThresholdAge11,"&lt;"&amp;BT10,WeightedRevAge11)-SUMIF(ThresholdAge11,"&lt;"&amp;BT10,WeightedMinAge11),MAX(CapacityAge11*АбонементНовых*BT10,MeanMinAge11)))</f>
        <v/>
      </c>
      <c r="BU85" s="5">
        <f>IF(OR(('03_Сеть'!BU33-BU31)=0,11&lt;=КаникулыРоялти),0,('03_Сеть'!BU33-BU31)*IF(РоялтиПоГруппам="Да",MeanMinAge11+BU10*SUMIF(ThresholdAge11,"&lt;"&amp;BU10,WeightedRevAge11)-SUMIF(ThresholdAge11,"&lt;"&amp;BU10,WeightedMinAge11),MAX(CapacityAge11*АбонементНовых*BU10,MeanMinAge11)))</f>
        <v/>
      </c>
      <c r="BV85" s="5">
        <f>IF(OR(('03_Сеть'!BV33-BV31)=0,11&lt;=КаникулыРоялти),0,('03_Сеть'!BV33-BV31)*IF(РоялтиПоГруппам="Да",MeanMinAge11+BV10*SUMIF(ThresholdAge11,"&lt;"&amp;BV10,WeightedRevAge11)-SUMIF(ThresholdAge11,"&lt;"&amp;BV10,WeightedMinAge11),MAX(CapacityAge11*АбонементНовых*BV10,MeanMinAge11)))</f>
        <v/>
      </c>
      <c r="BW85" s="5">
        <f>IF(OR(('03_Сеть'!BW33-BW31)=0,11&lt;=КаникулыРоялти),0,('03_Сеть'!BW33-BW31)*IF(РоялтиПоГруппам="Да",MeanMinAge11+BW10*SUMIF(ThresholdAge11,"&lt;"&amp;BW10,WeightedRevAge11)-SUMIF(ThresholdAge11,"&lt;"&amp;BW10,WeightedMinAge11),MAX(CapacityAge11*АбонементНовых*BW10,MeanMinAge11)))</f>
        <v/>
      </c>
      <c r="BX85" s="5">
        <f>IF(OR(('03_Сеть'!BX33-BX31)=0,11&lt;=КаникулыРоялти),0,('03_Сеть'!BX33-BX31)*IF(РоялтиПоГруппам="Да",MeanMinAge11+BX10*SUMIF(ThresholdAge11,"&lt;"&amp;BX10,WeightedRevAge11)-SUMIF(ThresholdAge11,"&lt;"&amp;BX10,WeightedMinAge11),MAX(CapacityAge11*АбонементНовых*BX10,MeanMinAge11)))</f>
        <v/>
      </c>
      <c r="BY85" s="5">
        <f>IF(OR(('03_Сеть'!BY33-BY31)=0,11&lt;=КаникулыРоялти),0,('03_Сеть'!BY33-BY31)*IF(РоялтиПоГруппам="Да",MeanMinAge11+BY10*SUMIF(ThresholdAge11,"&lt;"&amp;BY10,WeightedRevAge11)-SUMIF(ThresholdAge11,"&lt;"&amp;BY10,WeightedMinAge11),MAX(CapacityAge11*АбонементНовых*BY10,MeanMinAge11)))</f>
        <v/>
      </c>
    </row>
    <row r="86">
      <c r="B86" t="inlineStr">
        <is>
          <t>12 мес.</t>
        </is>
      </c>
      <c r="C86" t="inlineStr">
        <is>
          <t>₽</t>
        </is>
      </c>
      <c r="D86" s="127" t="inlineStr"/>
      <c r="E86" s="129">
        <f>SUM(L86:W86)</f>
        <v/>
      </c>
      <c r="F86" s="129">
        <f>SUM(X86:AI86)</f>
        <v/>
      </c>
      <c r="G86" s="129">
        <f>SUM(AJ86:AU86)</f>
        <v/>
      </c>
      <c r="H86" s="129">
        <f>SUM(AV86:BG86)</f>
        <v/>
      </c>
      <c r="I86" s="129">
        <f>SUM(BH86:BS86)</f>
        <v/>
      </c>
      <c r="J86" s="6">
        <f>SUM(L86:BS86)</f>
        <v/>
      </c>
      <c r="L86" s="5">
        <f>IF(OR(('03_Сеть'!L34-L32)=0,12&lt;=КаникулыРоялти),0,('03_Сеть'!L34-L32)*IF(РоялтиПоГруппам="Да",MeanMinAge12+L10*SUMIF(ThresholdAge12,"&lt;"&amp;L10,WeightedRevAge12)-SUMIF(ThresholdAge12,"&lt;"&amp;L10,WeightedMinAge12),MAX(CapacityAge12*АбонементНовых*L10,MeanMinAge12)))</f>
        <v/>
      </c>
      <c r="M86" s="5">
        <f>IF(OR(('03_Сеть'!M34-M32)=0,12&lt;=КаникулыРоялти),0,('03_Сеть'!M34-M32)*IF(РоялтиПоГруппам="Да",MeanMinAge12+M10*SUMIF(ThresholdAge12,"&lt;"&amp;M10,WeightedRevAge12)-SUMIF(ThresholdAge12,"&lt;"&amp;M10,WeightedMinAge12),MAX(CapacityAge12*АбонементНовых*M10,MeanMinAge12)))</f>
        <v/>
      </c>
      <c r="N86" s="5">
        <f>IF(OR(('03_Сеть'!N34-N32)=0,12&lt;=КаникулыРоялти),0,('03_Сеть'!N34-N32)*IF(РоялтиПоГруппам="Да",MeanMinAge12+N10*SUMIF(ThresholdAge12,"&lt;"&amp;N10,WeightedRevAge12)-SUMIF(ThresholdAge12,"&lt;"&amp;N10,WeightedMinAge12),MAX(CapacityAge12*АбонементНовых*N10,MeanMinAge12)))</f>
        <v/>
      </c>
      <c r="O86" s="5">
        <f>IF(OR(('03_Сеть'!O34-O32)=0,12&lt;=КаникулыРоялти),0,('03_Сеть'!O34-O32)*IF(РоялтиПоГруппам="Да",MeanMinAge12+O10*SUMIF(ThresholdAge12,"&lt;"&amp;O10,WeightedRevAge12)-SUMIF(ThresholdAge12,"&lt;"&amp;O10,WeightedMinAge12),MAX(CapacityAge12*АбонементНовых*O10,MeanMinAge12)))</f>
        <v/>
      </c>
      <c r="P86" s="5">
        <f>IF(OR(('03_Сеть'!P34-P32)=0,12&lt;=КаникулыРоялти),0,('03_Сеть'!P34-P32)*IF(РоялтиПоГруппам="Да",MeanMinAge12+P10*SUMIF(ThresholdAge12,"&lt;"&amp;P10,WeightedRevAge12)-SUMIF(ThresholdAge12,"&lt;"&amp;P10,WeightedMinAge12),MAX(CapacityAge12*АбонементНовых*P10,MeanMinAge12)))</f>
        <v/>
      </c>
      <c r="Q86" s="5">
        <f>IF(OR(('03_Сеть'!Q34-Q32)=0,12&lt;=КаникулыРоялти),0,('03_Сеть'!Q34-Q32)*IF(РоялтиПоГруппам="Да",MeanMinAge12+Q10*SUMIF(ThresholdAge12,"&lt;"&amp;Q10,WeightedRevAge12)-SUMIF(ThresholdAge12,"&lt;"&amp;Q10,WeightedMinAge12),MAX(CapacityAge12*АбонементНовых*Q10,MeanMinAge12)))</f>
        <v/>
      </c>
      <c r="R86" s="5">
        <f>IF(OR(('03_Сеть'!R34-R32)=0,12&lt;=КаникулыРоялти),0,('03_Сеть'!R34-R32)*IF(РоялтиПоГруппам="Да",MeanMinAge12+R10*SUMIF(ThresholdAge12,"&lt;"&amp;R10,WeightedRevAge12)-SUMIF(ThresholdAge12,"&lt;"&amp;R10,WeightedMinAge12),MAX(CapacityAge12*АбонементНовых*R10,MeanMinAge12)))</f>
        <v/>
      </c>
      <c r="S86" s="5">
        <f>IF(OR(('03_Сеть'!S34-S32)=0,12&lt;=КаникулыРоялти),0,('03_Сеть'!S34-S32)*IF(РоялтиПоГруппам="Да",MeanMinAge12+S10*SUMIF(ThresholdAge12,"&lt;"&amp;S10,WeightedRevAge12)-SUMIF(ThresholdAge12,"&lt;"&amp;S10,WeightedMinAge12),MAX(CapacityAge12*АбонементНовых*S10,MeanMinAge12)))</f>
        <v/>
      </c>
      <c r="T86" s="5">
        <f>IF(OR(('03_Сеть'!T34-T32)=0,12&lt;=КаникулыРоялти),0,('03_Сеть'!T34-T32)*IF(РоялтиПоГруппам="Да",MeanMinAge12+T10*SUMIF(ThresholdAge12,"&lt;"&amp;T10,WeightedRevAge12)-SUMIF(ThresholdAge12,"&lt;"&amp;T10,WeightedMinAge12),MAX(CapacityAge12*АбонементНовых*T10,MeanMinAge12)))</f>
        <v/>
      </c>
      <c r="U86" s="5">
        <f>IF(OR(('03_Сеть'!U34-U32)=0,12&lt;=КаникулыРоялти),0,('03_Сеть'!U34-U32)*IF(РоялтиПоГруппам="Да",MeanMinAge12+U10*SUMIF(ThresholdAge12,"&lt;"&amp;U10,WeightedRevAge12)-SUMIF(ThresholdAge12,"&lt;"&amp;U10,WeightedMinAge12),MAX(CapacityAge12*АбонементНовых*U10,MeanMinAge12)))</f>
        <v/>
      </c>
      <c r="V86" s="5">
        <f>IF(OR(('03_Сеть'!V34-V32)=0,12&lt;=КаникулыРоялти),0,('03_Сеть'!V34-V32)*IF(РоялтиПоГруппам="Да",MeanMinAge12+V10*SUMIF(ThresholdAge12,"&lt;"&amp;V10,WeightedRevAge12)-SUMIF(ThresholdAge12,"&lt;"&amp;V10,WeightedMinAge12),MAX(CapacityAge12*АбонементНовых*V10,MeanMinAge12)))</f>
        <v/>
      </c>
      <c r="W86" s="5">
        <f>IF(OR(('03_Сеть'!W34-W32)=0,12&lt;=КаникулыРоялти),0,('03_Сеть'!W34-W32)*IF(РоялтиПоГруппам="Да",MeanMinAge12+W10*SUMIF(ThresholdAge12,"&lt;"&amp;W10,WeightedRevAge12)-SUMIF(ThresholdAge12,"&lt;"&amp;W10,WeightedMinAge12),MAX(CapacityAge12*АбонементНовых*W10,MeanMinAge12)))</f>
        <v/>
      </c>
      <c r="X86" s="5">
        <f>IF(OR(('03_Сеть'!X34-X32)=0,12&lt;=КаникулыРоялти),0,('03_Сеть'!X34-X32)*IF(РоялтиПоГруппам="Да",MeanMinAge12+X10*SUMIF(ThresholdAge12,"&lt;"&amp;X10,WeightedRevAge12)-SUMIF(ThresholdAge12,"&lt;"&amp;X10,WeightedMinAge12),MAX(CapacityAge12*АбонементНовых*X10,MeanMinAge12)))</f>
        <v/>
      </c>
      <c r="Y86" s="5">
        <f>IF(OR(('03_Сеть'!Y34-Y32)=0,12&lt;=КаникулыРоялти),0,('03_Сеть'!Y34-Y32)*IF(РоялтиПоГруппам="Да",MeanMinAge12+Y10*SUMIF(ThresholdAge12,"&lt;"&amp;Y10,WeightedRevAge12)-SUMIF(ThresholdAge12,"&lt;"&amp;Y10,WeightedMinAge12),MAX(CapacityAge12*АбонементНовых*Y10,MeanMinAge12)))</f>
        <v/>
      </c>
      <c r="Z86" s="5">
        <f>IF(OR(('03_Сеть'!Z34-Z32)=0,12&lt;=КаникулыРоялти),0,('03_Сеть'!Z34-Z32)*IF(РоялтиПоГруппам="Да",MeanMinAge12+Z10*SUMIF(ThresholdAge12,"&lt;"&amp;Z10,WeightedRevAge12)-SUMIF(ThresholdAge12,"&lt;"&amp;Z10,WeightedMinAge12),MAX(CapacityAge12*АбонементНовых*Z10,MeanMinAge12)))</f>
        <v/>
      </c>
      <c r="AA86" s="5">
        <f>IF(OR(('03_Сеть'!AA34-AA32)=0,12&lt;=КаникулыРоялти),0,('03_Сеть'!AA34-AA32)*IF(РоялтиПоГруппам="Да",MeanMinAge12+AA10*SUMIF(ThresholdAge12,"&lt;"&amp;AA10,WeightedRevAge12)-SUMIF(ThresholdAge12,"&lt;"&amp;AA10,WeightedMinAge12),MAX(CapacityAge12*АбонементНовых*AA10,MeanMinAge12)))</f>
        <v/>
      </c>
      <c r="AB86" s="5">
        <f>IF(OR(('03_Сеть'!AB34-AB32)=0,12&lt;=КаникулыРоялти),0,('03_Сеть'!AB34-AB32)*IF(РоялтиПоГруппам="Да",MeanMinAge12+AB10*SUMIF(ThresholdAge12,"&lt;"&amp;AB10,WeightedRevAge12)-SUMIF(ThresholdAge12,"&lt;"&amp;AB10,WeightedMinAge12),MAX(CapacityAge12*АбонементНовых*AB10,MeanMinAge12)))</f>
        <v/>
      </c>
      <c r="AC86" s="5">
        <f>IF(OR(('03_Сеть'!AC34-AC32)=0,12&lt;=КаникулыРоялти),0,('03_Сеть'!AC34-AC32)*IF(РоялтиПоГруппам="Да",MeanMinAge12+AC10*SUMIF(ThresholdAge12,"&lt;"&amp;AC10,WeightedRevAge12)-SUMIF(ThresholdAge12,"&lt;"&amp;AC10,WeightedMinAge12),MAX(CapacityAge12*АбонементНовых*AC10,MeanMinAge12)))</f>
        <v/>
      </c>
      <c r="AD86" s="5">
        <f>IF(OR(('03_Сеть'!AD34-AD32)=0,12&lt;=КаникулыРоялти),0,('03_Сеть'!AD34-AD32)*IF(РоялтиПоГруппам="Да",MeanMinAge12+AD10*SUMIF(ThresholdAge12,"&lt;"&amp;AD10,WeightedRevAge12)-SUMIF(ThresholdAge12,"&lt;"&amp;AD10,WeightedMinAge12),MAX(CapacityAge12*АбонементНовых*AD10,MeanMinAge12)))</f>
        <v/>
      </c>
      <c r="AE86" s="5">
        <f>IF(OR(('03_Сеть'!AE34-AE32)=0,12&lt;=КаникулыРоялти),0,('03_Сеть'!AE34-AE32)*IF(РоялтиПоГруппам="Да",MeanMinAge12+AE10*SUMIF(ThresholdAge12,"&lt;"&amp;AE10,WeightedRevAge12)-SUMIF(ThresholdAge12,"&lt;"&amp;AE10,WeightedMinAge12),MAX(CapacityAge12*АбонементНовых*AE10,MeanMinAge12)))</f>
        <v/>
      </c>
      <c r="AF86" s="5">
        <f>IF(OR(('03_Сеть'!AF34-AF32)=0,12&lt;=КаникулыРоялти),0,('03_Сеть'!AF34-AF32)*IF(РоялтиПоГруппам="Да",MeanMinAge12+AF10*SUMIF(ThresholdAge12,"&lt;"&amp;AF10,WeightedRevAge12)-SUMIF(ThresholdAge12,"&lt;"&amp;AF10,WeightedMinAge12),MAX(CapacityAge12*АбонементНовых*AF10,MeanMinAge12)))</f>
        <v/>
      </c>
      <c r="AG86" s="5">
        <f>IF(OR(('03_Сеть'!AG34-AG32)=0,12&lt;=КаникулыРоялти),0,('03_Сеть'!AG34-AG32)*IF(РоялтиПоГруппам="Да",MeanMinAge12+AG10*SUMIF(ThresholdAge12,"&lt;"&amp;AG10,WeightedRevAge12)-SUMIF(ThresholdAge12,"&lt;"&amp;AG10,WeightedMinAge12),MAX(CapacityAge12*АбонементНовых*AG10,MeanMinAge12)))</f>
        <v/>
      </c>
      <c r="AH86" s="5">
        <f>IF(OR(('03_Сеть'!AH34-AH32)=0,12&lt;=КаникулыРоялти),0,('03_Сеть'!AH34-AH32)*IF(РоялтиПоГруппам="Да",MeanMinAge12+AH10*SUMIF(ThresholdAge12,"&lt;"&amp;AH10,WeightedRevAge12)-SUMIF(ThresholdAge12,"&lt;"&amp;AH10,WeightedMinAge12),MAX(CapacityAge12*АбонементНовых*AH10,MeanMinAge12)))</f>
        <v/>
      </c>
      <c r="AI86" s="5">
        <f>IF(OR(('03_Сеть'!AI34-AI32)=0,12&lt;=КаникулыРоялти),0,('03_Сеть'!AI34-AI32)*IF(РоялтиПоГруппам="Да",MeanMinAge12+AI10*SUMIF(ThresholdAge12,"&lt;"&amp;AI10,WeightedRevAge12)-SUMIF(ThresholdAge12,"&lt;"&amp;AI10,WeightedMinAge12),MAX(CapacityAge12*АбонементНовых*AI10,MeanMinAge12)))</f>
        <v/>
      </c>
      <c r="AJ86" s="5">
        <f>IF(OR(('03_Сеть'!AJ34-AJ32)=0,12&lt;=КаникулыРоялти),0,('03_Сеть'!AJ34-AJ32)*IF(РоялтиПоГруппам="Да",MeanMinAge12+AJ10*SUMIF(ThresholdAge12,"&lt;"&amp;AJ10,WeightedRevAge12)-SUMIF(ThresholdAge12,"&lt;"&amp;AJ10,WeightedMinAge12),MAX(CapacityAge12*АбонементНовых*AJ10,MeanMinAge12)))</f>
        <v/>
      </c>
      <c r="AK86" s="5">
        <f>IF(OR(('03_Сеть'!AK34-AK32)=0,12&lt;=КаникулыРоялти),0,('03_Сеть'!AK34-AK32)*IF(РоялтиПоГруппам="Да",MeanMinAge12+AK10*SUMIF(ThresholdAge12,"&lt;"&amp;AK10,WeightedRevAge12)-SUMIF(ThresholdAge12,"&lt;"&amp;AK10,WeightedMinAge12),MAX(CapacityAge12*АбонементНовых*AK10,MeanMinAge12)))</f>
        <v/>
      </c>
      <c r="AL86" s="5">
        <f>IF(OR(('03_Сеть'!AL34-AL32)=0,12&lt;=КаникулыРоялти),0,('03_Сеть'!AL34-AL32)*IF(РоялтиПоГруппам="Да",MeanMinAge12+AL10*SUMIF(ThresholdAge12,"&lt;"&amp;AL10,WeightedRevAge12)-SUMIF(ThresholdAge12,"&lt;"&amp;AL10,WeightedMinAge12),MAX(CapacityAge12*АбонементНовых*AL10,MeanMinAge12)))</f>
        <v/>
      </c>
      <c r="AM86" s="5">
        <f>IF(OR(('03_Сеть'!AM34-AM32)=0,12&lt;=КаникулыРоялти),0,('03_Сеть'!AM34-AM32)*IF(РоялтиПоГруппам="Да",MeanMinAge12+AM10*SUMIF(ThresholdAge12,"&lt;"&amp;AM10,WeightedRevAge12)-SUMIF(ThresholdAge12,"&lt;"&amp;AM10,WeightedMinAge12),MAX(CapacityAge12*АбонементНовых*AM10,MeanMinAge12)))</f>
        <v/>
      </c>
      <c r="AN86" s="5">
        <f>IF(OR(('03_Сеть'!AN34-AN32)=0,12&lt;=КаникулыРоялти),0,('03_Сеть'!AN34-AN32)*IF(РоялтиПоГруппам="Да",MeanMinAge12+AN10*SUMIF(ThresholdAge12,"&lt;"&amp;AN10,WeightedRevAge12)-SUMIF(ThresholdAge12,"&lt;"&amp;AN10,WeightedMinAge12),MAX(CapacityAge12*АбонементНовых*AN10,MeanMinAge12)))</f>
        <v/>
      </c>
      <c r="AO86" s="5">
        <f>IF(OR(('03_Сеть'!AO34-AO32)=0,12&lt;=КаникулыРоялти),0,('03_Сеть'!AO34-AO32)*IF(РоялтиПоГруппам="Да",MeanMinAge12+AO10*SUMIF(ThresholdAge12,"&lt;"&amp;AO10,WeightedRevAge12)-SUMIF(ThresholdAge12,"&lt;"&amp;AO10,WeightedMinAge12),MAX(CapacityAge12*АбонементНовых*AO10,MeanMinAge12)))</f>
        <v/>
      </c>
      <c r="AP86" s="5">
        <f>IF(OR(('03_Сеть'!AP34-AP32)=0,12&lt;=КаникулыРоялти),0,('03_Сеть'!AP34-AP32)*IF(РоялтиПоГруппам="Да",MeanMinAge12+AP10*SUMIF(ThresholdAge12,"&lt;"&amp;AP10,WeightedRevAge12)-SUMIF(ThresholdAge12,"&lt;"&amp;AP10,WeightedMinAge12),MAX(CapacityAge12*АбонементНовых*AP10,MeanMinAge12)))</f>
        <v/>
      </c>
      <c r="AQ86" s="5">
        <f>IF(OR(('03_Сеть'!AQ34-AQ32)=0,12&lt;=КаникулыРоялти),0,('03_Сеть'!AQ34-AQ32)*IF(РоялтиПоГруппам="Да",MeanMinAge12+AQ10*SUMIF(ThresholdAge12,"&lt;"&amp;AQ10,WeightedRevAge12)-SUMIF(ThresholdAge12,"&lt;"&amp;AQ10,WeightedMinAge12),MAX(CapacityAge12*АбонементНовых*AQ10,MeanMinAge12)))</f>
        <v/>
      </c>
      <c r="AR86" s="5">
        <f>IF(OR(('03_Сеть'!AR34-AR32)=0,12&lt;=КаникулыРоялти),0,('03_Сеть'!AR34-AR32)*IF(РоялтиПоГруппам="Да",MeanMinAge12+AR10*SUMIF(ThresholdAge12,"&lt;"&amp;AR10,WeightedRevAge12)-SUMIF(ThresholdAge12,"&lt;"&amp;AR10,WeightedMinAge12),MAX(CapacityAge12*АбонементНовых*AR10,MeanMinAge12)))</f>
        <v/>
      </c>
      <c r="AS86" s="5">
        <f>IF(OR(('03_Сеть'!AS34-AS32)=0,12&lt;=КаникулыРоялти),0,('03_Сеть'!AS34-AS32)*IF(РоялтиПоГруппам="Да",MeanMinAge12+AS10*SUMIF(ThresholdAge12,"&lt;"&amp;AS10,WeightedRevAge12)-SUMIF(ThresholdAge12,"&lt;"&amp;AS10,WeightedMinAge12),MAX(CapacityAge12*АбонементНовых*AS10,MeanMinAge12)))</f>
        <v/>
      </c>
      <c r="AT86" s="5">
        <f>IF(OR(('03_Сеть'!AT34-AT32)=0,12&lt;=КаникулыРоялти),0,('03_Сеть'!AT34-AT32)*IF(РоялтиПоГруппам="Да",MeanMinAge12+AT10*SUMIF(ThresholdAge12,"&lt;"&amp;AT10,WeightedRevAge12)-SUMIF(ThresholdAge12,"&lt;"&amp;AT10,WeightedMinAge12),MAX(CapacityAge12*АбонементНовых*AT10,MeanMinAge12)))</f>
        <v/>
      </c>
      <c r="AU86" s="5">
        <f>IF(OR(('03_Сеть'!AU34-AU32)=0,12&lt;=КаникулыРоялти),0,('03_Сеть'!AU34-AU32)*IF(РоялтиПоГруппам="Да",MeanMinAge12+AU10*SUMIF(ThresholdAge12,"&lt;"&amp;AU10,WeightedRevAge12)-SUMIF(ThresholdAge12,"&lt;"&amp;AU10,WeightedMinAge12),MAX(CapacityAge12*АбонементНовых*AU10,MeanMinAge12)))</f>
        <v/>
      </c>
      <c r="AV86" s="5">
        <f>IF(OR(('03_Сеть'!AV34-AV32)=0,12&lt;=КаникулыРоялти),0,('03_Сеть'!AV34-AV32)*IF(РоялтиПоГруппам="Да",MeanMinAge12+AV10*SUMIF(ThresholdAge12,"&lt;"&amp;AV10,WeightedRevAge12)-SUMIF(ThresholdAge12,"&lt;"&amp;AV10,WeightedMinAge12),MAX(CapacityAge12*АбонементНовых*AV10,MeanMinAge12)))</f>
        <v/>
      </c>
      <c r="AW86" s="5">
        <f>IF(OR(('03_Сеть'!AW34-AW32)=0,12&lt;=КаникулыРоялти),0,('03_Сеть'!AW34-AW32)*IF(РоялтиПоГруппам="Да",MeanMinAge12+AW10*SUMIF(ThresholdAge12,"&lt;"&amp;AW10,WeightedRevAge12)-SUMIF(ThresholdAge12,"&lt;"&amp;AW10,WeightedMinAge12),MAX(CapacityAge12*АбонементНовых*AW10,MeanMinAge12)))</f>
        <v/>
      </c>
      <c r="AX86" s="5">
        <f>IF(OR(('03_Сеть'!AX34-AX32)=0,12&lt;=КаникулыРоялти),0,('03_Сеть'!AX34-AX32)*IF(РоялтиПоГруппам="Да",MeanMinAge12+AX10*SUMIF(ThresholdAge12,"&lt;"&amp;AX10,WeightedRevAge12)-SUMIF(ThresholdAge12,"&lt;"&amp;AX10,WeightedMinAge12),MAX(CapacityAge12*АбонементНовых*AX10,MeanMinAge12)))</f>
        <v/>
      </c>
      <c r="AY86" s="5">
        <f>IF(OR(('03_Сеть'!AY34-AY32)=0,12&lt;=КаникулыРоялти),0,('03_Сеть'!AY34-AY32)*IF(РоялтиПоГруппам="Да",MeanMinAge12+AY10*SUMIF(ThresholdAge12,"&lt;"&amp;AY10,WeightedRevAge12)-SUMIF(ThresholdAge12,"&lt;"&amp;AY10,WeightedMinAge12),MAX(CapacityAge12*АбонементНовых*AY10,MeanMinAge12)))</f>
        <v/>
      </c>
      <c r="AZ86" s="5">
        <f>IF(OR(('03_Сеть'!AZ34-AZ32)=0,12&lt;=КаникулыРоялти),0,('03_Сеть'!AZ34-AZ32)*IF(РоялтиПоГруппам="Да",MeanMinAge12+AZ10*SUMIF(ThresholdAge12,"&lt;"&amp;AZ10,WeightedRevAge12)-SUMIF(ThresholdAge12,"&lt;"&amp;AZ10,WeightedMinAge12),MAX(CapacityAge12*АбонементНовых*AZ10,MeanMinAge12)))</f>
        <v/>
      </c>
      <c r="BA86" s="5">
        <f>IF(OR(('03_Сеть'!BA34-BA32)=0,12&lt;=КаникулыРоялти),0,('03_Сеть'!BA34-BA32)*IF(РоялтиПоГруппам="Да",MeanMinAge12+BA10*SUMIF(ThresholdAge12,"&lt;"&amp;BA10,WeightedRevAge12)-SUMIF(ThresholdAge12,"&lt;"&amp;BA10,WeightedMinAge12),MAX(CapacityAge12*АбонементНовых*BA10,MeanMinAge12)))</f>
        <v/>
      </c>
      <c r="BB86" s="5">
        <f>IF(OR(('03_Сеть'!BB34-BB32)=0,12&lt;=КаникулыРоялти),0,('03_Сеть'!BB34-BB32)*IF(РоялтиПоГруппам="Да",MeanMinAge12+BB10*SUMIF(ThresholdAge12,"&lt;"&amp;BB10,WeightedRevAge12)-SUMIF(ThresholdAge12,"&lt;"&amp;BB10,WeightedMinAge12),MAX(CapacityAge12*АбонементНовых*BB10,MeanMinAge12)))</f>
        <v/>
      </c>
      <c r="BC86" s="5">
        <f>IF(OR(('03_Сеть'!BC34-BC32)=0,12&lt;=КаникулыРоялти),0,('03_Сеть'!BC34-BC32)*IF(РоялтиПоГруппам="Да",MeanMinAge12+BC10*SUMIF(ThresholdAge12,"&lt;"&amp;BC10,WeightedRevAge12)-SUMIF(ThresholdAge12,"&lt;"&amp;BC10,WeightedMinAge12),MAX(CapacityAge12*АбонементНовых*BC10,MeanMinAge12)))</f>
        <v/>
      </c>
      <c r="BD86" s="5">
        <f>IF(OR(('03_Сеть'!BD34-BD32)=0,12&lt;=КаникулыРоялти),0,('03_Сеть'!BD34-BD32)*IF(РоялтиПоГруппам="Да",MeanMinAge12+BD10*SUMIF(ThresholdAge12,"&lt;"&amp;BD10,WeightedRevAge12)-SUMIF(ThresholdAge12,"&lt;"&amp;BD10,WeightedMinAge12),MAX(CapacityAge12*АбонементНовых*BD10,MeanMinAge12)))</f>
        <v/>
      </c>
      <c r="BE86" s="5">
        <f>IF(OR(('03_Сеть'!BE34-BE32)=0,12&lt;=КаникулыРоялти),0,('03_Сеть'!BE34-BE32)*IF(РоялтиПоГруппам="Да",MeanMinAge12+BE10*SUMIF(ThresholdAge12,"&lt;"&amp;BE10,WeightedRevAge12)-SUMIF(ThresholdAge12,"&lt;"&amp;BE10,WeightedMinAge12),MAX(CapacityAge12*АбонементНовых*BE10,MeanMinAge12)))</f>
        <v/>
      </c>
      <c r="BF86" s="5">
        <f>IF(OR(('03_Сеть'!BF34-BF32)=0,12&lt;=КаникулыРоялти),0,('03_Сеть'!BF34-BF32)*IF(РоялтиПоГруппам="Да",MeanMinAge12+BF10*SUMIF(ThresholdAge12,"&lt;"&amp;BF10,WeightedRevAge12)-SUMIF(ThresholdAge12,"&lt;"&amp;BF10,WeightedMinAge12),MAX(CapacityAge12*АбонементНовых*BF10,MeanMinAge12)))</f>
        <v/>
      </c>
      <c r="BG86" s="5">
        <f>IF(OR(('03_Сеть'!BG34-BG32)=0,12&lt;=КаникулыРоялти),0,('03_Сеть'!BG34-BG32)*IF(РоялтиПоГруппам="Да",MeanMinAge12+BG10*SUMIF(ThresholdAge12,"&lt;"&amp;BG10,WeightedRevAge12)-SUMIF(ThresholdAge12,"&lt;"&amp;BG10,WeightedMinAge12),MAX(CapacityAge12*АбонементНовых*BG10,MeanMinAge12)))</f>
        <v/>
      </c>
      <c r="BH86" s="5">
        <f>IF(OR(('03_Сеть'!BH34-BH32)=0,12&lt;=КаникулыРоялти),0,('03_Сеть'!BH34-BH32)*IF(РоялтиПоГруппам="Да",MeanMinAge12+BH10*SUMIF(ThresholdAge12,"&lt;"&amp;BH10,WeightedRevAge12)-SUMIF(ThresholdAge12,"&lt;"&amp;BH10,WeightedMinAge12),MAX(CapacityAge12*АбонементНовых*BH10,MeanMinAge12)))</f>
        <v/>
      </c>
      <c r="BI86" s="5">
        <f>IF(OR(('03_Сеть'!BI34-BI32)=0,12&lt;=КаникулыРоялти),0,('03_Сеть'!BI34-BI32)*IF(РоялтиПоГруппам="Да",MeanMinAge12+BI10*SUMIF(ThresholdAge12,"&lt;"&amp;BI10,WeightedRevAge12)-SUMIF(ThresholdAge12,"&lt;"&amp;BI10,WeightedMinAge12),MAX(CapacityAge12*АбонементНовых*BI10,MeanMinAge12)))</f>
        <v/>
      </c>
      <c r="BJ86" s="5">
        <f>IF(OR(('03_Сеть'!BJ34-BJ32)=0,12&lt;=КаникулыРоялти),0,('03_Сеть'!BJ34-BJ32)*IF(РоялтиПоГруппам="Да",MeanMinAge12+BJ10*SUMIF(ThresholdAge12,"&lt;"&amp;BJ10,WeightedRevAge12)-SUMIF(ThresholdAge12,"&lt;"&amp;BJ10,WeightedMinAge12),MAX(CapacityAge12*АбонементНовых*BJ10,MeanMinAge12)))</f>
        <v/>
      </c>
      <c r="BK86" s="5">
        <f>IF(OR(('03_Сеть'!BK34-BK32)=0,12&lt;=КаникулыРоялти),0,('03_Сеть'!BK34-BK32)*IF(РоялтиПоГруппам="Да",MeanMinAge12+BK10*SUMIF(ThresholdAge12,"&lt;"&amp;BK10,WeightedRevAge12)-SUMIF(ThresholdAge12,"&lt;"&amp;BK10,WeightedMinAge12),MAX(CapacityAge12*АбонементНовых*BK10,MeanMinAge12)))</f>
        <v/>
      </c>
      <c r="BL86" s="5">
        <f>IF(OR(('03_Сеть'!BL34-BL32)=0,12&lt;=КаникулыРоялти),0,('03_Сеть'!BL34-BL32)*IF(РоялтиПоГруппам="Да",MeanMinAge12+BL10*SUMIF(ThresholdAge12,"&lt;"&amp;BL10,WeightedRevAge12)-SUMIF(ThresholdAge12,"&lt;"&amp;BL10,WeightedMinAge12),MAX(CapacityAge12*АбонементНовых*BL10,MeanMinAge12)))</f>
        <v/>
      </c>
      <c r="BM86" s="5">
        <f>IF(OR(('03_Сеть'!BM34-BM32)=0,12&lt;=КаникулыРоялти),0,('03_Сеть'!BM34-BM32)*IF(РоялтиПоГруппам="Да",MeanMinAge12+BM10*SUMIF(ThresholdAge12,"&lt;"&amp;BM10,WeightedRevAge12)-SUMIF(ThresholdAge12,"&lt;"&amp;BM10,WeightedMinAge12),MAX(CapacityAge12*АбонементНовых*BM10,MeanMinAge12)))</f>
        <v/>
      </c>
      <c r="BN86" s="5">
        <f>IF(OR(('03_Сеть'!BN34-BN32)=0,12&lt;=КаникулыРоялти),0,('03_Сеть'!BN34-BN32)*IF(РоялтиПоГруппам="Да",MeanMinAge12+BN10*SUMIF(ThresholdAge12,"&lt;"&amp;BN10,WeightedRevAge12)-SUMIF(ThresholdAge12,"&lt;"&amp;BN10,WeightedMinAge12),MAX(CapacityAge12*АбонементНовых*BN10,MeanMinAge12)))</f>
        <v/>
      </c>
      <c r="BO86" s="5">
        <f>IF(OR(('03_Сеть'!BO34-BO32)=0,12&lt;=КаникулыРоялти),0,('03_Сеть'!BO34-BO32)*IF(РоялтиПоГруппам="Да",MeanMinAge12+BO10*SUMIF(ThresholdAge12,"&lt;"&amp;BO10,WeightedRevAge12)-SUMIF(ThresholdAge12,"&lt;"&amp;BO10,WeightedMinAge12),MAX(CapacityAge12*АбонементНовых*BO10,MeanMinAge12)))</f>
        <v/>
      </c>
      <c r="BP86" s="5">
        <f>IF(OR(('03_Сеть'!BP34-BP32)=0,12&lt;=КаникулыРоялти),0,('03_Сеть'!BP34-BP32)*IF(РоялтиПоГруппам="Да",MeanMinAge12+BP10*SUMIF(ThresholdAge12,"&lt;"&amp;BP10,WeightedRevAge12)-SUMIF(ThresholdAge12,"&lt;"&amp;BP10,WeightedMinAge12),MAX(CapacityAge12*АбонементНовых*BP10,MeanMinAge12)))</f>
        <v/>
      </c>
      <c r="BQ86" s="5">
        <f>IF(OR(('03_Сеть'!BQ34-BQ32)=0,12&lt;=КаникулыРоялти),0,('03_Сеть'!BQ34-BQ32)*IF(РоялтиПоГруппам="Да",MeanMinAge12+BQ10*SUMIF(ThresholdAge12,"&lt;"&amp;BQ10,WeightedRevAge12)-SUMIF(ThresholdAge12,"&lt;"&amp;BQ10,WeightedMinAge12),MAX(CapacityAge12*АбонементНовых*BQ10,MeanMinAge12)))</f>
        <v/>
      </c>
      <c r="BR86" s="5">
        <f>IF(OR(('03_Сеть'!BR34-BR32)=0,12&lt;=КаникулыРоялти),0,('03_Сеть'!BR34-BR32)*IF(РоялтиПоГруппам="Да",MeanMinAge12+BR10*SUMIF(ThresholdAge12,"&lt;"&amp;BR10,WeightedRevAge12)-SUMIF(ThresholdAge12,"&lt;"&amp;BR10,WeightedMinAge12),MAX(CapacityAge12*АбонементНовых*BR10,MeanMinAge12)))</f>
        <v/>
      </c>
      <c r="BS86" s="5">
        <f>IF(OR(('03_Сеть'!BS34-BS32)=0,12&lt;=КаникулыРоялти),0,('03_Сеть'!BS34-BS32)*IF(РоялтиПоГруппам="Да",MeanMinAge12+BS10*SUMIF(ThresholdAge12,"&lt;"&amp;BS10,WeightedRevAge12)-SUMIF(ThresholdAge12,"&lt;"&amp;BS10,WeightedMinAge12),MAX(CapacityAge12*АбонементНовых*BS10,MeanMinAge12)))</f>
        <v/>
      </c>
      <c r="BT86" s="5">
        <f>IF(OR(('03_Сеть'!BT34-BT32)=0,12&lt;=КаникулыРоялти),0,('03_Сеть'!BT34-BT32)*IF(РоялтиПоГруппам="Да",MeanMinAge12+BT10*SUMIF(ThresholdAge12,"&lt;"&amp;BT10,WeightedRevAge12)-SUMIF(ThresholdAge12,"&lt;"&amp;BT10,WeightedMinAge12),MAX(CapacityAge12*АбонементНовых*BT10,MeanMinAge12)))</f>
        <v/>
      </c>
      <c r="BU86" s="5">
        <f>IF(OR(('03_Сеть'!BU34-BU32)=0,12&lt;=КаникулыРоялти),0,('03_Сеть'!BU34-BU32)*IF(РоялтиПоГруппам="Да",MeanMinAge12+BU10*SUMIF(ThresholdAge12,"&lt;"&amp;BU10,WeightedRevAge12)-SUMIF(ThresholdAge12,"&lt;"&amp;BU10,WeightedMinAge12),MAX(CapacityAge12*АбонементНовых*BU10,MeanMinAge12)))</f>
        <v/>
      </c>
      <c r="BV86" s="5">
        <f>IF(OR(('03_Сеть'!BV34-BV32)=0,12&lt;=КаникулыРоялти),0,('03_Сеть'!BV34-BV32)*IF(РоялтиПоГруппам="Да",MeanMinAge12+BV10*SUMIF(ThresholdAge12,"&lt;"&amp;BV10,WeightedRevAge12)-SUMIF(ThresholdAge12,"&lt;"&amp;BV10,WeightedMinAge12),MAX(CapacityAge12*АбонементНовых*BV10,MeanMinAge12)))</f>
        <v/>
      </c>
      <c r="BW86" s="5">
        <f>IF(OR(('03_Сеть'!BW34-BW32)=0,12&lt;=КаникулыРоялти),0,('03_Сеть'!BW34-BW32)*IF(РоялтиПоГруппам="Да",MeanMinAge12+BW10*SUMIF(ThresholdAge12,"&lt;"&amp;BW10,WeightedRevAge12)-SUMIF(ThresholdAge12,"&lt;"&amp;BW10,WeightedMinAge12),MAX(CapacityAge12*АбонементНовых*BW10,MeanMinAge12)))</f>
        <v/>
      </c>
      <c r="BX86" s="5">
        <f>IF(OR(('03_Сеть'!BX34-BX32)=0,12&lt;=КаникулыРоялти),0,('03_Сеть'!BX34-BX32)*IF(РоялтиПоГруппам="Да",MeanMinAge12+BX10*SUMIF(ThresholdAge12,"&lt;"&amp;BX10,WeightedRevAge12)-SUMIF(ThresholdAge12,"&lt;"&amp;BX10,WeightedMinAge12),MAX(CapacityAge12*АбонементНовых*BX10,MeanMinAge12)))</f>
        <v/>
      </c>
      <c r="BY86" s="5">
        <f>IF(OR(('03_Сеть'!BY34-BY32)=0,12&lt;=КаникулыРоялти),0,('03_Сеть'!BY34-BY32)*IF(РоялтиПоГруппам="Да",MeanMinAge12+BY10*SUMIF(ThresholdAge12,"&lt;"&amp;BY10,WeightedRevAge12)-SUMIF(ThresholdAge12,"&lt;"&amp;BY10,WeightedMinAge12),MAX(CapacityAge12*АбонементНовых*BY10,MeanMinAge12)))</f>
        <v/>
      </c>
    </row>
    <row r="87">
      <c r="B87" t="inlineStr">
        <is>
          <t>13 мес.</t>
        </is>
      </c>
      <c r="C87" t="inlineStr">
        <is>
          <t>₽</t>
        </is>
      </c>
      <c r="D87" s="127" t="inlineStr"/>
      <c r="E87" s="129">
        <f>SUM(L87:W87)</f>
        <v/>
      </c>
      <c r="F87" s="129">
        <f>SUM(X87:AI87)</f>
        <v/>
      </c>
      <c r="G87" s="129">
        <f>SUM(AJ87:AU87)</f>
        <v/>
      </c>
      <c r="H87" s="129">
        <f>SUM(AV87:BG87)</f>
        <v/>
      </c>
      <c r="I87" s="129">
        <f>SUM(BH87:BS87)</f>
        <v/>
      </c>
      <c r="J87" s="6">
        <f>SUM(L87:BS87)</f>
        <v/>
      </c>
      <c r="L87" s="5">
        <f>IF(OR(('03_Сеть'!L35-L33)=0,13&lt;=КаникулыРоялти),0,('03_Сеть'!L35-L33)*IF(РоялтиПоГруппам="Да",MeanMinAge13+L10*SUMIF(ThresholdAge13,"&lt;"&amp;L10,WeightedRevAge13)-SUMIF(ThresholdAge13,"&lt;"&amp;L10,WeightedMinAge13),MAX(CapacityAge13*АбонементНовых*L10,MeanMinAge13)))</f>
        <v/>
      </c>
      <c r="M87" s="5">
        <f>IF(OR(('03_Сеть'!M35-M33)=0,13&lt;=КаникулыРоялти),0,('03_Сеть'!M35-M33)*IF(РоялтиПоГруппам="Да",MeanMinAge13+M10*SUMIF(ThresholdAge13,"&lt;"&amp;M10,WeightedRevAge13)-SUMIF(ThresholdAge13,"&lt;"&amp;M10,WeightedMinAge13),MAX(CapacityAge13*АбонементНовых*M10,MeanMinAge13)))</f>
        <v/>
      </c>
      <c r="N87" s="5">
        <f>IF(OR(('03_Сеть'!N35-N33)=0,13&lt;=КаникулыРоялти),0,('03_Сеть'!N35-N33)*IF(РоялтиПоГруппам="Да",MeanMinAge13+N10*SUMIF(ThresholdAge13,"&lt;"&amp;N10,WeightedRevAge13)-SUMIF(ThresholdAge13,"&lt;"&amp;N10,WeightedMinAge13),MAX(CapacityAge13*АбонементНовых*N10,MeanMinAge13)))</f>
        <v/>
      </c>
      <c r="O87" s="5">
        <f>IF(OR(('03_Сеть'!O35-O33)=0,13&lt;=КаникулыРоялти),0,('03_Сеть'!O35-O33)*IF(РоялтиПоГруппам="Да",MeanMinAge13+O10*SUMIF(ThresholdAge13,"&lt;"&amp;O10,WeightedRevAge13)-SUMIF(ThresholdAge13,"&lt;"&amp;O10,WeightedMinAge13),MAX(CapacityAge13*АбонементНовых*O10,MeanMinAge13)))</f>
        <v/>
      </c>
      <c r="P87" s="5">
        <f>IF(OR(('03_Сеть'!P35-P33)=0,13&lt;=КаникулыРоялти),0,('03_Сеть'!P35-P33)*IF(РоялтиПоГруппам="Да",MeanMinAge13+P10*SUMIF(ThresholdAge13,"&lt;"&amp;P10,WeightedRevAge13)-SUMIF(ThresholdAge13,"&lt;"&amp;P10,WeightedMinAge13),MAX(CapacityAge13*АбонементНовых*P10,MeanMinAge13)))</f>
        <v/>
      </c>
      <c r="Q87" s="5">
        <f>IF(OR(('03_Сеть'!Q35-Q33)=0,13&lt;=КаникулыРоялти),0,('03_Сеть'!Q35-Q33)*IF(РоялтиПоГруппам="Да",MeanMinAge13+Q10*SUMIF(ThresholdAge13,"&lt;"&amp;Q10,WeightedRevAge13)-SUMIF(ThresholdAge13,"&lt;"&amp;Q10,WeightedMinAge13),MAX(CapacityAge13*АбонементНовых*Q10,MeanMinAge13)))</f>
        <v/>
      </c>
      <c r="R87" s="5">
        <f>IF(OR(('03_Сеть'!R35-R33)=0,13&lt;=КаникулыРоялти),0,('03_Сеть'!R35-R33)*IF(РоялтиПоГруппам="Да",MeanMinAge13+R10*SUMIF(ThresholdAge13,"&lt;"&amp;R10,WeightedRevAge13)-SUMIF(ThresholdAge13,"&lt;"&amp;R10,WeightedMinAge13),MAX(CapacityAge13*АбонементНовых*R10,MeanMinAge13)))</f>
        <v/>
      </c>
      <c r="S87" s="5">
        <f>IF(OR(('03_Сеть'!S35-S33)=0,13&lt;=КаникулыРоялти),0,('03_Сеть'!S35-S33)*IF(РоялтиПоГруппам="Да",MeanMinAge13+S10*SUMIF(ThresholdAge13,"&lt;"&amp;S10,WeightedRevAge13)-SUMIF(ThresholdAge13,"&lt;"&amp;S10,WeightedMinAge13),MAX(CapacityAge13*АбонементНовых*S10,MeanMinAge13)))</f>
        <v/>
      </c>
      <c r="T87" s="5">
        <f>IF(OR(('03_Сеть'!T35-T33)=0,13&lt;=КаникулыРоялти),0,('03_Сеть'!T35-T33)*IF(РоялтиПоГруппам="Да",MeanMinAge13+T10*SUMIF(ThresholdAge13,"&lt;"&amp;T10,WeightedRevAge13)-SUMIF(ThresholdAge13,"&lt;"&amp;T10,WeightedMinAge13),MAX(CapacityAge13*АбонементНовых*T10,MeanMinAge13)))</f>
        <v/>
      </c>
      <c r="U87" s="5">
        <f>IF(OR(('03_Сеть'!U35-U33)=0,13&lt;=КаникулыРоялти),0,('03_Сеть'!U35-U33)*IF(РоялтиПоГруппам="Да",MeanMinAge13+U10*SUMIF(ThresholdAge13,"&lt;"&amp;U10,WeightedRevAge13)-SUMIF(ThresholdAge13,"&lt;"&amp;U10,WeightedMinAge13),MAX(CapacityAge13*АбонементНовых*U10,MeanMinAge13)))</f>
        <v/>
      </c>
      <c r="V87" s="5">
        <f>IF(OR(('03_Сеть'!V35-V33)=0,13&lt;=КаникулыРоялти),0,('03_Сеть'!V35-V33)*IF(РоялтиПоГруппам="Да",MeanMinAge13+V10*SUMIF(ThresholdAge13,"&lt;"&amp;V10,WeightedRevAge13)-SUMIF(ThresholdAge13,"&lt;"&amp;V10,WeightedMinAge13),MAX(CapacityAge13*АбонементНовых*V10,MeanMinAge13)))</f>
        <v/>
      </c>
      <c r="W87" s="5">
        <f>IF(OR(('03_Сеть'!W35-W33)=0,13&lt;=КаникулыРоялти),0,('03_Сеть'!W35-W33)*IF(РоялтиПоГруппам="Да",MeanMinAge13+W10*SUMIF(ThresholdAge13,"&lt;"&amp;W10,WeightedRevAge13)-SUMIF(ThresholdAge13,"&lt;"&amp;W10,WeightedMinAge13),MAX(CapacityAge13*АбонементНовых*W10,MeanMinAge13)))</f>
        <v/>
      </c>
      <c r="X87" s="5">
        <f>IF(OR(('03_Сеть'!X35-X33)=0,13&lt;=КаникулыРоялти),0,('03_Сеть'!X35-X33)*IF(РоялтиПоГруппам="Да",MeanMinAge13+X10*SUMIF(ThresholdAge13,"&lt;"&amp;X10,WeightedRevAge13)-SUMIF(ThresholdAge13,"&lt;"&amp;X10,WeightedMinAge13),MAX(CapacityAge13*АбонементНовых*X10,MeanMinAge13)))</f>
        <v/>
      </c>
      <c r="Y87" s="5">
        <f>IF(OR(('03_Сеть'!Y35-Y33)=0,13&lt;=КаникулыРоялти),0,('03_Сеть'!Y35-Y33)*IF(РоялтиПоГруппам="Да",MeanMinAge13+Y10*SUMIF(ThresholdAge13,"&lt;"&amp;Y10,WeightedRevAge13)-SUMIF(ThresholdAge13,"&lt;"&amp;Y10,WeightedMinAge13),MAX(CapacityAge13*АбонементНовых*Y10,MeanMinAge13)))</f>
        <v/>
      </c>
      <c r="Z87" s="5">
        <f>IF(OR(('03_Сеть'!Z35-Z33)=0,13&lt;=КаникулыРоялти),0,('03_Сеть'!Z35-Z33)*IF(РоялтиПоГруппам="Да",MeanMinAge13+Z10*SUMIF(ThresholdAge13,"&lt;"&amp;Z10,WeightedRevAge13)-SUMIF(ThresholdAge13,"&lt;"&amp;Z10,WeightedMinAge13),MAX(CapacityAge13*АбонементНовых*Z10,MeanMinAge13)))</f>
        <v/>
      </c>
      <c r="AA87" s="5">
        <f>IF(OR(('03_Сеть'!AA35-AA33)=0,13&lt;=КаникулыРоялти),0,('03_Сеть'!AA35-AA33)*IF(РоялтиПоГруппам="Да",MeanMinAge13+AA10*SUMIF(ThresholdAge13,"&lt;"&amp;AA10,WeightedRevAge13)-SUMIF(ThresholdAge13,"&lt;"&amp;AA10,WeightedMinAge13),MAX(CapacityAge13*АбонементНовых*AA10,MeanMinAge13)))</f>
        <v/>
      </c>
      <c r="AB87" s="5">
        <f>IF(OR(('03_Сеть'!AB35-AB33)=0,13&lt;=КаникулыРоялти),0,('03_Сеть'!AB35-AB33)*IF(РоялтиПоГруппам="Да",MeanMinAge13+AB10*SUMIF(ThresholdAge13,"&lt;"&amp;AB10,WeightedRevAge13)-SUMIF(ThresholdAge13,"&lt;"&amp;AB10,WeightedMinAge13),MAX(CapacityAge13*АбонементНовых*AB10,MeanMinAge13)))</f>
        <v/>
      </c>
      <c r="AC87" s="5">
        <f>IF(OR(('03_Сеть'!AC35-AC33)=0,13&lt;=КаникулыРоялти),0,('03_Сеть'!AC35-AC33)*IF(РоялтиПоГруппам="Да",MeanMinAge13+AC10*SUMIF(ThresholdAge13,"&lt;"&amp;AC10,WeightedRevAge13)-SUMIF(ThresholdAge13,"&lt;"&amp;AC10,WeightedMinAge13),MAX(CapacityAge13*АбонементНовых*AC10,MeanMinAge13)))</f>
        <v/>
      </c>
      <c r="AD87" s="5">
        <f>IF(OR(('03_Сеть'!AD35-AD33)=0,13&lt;=КаникулыРоялти),0,('03_Сеть'!AD35-AD33)*IF(РоялтиПоГруппам="Да",MeanMinAge13+AD10*SUMIF(ThresholdAge13,"&lt;"&amp;AD10,WeightedRevAge13)-SUMIF(ThresholdAge13,"&lt;"&amp;AD10,WeightedMinAge13),MAX(CapacityAge13*АбонементНовых*AD10,MeanMinAge13)))</f>
        <v/>
      </c>
      <c r="AE87" s="5">
        <f>IF(OR(('03_Сеть'!AE35-AE33)=0,13&lt;=КаникулыРоялти),0,('03_Сеть'!AE35-AE33)*IF(РоялтиПоГруппам="Да",MeanMinAge13+AE10*SUMIF(ThresholdAge13,"&lt;"&amp;AE10,WeightedRevAge13)-SUMIF(ThresholdAge13,"&lt;"&amp;AE10,WeightedMinAge13),MAX(CapacityAge13*АбонементНовых*AE10,MeanMinAge13)))</f>
        <v/>
      </c>
      <c r="AF87" s="5">
        <f>IF(OR(('03_Сеть'!AF35-AF33)=0,13&lt;=КаникулыРоялти),0,('03_Сеть'!AF35-AF33)*IF(РоялтиПоГруппам="Да",MeanMinAge13+AF10*SUMIF(ThresholdAge13,"&lt;"&amp;AF10,WeightedRevAge13)-SUMIF(ThresholdAge13,"&lt;"&amp;AF10,WeightedMinAge13),MAX(CapacityAge13*АбонементНовых*AF10,MeanMinAge13)))</f>
        <v/>
      </c>
      <c r="AG87" s="5">
        <f>IF(OR(('03_Сеть'!AG35-AG33)=0,13&lt;=КаникулыРоялти),0,('03_Сеть'!AG35-AG33)*IF(РоялтиПоГруппам="Да",MeanMinAge13+AG10*SUMIF(ThresholdAge13,"&lt;"&amp;AG10,WeightedRevAge13)-SUMIF(ThresholdAge13,"&lt;"&amp;AG10,WeightedMinAge13),MAX(CapacityAge13*АбонементНовых*AG10,MeanMinAge13)))</f>
        <v/>
      </c>
      <c r="AH87" s="5">
        <f>IF(OR(('03_Сеть'!AH35-AH33)=0,13&lt;=КаникулыРоялти),0,('03_Сеть'!AH35-AH33)*IF(РоялтиПоГруппам="Да",MeanMinAge13+AH10*SUMIF(ThresholdAge13,"&lt;"&amp;AH10,WeightedRevAge13)-SUMIF(ThresholdAge13,"&lt;"&amp;AH10,WeightedMinAge13),MAX(CapacityAge13*АбонементНовых*AH10,MeanMinAge13)))</f>
        <v/>
      </c>
      <c r="AI87" s="5">
        <f>IF(OR(('03_Сеть'!AI35-AI33)=0,13&lt;=КаникулыРоялти),0,('03_Сеть'!AI35-AI33)*IF(РоялтиПоГруппам="Да",MeanMinAge13+AI10*SUMIF(ThresholdAge13,"&lt;"&amp;AI10,WeightedRevAge13)-SUMIF(ThresholdAge13,"&lt;"&amp;AI10,WeightedMinAge13),MAX(CapacityAge13*АбонементНовых*AI10,MeanMinAge13)))</f>
        <v/>
      </c>
      <c r="AJ87" s="5">
        <f>IF(OR(('03_Сеть'!AJ35-AJ33)=0,13&lt;=КаникулыРоялти),0,('03_Сеть'!AJ35-AJ33)*IF(РоялтиПоГруппам="Да",MeanMinAge13+AJ10*SUMIF(ThresholdAge13,"&lt;"&amp;AJ10,WeightedRevAge13)-SUMIF(ThresholdAge13,"&lt;"&amp;AJ10,WeightedMinAge13),MAX(CapacityAge13*АбонементНовых*AJ10,MeanMinAge13)))</f>
        <v/>
      </c>
      <c r="AK87" s="5">
        <f>IF(OR(('03_Сеть'!AK35-AK33)=0,13&lt;=КаникулыРоялти),0,('03_Сеть'!AK35-AK33)*IF(РоялтиПоГруппам="Да",MeanMinAge13+AK10*SUMIF(ThresholdAge13,"&lt;"&amp;AK10,WeightedRevAge13)-SUMIF(ThresholdAge13,"&lt;"&amp;AK10,WeightedMinAge13),MAX(CapacityAge13*АбонементНовых*AK10,MeanMinAge13)))</f>
        <v/>
      </c>
      <c r="AL87" s="5">
        <f>IF(OR(('03_Сеть'!AL35-AL33)=0,13&lt;=КаникулыРоялти),0,('03_Сеть'!AL35-AL33)*IF(РоялтиПоГруппам="Да",MeanMinAge13+AL10*SUMIF(ThresholdAge13,"&lt;"&amp;AL10,WeightedRevAge13)-SUMIF(ThresholdAge13,"&lt;"&amp;AL10,WeightedMinAge13),MAX(CapacityAge13*АбонементНовых*AL10,MeanMinAge13)))</f>
        <v/>
      </c>
      <c r="AM87" s="5">
        <f>IF(OR(('03_Сеть'!AM35-AM33)=0,13&lt;=КаникулыРоялти),0,('03_Сеть'!AM35-AM33)*IF(РоялтиПоГруппам="Да",MeanMinAge13+AM10*SUMIF(ThresholdAge13,"&lt;"&amp;AM10,WeightedRevAge13)-SUMIF(ThresholdAge13,"&lt;"&amp;AM10,WeightedMinAge13),MAX(CapacityAge13*АбонементНовых*AM10,MeanMinAge13)))</f>
        <v/>
      </c>
      <c r="AN87" s="5">
        <f>IF(OR(('03_Сеть'!AN35-AN33)=0,13&lt;=КаникулыРоялти),0,('03_Сеть'!AN35-AN33)*IF(РоялтиПоГруппам="Да",MeanMinAge13+AN10*SUMIF(ThresholdAge13,"&lt;"&amp;AN10,WeightedRevAge13)-SUMIF(ThresholdAge13,"&lt;"&amp;AN10,WeightedMinAge13),MAX(CapacityAge13*АбонементНовых*AN10,MeanMinAge13)))</f>
        <v/>
      </c>
      <c r="AO87" s="5">
        <f>IF(OR(('03_Сеть'!AO35-AO33)=0,13&lt;=КаникулыРоялти),0,('03_Сеть'!AO35-AO33)*IF(РоялтиПоГруппам="Да",MeanMinAge13+AO10*SUMIF(ThresholdAge13,"&lt;"&amp;AO10,WeightedRevAge13)-SUMIF(ThresholdAge13,"&lt;"&amp;AO10,WeightedMinAge13),MAX(CapacityAge13*АбонементНовых*AO10,MeanMinAge13)))</f>
        <v/>
      </c>
      <c r="AP87" s="5">
        <f>IF(OR(('03_Сеть'!AP35-AP33)=0,13&lt;=КаникулыРоялти),0,('03_Сеть'!AP35-AP33)*IF(РоялтиПоГруппам="Да",MeanMinAge13+AP10*SUMIF(ThresholdAge13,"&lt;"&amp;AP10,WeightedRevAge13)-SUMIF(ThresholdAge13,"&lt;"&amp;AP10,WeightedMinAge13),MAX(CapacityAge13*АбонементНовых*AP10,MeanMinAge13)))</f>
        <v/>
      </c>
      <c r="AQ87" s="5">
        <f>IF(OR(('03_Сеть'!AQ35-AQ33)=0,13&lt;=КаникулыРоялти),0,('03_Сеть'!AQ35-AQ33)*IF(РоялтиПоГруппам="Да",MeanMinAge13+AQ10*SUMIF(ThresholdAge13,"&lt;"&amp;AQ10,WeightedRevAge13)-SUMIF(ThresholdAge13,"&lt;"&amp;AQ10,WeightedMinAge13),MAX(CapacityAge13*АбонементНовых*AQ10,MeanMinAge13)))</f>
        <v/>
      </c>
      <c r="AR87" s="5">
        <f>IF(OR(('03_Сеть'!AR35-AR33)=0,13&lt;=КаникулыРоялти),0,('03_Сеть'!AR35-AR33)*IF(РоялтиПоГруппам="Да",MeanMinAge13+AR10*SUMIF(ThresholdAge13,"&lt;"&amp;AR10,WeightedRevAge13)-SUMIF(ThresholdAge13,"&lt;"&amp;AR10,WeightedMinAge13),MAX(CapacityAge13*АбонементНовых*AR10,MeanMinAge13)))</f>
        <v/>
      </c>
      <c r="AS87" s="5">
        <f>IF(OR(('03_Сеть'!AS35-AS33)=0,13&lt;=КаникулыРоялти),0,('03_Сеть'!AS35-AS33)*IF(РоялтиПоГруппам="Да",MeanMinAge13+AS10*SUMIF(ThresholdAge13,"&lt;"&amp;AS10,WeightedRevAge13)-SUMIF(ThresholdAge13,"&lt;"&amp;AS10,WeightedMinAge13),MAX(CapacityAge13*АбонементНовых*AS10,MeanMinAge13)))</f>
        <v/>
      </c>
      <c r="AT87" s="5">
        <f>IF(OR(('03_Сеть'!AT35-AT33)=0,13&lt;=КаникулыРоялти),0,('03_Сеть'!AT35-AT33)*IF(РоялтиПоГруппам="Да",MeanMinAge13+AT10*SUMIF(ThresholdAge13,"&lt;"&amp;AT10,WeightedRevAge13)-SUMIF(ThresholdAge13,"&lt;"&amp;AT10,WeightedMinAge13),MAX(CapacityAge13*АбонементНовых*AT10,MeanMinAge13)))</f>
        <v/>
      </c>
      <c r="AU87" s="5">
        <f>IF(OR(('03_Сеть'!AU35-AU33)=0,13&lt;=КаникулыРоялти),0,('03_Сеть'!AU35-AU33)*IF(РоялтиПоГруппам="Да",MeanMinAge13+AU10*SUMIF(ThresholdAge13,"&lt;"&amp;AU10,WeightedRevAge13)-SUMIF(ThresholdAge13,"&lt;"&amp;AU10,WeightedMinAge13),MAX(CapacityAge13*АбонементНовых*AU10,MeanMinAge13)))</f>
        <v/>
      </c>
      <c r="AV87" s="5">
        <f>IF(OR(('03_Сеть'!AV35-AV33)=0,13&lt;=КаникулыРоялти),0,('03_Сеть'!AV35-AV33)*IF(РоялтиПоГруппам="Да",MeanMinAge13+AV10*SUMIF(ThresholdAge13,"&lt;"&amp;AV10,WeightedRevAge13)-SUMIF(ThresholdAge13,"&lt;"&amp;AV10,WeightedMinAge13),MAX(CapacityAge13*АбонементНовых*AV10,MeanMinAge13)))</f>
        <v/>
      </c>
      <c r="AW87" s="5">
        <f>IF(OR(('03_Сеть'!AW35-AW33)=0,13&lt;=КаникулыРоялти),0,('03_Сеть'!AW35-AW33)*IF(РоялтиПоГруппам="Да",MeanMinAge13+AW10*SUMIF(ThresholdAge13,"&lt;"&amp;AW10,WeightedRevAge13)-SUMIF(ThresholdAge13,"&lt;"&amp;AW10,WeightedMinAge13),MAX(CapacityAge13*АбонементНовых*AW10,MeanMinAge13)))</f>
        <v/>
      </c>
      <c r="AX87" s="5">
        <f>IF(OR(('03_Сеть'!AX35-AX33)=0,13&lt;=КаникулыРоялти),0,('03_Сеть'!AX35-AX33)*IF(РоялтиПоГруппам="Да",MeanMinAge13+AX10*SUMIF(ThresholdAge13,"&lt;"&amp;AX10,WeightedRevAge13)-SUMIF(ThresholdAge13,"&lt;"&amp;AX10,WeightedMinAge13),MAX(CapacityAge13*АбонементНовых*AX10,MeanMinAge13)))</f>
        <v/>
      </c>
      <c r="AY87" s="5">
        <f>IF(OR(('03_Сеть'!AY35-AY33)=0,13&lt;=КаникулыРоялти),0,('03_Сеть'!AY35-AY33)*IF(РоялтиПоГруппам="Да",MeanMinAge13+AY10*SUMIF(ThresholdAge13,"&lt;"&amp;AY10,WeightedRevAge13)-SUMIF(ThresholdAge13,"&lt;"&amp;AY10,WeightedMinAge13),MAX(CapacityAge13*АбонементНовых*AY10,MeanMinAge13)))</f>
        <v/>
      </c>
      <c r="AZ87" s="5">
        <f>IF(OR(('03_Сеть'!AZ35-AZ33)=0,13&lt;=КаникулыРоялти),0,('03_Сеть'!AZ35-AZ33)*IF(РоялтиПоГруппам="Да",MeanMinAge13+AZ10*SUMIF(ThresholdAge13,"&lt;"&amp;AZ10,WeightedRevAge13)-SUMIF(ThresholdAge13,"&lt;"&amp;AZ10,WeightedMinAge13),MAX(CapacityAge13*АбонементНовых*AZ10,MeanMinAge13)))</f>
        <v/>
      </c>
      <c r="BA87" s="5">
        <f>IF(OR(('03_Сеть'!BA35-BA33)=0,13&lt;=КаникулыРоялти),0,('03_Сеть'!BA35-BA33)*IF(РоялтиПоГруппам="Да",MeanMinAge13+BA10*SUMIF(ThresholdAge13,"&lt;"&amp;BA10,WeightedRevAge13)-SUMIF(ThresholdAge13,"&lt;"&amp;BA10,WeightedMinAge13),MAX(CapacityAge13*АбонементНовых*BA10,MeanMinAge13)))</f>
        <v/>
      </c>
      <c r="BB87" s="5">
        <f>IF(OR(('03_Сеть'!BB35-BB33)=0,13&lt;=КаникулыРоялти),0,('03_Сеть'!BB35-BB33)*IF(РоялтиПоГруппам="Да",MeanMinAge13+BB10*SUMIF(ThresholdAge13,"&lt;"&amp;BB10,WeightedRevAge13)-SUMIF(ThresholdAge13,"&lt;"&amp;BB10,WeightedMinAge13),MAX(CapacityAge13*АбонементНовых*BB10,MeanMinAge13)))</f>
        <v/>
      </c>
      <c r="BC87" s="5">
        <f>IF(OR(('03_Сеть'!BC35-BC33)=0,13&lt;=КаникулыРоялти),0,('03_Сеть'!BC35-BC33)*IF(РоялтиПоГруппам="Да",MeanMinAge13+BC10*SUMIF(ThresholdAge13,"&lt;"&amp;BC10,WeightedRevAge13)-SUMIF(ThresholdAge13,"&lt;"&amp;BC10,WeightedMinAge13),MAX(CapacityAge13*АбонементНовых*BC10,MeanMinAge13)))</f>
        <v/>
      </c>
      <c r="BD87" s="5">
        <f>IF(OR(('03_Сеть'!BD35-BD33)=0,13&lt;=КаникулыРоялти),0,('03_Сеть'!BD35-BD33)*IF(РоялтиПоГруппам="Да",MeanMinAge13+BD10*SUMIF(ThresholdAge13,"&lt;"&amp;BD10,WeightedRevAge13)-SUMIF(ThresholdAge13,"&lt;"&amp;BD10,WeightedMinAge13),MAX(CapacityAge13*АбонементНовых*BD10,MeanMinAge13)))</f>
        <v/>
      </c>
      <c r="BE87" s="5">
        <f>IF(OR(('03_Сеть'!BE35-BE33)=0,13&lt;=КаникулыРоялти),0,('03_Сеть'!BE35-BE33)*IF(РоялтиПоГруппам="Да",MeanMinAge13+BE10*SUMIF(ThresholdAge13,"&lt;"&amp;BE10,WeightedRevAge13)-SUMIF(ThresholdAge13,"&lt;"&amp;BE10,WeightedMinAge13),MAX(CapacityAge13*АбонементНовых*BE10,MeanMinAge13)))</f>
        <v/>
      </c>
      <c r="BF87" s="5">
        <f>IF(OR(('03_Сеть'!BF35-BF33)=0,13&lt;=КаникулыРоялти),0,('03_Сеть'!BF35-BF33)*IF(РоялтиПоГруппам="Да",MeanMinAge13+BF10*SUMIF(ThresholdAge13,"&lt;"&amp;BF10,WeightedRevAge13)-SUMIF(ThresholdAge13,"&lt;"&amp;BF10,WeightedMinAge13),MAX(CapacityAge13*АбонементНовых*BF10,MeanMinAge13)))</f>
        <v/>
      </c>
      <c r="BG87" s="5">
        <f>IF(OR(('03_Сеть'!BG35-BG33)=0,13&lt;=КаникулыРоялти),0,('03_Сеть'!BG35-BG33)*IF(РоялтиПоГруппам="Да",MeanMinAge13+BG10*SUMIF(ThresholdAge13,"&lt;"&amp;BG10,WeightedRevAge13)-SUMIF(ThresholdAge13,"&lt;"&amp;BG10,WeightedMinAge13),MAX(CapacityAge13*АбонементНовых*BG10,MeanMinAge13)))</f>
        <v/>
      </c>
      <c r="BH87" s="5">
        <f>IF(OR(('03_Сеть'!BH35-BH33)=0,13&lt;=КаникулыРоялти),0,('03_Сеть'!BH35-BH33)*IF(РоялтиПоГруппам="Да",MeanMinAge13+BH10*SUMIF(ThresholdAge13,"&lt;"&amp;BH10,WeightedRevAge13)-SUMIF(ThresholdAge13,"&lt;"&amp;BH10,WeightedMinAge13),MAX(CapacityAge13*АбонементНовых*BH10,MeanMinAge13)))</f>
        <v/>
      </c>
      <c r="BI87" s="5">
        <f>IF(OR(('03_Сеть'!BI35-BI33)=0,13&lt;=КаникулыРоялти),0,('03_Сеть'!BI35-BI33)*IF(РоялтиПоГруппам="Да",MeanMinAge13+BI10*SUMIF(ThresholdAge13,"&lt;"&amp;BI10,WeightedRevAge13)-SUMIF(ThresholdAge13,"&lt;"&amp;BI10,WeightedMinAge13),MAX(CapacityAge13*АбонементНовых*BI10,MeanMinAge13)))</f>
        <v/>
      </c>
      <c r="BJ87" s="5">
        <f>IF(OR(('03_Сеть'!BJ35-BJ33)=0,13&lt;=КаникулыРоялти),0,('03_Сеть'!BJ35-BJ33)*IF(РоялтиПоГруппам="Да",MeanMinAge13+BJ10*SUMIF(ThresholdAge13,"&lt;"&amp;BJ10,WeightedRevAge13)-SUMIF(ThresholdAge13,"&lt;"&amp;BJ10,WeightedMinAge13),MAX(CapacityAge13*АбонементНовых*BJ10,MeanMinAge13)))</f>
        <v/>
      </c>
      <c r="BK87" s="5">
        <f>IF(OR(('03_Сеть'!BK35-BK33)=0,13&lt;=КаникулыРоялти),0,('03_Сеть'!BK35-BK33)*IF(РоялтиПоГруппам="Да",MeanMinAge13+BK10*SUMIF(ThresholdAge13,"&lt;"&amp;BK10,WeightedRevAge13)-SUMIF(ThresholdAge13,"&lt;"&amp;BK10,WeightedMinAge13),MAX(CapacityAge13*АбонементНовых*BK10,MeanMinAge13)))</f>
        <v/>
      </c>
      <c r="BL87" s="5">
        <f>IF(OR(('03_Сеть'!BL35-BL33)=0,13&lt;=КаникулыРоялти),0,('03_Сеть'!BL35-BL33)*IF(РоялтиПоГруппам="Да",MeanMinAge13+BL10*SUMIF(ThresholdAge13,"&lt;"&amp;BL10,WeightedRevAge13)-SUMIF(ThresholdAge13,"&lt;"&amp;BL10,WeightedMinAge13),MAX(CapacityAge13*АбонементНовых*BL10,MeanMinAge13)))</f>
        <v/>
      </c>
      <c r="BM87" s="5">
        <f>IF(OR(('03_Сеть'!BM35-BM33)=0,13&lt;=КаникулыРоялти),0,('03_Сеть'!BM35-BM33)*IF(РоялтиПоГруппам="Да",MeanMinAge13+BM10*SUMIF(ThresholdAge13,"&lt;"&amp;BM10,WeightedRevAge13)-SUMIF(ThresholdAge13,"&lt;"&amp;BM10,WeightedMinAge13),MAX(CapacityAge13*АбонементНовых*BM10,MeanMinAge13)))</f>
        <v/>
      </c>
      <c r="BN87" s="5">
        <f>IF(OR(('03_Сеть'!BN35-BN33)=0,13&lt;=КаникулыРоялти),0,('03_Сеть'!BN35-BN33)*IF(РоялтиПоГруппам="Да",MeanMinAge13+BN10*SUMIF(ThresholdAge13,"&lt;"&amp;BN10,WeightedRevAge13)-SUMIF(ThresholdAge13,"&lt;"&amp;BN10,WeightedMinAge13),MAX(CapacityAge13*АбонементНовых*BN10,MeanMinAge13)))</f>
        <v/>
      </c>
      <c r="BO87" s="5">
        <f>IF(OR(('03_Сеть'!BO35-BO33)=0,13&lt;=КаникулыРоялти),0,('03_Сеть'!BO35-BO33)*IF(РоялтиПоГруппам="Да",MeanMinAge13+BO10*SUMIF(ThresholdAge13,"&lt;"&amp;BO10,WeightedRevAge13)-SUMIF(ThresholdAge13,"&lt;"&amp;BO10,WeightedMinAge13),MAX(CapacityAge13*АбонементНовых*BO10,MeanMinAge13)))</f>
        <v/>
      </c>
      <c r="BP87" s="5">
        <f>IF(OR(('03_Сеть'!BP35-BP33)=0,13&lt;=КаникулыРоялти),0,('03_Сеть'!BP35-BP33)*IF(РоялтиПоГруппам="Да",MeanMinAge13+BP10*SUMIF(ThresholdAge13,"&lt;"&amp;BP10,WeightedRevAge13)-SUMIF(ThresholdAge13,"&lt;"&amp;BP10,WeightedMinAge13),MAX(CapacityAge13*АбонементНовых*BP10,MeanMinAge13)))</f>
        <v/>
      </c>
      <c r="BQ87" s="5">
        <f>IF(OR(('03_Сеть'!BQ35-BQ33)=0,13&lt;=КаникулыРоялти),0,('03_Сеть'!BQ35-BQ33)*IF(РоялтиПоГруппам="Да",MeanMinAge13+BQ10*SUMIF(ThresholdAge13,"&lt;"&amp;BQ10,WeightedRevAge13)-SUMIF(ThresholdAge13,"&lt;"&amp;BQ10,WeightedMinAge13),MAX(CapacityAge13*АбонементНовых*BQ10,MeanMinAge13)))</f>
        <v/>
      </c>
      <c r="BR87" s="5">
        <f>IF(OR(('03_Сеть'!BR35-BR33)=0,13&lt;=КаникулыРоялти),0,('03_Сеть'!BR35-BR33)*IF(РоялтиПоГруппам="Да",MeanMinAge13+BR10*SUMIF(ThresholdAge13,"&lt;"&amp;BR10,WeightedRevAge13)-SUMIF(ThresholdAge13,"&lt;"&amp;BR10,WeightedMinAge13),MAX(CapacityAge13*АбонементНовых*BR10,MeanMinAge13)))</f>
        <v/>
      </c>
      <c r="BS87" s="5">
        <f>IF(OR(('03_Сеть'!BS35-BS33)=0,13&lt;=КаникулыРоялти),0,('03_Сеть'!BS35-BS33)*IF(РоялтиПоГруппам="Да",MeanMinAge13+BS10*SUMIF(ThresholdAge13,"&lt;"&amp;BS10,WeightedRevAge13)-SUMIF(ThresholdAge13,"&lt;"&amp;BS10,WeightedMinAge13),MAX(CapacityAge13*АбонементНовых*BS10,MeanMinAge13)))</f>
        <v/>
      </c>
      <c r="BT87" s="5">
        <f>IF(OR(('03_Сеть'!BT35-BT33)=0,13&lt;=КаникулыРоялти),0,('03_Сеть'!BT35-BT33)*IF(РоялтиПоГруппам="Да",MeanMinAge13+BT10*SUMIF(ThresholdAge13,"&lt;"&amp;BT10,WeightedRevAge13)-SUMIF(ThresholdAge13,"&lt;"&amp;BT10,WeightedMinAge13),MAX(CapacityAge13*АбонементНовых*BT10,MeanMinAge13)))</f>
        <v/>
      </c>
      <c r="BU87" s="5">
        <f>IF(OR(('03_Сеть'!BU35-BU33)=0,13&lt;=КаникулыРоялти),0,('03_Сеть'!BU35-BU33)*IF(РоялтиПоГруппам="Да",MeanMinAge13+BU10*SUMIF(ThresholdAge13,"&lt;"&amp;BU10,WeightedRevAge13)-SUMIF(ThresholdAge13,"&lt;"&amp;BU10,WeightedMinAge13),MAX(CapacityAge13*АбонементНовых*BU10,MeanMinAge13)))</f>
        <v/>
      </c>
      <c r="BV87" s="5">
        <f>IF(OR(('03_Сеть'!BV35-BV33)=0,13&lt;=КаникулыРоялти),0,('03_Сеть'!BV35-BV33)*IF(РоялтиПоГруппам="Да",MeanMinAge13+BV10*SUMIF(ThresholdAge13,"&lt;"&amp;BV10,WeightedRevAge13)-SUMIF(ThresholdAge13,"&lt;"&amp;BV10,WeightedMinAge13),MAX(CapacityAge13*АбонементНовых*BV10,MeanMinAge13)))</f>
        <v/>
      </c>
      <c r="BW87" s="5">
        <f>IF(OR(('03_Сеть'!BW35-BW33)=0,13&lt;=КаникулыРоялти),0,('03_Сеть'!BW35-BW33)*IF(РоялтиПоГруппам="Да",MeanMinAge13+BW10*SUMIF(ThresholdAge13,"&lt;"&amp;BW10,WeightedRevAge13)-SUMIF(ThresholdAge13,"&lt;"&amp;BW10,WeightedMinAge13),MAX(CapacityAge13*АбонементНовых*BW10,MeanMinAge13)))</f>
        <v/>
      </c>
      <c r="BX87" s="5">
        <f>IF(OR(('03_Сеть'!BX35-BX33)=0,13&lt;=КаникулыРоялти),0,('03_Сеть'!BX35-BX33)*IF(РоялтиПоГруппам="Да",MeanMinAge13+BX10*SUMIF(ThresholdAge13,"&lt;"&amp;BX10,WeightedRevAge13)-SUMIF(ThresholdAge13,"&lt;"&amp;BX10,WeightedMinAge13),MAX(CapacityAge13*АбонементНовых*BX10,MeanMinAge13)))</f>
        <v/>
      </c>
      <c r="BY87" s="5">
        <f>IF(OR(('03_Сеть'!BY35-BY33)=0,13&lt;=КаникулыРоялти),0,('03_Сеть'!BY35-BY33)*IF(РоялтиПоГруппам="Да",MeanMinAge13+BY10*SUMIF(ThresholdAge13,"&lt;"&amp;BY10,WeightedRevAge13)-SUMIF(ThresholdAge13,"&lt;"&amp;BY10,WeightedMinAge13),MAX(CapacityAge13*АбонементНовых*BY10,MeanMinAge13)))</f>
        <v/>
      </c>
    </row>
    <row r="88">
      <c r="B88" t="inlineStr">
        <is>
          <t>14 мес.</t>
        </is>
      </c>
      <c r="C88" t="inlineStr">
        <is>
          <t>₽</t>
        </is>
      </c>
      <c r="D88" s="127" t="inlineStr"/>
      <c r="E88" s="129">
        <f>SUM(L88:W88)</f>
        <v/>
      </c>
      <c r="F88" s="129">
        <f>SUM(X88:AI88)</f>
        <v/>
      </c>
      <c r="G88" s="129">
        <f>SUM(AJ88:AU88)</f>
        <v/>
      </c>
      <c r="H88" s="129">
        <f>SUM(AV88:BG88)</f>
        <v/>
      </c>
      <c r="I88" s="129">
        <f>SUM(BH88:BS88)</f>
        <v/>
      </c>
      <c r="J88" s="6">
        <f>SUM(L88:BS88)</f>
        <v/>
      </c>
      <c r="L88" s="5">
        <f>IF(OR(('03_Сеть'!L36-L34)=0,14&lt;=КаникулыРоялти),0,('03_Сеть'!L36-L34)*IF(РоялтиПоГруппам="Да",MeanMinAge14+L10*SUMIF(ThresholdAge14,"&lt;"&amp;L10,WeightedRevAge14)-SUMIF(ThresholdAge14,"&lt;"&amp;L10,WeightedMinAge14),MAX(CapacityAge14*АбонементНовых*L10,MeanMinAge14)))</f>
        <v/>
      </c>
      <c r="M88" s="5">
        <f>IF(OR(('03_Сеть'!M36-M34)=0,14&lt;=КаникулыРоялти),0,('03_Сеть'!M36-M34)*IF(РоялтиПоГруппам="Да",MeanMinAge14+M10*SUMIF(ThresholdAge14,"&lt;"&amp;M10,WeightedRevAge14)-SUMIF(ThresholdAge14,"&lt;"&amp;M10,WeightedMinAge14),MAX(CapacityAge14*АбонементНовых*M10,MeanMinAge14)))</f>
        <v/>
      </c>
      <c r="N88" s="5">
        <f>IF(OR(('03_Сеть'!N36-N34)=0,14&lt;=КаникулыРоялти),0,('03_Сеть'!N36-N34)*IF(РоялтиПоГруппам="Да",MeanMinAge14+N10*SUMIF(ThresholdAge14,"&lt;"&amp;N10,WeightedRevAge14)-SUMIF(ThresholdAge14,"&lt;"&amp;N10,WeightedMinAge14),MAX(CapacityAge14*АбонементНовых*N10,MeanMinAge14)))</f>
        <v/>
      </c>
      <c r="O88" s="5">
        <f>IF(OR(('03_Сеть'!O36-O34)=0,14&lt;=КаникулыРоялти),0,('03_Сеть'!O36-O34)*IF(РоялтиПоГруппам="Да",MeanMinAge14+O10*SUMIF(ThresholdAge14,"&lt;"&amp;O10,WeightedRevAge14)-SUMIF(ThresholdAge14,"&lt;"&amp;O10,WeightedMinAge14),MAX(CapacityAge14*АбонементНовых*O10,MeanMinAge14)))</f>
        <v/>
      </c>
      <c r="P88" s="5">
        <f>IF(OR(('03_Сеть'!P36-P34)=0,14&lt;=КаникулыРоялти),0,('03_Сеть'!P36-P34)*IF(РоялтиПоГруппам="Да",MeanMinAge14+P10*SUMIF(ThresholdAge14,"&lt;"&amp;P10,WeightedRevAge14)-SUMIF(ThresholdAge14,"&lt;"&amp;P10,WeightedMinAge14),MAX(CapacityAge14*АбонементНовых*P10,MeanMinAge14)))</f>
        <v/>
      </c>
      <c r="Q88" s="5">
        <f>IF(OR(('03_Сеть'!Q36-Q34)=0,14&lt;=КаникулыРоялти),0,('03_Сеть'!Q36-Q34)*IF(РоялтиПоГруппам="Да",MeanMinAge14+Q10*SUMIF(ThresholdAge14,"&lt;"&amp;Q10,WeightedRevAge14)-SUMIF(ThresholdAge14,"&lt;"&amp;Q10,WeightedMinAge14),MAX(CapacityAge14*АбонементНовых*Q10,MeanMinAge14)))</f>
        <v/>
      </c>
      <c r="R88" s="5">
        <f>IF(OR(('03_Сеть'!R36-R34)=0,14&lt;=КаникулыРоялти),0,('03_Сеть'!R36-R34)*IF(РоялтиПоГруппам="Да",MeanMinAge14+R10*SUMIF(ThresholdAge14,"&lt;"&amp;R10,WeightedRevAge14)-SUMIF(ThresholdAge14,"&lt;"&amp;R10,WeightedMinAge14),MAX(CapacityAge14*АбонементНовых*R10,MeanMinAge14)))</f>
        <v/>
      </c>
      <c r="S88" s="5">
        <f>IF(OR(('03_Сеть'!S36-S34)=0,14&lt;=КаникулыРоялти),0,('03_Сеть'!S36-S34)*IF(РоялтиПоГруппам="Да",MeanMinAge14+S10*SUMIF(ThresholdAge14,"&lt;"&amp;S10,WeightedRevAge14)-SUMIF(ThresholdAge14,"&lt;"&amp;S10,WeightedMinAge14),MAX(CapacityAge14*АбонементНовых*S10,MeanMinAge14)))</f>
        <v/>
      </c>
      <c r="T88" s="5">
        <f>IF(OR(('03_Сеть'!T36-T34)=0,14&lt;=КаникулыРоялти),0,('03_Сеть'!T36-T34)*IF(РоялтиПоГруппам="Да",MeanMinAge14+T10*SUMIF(ThresholdAge14,"&lt;"&amp;T10,WeightedRevAge14)-SUMIF(ThresholdAge14,"&lt;"&amp;T10,WeightedMinAge14),MAX(CapacityAge14*АбонементНовых*T10,MeanMinAge14)))</f>
        <v/>
      </c>
      <c r="U88" s="5">
        <f>IF(OR(('03_Сеть'!U36-U34)=0,14&lt;=КаникулыРоялти),0,('03_Сеть'!U36-U34)*IF(РоялтиПоГруппам="Да",MeanMinAge14+U10*SUMIF(ThresholdAge14,"&lt;"&amp;U10,WeightedRevAge14)-SUMIF(ThresholdAge14,"&lt;"&amp;U10,WeightedMinAge14),MAX(CapacityAge14*АбонементНовых*U10,MeanMinAge14)))</f>
        <v/>
      </c>
      <c r="V88" s="5">
        <f>IF(OR(('03_Сеть'!V36-V34)=0,14&lt;=КаникулыРоялти),0,('03_Сеть'!V36-V34)*IF(РоялтиПоГруппам="Да",MeanMinAge14+V10*SUMIF(ThresholdAge14,"&lt;"&amp;V10,WeightedRevAge14)-SUMIF(ThresholdAge14,"&lt;"&amp;V10,WeightedMinAge14),MAX(CapacityAge14*АбонементНовых*V10,MeanMinAge14)))</f>
        <v/>
      </c>
      <c r="W88" s="5">
        <f>IF(OR(('03_Сеть'!W36-W34)=0,14&lt;=КаникулыРоялти),0,('03_Сеть'!W36-W34)*IF(РоялтиПоГруппам="Да",MeanMinAge14+W10*SUMIF(ThresholdAge14,"&lt;"&amp;W10,WeightedRevAge14)-SUMIF(ThresholdAge14,"&lt;"&amp;W10,WeightedMinAge14),MAX(CapacityAge14*АбонементНовых*W10,MeanMinAge14)))</f>
        <v/>
      </c>
      <c r="X88" s="5">
        <f>IF(OR(('03_Сеть'!X36-X34)=0,14&lt;=КаникулыРоялти),0,('03_Сеть'!X36-X34)*IF(РоялтиПоГруппам="Да",MeanMinAge14+X10*SUMIF(ThresholdAge14,"&lt;"&amp;X10,WeightedRevAge14)-SUMIF(ThresholdAge14,"&lt;"&amp;X10,WeightedMinAge14),MAX(CapacityAge14*АбонементНовых*X10,MeanMinAge14)))</f>
        <v/>
      </c>
      <c r="Y88" s="5">
        <f>IF(OR(('03_Сеть'!Y36-Y34)=0,14&lt;=КаникулыРоялти),0,('03_Сеть'!Y36-Y34)*IF(РоялтиПоГруппам="Да",MeanMinAge14+Y10*SUMIF(ThresholdAge14,"&lt;"&amp;Y10,WeightedRevAge14)-SUMIF(ThresholdAge14,"&lt;"&amp;Y10,WeightedMinAge14),MAX(CapacityAge14*АбонементНовых*Y10,MeanMinAge14)))</f>
        <v/>
      </c>
      <c r="Z88" s="5">
        <f>IF(OR(('03_Сеть'!Z36-Z34)=0,14&lt;=КаникулыРоялти),0,('03_Сеть'!Z36-Z34)*IF(РоялтиПоГруппам="Да",MeanMinAge14+Z10*SUMIF(ThresholdAge14,"&lt;"&amp;Z10,WeightedRevAge14)-SUMIF(ThresholdAge14,"&lt;"&amp;Z10,WeightedMinAge14),MAX(CapacityAge14*АбонементНовых*Z10,MeanMinAge14)))</f>
        <v/>
      </c>
      <c r="AA88" s="5">
        <f>IF(OR(('03_Сеть'!AA36-AA34)=0,14&lt;=КаникулыРоялти),0,('03_Сеть'!AA36-AA34)*IF(РоялтиПоГруппам="Да",MeanMinAge14+AA10*SUMIF(ThresholdAge14,"&lt;"&amp;AA10,WeightedRevAge14)-SUMIF(ThresholdAge14,"&lt;"&amp;AA10,WeightedMinAge14),MAX(CapacityAge14*АбонементНовых*AA10,MeanMinAge14)))</f>
        <v/>
      </c>
      <c r="AB88" s="5">
        <f>IF(OR(('03_Сеть'!AB36-AB34)=0,14&lt;=КаникулыРоялти),0,('03_Сеть'!AB36-AB34)*IF(РоялтиПоГруппам="Да",MeanMinAge14+AB10*SUMIF(ThresholdAge14,"&lt;"&amp;AB10,WeightedRevAge14)-SUMIF(ThresholdAge14,"&lt;"&amp;AB10,WeightedMinAge14),MAX(CapacityAge14*АбонементНовых*AB10,MeanMinAge14)))</f>
        <v/>
      </c>
      <c r="AC88" s="5">
        <f>IF(OR(('03_Сеть'!AC36-AC34)=0,14&lt;=КаникулыРоялти),0,('03_Сеть'!AC36-AC34)*IF(РоялтиПоГруппам="Да",MeanMinAge14+AC10*SUMIF(ThresholdAge14,"&lt;"&amp;AC10,WeightedRevAge14)-SUMIF(ThresholdAge14,"&lt;"&amp;AC10,WeightedMinAge14),MAX(CapacityAge14*АбонементНовых*AC10,MeanMinAge14)))</f>
        <v/>
      </c>
      <c r="AD88" s="5">
        <f>IF(OR(('03_Сеть'!AD36-AD34)=0,14&lt;=КаникулыРоялти),0,('03_Сеть'!AD36-AD34)*IF(РоялтиПоГруппам="Да",MeanMinAge14+AD10*SUMIF(ThresholdAge14,"&lt;"&amp;AD10,WeightedRevAge14)-SUMIF(ThresholdAge14,"&lt;"&amp;AD10,WeightedMinAge14),MAX(CapacityAge14*АбонементНовых*AD10,MeanMinAge14)))</f>
        <v/>
      </c>
      <c r="AE88" s="5">
        <f>IF(OR(('03_Сеть'!AE36-AE34)=0,14&lt;=КаникулыРоялти),0,('03_Сеть'!AE36-AE34)*IF(РоялтиПоГруппам="Да",MeanMinAge14+AE10*SUMIF(ThresholdAge14,"&lt;"&amp;AE10,WeightedRevAge14)-SUMIF(ThresholdAge14,"&lt;"&amp;AE10,WeightedMinAge14),MAX(CapacityAge14*АбонементНовых*AE10,MeanMinAge14)))</f>
        <v/>
      </c>
      <c r="AF88" s="5">
        <f>IF(OR(('03_Сеть'!AF36-AF34)=0,14&lt;=КаникулыРоялти),0,('03_Сеть'!AF36-AF34)*IF(РоялтиПоГруппам="Да",MeanMinAge14+AF10*SUMIF(ThresholdAge14,"&lt;"&amp;AF10,WeightedRevAge14)-SUMIF(ThresholdAge14,"&lt;"&amp;AF10,WeightedMinAge14),MAX(CapacityAge14*АбонементНовых*AF10,MeanMinAge14)))</f>
        <v/>
      </c>
      <c r="AG88" s="5">
        <f>IF(OR(('03_Сеть'!AG36-AG34)=0,14&lt;=КаникулыРоялти),0,('03_Сеть'!AG36-AG34)*IF(РоялтиПоГруппам="Да",MeanMinAge14+AG10*SUMIF(ThresholdAge14,"&lt;"&amp;AG10,WeightedRevAge14)-SUMIF(ThresholdAge14,"&lt;"&amp;AG10,WeightedMinAge14),MAX(CapacityAge14*АбонементНовых*AG10,MeanMinAge14)))</f>
        <v/>
      </c>
      <c r="AH88" s="5">
        <f>IF(OR(('03_Сеть'!AH36-AH34)=0,14&lt;=КаникулыРоялти),0,('03_Сеть'!AH36-AH34)*IF(РоялтиПоГруппам="Да",MeanMinAge14+AH10*SUMIF(ThresholdAge14,"&lt;"&amp;AH10,WeightedRevAge14)-SUMIF(ThresholdAge14,"&lt;"&amp;AH10,WeightedMinAge14),MAX(CapacityAge14*АбонементНовых*AH10,MeanMinAge14)))</f>
        <v/>
      </c>
      <c r="AI88" s="5">
        <f>IF(OR(('03_Сеть'!AI36-AI34)=0,14&lt;=КаникулыРоялти),0,('03_Сеть'!AI36-AI34)*IF(РоялтиПоГруппам="Да",MeanMinAge14+AI10*SUMIF(ThresholdAge14,"&lt;"&amp;AI10,WeightedRevAge14)-SUMIF(ThresholdAge14,"&lt;"&amp;AI10,WeightedMinAge14),MAX(CapacityAge14*АбонементНовых*AI10,MeanMinAge14)))</f>
        <v/>
      </c>
      <c r="AJ88" s="5">
        <f>IF(OR(('03_Сеть'!AJ36-AJ34)=0,14&lt;=КаникулыРоялти),0,('03_Сеть'!AJ36-AJ34)*IF(РоялтиПоГруппам="Да",MeanMinAge14+AJ10*SUMIF(ThresholdAge14,"&lt;"&amp;AJ10,WeightedRevAge14)-SUMIF(ThresholdAge14,"&lt;"&amp;AJ10,WeightedMinAge14),MAX(CapacityAge14*АбонементНовых*AJ10,MeanMinAge14)))</f>
        <v/>
      </c>
      <c r="AK88" s="5">
        <f>IF(OR(('03_Сеть'!AK36-AK34)=0,14&lt;=КаникулыРоялти),0,('03_Сеть'!AK36-AK34)*IF(РоялтиПоГруппам="Да",MeanMinAge14+AK10*SUMIF(ThresholdAge14,"&lt;"&amp;AK10,WeightedRevAge14)-SUMIF(ThresholdAge14,"&lt;"&amp;AK10,WeightedMinAge14),MAX(CapacityAge14*АбонементНовых*AK10,MeanMinAge14)))</f>
        <v/>
      </c>
      <c r="AL88" s="5">
        <f>IF(OR(('03_Сеть'!AL36-AL34)=0,14&lt;=КаникулыРоялти),0,('03_Сеть'!AL36-AL34)*IF(РоялтиПоГруппам="Да",MeanMinAge14+AL10*SUMIF(ThresholdAge14,"&lt;"&amp;AL10,WeightedRevAge14)-SUMIF(ThresholdAge14,"&lt;"&amp;AL10,WeightedMinAge14),MAX(CapacityAge14*АбонементНовых*AL10,MeanMinAge14)))</f>
        <v/>
      </c>
      <c r="AM88" s="5">
        <f>IF(OR(('03_Сеть'!AM36-AM34)=0,14&lt;=КаникулыРоялти),0,('03_Сеть'!AM36-AM34)*IF(РоялтиПоГруппам="Да",MeanMinAge14+AM10*SUMIF(ThresholdAge14,"&lt;"&amp;AM10,WeightedRevAge14)-SUMIF(ThresholdAge14,"&lt;"&amp;AM10,WeightedMinAge14),MAX(CapacityAge14*АбонементНовых*AM10,MeanMinAge14)))</f>
        <v/>
      </c>
      <c r="AN88" s="5">
        <f>IF(OR(('03_Сеть'!AN36-AN34)=0,14&lt;=КаникулыРоялти),0,('03_Сеть'!AN36-AN34)*IF(РоялтиПоГруппам="Да",MeanMinAge14+AN10*SUMIF(ThresholdAge14,"&lt;"&amp;AN10,WeightedRevAge14)-SUMIF(ThresholdAge14,"&lt;"&amp;AN10,WeightedMinAge14),MAX(CapacityAge14*АбонементНовых*AN10,MeanMinAge14)))</f>
        <v/>
      </c>
      <c r="AO88" s="5">
        <f>IF(OR(('03_Сеть'!AO36-AO34)=0,14&lt;=КаникулыРоялти),0,('03_Сеть'!AO36-AO34)*IF(РоялтиПоГруппам="Да",MeanMinAge14+AO10*SUMIF(ThresholdAge14,"&lt;"&amp;AO10,WeightedRevAge14)-SUMIF(ThresholdAge14,"&lt;"&amp;AO10,WeightedMinAge14),MAX(CapacityAge14*АбонементНовых*AO10,MeanMinAge14)))</f>
        <v/>
      </c>
      <c r="AP88" s="5">
        <f>IF(OR(('03_Сеть'!AP36-AP34)=0,14&lt;=КаникулыРоялти),0,('03_Сеть'!AP36-AP34)*IF(РоялтиПоГруппам="Да",MeanMinAge14+AP10*SUMIF(ThresholdAge14,"&lt;"&amp;AP10,WeightedRevAge14)-SUMIF(ThresholdAge14,"&lt;"&amp;AP10,WeightedMinAge14),MAX(CapacityAge14*АбонементНовых*AP10,MeanMinAge14)))</f>
        <v/>
      </c>
      <c r="AQ88" s="5">
        <f>IF(OR(('03_Сеть'!AQ36-AQ34)=0,14&lt;=КаникулыРоялти),0,('03_Сеть'!AQ36-AQ34)*IF(РоялтиПоГруппам="Да",MeanMinAge14+AQ10*SUMIF(ThresholdAge14,"&lt;"&amp;AQ10,WeightedRevAge14)-SUMIF(ThresholdAge14,"&lt;"&amp;AQ10,WeightedMinAge14),MAX(CapacityAge14*АбонементНовых*AQ10,MeanMinAge14)))</f>
        <v/>
      </c>
      <c r="AR88" s="5">
        <f>IF(OR(('03_Сеть'!AR36-AR34)=0,14&lt;=КаникулыРоялти),0,('03_Сеть'!AR36-AR34)*IF(РоялтиПоГруппам="Да",MeanMinAge14+AR10*SUMIF(ThresholdAge14,"&lt;"&amp;AR10,WeightedRevAge14)-SUMIF(ThresholdAge14,"&lt;"&amp;AR10,WeightedMinAge14),MAX(CapacityAge14*АбонементНовых*AR10,MeanMinAge14)))</f>
        <v/>
      </c>
      <c r="AS88" s="5">
        <f>IF(OR(('03_Сеть'!AS36-AS34)=0,14&lt;=КаникулыРоялти),0,('03_Сеть'!AS36-AS34)*IF(РоялтиПоГруппам="Да",MeanMinAge14+AS10*SUMIF(ThresholdAge14,"&lt;"&amp;AS10,WeightedRevAge14)-SUMIF(ThresholdAge14,"&lt;"&amp;AS10,WeightedMinAge14),MAX(CapacityAge14*АбонементНовых*AS10,MeanMinAge14)))</f>
        <v/>
      </c>
      <c r="AT88" s="5">
        <f>IF(OR(('03_Сеть'!AT36-AT34)=0,14&lt;=КаникулыРоялти),0,('03_Сеть'!AT36-AT34)*IF(РоялтиПоГруппам="Да",MeanMinAge14+AT10*SUMIF(ThresholdAge14,"&lt;"&amp;AT10,WeightedRevAge14)-SUMIF(ThresholdAge14,"&lt;"&amp;AT10,WeightedMinAge14),MAX(CapacityAge14*АбонементНовых*AT10,MeanMinAge14)))</f>
        <v/>
      </c>
      <c r="AU88" s="5">
        <f>IF(OR(('03_Сеть'!AU36-AU34)=0,14&lt;=КаникулыРоялти),0,('03_Сеть'!AU36-AU34)*IF(РоялтиПоГруппам="Да",MeanMinAge14+AU10*SUMIF(ThresholdAge14,"&lt;"&amp;AU10,WeightedRevAge14)-SUMIF(ThresholdAge14,"&lt;"&amp;AU10,WeightedMinAge14),MAX(CapacityAge14*АбонементНовых*AU10,MeanMinAge14)))</f>
        <v/>
      </c>
      <c r="AV88" s="5">
        <f>IF(OR(('03_Сеть'!AV36-AV34)=0,14&lt;=КаникулыРоялти),0,('03_Сеть'!AV36-AV34)*IF(РоялтиПоГруппам="Да",MeanMinAge14+AV10*SUMIF(ThresholdAge14,"&lt;"&amp;AV10,WeightedRevAge14)-SUMIF(ThresholdAge14,"&lt;"&amp;AV10,WeightedMinAge14),MAX(CapacityAge14*АбонементНовых*AV10,MeanMinAge14)))</f>
        <v/>
      </c>
      <c r="AW88" s="5">
        <f>IF(OR(('03_Сеть'!AW36-AW34)=0,14&lt;=КаникулыРоялти),0,('03_Сеть'!AW36-AW34)*IF(РоялтиПоГруппам="Да",MeanMinAge14+AW10*SUMIF(ThresholdAge14,"&lt;"&amp;AW10,WeightedRevAge14)-SUMIF(ThresholdAge14,"&lt;"&amp;AW10,WeightedMinAge14),MAX(CapacityAge14*АбонементНовых*AW10,MeanMinAge14)))</f>
        <v/>
      </c>
      <c r="AX88" s="5">
        <f>IF(OR(('03_Сеть'!AX36-AX34)=0,14&lt;=КаникулыРоялти),0,('03_Сеть'!AX36-AX34)*IF(РоялтиПоГруппам="Да",MeanMinAge14+AX10*SUMIF(ThresholdAge14,"&lt;"&amp;AX10,WeightedRevAge14)-SUMIF(ThresholdAge14,"&lt;"&amp;AX10,WeightedMinAge14),MAX(CapacityAge14*АбонементНовых*AX10,MeanMinAge14)))</f>
        <v/>
      </c>
      <c r="AY88" s="5">
        <f>IF(OR(('03_Сеть'!AY36-AY34)=0,14&lt;=КаникулыРоялти),0,('03_Сеть'!AY36-AY34)*IF(РоялтиПоГруппам="Да",MeanMinAge14+AY10*SUMIF(ThresholdAge14,"&lt;"&amp;AY10,WeightedRevAge14)-SUMIF(ThresholdAge14,"&lt;"&amp;AY10,WeightedMinAge14),MAX(CapacityAge14*АбонементНовых*AY10,MeanMinAge14)))</f>
        <v/>
      </c>
      <c r="AZ88" s="5">
        <f>IF(OR(('03_Сеть'!AZ36-AZ34)=0,14&lt;=КаникулыРоялти),0,('03_Сеть'!AZ36-AZ34)*IF(РоялтиПоГруппам="Да",MeanMinAge14+AZ10*SUMIF(ThresholdAge14,"&lt;"&amp;AZ10,WeightedRevAge14)-SUMIF(ThresholdAge14,"&lt;"&amp;AZ10,WeightedMinAge14),MAX(CapacityAge14*АбонементНовых*AZ10,MeanMinAge14)))</f>
        <v/>
      </c>
      <c r="BA88" s="5">
        <f>IF(OR(('03_Сеть'!BA36-BA34)=0,14&lt;=КаникулыРоялти),0,('03_Сеть'!BA36-BA34)*IF(РоялтиПоГруппам="Да",MeanMinAge14+BA10*SUMIF(ThresholdAge14,"&lt;"&amp;BA10,WeightedRevAge14)-SUMIF(ThresholdAge14,"&lt;"&amp;BA10,WeightedMinAge14),MAX(CapacityAge14*АбонементНовых*BA10,MeanMinAge14)))</f>
        <v/>
      </c>
      <c r="BB88" s="5">
        <f>IF(OR(('03_Сеть'!BB36-BB34)=0,14&lt;=КаникулыРоялти),0,('03_Сеть'!BB36-BB34)*IF(РоялтиПоГруппам="Да",MeanMinAge14+BB10*SUMIF(ThresholdAge14,"&lt;"&amp;BB10,WeightedRevAge14)-SUMIF(ThresholdAge14,"&lt;"&amp;BB10,WeightedMinAge14),MAX(CapacityAge14*АбонементНовых*BB10,MeanMinAge14)))</f>
        <v/>
      </c>
      <c r="BC88" s="5">
        <f>IF(OR(('03_Сеть'!BC36-BC34)=0,14&lt;=КаникулыРоялти),0,('03_Сеть'!BC36-BC34)*IF(РоялтиПоГруппам="Да",MeanMinAge14+BC10*SUMIF(ThresholdAge14,"&lt;"&amp;BC10,WeightedRevAge14)-SUMIF(ThresholdAge14,"&lt;"&amp;BC10,WeightedMinAge14),MAX(CapacityAge14*АбонементНовых*BC10,MeanMinAge14)))</f>
        <v/>
      </c>
      <c r="BD88" s="5">
        <f>IF(OR(('03_Сеть'!BD36-BD34)=0,14&lt;=КаникулыРоялти),0,('03_Сеть'!BD36-BD34)*IF(РоялтиПоГруппам="Да",MeanMinAge14+BD10*SUMIF(ThresholdAge14,"&lt;"&amp;BD10,WeightedRevAge14)-SUMIF(ThresholdAge14,"&lt;"&amp;BD10,WeightedMinAge14),MAX(CapacityAge14*АбонементНовых*BD10,MeanMinAge14)))</f>
        <v/>
      </c>
      <c r="BE88" s="5">
        <f>IF(OR(('03_Сеть'!BE36-BE34)=0,14&lt;=КаникулыРоялти),0,('03_Сеть'!BE36-BE34)*IF(РоялтиПоГруппам="Да",MeanMinAge14+BE10*SUMIF(ThresholdAge14,"&lt;"&amp;BE10,WeightedRevAge14)-SUMIF(ThresholdAge14,"&lt;"&amp;BE10,WeightedMinAge14),MAX(CapacityAge14*АбонементНовых*BE10,MeanMinAge14)))</f>
        <v/>
      </c>
      <c r="BF88" s="5">
        <f>IF(OR(('03_Сеть'!BF36-BF34)=0,14&lt;=КаникулыРоялти),0,('03_Сеть'!BF36-BF34)*IF(РоялтиПоГруппам="Да",MeanMinAge14+BF10*SUMIF(ThresholdAge14,"&lt;"&amp;BF10,WeightedRevAge14)-SUMIF(ThresholdAge14,"&lt;"&amp;BF10,WeightedMinAge14),MAX(CapacityAge14*АбонементНовых*BF10,MeanMinAge14)))</f>
        <v/>
      </c>
      <c r="BG88" s="5">
        <f>IF(OR(('03_Сеть'!BG36-BG34)=0,14&lt;=КаникулыРоялти),0,('03_Сеть'!BG36-BG34)*IF(РоялтиПоГруппам="Да",MeanMinAge14+BG10*SUMIF(ThresholdAge14,"&lt;"&amp;BG10,WeightedRevAge14)-SUMIF(ThresholdAge14,"&lt;"&amp;BG10,WeightedMinAge14),MAX(CapacityAge14*АбонементНовых*BG10,MeanMinAge14)))</f>
        <v/>
      </c>
      <c r="BH88" s="5">
        <f>IF(OR(('03_Сеть'!BH36-BH34)=0,14&lt;=КаникулыРоялти),0,('03_Сеть'!BH36-BH34)*IF(РоялтиПоГруппам="Да",MeanMinAge14+BH10*SUMIF(ThresholdAge14,"&lt;"&amp;BH10,WeightedRevAge14)-SUMIF(ThresholdAge14,"&lt;"&amp;BH10,WeightedMinAge14),MAX(CapacityAge14*АбонементНовых*BH10,MeanMinAge14)))</f>
        <v/>
      </c>
      <c r="BI88" s="5">
        <f>IF(OR(('03_Сеть'!BI36-BI34)=0,14&lt;=КаникулыРоялти),0,('03_Сеть'!BI36-BI34)*IF(РоялтиПоГруппам="Да",MeanMinAge14+BI10*SUMIF(ThresholdAge14,"&lt;"&amp;BI10,WeightedRevAge14)-SUMIF(ThresholdAge14,"&lt;"&amp;BI10,WeightedMinAge14),MAX(CapacityAge14*АбонементНовых*BI10,MeanMinAge14)))</f>
        <v/>
      </c>
      <c r="BJ88" s="5">
        <f>IF(OR(('03_Сеть'!BJ36-BJ34)=0,14&lt;=КаникулыРоялти),0,('03_Сеть'!BJ36-BJ34)*IF(РоялтиПоГруппам="Да",MeanMinAge14+BJ10*SUMIF(ThresholdAge14,"&lt;"&amp;BJ10,WeightedRevAge14)-SUMIF(ThresholdAge14,"&lt;"&amp;BJ10,WeightedMinAge14),MAX(CapacityAge14*АбонементНовых*BJ10,MeanMinAge14)))</f>
        <v/>
      </c>
      <c r="BK88" s="5">
        <f>IF(OR(('03_Сеть'!BK36-BK34)=0,14&lt;=КаникулыРоялти),0,('03_Сеть'!BK36-BK34)*IF(РоялтиПоГруппам="Да",MeanMinAge14+BK10*SUMIF(ThresholdAge14,"&lt;"&amp;BK10,WeightedRevAge14)-SUMIF(ThresholdAge14,"&lt;"&amp;BK10,WeightedMinAge14),MAX(CapacityAge14*АбонементНовых*BK10,MeanMinAge14)))</f>
        <v/>
      </c>
      <c r="BL88" s="5">
        <f>IF(OR(('03_Сеть'!BL36-BL34)=0,14&lt;=КаникулыРоялти),0,('03_Сеть'!BL36-BL34)*IF(РоялтиПоГруппам="Да",MeanMinAge14+BL10*SUMIF(ThresholdAge14,"&lt;"&amp;BL10,WeightedRevAge14)-SUMIF(ThresholdAge14,"&lt;"&amp;BL10,WeightedMinAge14),MAX(CapacityAge14*АбонементНовых*BL10,MeanMinAge14)))</f>
        <v/>
      </c>
      <c r="BM88" s="5">
        <f>IF(OR(('03_Сеть'!BM36-BM34)=0,14&lt;=КаникулыРоялти),0,('03_Сеть'!BM36-BM34)*IF(РоялтиПоГруппам="Да",MeanMinAge14+BM10*SUMIF(ThresholdAge14,"&lt;"&amp;BM10,WeightedRevAge14)-SUMIF(ThresholdAge14,"&lt;"&amp;BM10,WeightedMinAge14),MAX(CapacityAge14*АбонементНовых*BM10,MeanMinAge14)))</f>
        <v/>
      </c>
      <c r="BN88" s="5">
        <f>IF(OR(('03_Сеть'!BN36-BN34)=0,14&lt;=КаникулыРоялти),0,('03_Сеть'!BN36-BN34)*IF(РоялтиПоГруппам="Да",MeanMinAge14+BN10*SUMIF(ThresholdAge14,"&lt;"&amp;BN10,WeightedRevAge14)-SUMIF(ThresholdAge14,"&lt;"&amp;BN10,WeightedMinAge14),MAX(CapacityAge14*АбонементНовых*BN10,MeanMinAge14)))</f>
        <v/>
      </c>
      <c r="BO88" s="5">
        <f>IF(OR(('03_Сеть'!BO36-BO34)=0,14&lt;=КаникулыРоялти),0,('03_Сеть'!BO36-BO34)*IF(РоялтиПоГруппам="Да",MeanMinAge14+BO10*SUMIF(ThresholdAge14,"&lt;"&amp;BO10,WeightedRevAge14)-SUMIF(ThresholdAge14,"&lt;"&amp;BO10,WeightedMinAge14),MAX(CapacityAge14*АбонементНовых*BO10,MeanMinAge14)))</f>
        <v/>
      </c>
      <c r="BP88" s="5">
        <f>IF(OR(('03_Сеть'!BP36-BP34)=0,14&lt;=КаникулыРоялти),0,('03_Сеть'!BP36-BP34)*IF(РоялтиПоГруппам="Да",MeanMinAge14+BP10*SUMIF(ThresholdAge14,"&lt;"&amp;BP10,WeightedRevAge14)-SUMIF(ThresholdAge14,"&lt;"&amp;BP10,WeightedMinAge14),MAX(CapacityAge14*АбонементНовых*BP10,MeanMinAge14)))</f>
        <v/>
      </c>
      <c r="BQ88" s="5">
        <f>IF(OR(('03_Сеть'!BQ36-BQ34)=0,14&lt;=КаникулыРоялти),0,('03_Сеть'!BQ36-BQ34)*IF(РоялтиПоГруппам="Да",MeanMinAge14+BQ10*SUMIF(ThresholdAge14,"&lt;"&amp;BQ10,WeightedRevAge14)-SUMIF(ThresholdAge14,"&lt;"&amp;BQ10,WeightedMinAge14),MAX(CapacityAge14*АбонементНовых*BQ10,MeanMinAge14)))</f>
        <v/>
      </c>
      <c r="BR88" s="5">
        <f>IF(OR(('03_Сеть'!BR36-BR34)=0,14&lt;=КаникулыРоялти),0,('03_Сеть'!BR36-BR34)*IF(РоялтиПоГруппам="Да",MeanMinAge14+BR10*SUMIF(ThresholdAge14,"&lt;"&amp;BR10,WeightedRevAge14)-SUMIF(ThresholdAge14,"&lt;"&amp;BR10,WeightedMinAge14),MAX(CapacityAge14*АбонементНовых*BR10,MeanMinAge14)))</f>
        <v/>
      </c>
      <c r="BS88" s="5">
        <f>IF(OR(('03_Сеть'!BS36-BS34)=0,14&lt;=КаникулыРоялти),0,('03_Сеть'!BS36-BS34)*IF(РоялтиПоГруппам="Да",MeanMinAge14+BS10*SUMIF(ThresholdAge14,"&lt;"&amp;BS10,WeightedRevAge14)-SUMIF(ThresholdAge14,"&lt;"&amp;BS10,WeightedMinAge14),MAX(CapacityAge14*АбонементНовых*BS10,MeanMinAge14)))</f>
        <v/>
      </c>
      <c r="BT88" s="5">
        <f>IF(OR(('03_Сеть'!BT36-BT34)=0,14&lt;=КаникулыРоялти),0,('03_Сеть'!BT36-BT34)*IF(РоялтиПоГруппам="Да",MeanMinAge14+BT10*SUMIF(ThresholdAge14,"&lt;"&amp;BT10,WeightedRevAge14)-SUMIF(ThresholdAge14,"&lt;"&amp;BT10,WeightedMinAge14),MAX(CapacityAge14*АбонементНовых*BT10,MeanMinAge14)))</f>
        <v/>
      </c>
      <c r="BU88" s="5">
        <f>IF(OR(('03_Сеть'!BU36-BU34)=0,14&lt;=КаникулыРоялти),0,('03_Сеть'!BU36-BU34)*IF(РоялтиПоГруппам="Да",MeanMinAge14+BU10*SUMIF(ThresholdAge14,"&lt;"&amp;BU10,WeightedRevAge14)-SUMIF(ThresholdAge14,"&lt;"&amp;BU10,WeightedMinAge14),MAX(CapacityAge14*АбонементНовых*BU10,MeanMinAge14)))</f>
        <v/>
      </c>
      <c r="BV88" s="5">
        <f>IF(OR(('03_Сеть'!BV36-BV34)=0,14&lt;=КаникулыРоялти),0,('03_Сеть'!BV36-BV34)*IF(РоялтиПоГруппам="Да",MeanMinAge14+BV10*SUMIF(ThresholdAge14,"&lt;"&amp;BV10,WeightedRevAge14)-SUMIF(ThresholdAge14,"&lt;"&amp;BV10,WeightedMinAge14),MAX(CapacityAge14*АбонементНовых*BV10,MeanMinAge14)))</f>
        <v/>
      </c>
      <c r="BW88" s="5">
        <f>IF(OR(('03_Сеть'!BW36-BW34)=0,14&lt;=КаникулыРоялти),0,('03_Сеть'!BW36-BW34)*IF(РоялтиПоГруппам="Да",MeanMinAge14+BW10*SUMIF(ThresholdAge14,"&lt;"&amp;BW10,WeightedRevAge14)-SUMIF(ThresholdAge14,"&lt;"&amp;BW10,WeightedMinAge14),MAX(CapacityAge14*АбонементНовых*BW10,MeanMinAge14)))</f>
        <v/>
      </c>
      <c r="BX88" s="5">
        <f>IF(OR(('03_Сеть'!BX36-BX34)=0,14&lt;=КаникулыРоялти),0,('03_Сеть'!BX36-BX34)*IF(РоялтиПоГруппам="Да",MeanMinAge14+BX10*SUMIF(ThresholdAge14,"&lt;"&amp;BX10,WeightedRevAge14)-SUMIF(ThresholdAge14,"&lt;"&amp;BX10,WeightedMinAge14),MAX(CapacityAge14*АбонементНовых*BX10,MeanMinAge14)))</f>
        <v/>
      </c>
      <c r="BY88" s="5">
        <f>IF(OR(('03_Сеть'!BY36-BY34)=0,14&lt;=КаникулыРоялти),0,('03_Сеть'!BY36-BY34)*IF(РоялтиПоГруппам="Да",MeanMinAge14+BY10*SUMIF(ThresholdAge14,"&lt;"&amp;BY10,WeightedRevAge14)-SUMIF(ThresholdAge14,"&lt;"&amp;BY10,WeightedMinAge14),MAX(CapacityAge14*АбонементНовых*BY10,MeanMinAge14)))</f>
        <v/>
      </c>
    </row>
    <row r="89">
      <c r="B89" t="inlineStr">
        <is>
          <t>15 мес.</t>
        </is>
      </c>
      <c r="C89" t="inlineStr">
        <is>
          <t>₽</t>
        </is>
      </c>
      <c r="D89" s="127" t="inlineStr"/>
      <c r="E89" s="129">
        <f>SUM(L89:W89)</f>
        <v/>
      </c>
      <c r="F89" s="129">
        <f>SUM(X89:AI89)</f>
        <v/>
      </c>
      <c r="G89" s="129">
        <f>SUM(AJ89:AU89)</f>
        <v/>
      </c>
      <c r="H89" s="129">
        <f>SUM(AV89:BG89)</f>
        <v/>
      </c>
      <c r="I89" s="129">
        <f>SUM(BH89:BS89)</f>
        <v/>
      </c>
      <c r="J89" s="6">
        <f>SUM(L89:BS89)</f>
        <v/>
      </c>
      <c r="L89" s="5">
        <f>IF(OR(('03_Сеть'!L37-L35)=0,15&lt;=КаникулыРоялти),0,('03_Сеть'!L37-L35)*IF(РоялтиПоГруппам="Да",MeanMinAge15+L10*SUMIF(ThresholdAge15,"&lt;"&amp;L10,WeightedRevAge15)-SUMIF(ThresholdAge15,"&lt;"&amp;L10,WeightedMinAge15),MAX(CapacityAge15*АбонементНовых*L10,MeanMinAge15)))</f>
        <v/>
      </c>
      <c r="M89" s="5">
        <f>IF(OR(('03_Сеть'!M37-M35)=0,15&lt;=КаникулыРоялти),0,('03_Сеть'!M37-M35)*IF(РоялтиПоГруппам="Да",MeanMinAge15+M10*SUMIF(ThresholdAge15,"&lt;"&amp;M10,WeightedRevAge15)-SUMIF(ThresholdAge15,"&lt;"&amp;M10,WeightedMinAge15),MAX(CapacityAge15*АбонементНовых*M10,MeanMinAge15)))</f>
        <v/>
      </c>
      <c r="N89" s="5">
        <f>IF(OR(('03_Сеть'!N37-N35)=0,15&lt;=КаникулыРоялти),0,('03_Сеть'!N37-N35)*IF(РоялтиПоГруппам="Да",MeanMinAge15+N10*SUMIF(ThresholdAge15,"&lt;"&amp;N10,WeightedRevAge15)-SUMIF(ThresholdAge15,"&lt;"&amp;N10,WeightedMinAge15),MAX(CapacityAge15*АбонементНовых*N10,MeanMinAge15)))</f>
        <v/>
      </c>
      <c r="O89" s="5">
        <f>IF(OR(('03_Сеть'!O37-O35)=0,15&lt;=КаникулыРоялти),0,('03_Сеть'!O37-O35)*IF(РоялтиПоГруппам="Да",MeanMinAge15+O10*SUMIF(ThresholdAge15,"&lt;"&amp;O10,WeightedRevAge15)-SUMIF(ThresholdAge15,"&lt;"&amp;O10,WeightedMinAge15),MAX(CapacityAge15*АбонементНовых*O10,MeanMinAge15)))</f>
        <v/>
      </c>
      <c r="P89" s="5">
        <f>IF(OR(('03_Сеть'!P37-P35)=0,15&lt;=КаникулыРоялти),0,('03_Сеть'!P37-P35)*IF(РоялтиПоГруппам="Да",MeanMinAge15+P10*SUMIF(ThresholdAge15,"&lt;"&amp;P10,WeightedRevAge15)-SUMIF(ThresholdAge15,"&lt;"&amp;P10,WeightedMinAge15),MAX(CapacityAge15*АбонементНовых*P10,MeanMinAge15)))</f>
        <v/>
      </c>
      <c r="Q89" s="5">
        <f>IF(OR(('03_Сеть'!Q37-Q35)=0,15&lt;=КаникулыРоялти),0,('03_Сеть'!Q37-Q35)*IF(РоялтиПоГруппам="Да",MeanMinAge15+Q10*SUMIF(ThresholdAge15,"&lt;"&amp;Q10,WeightedRevAge15)-SUMIF(ThresholdAge15,"&lt;"&amp;Q10,WeightedMinAge15),MAX(CapacityAge15*АбонементНовых*Q10,MeanMinAge15)))</f>
        <v/>
      </c>
      <c r="R89" s="5">
        <f>IF(OR(('03_Сеть'!R37-R35)=0,15&lt;=КаникулыРоялти),0,('03_Сеть'!R37-R35)*IF(РоялтиПоГруппам="Да",MeanMinAge15+R10*SUMIF(ThresholdAge15,"&lt;"&amp;R10,WeightedRevAge15)-SUMIF(ThresholdAge15,"&lt;"&amp;R10,WeightedMinAge15),MAX(CapacityAge15*АбонементНовых*R10,MeanMinAge15)))</f>
        <v/>
      </c>
      <c r="S89" s="5">
        <f>IF(OR(('03_Сеть'!S37-S35)=0,15&lt;=КаникулыРоялти),0,('03_Сеть'!S37-S35)*IF(РоялтиПоГруппам="Да",MeanMinAge15+S10*SUMIF(ThresholdAge15,"&lt;"&amp;S10,WeightedRevAge15)-SUMIF(ThresholdAge15,"&lt;"&amp;S10,WeightedMinAge15),MAX(CapacityAge15*АбонементНовых*S10,MeanMinAge15)))</f>
        <v/>
      </c>
      <c r="T89" s="5">
        <f>IF(OR(('03_Сеть'!T37-T35)=0,15&lt;=КаникулыРоялти),0,('03_Сеть'!T37-T35)*IF(РоялтиПоГруппам="Да",MeanMinAge15+T10*SUMIF(ThresholdAge15,"&lt;"&amp;T10,WeightedRevAge15)-SUMIF(ThresholdAge15,"&lt;"&amp;T10,WeightedMinAge15),MAX(CapacityAge15*АбонементНовых*T10,MeanMinAge15)))</f>
        <v/>
      </c>
      <c r="U89" s="5">
        <f>IF(OR(('03_Сеть'!U37-U35)=0,15&lt;=КаникулыРоялти),0,('03_Сеть'!U37-U35)*IF(РоялтиПоГруппам="Да",MeanMinAge15+U10*SUMIF(ThresholdAge15,"&lt;"&amp;U10,WeightedRevAge15)-SUMIF(ThresholdAge15,"&lt;"&amp;U10,WeightedMinAge15),MAX(CapacityAge15*АбонементНовых*U10,MeanMinAge15)))</f>
        <v/>
      </c>
      <c r="V89" s="5">
        <f>IF(OR(('03_Сеть'!V37-V35)=0,15&lt;=КаникулыРоялти),0,('03_Сеть'!V37-V35)*IF(РоялтиПоГруппам="Да",MeanMinAge15+V10*SUMIF(ThresholdAge15,"&lt;"&amp;V10,WeightedRevAge15)-SUMIF(ThresholdAge15,"&lt;"&amp;V10,WeightedMinAge15),MAX(CapacityAge15*АбонементНовых*V10,MeanMinAge15)))</f>
        <v/>
      </c>
      <c r="W89" s="5">
        <f>IF(OR(('03_Сеть'!W37-W35)=0,15&lt;=КаникулыРоялти),0,('03_Сеть'!W37-W35)*IF(РоялтиПоГруппам="Да",MeanMinAge15+W10*SUMIF(ThresholdAge15,"&lt;"&amp;W10,WeightedRevAge15)-SUMIF(ThresholdAge15,"&lt;"&amp;W10,WeightedMinAge15),MAX(CapacityAge15*АбонементНовых*W10,MeanMinAge15)))</f>
        <v/>
      </c>
      <c r="X89" s="5">
        <f>IF(OR(('03_Сеть'!X37-X35)=0,15&lt;=КаникулыРоялти),0,('03_Сеть'!X37-X35)*IF(РоялтиПоГруппам="Да",MeanMinAge15+X10*SUMIF(ThresholdAge15,"&lt;"&amp;X10,WeightedRevAge15)-SUMIF(ThresholdAge15,"&lt;"&amp;X10,WeightedMinAge15),MAX(CapacityAge15*АбонементНовых*X10,MeanMinAge15)))</f>
        <v/>
      </c>
      <c r="Y89" s="5">
        <f>IF(OR(('03_Сеть'!Y37-Y35)=0,15&lt;=КаникулыРоялти),0,('03_Сеть'!Y37-Y35)*IF(РоялтиПоГруппам="Да",MeanMinAge15+Y10*SUMIF(ThresholdAge15,"&lt;"&amp;Y10,WeightedRevAge15)-SUMIF(ThresholdAge15,"&lt;"&amp;Y10,WeightedMinAge15),MAX(CapacityAge15*АбонементНовых*Y10,MeanMinAge15)))</f>
        <v/>
      </c>
      <c r="Z89" s="5">
        <f>IF(OR(('03_Сеть'!Z37-Z35)=0,15&lt;=КаникулыРоялти),0,('03_Сеть'!Z37-Z35)*IF(РоялтиПоГруппам="Да",MeanMinAge15+Z10*SUMIF(ThresholdAge15,"&lt;"&amp;Z10,WeightedRevAge15)-SUMIF(ThresholdAge15,"&lt;"&amp;Z10,WeightedMinAge15),MAX(CapacityAge15*АбонементНовых*Z10,MeanMinAge15)))</f>
        <v/>
      </c>
      <c r="AA89" s="5">
        <f>IF(OR(('03_Сеть'!AA37-AA35)=0,15&lt;=КаникулыРоялти),0,('03_Сеть'!AA37-AA35)*IF(РоялтиПоГруппам="Да",MeanMinAge15+AA10*SUMIF(ThresholdAge15,"&lt;"&amp;AA10,WeightedRevAge15)-SUMIF(ThresholdAge15,"&lt;"&amp;AA10,WeightedMinAge15),MAX(CapacityAge15*АбонементНовых*AA10,MeanMinAge15)))</f>
        <v/>
      </c>
      <c r="AB89" s="5">
        <f>IF(OR(('03_Сеть'!AB37-AB35)=0,15&lt;=КаникулыРоялти),0,('03_Сеть'!AB37-AB35)*IF(РоялтиПоГруппам="Да",MeanMinAge15+AB10*SUMIF(ThresholdAge15,"&lt;"&amp;AB10,WeightedRevAge15)-SUMIF(ThresholdAge15,"&lt;"&amp;AB10,WeightedMinAge15),MAX(CapacityAge15*АбонементНовых*AB10,MeanMinAge15)))</f>
        <v/>
      </c>
      <c r="AC89" s="5">
        <f>IF(OR(('03_Сеть'!AC37-AC35)=0,15&lt;=КаникулыРоялти),0,('03_Сеть'!AC37-AC35)*IF(РоялтиПоГруппам="Да",MeanMinAge15+AC10*SUMIF(ThresholdAge15,"&lt;"&amp;AC10,WeightedRevAge15)-SUMIF(ThresholdAge15,"&lt;"&amp;AC10,WeightedMinAge15),MAX(CapacityAge15*АбонементНовых*AC10,MeanMinAge15)))</f>
        <v/>
      </c>
      <c r="AD89" s="5">
        <f>IF(OR(('03_Сеть'!AD37-AD35)=0,15&lt;=КаникулыРоялти),0,('03_Сеть'!AD37-AD35)*IF(РоялтиПоГруппам="Да",MeanMinAge15+AD10*SUMIF(ThresholdAge15,"&lt;"&amp;AD10,WeightedRevAge15)-SUMIF(ThresholdAge15,"&lt;"&amp;AD10,WeightedMinAge15),MAX(CapacityAge15*АбонементНовых*AD10,MeanMinAge15)))</f>
        <v/>
      </c>
      <c r="AE89" s="5">
        <f>IF(OR(('03_Сеть'!AE37-AE35)=0,15&lt;=КаникулыРоялти),0,('03_Сеть'!AE37-AE35)*IF(РоялтиПоГруппам="Да",MeanMinAge15+AE10*SUMIF(ThresholdAge15,"&lt;"&amp;AE10,WeightedRevAge15)-SUMIF(ThresholdAge15,"&lt;"&amp;AE10,WeightedMinAge15),MAX(CapacityAge15*АбонементНовых*AE10,MeanMinAge15)))</f>
        <v/>
      </c>
      <c r="AF89" s="5">
        <f>IF(OR(('03_Сеть'!AF37-AF35)=0,15&lt;=КаникулыРоялти),0,('03_Сеть'!AF37-AF35)*IF(РоялтиПоГруппам="Да",MeanMinAge15+AF10*SUMIF(ThresholdAge15,"&lt;"&amp;AF10,WeightedRevAge15)-SUMIF(ThresholdAge15,"&lt;"&amp;AF10,WeightedMinAge15),MAX(CapacityAge15*АбонементНовых*AF10,MeanMinAge15)))</f>
        <v/>
      </c>
      <c r="AG89" s="5">
        <f>IF(OR(('03_Сеть'!AG37-AG35)=0,15&lt;=КаникулыРоялти),0,('03_Сеть'!AG37-AG35)*IF(РоялтиПоГруппам="Да",MeanMinAge15+AG10*SUMIF(ThresholdAge15,"&lt;"&amp;AG10,WeightedRevAge15)-SUMIF(ThresholdAge15,"&lt;"&amp;AG10,WeightedMinAge15),MAX(CapacityAge15*АбонементНовых*AG10,MeanMinAge15)))</f>
        <v/>
      </c>
      <c r="AH89" s="5">
        <f>IF(OR(('03_Сеть'!AH37-AH35)=0,15&lt;=КаникулыРоялти),0,('03_Сеть'!AH37-AH35)*IF(РоялтиПоГруппам="Да",MeanMinAge15+AH10*SUMIF(ThresholdAge15,"&lt;"&amp;AH10,WeightedRevAge15)-SUMIF(ThresholdAge15,"&lt;"&amp;AH10,WeightedMinAge15),MAX(CapacityAge15*АбонементНовых*AH10,MeanMinAge15)))</f>
        <v/>
      </c>
      <c r="AI89" s="5">
        <f>IF(OR(('03_Сеть'!AI37-AI35)=0,15&lt;=КаникулыРоялти),0,('03_Сеть'!AI37-AI35)*IF(РоялтиПоГруппам="Да",MeanMinAge15+AI10*SUMIF(ThresholdAge15,"&lt;"&amp;AI10,WeightedRevAge15)-SUMIF(ThresholdAge15,"&lt;"&amp;AI10,WeightedMinAge15),MAX(CapacityAge15*АбонементНовых*AI10,MeanMinAge15)))</f>
        <v/>
      </c>
      <c r="AJ89" s="5">
        <f>IF(OR(('03_Сеть'!AJ37-AJ35)=0,15&lt;=КаникулыРоялти),0,('03_Сеть'!AJ37-AJ35)*IF(РоялтиПоГруппам="Да",MeanMinAge15+AJ10*SUMIF(ThresholdAge15,"&lt;"&amp;AJ10,WeightedRevAge15)-SUMIF(ThresholdAge15,"&lt;"&amp;AJ10,WeightedMinAge15),MAX(CapacityAge15*АбонементНовых*AJ10,MeanMinAge15)))</f>
        <v/>
      </c>
      <c r="AK89" s="5">
        <f>IF(OR(('03_Сеть'!AK37-AK35)=0,15&lt;=КаникулыРоялти),0,('03_Сеть'!AK37-AK35)*IF(РоялтиПоГруппам="Да",MeanMinAge15+AK10*SUMIF(ThresholdAge15,"&lt;"&amp;AK10,WeightedRevAge15)-SUMIF(ThresholdAge15,"&lt;"&amp;AK10,WeightedMinAge15),MAX(CapacityAge15*АбонементНовых*AK10,MeanMinAge15)))</f>
        <v/>
      </c>
      <c r="AL89" s="5">
        <f>IF(OR(('03_Сеть'!AL37-AL35)=0,15&lt;=КаникулыРоялти),0,('03_Сеть'!AL37-AL35)*IF(РоялтиПоГруппам="Да",MeanMinAge15+AL10*SUMIF(ThresholdAge15,"&lt;"&amp;AL10,WeightedRevAge15)-SUMIF(ThresholdAge15,"&lt;"&amp;AL10,WeightedMinAge15),MAX(CapacityAge15*АбонементНовых*AL10,MeanMinAge15)))</f>
        <v/>
      </c>
      <c r="AM89" s="5">
        <f>IF(OR(('03_Сеть'!AM37-AM35)=0,15&lt;=КаникулыРоялти),0,('03_Сеть'!AM37-AM35)*IF(РоялтиПоГруппам="Да",MeanMinAge15+AM10*SUMIF(ThresholdAge15,"&lt;"&amp;AM10,WeightedRevAge15)-SUMIF(ThresholdAge15,"&lt;"&amp;AM10,WeightedMinAge15),MAX(CapacityAge15*АбонементНовых*AM10,MeanMinAge15)))</f>
        <v/>
      </c>
      <c r="AN89" s="5">
        <f>IF(OR(('03_Сеть'!AN37-AN35)=0,15&lt;=КаникулыРоялти),0,('03_Сеть'!AN37-AN35)*IF(РоялтиПоГруппам="Да",MeanMinAge15+AN10*SUMIF(ThresholdAge15,"&lt;"&amp;AN10,WeightedRevAge15)-SUMIF(ThresholdAge15,"&lt;"&amp;AN10,WeightedMinAge15),MAX(CapacityAge15*АбонементНовых*AN10,MeanMinAge15)))</f>
        <v/>
      </c>
      <c r="AO89" s="5">
        <f>IF(OR(('03_Сеть'!AO37-AO35)=0,15&lt;=КаникулыРоялти),0,('03_Сеть'!AO37-AO35)*IF(РоялтиПоГруппам="Да",MeanMinAge15+AO10*SUMIF(ThresholdAge15,"&lt;"&amp;AO10,WeightedRevAge15)-SUMIF(ThresholdAge15,"&lt;"&amp;AO10,WeightedMinAge15),MAX(CapacityAge15*АбонементНовых*AO10,MeanMinAge15)))</f>
        <v/>
      </c>
      <c r="AP89" s="5">
        <f>IF(OR(('03_Сеть'!AP37-AP35)=0,15&lt;=КаникулыРоялти),0,('03_Сеть'!AP37-AP35)*IF(РоялтиПоГруппам="Да",MeanMinAge15+AP10*SUMIF(ThresholdAge15,"&lt;"&amp;AP10,WeightedRevAge15)-SUMIF(ThresholdAge15,"&lt;"&amp;AP10,WeightedMinAge15),MAX(CapacityAge15*АбонементНовых*AP10,MeanMinAge15)))</f>
        <v/>
      </c>
      <c r="AQ89" s="5">
        <f>IF(OR(('03_Сеть'!AQ37-AQ35)=0,15&lt;=КаникулыРоялти),0,('03_Сеть'!AQ37-AQ35)*IF(РоялтиПоГруппам="Да",MeanMinAge15+AQ10*SUMIF(ThresholdAge15,"&lt;"&amp;AQ10,WeightedRevAge15)-SUMIF(ThresholdAge15,"&lt;"&amp;AQ10,WeightedMinAge15),MAX(CapacityAge15*АбонементНовых*AQ10,MeanMinAge15)))</f>
        <v/>
      </c>
      <c r="AR89" s="5">
        <f>IF(OR(('03_Сеть'!AR37-AR35)=0,15&lt;=КаникулыРоялти),0,('03_Сеть'!AR37-AR35)*IF(РоялтиПоГруппам="Да",MeanMinAge15+AR10*SUMIF(ThresholdAge15,"&lt;"&amp;AR10,WeightedRevAge15)-SUMIF(ThresholdAge15,"&lt;"&amp;AR10,WeightedMinAge15),MAX(CapacityAge15*АбонементНовых*AR10,MeanMinAge15)))</f>
        <v/>
      </c>
      <c r="AS89" s="5">
        <f>IF(OR(('03_Сеть'!AS37-AS35)=0,15&lt;=КаникулыРоялти),0,('03_Сеть'!AS37-AS35)*IF(РоялтиПоГруппам="Да",MeanMinAge15+AS10*SUMIF(ThresholdAge15,"&lt;"&amp;AS10,WeightedRevAge15)-SUMIF(ThresholdAge15,"&lt;"&amp;AS10,WeightedMinAge15),MAX(CapacityAge15*АбонементНовых*AS10,MeanMinAge15)))</f>
        <v/>
      </c>
      <c r="AT89" s="5">
        <f>IF(OR(('03_Сеть'!AT37-AT35)=0,15&lt;=КаникулыРоялти),0,('03_Сеть'!AT37-AT35)*IF(РоялтиПоГруппам="Да",MeanMinAge15+AT10*SUMIF(ThresholdAge15,"&lt;"&amp;AT10,WeightedRevAge15)-SUMIF(ThresholdAge15,"&lt;"&amp;AT10,WeightedMinAge15),MAX(CapacityAge15*АбонементНовых*AT10,MeanMinAge15)))</f>
        <v/>
      </c>
      <c r="AU89" s="5">
        <f>IF(OR(('03_Сеть'!AU37-AU35)=0,15&lt;=КаникулыРоялти),0,('03_Сеть'!AU37-AU35)*IF(РоялтиПоГруппам="Да",MeanMinAge15+AU10*SUMIF(ThresholdAge15,"&lt;"&amp;AU10,WeightedRevAge15)-SUMIF(ThresholdAge15,"&lt;"&amp;AU10,WeightedMinAge15),MAX(CapacityAge15*АбонементНовых*AU10,MeanMinAge15)))</f>
        <v/>
      </c>
      <c r="AV89" s="5">
        <f>IF(OR(('03_Сеть'!AV37-AV35)=0,15&lt;=КаникулыРоялти),0,('03_Сеть'!AV37-AV35)*IF(РоялтиПоГруппам="Да",MeanMinAge15+AV10*SUMIF(ThresholdAge15,"&lt;"&amp;AV10,WeightedRevAge15)-SUMIF(ThresholdAge15,"&lt;"&amp;AV10,WeightedMinAge15),MAX(CapacityAge15*АбонементНовых*AV10,MeanMinAge15)))</f>
        <v/>
      </c>
      <c r="AW89" s="5">
        <f>IF(OR(('03_Сеть'!AW37-AW35)=0,15&lt;=КаникулыРоялти),0,('03_Сеть'!AW37-AW35)*IF(РоялтиПоГруппам="Да",MeanMinAge15+AW10*SUMIF(ThresholdAge15,"&lt;"&amp;AW10,WeightedRevAge15)-SUMIF(ThresholdAge15,"&lt;"&amp;AW10,WeightedMinAge15),MAX(CapacityAge15*АбонементНовых*AW10,MeanMinAge15)))</f>
        <v/>
      </c>
      <c r="AX89" s="5">
        <f>IF(OR(('03_Сеть'!AX37-AX35)=0,15&lt;=КаникулыРоялти),0,('03_Сеть'!AX37-AX35)*IF(РоялтиПоГруппам="Да",MeanMinAge15+AX10*SUMIF(ThresholdAge15,"&lt;"&amp;AX10,WeightedRevAge15)-SUMIF(ThresholdAge15,"&lt;"&amp;AX10,WeightedMinAge15),MAX(CapacityAge15*АбонементНовых*AX10,MeanMinAge15)))</f>
        <v/>
      </c>
      <c r="AY89" s="5">
        <f>IF(OR(('03_Сеть'!AY37-AY35)=0,15&lt;=КаникулыРоялти),0,('03_Сеть'!AY37-AY35)*IF(РоялтиПоГруппам="Да",MeanMinAge15+AY10*SUMIF(ThresholdAge15,"&lt;"&amp;AY10,WeightedRevAge15)-SUMIF(ThresholdAge15,"&lt;"&amp;AY10,WeightedMinAge15),MAX(CapacityAge15*АбонементНовых*AY10,MeanMinAge15)))</f>
        <v/>
      </c>
      <c r="AZ89" s="5">
        <f>IF(OR(('03_Сеть'!AZ37-AZ35)=0,15&lt;=КаникулыРоялти),0,('03_Сеть'!AZ37-AZ35)*IF(РоялтиПоГруппам="Да",MeanMinAge15+AZ10*SUMIF(ThresholdAge15,"&lt;"&amp;AZ10,WeightedRevAge15)-SUMIF(ThresholdAge15,"&lt;"&amp;AZ10,WeightedMinAge15),MAX(CapacityAge15*АбонементНовых*AZ10,MeanMinAge15)))</f>
        <v/>
      </c>
      <c r="BA89" s="5">
        <f>IF(OR(('03_Сеть'!BA37-BA35)=0,15&lt;=КаникулыРоялти),0,('03_Сеть'!BA37-BA35)*IF(РоялтиПоГруппам="Да",MeanMinAge15+BA10*SUMIF(ThresholdAge15,"&lt;"&amp;BA10,WeightedRevAge15)-SUMIF(ThresholdAge15,"&lt;"&amp;BA10,WeightedMinAge15),MAX(CapacityAge15*АбонементНовых*BA10,MeanMinAge15)))</f>
        <v/>
      </c>
      <c r="BB89" s="5">
        <f>IF(OR(('03_Сеть'!BB37-BB35)=0,15&lt;=КаникулыРоялти),0,('03_Сеть'!BB37-BB35)*IF(РоялтиПоГруппам="Да",MeanMinAge15+BB10*SUMIF(ThresholdAge15,"&lt;"&amp;BB10,WeightedRevAge15)-SUMIF(ThresholdAge15,"&lt;"&amp;BB10,WeightedMinAge15),MAX(CapacityAge15*АбонементНовых*BB10,MeanMinAge15)))</f>
        <v/>
      </c>
      <c r="BC89" s="5">
        <f>IF(OR(('03_Сеть'!BC37-BC35)=0,15&lt;=КаникулыРоялти),0,('03_Сеть'!BC37-BC35)*IF(РоялтиПоГруппам="Да",MeanMinAge15+BC10*SUMIF(ThresholdAge15,"&lt;"&amp;BC10,WeightedRevAge15)-SUMIF(ThresholdAge15,"&lt;"&amp;BC10,WeightedMinAge15),MAX(CapacityAge15*АбонементНовых*BC10,MeanMinAge15)))</f>
        <v/>
      </c>
      <c r="BD89" s="5">
        <f>IF(OR(('03_Сеть'!BD37-BD35)=0,15&lt;=КаникулыРоялти),0,('03_Сеть'!BD37-BD35)*IF(РоялтиПоГруппам="Да",MeanMinAge15+BD10*SUMIF(ThresholdAge15,"&lt;"&amp;BD10,WeightedRevAge15)-SUMIF(ThresholdAge15,"&lt;"&amp;BD10,WeightedMinAge15),MAX(CapacityAge15*АбонементНовых*BD10,MeanMinAge15)))</f>
        <v/>
      </c>
      <c r="BE89" s="5">
        <f>IF(OR(('03_Сеть'!BE37-BE35)=0,15&lt;=КаникулыРоялти),0,('03_Сеть'!BE37-BE35)*IF(РоялтиПоГруппам="Да",MeanMinAge15+BE10*SUMIF(ThresholdAge15,"&lt;"&amp;BE10,WeightedRevAge15)-SUMIF(ThresholdAge15,"&lt;"&amp;BE10,WeightedMinAge15),MAX(CapacityAge15*АбонементНовых*BE10,MeanMinAge15)))</f>
        <v/>
      </c>
      <c r="BF89" s="5">
        <f>IF(OR(('03_Сеть'!BF37-BF35)=0,15&lt;=КаникулыРоялти),0,('03_Сеть'!BF37-BF35)*IF(РоялтиПоГруппам="Да",MeanMinAge15+BF10*SUMIF(ThresholdAge15,"&lt;"&amp;BF10,WeightedRevAge15)-SUMIF(ThresholdAge15,"&lt;"&amp;BF10,WeightedMinAge15),MAX(CapacityAge15*АбонементНовых*BF10,MeanMinAge15)))</f>
        <v/>
      </c>
      <c r="BG89" s="5">
        <f>IF(OR(('03_Сеть'!BG37-BG35)=0,15&lt;=КаникулыРоялти),0,('03_Сеть'!BG37-BG35)*IF(РоялтиПоГруппам="Да",MeanMinAge15+BG10*SUMIF(ThresholdAge15,"&lt;"&amp;BG10,WeightedRevAge15)-SUMIF(ThresholdAge15,"&lt;"&amp;BG10,WeightedMinAge15),MAX(CapacityAge15*АбонементНовых*BG10,MeanMinAge15)))</f>
        <v/>
      </c>
      <c r="BH89" s="5">
        <f>IF(OR(('03_Сеть'!BH37-BH35)=0,15&lt;=КаникулыРоялти),0,('03_Сеть'!BH37-BH35)*IF(РоялтиПоГруппам="Да",MeanMinAge15+BH10*SUMIF(ThresholdAge15,"&lt;"&amp;BH10,WeightedRevAge15)-SUMIF(ThresholdAge15,"&lt;"&amp;BH10,WeightedMinAge15),MAX(CapacityAge15*АбонементНовых*BH10,MeanMinAge15)))</f>
        <v/>
      </c>
      <c r="BI89" s="5">
        <f>IF(OR(('03_Сеть'!BI37-BI35)=0,15&lt;=КаникулыРоялти),0,('03_Сеть'!BI37-BI35)*IF(РоялтиПоГруппам="Да",MeanMinAge15+BI10*SUMIF(ThresholdAge15,"&lt;"&amp;BI10,WeightedRevAge15)-SUMIF(ThresholdAge15,"&lt;"&amp;BI10,WeightedMinAge15),MAX(CapacityAge15*АбонементНовых*BI10,MeanMinAge15)))</f>
        <v/>
      </c>
      <c r="BJ89" s="5">
        <f>IF(OR(('03_Сеть'!BJ37-BJ35)=0,15&lt;=КаникулыРоялти),0,('03_Сеть'!BJ37-BJ35)*IF(РоялтиПоГруппам="Да",MeanMinAge15+BJ10*SUMIF(ThresholdAge15,"&lt;"&amp;BJ10,WeightedRevAge15)-SUMIF(ThresholdAge15,"&lt;"&amp;BJ10,WeightedMinAge15),MAX(CapacityAge15*АбонементНовых*BJ10,MeanMinAge15)))</f>
        <v/>
      </c>
      <c r="BK89" s="5">
        <f>IF(OR(('03_Сеть'!BK37-BK35)=0,15&lt;=КаникулыРоялти),0,('03_Сеть'!BK37-BK35)*IF(РоялтиПоГруппам="Да",MeanMinAge15+BK10*SUMIF(ThresholdAge15,"&lt;"&amp;BK10,WeightedRevAge15)-SUMIF(ThresholdAge15,"&lt;"&amp;BK10,WeightedMinAge15),MAX(CapacityAge15*АбонементНовых*BK10,MeanMinAge15)))</f>
        <v/>
      </c>
      <c r="BL89" s="5">
        <f>IF(OR(('03_Сеть'!BL37-BL35)=0,15&lt;=КаникулыРоялти),0,('03_Сеть'!BL37-BL35)*IF(РоялтиПоГруппам="Да",MeanMinAge15+BL10*SUMIF(ThresholdAge15,"&lt;"&amp;BL10,WeightedRevAge15)-SUMIF(ThresholdAge15,"&lt;"&amp;BL10,WeightedMinAge15),MAX(CapacityAge15*АбонементНовых*BL10,MeanMinAge15)))</f>
        <v/>
      </c>
      <c r="BM89" s="5">
        <f>IF(OR(('03_Сеть'!BM37-BM35)=0,15&lt;=КаникулыРоялти),0,('03_Сеть'!BM37-BM35)*IF(РоялтиПоГруппам="Да",MeanMinAge15+BM10*SUMIF(ThresholdAge15,"&lt;"&amp;BM10,WeightedRevAge15)-SUMIF(ThresholdAge15,"&lt;"&amp;BM10,WeightedMinAge15),MAX(CapacityAge15*АбонементНовых*BM10,MeanMinAge15)))</f>
        <v/>
      </c>
      <c r="BN89" s="5">
        <f>IF(OR(('03_Сеть'!BN37-BN35)=0,15&lt;=КаникулыРоялти),0,('03_Сеть'!BN37-BN35)*IF(РоялтиПоГруппам="Да",MeanMinAge15+BN10*SUMIF(ThresholdAge15,"&lt;"&amp;BN10,WeightedRevAge15)-SUMIF(ThresholdAge15,"&lt;"&amp;BN10,WeightedMinAge15),MAX(CapacityAge15*АбонементНовых*BN10,MeanMinAge15)))</f>
        <v/>
      </c>
      <c r="BO89" s="5">
        <f>IF(OR(('03_Сеть'!BO37-BO35)=0,15&lt;=КаникулыРоялти),0,('03_Сеть'!BO37-BO35)*IF(РоялтиПоГруппам="Да",MeanMinAge15+BO10*SUMIF(ThresholdAge15,"&lt;"&amp;BO10,WeightedRevAge15)-SUMIF(ThresholdAge15,"&lt;"&amp;BO10,WeightedMinAge15),MAX(CapacityAge15*АбонементНовых*BO10,MeanMinAge15)))</f>
        <v/>
      </c>
      <c r="BP89" s="5">
        <f>IF(OR(('03_Сеть'!BP37-BP35)=0,15&lt;=КаникулыРоялти),0,('03_Сеть'!BP37-BP35)*IF(РоялтиПоГруппам="Да",MeanMinAge15+BP10*SUMIF(ThresholdAge15,"&lt;"&amp;BP10,WeightedRevAge15)-SUMIF(ThresholdAge15,"&lt;"&amp;BP10,WeightedMinAge15),MAX(CapacityAge15*АбонементНовых*BP10,MeanMinAge15)))</f>
        <v/>
      </c>
      <c r="BQ89" s="5">
        <f>IF(OR(('03_Сеть'!BQ37-BQ35)=0,15&lt;=КаникулыРоялти),0,('03_Сеть'!BQ37-BQ35)*IF(РоялтиПоГруппам="Да",MeanMinAge15+BQ10*SUMIF(ThresholdAge15,"&lt;"&amp;BQ10,WeightedRevAge15)-SUMIF(ThresholdAge15,"&lt;"&amp;BQ10,WeightedMinAge15),MAX(CapacityAge15*АбонементНовых*BQ10,MeanMinAge15)))</f>
        <v/>
      </c>
      <c r="BR89" s="5">
        <f>IF(OR(('03_Сеть'!BR37-BR35)=0,15&lt;=КаникулыРоялти),0,('03_Сеть'!BR37-BR35)*IF(РоялтиПоГруппам="Да",MeanMinAge15+BR10*SUMIF(ThresholdAge15,"&lt;"&amp;BR10,WeightedRevAge15)-SUMIF(ThresholdAge15,"&lt;"&amp;BR10,WeightedMinAge15),MAX(CapacityAge15*АбонементНовых*BR10,MeanMinAge15)))</f>
        <v/>
      </c>
      <c r="BS89" s="5">
        <f>IF(OR(('03_Сеть'!BS37-BS35)=0,15&lt;=КаникулыРоялти),0,('03_Сеть'!BS37-BS35)*IF(РоялтиПоГруппам="Да",MeanMinAge15+BS10*SUMIF(ThresholdAge15,"&lt;"&amp;BS10,WeightedRevAge15)-SUMIF(ThresholdAge15,"&lt;"&amp;BS10,WeightedMinAge15),MAX(CapacityAge15*АбонементНовых*BS10,MeanMinAge15)))</f>
        <v/>
      </c>
      <c r="BT89" s="5">
        <f>IF(OR(('03_Сеть'!BT37-BT35)=0,15&lt;=КаникулыРоялти),0,('03_Сеть'!BT37-BT35)*IF(РоялтиПоГруппам="Да",MeanMinAge15+BT10*SUMIF(ThresholdAge15,"&lt;"&amp;BT10,WeightedRevAge15)-SUMIF(ThresholdAge15,"&lt;"&amp;BT10,WeightedMinAge15),MAX(CapacityAge15*АбонементНовых*BT10,MeanMinAge15)))</f>
        <v/>
      </c>
      <c r="BU89" s="5">
        <f>IF(OR(('03_Сеть'!BU37-BU35)=0,15&lt;=КаникулыРоялти),0,('03_Сеть'!BU37-BU35)*IF(РоялтиПоГруппам="Да",MeanMinAge15+BU10*SUMIF(ThresholdAge15,"&lt;"&amp;BU10,WeightedRevAge15)-SUMIF(ThresholdAge15,"&lt;"&amp;BU10,WeightedMinAge15),MAX(CapacityAge15*АбонементНовых*BU10,MeanMinAge15)))</f>
        <v/>
      </c>
      <c r="BV89" s="5">
        <f>IF(OR(('03_Сеть'!BV37-BV35)=0,15&lt;=КаникулыРоялти),0,('03_Сеть'!BV37-BV35)*IF(РоялтиПоГруппам="Да",MeanMinAge15+BV10*SUMIF(ThresholdAge15,"&lt;"&amp;BV10,WeightedRevAge15)-SUMIF(ThresholdAge15,"&lt;"&amp;BV10,WeightedMinAge15),MAX(CapacityAge15*АбонементНовых*BV10,MeanMinAge15)))</f>
        <v/>
      </c>
      <c r="BW89" s="5">
        <f>IF(OR(('03_Сеть'!BW37-BW35)=0,15&lt;=КаникулыРоялти),0,('03_Сеть'!BW37-BW35)*IF(РоялтиПоГруппам="Да",MeanMinAge15+BW10*SUMIF(ThresholdAge15,"&lt;"&amp;BW10,WeightedRevAge15)-SUMIF(ThresholdAge15,"&lt;"&amp;BW10,WeightedMinAge15),MAX(CapacityAge15*АбонементНовых*BW10,MeanMinAge15)))</f>
        <v/>
      </c>
      <c r="BX89" s="5">
        <f>IF(OR(('03_Сеть'!BX37-BX35)=0,15&lt;=КаникулыРоялти),0,('03_Сеть'!BX37-BX35)*IF(РоялтиПоГруппам="Да",MeanMinAge15+BX10*SUMIF(ThresholdAge15,"&lt;"&amp;BX10,WeightedRevAge15)-SUMIF(ThresholdAge15,"&lt;"&amp;BX10,WeightedMinAge15),MAX(CapacityAge15*АбонементНовых*BX10,MeanMinAge15)))</f>
        <v/>
      </c>
      <c r="BY89" s="5">
        <f>IF(OR(('03_Сеть'!BY37-BY35)=0,15&lt;=КаникулыРоялти),0,('03_Сеть'!BY37-BY35)*IF(РоялтиПоГруппам="Да",MeanMinAge15+BY10*SUMIF(ThresholdAge15,"&lt;"&amp;BY10,WeightedRevAge15)-SUMIF(ThresholdAge15,"&lt;"&amp;BY10,WeightedMinAge15),MAX(CapacityAge15*АбонементНовых*BY10,MeanMinAge15)))</f>
        <v/>
      </c>
    </row>
    <row r="90">
      <c r="B90" t="inlineStr">
        <is>
          <t>16 мес.</t>
        </is>
      </c>
      <c r="C90" t="inlineStr">
        <is>
          <t>₽</t>
        </is>
      </c>
      <c r="D90" s="127" t="inlineStr"/>
      <c r="E90" s="129">
        <f>SUM(L90:W90)</f>
        <v/>
      </c>
      <c r="F90" s="129">
        <f>SUM(X90:AI90)</f>
        <v/>
      </c>
      <c r="G90" s="129">
        <f>SUM(AJ90:AU90)</f>
        <v/>
      </c>
      <c r="H90" s="129">
        <f>SUM(AV90:BG90)</f>
        <v/>
      </c>
      <c r="I90" s="129">
        <f>SUM(BH90:BS90)</f>
        <v/>
      </c>
      <c r="J90" s="6">
        <f>SUM(L90:BS90)</f>
        <v/>
      </c>
      <c r="L90" s="5">
        <f>IF(OR(('03_Сеть'!L38-L36)=0,16&lt;=КаникулыРоялти),0,('03_Сеть'!L38-L36)*IF(РоялтиПоГруппам="Да",MeanMinAge16+L10*SUMIF(ThresholdAge16,"&lt;"&amp;L10,WeightedRevAge16)-SUMIF(ThresholdAge16,"&lt;"&amp;L10,WeightedMinAge16),MAX(CapacityAge16*АбонементНовых*L10,MeanMinAge16)))</f>
        <v/>
      </c>
      <c r="M90" s="5">
        <f>IF(OR(('03_Сеть'!M38-M36)=0,16&lt;=КаникулыРоялти),0,('03_Сеть'!M38-M36)*IF(РоялтиПоГруппам="Да",MeanMinAge16+M10*SUMIF(ThresholdAge16,"&lt;"&amp;M10,WeightedRevAge16)-SUMIF(ThresholdAge16,"&lt;"&amp;M10,WeightedMinAge16),MAX(CapacityAge16*АбонементНовых*M10,MeanMinAge16)))</f>
        <v/>
      </c>
      <c r="N90" s="5">
        <f>IF(OR(('03_Сеть'!N38-N36)=0,16&lt;=КаникулыРоялти),0,('03_Сеть'!N38-N36)*IF(РоялтиПоГруппам="Да",MeanMinAge16+N10*SUMIF(ThresholdAge16,"&lt;"&amp;N10,WeightedRevAge16)-SUMIF(ThresholdAge16,"&lt;"&amp;N10,WeightedMinAge16),MAX(CapacityAge16*АбонементНовых*N10,MeanMinAge16)))</f>
        <v/>
      </c>
      <c r="O90" s="5">
        <f>IF(OR(('03_Сеть'!O38-O36)=0,16&lt;=КаникулыРоялти),0,('03_Сеть'!O38-O36)*IF(РоялтиПоГруппам="Да",MeanMinAge16+O10*SUMIF(ThresholdAge16,"&lt;"&amp;O10,WeightedRevAge16)-SUMIF(ThresholdAge16,"&lt;"&amp;O10,WeightedMinAge16),MAX(CapacityAge16*АбонементНовых*O10,MeanMinAge16)))</f>
        <v/>
      </c>
      <c r="P90" s="5">
        <f>IF(OR(('03_Сеть'!P38-P36)=0,16&lt;=КаникулыРоялти),0,('03_Сеть'!P38-P36)*IF(РоялтиПоГруппам="Да",MeanMinAge16+P10*SUMIF(ThresholdAge16,"&lt;"&amp;P10,WeightedRevAge16)-SUMIF(ThresholdAge16,"&lt;"&amp;P10,WeightedMinAge16),MAX(CapacityAge16*АбонементНовых*P10,MeanMinAge16)))</f>
        <v/>
      </c>
      <c r="Q90" s="5">
        <f>IF(OR(('03_Сеть'!Q38-Q36)=0,16&lt;=КаникулыРоялти),0,('03_Сеть'!Q38-Q36)*IF(РоялтиПоГруппам="Да",MeanMinAge16+Q10*SUMIF(ThresholdAge16,"&lt;"&amp;Q10,WeightedRevAge16)-SUMIF(ThresholdAge16,"&lt;"&amp;Q10,WeightedMinAge16),MAX(CapacityAge16*АбонементНовых*Q10,MeanMinAge16)))</f>
        <v/>
      </c>
      <c r="R90" s="5">
        <f>IF(OR(('03_Сеть'!R38-R36)=0,16&lt;=КаникулыРоялти),0,('03_Сеть'!R38-R36)*IF(РоялтиПоГруппам="Да",MeanMinAge16+R10*SUMIF(ThresholdAge16,"&lt;"&amp;R10,WeightedRevAge16)-SUMIF(ThresholdAge16,"&lt;"&amp;R10,WeightedMinAge16),MAX(CapacityAge16*АбонементНовых*R10,MeanMinAge16)))</f>
        <v/>
      </c>
      <c r="S90" s="5">
        <f>IF(OR(('03_Сеть'!S38-S36)=0,16&lt;=КаникулыРоялти),0,('03_Сеть'!S38-S36)*IF(РоялтиПоГруппам="Да",MeanMinAge16+S10*SUMIF(ThresholdAge16,"&lt;"&amp;S10,WeightedRevAge16)-SUMIF(ThresholdAge16,"&lt;"&amp;S10,WeightedMinAge16),MAX(CapacityAge16*АбонементНовых*S10,MeanMinAge16)))</f>
        <v/>
      </c>
      <c r="T90" s="5">
        <f>IF(OR(('03_Сеть'!T38-T36)=0,16&lt;=КаникулыРоялти),0,('03_Сеть'!T38-T36)*IF(РоялтиПоГруппам="Да",MeanMinAge16+T10*SUMIF(ThresholdAge16,"&lt;"&amp;T10,WeightedRevAge16)-SUMIF(ThresholdAge16,"&lt;"&amp;T10,WeightedMinAge16),MAX(CapacityAge16*АбонементНовых*T10,MeanMinAge16)))</f>
        <v/>
      </c>
      <c r="U90" s="5">
        <f>IF(OR(('03_Сеть'!U38-U36)=0,16&lt;=КаникулыРоялти),0,('03_Сеть'!U38-U36)*IF(РоялтиПоГруппам="Да",MeanMinAge16+U10*SUMIF(ThresholdAge16,"&lt;"&amp;U10,WeightedRevAge16)-SUMIF(ThresholdAge16,"&lt;"&amp;U10,WeightedMinAge16),MAX(CapacityAge16*АбонементНовых*U10,MeanMinAge16)))</f>
        <v/>
      </c>
      <c r="V90" s="5">
        <f>IF(OR(('03_Сеть'!V38-V36)=0,16&lt;=КаникулыРоялти),0,('03_Сеть'!V38-V36)*IF(РоялтиПоГруппам="Да",MeanMinAge16+V10*SUMIF(ThresholdAge16,"&lt;"&amp;V10,WeightedRevAge16)-SUMIF(ThresholdAge16,"&lt;"&amp;V10,WeightedMinAge16),MAX(CapacityAge16*АбонементНовых*V10,MeanMinAge16)))</f>
        <v/>
      </c>
      <c r="W90" s="5">
        <f>IF(OR(('03_Сеть'!W38-W36)=0,16&lt;=КаникулыРоялти),0,('03_Сеть'!W38-W36)*IF(РоялтиПоГруппам="Да",MeanMinAge16+W10*SUMIF(ThresholdAge16,"&lt;"&amp;W10,WeightedRevAge16)-SUMIF(ThresholdAge16,"&lt;"&amp;W10,WeightedMinAge16),MAX(CapacityAge16*АбонементНовых*W10,MeanMinAge16)))</f>
        <v/>
      </c>
      <c r="X90" s="5">
        <f>IF(OR(('03_Сеть'!X38-X36)=0,16&lt;=КаникулыРоялти),0,('03_Сеть'!X38-X36)*IF(РоялтиПоГруппам="Да",MeanMinAge16+X10*SUMIF(ThresholdAge16,"&lt;"&amp;X10,WeightedRevAge16)-SUMIF(ThresholdAge16,"&lt;"&amp;X10,WeightedMinAge16),MAX(CapacityAge16*АбонементНовых*X10,MeanMinAge16)))</f>
        <v/>
      </c>
      <c r="Y90" s="5">
        <f>IF(OR(('03_Сеть'!Y38-Y36)=0,16&lt;=КаникулыРоялти),0,('03_Сеть'!Y38-Y36)*IF(РоялтиПоГруппам="Да",MeanMinAge16+Y10*SUMIF(ThresholdAge16,"&lt;"&amp;Y10,WeightedRevAge16)-SUMIF(ThresholdAge16,"&lt;"&amp;Y10,WeightedMinAge16),MAX(CapacityAge16*АбонементНовых*Y10,MeanMinAge16)))</f>
        <v/>
      </c>
      <c r="Z90" s="5">
        <f>IF(OR(('03_Сеть'!Z38-Z36)=0,16&lt;=КаникулыРоялти),0,('03_Сеть'!Z38-Z36)*IF(РоялтиПоГруппам="Да",MeanMinAge16+Z10*SUMIF(ThresholdAge16,"&lt;"&amp;Z10,WeightedRevAge16)-SUMIF(ThresholdAge16,"&lt;"&amp;Z10,WeightedMinAge16),MAX(CapacityAge16*АбонементНовых*Z10,MeanMinAge16)))</f>
        <v/>
      </c>
      <c r="AA90" s="5">
        <f>IF(OR(('03_Сеть'!AA38-AA36)=0,16&lt;=КаникулыРоялти),0,('03_Сеть'!AA38-AA36)*IF(РоялтиПоГруппам="Да",MeanMinAge16+AA10*SUMIF(ThresholdAge16,"&lt;"&amp;AA10,WeightedRevAge16)-SUMIF(ThresholdAge16,"&lt;"&amp;AA10,WeightedMinAge16),MAX(CapacityAge16*АбонементНовых*AA10,MeanMinAge16)))</f>
        <v/>
      </c>
      <c r="AB90" s="5">
        <f>IF(OR(('03_Сеть'!AB38-AB36)=0,16&lt;=КаникулыРоялти),0,('03_Сеть'!AB38-AB36)*IF(РоялтиПоГруппам="Да",MeanMinAge16+AB10*SUMIF(ThresholdAge16,"&lt;"&amp;AB10,WeightedRevAge16)-SUMIF(ThresholdAge16,"&lt;"&amp;AB10,WeightedMinAge16),MAX(CapacityAge16*АбонементНовых*AB10,MeanMinAge16)))</f>
        <v/>
      </c>
      <c r="AC90" s="5">
        <f>IF(OR(('03_Сеть'!AC38-AC36)=0,16&lt;=КаникулыРоялти),0,('03_Сеть'!AC38-AC36)*IF(РоялтиПоГруппам="Да",MeanMinAge16+AC10*SUMIF(ThresholdAge16,"&lt;"&amp;AC10,WeightedRevAge16)-SUMIF(ThresholdAge16,"&lt;"&amp;AC10,WeightedMinAge16),MAX(CapacityAge16*АбонементНовых*AC10,MeanMinAge16)))</f>
        <v/>
      </c>
      <c r="AD90" s="5">
        <f>IF(OR(('03_Сеть'!AD38-AD36)=0,16&lt;=КаникулыРоялти),0,('03_Сеть'!AD38-AD36)*IF(РоялтиПоГруппам="Да",MeanMinAge16+AD10*SUMIF(ThresholdAge16,"&lt;"&amp;AD10,WeightedRevAge16)-SUMIF(ThresholdAge16,"&lt;"&amp;AD10,WeightedMinAge16),MAX(CapacityAge16*АбонементНовых*AD10,MeanMinAge16)))</f>
        <v/>
      </c>
      <c r="AE90" s="5">
        <f>IF(OR(('03_Сеть'!AE38-AE36)=0,16&lt;=КаникулыРоялти),0,('03_Сеть'!AE38-AE36)*IF(РоялтиПоГруппам="Да",MeanMinAge16+AE10*SUMIF(ThresholdAge16,"&lt;"&amp;AE10,WeightedRevAge16)-SUMIF(ThresholdAge16,"&lt;"&amp;AE10,WeightedMinAge16),MAX(CapacityAge16*АбонементНовых*AE10,MeanMinAge16)))</f>
        <v/>
      </c>
      <c r="AF90" s="5">
        <f>IF(OR(('03_Сеть'!AF38-AF36)=0,16&lt;=КаникулыРоялти),0,('03_Сеть'!AF38-AF36)*IF(РоялтиПоГруппам="Да",MeanMinAge16+AF10*SUMIF(ThresholdAge16,"&lt;"&amp;AF10,WeightedRevAge16)-SUMIF(ThresholdAge16,"&lt;"&amp;AF10,WeightedMinAge16),MAX(CapacityAge16*АбонементНовых*AF10,MeanMinAge16)))</f>
        <v/>
      </c>
      <c r="AG90" s="5">
        <f>IF(OR(('03_Сеть'!AG38-AG36)=0,16&lt;=КаникулыРоялти),0,('03_Сеть'!AG38-AG36)*IF(РоялтиПоГруппам="Да",MeanMinAge16+AG10*SUMIF(ThresholdAge16,"&lt;"&amp;AG10,WeightedRevAge16)-SUMIF(ThresholdAge16,"&lt;"&amp;AG10,WeightedMinAge16),MAX(CapacityAge16*АбонементНовых*AG10,MeanMinAge16)))</f>
        <v/>
      </c>
      <c r="AH90" s="5">
        <f>IF(OR(('03_Сеть'!AH38-AH36)=0,16&lt;=КаникулыРоялти),0,('03_Сеть'!AH38-AH36)*IF(РоялтиПоГруппам="Да",MeanMinAge16+AH10*SUMIF(ThresholdAge16,"&lt;"&amp;AH10,WeightedRevAge16)-SUMIF(ThresholdAge16,"&lt;"&amp;AH10,WeightedMinAge16),MAX(CapacityAge16*АбонементНовых*AH10,MeanMinAge16)))</f>
        <v/>
      </c>
      <c r="AI90" s="5">
        <f>IF(OR(('03_Сеть'!AI38-AI36)=0,16&lt;=КаникулыРоялти),0,('03_Сеть'!AI38-AI36)*IF(РоялтиПоГруппам="Да",MeanMinAge16+AI10*SUMIF(ThresholdAge16,"&lt;"&amp;AI10,WeightedRevAge16)-SUMIF(ThresholdAge16,"&lt;"&amp;AI10,WeightedMinAge16),MAX(CapacityAge16*АбонементНовых*AI10,MeanMinAge16)))</f>
        <v/>
      </c>
      <c r="AJ90" s="5">
        <f>IF(OR(('03_Сеть'!AJ38-AJ36)=0,16&lt;=КаникулыРоялти),0,('03_Сеть'!AJ38-AJ36)*IF(РоялтиПоГруппам="Да",MeanMinAge16+AJ10*SUMIF(ThresholdAge16,"&lt;"&amp;AJ10,WeightedRevAge16)-SUMIF(ThresholdAge16,"&lt;"&amp;AJ10,WeightedMinAge16),MAX(CapacityAge16*АбонементНовых*AJ10,MeanMinAge16)))</f>
        <v/>
      </c>
      <c r="AK90" s="5">
        <f>IF(OR(('03_Сеть'!AK38-AK36)=0,16&lt;=КаникулыРоялти),0,('03_Сеть'!AK38-AK36)*IF(РоялтиПоГруппам="Да",MeanMinAge16+AK10*SUMIF(ThresholdAge16,"&lt;"&amp;AK10,WeightedRevAge16)-SUMIF(ThresholdAge16,"&lt;"&amp;AK10,WeightedMinAge16),MAX(CapacityAge16*АбонементНовых*AK10,MeanMinAge16)))</f>
        <v/>
      </c>
      <c r="AL90" s="5">
        <f>IF(OR(('03_Сеть'!AL38-AL36)=0,16&lt;=КаникулыРоялти),0,('03_Сеть'!AL38-AL36)*IF(РоялтиПоГруппам="Да",MeanMinAge16+AL10*SUMIF(ThresholdAge16,"&lt;"&amp;AL10,WeightedRevAge16)-SUMIF(ThresholdAge16,"&lt;"&amp;AL10,WeightedMinAge16),MAX(CapacityAge16*АбонементНовых*AL10,MeanMinAge16)))</f>
        <v/>
      </c>
      <c r="AM90" s="5">
        <f>IF(OR(('03_Сеть'!AM38-AM36)=0,16&lt;=КаникулыРоялти),0,('03_Сеть'!AM38-AM36)*IF(РоялтиПоГруппам="Да",MeanMinAge16+AM10*SUMIF(ThresholdAge16,"&lt;"&amp;AM10,WeightedRevAge16)-SUMIF(ThresholdAge16,"&lt;"&amp;AM10,WeightedMinAge16),MAX(CapacityAge16*АбонементНовых*AM10,MeanMinAge16)))</f>
        <v/>
      </c>
      <c r="AN90" s="5">
        <f>IF(OR(('03_Сеть'!AN38-AN36)=0,16&lt;=КаникулыРоялти),0,('03_Сеть'!AN38-AN36)*IF(РоялтиПоГруппам="Да",MeanMinAge16+AN10*SUMIF(ThresholdAge16,"&lt;"&amp;AN10,WeightedRevAge16)-SUMIF(ThresholdAge16,"&lt;"&amp;AN10,WeightedMinAge16),MAX(CapacityAge16*АбонементНовых*AN10,MeanMinAge16)))</f>
        <v/>
      </c>
      <c r="AO90" s="5">
        <f>IF(OR(('03_Сеть'!AO38-AO36)=0,16&lt;=КаникулыРоялти),0,('03_Сеть'!AO38-AO36)*IF(РоялтиПоГруппам="Да",MeanMinAge16+AO10*SUMIF(ThresholdAge16,"&lt;"&amp;AO10,WeightedRevAge16)-SUMIF(ThresholdAge16,"&lt;"&amp;AO10,WeightedMinAge16),MAX(CapacityAge16*АбонементНовых*AO10,MeanMinAge16)))</f>
        <v/>
      </c>
      <c r="AP90" s="5">
        <f>IF(OR(('03_Сеть'!AP38-AP36)=0,16&lt;=КаникулыРоялти),0,('03_Сеть'!AP38-AP36)*IF(РоялтиПоГруппам="Да",MeanMinAge16+AP10*SUMIF(ThresholdAge16,"&lt;"&amp;AP10,WeightedRevAge16)-SUMIF(ThresholdAge16,"&lt;"&amp;AP10,WeightedMinAge16),MAX(CapacityAge16*АбонементНовых*AP10,MeanMinAge16)))</f>
        <v/>
      </c>
      <c r="AQ90" s="5">
        <f>IF(OR(('03_Сеть'!AQ38-AQ36)=0,16&lt;=КаникулыРоялти),0,('03_Сеть'!AQ38-AQ36)*IF(РоялтиПоГруппам="Да",MeanMinAge16+AQ10*SUMIF(ThresholdAge16,"&lt;"&amp;AQ10,WeightedRevAge16)-SUMIF(ThresholdAge16,"&lt;"&amp;AQ10,WeightedMinAge16),MAX(CapacityAge16*АбонементНовых*AQ10,MeanMinAge16)))</f>
        <v/>
      </c>
      <c r="AR90" s="5">
        <f>IF(OR(('03_Сеть'!AR38-AR36)=0,16&lt;=КаникулыРоялти),0,('03_Сеть'!AR38-AR36)*IF(РоялтиПоГруппам="Да",MeanMinAge16+AR10*SUMIF(ThresholdAge16,"&lt;"&amp;AR10,WeightedRevAge16)-SUMIF(ThresholdAge16,"&lt;"&amp;AR10,WeightedMinAge16),MAX(CapacityAge16*АбонементНовых*AR10,MeanMinAge16)))</f>
        <v/>
      </c>
      <c r="AS90" s="5">
        <f>IF(OR(('03_Сеть'!AS38-AS36)=0,16&lt;=КаникулыРоялти),0,('03_Сеть'!AS38-AS36)*IF(РоялтиПоГруппам="Да",MeanMinAge16+AS10*SUMIF(ThresholdAge16,"&lt;"&amp;AS10,WeightedRevAge16)-SUMIF(ThresholdAge16,"&lt;"&amp;AS10,WeightedMinAge16),MAX(CapacityAge16*АбонементНовых*AS10,MeanMinAge16)))</f>
        <v/>
      </c>
      <c r="AT90" s="5">
        <f>IF(OR(('03_Сеть'!AT38-AT36)=0,16&lt;=КаникулыРоялти),0,('03_Сеть'!AT38-AT36)*IF(РоялтиПоГруппам="Да",MeanMinAge16+AT10*SUMIF(ThresholdAge16,"&lt;"&amp;AT10,WeightedRevAge16)-SUMIF(ThresholdAge16,"&lt;"&amp;AT10,WeightedMinAge16),MAX(CapacityAge16*АбонементНовых*AT10,MeanMinAge16)))</f>
        <v/>
      </c>
      <c r="AU90" s="5">
        <f>IF(OR(('03_Сеть'!AU38-AU36)=0,16&lt;=КаникулыРоялти),0,('03_Сеть'!AU38-AU36)*IF(РоялтиПоГруппам="Да",MeanMinAge16+AU10*SUMIF(ThresholdAge16,"&lt;"&amp;AU10,WeightedRevAge16)-SUMIF(ThresholdAge16,"&lt;"&amp;AU10,WeightedMinAge16),MAX(CapacityAge16*АбонементНовых*AU10,MeanMinAge16)))</f>
        <v/>
      </c>
      <c r="AV90" s="5">
        <f>IF(OR(('03_Сеть'!AV38-AV36)=0,16&lt;=КаникулыРоялти),0,('03_Сеть'!AV38-AV36)*IF(РоялтиПоГруппам="Да",MeanMinAge16+AV10*SUMIF(ThresholdAge16,"&lt;"&amp;AV10,WeightedRevAge16)-SUMIF(ThresholdAge16,"&lt;"&amp;AV10,WeightedMinAge16),MAX(CapacityAge16*АбонементНовых*AV10,MeanMinAge16)))</f>
        <v/>
      </c>
      <c r="AW90" s="5">
        <f>IF(OR(('03_Сеть'!AW38-AW36)=0,16&lt;=КаникулыРоялти),0,('03_Сеть'!AW38-AW36)*IF(РоялтиПоГруппам="Да",MeanMinAge16+AW10*SUMIF(ThresholdAge16,"&lt;"&amp;AW10,WeightedRevAge16)-SUMIF(ThresholdAge16,"&lt;"&amp;AW10,WeightedMinAge16),MAX(CapacityAge16*АбонементНовых*AW10,MeanMinAge16)))</f>
        <v/>
      </c>
      <c r="AX90" s="5">
        <f>IF(OR(('03_Сеть'!AX38-AX36)=0,16&lt;=КаникулыРоялти),0,('03_Сеть'!AX38-AX36)*IF(РоялтиПоГруппам="Да",MeanMinAge16+AX10*SUMIF(ThresholdAge16,"&lt;"&amp;AX10,WeightedRevAge16)-SUMIF(ThresholdAge16,"&lt;"&amp;AX10,WeightedMinAge16),MAX(CapacityAge16*АбонементНовых*AX10,MeanMinAge16)))</f>
        <v/>
      </c>
      <c r="AY90" s="5">
        <f>IF(OR(('03_Сеть'!AY38-AY36)=0,16&lt;=КаникулыРоялти),0,('03_Сеть'!AY38-AY36)*IF(РоялтиПоГруппам="Да",MeanMinAge16+AY10*SUMIF(ThresholdAge16,"&lt;"&amp;AY10,WeightedRevAge16)-SUMIF(ThresholdAge16,"&lt;"&amp;AY10,WeightedMinAge16),MAX(CapacityAge16*АбонементНовых*AY10,MeanMinAge16)))</f>
        <v/>
      </c>
      <c r="AZ90" s="5">
        <f>IF(OR(('03_Сеть'!AZ38-AZ36)=0,16&lt;=КаникулыРоялти),0,('03_Сеть'!AZ38-AZ36)*IF(РоялтиПоГруппам="Да",MeanMinAge16+AZ10*SUMIF(ThresholdAge16,"&lt;"&amp;AZ10,WeightedRevAge16)-SUMIF(ThresholdAge16,"&lt;"&amp;AZ10,WeightedMinAge16),MAX(CapacityAge16*АбонементНовых*AZ10,MeanMinAge16)))</f>
        <v/>
      </c>
      <c r="BA90" s="5">
        <f>IF(OR(('03_Сеть'!BA38-BA36)=0,16&lt;=КаникулыРоялти),0,('03_Сеть'!BA38-BA36)*IF(РоялтиПоГруппам="Да",MeanMinAge16+BA10*SUMIF(ThresholdAge16,"&lt;"&amp;BA10,WeightedRevAge16)-SUMIF(ThresholdAge16,"&lt;"&amp;BA10,WeightedMinAge16),MAX(CapacityAge16*АбонементНовых*BA10,MeanMinAge16)))</f>
        <v/>
      </c>
      <c r="BB90" s="5">
        <f>IF(OR(('03_Сеть'!BB38-BB36)=0,16&lt;=КаникулыРоялти),0,('03_Сеть'!BB38-BB36)*IF(РоялтиПоГруппам="Да",MeanMinAge16+BB10*SUMIF(ThresholdAge16,"&lt;"&amp;BB10,WeightedRevAge16)-SUMIF(ThresholdAge16,"&lt;"&amp;BB10,WeightedMinAge16),MAX(CapacityAge16*АбонементНовых*BB10,MeanMinAge16)))</f>
        <v/>
      </c>
      <c r="BC90" s="5">
        <f>IF(OR(('03_Сеть'!BC38-BC36)=0,16&lt;=КаникулыРоялти),0,('03_Сеть'!BC38-BC36)*IF(РоялтиПоГруппам="Да",MeanMinAge16+BC10*SUMIF(ThresholdAge16,"&lt;"&amp;BC10,WeightedRevAge16)-SUMIF(ThresholdAge16,"&lt;"&amp;BC10,WeightedMinAge16),MAX(CapacityAge16*АбонементНовых*BC10,MeanMinAge16)))</f>
        <v/>
      </c>
      <c r="BD90" s="5">
        <f>IF(OR(('03_Сеть'!BD38-BD36)=0,16&lt;=КаникулыРоялти),0,('03_Сеть'!BD38-BD36)*IF(РоялтиПоГруппам="Да",MeanMinAge16+BD10*SUMIF(ThresholdAge16,"&lt;"&amp;BD10,WeightedRevAge16)-SUMIF(ThresholdAge16,"&lt;"&amp;BD10,WeightedMinAge16),MAX(CapacityAge16*АбонементНовых*BD10,MeanMinAge16)))</f>
        <v/>
      </c>
      <c r="BE90" s="5">
        <f>IF(OR(('03_Сеть'!BE38-BE36)=0,16&lt;=КаникулыРоялти),0,('03_Сеть'!BE38-BE36)*IF(РоялтиПоГруппам="Да",MeanMinAge16+BE10*SUMIF(ThresholdAge16,"&lt;"&amp;BE10,WeightedRevAge16)-SUMIF(ThresholdAge16,"&lt;"&amp;BE10,WeightedMinAge16),MAX(CapacityAge16*АбонементНовых*BE10,MeanMinAge16)))</f>
        <v/>
      </c>
      <c r="BF90" s="5">
        <f>IF(OR(('03_Сеть'!BF38-BF36)=0,16&lt;=КаникулыРоялти),0,('03_Сеть'!BF38-BF36)*IF(РоялтиПоГруппам="Да",MeanMinAge16+BF10*SUMIF(ThresholdAge16,"&lt;"&amp;BF10,WeightedRevAge16)-SUMIF(ThresholdAge16,"&lt;"&amp;BF10,WeightedMinAge16),MAX(CapacityAge16*АбонементНовых*BF10,MeanMinAge16)))</f>
        <v/>
      </c>
      <c r="BG90" s="5">
        <f>IF(OR(('03_Сеть'!BG38-BG36)=0,16&lt;=КаникулыРоялти),0,('03_Сеть'!BG38-BG36)*IF(РоялтиПоГруппам="Да",MeanMinAge16+BG10*SUMIF(ThresholdAge16,"&lt;"&amp;BG10,WeightedRevAge16)-SUMIF(ThresholdAge16,"&lt;"&amp;BG10,WeightedMinAge16),MAX(CapacityAge16*АбонементНовых*BG10,MeanMinAge16)))</f>
        <v/>
      </c>
      <c r="BH90" s="5">
        <f>IF(OR(('03_Сеть'!BH38-BH36)=0,16&lt;=КаникулыРоялти),0,('03_Сеть'!BH38-BH36)*IF(РоялтиПоГруппам="Да",MeanMinAge16+BH10*SUMIF(ThresholdAge16,"&lt;"&amp;BH10,WeightedRevAge16)-SUMIF(ThresholdAge16,"&lt;"&amp;BH10,WeightedMinAge16),MAX(CapacityAge16*АбонементНовых*BH10,MeanMinAge16)))</f>
        <v/>
      </c>
      <c r="BI90" s="5">
        <f>IF(OR(('03_Сеть'!BI38-BI36)=0,16&lt;=КаникулыРоялти),0,('03_Сеть'!BI38-BI36)*IF(РоялтиПоГруппам="Да",MeanMinAge16+BI10*SUMIF(ThresholdAge16,"&lt;"&amp;BI10,WeightedRevAge16)-SUMIF(ThresholdAge16,"&lt;"&amp;BI10,WeightedMinAge16),MAX(CapacityAge16*АбонементНовых*BI10,MeanMinAge16)))</f>
        <v/>
      </c>
      <c r="BJ90" s="5">
        <f>IF(OR(('03_Сеть'!BJ38-BJ36)=0,16&lt;=КаникулыРоялти),0,('03_Сеть'!BJ38-BJ36)*IF(РоялтиПоГруппам="Да",MeanMinAge16+BJ10*SUMIF(ThresholdAge16,"&lt;"&amp;BJ10,WeightedRevAge16)-SUMIF(ThresholdAge16,"&lt;"&amp;BJ10,WeightedMinAge16),MAX(CapacityAge16*АбонементНовых*BJ10,MeanMinAge16)))</f>
        <v/>
      </c>
      <c r="BK90" s="5">
        <f>IF(OR(('03_Сеть'!BK38-BK36)=0,16&lt;=КаникулыРоялти),0,('03_Сеть'!BK38-BK36)*IF(РоялтиПоГруппам="Да",MeanMinAge16+BK10*SUMIF(ThresholdAge16,"&lt;"&amp;BK10,WeightedRevAge16)-SUMIF(ThresholdAge16,"&lt;"&amp;BK10,WeightedMinAge16),MAX(CapacityAge16*АбонементНовых*BK10,MeanMinAge16)))</f>
        <v/>
      </c>
      <c r="BL90" s="5">
        <f>IF(OR(('03_Сеть'!BL38-BL36)=0,16&lt;=КаникулыРоялти),0,('03_Сеть'!BL38-BL36)*IF(РоялтиПоГруппам="Да",MeanMinAge16+BL10*SUMIF(ThresholdAge16,"&lt;"&amp;BL10,WeightedRevAge16)-SUMIF(ThresholdAge16,"&lt;"&amp;BL10,WeightedMinAge16),MAX(CapacityAge16*АбонементНовых*BL10,MeanMinAge16)))</f>
        <v/>
      </c>
      <c r="BM90" s="5">
        <f>IF(OR(('03_Сеть'!BM38-BM36)=0,16&lt;=КаникулыРоялти),0,('03_Сеть'!BM38-BM36)*IF(РоялтиПоГруппам="Да",MeanMinAge16+BM10*SUMIF(ThresholdAge16,"&lt;"&amp;BM10,WeightedRevAge16)-SUMIF(ThresholdAge16,"&lt;"&amp;BM10,WeightedMinAge16),MAX(CapacityAge16*АбонементНовых*BM10,MeanMinAge16)))</f>
        <v/>
      </c>
      <c r="BN90" s="5">
        <f>IF(OR(('03_Сеть'!BN38-BN36)=0,16&lt;=КаникулыРоялти),0,('03_Сеть'!BN38-BN36)*IF(РоялтиПоГруппам="Да",MeanMinAge16+BN10*SUMIF(ThresholdAge16,"&lt;"&amp;BN10,WeightedRevAge16)-SUMIF(ThresholdAge16,"&lt;"&amp;BN10,WeightedMinAge16),MAX(CapacityAge16*АбонементНовых*BN10,MeanMinAge16)))</f>
        <v/>
      </c>
      <c r="BO90" s="5">
        <f>IF(OR(('03_Сеть'!BO38-BO36)=0,16&lt;=КаникулыРоялти),0,('03_Сеть'!BO38-BO36)*IF(РоялтиПоГруппам="Да",MeanMinAge16+BO10*SUMIF(ThresholdAge16,"&lt;"&amp;BO10,WeightedRevAge16)-SUMIF(ThresholdAge16,"&lt;"&amp;BO10,WeightedMinAge16),MAX(CapacityAge16*АбонементНовых*BO10,MeanMinAge16)))</f>
        <v/>
      </c>
      <c r="BP90" s="5">
        <f>IF(OR(('03_Сеть'!BP38-BP36)=0,16&lt;=КаникулыРоялти),0,('03_Сеть'!BP38-BP36)*IF(РоялтиПоГруппам="Да",MeanMinAge16+BP10*SUMIF(ThresholdAge16,"&lt;"&amp;BP10,WeightedRevAge16)-SUMIF(ThresholdAge16,"&lt;"&amp;BP10,WeightedMinAge16),MAX(CapacityAge16*АбонементНовых*BP10,MeanMinAge16)))</f>
        <v/>
      </c>
      <c r="BQ90" s="5">
        <f>IF(OR(('03_Сеть'!BQ38-BQ36)=0,16&lt;=КаникулыРоялти),0,('03_Сеть'!BQ38-BQ36)*IF(РоялтиПоГруппам="Да",MeanMinAge16+BQ10*SUMIF(ThresholdAge16,"&lt;"&amp;BQ10,WeightedRevAge16)-SUMIF(ThresholdAge16,"&lt;"&amp;BQ10,WeightedMinAge16),MAX(CapacityAge16*АбонементНовых*BQ10,MeanMinAge16)))</f>
        <v/>
      </c>
      <c r="BR90" s="5">
        <f>IF(OR(('03_Сеть'!BR38-BR36)=0,16&lt;=КаникулыРоялти),0,('03_Сеть'!BR38-BR36)*IF(РоялтиПоГруппам="Да",MeanMinAge16+BR10*SUMIF(ThresholdAge16,"&lt;"&amp;BR10,WeightedRevAge16)-SUMIF(ThresholdAge16,"&lt;"&amp;BR10,WeightedMinAge16),MAX(CapacityAge16*АбонементНовых*BR10,MeanMinAge16)))</f>
        <v/>
      </c>
      <c r="BS90" s="5">
        <f>IF(OR(('03_Сеть'!BS38-BS36)=0,16&lt;=КаникулыРоялти),0,('03_Сеть'!BS38-BS36)*IF(РоялтиПоГруппам="Да",MeanMinAge16+BS10*SUMIF(ThresholdAge16,"&lt;"&amp;BS10,WeightedRevAge16)-SUMIF(ThresholdAge16,"&lt;"&amp;BS10,WeightedMinAge16),MAX(CapacityAge16*АбонементНовых*BS10,MeanMinAge16)))</f>
        <v/>
      </c>
      <c r="BT90" s="5">
        <f>IF(OR(('03_Сеть'!BT38-BT36)=0,16&lt;=КаникулыРоялти),0,('03_Сеть'!BT38-BT36)*IF(РоялтиПоГруппам="Да",MeanMinAge16+BT10*SUMIF(ThresholdAge16,"&lt;"&amp;BT10,WeightedRevAge16)-SUMIF(ThresholdAge16,"&lt;"&amp;BT10,WeightedMinAge16),MAX(CapacityAge16*АбонементНовых*BT10,MeanMinAge16)))</f>
        <v/>
      </c>
      <c r="BU90" s="5">
        <f>IF(OR(('03_Сеть'!BU38-BU36)=0,16&lt;=КаникулыРоялти),0,('03_Сеть'!BU38-BU36)*IF(РоялтиПоГруппам="Да",MeanMinAge16+BU10*SUMIF(ThresholdAge16,"&lt;"&amp;BU10,WeightedRevAge16)-SUMIF(ThresholdAge16,"&lt;"&amp;BU10,WeightedMinAge16),MAX(CapacityAge16*АбонементНовых*BU10,MeanMinAge16)))</f>
        <v/>
      </c>
      <c r="BV90" s="5">
        <f>IF(OR(('03_Сеть'!BV38-BV36)=0,16&lt;=КаникулыРоялти),0,('03_Сеть'!BV38-BV36)*IF(РоялтиПоГруппам="Да",MeanMinAge16+BV10*SUMIF(ThresholdAge16,"&lt;"&amp;BV10,WeightedRevAge16)-SUMIF(ThresholdAge16,"&lt;"&amp;BV10,WeightedMinAge16),MAX(CapacityAge16*АбонементНовых*BV10,MeanMinAge16)))</f>
        <v/>
      </c>
      <c r="BW90" s="5">
        <f>IF(OR(('03_Сеть'!BW38-BW36)=0,16&lt;=КаникулыРоялти),0,('03_Сеть'!BW38-BW36)*IF(РоялтиПоГруппам="Да",MeanMinAge16+BW10*SUMIF(ThresholdAge16,"&lt;"&amp;BW10,WeightedRevAge16)-SUMIF(ThresholdAge16,"&lt;"&amp;BW10,WeightedMinAge16),MAX(CapacityAge16*АбонементНовых*BW10,MeanMinAge16)))</f>
        <v/>
      </c>
      <c r="BX90" s="5">
        <f>IF(OR(('03_Сеть'!BX38-BX36)=0,16&lt;=КаникулыРоялти),0,('03_Сеть'!BX38-BX36)*IF(РоялтиПоГруппам="Да",MeanMinAge16+BX10*SUMIF(ThresholdAge16,"&lt;"&amp;BX10,WeightedRevAge16)-SUMIF(ThresholdAge16,"&lt;"&amp;BX10,WeightedMinAge16),MAX(CapacityAge16*АбонементНовых*BX10,MeanMinAge16)))</f>
        <v/>
      </c>
      <c r="BY90" s="5">
        <f>IF(OR(('03_Сеть'!BY38-BY36)=0,16&lt;=КаникулыРоялти),0,('03_Сеть'!BY38-BY36)*IF(РоялтиПоГруппам="Да",MeanMinAge16+BY10*SUMIF(ThresholdAge16,"&lt;"&amp;BY10,WeightedRevAge16)-SUMIF(ThresholdAge16,"&lt;"&amp;BY10,WeightedMinAge16),MAX(CapacityAge16*АбонементНовых*BY10,MeanMinAge16)))</f>
        <v/>
      </c>
    </row>
    <row r="91">
      <c r="B91" t="inlineStr">
        <is>
          <t>17 мес.</t>
        </is>
      </c>
      <c r="C91" t="inlineStr">
        <is>
          <t>₽</t>
        </is>
      </c>
      <c r="D91" s="127" t="inlineStr"/>
      <c r="E91" s="129">
        <f>SUM(L91:W91)</f>
        <v/>
      </c>
      <c r="F91" s="129">
        <f>SUM(X91:AI91)</f>
        <v/>
      </c>
      <c r="G91" s="129">
        <f>SUM(AJ91:AU91)</f>
        <v/>
      </c>
      <c r="H91" s="129">
        <f>SUM(AV91:BG91)</f>
        <v/>
      </c>
      <c r="I91" s="129">
        <f>SUM(BH91:BS91)</f>
        <v/>
      </c>
      <c r="J91" s="6">
        <f>SUM(L91:BS91)</f>
        <v/>
      </c>
      <c r="L91" s="5">
        <f>IF(OR(('03_Сеть'!L39-L37)=0,17&lt;=КаникулыРоялти),0,('03_Сеть'!L39-L37)*IF(РоялтиПоГруппам="Да",MeanMinAge17+L10*SUMIF(ThresholdAge17,"&lt;"&amp;L10,WeightedRevAge17)-SUMIF(ThresholdAge17,"&lt;"&amp;L10,WeightedMinAge17),MAX(CapacityAge17*АбонементНовых*L10,MeanMinAge17)))</f>
        <v/>
      </c>
      <c r="M91" s="5">
        <f>IF(OR(('03_Сеть'!M39-M37)=0,17&lt;=КаникулыРоялти),0,('03_Сеть'!M39-M37)*IF(РоялтиПоГруппам="Да",MeanMinAge17+M10*SUMIF(ThresholdAge17,"&lt;"&amp;M10,WeightedRevAge17)-SUMIF(ThresholdAge17,"&lt;"&amp;M10,WeightedMinAge17),MAX(CapacityAge17*АбонементНовых*M10,MeanMinAge17)))</f>
        <v/>
      </c>
      <c r="N91" s="5">
        <f>IF(OR(('03_Сеть'!N39-N37)=0,17&lt;=КаникулыРоялти),0,('03_Сеть'!N39-N37)*IF(РоялтиПоГруппам="Да",MeanMinAge17+N10*SUMIF(ThresholdAge17,"&lt;"&amp;N10,WeightedRevAge17)-SUMIF(ThresholdAge17,"&lt;"&amp;N10,WeightedMinAge17),MAX(CapacityAge17*АбонементНовых*N10,MeanMinAge17)))</f>
        <v/>
      </c>
      <c r="O91" s="5">
        <f>IF(OR(('03_Сеть'!O39-O37)=0,17&lt;=КаникулыРоялти),0,('03_Сеть'!O39-O37)*IF(РоялтиПоГруппам="Да",MeanMinAge17+O10*SUMIF(ThresholdAge17,"&lt;"&amp;O10,WeightedRevAge17)-SUMIF(ThresholdAge17,"&lt;"&amp;O10,WeightedMinAge17),MAX(CapacityAge17*АбонементНовых*O10,MeanMinAge17)))</f>
        <v/>
      </c>
      <c r="P91" s="5">
        <f>IF(OR(('03_Сеть'!P39-P37)=0,17&lt;=КаникулыРоялти),0,('03_Сеть'!P39-P37)*IF(РоялтиПоГруппам="Да",MeanMinAge17+P10*SUMIF(ThresholdAge17,"&lt;"&amp;P10,WeightedRevAge17)-SUMIF(ThresholdAge17,"&lt;"&amp;P10,WeightedMinAge17),MAX(CapacityAge17*АбонементНовых*P10,MeanMinAge17)))</f>
        <v/>
      </c>
      <c r="Q91" s="5">
        <f>IF(OR(('03_Сеть'!Q39-Q37)=0,17&lt;=КаникулыРоялти),0,('03_Сеть'!Q39-Q37)*IF(РоялтиПоГруппам="Да",MeanMinAge17+Q10*SUMIF(ThresholdAge17,"&lt;"&amp;Q10,WeightedRevAge17)-SUMIF(ThresholdAge17,"&lt;"&amp;Q10,WeightedMinAge17),MAX(CapacityAge17*АбонементНовых*Q10,MeanMinAge17)))</f>
        <v/>
      </c>
      <c r="R91" s="5">
        <f>IF(OR(('03_Сеть'!R39-R37)=0,17&lt;=КаникулыРоялти),0,('03_Сеть'!R39-R37)*IF(РоялтиПоГруппам="Да",MeanMinAge17+R10*SUMIF(ThresholdAge17,"&lt;"&amp;R10,WeightedRevAge17)-SUMIF(ThresholdAge17,"&lt;"&amp;R10,WeightedMinAge17),MAX(CapacityAge17*АбонементНовых*R10,MeanMinAge17)))</f>
        <v/>
      </c>
      <c r="S91" s="5">
        <f>IF(OR(('03_Сеть'!S39-S37)=0,17&lt;=КаникулыРоялти),0,('03_Сеть'!S39-S37)*IF(РоялтиПоГруппам="Да",MeanMinAge17+S10*SUMIF(ThresholdAge17,"&lt;"&amp;S10,WeightedRevAge17)-SUMIF(ThresholdAge17,"&lt;"&amp;S10,WeightedMinAge17),MAX(CapacityAge17*АбонементНовых*S10,MeanMinAge17)))</f>
        <v/>
      </c>
      <c r="T91" s="5">
        <f>IF(OR(('03_Сеть'!T39-T37)=0,17&lt;=КаникулыРоялти),0,('03_Сеть'!T39-T37)*IF(РоялтиПоГруппам="Да",MeanMinAge17+T10*SUMIF(ThresholdAge17,"&lt;"&amp;T10,WeightedRevAge17)-SUMIF(ThresholdAge17,"&lt;"&amp;T10,WeightedMinAge17),MAX(CapacityAge17*АбонементНовых*T10,MeanMinAge17)))</f>
        <v/>
      </c>
      <c r="U91" s="5">
        <f>IF(OR(('03_Сеть'!U39-U37)=0,17&lt;=КаникулыРоялти),0,('03_Сеть'!U39-U37)*IF(РоялтиПоГруппам="Да",MeanMinAge17+U10*SUMIF(ThresholdAge17,"&lt;"&amp;U10,WeightedRevAge17)-SUMIF(ThresholdAge17,"&lt;"&amp;U10,WeightedMinAge17),MAX(CapacityAge17*АбонементНовых*U10,MeanMinAge17)))</f>
        <v/>
      </c>
      <c r="V91" s="5">
        <f>IF(OR(('03_Сеть'!V39-V37)=0,17&lt;=КаникулыРоялти),0,('03_Сеть'!V39-V37)*IF(РоялтиПоГруппам="Да",MeanMinAge17+V10*SUMIF(ThresholdAge17,"&lt;"&amp;V10,WeightedRevAge17)-SUMIF(ThresholdAge17,"&lt;"&amp;V10,WeightedMinAge17),MAX(CapacityAge17*АбонементНовых*V10,MeanMinAge17)))</f>
        <v/>
      </c>
      <c r="W91" s="5">
        <f>IF(OR(('03_Сеть'!W39-W37)=0,17&lt;=КаникулыРоялти),0,('03_Сеть'!W39-W37)*IF(РоялтиПоГруппам="Да",MeanMinAge17+W10*SUMIF(ThresholdAge17,"&lt;"&amp;W10,WeightedRevAge17)-SUMIF(ThresholdAge17,"&lt;"&amp;W10,WeightedMinAge17),MAX(CapacityAge17*АбонементНовых*W10,MeanMinAge17)))</f>
        <v/>
      </c>
      <c r="X91" s="5">
        <f>IF(OR(('03_Сеть'!X39-X37)=0,17&lt;=КаникулыРоялти),0,('03_Сеть'!X39-X37)*IF(РоялтиПоГруппам="Да",MeanMinAge17+X10*SUMIF(ThresholdAge17,"&lt;"&amp;X10,WeightedRevAge17)-SUMIF(ThresholdAge17,"&lt;"&amp;X10,WeightedMinAge17),MAX(CapacityAge17*АбонементНовых*X10,MeanMinAge17)))</f>
        <v/>
      </c>
      <c r="Y91" s="5">
        <f>IF(OR(('03_Сеть'!Y39-Y37)=0,17&lt;=КаникулыРоялти),0,('03_Сеть'!Y39-Y37)*IF(РоялтиПоГруппам="Да",MeanMinAge17+Y10*SUMIF(ThresholdAge17,"&lt;"&amp;Y10,WeightedRevAge17)-SUMIF(ThresholdAge17,"&lt;"&amp;Y10,WeightedMinAge17),MAX(CapacityAge17*АбонементНовых*Y10,MeanMinAge17)))</f>
        <v/>
      </c>
      <c r="Z91" s="5">
        <f>IF(OR(('03_Сеть'!Z39-Z37)=0,17&lt;=КаникулыРоялти),0,('03_Сеть'!Z39-Z37)*IF(РоялтиПоГруппам="Да",MeanMinAge17+Z10*SUMIF(ThresholdAge17,"&lt;"&amp;Z10,WeightedRevAge17)-SUMIF(ThresholdAge17,"&lt;"&amp;Z10,WeightedMinAge17),MAX(CapacityAge17*АбонементНовых*Z10,MeanMinAge17)))</f>
        <v/>
      </c>
      <c r="AA91" s="5">
        <f>IF(OR(('03_Сеть'!AA39-AA37)=0,17&lt;=КаникулыРоялти),0,('03_Сеть'!AA39-AA37)*IF(РоялтиПоГруппам="Да",MeanMinAge17+AA10*SUMIF(ThresholdAge17,"&lt;"&amp;AA10,WeightedRevAge17)-SUMIF(ThresholdAge17,"&lt;"&amp;AA10,WeightedMinAge17),MAX(CapacityAge17*АбонементНовых*AA10,MeanMinAge17)))</f>
        <v/>
      </c>
      <c r="AB91" s="5">
        <f>IF(OR(('03_Сеть'!AB39-AB37)=0,17&lt;=КаникулыРоялти),0,('03_Сеть'!AB39-AB37)*IF(РоялтиПоГруппам="Да",MeanMinAge17+AB10*SUMIF(ThresholdAge17,"&lt;"&amp;AB10,WeightedRevAge17)-SUMIF(ThresholdAge17,"&lt;"&amp;AB10,WeightedMinAge17),MAX(CapacityAge17*АбонементНовых*AB10,MeanMinAge17)))</f>
        <v/>
      </c>
      <c r="AC91" s="5">
        <f>IF(OR(('03_Сеть'!AC39-AC37)=0,17&lt;=КаникулыРоялти),0,('03_Сеть'!AC39-AC37)*IF(РоялтиПоГруппам="Да",MeanMinAge17+AC10*SUMIF(ThresholdAge17,"&lt;"&amp;AC10,WeightedRevAge17)-SUMIF(ThresholdAge17,"&lt;"&amp;AC10,WeightedMinAge17),MAX(CapacityAge17*АбонементНовых*AC10,MeanMinAge17)))</f>
        <v/>
      </c>
      <c r="AD91" s="5">
        <f>IF(OR(('03_Сеть'!AD39-AD37)=0,17&lt;=КаникулыРоялти),0,('03_Сеть'!AD39-AD37)*IF(РоялтиПоГруппам="Да",MeanMinAge17+AD10*SUMIF(ThresholdAge17,"&lt;"&amp;AD10,WeightedRevAge17)-SUMIF(ThresholdAge17,"&lt;"&amp;AD10,WeightedMinAge17),MAX(CapacityAge17*АбонементНовых*AD10,MeanMinAge17)))</f>
        <v/>
      </c>
      <c r="AE91" s="5">
        <f>IF(OR(('03_Сеть'!AE39-AE37)=0,17&lt;=КаникулыРоялти),0,('03_Сеть'!AE39-AE37)*IF(РоялтиПоГруппам="Да",MeanMinAge17+AE10*SUMIF(ThresholdAge17,"&lt;"&amp;AE10,WeightedRevAge17)-SUMIF(ThresholdAge17,"&lt;"&amp;AE10,WeightedMinAge17),MAX(CapacityAge17*АбонементНовых*AE10,MeanMinAge17)))</f>
        <v/>
      </c>
      <c r="AF91" s="5">
        <f>IF(OR(('03_Сеть'!AF39-AF37)=0,17&lt;=КаникулыРоялти),0,('03_Сеть'!AF39-AF37)*IF(РоялтиПоГруппам="Да",MeanMinAge17+AF10*SUMIF(ThresholdAge17,"&lt;"&amp;AF10,WeightedRevAge17)-SUMIF(ThresholdAge17,"&lt;"&amp;AF10,WeightedMinAge17),MAX(CapacityAge17*АбонементНовых*AF10,MeanMinAge17)))</f>
        <v/>
      </c>
      <c r="AG91" s="5">
        <f>IF(OR(('03_Сеть'!AG39-AG37)=0,17&lt;=КаникулыРоялти),0,('03_Сеть'!AG39-AG37)*IF(РоялтиПоГруппам="Да",MeanMinAge17+AG10*SUMIF(ThresholdAge17,"&lt;"&amp;AG10,WeightedRevAge17)-SUMIF(ThresholdAge17,"&lt;"&amp;AG10,WeightedMinAge17),MAX(CapacityAge17*АбонементНовых*AG10,MeanMinAge17)))</f>
        <v/>
      </c>
      <c r="AH91" s="5">
        <f>IF(OR(('03_Сеть'!AH39-AH37)=0,17&lt;=КаникулыРоялти),0,('03_Сеть'!AH39-AH37)*IF(РоялтиПоГруппам="Да",MeanMinAge17+AH10*SUMIF(ThresholdAge17,"&lt;"&amp;AH10,WeightedRevAge17)-SUMIF(ThresholdAge17,"&lt;"&amp;AH10,WeightedMinAge17),MAX(CapacityAge17*АбонементНовых*AH10,MeanMinAge17)))</f>
        <v/>
      </c>
      <c r="AI91" s="5">
        <f>IF(OR(('03_Сеть'!AI39-AI37)=0,17&lt;=КаникулыРоялти),0,('03_Сеть'!AI39-AI37)*IF(РоялтиПоГруппам="Да",MeanMinAge17+AI10*SUMIF(ThresholdAge17,"&lt;"&amp;AI10,WeightedRevAge17)-SUMIF(ThresholdAge17,"&lt;"&amp;AI10,WeightedMinAge17),MAX(CapacityAge17*АбонементНовых*AI10,MeanMinAge17)))</f>
        <v/>
      </c>
      <c r="AJ91" s="5">
        <f>IF(OR(('03_Сеть'!AJ39-AJ37)=0,17&lt;=КаникулыРоялти),0,('03_Сеть'!AJ39-AJ37)*IF(РоялтиПоГруппам="Да",MeanMinAge17+AJ10*SUMIF(ThresholdAge17,"&lt;"&amp;AJ10,WeightedRevAge17)-SUMIF(ThresholdAge17,"&lt;"&amp;AJ10,WeightedMinAge17),MAX(CapacityAge17*АбонементНовых*AJ10,MeanMinAge17)))</f>
        <v/>
      </c>
      <c r="AK91" s="5">
        <f>IF(OR(('03_Сеть'!AK39-AK37)=0,17&lt;=КаникулыРоялти),0,('03_Сеть'!AK39-AK37)*IF(РоялтиПоГруппам="Да",MeanMinAge17+AK10*SUMIF(ThresholdAge17,"&lt;"&amp;AK10,WeightedRevAge17)-SUMIF(ThresholdAge17,"&lt;"&amp;AK10,WeightedMinAge17),MAX(CapacityAge17*АбонементНовых*AK10,MeanMinAge17)))</f>
        <v/>
      </c>
      <c r="AL91" s="5">
        <f>IF(OR(('03_Сеть'!AL39-AL37)=0,17&lt;=КаникулыРоялти),0,('03_Сеть'!AL39-AL37)*IF(РоялтиПоГруппам="Да",MeanMinAge17+AL10*SUMIF(ThresholdAge17,"&lt;"&amp;AL10,WeightedRevAge17)-SUMIF(ThresholdAge17,"&lt;"&amp;AL10,WeightedMinAge17),MAX(CapacityAge17*АбонементНовых*AL10,MeanMinAge17)))</f>
        <v/>
      </c>
      <c r="AM91" s="5">
        <f>IF(OR(('03_Сеть'!AM39-AM37)=0,17&lt;=КаникулыРоялти),0,('03_Сеть'!AM39-AM37)*IF(РоялтиПоГруппам="Да",MeanMinAge17+AM10*SUMIF(ThresholdAge17,"&lt;"&amp;AM10,WeightedRevAge17)-SUMIF(ThresholdAge17,"&lt;"&amp;AM10,WeightedMinAge17),MAX(CapacityAge17*АбонементНовых*AM10,MeanMinAge17)))</f>
        <v/>
      </c>
      <c r="AN91" s="5">
        <f>IF(OR(('03_Сеть'!AN39-AN37)=0,17&lt;=КаникулыРоялти),0,('03_Сеть'!AN39-AN37)*IF(РоялтиПоГруппам="Да",MeanMinAge17+AN10*SUMIF(ThresholdAge17,"&lt;"&amp;AN10,WeightedRevAge17)-SUMIF(ThresholdAge17,"&lt;"&amp;AN10,WeightedMinAge17),MAX(CapacityAge17*АбонементНовых*AN10,MeanMinAge17)))</f>
        <v/>
      </c>
      <c r="AO91" s="5">
        <f>IF(OR(('03_Сеть'!AO39-AO37)=0,17&lt;=КаникулыРоялти),0,('03_Сеть'!AO39-AO37)*IF(РоялтиПоГруппам="Да",MeanMinAge17+AO10*SUMIF(ThresholdAge17,"&lt;"&amp;AO10,WeightedRevAge17)-SUMIF(ThresholdAge17,"&lt;"&amp;AO10,WeightedMinAge17),MAX(CapacityAge17*АбонементНовых*AO10,MeanMinAge17)))</f>
        <v/>
      </c>
      <c r="AP91" s="5">
        <f>IF(OR(('03_Сеть'!AP39-AP37)=0,17&lt;=КаникулыРоялти),0,('03_Сеть'!AP39-AP37)*IF(РоялтиПоГруппам="Да",MeanMinAge17+AP10*SUMIF(ThresholdAge17,"&lt;"&amp;AP10,WeightedRevAge17)-SUMIF(ThresholdAge17,"&lt;"&amp;AP10,WeightedMinAge17),MAX(CapacityAge17*АбонементНовых*AP10,MeanMinAge17)))</f>
        <v/>
      </c>
      <c r="AQ91" s="5">
        <f>IF(OR(('03_Сеть'!AQ39-AQ37)=0,17&lt;=КаникулыРоялти),0,('03_Сеть'!AQ39-AQ37)*IF(РоялтиПоГруппам="Да",MeanMinAge17+AQ10*SUMIF(ThresholdAge17,"&lt;"&amp;AQ10,WeightedRevAge17)-SUMIF(ThresholdAge17,"&lt;"&amp;AQ10,WeightedMinAge17),MAX(CapacityAge17*АбонементНовых*AQ10,MeanMinAge17)))</f>
        <v/>
      </c>
      <c r="AR91" s="5">
        <f>IF(OR(('03_Сеть'!AR39-AR37)=0,17&lt;=КаникулыРоялти),0,('03_Сеть'!AR39-AR37)*IF(РоялтиПоГруппам="Да",MeanMinAge17+AR10*SUMIF(ThresholdAge17,"&lt;"&amp;AR10,WeightedRevAge17)-SUMIF(ThresholdAge17,"&lt;"&amp;AR10,WeightedMinAge17),MAX(CapacityAge17*АбонементНовых*AR10,MeanMinAge17)))</f>
        <v/>
      </c>
      <c r="AS91" s="5">
        <f>IF(OR(('03_Сеть'!AS39-AS37)=0,17&lt;=КаникулыРоялти),0,('03_Сеть'!AS39-AS37)*IF(РоялтиПоГруппам="Да",MeanMinAge17+AS10*SUMIF(ThresholdAge17,"&lt;"&amp;AS10,WeightedRevAge17)-SUMIF(ThresholdAge17,"&lt;"&amp;AS10,WeightedMinAge17),MAX(CapacityAge17*АбонементНовых*AS10,MeanMinAge17)))</f>
        <v/>
      </c>
      <c r="AT91" s="5">
        <f>IF(OR(('03_Сеть'!AT39-AT37)=0,17&lt;=КаникулыРоялти),0,('03_Сеть'!AT39-AT37)*IF(РоялтиПоГруппам="Да",MeanMinAge17+AT10*SUMIF(ThresholdAge17,"&lt;"&amp;AT10,WeightedRevAge17)-SUMIF(ThresholdAge17,"&lt;"&amp;AT10,WeightedMinAge17),MAX(CapacityAge17*АбонементНовых*AT10,MeanMinAge17)))</f>
        <v/>
      </c>
      <c r="AU91" s="5">
        <f>IF(OR(('03_Сеть'!AU39-AU37)=0,17&lt;=КаникулыРоялти),0,('03_Сеть'!AU39-AU37)*IF(РоялтиПоГруппам="Да",MeanMinAge17+AU10*SUMIF(ThresholdAge17,"&lt;"&amp;AU10,WeightedRevAge17)-SUMIF(ThresholdAge17,"&lt;"&amp;AU10,WeightedMinAge17),MAX(CapacityAge17*АбонементНовых*AU10,MeanMinAge17)))</f>
        <v/>
      </c>
      <c r="AV91" s="5">
        <f>IF(OR(('03_Сеть'!AV39-AV37)=0,17&lt;=КаникулыРоялти),0,('03_Сеть'!AV39-AV37)*IF(РоялтиПоГруппам="Да",MeanMinAge17+AV10*SUMIF(ThresholdAge17,"&lt;"&amp;AV10,WeightedRevAge17)-SUMIF(ThresholdAge17,"&lt;"&amp;AV10,WeightedMinAge17),MAX(CapacityAge17*АбонементНовых*AV10,MeanMinAge17)))</f>
        <v/>
      </c>
      <c r="AW91" s="5">
        <f>IF(OR(('03_Сеть'!AW39-AW37)=0,17&lt;=КаникулыРоялти),0,('03_Сеть'!AW39-AW37)*IF(РоялтиПоГруппам="Да",MeanMinAge17+AW10*SUMIF(ThresholdAge17,"&lt;"&amp;AW10,WeightedRevAge17)-SUMIF(ThresholdAge17,"&lt;"&amp;AW10,WeightedMinAge17),MAX(CapacityAge17*АбонементНовых*AW10,MeanMinAge17)))</f>
        <v/>
      </c>
      <c r="AX91" s="5">
        <f>IF(OR(('03_Сеть'!AX39-AX37)=0,17&lt;=КаникулыРоялти),0,('03_Сеть'!AX39-AX37)*IF(РоялтиПоГруппам="Да",MeanMinAge17+AX10*SUMIF(ThresholdAge17,"&lt;"&amp;AX10,WeightedRevAge17)-SUMIF(ThresholdAge17,"&lt;"&amp;AX10,WeightedMinAge17),MAX(CapacityAge17*АбонементНовых*AX10,MeanMinAge17)))</f>
        <v/>
      </c>
      <c r="AY91" s="5">
        <f>IF(OR(('03_Сеть'!AY39-AY37)=0,17&lt;=КаникулыРоялти),0,('03_Сеть'!AY39-AY37)*IF(РоялтиПоГруппам="Да",MeanMinAge17+AY10*SUMIF(ThresholdAge17,"&lt;"&amp;AY10,WeightedRevAge17)-SUMIF(ThresholdAge17,"&lt;"&amp;AY10,WeightedMinAge17),MAX(CapacityAge17*АбонементНовых*AY10,MeanMinAge17)))</f>
        <v/>
      </c>
      <c r="AZ91" s="5">
        <f>IF(OR(('03_Сеть'!AZ39-AZ37)=0,17&lt;=КаникулыРоялти),0,('03_Сеть'!AZ39-AZ37)*IF(РоялтиПоГруппам="Да",MeanMinAge17+AZ10*SUMIF(ThresholdAge17,"&lt;"&amp;AZ10,WeightedRevAge17)-SUMIF(ThresholdAge17,"&lt;"&amp;AZ10,WeightedMinAge17),MAX(CapacityAge17*АбонементНовых*AZ10,MeanMinAge17)))</f>
        <v/>
      </c>
      <c r="BA91" s="5">
        <f>IF(OR(('03_Сеть'!BA39-BA37)=0,17&lt;=КаникулыРоялти),0,('03_Сеть'!BA39-BA37)*IF(РоялтиПоГруппам="Да",MeanMinAge17+BA10*SUMIF(ThresholdAge17,"&lt;"&amp;BA10,WeightedRevAge17)-SUMIF(ThresholdAge17,"&lt;"&amp;BA10,WeightedMinAge17),MAX(CapacityAge17*АбонементНовых*BA10,MeanMinAge17)))</f>
        <v/>
      </c>
      <c r="BB91" s="5">
        <f>IF(OR(('03_Сеть'!BB39-BB37)=0,17&lt;=КаникулыРоялти),0,('03_Сеть'!BB39-BB37)*IF(РоялтиПоГруппам="Да",MeanMinAge17+BB10*SUMIF(ThresholdAge17,"&lt;"&amp;BB10,WeightedRevAge17)-SUMIF(ThresholdAge17,"&lt;"&amp;BB10,WeightedMinAge17),MAX(CapacityAge17*АбонементНовых*BB10,MeanMinAge17)))</f>
        <v/>
      </c>
      <c r="BC91" s="5">
        <f>IF(OR(('03_Сеть'!BC39-BC37)=0,17&lt;=КаникулыРоялти),0,('03_Сеть'!BC39-BC37)*IF(РоялтиПоГруппам="Да",MeanMinAge17+BC10*SUMIF(ThresholdAge17,"&lt;"&amp;BC10,WeightedRevAge17)-SUMIF(ThresholdAge17,"&lt;"&amp;BC10,WeightedMinAge17),MAX(CapacityAge17*АбонементНовых*BC10,MeanMinAge17)))</f>
        <v/>
      </c>
      <c r="BD91" s="5">
        <f>IF(OR(('03_Сеть'!BD39-BD37)=0,17&lt;=КаникулыРоялти),0,('03_Сеть'!BD39-BD37)*IF(РоялтиПоГруппам="Да",MeanMinAge17+BD10*SUMIF(ThresholdAge17,"&lt;"&amp;BD10,WeightedRevAge17)-SUMIF(ThresholdAge17,"&lt;"&amp;BD10,WeightedMinAge17),MAX(CapacityAge17*АбонементНовых*BD10,MeanMinAge17)))</f>
        <v/>
      </c>
      <c r="BE91" s="5">
        <f>IF(OR(('03_Сеть'!BE39-BE37)=0,17&lt;=КаникулыРоялти),0,('03_Сеть'!BE39-BE37)*IF(РоялтиПоГруппам="Да",MeanMinAge17+BE10*SUMIF(ThresholdAge17,"&lt;"&amp;BE10,WeightedRevAge17)-SUMIF(ThresholdAge17,"&lt;"&amp;BE10,WeightedMinAge17),MAX(CapacityAge17*АбонементНовых*BE10,MeanMinAge17)))</f>
        <v/>
      </c>
      <c r="BF91" s="5">
        <f>IF(OR(('03_Сеть'!BF39-BF37)=0,17&lt;=КаникулыРоялти),0,('03_Сеть'!BF39-BF37)*IF(РоялтиПоГруппам="Да",MeanMinAge17+BF10*SUMIF(ThresholdAge17,"&lt;"&amp;BF10,WeightedRevAge17)-SUMIF(ThresholdAge17,"&lt;"&amp;BF10,WeightedMinAge17),MAX(CapacityAge17*АбонементНовых*BF10,MeanMinAge17)))</f>
        <v/>
      </c>
      <c r="BG91" s="5">
        <f>IF(OR(('03_Сеть'!BG39-BG37)=0,17&lt;=КаникулыРоялти),0,('03_Сеть'!BG39-BG37)*IF(РоялтиПоГруппам="Да",MeanMinAge17+BG10*SUMIF(ThresholdAge17,"&lt;"&amp;BG10,WeightedRevAge17)-SUMIF(ThresholdAge17,"&lt;"&amp;BG10,WeightedMinAge17),MAX(CapacityAge17*АбонементНовых*BG10,MeanMinAge17)))</f>
        <v/>
      </c>
      <c r="BH91" s="5">
        <f>IF(OR(('03_Сеть'!BH39-BH37)=0,17&lt;=КаникулыРоялти),0,('03_Сеть'!BH39-BH37)*IF(РоялтиПоГруппам="Да",MeanMinAge17+BH10*SUMIF(ThresholdAge17,"&lt;"&amp;BH10,WeightedRevAge17)-SUMIF(ThresholdAge17,"&lt;"&amp;BH10,WeightedMinAge17),MAX(CapacityAge17*АбонементНовых*BH10,MeanMinAge17)))</f>
        <v/>
      </c>
      <c r="BI91" s="5">
        <f>IF(OR(('03_Сеть'!BI39-BI37)=0,17&lt;=КаникулыРоялти),0,('03_Сеть'!BI39-BI37)*IF(РоялтиПоГруппам="Да",MeanMinAge17+BI10*SUMIF(ThresholdAge17,"&lt;"&amp;BI10,WeightedRevAge17)-SUMIF(ThresholdAge17,"&lt;"&amp;BI10,WeightedMinAge17),MAX(CapacityAge17*АбонементНовых*BI10,MeanMinAge17)))</f>
        <v/>
      </c>
      <c r="BJ91" s="5">
        <f>IF(OR(('03_Сеть'!BJ39-BJ37)=0,17&lt;=КаникулыРоялти),0,('03_Сеть'!BJ39-BJ37)*IF(РоялтиПоГруппам="Да",MeanMinAge17+BJ10*SUMIF(ThresholdAge17,"&lt;"&amp;BJ10,WeightedRevAge17)-SUMIF(ThresholdAge17,"&lt;"&amp;BJ10,WeightedMinAge17),MAX(CapacityAge17*АбонементНовых*BJ10,MeanMinAge17)))</f>
        <v/>
      </c>
      <c r="BK91" s="5">
        <f>IF(OR(('03_Сеть'!BK39-BK37)=0,17&lt;=КаникулыРоялти),0,('03_Сеть'!BK39-BK37)*IF(РоялтиПоГруппам="Да",MeanMinAge17+BK10*SUMIF(ThresholdAge17,"&lt;"&amp;BK10,WeightedRevAge17)-SUMIF(ThresholdAge17,"&lt;"&amp;BK10,WeightedMinAge17),MAX(CapacityAge17*АбонементНовых*BK10,MeanMinAge17)))</f>
        <v/>
      </c>
      <c r="BL91" s="5">
        <f>IF(OR(('03_Сеть'!BL39-BL37)=0,17&lt;=КаникулыРоялти),0,('03_Сеть'!BL39-BL37)*IF(РоялтиПоГруппам="Да",MeanMinAge17+BL10*SUMIF(ThresholdAge17,"&lt;"&amp;BL10,WeightedRevAge17)-SUMIF(ThresholdAge17,"&lt;"&amp;BL10,WeightedMinAge17),MAX(CapacityAge17*АбонементНовых*BL10,MeanMinAge17)))</f>
        <v/>
      </c>
      <c r="BM91" s="5">
        <f>IF(OR(('03_Сеть'!BM39-BM37)=0,17&lt;=КаникулыРоялти),0,('03_Сеть'!BM39-BM37)*IF(РоялтиПоГруппам="Да",MeanMinAge17+BM10*SUMIF(ThresholdAge17,"&lt;"&amp;BM10,WeightedRevAge17)-SUMIF(ThresholdAge17,"&lt;"&amp;BM10,WeightedMinAge17),MAX(CapacityAge17*АбонементНовых*BM10,MeanMinAge17)))</f>
        <v/>
      </c>
      <c r="BN91" s="5">
        <f>IF(OR(('03_Сеть'!BN39-BN37)=0,17&lt;=КаникулыРоялти),0,('03_Сеть'!BN39-BN37)*IF(РоялтиПоГруппам="Да",MeanMinAge17+BN10*SUMIF(ThresholdAge17,"&lt;"&amp;BN10,WeightedRevAge17)-SUMIF(ThresholdAge17,"&lt;"&amp;BN10,WeightedMinAge17),MAX(CapacityAge17*АбонементНовых*BN10,MeanMinAge17)))</f>
        <v/>
      </c>
      <c r="BO91" s="5">
        <f>IF(OR(('03_Сеть'!BO39-BO37)=0,17&lt;=КаникулыРоялти),0,('03_Сеть'!BO39-BO37)*IF(РоялтиПоГруппам="Да",MeanMinAge17+BO10*SUMIF(ThresholdAge17,"&lt;"&amp;BO10,WeightedRevAge17)-SUMIF(ThresholdAge17,"&lt;"&amp;BO10,WeightedMinAge17),MAX(CapacityAge17*АбонементНовых*BO10,MeanMinAge17)))</f>
        <v/>
      </c>
      <c r="BP91" s="5">
        <f>IF(OR(('03_Сеть'!BP39-BP37)=0,17&lt;=КаникулыРоялти),0,('03_Сеть'!BP39-BP37)*IF(РоялтиПоГруппам="Да",MeanMinAge17+BP10*SUMIF(ThresholdAge17,"&lt;"&amp;BP10,WeightedRevAge17)-SUMIF(ThresholdAge17,"&lt;"&amp;BP10,WeightedMinAge17),MAX(CapacityAge17*АбонементНовых*BP10,MeanMinAge17)))</f>
        <v/>
      </c>
      <c r="BQ91" s="5">
        <f>IF(OR(('03_Сеть'!BQ39-BQ37)=0,17&lt;=КаникулыРоялти),0,('03_Сеть'!BQ39-BQ37)*IF(РоялтиПоГруппам="Да",MeanMinAge17+BQ10*SUMIF(ThresholdAge17,"&lt;"&amp;BQ10,WeightedRevAge17)-SUMIF(ThresholdAge17,"&lt;"&amp;BQ10,WeightedMinAge17),MAX(CapacityAge17*АбонементНовых*BQ10,MeanMinAge17)))</f>
        <v/>
      </c>
      <c r="BR91" s="5">
        <f>IF(OR(('03_Сеть'!BR39-BR37)=0,17&lt;=КаникулыРоялти),0,('03_Сеть'!BR39-BR37)*IF(РоялтиПоГруппам="Да",MeanMinAge17+BR10*SUMIF(ThresholdAge17,"&lt;"&amp;BR10,WeightedRevAge17)-SUMIF(ThresholdAge17,"&lt;"&amp;BR10,WeightedMinAge17),MAX(CapacityAge17*АбонементНовых*BR10,MeanMinAge17)))</f>
        <v/>
      </c>
      <c r="BS91" s="5">
        <f>IF(OR(('03_Сеть'!BS39-BS37)=0,17&lt;=КаникулыРоялти),0,('03_Сеть'!BS39-BS37)*IF(РоялтиПоГруппам="Да",MeanMinAge17+BS10*SUMIF(ThresholdAge17,"&lt;"&amp;BS10,WeightedRevAge17)-SUMIF(ThresholdAge17,"&lt;"&amp;BS10,WeightedMinAge17),MAX(CapacityAge17*АбонементНовых*BS10,MeanMinAge17)))</f>
        <v/>
      </c>
      <c r="BT91" s="5">
        <f>IF(OR(('03_Сеть'!BT39-BT37)=0,17&lt;=КаникулыРоялти),0,('03_Сеть'!BT39-BT37)*IF(РоялтиПоГруппам="Да",MeanMinAge17+BT10*SUMIF(ThresholdAge17,"&lt;"&amp;BT10,WeightedRevAge17)-SUMIF(ThresholdAge17,"&lt;"&amp;BT10,WeightedMinAge17),MAX(CapacityAge17*АбонементНовых*BT10,MeanMinAge17)))</f>
        <v/>
      </c>
      <c r="BU91" s="5">
        <f>IF(OR(('03_Сеть'!BU39-BU37)=0,17&lt;=КаникулыРоялти),0,('03_Сеть'!BU39-BU37)*IF(РоялтиПоГруппам="Да",MeanMinAge17+BU10*SUMIF(ThresholdAge17,"&lt;"&amp;BU10,WeightedRevAge17)-SUMIF(ThresholdAge17,"&lt;"&amp;BU10,WeightedMinAge17),MAX(CapacityAge17*АбонементНовых*BU10,MeanMinAge17)))</f>
        <v/>
      </c>
      <c r="BV91" s="5">
        <f>IF(OR(('03_Сеть'!BV39-BV37)=0,17&lt;=КаникулыРоялти),0,('03_Сеть'!BV39-BV37)*IF(РоялтиПоГруппам="Да",MeanMinAge17+BV10*SUMIF(ThresholdAge17,"&lt;"&amp;BV10,WeightedRevAge17)-SUMIF(ThresholdAge17,"&lt;"&amp;BV10,WeightedMinAge17),MAX(CapacityAge17*АбонементНовых*BV10,MeanMinAge17)))</f>
        <v/>
      </c>
      <c r="BW91" s="5">
        <f>IF(OR(('03_Сеть'!BW39-BW37)=0,17&lt;=КаникулыРоялти),0,('03_Сеть'!BW39-BW37)*IF(РоялтиПоГруппам="Да",MeanMinAge17+BW10*SUMIF(ThresholdAge17,"&lt;"&amp;BW10,WeightedRevAge17)-SUMIF(ThresholdAge17,"&lt;"&amp;BW10,WeightedMinAge17),MAX(CapacityAge17*АбонементНовых*BW10,MeanMinAge17)))</f>
        <v/>
      </c>
      <c r="BX91" s="5">
        <f>IF(OR(('03_Сеть'!BX39-BX37)=0,17&lt;=КаникулыРоялти),0,('03_Сеть'!BX39-BX37)*IF(РоялтиПоГруппам="Да",MeanMinAge17+BX10*SUMIF(ThresholdAge17,"&lt;"&amp;BX10,WeightedRevAge17)-SUMIF(ThresholdAge17,"&lt;"&amp;BX10,WeightedMinAge17),MAX(CapacityAge17*АбонементНовых*BX10,MeanMinAge17)))</f>
        <v/>
      </c>
      <c r="BY91" s="5">
        <f>IF(OR(('03_Сеть'!BY39-BY37)=0,17&lt;=КаникулыРоялти),0,('03_Сеть'!BY39-BY37)*IF(РоялтиПоГруппам="Да",MeanMinAge17+BY10*SUMIF(ThresholdAge17,"&lt;"&amp;BY10,WeightedRevAge17)-SUMIF(ThresholdAge17,"&lt;"&amp;BY10,WeightedMinAge17),MAX(CapacityAge17*АбонементНовых*BY10,MeanMinAge17)))</f>
        <v/>
      </c>
    </row>
    <row r="92">
      <c r="B92" t="inlineStr">
        <is>
          <t>18 мес.</t>
        </is>
      </c>
      <c r="C92" t="inlineStr">
        <is>
          <t>₽</t>
        </is>
      </c>
      <c r="D92" s="127" t="inlineStr"/>
      <c r="E92" s="129">
        <f>SUM(L92:W92)</f>
        <v/>
      </c>
      <c r="F92" s="129">
        <f>SUM(X92:AI92)</f>
        <v/>
      </c>
      <c r="G92" s="129">
        <f>SUM(AJ92:AU92)</f>
        <v/>
      </c>
      <c r="H92" s="129">
        <f>SUM(AV92:BG92)</f>
        <v/>
      </c>
      <c r="I92" s="129">
        <f>SUM(BH92:BS92)</f>
        <v/>
      </c>
      <c r="J92" s="6">
        <f>SUM(L92:BS92)</f>
        <v/>
      </c>
      <c r="L92" s="5">
        <f>IF(OR(('03_Сеть'!L40-L38)=0,18&lt;=КаникулыРоялти),0,('03_Сеть'!L40-L38)*IF(РоялтиПоГруппам="Да",MeanMinAge18+L10*SUMIF(ThresholdAge18,"&lt;"&amp;L10,WeightedRevAge18)-SUMIF(ThresholdAge18,"&lt;"&amp;L10,WeightedMinAge18),MAX(CapacityAge18*АбонементНовых*L10,MeanMinAge18)))</f>
        <v/>
      </c>
      <c r="M92" s="5">
        <f>IF(OR(('03_Сеть'!M40-M38)=0,18&lt;=КаникулыРоялти),0,('03_Сеть'!M40-M38)*IF(РоялтиПоГруппам="Да",MeanMinAge18+M10*SUMIF(ThresholdAge18,"&lt;"&amp;M10,WeightedRevAge18)-SUMIF(ThresholdAge18,"&lt;"&amp;M10,WeightedMinAge18),MAX(CapacityAge18*АбонементНовых*M10,MeanMinAge18)))</f>
        <v/>
      </c>
      <c r="N92" s="5">
        <f>IF(OR(('03_Сеть'!N40-N38)=0,18&lt;=КаникулыРоялти),0,('03_Сеть'!N40-N38)*IF(РоялтиПоГруппам="Да",MeanMinAge18+N10*SUMIF(ThresholdAge18,"&lt;"&amp;N10,WeightedRevAge18)-SUMIF(ThresholdAge18,"&lt;"&amp;N10,WeightedMinAge18),MAX(CapacityAge18*АбонементНовых*N10,MeanMinAge18)))</f>
        <v/>
      </c>
      <c r="O92" s="5">
        <f>IF(OR(('03_Сеть'!O40-O38)=0,18&lt;=КаникулыРоялти),0,('03_Сеть'!O40-O38)*IF(РоялтиПоГруппам="Да",MeanMinAge18+O10*SUMIF(ThresholdAge18,"&lt;"&amp;O10,WeightedRevAge18)-SUMIF(ThresholdAge18,"&lt;"&amp;O10,WeightedMinAge18),MAX(CapacityAge18*АбонементНовых*O10,MeanMinAge18)))</f>
        <v/>
      </c>
      <c r="P92" s="5">
        <f>IF(OR(('03_Сеть'!P40-P38)=0,18&lt;=КаникулыРоялти),0,('03_Сеть'!P40-P38)*IF(РоялтиПоГруппам="Да",MeanMinAge18+P10*SUMIF(ThresholdAge18,"&lt;"&amp;P10,WeightedRevAge18)-SUMIF(ThresholdAge18,"&lt;"&amp;P10,WeightedMinAge18),MAX(CapacityAge18*АбонементНовых*P10,MeanMinAge18)))</f>
        <v/>
      </c>
      <c r="Q92" s="5">
        <f>IF(OR(('03_Сеть'!Q40-Q38)=0,18&lt;=КаникулыРоялти),0,('03_Сеть'!Q40-Q38)*IF(РоялтиПоГруппам="Да",MeanMinAge18+Q10*SUMIF(ThresholdAge18,"&lt;"&amp;Q10,WeightedRevAge18)-SUMIF(ThresholdAge18,"&lt;"&amp;Q10,WeightedMinAge18),MAX(CapacityAge18*АбонементНовых*Q10,MeanMinAge18)))</f>
        <v/>
      </c>
      <c r="R92" s="5">
        <f>IF(OR(('03_Сеть'!R40-R38)=0,18&lt;=КаникулыРоялти),0,('03_Сеть'!R40-R38)*IF(РоялтиПоГруппам="Да",MeanMinAge18+R10*SUMIF(ThresholdAge18,"&lt;"&amp;R10,WeightedRevAge18)-SUMIF(ThresholdAge18,"&lt;"&amp;R10,WeightedMinAge18),MAX(CapacityAge18*АбонементНовых*R10,MeanMinAge18)))</f>
        <v/>
      </c>
      <c r="S92" s="5">
        <f>IF(OR(('03_Сеть'!S40-S38)=0,18&lt;=КаникулыРоялти),0,('03_Сеть'!S40-S38)*IF(РоялтиПоГруппам="Да",MeanMinAge18+S10*SUMIF(ThresholdAge18,"&lt;"&amp;S10,WeightedRevAge18)-SUMIF(ThresholdAge18,"&lt;"&amp;S10,WeightedMinAge18),MAX(CapacityAge18*АбонементНовых*S10,MeanMinAge18)))</f>
        <v/>
      </c>
      <c r="T92" s="5">
        <f>IF(OR(('03_Сеть'!T40-T38)=0,18&lt;=КаникулыРоялти),0,('03_Сеть'!T40-T38)*IF(РоялтиПоГруппам="Да",MeanMinAge18+T10*SUMIF(ThresholdAge18,"&lt;"&amp;T10,WeightedRevAge18)-SUMIF(ThresholdAge18,"&lt;"&amp;T10,WeightedMinAge18),MAX(CapacityAge18*АбонементНовых*T10,MeanMinAge18)))</f>
        <v/>
      </c>
      <c r="U92" s="5">
        <f>IF(OR(('03_Сеть'!U40-U38)=0,18&lt;=КаникулыРоялти),0,('03_Сеть'!U40-U38)*IF(РоялтиПоГруппам="Да",MeanMinAge18+U10*SUMIF(ThresholdAge18,"&lt;"&amp;U10,WeightedRevAge18)-SUMIF(ThresholdAge18,"&lt;"&amp;U10,WeightedMinAge18),MAX(CapacityAge18*АбонементНовых*U10,MeanMinAge18)))</f>
        <v/>
      </c>
      <c r="V92" s="5">
        <f>IF(OR(('03_Сеть'!V40-V38)=0,18&lt;=КаникулыРоялти),0,('03_Сеть'!V40-V38)*IF(РоялтиПоГруппам="Да",MeanMinAge18+V10*SUMIF(ThresholdAge18,"&lt;"&amp;V10,WeightedRevAge18)-SUMIF(ThresholdAge18,"&lt;"&amp;V10,WeightedMinAge18),MAX(CapacityAge18*АбонементНовых*V10,MeanMinAge18)))</f>
        <v/>
      </c>
      <c r="W92" s="5">
        <f>IF(OR(('03_Сеть'!W40-W38)=0,18&lt;=КаникулыРоялти),0,('03_Сеть'!W40-W38)*IF(РоялтиПоГруппам="Да",MeanMinAge18+W10*SUMIF(ThresholdAge18,"&lt;"&amp;W10,WeightedRevAge18)-SUMIF(ThresholdAge18,"&lt;"&amp;W10,WeightedMinAge18),MAX(CapacityAge18*АбонементНовых*W10,MeanMinAge18)))</f>
        <v/>
      </c>
      <c r="X92" s="5">
        <f>IF(OR(('03_Сеть'!X40-X38)=0,18&lt;=КаникулыРоялти),0,('03_Сеть'!X40-X38)*IF(РоялтиПоГруппам="Да",MeanMinAge18+X10*SUMIF(ThresholdAge18,"&lt;"&amp;X10,WeightedRevAge18)-SUMIF(ThresholdAge18,"&lt;"&amp;X10,WeightedMinAge18),MAX(CapacityAge18*АбонементНовых*X10,MeanMinAge18)))</f>
        <v/>
      </c>
      <c r="Y92" s="5">
        <f>IF(OR(('03_Сеть'!Y40-Y38)=0,18&lt;=КаникулыРоялти),0,('03_Сеть'!Y40-Y38)*IF(РоялтиПоГруппам="Да",MeanMinAge18+Y10*SUMIF(ThresholdAge18,"&lt;"&amp;Y10,WeightedRevAge18)-SUMIF(ThresholdAge18,"&lt;"&amp;Y10,WeightedMinAge18),MAX(CapacityAge18*АбонементНовых*Y10,MeanMinAge18)))</f>
        <v/>
      </c>
      <c r="Z92" s="5">
        <f>IF(OR(('03_Сеть'!Z40-Z38)=0,18&lt;=КаникулыРоялти),0,('03_Сеть'!Z40-Z38)*IF(РоялтиПоГруппам="Да",MeanMinAge18+Z10*SUMIF(ThresholdAge18,"&lt;"&amp;Z10,WeightedRevAge18)-SUMIF(ThresholdAge18,"&lt;"&amp;Z10,WeightedMinAge18),MAX(CapacityAge18*АбонементНовых*Z10,MeanMinAge18)))</f>
        <v/>
      </c>
      <c r="AA92" s="5">
        <f>IF(OR(('03_Сеть'!AA40-AA38)=0,18&lt;=КаникулыРоялти),0,('03_Сеть'!AA40-AA38)*IF(РоялтиПоГруппам="Да",MeanMinAge18+AA10*SUMIF(ThresholdAge18,"&lt;"&amp;AA10,WeightedRevAge18)-SUMIF(ThresholdAge18,"&lt;"&amp;AA10,WeightedMinAge18),MAX(CapacityAge18*АбонементНовых*AA10,MeanMinAge18)))</f>
        <v/>
      </c>
      <c r="AB92" s="5">
        <f>IF(OR(('03_Сеть'!AB40-AB38)=0,18&lt;=КаникулыРоялти),0,('03_Сеть'!AB40-AB38)*IF(РоялтиПоГруппам="Да",MeanMinAge18+AB10*SUMIF(ThresholdAge18,"&lt;"&amp;AB10,WeightedRevAge18)-SUMIF(ThresholdAge18,"&lt;"&amp;AB10,WeightedMinAge18),MAX(CapacityAge18*АбонементНовых*AB10,MeanMinAge18)))</f>
        <v/>
      </c>
      <c r="AC92" s="5">
        <f>IF(OR(('03_Сеть'!AC40-AC38)=0,18&lt;=КаникулыРоялти),0,('03_Сеть'!AC40-AC38)*IF(РоялтиПоГруппам="Да",MeanMinAge18+AC10*SUMIF(ThresholdAge18,"&lt;"&amp;AC10,WeightedRevAge18)-SUMIF(ThresholdAge18,"&lt;"&amp;AC10,WeightedMinAge18),MAX(CapacityAge18*АбонементНовых*AC10,MeanMinAge18)))</f>
        <v/>
      </c>
      <c r="AD92" s="5">
        <f>IF(OR(('03_Сеть'!AD40-AD38)=0,18&lt;=КаникулыРоялти),0,('03_Сеть'!AD40-AD38)*IF(РоялтиПоГруппам="Да",MeanMinAge18+AD10*SUMIF(ThresholdAge18,"&lt;"&amp;AD10,WeightedRevAge18)-SUMIF(ThresholdAge18,"&lt;"&amp;AD10,WeightedMinAge18),MAX(CapacityAge18*АбонементНовых*AD10,MeanMinAge18)))</f>
        <v/>
      </c>
      <c r="AE92" s="5">
        <f>IF(OR(('03_Сеть'!AE40-AE38)=0,18&lt;=КаникулыРоялти),0,('03_Сеть'!AE40-AE38)*IF(РоялтиПоГруппам="Да",MeanMinAge18+AE10*SUMIF(ThresholdAge18,"&lt;"&amp;AE10,WeightedRevAge18)-SUMIF(ThresholdAge18,"&lt;"&amp;AE10,WeightedMinAge18),MAX(CapacityAge18*АбонементНовых*AE10,MeanMinAge18)))</f>
        <v/>
      </c>
      <c r="AF92" s="5">
        <f>IF(OR(('03_Сеть'!AF40-AF38)=0,18&lt;=КаникулыРоялти),0,('03_Сеть'!AF40-AF38)*IF(РоялтиПоГруппам="Да",MeanMinAge18+AF10*SUMIF(ThresholdAge18,"&lt;"&amp;AF10,WeightedRevAge18)-SUMIF(ThresholdAge18,"&lt;"&amp;AF10,WeightedMinAge18),MAX(CapacityAge18*АбонементНовых*AF10,MeanMinAge18)))</f>
        <v/>
      </c>
      <c r="AG92" s="5">
        <f>IF(OR(('03_Сеть'!AG40-AG38)=0,18&lt;=КаникулыРоялти),0,('03_Сеть'!AG40-AG38)*IF(РоялтиПоГруппам="Да",MeanMinAge18+AG10*SUMIF(ThresholdAge18,"&lt;"&amp;AG10,WeightedRevAge18)-SUMIF(ThresholdAge18,"&lt;"&amp;AG10,WeightedMinAge18),MAX(CapacityAge18*АбонементНовых*AG10,MeanMinAge18)))</f>
        <v/>
      </c>
      <c r="AH92" s="5">
        <f>IF(OR(('03_Сеть'!AH40-AH38)=0,18&lt;=КаникулыРоялти),0,('03_Сеть'!AH40-AH38)*IF(РоялтиПоГруппам="Да",MeanMinAge18+AH10*SUMIF(ThresholdAge18,"&lt;"&amp;AH10,WeightedRevAge18)-SUMIF(ThresholdAge18,"&lt;"&amp;AH10,WeightedMinAge18),MAX(CapacityAge18*АбонементНовых*AH10,MeanMinAge18)))</f>
        <v/>
      </c>
      <c r="AI92" s="5">
        <f>IF(OR(('03_Сеть'!AI40-AI38)=0,18&lt;=КаникулыРоялти),0,('03_Сеть'!AI40-AI38)*IF(РоялтиПоГруппам="Да",MeanMinAge18+AI10*SUMIF(ThresholdAge18,"&lt;"&amp;AI10,WeightedRevAge18)-SUMIF(ThresholdAge18,"&lt;"&amp;AI10,WeightedMinAge18),MAX(CapacityAge18*АбонементНовых*AI10,MeanMinAge18)))</f>
        <v/>
      </c>
      <c r="AJ92" s="5">
        <f>IF(OR(('03_Сеть'!AJ40-AJ38)=0,18&lt;=КаникулыРоялти),0,('03_Сеть'!AJ40-AJ38)*IF(РоялтиПоГруппам="Да",MeanMinAge18+AJ10*SUMIF(ThresholdAge18,"&lt;"&amp;AJ10,WeightedRevAge18)-SUMIF(ThresholdAge18,"&lt;"&amp;AJ10,WeightedMinAge18),MAX(CapacityAge18*АбонементНовых*AJ10,MeanMinAge18)))</f>
        <v/>
      </c>
      <c r="AK92" s="5">
        <f>IF(OR(('03_Сеть'!AK40-AK38)=0,18&lt;=КаникулыРоялти),0,('03_Сеть'!AK40-AK38)*IF(РоялтиПоГруппам="Да",MeanMinAge18+AK10*SUMIF(ThresholdAge18,"&lt;"&amp;AK10,WeightedRevAge18)-SUMIF(ThresholdAge18,"&lt;"&amp;AK10,WeightedMinAge18),MAX(CapacityAge18*АбонементНовых*AK10,MeanMinAge18)))</f>
        <v/>
      </c>
      <c r="AL92" s="5">
        <f>IF(OR(('03_Сеть'!AL40-AL38)=0,18&lt;=КаникулыРоялти),0,('03_Сеть'!AL40-AL38)*IF(РоялтиПоГруппам="Да",MeanMinAge18+AL10*SUMIF(ThresholdAge18,"&lt;"&amp;AL10,WeightedRevAge18)-SUMIF(ThresholdAge18,"&lt;"&amp;AL10,WeightedMinAge18),MAX(CapacityAge18*АбонементНовых*AL10,MeanMinAge18)))</f>
        <v/>
      </c>
      <c r="AM92" s="5">
        <f>IF(OR(('03_Сеть'!AM40-AM38)=0,18&lt;=КаникулыРоялти),0,('03_Сеть'!AM40-AM38)*IF(РоялтиПоГруппам="Да",MeanMinAge18+AM10*SUMIF(ThresholdAge18,"&lt;"&amp;AM10,WeightedRevAge18)-SUMIF(ThresholdAge18,"&lt;"&amp;AM10,WeightedMinAge18),MAX(CapacityAge18*АбонементНовых*AM10,MeanMinAge18)))</f>
        <v/>
      </c>
      <c r="AN92" s="5">
        <f>IF(OR(('03_Сеть'!AN40-AN38)=0,18&lt;=КаникулыРоялти),0,('03_Сеть'!AN40-AN38)*IF(РоялтиПоГруппам="Да",MeanMinAge18+AN10*SUMIF(ThresholdAge18,"&lt;"&amp;AN10,WeightedRevAge18)-SUMIF(ThresholdAge18,"&lt;"&amp;AN10,WeightedMinAge18),MAX(CapacityAge18*АбонементНовых*AN10,MeanMinAge18)))</f>
        <v/>
      </c>
      <c r="AO92" s="5">
        <f>IF(OR(('03_Сеть'!AO40-AO38)=0,18&lt;=КаникулыРоялти),0,('03_Сеть'!AO40-AO38)*IF(РоялтиПоГруппам="Да",MeanMinAge18+AO10*SUMIF(ThresholdAge18,"&lt;"&amp;AO10,WeightedRevAge18)-SUMIF(ThresholdAge18,"&lt;"&amp;AO10,WeightedMinAge18),MAX(CapacityAge18*АбонементНовых*AO10,MeanMinAge18)))</f>
        <v/>
      </c>
      <c r="AP92" s="5">
        <f>IF(OR(('03_Сеть'!AP40-AP38)=0,18&lt;=КаникулыРоялти),0,('03_Сеть'!AP40-AP38)*IF(РоялтиПоГруппам="Да",MeanMinAge18+AP10*SUMIF(ThresholdAge18,"&lt;"&amp;AP10,WeightedRevAge18)-SUMIF(ThresholdAge18,"&lt;"&amp;AP10,WeightedMinAge18),MAX(CapacityAge18*АбонементНовых*AP10,MeanMinAge18)))</f>
        <v/>
      </c>
      <c r="AQ92" s="5">
        <f>IF(OR(('03_Сеть'!AQ40-AQ38)=0,18&lt;=КаникулыРоялти),0,('03_Сеть'!AQ40-AQ38)*IF(РоялтиПоГруппам="Да",MeanMinAge18+AQ10*SUMIF(ThresholdAge18,"&lt;"&amp;AQ10,WeightedRevAge18)-SUMIF(ThresholdAge18,"&lt;"&amp;AQ10,WeightedMinAge18),MAX(CapacityAge18*АбонементНовых*AQ10,MeanMinAge18)))</f>
        <v/>
      </c>
      <c r="AR92" s="5">
        <f>IF(OR(('03_Сеть'!AR40-AR38)=0,18&lt;=КаникулыРоялти),0,('03_Сеть'!AR40-AR38)*IF(РоялтиПоГруппам="Да",MeanMinAge18+AR10*SUMIF(ThresholdAge18,"&lt;"&amp;AR10,WeightedRevAge18)-SUMIF(ThresholdAge18,"&lt;"&amp;AR10,WeightedMinAge18),MAX(CapacityAge18*АбонементНовых*AR10,MeanMinAge18)))</f>
        <v/>
      </c>
      <c r="AS92" s="5">
        <f>IF(OR(('03_Сеть'!AS40-AS38)=0,18&lt;=КаникулыРоялти),0,('03_Сеть'!AS40-AS38)*IF(РоялтиПоГруппам="Да",MeanMinAge18+AS10*SUMIF(ThresholdAge18,"&lt;"&amp;AS10,WeightedRevAge18)-SUMIF(ThresholdAge18,"&lt;"&amp;AS10,WeightedMinAge18),MAX(CapacityAge18*АбонементНовых*AS10,MeanMinAge18)))</f>
        <v/>
      </c>
      <c r="AT92" s="5">
        <f>IF(OR(('03_Сеть'!AT40-AT38)=0,18&lt;=КаникулыРоялти),0,('03_Сеть'!AT40-AT38)*IF(РоялтиПоГруппам="Да",MeanMinAge18+AT10*SUMIF(ThresholdAge18,"&lt;"&amp;AT10,WeightedRevAge18)-SUMIF(ThresholdAge18,"&lt;"&amp;AT10,WeightedMinAge18),MAX(CapacityAge18*АбонементНовых*AT10,MeanMinAge18)))</f>
        <v/>
      </c>
      <c r="AU92" s="5">
        <f>IF(OR(('03_Сеть'!AU40-AU38)=0,18&lt;=КаникулыРоялти),0,('03_Сеть'!AU40-AU38)*IF(РоялтиПоГруппам="Да",MeanMinAge18+AU10*SUMIF(ThresholdAge18,"&lt;"&amp;AU10,WeightedRevAge18)-SUMIF(ThresholdAge18,"&lt;"&amp;AU10,WeightedMinAge18),MAX(CapacityAge18*АбонементНовых*AU10,MeanMinAge18)))</f>
        <v/>
      </c>
      <c r="AV92" s="5">
        <f>IF(OR(('03_Сеть'!AV40-AV38)=0,18&lt;=КаникулыРоялти),0,('03_Сеть'!AV40-AV38)*IF(РоялтиПоГруппам="Да",MeanMinAge18+AV10*SUMIF(ThresholdAge18,"&lt;"&amp;AV10,WeightedRevAge18)-SUMIF(ThresholdAge18,"&lt;"&amp;AV10,WeightedMinAge18),MAX(CapacityAge18*АбонементНовых*AV10,MeanMinAge18)))</f>
        <v/>
      </c>
      <c r="AW92" s="5">
        <f>IF(OR(('03_Сеть'!AW40-AW38)=0,18&lt;=КаникулыРоялти),0,('03_Сеть'!AW40-AW38)*IF(РоялтиПоГруппам="Да",MeanMinAge18+AW10*SUMIF(ThresholdAge18,"&lt;"&amp;AW10,WeightedRevAge18)-SUMIF(ThresholdAge18,"&lt;"&amp;AW10,WeightedMinAge18),MAX(CapacityAge18*АбонементНовых*AW10,MeanMinAge18)))</f>
        <v/>
      </c>
      <c r="AX92" s="5">
        <f>IF(OR(('03_Сеть'!AX40-AX38)=0,18&lt;=КаникулыРоялти),0,('03_Сеть'!AX40-AX38)*IF(РоялтиПоГруппам="Да",MeanMinAge18+AX10*SUMIF(ThresholdAge18,"&lt;"&amp;AX10,WeightedRevAge18)-SUMIF(ThresholdAge18,"&lt;"&amp;AX10,WeightedMinAge18),MAX(CapacityAge18*АбонементНовых*AX10,MeanMinAge18)))</f>
        <v/>
      </c>
      <c r="AY92" s="5">
        <f>IF(OR(('03_Сеть'!AY40-AY38)=0,18&lt;=КаникулыРоялти),0,('03_Сеть'!AY40-AY38)*IF(РоялтиПоГруппам="Да",MeanMinAge18+AY10*SUMIF(ThresholdAge18,"&lt;"&amp;AY10,WeightedRevAge18)-SUMIF(ThresholdAge18,"&lt;"&amp;AY10,WeightedMinAge18),MAX(CapacityAge18*АбонементНовых*AY10,MeanMinAge18)))</f>
        <v/>
      </c>
      <c r="AZ92" s="5">
        <f>IF(OR(('03_Сеть'!AZ40-AZ38)=0,18&lt;=КаникулыРоялти),0,('03_Сеть'!AZ40-AZ38)*IF(РоялтиПоГруппам="Да",MeanMinAge18+AZ10*SUMIF(ThresholdAge18,"&lt;"&amp;AZ10,WeightedRevAge18)-SUMIF(ThresholdAge18,"&lt;"&amp;AZ10,WeightedMinAge18),MAX(CapacityAge18*АбонементНовых*AZ10,MeanMinAge18)))</f>
        <v/>
      </c>
      <c r="BA92" s="5">
        <f>IF(OR(('03_Сеть'!BA40-BA38)=0,18&lt;=КаникулыРоялти),0,('03_Сеть'!BA40-BA38)*IF(РоялтиПоГруппам="Да",MeanMinAge18+BA10*SUMIF(ThresholdAge18,"&lt;"&amp;BA10,WeightedRevAge18)-SUMIF(ThresholdAge18,"&lt;"&amp;BA10,WeightedMinAge18),MAX(CapacityAge18*АбонементНовых*BA10,MeanMinAge18)))</f>
        <v/>
      </c>
      <c r="BB92" s="5">
        <f>IF(OR(('03_Сеть'!BB40-BB38)=0,18&lt;=КаникулыРоялти),0,('03_Сеть'!BB40-BB38)*IF(РоялтиПоГруппам="Да",MeanMinAge18+BB10*SUMIF(ThresholdAge18,"&lt;"&amp;BB10,WeightedRevAge18)-SUMIF(ThresholdAge18,"&lt;"&amp;BB10,WeightedMinAge18),MAX(CapacityAge18*АбонементНовых*BB10,MeanMinAge18)))</f>
        <v/>
      </c>
      <c r="BC92" s="5">
        <f>IF(OR(('03_Сеть'!BC40-BC38)=0,18&lt;=КаникулыРоялти),0,('03_Сеть'!BC40-BC38)*IF(РоялтиПоГруппам="Да",MeanMinAge18+BC10*SUMIF(ThresholdAge18,"&lt;"&amp;BC10,WeightedRevAge18)-SUMIF(ThresholdAge18,"&lt;"&amp;BC10,WeightedMinAge18),MAX(CapacityAge18*АбонементНовых*BC10,MeanMinAge18)))</f>
        <v/>
      </c>
      <c r="BD92" s="5">
        <f>IF(OR(('03_Сеть'!BD40-BD38)=0,18&lt;=КаникулыРоялти),0,('03_Сеть'!BD40-BD38)*IF(РоялтиПоГруппам="Да",MeanMinAge18+BD10*SUMIF(ThresholdAge18,"&lt;"&amp;BD10,WeightedRevAge18)-SUMIF(ThresholdAge18,"&lt;"&amp;BD10,WeightedMinAge18),MAX(CapacityAge18*АбонементНовых*BD10,MeanMinAge18)))</f>
        <v/>
      </c>
      <c r="BE92" s="5">
        <f>IF(OR(('03_Сеть'!BE40-BE38)=0,18&lt;=КаникулыРоялти),0,('03_Сеть'!BE40-BE38)*IF(РоялтиПоГруппам="Да",MeanMinAge18+BE10*SUMIF(ThresholdAge18,"&lt;"&amp;BE10,WeightedRevAge18)-SUMIF(ThresholdAge18,"&lt;"&amp;BE10,WeightedMinAge18),MAX(CapacityAge18*АбонементНовых*BE10,MeanMinAge18)))</f>
        <v/>
      </c>
      <c r="BF92" s="5">
        <f>IF(OR(('03_Сеть'!BF40-BF38)=0,18&lt;=КаникулыРоялти),0,('03_Сеть'!BF40-BF38)*IF(РоялтиПоГруппам="Да",MeanMinAge18+BF10*SUMIF(ThresholdAge18,"&lt;"&amp;BF10,WeightedRevAge18)-SUMIF(ThresholdAge18,"&lt;"&amp;BF10,WeightedMinAge18),MAX(CapacityAge18*АбонементНовых*BF10,MeanMinAge18)))</f>
        <v/>
      </c>
      <c r="BG92" s="5">
        <f>IF(OR(('03_Сеть'!BG40-BG38)=0,18&lt;=КаникулыРоялти),0,('03_Сеть'!BG40-BG38)*IF(РоялтиПоГруппам="Да",MeanMinAge18+BG10*SUMIF(ThresholdAge18,"&lt;"&amp;BG10,WeightedRevAge18)-SUMIF(ThresholdAge18,"&lt;"&amp;BG10,WeightedMinAge18),MAX(CapacityAge18*АбонементНовых*BG10,MeanMinAge18)))</f>
        <v/>
      </c>
      <c r="BH92" s="5">
        <f>IF(OR(('03_Сеть'!BH40-BH38)=0,18&lt;=КаникулыРоялти),0,('03_Сеть'!BH40-BH38)*IF(РоялтиПоГруппам="Да",MeanMinAge18+BH10*SUMIF(ThresholdAge18,"&lt;"&amp;BH10,WeightedRevAge18)-SUMIF(ThresholdAge18,"&lt;"&amp;BH10,WeightedMinAge18),MAX(CapacityAge18*АбонементНовых*BH10,MeanMinAge18)))</f>
        <v/>
      </c>
      <c r="BI92" s="5">
        <f>IF(OR(('03_Сеть'!BI40-BI38)=0,18&lt;=КаникулыРоялти),0,('03_Сеть'!BI40-BI38)*IF(РоялтиПоГруппам="Да",MeanMinAge18+BI10*SUMIF(ThresholdAge18,"&lt;"&amp;BI10,WeightedRevAge18)-SUMIF(ThresholdAge18,"&lt;"&amp;BI10,WeightedMinAge18),MAX(CapacityAge18*АбонементНовых*BI10,MeanMinAge18)))</f>
        <v/>
      </c>
      <c r="BJ92" s="5">
        <f>IF(OR(('03_Сеть'!BJ40-BJ38)=0,18&lt;=КаникулыРоялти),0,('03_Сеть'!BJ40-BJ38)*IF(РоялтиПоГруппам="Да",MeanMinAge18+BJ10*SUMIF(ThresholdAge18,"&lt;"&amp;BJ10,WeightedRevAge18)-SUMIF(ThresholdAge18,"&lt;"&amp;BJ10,WeightedMinAge18),MAX(CapacityAge18*АбонементНовых*BJ10,MeanMinAge18)))</f>
        <v/>
      </c>
      <c r="BK92" s="5">
        <f>IF(OR(('03_Сеть'!BK40-BK38)=0,18&lt;=КаникулыРоялти),0,('03_Сеть'!BK40-BK38)*IF(РоялтиПоГруппам="Да",MeanMinAge18+BK10*SUMIF(ThresholdAge18,"&lt;"&amp;BK10,WeightedRevAge18)-SUMIF(ThresholdAge18,"&lt;"&amp;BK10,WeightedMinAge18),MAX(CapacityAge18*АбонементНовых*BK10,MeanMinAge18)))</f>
        <v/>
      </c>
      <c r="BL92" s="5">
        <f>IF(OR(('03_Сеть'!BL40-BL38)=0,18&lt;=КаникулыРоялти),0,('03_Сеть'!BL40-BL38)*IF(РоялтиПоГруппам="Да",MeanMinAge18+BL10*SUMIF(ThresholdAge18,"&lt;"&amp;BL10,WeightedRevAge18)-SUMIF(ThresholdAge18,"&lt;"&amp;BL10,WeightedMinAge18),MAX(CapacityAge18*АбонементНовых*BL10,MeanMinAge18)))</f>
        <v/>
      </c>
      <c r="BM92" s="5">
        <f>IF(OR(('03_Сеть'!BM40-BM38)=0,18&lt;=КаникулыРоялти),0,('03_Сеть'!BM40-BM38)*IF(РоялтиПоГруппам="Да",MeanMinAge18+BM10*SUMIF(ThresholdAge18,"&lt;"&amp;BM10,WeightedRevAge18)-SUMIF(ThresholdAge18,"&lt;"&amp;BM10,WeightedMinAge18),MAX(CapacityAge18*АбонементНовых*BM10,MeanMinAge18)))</f>
        <v/>
      </c>
      <c r="BN92" s="5">
        <f>IF(OR(('03_Сеть'!BN40-BN38)=0,18&lt;=КаникулыРоялти),0,('03_Сеть'!BN40-BN38)*IF(РоялтиПоГруппам="Да",MeanMinAge18+BN10*SUMIF(ThresholdAge18,"&lt;"&amp;BN10,WeightedRevAge18)-SUMIF(ThresholdAge18,"&lt;"&amp;BN10,WeightedMinAge18),MAX(CapacityAge18*АбонементНовых*BN10,MeanMinAge18)))</f>
        <v/>
      </c>
      <c r="BO92" s="5">
        <f>IF(OR(('03_Сеть'!BO40-BO38)=0,18&lt;=КаникулыРоялти),0,('03_Сеть'!BO40-BO38)*IF(РоялтиПоГруппам="Да",MeanMinAge18+BO10*SUMIF(ThresholdAge18,"&lt;"&amp;BO10,WeightedRevAge18)-SUMIF(ThresholdAge18,"&lt;"&amp;BO10,WeightedMinAge18),MAX(CapacityAge18*АбонементНовых*BO10,MeanMinAge18)))</f>
        <v/>
      </c>
      <c r="BP92" s="5">
        <f>IF(OR(('03_Сеть'!BP40-BP38)=0,18&lt;=КаникулыРоялти),0,('03_Сеть'!BP40-BP38)*IF(РоялтиПоГруппам="Да",MeanMinAge18+BP10*SUMIF(ThresholdAge18,"&lt;"&amp;BP10,WeightedRevAge18)-SUMIF(ThresholdAge18,"&lt;"&amp;BP10,WeightedMinAge18),MAX(CapacityAge18*АбонементНовых*BP10,MeanMinAge18)))</f>
        <v/>
      </c>
      <c r="BQ92" s="5">
        <f>IF(OR(('03_Сеть'!BQ40-BQ38)=0,18&lt;=КаникулыРоялти),0,('03_Сеть'!BQ40-BQ38)*IF(РоялтиПоГруппам="Да",MeanMinAge18+BQ10*SUMIF(ThresholdAge18,"&lt;"&amp;BQ10,WeightedRevAge18)-SUMIF(ThresholdAge18,"&lt;"&amp;BQ10,WeightedMinAge18),MAX(CapacityAge18*АбонементНовых*BQ10,MeanMinAge18)))</f>
        <v/>
      </c>
      <c r="BR92" s="5">
        <f>IF(OR(('03_Сеть'!BR40-BR38)=0,18&lt;=КаникулыРоялти),0,('03_Сеть'!BR40-BR38)*IF(РоялтиПоГруппам="Да",MeanMinAge18+BR10*SUMIF(ThresholdAge18,"&lt;"&amp;BR10,WeightedRevAge18)-SUMIF(ThresholdAge18,"&lt;"&amp;BR10,WeightedMinAge18),MAX(CapacityAge18*АбонементНовых*BR10,MeanMinAge18)))</f>
        <v/>
      </c>
      <c r="BS92" s="5">
        <f>IF(OR(('03_Сеть'!BS40-BS38)=0,18&lt;=КаникулыРоялти),0,('03_Сеть'!BS40-BS38)*IF(РоялтиПоГруппам="Да",MeanMinAge18+BS10*SUMIF(ThresholdAge18,"&lt;"&amp;BS10,WeightedRevAge18)-SUMIF(ThresholdAge18,"&lt;"&amp;BS10,WeightedMinAge18),MAX(CapacityAge18*АбонементНовых*BS10,MeanMinAge18)))</f>
        <v/>
      </c>
      <c r="BT92" s="5">
        <f>IF(OR(('03_Сеть'!BT40-BT38)=0,18&lt;=КаникулыРоялти),0,('03_Сеть'!BT40-BT38)*IF(РоялтиПоГруппам="Да",MeanMinAge18+BT10*SUMIF(ThresholdAge18,"&lt;"&amp;BT10,WeightedRevAge18)-SUMIF(ThresholdAge18,"&lt;"&amp;BT10,WeightedMinAge18),MAX(CapacityAge18*АбонементНовых*BT10,MeanMinAge18)))</f>
        <v/>
      </c>
      <c r="BU92" s="5">
        <f>IF(OR(('03_Сеть'!BU40-BU38)=0,18&lt;=КаникулыРоялти),0,('03_Сеть'!BU40-BU38)*IF(РоялтиПоГруппам="Да",MeanMinAge18+BU10*SUMIF(ThresholdAge18,"&lt;"&amp;BU10,WeightedRevAge18)-SUMIF(ThresholdAge18,"&lt;"&amp;BU10,WeightedMinAge18),MAX(CapacityAge18*АбонементНовых*BU10,MeanMinAge18)))</f>
        <v/>
      </c>
      <c r="BV92" s="5">
        <f>IF(OR(('03_Сеть'!BV40-BV38)=0,18&lt;=КаникулыРоялти),0,('03_Сеть'!BV40-BV38)*IF(РоялтиПоГруппам="Да",MeanMinAge18+BV10*SUMIF(ThresholdAge18,"&lt;"&amp;BV10,WeightedRevAge18)-SUMIF(ThresholdAge18,"&lt;"&amp;BV10,WeightedMinAge18),MAX(CapacityAge18*АбонементНовых*BV10,MeanMinAge18)))</f>
        <v/>
      </c>
      <c r="BW92" s="5">
        <f>IF(OR(('03_Сеть'!BW40-BW38)=0,18&lt;=КаникулыРоялти),0,('03_Сеть'!BW40-BW38)*IF(РоялтиПоГруппам="Да",MeanMinAge18+BW10*SUMIF(ThresholdAge18,"&lt;"&amp;BW10,WeightedRevAge18)-SUMIF(ThresholdAge18,"&lt;"&amp;BW10,WeightedMinAge18),MAX(CapacityAge18*АбонементНовых*BW10,MeanMinAge18)))</f>
        <v/>
      </c>
      <c r="BX92" s="5">
        <f>IF(OR(('03_Сеть'!BX40-BX38)=0,18&lt;=КаникулыРоялти),0,('03_Сеть'!BX40-BX38)*IF(РоялтиПоГруппам="Да",MeanMinAge18+BX10*SUMIF(ThresholdAge18,"&lt;"&amp;BX10,WeightedRevAge18)-SUMIF(ThresholdAge18,"&lt;"&amp;BX10,WeightedMinAge18),MAX(CapacityAge18*АбонементНовых*BX10,MeanMinAge18)))</f>
        <v/>
      </c>
      <c r="BY92" s="5">
        <f>IF(OR(('03_Сеть'!BY40-BY38)=0,18&lt;=КаникулыРоялти),0,('03_Сеть'!BY40-BY38)*IF(РоялтиПоГруппам="Да",MeanMinAge18+BY10*SUMIF(ThresholdAge18,"&lt;"&amp;BY10,WeightedRevAge18)-SUMIF(ThresholdAge18,"&lt;"&amp;BY10,WeightedMinAge18),MAX(CapacityAge18*АбонементНовых*BY10,MeanMinAge18)))</f>
        <v/>
      </c>
    </row>
    <row r="93">
      <c r="B93" t="inlineStr">
        <is>
          <t>19 мес.</t>
        </is>
      </c>
      <c r="C93" t="inlineStr">
        <is>
          <t>₽</t>
        </is>
      </c>
      <c r="D93" s="127" t="inlineStr"/>
      <c r="E93" s="129">
        <f>SUM(L93:W93)</f>
        <v/>
      </c>
      <c r="F93" s="129">
        <f>SUM(X93:AI93)</f>
        <v/>
      </c>
      <c r="G93" s="129">
        <f>SUM(AJ93:AU93)</f>
        <v/>
      </c>
      <c r="H93" s="129">
        <f>SUM(AV93:BG93)</f>
        <v/>
      </c>
      <c r="I93" s="129">
        <f>SUM(BH93:BS93)</f>
        <v/>
      </c>
      <c r="J93" s="6">
        <f>SUM(L93:BS93)</f>
        <v/>
      </c>
      <c r="L93" s="5">
        <f>IF(OR(('03_Сеть'!L41-L39)=0,19&lt;=КаникулыРоялти),0,('03_Сеть'!L41-L39)*IF(РоялтиПоГруппам="Да",MeanMinAge19+L10*SUMIF(ThresholdAge19,"&lt;"&amp;L10,WeightedRevAge19)-SUMIF(ThresholdAge19,"&lt;"&amp;L10,WeightedMinAge19),MAX(CapacityAge19*АбонементНовых*L10,MeanMinAge19)))</f>
        <v/>
      </c>
      <c r="M93" s="5">
        <f>IF(OR(('03_Сеть'!M41-M39)=0,19&lt;=КаникулыРоялти),0,('03_Сеть'!M41-M39)*IF(РоялтиПоГруппам="Да",MeanMinAge19+M10*SUMIF(ThresholdAge19,"&lt;"&amp;M10,WeightedRevAge19)-SUMIF(ThresholdAge19,"&lt;"&amp;M10,WeightedMinAge19),MAX(CapacityAge19*АбонементНовых*M10,MeanMinAge19)))</f>
        <v/>
      </c>
      <c r="N93" s="5">
        <f>IF(OR(('03_Сеть'!N41-N39)=0,19&lt;=КаникулыРоялти),0,('03_Сеть'!N41-N39)*IF(РоялтиПоГруппам="Да",MeanMinAge19+N10*SUMIF(ThresholdAge19,"&lt;"&amp;N10,WeightedRevAge19)-SUMIF(ThresholdAge19,"&lt;"&amp;N10,WeightedMinAge19),MAX(CapacityAge19*АбонементНовых*N10,MeanMinAge19)))</f>
        <v/>
      </c>
      <c r="O93" s="5">
        <f>IF(OR(('03_Сеть'!O41-O39)=0,19&lt;=КаникулыРоялти),0,('03_Сеть'!O41-O39)*IF(РоялтиПоГруппам="Да",MeanMinAge19+O10*SUMIF(ThresholdAge19,"&lt;"&amp;O10,WeightedRevAge19)-SUMIF(ThresholdAge19,"&lt;"&amp;O10,WeightedMinAge19),MAX(CapacityAge19*АбонементНовых*O10,MeanMinAge19)))</f>
        <v/>
      </c>
      <c r="P93" s="5">
        <f>IF(OR(('03_Сеть'!P41-P39)=0,19&lt;=КаникулыРоялти),0,('03_Сеть'!P41-P39)*IF(РоялтиПоГруппам="Да",MeanMinAge19+P10*SUMIF(ThresholdAge19,"&lt;"&amp;P10,WeightedRevAge19)-SUMIF(ThresholdAge19,"&lt;"&amp;P10,WeightedMinAge19),MAX(CapacityAge19*АбонементНовых*P10,MeanMinAge19)))</f>
        <v/>
      </c>
      <c r="Q93" s="5">
        <f>IF(OR(('03_Сеть'!Q41-Q39)=0,19&lt;=КаникулыРоялти),0,('03_Сеть'!Q41-Q39)*IF(РоялтиПоГруппам="Да",MeanMinAge19+Q10*SUMIF(ThresholdAge19,"&lt;"&amp;Q10,WeightedRevAge19)-SUMIF(ThresholdAge19,"&lt;"&amp;Q10,WeightedMinAge19),MAX(CapacityAge19*АбонементНовых*Q10,MeanMinAge19)))</f>
        <v/>
      </c>
      <c r="R93" s="5">
        <f>IF(OR(('03_Сеть'!R41-R39)=0,19&lt;=КаникулыРоялти),0,('03_Сеть'!R41-R39)*IF(РоялтиПоГруппам="Да",MeanMinAge19+R10*SUMIF(ThresholdAge19,"&lt;"&amp;R10,WeightedRevAge19)-SUMIF(ThresholdAge19,"&lt;"&amp;R10,WeightedMinAge19),MAX(CapacityAge19*АбонементНовых*R10,MeanMinAge19)))</f>
        <v/>
      </c>
      <c r="S93" s="5">
        <f>IF(OR(('03_Сеть'!S41-S39)=0,19&lt;=КаникулыРоялти),0,('03_Сеть'!S41-S39)*IF(РоялтиПоГруппам="Да",MeanMinAge19+S10*SUMIF(ThresholdAge19,"&lt;"&amp;S10,WeightedRevAge19)-SUMIF(ThresholdAge19,"&lt;"&amp;S10,WeightedMinAge19),MAX(CapacityAge19*АбонементНовых*S10,MeanMinAge19)))</f>
        <v/>
      </c>
      <c r="T93" s="5">
        <f>IF(OR(('03_Сеть'!T41-T39)=0,19&lt;=КаникулыРоялти),0,('03_Сеть'!T41-T39)*IF(РоялтиПоГруппам="Да",MeanMinAge19+T10*SUMIF(ThresholdAge19,"&lt;"&amp;T10,WeightedRevAge19)-SUMIF(ThresholdAge19,"&lt;"&amp;T10,WeightedMinAge19),MAX(CapacityAge19*АбонементНовых*T10,MeanMinAge19)))</f>
        <v/>
      </c>
      <c r="U93" s="5">
        <f>IF(OR(('03_Сеть'!U41-U39)=0,19&lt;=КаникулыРоялти),0,('03_Сеть'!U41-U39)*IF(РоялтиПоГруппам="Да",MeanMinAge19+U10*SUMIF(ThresholdAge19,"&lt;"&amp;U10,WeightedRevAge19)-SUMIF(ThresholdAge19,"&lt;"&amp;U10,WeightedMinAge19),MAX(CapacityAge19*АбонементНовых*U10,MeanMinAge19)))</f>
        <v/>
      </c>
      <c r="V93" s="5">
        <f>IF(OR(('03_Сеть'!V41-V39)=0,19&lt;=КаникулыРоялти),0,('03_Сеть'!V41-V39)*IF(РоялтиПоГруппам="Да",MeanMinAge19+V10*SUMIF(ThresholdAge19,"&lt;"&amp;V10,WeightedRevAge19)-SUMIF(ThresholdAge19,"&lt;"&amp;V10,WeightedMinAge19),MAX(CapacityAge19*АбонементНовых*V10,MeanMinAge19)))</f>
        <v/>
      </c>
      <c r="W93" s="5">
        <f>IF(OR(('03_Сеть'!W41-W39)=0,19&lt;=КаникулыРоялти),0,('03_Сеть'!W41-W39)*IF(РоялтиПоГруппам="Да",MeanMinAge19+W10*SUMIF(ThresholdAge19,"&lt;"&amp;W10,WeightedRevAge19)-SUMIF(ThresholdAge19,"&lt;"&amp;W10,WeightedMinAge19),MAX(CapacityAge19*АбонементНовых*W10,MeanMinAge19)))</f>
        <v/>
      </c>
      <c r="X93" s="5">
        <f>IF(OR(('03_Сеть'!X41-X39)=0,19&lt;=КаникулыРоялти),0,('03_Сеть'!X41-X39)*IF(РоялтиПоГруппам="Да",MeanMinAge19+X10*SUMIF(ThresholdAge19,"&lt;"&amp;X10,WeightedRevAge19)-SUMIF(ThresholdAge19,"&lt;"&amp;X10,WeightedMinAge19),MAX(CapacityAge19*АбонементНовых*X10,MeanMinAge19)))</f>
        <v/>
      </c>
      <c r="Y93" s="5">
        <f>IF(OR(('03_Сеть'!Y41-Y39)=0,19&lt;=КаникулыРоялти),0,('03_Сеть'!Y41-Y39)*IF(РоялтиПоГруппам="Да",MeanMinAge19+Y10*SUMIF(ThresholdAge19,"&lt;"&amp;Y10,WeightedRevAge19)-SUMIF(ThresholdAge19,"&lt;"&amp;Y10,WeightedMinAge19),MAX(CapacityAge19*АбонементНовых*Y10,MeanMinAge19)))</f>
        <v/>
      </c>
      <c r="Z93" s="5">
        <f>IF(OR(('03_Сеть'!Z41-Z39)=0,19&lt;=КаникулыРоялти),0,('03_Сеть'!Z41-Z39)*IF(РоялтиПоГруппам="Да",MeanMinAge19+Z10*SUMIF(ThresholdAge19,"&lt;"&amp;Z10,WeightedRevAge19)-SUMIF(ThresholdAge19,"&lt;"&amp;Z10,WeightedMinAge19),MAX(CapacityAge19*АбонементНовых*Z10,MeanMinAge19)))</f>
        <v/>
      </c>
      <c r="AA93" s="5">
        <f>IF(OR(('03_Сеть'!AA41-AA39)=0,19&lt;=КаникулыРоялти),0,('03_Сеть'!AA41-AA39)*IF(РоялтиПоГруппам="Да",MeanMinAge19+AA10*SUMIF(ThresholdAge19,"&lt;"&amp;AA10,WeightedRevAge19)-SUMIF(ThresholdAge19,"&lt;"&amp;AA10,WeightedMinAge19),MAX(CapacityAge19*АбонементНовых*AA10,MeanMinAge19)))</f>
        <v/>
      </c>
      <c r="AB93" s="5">
        <f>IF(OR(('03_Сеть'!AB41-AB39)=0,19&lt;=КаникулыРоялти),0,('03_Сеть'!AB41-AB39)*IF(РоялтиПоГруппам="Да",MeanMinAge19+AB10*SUMIF(ThresholdAge19,"&lt;"&amp;AB10,WeightedRevAge19)-SUMIF(ThresholdAge19,"&lt;"&amp;AB10,WeightedMinAge19),MAX(CapacityAge19*АбонементНовых*AB10,MeanMinAge19)))</f>
        <v/>
      </c>
      <c r="AC93" s="5">
        <f>IF(OR(('03_Сеть'!AC41-AC39)=0,19&lt;=КаникулыРоялти),0,('03_Сеть'!AC41-AC39)*IF(РоялтиПоГруппам="Да",MeanMinAge19+AC10*SUMIF(ThresholdAge19,"&lt;"&amp;AC10,WeightedRevAge19)-SUMIF(ThresholdAge19,"&lt;"&amp;AC10,WeightedMinAge19),MAX(CapacityAge19*АбонементНовых*AC10,MeanMinAge19)))</f>
        <v/>
      </c>
      <c r="AD93" s="5">
        <f>IF(OR(('03_Сеть'!AD41-AD39)=0,19&lt;=КаникулыРоялти),0,('03_Сеть'!AD41-AD39)*IF(РоялтиПоГруппам="Да",MeanMinAge19+AD10*SUMIF(ThresholdAge19,"&lt;"&amp;AD10,WeightedRevAge19)-SUMIF(ThresholdAge19,"&lt;"&amp;AD10,WeightedMinAge19),MAX(CapacityAge19*АбонементНовых*AD10,MeanMinAge19)))</f>
        <v/>
      </c>
      <c r="AE93" s="5">
        <f>IF(OR(('03_Сеть'!AE41-AE39)=0,19&lt;=КаникулыРоялти),0,('03_Сеть'!AE41-AE39)*IF(РоялтиПоГруппам="Да",MeanMinAge19+AE10*SUMIF(ThresholdAge19,"&lt;"&amp;AE10,WeightedRevAge19)-SUMIF(ThresholdAge19,"&lt;"&amp;AE10,WeightedMinAge19),MAX(CapacityAge19*АбонементНовых*AE10,MeanMinAge19)))</f>
        <v/>
      </c>
      <c r="AF93" s="5">
        <f>IF(OR(('03_Сеть'!AF41-AF39)=0,19&lt;=КаникулыРоялти),0,('03_Сеть'!AF41-AF39)*IF(РоялтиПоГруппам="Да",MeanMinAge19+AF10*SUMIF(ThresholdAge19,"&lt;"&amp;AF10,WeightedRevAge19)-SUMIF(ThresholdAge19,"&lt;"&amp;AF10,WeightedMinAge19),MAX(CapacityAge19*АбонементНовых*AF10,MeanMinAge19)))</f>
        <v/>
      </c>
      <c r="AG93" s="5">
        <f>IF(OR(('03_Сеть'!AG41-AG39)=0,19&lt;=КаникулыРоялти),0,('03_Сеть'!AG41-AG39)*IF(РоялтиПоГруппам="Да",MeanMinAge19+AG10*SUMIF(ThresholdAge19,"&lt;"&amp;AG10,WeightedRevAge19)-SUMIF(ThresholdAge19,"&lt;"&amp;AG10,WeightedMinAge19),MAX(CapacityAge19*АбонементНовых*AG10,MeanMinAge19)))</f>
        <v/>
      </c>
      <c r="AH93" s="5">
        <f>IF(OR(('03_Сеть'!AH41-AH39)=0,19&lt;=КаникулыРоялти),0,('03_Сеть'!AH41-AH39)*IF(РоялтиПоГруппам="Да",MeanMinAge19+AH10*SUMIF(ThresholdAge19,"&lt;"&amp;AH10,WeightedRevAge19)-SUMIF(ThresholdAge19,"&lt;"&amp;AH10,WeightedMinAge19),MAX(CapacityAge19*АбонементНовых*AH10,MeanMinAge19)))</f>
        <v/>
      </c>
      <c r="AI93" s="5">
        <f>IF(OR(('03_Сеть'!AI41-AI39)=0,19&lt;=КаникулыРоялти),0,('03_Сеть'!AI41-AI39)*IF(РоялтиПоГруппам="Да",MeanMinAge19+AI10*SUMIF(ThresholdAge19,"&lt;"&amp;AI10,WeightedRevAge19)-SUMIF(ThresholdAge19,"&lt;"&amp;AI10,WeightedMinAge19),MAX(CapacityAge19*АбонементНовых*AI10,MeanMinAge19)))</f>
        <v/>
      </c>
      <c r="AJ93" s="5">
        <f>IF(OR(('03_Сеть'!AJ41-AJ39)=0,19&lt;=КаникулыРоялти),0,('03_Сеть'!AJ41-AJ39)*IF(РоялтиПоГруппам="Да",MeanMinAge19+AJ10*SUMIF(ThresholdAge19,"&lt;"&amp;AJ10,WeightedRevAge19)-SUMIF(ThresholdAge19,"&lt;"&amp;AJ10,WeightedMinAge19),MAX(CapacityAge19*АбонементНовых*AJ10,MeanMinAge19)))</f>
        <v/>
      </c>
      <c r="AK93" s="5">
        <f>IF(OR(('03_Сеть'!AK41-AK39)=0,19&lt;=КаникулыРоялти),0,('03_Сеть'!AK41-AK39)*IF(РоялтиПоГруппам="Да",MeanMinAge19+AK10*SUMIF(ThresholdAge19,"&lt;"&amp;AK10,WeightedRevAge19)-SUMIF(ThresholdAge19,"&lt;"&amp;AK10,WeightedMinAge19),MAX(CapacityAge19*АбонементНовых*AK10,MeanMinAge19)))</f>
        <v/>
      </c>
      <c r="AL93" s="5">
        <f>IF(OR(('03_Сеть'!AL41-AL39)=0,19&lt;=КаникулыРоялти),0,('03_Сеть'!AL41-AL39)*IF(РоялтиПоГруппам="Да",MeanMinAge19+AL10*SUMIF(ThresholdAge19,"&lt;"&amp;AL10,WeightedRevAge19)-SUMIF(ThresholdAge19,"&lt;"&amp;AL10,WeightedMinAge19),MAX(CapacityAge19*АбонементНовых*AL10,MeanMinAge19)))</f>
        <v/>
      </c>
      <c r="AM93" s="5">
        <f>IF(OR(('03_Сеть'!AM41-AM39)=0,19&lt;=КаникулыРоялти),0,('03_Сеть'!AM41-AM39)*IF(РоялтиПоГруппам="Да",MeanMinAge19+AM10*SUMIF(ThresholdAge19,"&lt;"&amp;AM10,WeightedRevAge19)-SUMIF(ThresholdAge19,"&lt;"&amp;AM10,WeightedMinAge19),MAX(CapacityAge19*АбонементНовых*AM10,MeanMinAge19)))</f>
        <v/>
      </c>
      <c r="AN93" s="5">
        <f>IF(OR(('03_Сеть'!AN41-AN39)=0,19&lt;=КаникулыРоялти),0,('03_Сеть'!AN41-AN39)*IF(РоялтиПоГруппам="Да",MeanMinAge19+AN10*SUMIF(ThresholdAge19,"&lt;"&amp;AN10,WeightedRevAge19)-SUMIF(ThresholdAge19,"&lt;"&amp;AN10,WeightedMinAge19),MAX(CapacityAge19*АбонементНовых*AN10,MeanMinAge19)))</f>
        <v/>
      </c>
      <c r="AO93" s="5">
        <f>IF(OR(('03_Сеть'!AO41-AO39)=0,19&lt;=КаникулыРоялти),0,('03_Сеть'!AO41-AO39)*IF(РоялтиПоГруппам="Да",MeanMinAge19+AO10*SUMIF(ThresholdAge19,"&lt;"&amp;AO10,WeightedRevAge19)-SUMIF(ThresholdAge19,"&lt;"&amp;AO10,WeightedMinAge19),MAX(CapacityAge19*АбонементНовых*AO10,MeanMinAge19)))</f>
        <v/>
      </c>
      <c r="AP93" s="5">
        <f>IF(OR(('03_Сеть'!AP41-AP39)=0,19&lt;=КаникулыРоялти),0,('03_Сеть'!AP41-AP39)*IF(РоялтиПоГруппам="Да",MeanMinAge19+AP10*SUMIF(ThresholdAge19,"&lt;"&amp;AP10,WeightedRevAge19)-SUMIF(ThresholdAge19,"&lt;"&amp;AP10,WeightedMinAge19),MAX(CapacityAge19*АбонементНовых*AP10,MeanMinAge19)))</f>
        <v/>
      </c>
      <c r="AQ93" s="5">
        <f>IF(OR(('03_Сеть'!AQ41-AQ39)=0,19&lt;=КаникулыРоялти),0,('03_Сеть'!AQ41-AQ39)*IF(РоялтиПоГруппам="Да",MeanMinAge19+AQ10*SUMIF(ThresholdAge19,"&lt;"&amp;AQ10,WeightedRevAge19)-SUMIF(ThresholdAge19,"&lt;"&amp;AQ10,WeightedMinAge19),MAX(CapacityAge19*АбонементНовых*AQ10,MeanMinAge19)))</f>
        <v/>
      </c>
      <c r="AR93" s="5">
        <f>IF(OR(('03_Сеть'!AR41-AR39)=0,19&lt;=КаникулыРоялти),0,('03_Сеть'!AR41-AR39)*IF(РоялтиПоГруппам="Да",MeanMinAge19+AR10*SUMIF(ThresholdAge19,"&lt;"&amp;AR10,WeightedRevAge19)-SUMIF(ThresholdAge19,"&lt;"&amp;AR10,WeightedMinAge19),MAX(CapacityAge19*АбонементНовых*AR10,MeanMinAge19)))</f>
        <v/>
      </c>
      <c r="AS93" s="5">
        <f>IF(OR(('03_Сеть'!AS41-AS39)=0,19&lt;=КаникулыРоялти),0,('03_Сеть'!AS41-AS39)*IF(РоялтиПоГруппам="Да",MeanMinAge19+AS10*SUMIF(ThresholdAge19,"&lt;"&amp;AS10,WeightedRevAge19)-SUMIF(ThresholdAge19,"&lt;"&amp;AS10,WeightedMinAge19),MAX(CapacityAge19*АбонементНовых*AS10,MeanMinAge19)))</f>
        <v/>
      </c>
      <c r="AT93" s="5">
        <f>IF(OR(('03_Сеть'!AT41-AT39)=0,19&lt;=КаникулыРоялти),0,('03_Сеть'!AT41-AT39)*IF(РоялтиПоГруппам="Да",MeanMinAge19+AT10*SUMIF(ThresholdAge19,"&lt;"&amp;AT10,WeightedRevAge19)-SUMIF(ThresholdAge19,"&lt;"&amp;AT10,WeightedMinAge19),MAX(CapacityAge19*АбонементНовых*AT10,MeanMinAge19)))</f>
        <v/>
      </c>
      <c r="AU93" s="5">
        <f>IF(OR(('03_Сеть'!AU41-AU39)=0,19&lt;=КаникулыРоялти),0,('03_Сеть'!AU41-AU39)*IF(РоялтиПоГруппам="Да",MeanMinAge19+AU10*SUMIF(ThresholdAge19,"&lt;"&amp;AU10,WeightedRevAge19)-SUMIF(ThresholdAge19,"&lt;"&amp;AU10,WeightedMinAge19),MAX(CapacityAge19*АбонементНовых*AU10,MeanMinAge19)))</f>
        <v/>
      </c>
      <c r="AV93" s="5">
        <f>IF(OR(('03_Сеть'!AV41-AV39)=0,19&lt;=КаникулыРоялти),0,('03_Сеть'!AV41-AV39)*IF(РоялтиПоГруппам="Да",MeanMinAge19+AV10*SUMIF(ThresholdAge19,"&lt;"&amp;AV10,WeightedRevAge19)-SUMIF(ThresholdAge19,"&lt;"&amp;AV10,WeightedMinAge19),MAX(CapacityAge19*АбонементНовых*AV10,MeanMinAge19)))</f>
        <v/>
      </c>
      <c r="AW93" s="5">
        <f>IF(OR(('03_Сеть'!AW41-AW39)=0,19&lt;=КаникулыРоялти),0,('03_Сеть'!AW41-AW39)*IF(РоялтиПоГруппам="Да",MeanMinAge19+AW10*SUMIF(ThresholdAge19,"&lt;"&amp;AW10,WeightedRevAge19)-SUMIF(ThresholdAge19,"&lt;"&amp;AW10,WeightedMinAge19),MAX(CapacityAge19*АбонементНовых*AW10,MeanMinAge19)))</f>
        <v/>
      </c>
      <c r="AX93" s="5">
        <f>IF(OR(('03_Сеть'!AX41-AX39)=0,19&lt;=КаникулыРоялти),0,('03_Сеть'!AX41-AX39)*IF(РоялтиПоГруппам="Да",MeanMinAge19+AX10*SUMIF(ThresholdAge19,"&lt;"&amp;AX10,WeightedRevAge19)-SUMIF(ThresholdAge19,"&lt;"&amp;AX10,WeightedMinAge19),MAX(CapacityAge19*АбонементНовых*AX10,MeanMinAge19)))</f>
        <v/>
      </c>
      <c r="AY93" s="5">
        <f>IF(OR(('03_Сеть'!AY41-AY39)=0,19&lt;=КаникулыРоялти),0,('03_Сеть'!AY41-AY39)*IF(РоялтиПоГруппам="Да",MeanMinAge19+AY10*SUMIF(ThresholdAge19,"&lt;"&amp;AY10,WeightedRevAge19)-SUMIF(ThresholdAge19,"&lt;"&amp;AY10,WeightedMinAge19),MAX(CapacityAge19*АбонементНовых*AY10,MeanMinAge19)))</f>
        <v/>
      </c>
      <c r="AZ93" s="5">
        <f>IF(OR(('03_Сеть'!AZ41-AZ39)=0,19&lt;=КаникулыРоялти),0,('03_Сеть'!AZ41-AZ39)*IF(РоялтиПоГруппам="Да",MeanMinAge19+AZ10*SUMIF(ThresholdAge19,"&lt;"&amp;AZ10,WeightedRevAge19)-SUMIF(ThresholdAge19,"&lt;"&amp;AZ10,WeightedMinAge19),MAX(CapacityAge19*АбонементНовых*AZ10,MeanMinAge19)))</f>
        <v/>
      </c>
      <c r="BA93" s="5">
        <f>IF(OR(('03_Сеть'!BA41-BA39)=0,19&lt;=КаникулыРоялти),0,('03_Сеть'!BA41-BA39)*IF(РоялтиПоГруппам="Да",MeanMinAge19+BA10*SUMIF(ThresholdAge19,"&lt;"&amp;BA10,WeightedRevAge19)-SUMIF(ThresholdAge19,"&lt;"&amp;BA10,WeightedMinAge19),MAX(CapacityAge19*АбонементНовых*BA10,MeanMinAge19)))</f>
        <v/>
      </c>
      <c r="BB93" s="5">
        <f>IF(OR(('03_Сеть'!BB41-BB39)=0,19&lt;=КаникулыРоялти),0,('03_Сеть'!BB41-BB39)*IF(РоялтиПоГруппам="Да",MeanMinAge19+BB10*SUMIF(ThresholdAge19,"&lt;"&amp;BB10,WeightedRevAge19)-SUMIF(ThresholdAge19,"&lt;"&amp;BB10,WeightedMinAge19),MAX(CapacityAge19*АбонементНовых*BB10,MeanMinAge19)))</f>
        <v/>
      </c>
      <c r="BC93" s="5">
        <f>IF(OR(('03_Сеть'!BC41-BC39)=0,19&lt;=КаникулыРоялти),0,('03_Сеть'!BC41-BC39)*IF(РоялтиПоГруппам="Да",MeanMinAge19+BC10*SUMIF(ThresholdAge19,"&lt;"&amp;BC10,WeightedRevAge19)-SUMIF(ThresholdAge19,"&lt;"&amp;BC10,WeightedMinAge19),MAX(CapacityAge19*АбонементНовых*BC10,MeanMinAge19)))</f>
        <v/>
      </c>
      <c r="BD93" s="5">
        <f>IF(OR(('03_Сеть'!BD41-BD39)=0,19&lt;=КаникулыРоялти),0,('03_Сеть'!BD41-BD39)*IF(РоялтиПоГруппам="Да",MeanMinAge19+BD10*SUMIF(ThresholdAge19,"&lt;"&amp;BD10,WeightedRevAge19)-SUMIF(ThresholdAge19,"&lt;"&amp;BD10,WeightedMinAge19),MAX(CapacityAge19*АбонементНовых*BD10,MeanMinAge19)))</f>
        <v/>
      </c>
      <c r="BE93" s="5">
        <f>IF(OR(('03_Сеть'!BE41-BE39)=0,19&lt;=КаникулыРоялти),0,('03_Сеть'!BE41-BE39)*IF(РоялтиПоГруппам="Да",MeanMinAge19+BE10*SUMIF(ThresholdAge19,"&lt;"&amp;BE10,WeightedRevAge19)-SUMIF(ThresholdAge19,"&lt;"&amp;BE10,WeightedMinAge19),MAX(CapacityAge19*АбонементНовых*BE10,MeanMinAge19)))</f>
        <v/>
      </c>
      <c r="BF93" s="5">
        <f>IF(OR(('03_Сеть'!BF41-BF39)=0,19&lt;=КаникулыРоялти),0,('03_Сеть'!BF41-BF39)*IF(РоялтиПоГруппам="Да",MeanMinAge19+BF10*SUMIF(ThresholdAge19,"&lt;"&amp;BF10,WeightedRevAge19)-SUMIF(ThresholdAge19,"&lt;"&amp;BF10,WeightedMinAge19),MAX(CapacityAge19*АбонементНовых*BF10,MeanMinAge19)))</f>
        <v/>
      </c>
      <c r="BG93" s="5">
        <f>IF(OR(('03_Сеть'!BG41-BG39)=0,19&lt;=КаникулыРоялти),0,('03_Сеть'!BG41-BG39)*IF(РоялтиПоГруппам="Да",MeanMinAge19+BG10*SUMIF(ThresholdAge19,"&lt;"&amp;BG10,WeightedRevAge19)-SUMIF(ThresholdAge19,"&lt;"&amp;BG10,WeightedMinAge19),MAX(CapacityAge19*АбонементНовых*BG10,MeanMinAge19)))</f>
        <v/>
      </c>
      <c r="BH93" s="5">
        <f>IF(OR(('03_Сеть'!BH41-BH39)=0,19&lt;=КаникулыРоялти),0,('03_Сеть'!BH41-BH39)*IF(РоялтиПоГруппам="Да",MeanMinAge19+BH10*SUMIF(ThresholdAge19,"&lt;"&amp;BH10,WeightedRevAge19)-SUMIF(ThresholdAge19,"&lt;"&amp;BH10,WeightedMinAge19),MAX(CapacityAge19*АбонементНовых*BH10,MeanMinAge19)))</f>
        <v/>
      </c>
      <c r="BI93" s="5">
        <f>IF(OR(('03_Сеть'!BI41-BI39)=0,19&lt;=КаникулыРоялти),0,('03_Сеть'!BI41-BI39)*IF(РоялтиПоГруппам="Да",MeanMinAge19+BI10*SUMIF(ThresholdAge19,"&lt;"&amp;BI10,WeightedRevAge19)-SUMIF(ThresholdAge19,"&lt;"&amp;BI10,WeightedMinAge19),MAX(CapacityAge19*АбонементНовых*BI10,MeanMinAge19)))</f>
        <v/>
      </c>
      <c r="BJ93" s="5">
        <f>IF(OR(('03_Сеть'!BJ41-BJ39)=0,19&lt;=КаникулыРоялти),0,('03_Сеть'!BJ41-BJ39)*IF(РоялтиПоГруппам="Да",MeanMinAge19+BJ10*SUMIF(ThresholdAge19,"&lt;"&amp;BJ10,WeightedRevAge19)-SUMIF(ThresholdAge19,"&lt;"&amp;BJ10,WeightedMinAge19),MAX(CapacityAge19*АбонементНовых*BJ10,MeanMinAge19)))</f>
        <v/>
      </c>
      <c r="BK93" s="5">
        <f>IF(OR(('03_Сеть'!BK41-BK39)=0,19&lt;=КаникулыРоялти),0,('03_Сеть'!BK41-BK39)*IF(РоялтиПоГруппам="Да",MeanMinAge19+BK10*SUMIF(ThresholdAge19,"&lt;"&amp;BK10,WeightedRevAge19)-SUMIF(ThresholdAge19,"&lt;"&amp;BK10,WeightedMinAge19),MAX(CapacityAge19*АбонементНовых*BK10,MeanMinAge19)))</f>
        <v/>
      </c>
      <c r="BL93" s="5">
        <f>IF(OR(('03_Сеть'!BL41-BL39)=0,19&lt;=КаникулыРоялти),0,('03_Сеть'!BL41-BL39)*IF(РоялтиПоГруппам="Да",MeanMinAge19+BL10*SUMIF(ThresholdAge19,"&lt;"&amp;BL10,WeightedRevAge19)-SUMIF(ThresholdAge19,"&lt;"&amp;BL10,WeightedMinAge19),MAX(CapacityAge19*АбонементНовых*BL10,MeanMinAge19)))</f>
        <v/>
      </c>
      <c r="BM93" s="5">
        <f>IF(OR(('03_Сеть'!BM41-BM39)=0,19&lt;=КаникулыРоялти),0,('03_Сеть'!BM41-BM39)*IF(РоялтиПоГруппам="Да",MeanMinAge19+BM10*SUMIF(ThresholdAge19,"&lt;"&amp;BM10,WeightedRevAge19)-SUMIF(ThresholdAge19,"&lt;"&amp;BM10,WeightedMinAge19),MAX(CapacityAge19*АбонементНовых*BM10,MeanMinAge19)))</f>
        <v/>
      </c>
      <c r="BN93" s="5">
        <f>IF(OR(('03_Сеть'!BN41-BN39)=0,19&lt;=КаникулыРоялти),0,('03_Сеть'!BN41-BN39)*IF(РоялтиПоГруппам="Да",MeanMinAge19+BN10*SUMIF(ThresholdAge19,"&lt;"&amp;BN10,WeightedRevAge19)-SUMIF(ThresholdAge19,"&lt;"&amp;BN10,WeightedMinAge19),MAX(CapacityAge19*АбонементНовых*BN10,MeanMinAge19)))</f>
        <v/>
      </c>
      <c r="BO93" s="5">
        <f>IF(OR(('03_Сеть'!BO41-BO39)=0,19&lt;=КаникулыРоялти),0,('03_Сеть'!BO41-BO39)*IF(РоялтиПоГруппам="Да",MeanMinAge19+BO10*SUMIF(ThresholdAge19,"&lt;"&amp;BO10,WeightedRevAge19)-SUMIF(ThresholdAge19,"&lt;"&amp;BO10,WeightedMinAge19),MAX(CapacityAge19*АбонементНовых*BO10,MeanMinAge19)))</f>
        <v/>
      </c>
      <c r="BP93" s="5">
        <f>IF(OR(('03_Сеть'!BP41-BP39)=0,19&lt;=КаникулыРоялти),0,('03_Сеть'!BP41-BP39)*IF(РоялтиПоГруппам="Да",MeanMinAge19+BP10*SUMIF(ThresholdAge19,"&lt;"&amp;BP10,WeightedRevAge19)-SUMIF(ThresholdAge19,"&lt;"&amp;BP10,WeightedMinAge19),MAX(CapacityAge19*АбонементНовых*BP10,MeanMinAge19)))</f>
        <v/>
      </c>
      <c r="BQ93" s="5">
        <f>IF(OR(('03_Сеть'!BQ41-BQ39)=0,19&lt;=КаникулыРоялти),0,('03_Сеть'!BQ41-BQ39)*IF(РоялтиПоГруппам="Да",MeanMinAge19+BQ10*SUMIF(ThresholdAge19,"&lt;"&amp;BQ10,WeightedRevAge19)-SUMIF(ThresholdAge19,"&lt;"&amp;BQ10,WeightedMinAge19),MAX(CapacityAge19*АбонементНовых*BQ10,MeanMinAge19)))</f>
        <v/>
      </c>
      <c r="BR93" s="5">
        <f>IF(OR(('03_Сеть'!BR41-BR39)=0,19&lt;=КаникулыРоялти),0,('03_Сеть'!BR41-BR39)*IF(РоялтиПоГруппам="Да",MeanMinAge19+BR10*SUMIF(ThresholdAge19,"&lt;"&amp;BR10,WeightedRevAge19)-SUMIF(ThresholdAge19,"&lt;"&amp;BR10,WeightedMinAge19),MAX(CapacityAge19*АбонементНовых*BR10,MeanMinAge19)))</f>
        <v/>
      </c>
      <c r="BS93" s="5">
        <f>IF(OR(('03_Сеть'!BS41-BS39)=0,19&lt;=КаникулыРоялти),0,('03_Сеть'!BS41-BS39)*IF(РоялтиПоГруппам="Да",MeanMinAge19+BS10*SUMIF(ThresholdAge19,"&lt;"&amp;BS10,WeightedRevAge19)-SUMIF(ThresholdAge19,"&lt;"&amp;BS10,WeightedMinAge19),MAX(CapacityAge19*АбонементНовых*BS10,MeanMinAge19)))</f>
        <v/>
      </c>
      <c r="BT93" s="5">
        <f>IF(OR(('03_Сеть'!BT41-BT39)=0,19&lt;=КаникулыРоялти),0,('03_Сеть'!BT41-BT39)*IF(РоялтиПоГруппам="Да",MeanMinAge19+BT10*SUMIF(ThresholdAge19,"&lt;"&amp;BT10,WeightedRevAge19)-SUMIF(ThresholdAge19,"&lt;"&amp;BT10,WeightedMinAge19),MAX(CapacityAge19*АбонементНовых*BT10,MeanMinAge19)))</f>
        <v/>
      </c>
      <c r="BU93" s="5">
        <f>IF(OR(('03_Сеть'!BU41-BU39)=0,19&lt;=КаникулыРоялти),0,('03_Сеть'!BU41-BU39)*IF(РоялтиПоГруппам="Да",MeanMinAge19+BU10*SUMIF(ThresholdAge19,"&lt;"&amp;BU10,WeightedRevAge19)-SUMIF(ThresholdAge19,"&lt;"&amp;BU10,WeightedMinAge19),MAX(CapacityAge19*АбонементНовых*BU10,MeanMinAge19)))</f>
        <v/>
      </c>
      <c r="BV93" s="5">
        <f>IF(OR(('03_Сеть'!BV41-BV39)=0,19&lt;=КаникулыРоялти),0,('03_Сеть'!BV41-BV39)*IF(РоялтиПоГруппам="Да",MeanMinAge19+BV10*SUMIF(ThresholdAge19,"&lt;"&amp;BV10,WeightedRevAge19)-SUMIF(ThresholdAge19,"&lt;"&amp;BV10,WeightedMinAge19),MAX(CapacityAge19*АбонементНовых*BV10,MeanMinAge19)))</f>
        <v/>
      </c>
      <c r="BW93" s="5">
        <f>IF(OR(('03_Сеть'!BW41-BW39)=0,19&lt;=КаникулыРоялти),0,('03_Сеть'!BW41-BW39)*IF(РоялтиПоГруппам="Да",MeanMinAge19+BW10*SUMIF(ThresholdAge19,"&lt;"&amp;BW10,WeightedRevAge19)-SUMIF(ThresholdAge19,"&lt;"&amp;BW10,WeightedMinAge19),MAX(CapacityAge19*АбонементНовых*BW10,MeanMinAge19)))</f>
        <v/>
      </c>
      <c r="BX93" s="5">
        <f>IF(OR(('03_Сеть'!BX41-BX39)=0,19&lt;=КаникулыРоялти),0,('03_Сеть'!BX41-BX39)*IF(РоялтиПоГруппам="Да",MeanMinAge19+BX10*SUMIF(ThresholdAge19,"&lt;"&amp;BX10,WeightedRevAge19)-SUMIF(ThresholdAge19,"&lt;"&amp;BX10,WeightedMinAge19),MAX(CapacityAge19*АбонементНовых*BX10,MeanMinAge19)))</f>
        <v/>
      </c>
      <c r="BY93" s="5">
        <f>IF(OR(('03_Сеть'!BY41-BY39)=0,19&lt;=КаникулыРоялти),0,('03_Сеть'!BY41-BY39)*IF(РоялтиПоГруппам="Да",MeanMinAge19+BY10*SUMIF(ThresholdAge19,"&lt;"&amp;BY10,WeightedRevAge19)-SUMIF(ThresholdAge19,"&lt;"&amp;BY10,WeightedMinAge19),MAX(CapacityAge19*АбонементНовых*BY10,MeanMinAge19)))</f>
        <v/>
      </c>
    </row>
    <row r="94">
      <c r="B94" t="inlineStr">
        <is>
          <t>20 мес.</t>
        </is>
      </c>
      <c r="C94" t="inlineStr">
        <is>
          <t>₽</t>
        </is>
      </c>
      <c r="D94" s="127" t="inlineStr"/>
      <c r="E94" s="129">
        <f>SUM(L94:W94)</f>
        <v/>
      </c>
      <c r="F94" s="129">
        <f>SUM(X94:AI94)</f>
        <v/>
      </c>
      <c r="G94" s="129">
        <f>SUM(AJ94:AU94)</f>
        <v/>
      </c>
      <c r="H94" s="129">
        <f>SUM(AV94:BG94)</f>
        <v/>
      </c>
      <c r="I94" s="129">
        <f>SUM(BH94:BS94)</f>
        <v/>
      </c>
      <c r="J94" s="6">
        <f>SUM(L94:BS94)</f>
        <v/>
      </c>
      <c r="L94" s="5">
        <f>IF(OR(('03_Сеть'!L42-L40)=0,20&lt;=КаникулыРоялти),0,('03_Сеть'!L42-L40)*IF(РоялтиПоГруппам="Да",MeanMinAge20+L10*SUMIF(ThresholdAge20,"&lt;"&amp;L10,WeightedRevAge20)-SUMIF(ThresholdAge20,"&lt;"&amp;L10,WeightedMinAge20),MAX(CapacityAge20*АбонементНовых*L10,MeanMinAge20)))</f>
        <v/>
      </c>
      <c r="M94" s="5">
        <f>IF(OR(('03_Сеть'!M42-M40)=0,20&lt;=КаникулыРоялти),0,('03_Сеть'!M42-M40)*IF(РоялтиПоГруппам="Да",MeanMinAge20+M10*SUMIF(ThresholdAge20,"&lt;"&amp;M10,WeightedRevAge20)-SUMIF(ThresholdAge20,"&lt;"&amp;M10,WeightedMinAge20),MAX(CapacityAge20*АбонементНовых*M10,MeanMinAge20)))</f>
        <v/>
      </c>
      <c r="N94" s="5">
        <f>IF(OR(('03_Сеть'!N42-N40)=0,20&lt;=КаникулыРоялти),0,('03_Сеть'!N42-N40)*IF(РоялтиПоГруппам="Да",MeanMinAge20+N10*SUMIF(ThresholdAge20,"&lt;"&amp;N10,WeightedRevAge20)-SUMIF(ThresholdAge20,"&lt;"&amp;N10,WeightedMinAge20),MAX(CapacityAge20*АбонементНовых*N10,MeanMinAge20)))</f>
        <v/>
      </c>
      <c r="O94" s="5">
        <f>IF(OR(('03_Сеть'!O42-O40)=0,20&lt;=КаникулыРоялти),0,('03_Сеть'!O42-O40)*IF(РоялтиПоГруппам="Да",MeanMinAge20+O10*SUMIF(ThresholdAge20,"&lt;"&amp;O10,WeightedRevAge20)-SUMIF(ThresholdAge20,"&lt;"&amp;O10,WeightedMinAge20),MAX(CapacityAge20*АбонементНовых*O10,MeanMinAge20)))</f>
        <v/>
      </c>
      <c r="P94" s="5">
        <f>IF(OR(('03_Сеть'!P42-P40)=0,20&lt;=КаникулыРоялти),0,('03_Сеть'!P42-P40)*IF(РоялтиПоГруппам="Да",MeanMinAge20+P10*SUMIF(ThresholdAge20,"&lt;"&amp;P10,WeightedRevAge20)-SUMIF(ThresholdAge20,"&lt;"&amp;P10,WeightedMinAge20),MAX(CapacityAge20*АбонементНовых*P10,MeanMinAge20)))</f>
        <v/>
      </c>
      <c r="Q94" s="5">
        <f>IF(OR(('03_Сеть'!Q42-Q40)=0,20&lt;=КаникулыРоялти),0,('03_Сеть'!Q42-Q40)*IF(РоялтиПоГруппам="Да",MeanMinAge20+Q10*SUMIF(ThresholdAge20,"&lt;"&amp;Q10,WeightedRevAge20)-SUMIF(ThresholdAge20,"&lt;"&amp;Q10,WeightedMinAge20),MAX(CapacityAge20*АбонементНовых*Q10,MeanMinAge20)))</f>
        <v/>
      </c>
      <c r="R94" s="5">
        <f>IF(OR(('03_Сеть'!R42-R40)=0,20&lt;=КаникулыРоялти),0,('03_Сеть'!R42-R40)*IF(РоялтиПоГруппам="Да",MeanMinAge20+R10*SUMIF(ThresholdAge20,"&lt;"&amp;R10,WeightedRevAge20)-SUMIF(ThresholdAge20,"&lt;"&amp;R10,WeightedMinAge20),MAX(CapacityAge20*АбонементНовых*R10,MeanMinAge20)))</f>
        <v/>
      </c>
      <c r="S94" s="5">
        <f>IF(OR(('03_Сеть'!S42-S40)=0,20&lt;=КаникулыРоялти),0,('03_Сеть'!S42-S40)*IF(РоялтиПоГруппам="Да",MeanMinAge20+S10*SUMIF(ThresholdAge20,"&lt;"&amp;S10,WeightedRevAge20)-SUMIF(ThresholdAge20,"&lt;"&amp;S10,WeightedMinAge20),MAX(CapacityAge20*АбонементНовых*S10,MeanMinAge20)))</f>
        <v/>
      </c>
      <c r="T94" s="5">
        <f>IF(OR(('03_Сеть'!T42-T40)=0,20&lt;=КаникулыРоялти),0,('03_Сеть'!T42-T40)*IF(РоялтиПоГруппам="Да",MeanMinAge20+T10*SUMIF(ThresholdAge20,"&lt;"&amp;T10,WeightedRevAge20)-SUMIF(ThresholdAge20,"&lt;"&amp;T10,WeightedMinAge20),MAX(CapacityAge20*АбонементНовых*T10,MeanMinAge20)))</f>
        <v/>
      </c>
      <c r="U94" s="5">
        <f>IF(OR(('03_Сеть'!U42-U40)=0,20&lt;=КаникулыРоялти),0,('03_Сеть'!U42-U40)*IF(РоялтиПоГруппам="Да",MeanMinAge20+U10*SUMIF(ThresholdAge20,"&lt;"&amp;U10,WeightedRevAge20)-SUMIF(ThresholdAge20,"&lt;"&amp;U10,WeightedMinAge20),MAX(CapacityAge20*АбонементНовых*U10,MeanMinAge20)))</f>
        <v/>
      </c>
      <c r="V94" s="5">
        <f>IF(OR(('03_Сеть'!V42-V40)=0,20&lt;=КаникулыРоялти),0,('03_Сеть'!V42-V40)*IF(РоялтиПоГруппам="Да",MeanMinAge20+V10*SUMIF(ThresholdAge20,"&lt;"&amp;V10,WeightedRevAge20)-SUMIF(ThresholdAge20,"&lt;"&amp;V10,WeightedMinAge20),MAX(CapacityAge20*АбонементНовых*V10,MeanMinAge20)))</f>
        <v/>
      </c>
      <c r="W94" s="5">
        <f>IF(OR(('03_Сеть'!W42-W40)=0,20&lt;=КаникулыРоялти),0,('03_Сеть'!W42-W40)*IF(РоялтиПоГруппам="Да",MeanMinAge20+W10*SUMIF(ThresholdAge20,"&lt;"&amp;W10,WeightedRevAge20)-SUMIF(ThresholdAge20,"&lt;"&amp;W10,WeightedMinAge20),MAX(CapacityAge20*АбонементНовых*W10,MeanMinAge20)))</f>
        <v/>
      </c>
      <c r="X94" s="5">
        <f>IF(OR(('03_Сеть'!X42-X40)=0,20&lt;=КаникулыРоялти),0,('03_Сеть'!X42-X40)*IF(РоялтиПоГруппам="Да",MeanMinAge20+X10*SUMIF(ThresholdAge20,"&lt;"&amp;X10,WeightedRevAge20)-SUMIF(ThresholdAge20,"&lt;"&amp;X10,WeightedMinAge20),MAX(CapacityAge20*АбонементНовых*X10,MeanMinAge20)))</f>
        <v/>
      </c>
      <c r="Y94" s="5">
        <f>IF(OR(('03_Сеть'!Y42-Y40)=0,20&lt;=КаникулыРоялти),0,('03_Сеть'!Y42-Y40)*IF(РоялтиПоГруппам="Да",MeanMinAge20+Y10*SUMIF(ThresholdAge20,"&lt;"&amp;Y10,WeightedRevAge20)-SUMIF(ThresholdAge20,"&lt;"&amp;Y10,WeightedMinAge20),MAX(CapacityAge20*АбонементНовых*Y10,MeanMinAge20)))</f>
        <v/>
      </c>
      <c r="Z94" s="5">
        <f>IF(OR(('03_Сеть'!Z42-Z40)=0,20&lt;=КаникулыРоялти),0,('03_Сеть'!Z42-Z40)*IF(РоялтиПоГруппам="Да",MeanMinAge20+Z10*SUMIF(ThresholdAge20,"&lt;"&amp;Z10,WeightedRevAge20)-SUMIF(ThresholdAge20,"&lt;"&amp;Z10,WeightedMinAge20),MAX(CapacityAge20*АбонементНовых*Z10,MeanMinAge20)))</f>
        <v/>
      </c>
      <c r="AA94" s="5">
        <f>IF(OR(('03_Сеть'!AA42-AA40)=0,20&lt;=КаникулыРоялти),0,('03_Сеть'!AA42-AA40)*IF(РоялтиПоГруппам="Да",MeanMinAge20+AA10*SUMIF(ThresholdAge20,"&lt;"&amp;AA10,WeightedRevAge20)-SUMIF(ThresholdAge20,"&lt;"&amp;AA10,WeightedMinAge20),MAX(CapacityAge20*АбонементНовых*AA10,MeanMinAge20)))</f>
        <v/>
      </c>
      <c r="AB94" s="5">
        <f>IF(OR(('03_Сеть'!AB42-AB40)=0,20&lt;=КаникулыРоялти),0,('03_Сеть'!AB42-AB40)*IF(РоялтиПоГруппам="Да",MeanMinAge20+AB10*SUMIF(ThresholdAge20,"&lt;"&amp;AB10,WeightedRevAge20)-SUMIF(ThresholdAge20,"&lt;"&amp;AB10,WeightedMinAge20),MAX(CapacityAge20*АбонементНовых*AB10,MeanMinAge20)))</f>
        <v/>
      </c>
      <c r="AC94" s="5">
        <f>IF(OR(('03_Сеть'!AC42-AC40)=0,20&lt;=КаникулыРоялти),0,('03_Сеть'!AC42-AC40)*IF(РоялтиПоГруппам="Да",MeanMinAge20+AC10*SUMIF(ThresholdAge20,"&lt;"&amp;AC10,WeightedRevAge20)-SUMIF(ThresholdAge20,"&lt;"&amp;AC10,WeightedMinAge20),MAX(CapacityAge20*АбонементНовых*AC10,MeanMinAge20)))</f>
        <v/>
      </c>
      <c r="AD94" s="5">
        <f>IF(OR(('03_Сеть'!AD42-AD40)=0,20&lt;=КаникулыРоялти),0,('03_Сеть'!AD42-AD40)*IF(РоялтиПоГруппам="Да",MeanMinAge20+AD10*SUMIF(ThresholdAge20,"&lt;"&amp;AD10,WeightedRevAge20)-SUMIF(ThresholdAge20,"&lt;"&amp;AD10,WeightedMinAge20),MAX(CapacityAge20*АбонементНовых*AD10,MeanMinAge20)))</f>
        <v/>
      </c>
      <c r="AE94" s="5">
        <f>IF(OR(('03_Сеть'!AE42-AE40)=0,20&lt;=КаникулыРоялти),0,('03_Сеть'!AE42-AE40)*IF(РоялтиПоГруппам="Да",MeanMinAge20+AE10*SUMIF(ThresholdAge20,"&lt;"&amp;AE10,WeightedRevAge20)-SUMIF(ThresholdAge20,"&lt;"&amp;AE10,WeightedMinAge20),MAX(CapacityAge20*АбонементНовых*AE10,MeanMinAge20)))</f>
        <v/>
      </c>
      <c r="AF94" s="5">
        <f>IF(OR(('03_Сеть'!AF42-AF40)=0,20&lt;=КаникулыРоялти),0,('03_Сеть'!AF42-AF40)*IF(РоялтиПоГруппам="Да",MeanMinAge20+AF10*SUMIF(ThresholdAge20,"&lt;"&amp;AF10,WeightedRevAge20)-SUMIF(ThresholdAge20,"&lt;"&amp;AF10,WeightedMinAge20),MAX(CapacityAge20*АбонементНовых*AF10,MeanMinAge20)))</f>
        <v/>
      </c>
      <c r="AG94" s="5">
        <f>IF(OR(('03_Сеть'!AG42-AG40)=0,20&lt;=КаникулыРоялти),0,('03_Сеть'!AG42-AG40)*IF(РоялтиПоГруппам="Да",MeanMinAge20+AG10*SUMIF(ThresholdAge20,"&lt;"&amp;AG10,WeightedRevAge20)-SUMIF(ThresholdAge20,"&lt;"&amp;AG10,WeightedMinAge20),MAX(CapacityAge20*АбонементНовых*AG10,MeanMinAge20)))</f>
        <v/>
      </c>
      <c r="AH94" s="5">
        <f>IF(OR(('03_Сеть'!AH42-AH40)=0,20&lt;=КаникулыРоялти),0,('03_Сеть'!AH42-AH40)*IF(РоялтиПоГруппам="Да",MeanMinAge20+AH10*SUMIF(ThresholdAge20,"&lt;"&amp;AH10,WeightedRevAge20)-SUMIF(ThresholdAge20,"&lt;"&amp;AH10,WeightedMinAge20),MAX(CapacityAge20*АбонементНовых*AH10,MeanMinAge20)))</f>
        <v/>
      </c>
      <c r="AI94" s="5">
        <f>IF(OR(('03_Сеть'!AI42-AI40)=0,20&lt;=КаникулыРоялти),0,('03_Сеть'!AI42-AI40)*IF(РоялтиПоГруппам="Да",MeanMinAge20+AI10*SUMIF(ThresholdAge20,"&lt;"&amp;AI10,WeightedRevAge20)-SUMIF(ThresholdAge20,"&lt;"&amp;AI10,WeightedMinAge20),MAX(CapacityAge20*АбонементНовых*AI10,MeanMinAge20)))</f>
        <v/>
      </c>
      <c r="AJ94" s="5">
        <f>IF(OR(('03_Сеть'!AJ42-AJ40)=0,20&lt;=КаникулыРоялти),0,('03_Сеть'!AJ42-AJ40)*IF(РоялтиПоГруппам="Да",MeanMinAge20+AJ10*SUMIF(ThresholdAge20,"&lt;"&amp;AJ10,WeightedRevAge20)-SUMIF(ThresholdAge20,"&lt;"&amp;AJ10,WeightedMinAge20),MAX(CapacityAge20*АбонементНовых*AJ10,MeanMinAge20)))</f>
        <v/>
      </c>
      <c r="AK94" s="5">
        <f>IF(OR(('03_Сеть'!AK42-AK40)=0,20&lt;=КаникулыРоялти),0,('03_Сеть'!AK42-AK40)*IF(РоялтиПоГруппам="Да",MeanMinAge20+AK10*SUMIF(ThresholdAge20,"&lt;"&amp;AK10,WeightedRevAge20)-SUMIF(ThresholdAge20,"&lt;"&amp;AK10,WeightedMinAge20),MAX(CapacityAge20*АбонементНовых*AK10,MeanMinAge20)))</f>
        <v/>
      </c>
      <c r="AL94" s="5">
        <f>IF(OR(('03_Сеть'!AL42-AL40)=0,20&lt;=КаникулыРоялти),0,('03_Сеть'!AL42-AL40)*IF(РоялтиПоГруппам="Да",MeanMinAge20+AL10*SUMIF(ThresholdAge20,"&lt;"&amp;AL10,WeightedRevAge20)-SUMIF(ThresholdAge20,"&lt;"&amp;AL10,WeightedMinAge20),MAX(CapacityAge20*АбонементНовых*AL10,MeanMinAge20)))</f>
        <v/>
      </c>
      <c r="AM94" s="5">
        <f>IF(OR(('03_Сеть'!AM42-AM40)=0,20&lt;=КаникулыРоялти),0,('03_Сеть'!AM42-AM40)*IF(РоялтиПоГруппам="Да",MeanMinAge20+AM10*SUMIF(ThresholdAge20,"&lt;"&amp;AM10,WeightedRevAge20)-SUMIF(ThresholdAge20,"&lt;"&amp;AM10,WeightedMinAge20),MAX(CapacityAge20*АбонементНовых*AM10,MeanMinAge20)))</f>
        <v/>
      </c>
      <c r="AN94" s="5">
        <f>IF(OR(('03_Сеть'!AN42-AN40)=0,20&lt;=КаникулыРоялти),0,('03_Сеть'!AN42-AN40)*IF(РоялтиПоГруппам="Да",MeanMinAge20+AN10*SUMIF(ThresholdAge20,"&lt;"&amp;AN10,WeightedRevAge20)-SUMIF(ThresholdAge20,"&lt;"&amp;AN10,WeightedMinAge20),MAX(CapacityAge20*АбонементНовых*AN10,MeanMinAge20)))</f>
        <v/>
      </c>
      <c r="AO94" s="5">
        <f>IF(OR(('03_Сеть'!AO42-AO40)=0,20&lt;=КаникулыРоялти),0,('03_Сеть'!AO42-AO40)*IF(РоялтиПоГруппам="Да",MeanMinAge20+AO10*SUMIF(ThresholdAge20,"&lt;"&amp;AO10,WeightedRevAge20)-SUMIF(ThresholdAge20,"&lt;"&amp;AO10,WeightedMinAge20),MAX(CapacityAge20*АбонементНовых*AO10,MeanMinAge20)))</f>
        <v/>
      </c>
      <c r="AP94" s="5">
        <f>IF(OR(('03_Сеть'!AP42-AP40)=0,20&lt;=КаникулыРоялти),0,('03_Сеть'!AP42-AP40)*IF(РоялтиПоГруппам="Да",MeanMinAge20+AP10*SUMIF(ThresholdAge20,"&lt;"&amp;AP10,WeightedRevAge20)-SUMIF(ThresholdAge20,"&lt;"&amp;AP10,WeightedMinAge20),MAX(CapacityAge20*АбонементНовых*AP10,MeanMinAge20)))</f>
        <v/>
      </c>
      <c r="AQ94" s="5">
        <f>IF(OR(('03_Сеть'!AQ42-AQ40)=0,20&lt;=КаникулыРоялти),0,('03_Сеть'!AQ42-AQ40)*IF(РоялтиПоГруппам="Да",MeanMinAge20+AQ10*SUMIF(ThresholdAge20,"&lt;"&amp;AQ10,WeightedRevAge20)-SUMIF(ThresholdAge20,"&lt;"&amp;AQ10,WeightedMinAge20),MAX(CapacityAge20*АбонементНовых*AQ10,MeanMinAge20)))</f>
        <v/>
      </c>
      <c r="AR94" s="5">
        <f>IF(OR(('03_Сеть'!AR42-AR40)=0,20&lt;=КаникулыРоялти),0,('03_Сеть'!AR42-AR40)*IF(РоялтиПоГруппам="Да",MeanMinAge20+AR10*SUMIF(ThresholdAge20,"&lt;"&amp;AR10,WeightedRevAge20)-SUMIF(ThresholdAge20,"&lt;"&amp;AR10,WeightedMinAge20),MAX(CapacityAge20*АбонементНовых*AR10,MeanMinAge20)))</f>
        <v/>
      </c>
      <c r="AS94" s="5">
        <f>IF(OR(('03_Сеть'!AS42-AS40)=0,20&lt;=КаникулыРоялти),0,('03_Сеть'!AS42-AS40)*IF(РоялтиПоГруппам="Да",MeanMinAge20+AS10*SUMIF(ThresholdAge20,"&lt;"&amp;AS10,WeightedRevAge20)-SUMIF(ThresholdAge20,"&lt;"&amp;AS10,WeightedMinAge20),MAX(CapacityAge20*АбонементНовых*AS10,MeanMinAge20)))</f>
        <v/>
      </c>
      <c r="AT94" s="5">
        <f>IF(OR(('03_Сеть'!AT42-AT40)=0,20&lt;=КаникулыРоялти),0,('03_Сеть'!AT42-AT40)*IF(РоялтиПоГруппам="Да",MeanMinAge20+AT10*SUMIF(ThresholdAge20,"&lt;"&amp;AT10,WeightedRevAge20)-SUMIF(ThresholdAge20,"&lt;"&amp;AT10,WeightedMinAge20),MAX(CapacityAge20*АбонементНовых*AT10,MeanMinAge20)))</f>
        <v/>
      </c>
      <c r="AU94" s="5">
        <f>IF(OR(('03_Сеть'!AU42-AU40)=0,20&lt;=КаникулыРоялти),0,('03_Сеть'!AU42-AU40)*IF(РоялтиПоГруппам="Да",MeanMinAge20+AU10*SUMIF(ThresholdAge20,"&lt;"&amp;AU10,WeightedRevAge20)-SUMIF(ThresholdAge20,"&lt;"&amp;AU10,WeightedMinAge20),MAX(CapacityAge20*АбонементНовых*AU10,MeanMinAge20)))</f>
        <v/>
      </c>
      <c r="AV94" s="5">
        <f>IF(OR(('03_Сеть'!AV42-AV40)=0,20&lt;=КаникулыРоялти),0,('03_Сеть'!AV42-AV40)*IF(РоялтиПоГруппам="Да",MeanMinAge20+AV10*SUMIF(ThresholdAge20,"&lt;"&amp;AV10,WeightedRevAge20)-SUMIF(ThresholdAge20,"&lt;"&amp;AV10,WeightedMinAge20),MAX(CapacityAge20*АбонементНовых*AV10,MeanMinAge20)))</f>
        <v/>
      </c>
      <c r="AW94" s="5">
        <f>IF(OR(('03_Сеть'!AW42-AW40)=0,20&lt;=КаникулыРоялти),0,('03_Сеть'!AW42-AW40)*IF(РоялтиПоГруппам="Да",MeanMinAge20+AW10*SUMIF(ThresholdAge20,"&lt;"&amp;AW10,WeightedRevAge20)-SUMIF(ThresholdAge20,"&lt;"&amp;AW10,WeightedMinAge20),MAX(CapacityAge20*АбонементНовых*AW10,MeanMinAge20)))</f>
        <v/>
      </c>
      <c r="AX94" s="5">
        <f>IF(OR(('03_Сеть'!AX42-AX40)=0,20&lt;=КаникулыРоялти),0,('03_Сеть'!AX42-AX40)*IF(РоялтиПоГруппам="Да",MeanMinAge20+AX10*SUMIF(ThresholdAge20,"&lt;"&amp;AX10,WeightedRevAge20)-SUMIF(ThresholdAge20,"&lt;"&amp;AX10,WeightedMinAge20),MAX(CapacityAge20*АбонементНовых*AX10,MeanMinAge20)))</f>
        <v/>
      </c>
      <c r="AY94" s="5">
        <f>IF(OR(('03_Сеть'!AY42-AY40)=0,20&lt;=КаникулыРоялти),0,('03_Сеть'!AY42-AY40)*IF(РоялтиПоГруппам="Да",MeanMinAge20+AY10*SUMIF(ThresholdAge20,"&lt;"&amp;AY10,WeightedRevAge20)-SUMIF(ThresholdAge20,"&lt;"&amp;AY10,WeightedMinAge20),MAX(CapacityAge20*АбонементНовых*AY10,MeanMinAge20)))</f>
        <v/>
      </c>
      <c r="AZ94" s="5">
        <f>IF(OR(('03_Сеть'!AZ42-AZ40)=0,20&lt;=КаникулыРоялти),0,('03_Сеть'!AZ42-AZ40)*IF(РоялтиПоГруппам="Да",MeanMinAge20+AZ10*SUMIF(ThresholdAge20,"&lt;"&amp;AZ10,WeightedRevAge20)-SUMIF(ThresholdAge20,"&lt;"&amp;AZ10,WeightedMinAge20),MAX(CapacityAge20*АбонементНовых*AZ10,MeanMinAge20)))</f>
        <v/>
      </c>
      <c r="BA94" s="5">
        <f>IF(OR(('03_Сеть'!BA42-BA40)=0,20&lt;=КаникулыРоялти),0,('03_Сеть'!BA42-BA40)*IF(РоялтиПоГруппам="Да",MeanMinAge20+BA10*SUMIF(ThresholdAge20,"&lt;"&amp;BA10,WeightedRevAge20)-SUMIF(ThresholdAge20,"&lt;"&amp;BA10,WeightedMinAge20),MAX(CapacityAge20*АбонементНовых*BA10,MeanMinAge20)))</f>
        <v/>
      </c>
      <c r="BB94" s="5">
        <f>IF(OR(('03_Сеть'!BB42-BB40)=0,20&lt;=КаникулыРоялти),0,('03_Сеть'!BB42-BB40)*IF(РоялтиПоГруппам="Да",MeanMinAge20+BB10*SUMIF(ThresholdAge20,"&lt;"&amp;BB10,WeightedRevAge20)-SUMIF(ThresholdAge20,"&lt;"&amp;BB10,WeightedMinAge20),MAX(CapacityAge20*АбонементНовых*BB10,MeanMinAge20)))</f>
        <v/>
      </c>
      <c r="BC94" s="5">
        <f>IF(OR(('03_Сеть'!BC42-BC40)=0,20&lt;=КаникулыРоялти),0,('03_Сеть'!BC42-BC40)*IF(РоялтиПоГруппам="Да",MeanMinAge20+BC10*SUMIF(ThresholdAge20,"&lt;"&amp;BC10,WeightedRevAge20)-SUMIF(ThresholdAge20,"&lt;"&amp;BC10,WeightedMinAge20),MAX(CapacityAge20*АбонементНовых*BC10,MeanMinAge20)))</f>
        <v/>
      </c>
      <c r="BD94" s="5">
        <f>IF(OR(('03_Сеть'!BD42-BD40)=0,20&lt;=КаникулыРоялти),0,('03_Сеть'!BD42-BD40)*IF(РоялтиПоГруппам="Да",MeanMinAge20+BD10*SUMIF(ThresholdAge20,"&lt;"&amp;BD10,WeightedRevAge20)-SUMIF(ThresholdAge20,"&lt;"&amp;BD10,WeightedMinAge20),MAX(CapacityAge20*АбонементНовых*BD10,MeanMinAge20)))</f>
        <v/>
      </c>
      <c r="BE94" s="5">
        <f>IF(OR(('03_Сеть'!BE42-BE40)=0,20&lt;=КаникулыРоялти),0,('03_Сеть'!BE42-BE40)*IF(РоялтиПоГруппам="Да",MeanMinAge20+BE10*SUMIF(ThresholdAge20,"&lt;"&amp;BE10,WeightedRevAge20)-SUMIF(ThresholdAge20,"&lt;"&amp;BE10,WeightedMinAge20),MAX(CapacityAge20*АбонементНовых*BE10,MeanMinAge20)))</f>
        <v/>
      </c>
      <c r="BF94" s="5">
        <f>IF(OR(('03_Сеть'!BF42-BF40)=0,20&lt;=КаникулыРоялти),0,('03_Сеть'!BF42-BF40)*IF(РоялтиПоГруппам="Да",MeanMinAge20+BF10*SUMIF(ThresholdAge20,"&lt;"&amp;BF10,WeightedRevAge20)-SUMIF(ThresholdAge20,"&lt;"&amp;BF10,WeightedMinAge20),MAX(CapacityAge20*АбонементНовых*BF10,MeanMinAge20)))</f>
        <v/>
      </c>
      <c r="BG94" s="5">
        <f>IF(OR(('03_Сеть'!BG42-BG40)=0,20&lt;=КаникулыРоялти),0,('03_Сеть'!BG42-BG40)*IF(РоялтиПоГруппам="Да",MeanMinAge20+BG10*SUMIF(ThresholdAge20,"&lt;"&amp;BG10,WeightedRevAge20)-SUMIF(ThresholdAge20,"&lt;"&amp;BG10,WeightedMinAge20),MAX(CapacityAge20*АбонементНовых*BG10,MeanMinAge20)))</f>
        <v/>
      </c>
      <c r="BH94" s="5">
        <f>IF(OR(('03_Сеть'!BH42-BH40)=0,20&lt;=КаникулыРоялти),0,('03_Сеть'!BH42-BH40)*IF(РоялтиПоГруппам="Да",MeanMinAge20+BH10*SUMIF(ThresholdAge20,"&lt;"&amp;BH10,WeightedRevAge20)-SUMIF(ThresholdAge20,"&lt;"&amp;BH10,WeightedMinAge20),MAX(CapacityAge20*АбонементНовых*BH10,MeanMinAge20)))</f>
        <v/>
      </c>
      <c r="BI94" s="5">
        <f>IF(OR(('03_Сеть'!BI42-BI40)=0,20&lt;=КаникулыРоялти),0,('03_Сеть'!BI42-BI40)*IF(РоялтиПоГруппам="Да",MeanMinAge20+BI10*SUMIF(ThresholdAge20,"&lt;"&amp;BI10,WeightedRevAge20)-SUMIF(ThresholdAge20,"&lt;"&amp;BI10,WeightedMinAge20),MAX(CapacityAge20*АбонементНовых*BI10,MeanMinAge20)))</f>
        <v/>
      </c>
      <c r="BJ94" s="5">
        <f>IF(OR(('03_Сеть'!BJ42-BJ40)=0,20&lt;=КаникулыРоялти),0,('03_Сеть'!BJ42-BJ40)*IF(РоялтиПоГруппам="Да",MeanMinAge20+BJ10*SUMIF(ThresholdAge20,"&lt;"&amp;BJ10,WeightedRevAge20)-SUMIF(ThresholdAge20,"&lt;"&amp;BJ10,WeightedMinAge20),MAX(CapacityAge20*АбонементНовых*BJ10,MeanMinAge20)))</f>
        <v/>
      </c>
      <c r="BK94" s="5">
        <f>IF(OR(('03_Сеть'!BK42-BK40)=0,20&lt;=КаникулыРоялти),0,('03_Сеть'!BK42-BK40)*IF(РоялтиПоГруппам="Да",MeanMinAge20+BK10*SUMIF(ThresholdAge20,"&lt;"&amp;BK10,WeightedRevAge20)-SUMIF(ThresholdAge20,"&lt;"&amp;BK10,WeightedMinAge20),MAX(CapacityAge20*АбонементНовых*BK10,MeanMinAge20)))</f>
        <v/>
      </c>
      <c r="BL94" s="5">
        <f>IF(OR(('03_Сеть'!BL42-BL40)=0,20&lt;=КаникулыРоялти),0,('03_Сеть'!BL42-BL40)*IF(РоялтиПоГруппам="Да",MeanMinAge20+BL10*SUMIF(ThresholdAge20,"&lt;"&amp;BL10,WeightedRevAge20)-SUMIF(ThresholdAge20,"&lt;"&amp;BL10,WeightedMinAge20),MAX(CapacityAge20*АбонементНовых*BL10,MeanMinAge20)))</f>
        <v/>
      </c>
      <c r="BM94" s="5">
        <f>IF(OR(('03_Сеть'!BM42-BM40)=0,20&lt;=КаникулыРоялти),0,('03_Сеть'!BM42-BM40)*IF(РоялтиПоГруппам="Да",MeanMinAge20+BM10*SUMIF(ThresholdAge20,"&lt;"&amp;BM10,WeightedRevAge20)-SUMIF(ThresholdAge20,"&lt;"&amp;BM10,WeightedMinAge20),MAX(CapacityAge20*АбонементНовых*BM10,MeanMinAge20)))</f>
        <v/>
      </c>
      <c r="BN94" s="5">
        <f>IF(OR(('03_Сеть'!BN42-BN40)=0,20&lt;=КаникулыРоялти),0,('03_Сеть'!BN42-BN40)*IF(РоялтиПоГруппам="Да",MeanMinAge20+BN10*SUMIF(ThresholdAge20,"&lt;"&amp;BN10,WeightedRevAge20)-SUMIF(ThresholdAge20,"&lt;"&amp;BN10,WeightedMinAge20),MAX(CapacityAge20*АбонементНовых*BN10,MeanMinAge20)))</f>
        <v/>
      </c>
      <c r="BO94" s="5">
        <f>IF(OR(('03_Сеть'!BO42-BO40)=0,20&lt;=КаникулыРоялти),0,('03_Сеть'!BO42-BO40)*IF(РоялтиПоГруппам="Да",MeanMinAge20+BO10*SUMIF(ThresholdAge20,"&lt;"&amp;BO10,WeightedRevAge20)-SUMIF(ThresholdAge20,"&lt;"&amp;BO10,WeightedMinAge20),MAX(CapacityAge20*АбонементНовых*BO10,MeanMinAge20)))</f>
        <v/>
      </c>
      <c r="BP94" s="5">
        <f>IF(OR(('03_Сеть'!BP42-BP40)=0,20&lt;=КаникулыРоялти),0,('03_Сеть'!BP42-BP40)*IF(РоялтиПоГруппам="Да",MeanMinAge20+BP10*SUMIF(ThresholdAge20,"&lt;"&amp;BP10,WeightedRevAge20)-SUMIF(ThresholdAge20,"&lt;"&amp;BP10,WeightedMinAge20),MAX(CapacityAge20*АбонементНовых*BP10,MeanMinAge20)))</f>
        <v/>
      </c>
      <c r="BQ94" s="5">
        <f>IF(OR(('03_Сеть'!BQ42-BQ40)=0,20&lt;=КаникулыРоялти),0,('03_Сеть'!BQ42-BQ40)*IF(РоялтиПоГруппам="Да",MeanMinAge20+BQ10*SUMIF(ThresholdAge20,"&lt;"&amp;BQ10,WeightedRevAge20)-SUMIF(ThresholdAge20,"&lt;"&amp;BQ10,WeightedMinAge20),MAX(CapacityAge20*АбонементНовых*BQ10,MeanMinAge20)))</f>
        <v/>
      </c>
      <c r="BR94" s="5">
        <f>IF(OR(('03_Сеть'!BR42-BR40)=0,20&lt;=КаникулыРоялти),0,('03_Сеть'!BR42-BR40)*IF(РоялтиПоГруппам="Да",MeanMinAge20+BR10*SUMIF(ThresholdAge20,"&lt;"&amp;BR10,WeightedRevAge20)-SUMIF(ThresholdAge20,"&lt;"&amp;BR10,WeightedMinAge20),MAX(CapacityAge20*АбонементНовых*BR10,MeanMinAge20)))</f>
        <v/>
      </c>
      <c r="BS94" s="5">
        <f>IF(OR(('03_Сеть'!BS42-BS40)=0,20&lt;=КаникулыРоялти),0,('03_Сеть'!BS42-BS40)*IF(РоялтиПоГруппам="Да",MeanMinAge20+BS10*SUMIF(ThresholdAge20,"&lt;"&amp;BS10,WeightedRevAge20)-SUMIF(ThresholdAge20,"&lt;"&amp;BS10,WeightedMinAge20),MAX(CapacityAge20*АбонементНовых*BS10,MeanMinAge20)))</f>
        <v/>
      </c>
      <c r="BT94" s="5">
        <f>IF(OR(('03_Сеть'!BT42-BT40)=0,20&lt;=КаникулыРоялти),0,('03_Сеть'!BT42-BT40)*IF(РоялтиПоГруппам="Да",MeanMinAge20+BT10*SUMIF(ThresholdAge20,"&lt;"&amp;BT10,WeightedRevAge20)-SUMIF(ThresholdAge20,"&lt;"&amp;BT10,WeightedMinAge20),MAX(CapacityAge20*АбонементНовых*BT10,MeanMinAge20)))</f>
        <v/>
      </c>
      <c r="BU94" s="5">
        <f>IF(OR(('03_Сеть'!BU42-BU40)=0,20&lt;=КаникулыРоялти),0,('03_Сеть'!BU42-BU40)*IF(РоялтиПоГруппам="Да",MeanMinAge20+BU10*SUMIF(ThresholdAge20,"&lt;"&amp;BU10,WeightedRevAge20)-SUMIF(ThresholdAge20,"&lt;"&amp;BU10,WeightedMinAge20),MAX(CapacityAge20*АбонементНовых*BU10,MeanMinAge20)))</f>
        <v/>
      </c>
      <c r="BV94" s="5">
        <f>IF(OR(('03_Сеть'!BV42-BV40)=0,20&lt;=КаникулыРоялти),0,('03_Сеть'!BV42-BV40)*IF(РоялтиПоГруппам="Да",MeanMinAge20+BV10*SUMIF(ThresholdAge20,"&lt;"&amp;BV10,WeightedRevAge20)-SUMIF(ThresholdAge20,"&lt;"&amp;BV10,WeightedMinAge20),MAX(CapacityAge20*АбонементНовых*BV10,MeanMinAge20)))</f>
        <v/>
      </c>
      <c r="BW94" s="5">
        <f>IF(OR(('03_Сеть'!BW42-BW40)=0,20&lt;=КаникулыРоялти),0,('03_Сеть'!BW42-BW40)*IF(РоялтиПоГруппам="Да",MeanMinAge20+BW10*SUMIF(ThresholdAge20,"&lt;"&amp;BW10,WeightedRevAge20)-SUMIF(ThresholdAge20,"&lt;"&amp;BW10,WeightedMinAge20),MAX(CapacityAge20*АбонементНовых*BW10,MeanMinAge20)))</f>
        <v/>
      </c>
      <c r="BX94" s="5">
        <f>IF(OR(('03_Сеть'!BX42-BX40)=0,20&lt;=КаникулыРоялти),0,('03_Сеть'!BX42-BX40)*IF(РоялтиПоГруппам="Да",MeanMinAge20+BX10*SUMIF(ThresholdAge20,"&lt;"&amp;BX10,WeightedRevAge20)-SUMIF(ThresholdAge20,"&lt;"&amp;BX10,WeightedMinAge20),MAX(CapacityAge20*АбонементНовых*BX10,MeanMinAge20)))</f>
        <v/>
      </c>
      <c r="BY94" s="5">
        <f>IF(OR(('03_Сеть'!BY42-BY40)=0,20&lt;=КаникулыРоялти),0,('03_Сеть'!BY42-BY40)*IF(РоялтиПоГруппам="Да",MeanMinAge20+BY10*SUMIF(ThresholdAge20,"&lt;"&amp;BY10,WeightedRevAge20)-SUMIF(ThresholdAge20,"&lt;"&amp;BY10,WeightedMinAge20),MAX(CapacityAge20*АбонементНовых*BY10,MeanMinAge20)))</f>
        <v/>
      </c>
    </row>
    <row r="95">
      <c r="B95" t="inlineStr">
        <is>
          <t>21 мес.</t>
        </is>
      </c>
      <c r="C95" t="inlineStr">
        <is>
          <t>₽</t>
        </is>
      </c>
      <c r="D95" s="127" t="inlineStr"/>
      <c r="E95" s="129">
        <f>SUM(L95:W95)</f>
        <v/>
      </c>
      <c r="F95" s="129">
        <f>SUM(X95:AI95)</f>
        <v/>
      </c>
      <c r="G95" s="129">
        <f>SUM(AJ95:AU95)</f>
        <v/>
      </c>
      <c r="H95" s="129">
        <f>SUM(AV95:BG95)</f>
        <v/>
      </c>
      <c r="I95" s="129">
        <f>SUM(BH95:BS95)</f>
        <v/>
      </c>
      <c r="J95" s="6">
        <f>SUM(L95:BS95)</f>
        <v/>
      </c>
      <c r="L95" s="5">
        <f>IF(OR(('03_Сеть'!L43-L41)=0,21&lt;=КаникулыРоялти),0,('03_Сеть'!L43-L41)*IF(РоялтиПоГруппам="Да",MeanMinAge21+L10*SUMIF(ThresholdAge21,"&lt;"&amp;L10,WeightedRevAge21)-SUMIF(ThresholdAge21,"&lt;"&amp;L10,WeightedMinAge21),MAX(CapacityAge21*АбонементНовых*L10,MeanMinAge21)))</f>
        <v/>
      </c>
      <c r="M95" s="5">
        <f>IF(OR(('03_Сеть'!M43-M41)=0,21&lt;=КаникулыРоялти),0,('03_Сеть'!M43-M41)*IF(РоялтиПоГруппам="Да",MeanMinAge21+M10*SUMIF(ThresholdAge21,"&lt;"&amp;M10,WeightedRevAge21)-SUMIF(ThresholdAge21,"&lt;"&amp;M10,WeightedMinAge21),MAX(CapacityAge21*АбонементНовых*M10,MeanMinAge21)))</f>
        <v/>
      </c>
      <c r="N95" s="5">
        <f>IF(OR(('03_Сеть'!N43-N41)=0,21&lt;=КаникулыРоялти),0,('03_Сеть'!N43-N41)*IF(РоялтиПоГруппам="Да",MeanMinAge21+N10*SUMIF(ThresholdAge21,"&lt;"&amp;N10,WeightedRevAge21)-SUMIF(ThresholdAge21,"&lt;"&amp;N10,WeightedMinAge21),MAX(CapacityAge21*АбонементНовых*N10,MeanMinAge21)))</f>
        <v/>
      </c>
      <c r="O95" s="5">
        <f>IF(OR(('03_Сеть'!O43-O41)=0,21&lt;=КаникулыРоялти),0,('03_Сеть'!O43-O41)*IF(РоялтиПоГруппам="Да",MeanMinAge21+O10*SUMIF(ThresholdAge21,"&lt;"&amp;O10,WeightedRevAge21)-SUMIF(ThresholdAge21,"&lt;"&amp;O10,WeightedMinAge21),MAX(CapacityAge21*АбонементНовых*O10,MeanMinAge21)))</f>
        <v/>
      </c>
      <c r="P95" s="5">
        <f>IF(OR(('03_Сеть'!P43-P41)=0,21&lt;=КаникулыРоялти),0,('03_Сеть'!P43-P41)*IF(РоялтиПоГруппам="Да",MeanMinAge21+P10*SUMIF(ThresholdAge21,"&lt;"&amp;P10,WeightedRevAge21)-SUMIF(ThresholdAge21,"&lt;"&amp;P10,WeightedMinAge21),MAX(CapacityAge21*АбонементНовых*P10,MeanMinAge21)))</f>
        <v/>
      </c>
      <c r="Q95" s="5">
        <f>IF(OR(('03_Сеть'!Q43-Q41)=0,21&lt;=КаникулыРоялти),0,('03_Сеть'!Q43-Q41)*IF(РоялтиПоГруппам="Да",MeanMinAge21+Q10*SUMIF(ThresholdAge21,"&lt;"&amp;Q10,WeightedRevAge21)-SUMIF(ThresholdAge21,"&lt;"&amp;Q10,WeightedMinAge21),MAX(CapacityAge21*АбонементНовых*Q10,MeanMinAge21)))</f>
        <v/>
      </c>
      <c r="R95" s="5">
        <f>IF(OR(('03_Сеть'!R43-R41)=0,21&lt;=КаникулыРоялти),0,('03_Сеть'!R43-R41)*IF(РоялтиПоГруппам="Да",MeanMinAge21+R10*SUMIF(ThresholdAge21,"&lt;"&amp;R10,WeightedRevAge21)-SUMIF(ThresholdAge21,"&lt;"&amp;R10,WeightedMinAge21),MAX(CapacityAge21*АбонементНовых*R10,MeanMinAge21)))</f>
        <v/>
      </c>
      <c r="S95" s="5">
        <f>IF(OR(('03_Сеть'!S43-S41)=0,21&lt;=КаникулыРоялти),0,('03_Сеть'!S43-S41)*IF(РоялтиПоГруппам="Да",MeanMinAge21+S10*SUMIF(ThresholdAge21,"&lt;"&amp;S10,WeightedRevAge21)-SUMIF(ThresholdAge21,"&lt;"&amp;S10,WeightedMinAge21),MAX(CapacityAge21*АбонементНовых*S10,MeanMinAge21)))</f>
        <v/>
      </c>
      <c r="T95" s="5">
        <f>IF(OR(('03_Сеть'!T43-T41)=0,21&lt;=КаникулыРоялти),0,('03_Сеть'!T43-T41)*IF(РоялтиПоГруппам="Да",MeanMinAge21+T10*SUMIF(ThresholdAge21,"&lt;"&amp;T10,WeightedRevAge21)-SUMIF(ThresholdAge21,"&lt;"&amp;T10,WeightedMinAge21),MAX(CapacityAge21*АбонементНовых*T10,MeanMinAge21)))</f>
        <v/>
      </c>
      <c r="U95" s="5">
        <f>IF(OR(('03_Сеть'!U43-U41)=0,21&lt;=КаникулыРоялти),0,('03_Сеть'!U43-U41)*IF(РоялтиПоГруппам="Да",MeanMinAge21+U10*SUMIF(ThresholdAge21,"&lt;"&amp;U10,WeightedRevAge21)-SUMIF(ThresholdAge21,"&lt;"&amp;U10,WeightedMinAge21),MAX(CapacityAge21*АбонементНовых*U10,MeanMinAge21)))</f>
        <v/>
      </c>
      <c r="V95" s="5">
        <f>IF(OR(('03_Сеть'!V43-V41)=0,21&lt;=КаникулыРоялти),0,('03_Сеть'!V43-V41)*IF(РоялтиПоГруппам="Да",MeanMinAge21+V10*SUMIF(ThresholdAge21,"&lt;"&amp;V10,WeightedRevAge21)-SUMIF(ThresholdAge21,"&lt;"&amp;V10,WeightedMinAge21),MAX(CapacityAge21*АбонементНовых*V10,MeanMinAge21)))</f>
        <v/>
      </c>
      <c r="W95" s="5">
        <f>IF(OR(('03_Сеть'!W43-W41)=0,21&lt;=КаникулыРоялти),0,('03_Сеть'!W43-W41)*IF(РоялтиПоГруппам="Да",MeanMinAge21+W10*SUMIF(ThresholdAge21,"&lt;"&amp;W10,WeightedRevAge21)-SUMIF(ThresholdAge21,"&lt;"&amp;W10,WeightedMinAge21),MAX(CapacityAge21*АбонементНовых*W10,MeanMinAge21)))</f>
        <v/>
      </c>
      <c r="X95" s="5">
        <f>IF(OR(('03_Сеть'!X43-X41)=0,21&lt;=КаникулыРоялти),0,('03_Сеть'!X43-X41)*IF(РоялтиПоГруппам="Да",MeanMinAge21+X10*SUMIF(ThresholdAge21,"&lt;"&amp;X10,WeightedRevAge21)-SUMIF(ThresholdAge21,"&lt;"&amp;X10,WeightedMinAge21),MAX(CapacityAge21*АбонементНовых*X10,MeanMinAge21)))</f>
        <v/>
      </c>
      <c r="Y95" s="5">
        <f>IF(OR(('03_Сеть'!Y43-Y41)=0,21&lt;=КаникулыРоялти),0,('03_Сеть'!Y43-Y41)*IF(РоялтиПоГруппам="Да",MeanMinAge21+Y10*SUMIF(ThresholdAge21,"&lt;"&amp;Y10,WeightedRevAge21)-SUMIF(ThresholdAge21,"&lt;"&amp;Y10,WeightedMinAge21),MAX(CapacityAge21*АбонементНовых*Y10,MeanMinAge21)))</f>
        <v/>
      </c>
      <c r="Z95" s="5">
        <f>IF(OR(('03_Сеть'!Z43-Z41)=0,21&lt;=КаникулыРоялти),0,('03_Сеть'!Z43-Z41)*IF(РоялтиПоГруппам="Да",MeanMinAge21+Z10*SUMIF(ThresholdAge21,"&lt;"&amp;Z10,WeightedRevAge21)-SUMIF(ThresholdAge21,"&lt;"&amp;Z10,WeightedMinAge21),MAX(CapacityAge21*АбонементНовых*Z10,MeanMinAge21)))</f>
        <v/>
      </c>
      <c r="AA95" s="5">
        <f>IF(OR(('03_Сеть'!AA43-AA41)=0,21&lt;=КаникулыРоялти),0,('03_Сеть'!AA43-AA41)*IF(РоялтиПоГруппам="Да",MeanMinAge21+AA10*SUMIF(ThresholdAge21,"&lt;"&amp;AA10,WeightedRevAge21)-SUMIF(ThresholdAge21,"&lt;"&amp;AA10,WeightedMinAge21),MAX(CapacityAge21*АбонементНовых*AA10,MeanMinAge21)))</f>
        <v/>
      </c>
      <c r="AB95" s="5">
        <f>IF(OR(('03_Сеть'!AB43-AB41)=0,21&lt;=КаникулыРоялти),0,('03_Сеть'!AB43-AB41)*IF(РоялтиПоГруппам="Да",MeanMinAge21+AB10*SUMIF(ThresholdAge21,"&lt;"&amp;AB10,WeightedRevAge21)-SUMIF(ThresholdAge21,"&lt;"&amp;AB10,WeightedMinAge21),MAX(CapacityAge21*АбонементНовых*AB10,MeanMinAge21)))</f>
        <v/>
      </c>
      <c r="AC95" s="5">
        <f>IF(OR(('03_Сеть'!AC43-AC41)=0,21&lt;=КаникулыРоялти),0,('03_Сеть'!AC43-AC41)*IF(РоялтиПоГруппам="Да",MeanMinAge21+AC10*SUMIF(ThresholdAge21,"&lt;"&amp;AC10,WeightedRevAge21)-SUMIF(ThresholdAge21,"&lt;"&amp;AC10,WeightedMinAge21),MAX(CapacityAge21*АбонементНовых*AC10,MeanMinAge21)))</f>
        <v/>
      </c>
      <c r="AD95" s="5">
        <f>IF(OR(('03_Сеть'!AD43-AD41)=0,21&lt;=КаникулыРоялти),0,('03_Сеть'!AD43-AD41)*IF(РоялтиПоГруппам="Да",MeanMinAge21+AD10*SUMIF(ThresholdAge21,"&lt;"&amp;AD10,WeightedRevAge21)-SUMIF(ThresholdAge21,"&lt;"&amp;AD10,WeightedMinAge21),MAX(CapacityAge21*АбонементНовых*AD10,MeanMinAge21)))</f>
        <v/>
      </c>
      <c r="AE95" s="5">
        <f>IF(OR(('03_Сеть'!AE43-AE41)=0,21&lt;=КаникулыРоялти),0,('03_Сеть'!AE43-AE41)*IF(РоялтиПоГруппам="Да",MeanMinAge21+AE10*SUMIF(ThresholdAge21,"&lt;"&amp;AE10,WeightedRevAge21)-SUMIF(ThresholdAge21,"&lt;"&amp;AE10,WeightedMinAge21),MAX(CapacityAge21*АбонементНовых*AE10,MeanMinAge21)))</f>
        <v/>
      </c>
      <c r="AF95" s="5">
        <f>IF(OR(('03_Сеть'!AF43-AF41)=0,21&lt;=КаникулыРоялти),0,('03_Сеть'!AF43-AF41)*IF(РоялтиПоГруппам="Да",MeanMinAge21+AF10*SUMIF(ThresholdAge21,"&lt;"&amp;AF10,WeightedRevAge21)-SUMIF(ThresholdAge21,"&lt;"&amp;AF10,WeightedMinAge21),MAX(CapacityAge21*АбонементНовых*AF10,MeanMinAge21)))</f>
        <v/>
      </c>
      <c r="AG95" s="5">
        <f>IF(OR(('03_Сеть'!AG43-AG41)=0,21&lt;=КаникулыРоялти),0,('03_Сеть'!AG43-AG41)*IF(РоялтиПоГруппам="Да",MeanMinAge21+AG10*SUMIF(ThresholdAge21,"&lt;"&amp;AG10,WeightedRevAge21)-SUMIF(ThresholdAge21,"&lt;"&amp;AG10,WeightedMinAge21),MAX(CapacityAge21*АбонементНовых*AG10,MeanMinAge21)))</f>
        <v/>
      </c>
      <c r="AH95" s="5">
        <f>IF(OR(('03_Сеть'!AH43-AH41)=0,21&lt;=КаникулыРоялти),0,('03_Сеть'!AH43-AH41)*IF(РоялтиПоГруппам="Да",MeanMinAge21+AH10*SUMIF(ThresholdAge21,"&lt;"&amp;AH10,WeightedRevAge21)-SUMIF(ThresholdAge21,"&lt;"&amp;AH10,WeightedMinAge21),MAX(CapacityAge21*АбонементНовых*AH10,MeanMinAge21)))</f>
        <v/>
      </c>
      <c r="AI95" s="5">
        <f>IF(OR(('03_Сеть'!AI43-AI41)=0,21&lt;=КаникулыРоялти),0,('03_Сеть'!AI43-AI41)*IF(РоялтиПоГруппам="Да",MeanMinAge21+AI10*SUMIF(ThresholdAge21,"&lt;"&amp;AI10,WeightedRevAge21)-SUMIF(ThresholdAge21,"&lt;"&amp;AI10,WeightedMinAge21),MAX(CapacityAge21*АбонементНовых*AI10,MeanMinAge21)))</f>
        <v/>
      </c>
      <c r="AJ95" s="5">
        <f>IF(OR(('03_Сеть'!AJ43-AJ41)=0,21&lt;=КаникулыРоялти),0,('03_Сеть'!AJ43-AJ41)*IF(РоялтиПоГруппам="Да",MeanMinAge21+AJ10*SUMIF(ThresholdAge21,"&lt;"&amp;AJ10,WeightedRevAge21)-SUMIF(ThresholdAge21,"&lt;"&amp;AJ10,WeightedMinAge21),MAX(CapacityAge21*АбонементНовых*AJ10,MeanMinAge21)))</f>
        <v/>
      </c>
      <c r="AK95" s="5">
        <f>IF(OR(('03_Сеть'!AK43-AK41)=0,21&lt;=КаникулыРоялти),0,('03_Сеть'!AK43-AK41)*IF(РоялтиПоГруппам="Да",MeanMinAge21+AK10*SUMIF(ThresholdAge21,"&lt;"&amp;AK10,WeightedRevAge21)-SUMIF(ThresholdAge21,"&lt;"&amp;AK10,WeightedMinAge21),MAX(CapacityAge21*АбонементНовых*AK10,MeanMinAge21)))</f>
        <v/>
      </c>
      <c r="AL95" s="5">
        <f>IF(OR(('03_Сеть'!AL43-AL41)=0,21&lt;=КаникулыРоялти),0,('03_Сеть'!AL43-AL41)*IF(РоялтиПоГруппам="Да",MeanMinAge21+AL10*SUMIF(ThresholdAge21,"&lt;"&amp;AL10,WeightedRevAge21)-SUMIF(ThresholdAge21,"&lt;"&amp;AL10,WeightedMinAge21),MAX(CapacityAge21*АбонементНовых*AL10,MeanMinAge21)))</f>
        <v/>
      </c>
      <c r="AM95" s="5">
        <f>IF(OR(('03_Сеть'!AM43-AM41)=0,21&lt;=КаникулыРоялти),0,('03_Сеть'!AM43-AM41)*IF(РоялтиПоГруппам="Да",MeanMinAge21+AM10*SUMIF(ThresholdAge21,"&lt;"&amp;AM10,WeightedRevAge21)-SUMIF(ThresholdAge21,"&lt;"&amp;AM10,WeightedMinAge21),MAX(CapacityAge21*АбонементНовых*AM10,MeanMinAge21)))</f>
        <v/>
      </c>
      <c r="AN95" s="5">
        <f>IF(OR(('03_Сеть'!AN43-AN41)=0,21&lt;=КаникулыРоялти),0,('03_Сеть'!AN43-AN41)*IF(РоялтиПоГруппам="Да",MeanMinAge21+AN10*SUMIF(ThresholdAge21,"&lt;"&amp;AN10,WeightedRevAge21)-SUMIF(ThresholdAge21,"&lt;"&amp;AN10,WeightedMinAge21),MAX(CapacityAge21*АбонементНовых*AN10,MeanMinAge21)))</f>
        <v/>
      </c>
      <c r="AO95" s="5">
        <f>IF(OR(('03_Сеть'!AO43-AO41)=0,21&lt;=КаникулыРоялти),0,('03_Сеть'!AO43-AO41)*IF(РоялтиПоГруппам="Да",MeanMinAge21+AO10*SUMIF(ThresholdAge21,"&lt;"&amp;AO10,WeightedRevAge21)-SUMIF(ThresholdAge21,"&lt;"&amp;AO10,WeightedMinAge21),MAX(CapacityAge21*АбонементНовых*AO10,MeanMinAge21)))</f>
        <v/>
      </c>
      <c r="AP95" s="5">
        <f>IF(OR(('03_Сеть'!AP43-AP41)=0,21&lt;=КаникулыРоялти),0,('03_Сеть'!AP43-AP41)*IF(РоялтиПоГруппам="Да",MeanMinAge21+AP10*SUMIF(ThresholdAge21,"&lt;"&amp;AP10,WeightedRevAge21)-SUMIF(ThresholdAge21,"&lt;"&amp;AP10,WeightedMinAge21),MAX(CapacityAge21*АбонементНовых*AP10,MeanMinAge21)))</f>
        <v/>
      </c>
      <c r="AQ95" s="5">
        <f>IF(OR(('03_Сеть'!AQ43-AQ41)=0,21&lt;=КаникулыРоялти),0,('03_Сеть'!AQ43-AQ41)*IF(РоялтиПоГруппам="Да",MeanMinAge21+AQ10*SUMIF(ThresholdAge21,"&lt;"&amp;AQ10,WeightedRevAge21)-SUMIF(ThresholdAge21,"&lt;"&amp;AQ10,WeightedMinAge21),MAX(CapacityAge21*АбонементНовых*AQ10,MeanMinAge21)))</f>
        <v/>
      </c>
      <c r="AR95" s="5">
        <f>IF(OR(('03_Сеть'!AR43-AR41)=0,21&lt;=КаникулыРоялти),0,('03_Сеть'!AR43-AR41)*IF(РоялтиПоГруппам="Да",MeanMinAge21+AR10*SUMIF(ThresholdAge21,"&lt;"&amp;AR10,WeightedRevAge21)-SUMIF(ThresholdAge21,"&lt;"&amp;AR10,WeightedMinAge21),MAX(CapacityAge21*АбонементНовых*AR10,MeanMinAge21)))</f>
        <v/>
      </c>
      <c r="AS95" s="5">
        <f>IF(OR(('03_Сеть'!AS43-AS41)=0,21&lt;=КаникулыРоялти),0,('03_Сеть'!AS43-AS41)*IF(РоялтиПоГруппам="Да",MeanMinAge21+AS10*SUMIF(ThresholdAge21,"&lt;"&amp;AS10,WeightedRevAge21)-SUMIF(ThresholdAge21,"&lt;"&amp;AS10,WeightedMinAge21),MAX(CapacityAge21*АбонементНовых*AS10,MeanMinAge21)))</f>
        <v/>
      </c>
      <c r="AT95" s="5">
        <f>IF(OR(('03_Сеть'!AT43-AT41)=0,21&lt;=КаникулыРоялти),0,('03_Сеть'!AT43-AT41)*IF(РоялтиПоГруппам="Да",MeanMinAge21+AT10*SUMIF(ThresholdAge21,"&lt;"&amp;AT10,WeightedRevAge21)-SUMIF(ThresholdAge21,"&lt;"&amp;AT10,WeightedMinAge21),MAX(CapacityAge21*АбонементНовых*AT10,MeanMinAge21)))</f>
        <v/>
      </c>
      <c r="AU95" s="5">
        <f>IF(OR(('03_Сеть'!AU43-AU41)=0,21&lt;=КаникулыРоялти),0,('03_Сеть'!AU43-AU41)*IF(РоялтиПоГруппам="Да",MeanMinAge21+AU10*SUMIF(ThresholdAge21,"&lt;"&amp;AU10,WeightedRevAge21)-SUMIF(ThresholdAge21,"&lt;"&amp;AU10,WeightedMinAge21),MAX(CapacityAge21*АбонементНовых*AU10,MeanMinAge21)))</f>
        <v/>
      </c>
      <c r="AV95" s="5">
        <f>IF(OR(('03_Сеть'!AV43-AV41)=0,21&lt;=КаникулыРоялти),0,('03_Сеть'!AV43-AV41)*IF(РоялтиПоГруппам="Да",MeanMinAge21+AV10*SUMIF(ThresholdAge21,"&lt;"&amp;AV10,WeightedRevAge21)-SUMIF(ThresholdAge21,"&lt;"&amp;AV10,WeightedMinAge21),MAX(CapacityAge21*АбонементНовых*AV10,MeanMinAge21)))</f>
        <v/>
      </c>
      <c r="AW95" s="5">
        <f>IF(OR(('03_Сеть'!AW43-AW41)=0,21&lt;=КаникулыРоялти),0,('03_Сеть'!AW43-AW41)*IF(РоялтиПоГруппам="Да",MeanMinAge21+AW10*SUMIF(ThresholdAge21,"&lt;"&amp;AW10,WeightedRevAge21)-SUMIF(ThresholdAge21,"&lt;"&amp;AW10,WeightedMinAge21),MAX(CapacityAge21*АбонементНовых*AW10,MeanMinAge21)))</f>
        <v/>
      </c>
      <c r="AX95" s="5">
        <f>IF(OR(('03_Сеть'!AX43-AX41)=0,21&lt;=КаникулыРоялти),0,('03_Сеть'!AX43-AX41)*IF(РоялтиПоГруппам="Да",MeanMinAge21+AX10*SUMIF(ThresholdAge21,"&lt;"&amp;AX10,WeightedRevAge21)-SUMIF(ThresholdAge21,"&lt;"&amp;AX10,WeightedMinAge21),MAX(CapacityAge21*АбонементНовых*AX10,MeanMinAge21)))</f>
        <v/>
      </c>
      <c r="AY95" s="5">
        <f>IF(OR(('03_Сеть'!AY43-AY41)=0,21&lt;=КаникулыРоялти),0,('03_Сеть'!AY43-AY41)*IF(РоялтиПоГруппам="Да",MeanMinAge21+AY10*SUMIF(ThresholdAge21,"&lt;"&amp;AY10,WeightedRevAge21)-SUMIF(ThresholdAge21,"&lt;"&amp;AY10,WeightedMinAge21),MAX(CapacityAge21*АбонементНовых*AY10,MeanMinAge21)))</f>
        <v/>
      </c>
      <c r="AZ95" s="5">
        <f>IF(OR(('03_Сеть'!AZ43-AZ41)=0,21&lt;=КаникулыРоялти),0,('03_Сеть'!AZ43-AZ41)*IF(РоялтиПоГруппам="Да",MeanMinAge21+AZ10*SUMIF(ThresholdAge21,"&lt;"&amp;AZ10,WeightedRevAge21)-SUMIF(ThresholdAge21,"&lt;"&amp;AZ10,WeightedMinAge21),MAX(CapacityAge21*АбонементНовых*AZ10,MeanMinAge21)))</f>
        <v/>
      </c>
      <c r="BA95" s="5">
        <f>IF(OR(('03_Сеть'!BA43-BA41)=0,21&lt;=КаникулыРоялти),0,('03_Сеть'!BA43-BA41)*IF(РоялтиПоГруппам="Да",MeanMinAge21+BA10*SUMIF(ThresholdAge21,"&lt;"&amp;BA10,WeightedRevAge21)-SUMIF(ThresholdAge21,"&lt;"&amp;BA10,WeightedMinAge21),MAX(CapacityAge21*АбонементНовых*BA10,MeanMinAge21)))</f>
        <v/>
      </c>
      <c r="BB95" s="5">
        <f>IF(OR(('03_Сеть'!BB43-BB41)=0,21&lt;=КаникулыРоялти),0,('03_Сеть'!BB43-BB41)*IF(РоялтиПоГруппам="Да",MeanMinAge21+BB10*SUMIF(ThresholdAge21,"&lt;"&amp;BB10,WeightedRevAge21)-SUMIF(ThresholdAge21,"&lt;"&amp;BB10,WeightedMinAge21),MAX(CapacityAge21*АбонементНовых*BB10,MeanMinAge21)))</f>
        <v/>
      </c>
      <c r="BC95" s="5">
        <f>IF(OR(('03_Сеть'!BC43-BC41)=0,21&lt;=КаникулыРоялти),0,('03_Сеть'!BC43-BC41)*IF(РоялтиПоГруппам="Да",MeanMinAge21+BC10*SUMIF(ThresholdAge21,"&lt;"&amp;BC10,WeightedRevAge21)-SUMIF(ThresholdAge21,"&lt;"&amp;BC10,WeightedMinAge21),MAX(CapacityAge21*АбонементНовых*BC10,MeanMinAge21)))</f>
        <v/>
      </c>
      <c r="BD95" s="5">
        <f>IF(OR(('03_Сеть'!BD43-BD41)=0,21&lt;=КаникулыРоялти),0,('03_Сеть'!BD43-BD41)*IF(РоялтиПоГруппам="Да",MeanMinAge21+BD10*SUMIF(ThresholdAge21,"&lt;"&amp;BD10,WeightedRevAge21)-SUMIF(ThresholdAge21,"&lt;"&amp;BD10,WeightedMinAge21),MAX(CapacityAge21*АбонементНовых*BD10,MeanMinAge21)))</f>
        <v/>
      </c>
      <c r="BE95" s="5">
        <f>IF(OR(('03_Сеть'!BE43-BE41)=0,21&lt;=КаникулыРоялти),0,('03_Сеть'!BE43-BE41)*IF(РоялтиПоГруппам="Да",MeanMinAge21+BE10*SUMIF(ThresholdAge21,"&lt;"&amp;BE10,WeightedRevAge21)-SUMIF(ThresholdAge21,"&lt;"&amp;BE10,WeightedMinAge21),MAX(CapacityAge21*АбонементНовых*BE10,MeanMinAge21)))</f>
        <v/>
      </c>
      <c r="BF95" s="5">
        <f>IF(OR(('03_Сеть'!BF43-BF41)=0,21&lt;=КаникулыРоялти),0,('03_Сеть'!BF43-BF41)*IF(РоялтиПоГруппам="Да",MeanMinAge21+BF10*SUMIF(ThresholdAge21,"&lt;"&amp;BF10,WeightedRevAge21)-SUMIF(ThresholdAge21,"&lt;"&amp;BF10,WeightedMinAge21),MAX(CapacityAge21*АбонементНовых*BF10,MeanMinAge21)))</f>
        <v/>
      </c>
      <c r="BG95" s="5">
        <f>IF(OR(('03_Сеть'!BG43-BG41)=0,21&lt;=КаникулыРоялти),0,('03_Сеть'!BG43-BG41)*IF(РоялтиПоГруппам="Да",MeanMinAge21+BG10*SUMIF(ThresholdAge21,"&lt;"&amp;BG10,WeightedRevAge21)-SUMIF(ThresholdAge21,"&lt;"&amp;BG10,WeightedMinAge21),MAX(CapacityAge21*АбонементНовых*BG10,MeanMinAge21)))</f>
        <v/>
      </c>
      <c r="BH95" s="5">
        <f>IF(OR(('03_Сеть'!BH43-BH41)=0,21&lt;=КаникулыРоялти),0,('03_Сеть'!BH43-BH41)*IF(РоялтиПоГруппам="Да",MeanMinAge21+BH10*SUMIF(ThresholdAge21,"&lt;"&amp;BH10,WeightedRevAge21)-SUMIF(ThresholdAge21,"&lt;"&amp;BH10,WeightedMinAge21),MAX(CapacityAge21*АбонементНовых*BH10,MeanMinAge21)))</f>
        <v/>
      </c>
      <c r="BI95" s="5">
        <f>IF(OR(('03_Сеть'!BI43-BI41)=0,21&lt;=КаникулыРоялти),0,('03_Сеть'!BI43-BI41)*IF(РоялтиПоГруппам="Да",MeanMinAge21+BI10*SUMIF(ThresholdAge21,"&lt;"&amp;BI10,WeightedRevAge21)-SUMIF(ThresholdAge21,"&lt;"&amp;BI10,WeightedMinAge21),MAX(CapacityAge21*АбонементНовых*BI10,MeanMinAge21)))</f>
        <v/>
      </c>
      <c r="BJ95" s="5">
        <f>IF(OR(('03_Сеть'!BJ43-BJ41)=0,21&lt;=КаникулыРоялти),0,('03_Сеть'!BJ43-BJ41)*IF(РоялтиПоГруппам="Да",MeanMinAge21+BJ10*SUMIF(ThresholdAge21,"&lt;"&amp;BJ10,WeightedRevAge21)-SUMIF(ThresholdAge21,"&lt;"&amp;BJ10,WeightedMinAge21),MAX(CapacityAge21*АбонементНовых*BJ10,MeanMinAge21)))</f>
        <v/>
      </c>
      <c r="BK95" s="5">
        <f>IF(OR(('03_Сеть'!BK43-BK41)=0,21&lt;=КаникулыРоялти),0,('03_Сеть'!BK43-BK41)*IF(РоялтиПоГруппам="Да",MeanMinAge21+BK10*SUMIF(ThresholdAge21,"&lt;"&amp;BK10,WeightedRevAge21)-SUMIF(ThresholdAge21,"&lt;"&amp;BK10,WeightedMinAge21),MAX(CapacityAge21*АбонементНовых*BK10,MeanMinAge21)))</f>
        <v/>
      </c>
      <c r="BL95" s="5">
        <f>IF(OR(('03_Сеть'!BL43-BL41)=0,21&lt;=КаникулыРоялти),0,('03_Сеть'!BL43-BL41)*IF(РоялтиПоГруппам="Да",MeanMinAge21+BL10*SUMIF(ThresholdAge21,"&lt;"&amp;BL10,WeightedRevAge21)-SUMIF(ThresholdAge21,"&lt;"&amp;BL10,WeightedMinAge21),MAX(CapacityAge21*АбонементНовых*BL10,MeanMinAge21)))</f>
        <v/>
      </c>
      <c r="BM95" s="5">
        <f>IF(OR(('03_Сеть'!BM43-BM41)=0,21&lt;=КаникулыРоялти),0,('03_Сеть'!BM43-BM41)*IF(РоялтиПоГруппам="Да",MeanMinAge21+BM10*SUMIF(ThresholdAge21,"&lt;"&amp;BM10,WeightedRevAge21)-SUMIF(ThresholdAge21,"&lt;"&amp;BM10,WeightedMinAge21),MAX(CapacityAge21*АбонементНовых*BM10,MeanMinAge21)))</f>
        <v/>
      </c>
      <c r="BN95" s="5">
        <f>IF(OR(('03_Сеть'!BN43-BN41)=0,21&lt;=КаникулыРоялти),0,('03_Сеть'!BN43-BN41)*IF(РоялтиПоГруппам="Да",MeanMinAge21+BN10*SUMIF(ThresholdAge21,"&lt;"&amp;BN10,WeightedRevAge21)-SUMIF(ThresholdAge21,"&lt;"&amp;BN10,WeightedMinAge21),MAX(CapacityAge21*АбонементНовых*BN10,MeanMinAge21)))</f>
        <v/>
      </c>
      <c r="BO95" s="5">
        <f>IF(OR(('03_Сеть'!BO43-BO41)=0,21&lt;=КаникулыРоялти),0,('03_Сеть'!BO43-BO41)*IF(РоялтиПоГруппам="Да",MeanMinAge21+BO10*SUMIF(ThresholdAge21,"&lt;"&amp;BO10,WeightedRevAge21)-SUMIF(ThresholdAge21,"&lt;"&amp;BO10,WeightedMinAge21),MAX(CapacityAge21*АбонементНовых*BO10,MeanMinAge21)))</f>
        <v/>
      </c>
      <c r="BP95" s="5">
        <f>IF(OR(('03_Сеть'!BP43-BP41)=0,21&lt;=КаникулыРоялти),0,('03_Сеть'!BP43-BP41)*IF(РоялтиПоГруппам="Да",MeanMinAge21+BP10*SUMIF(ThresholdAge21,"&lt;"&amp;BP10,WeightedRevAge21)-SUMIF(ThresholdAge21,"&lt;"&amp;BP10,WeightedMinAge21),MAX(CapacityAge21*АбонементНовых*BP10,MeanMinAge21)))</f>
        <v/>
      </c>
      <c r="BQ95" s="5">
        <f>IF(OR(('03_Сеть'!BQ43-BQ41)=0,21&lt;=КаникулыРоялти),0,('03_Сеть'!BQ43-BQ41)*IF(РоялтиПоГруппам="Да",MeanMinAge21+BQ10*SUMIF(ThresholdAge21,"&lt;"&amp;BQ10,WeightedRevAge21)-SUMIF(ThresholdAge21,"&lt;"&amp;BQ10,WeightedMinAge21),MAX(CapacityAge21*АбонементНовых*BQ10,MeanMinAge21)))</f>
        <v/>
      </c>
      <c r="BR95" s="5">
        <f>IF(OR(('03_Сеть'!BR43-BR41)=0,21&lt;=КаникулыРоялти),0,('03_Сеть'!BR43-BR41)*IF(РоялтиПоГруппам="Да",MeanMinAge21+BR10*SUMIF(ThresholdAge21,"&lt;"&amp;BR10,WeightedRevAge21)-SUMIF(ThresholdAge21,"&lt;"&amp;BR10,WeightedMinAge21),MAX(CapacityAge21*АбонементНовых*BR10,MeanMinAge21)))</f>
        <v/>
      </c>
      <c r="BS95" s="5">
        <f>IF(OR(('03_Сеть'!BS43-BS41)=0,21&lt;=КаникулыРоялти),0,('03_Сеть'!BS43-BS41)*IF(РоялтиПоГруппам="Да",MeanMinAge21+BS10*SUMIF(ThresholdAge21,"&lt;"&amp;BS10,WeightedRevAge21)-SUMIF(ThresholdAge21,"&lt;"&amp;BS10,WeightedMinAge21),MAX(CapacityAge21*АбонементНовых*BS10,MeanMinAge21)))</f>
        <v/>
      </c>
      <c r="BT95" s="5">
        <f>IF(OR(('03_Сеть'!BT43-BT41)=0,21&lt;=КаникулыРоялти),0,('03_Сеть'!BT43-BT41)*IF(РоялтиПоГруппам="Да",MeanMinAge21+BT10*SUMIF(ThresholdAge21,"&lt;"&amp;BT10,WeightedRevAge21)-SUMIF(ThresholdAge21,"&lt;"&amp;BT10,WeightedMinAge21),MAX(CapacityAge21*АбонементНовых*BT10,MeanMinAge21)))</f>
        <v/>
      </c>
      <c r="BU95" s="5">
        <f>IF(OR(('03_Сеть'!BU43-BU41)=0,21&lt;=КаникулыРоялти),0,('03_Сеть'!BU43-BU41)*IF(РоялтиПоГруппам="Да",MeanMinAge21+BU10*SUMIF(ThresholdAge21,"&lt;"&amp;BU10,WeightedRevAge21)-SUMIF(ThresholdAge21,"&lt;"&amp;BU10,WeightedMinAge21),MAX(CapacityAge21*АбонементНовых*BU10,MeanMinAge21)))</f>
        <v/>
      </c>
      <c r="BV95" s="5">
        <f>IF(OR(('03_Сеть'!BV43-BV41)=0,21&lt;=КаникулыРоялти),0,('03_Сеть'!BV43-BV41)*IF(РоялтиПоГруппам="Да",MeanMinAge21+BV10*SUMIF(ThresholdAge21,"&lt;"&amp;BV10,WeightedRevAge21)-SUMIF(ThresholdAge21,"&lt;"&amp;BV10,WeightedMinAge21),MAX(CapacityAge21*АбонементНовых*BV10,MeanMinAge21)))</f>
        <v/>
      </c>
      <c r="BW95" s="5">
        <f>IF(OR(('03_Сеть'!BW43-BW41)=0,21&lt;=КаникулыРоялти),0,('03_Сеть'!BW43-BW41)*IF(РоялтиПоГруппам="Да",MeanMinAge21+BW10*SUMIF(ThresholdAge21,"&lt;"&amp;BW10,WeightedRevAge21)-SUMIF(ThresholdAge21,"&lt;"&amp;BW10,WeightedMinAge21),MAX(CapacityAge21*АбонементНовых*BW10,MeanMinAge21)))</f>
        <v/>
      </c>
      <c r="BX95" s="5">
        <f>IF(OR(('03_Сеть'!BX43-BX41)=0,21&lt;=КаникулыРоялти),0,('03_Сеть'!BX43-BX41)*IF(РоялтиПоГруппам="Да",MeanMinAge21+BX10*SUMIF(ThresholdAge21,"&lt;"&amp;BX10,WeightedRevAge21)-SUMIF(ThresholdAge21,"&lt;"&amp;BX10,WeightedMinAge21),MAX(CapacityAge21*АбонементНовых*BX10,MeanMinAge21)))</f>
        <v/>
      </c>
      <c r="BY95" s="5">
        <f>IF(OR(('03_Сеть'!BY43-BY41)=0,21&lt;=КаникулыРоялти),0,('03_Сеть'!BY43-BY41)*IF(РоялтиПоГруппам="Да",MeanMinAge21+BY10*SUMIF(ThresholdAge21,"&lt;"&amp;BY10,WeightedRevAge21)-SUMIF(ThresholdAge21,"&lt;"&amp;BY10,WeightedMinAge21),MAX(CapacityAge21*АбонементНовых*BY10,MeanMinAge21)))</f>
        <v/>
      </c>
    </row>
    <row r="96">
      <c r="B96" t="inlineStr">
        <is>
          <t>22 мес.</t>
        </is>
      </c>
      <c r="C96" t="inlineStr">
        <is>
          <t>₽</t>
        </is>
      </c>
      <c r="D96" s="127" t="inlineStr"/>
      <c r="E96" s="129">
        <f>SUM(L96:W96)</f>
        <v/>
      </c>
      <c r="F96" s="129">
        <f>SUM(X96:AI96)</f>
        <v/>
      </c>
      <c r="G96" s="129">
        <f>SUM(AJ96:AU96)</f>
        <v/>
      </c>
      <c r="H96" s="129">
        <f>SUM(AV96:BG96)</f>
        <v/>
      </c>
      <c r="I96" s="129">
        <f>SUM(BH96:BS96)</f>
        <v/>
      </c>
      <c r="J96" s="6">
        <f>SUM(L96:BS96)</f>
        <v/>
      </c>
      <c r="L96" s="5">
        <f>IF(OR(('03_Сеть'!L44-L42)=0,22&lt;=КаникулыРоялти),0,('03_Сеть'!L44-L42)*IF(РоялтиПоГруппам="Да",MeanMinAge22+L10*SUMIF(ThresholdAge22,"&lt;"&amp;L10,WeightedRevAge22)-SUMIF(ThresholdAge22,"&lt;"&amp;L10,WeightedMinAge22),MAX(CapacityAge22*АбонементНовых*L10,MeanMinAge22)))</f>
        <v/>
      </c>
      <c r="M96" s="5">
        <f>IF(OR(('03_Сеть'!M44-M42)=0,22&lt;=КаникулыРоялти),0,('03_Сеть'!M44-M42)*IF(РоялтиПоГруппам="Да",MeanMinAge22+M10*SUMIF(ThresholdAge22,"&lt;"&amp;M10,WeightedRevAge22)-SUMIF(ThresholdAge22,"&lt;"&amp;M10,WeightedMinAge22),MAX(CapacityAge22*АбонементНовых*M10,MeanMinAge22)))</f>
        <v/>
      </c>
      <c r="N96" s="5">
        <f>IF(OR(('03_Сеть'!N44-N42)=0,22&lt;=КаникулыРоялти),0,('03_Сеть'!N44-N42)*IF(РоялтиПоГруппам="Да",MeanMinAge22+N10*SUMIF(ThresholdAge22,"&lt;"&amp;N10,WeightedRevAge22)-SUMIF(ThresholdAge22,"&lt;"&amp;N10,WeightedMinAge22),MAX(CapacityAge22*АбонементНовых*N10,MeanMinAge22)))</f>
        <v/>
      </c>
      <c r="O96" s="5">
        <f>IF(OR(('03_Сеть'!O44-O42)=0,22&lt;=КаникулыРоялти),0,('03_Сеть'!O44-O42)*IF(РоялтиПоГруппам="Да",MeanMinAge22+O10*SUMIF(ThresholdAge22,"&lt;"&amp;O10,WeightedRevAge22)-SUMIF(ThresholdAge22,"&lt;"&amp;O10,WeightedMinAge22),MAX(CapacityAge22*АбонементНовых*O10,MeanMinAge22)))</f>
        <v/>
      </c>
      <c r="P96" s="5">
        <f>IF(OR(('03_Сеть'!P44-P42)=0,22&lt;=КаникулыРоялти),0,('03_Сеть'!P44-P42)*IF(РоялтиПоГруппам="Да",MeanMinAge22+P10*SUMIF(ThresholdAge22,"&lt;"&amp;P10,WeightedRevAge22)-SUMIF(ThresholdAge22,"&lt;"&amp;P10,WeightedMinAge22),MAX(CapacityAge22*АбонементНовых*P10,MeanMinAge22)))</f>
        <v/>
      </c>
      <c r="Q96" s="5">
        <f>IF(OR(('03_Сеть'!Q44-Q42)=0,22&lt;=КаникулыРоялти),0,('03_Сеть'!Q44-Q42)*IF(РоялтиПоГруппам="Да",MeanMinAge22+Q10*SUMIF(ThresholdAge22,"&lt;"&amp;Q10,WeightedRevAge22)-SUMIF(ThresholdAge22,"&lt;"&amp;Q10,WeightedMinAge22),MAX(CapacityAge22*АбонементНовых*Q10,MeanMinAge22)))</f>
        <v/>
      </c>
      <c r="R96" s="5">
        <f>IF(OR(('03_Сеть'!R44-R42)=0,22&lt;=КаникулыРоялти),0,('03_Сеть'!R44-R42)*IF(РоялтиПоГруппам="Да",MeanMinAge22+R10*SUMIF(ThresholdAge22,"&lt;"&amp;R10,WeightedRevAge22)-SUMIF(ThresholdAge22,"&lt;"&amp;R10,WeightedMinAge22),MAX(CapacityAge22*АбонементНовых*R10,MeanMinAge22)))</f>
        <v/>
      </c>
      <c r="S96" s="5">
        <f>IF(OR(('03_Сеть'!S44-S42)=0,22&lt;=КаникулыРоялти),0,('03_Сеть'!S44-S42)*IF(РоялтиПоГруппам="Да",MeanMinAge22+S10*SUMIF(ThresholdAge22,"&lt;"&amp;S10,WeightedRevAge22)-SUMIF(ThresholdAge22,"&lt;"&amp;S10,WeightedMinAge22),MAX(CapacityAge22*АбонементНовых*S10,MeanMinAge22)))</f>
        <v/>
      </c>
      <c r="T96" s="5">
        <f>IF(OR(('03_Сеть'!T44-T42)=0,22&lt;=КаникулыРоялти),0,('03_Сеть'!T44-T42)*IF(РоялтиПоГруппам="Да",MeanMinAge22+T10*SUMIF(ThresholdAge22,"&lt;"&amp;T10,WeightedRevAge22)-SUMIF(ThresholdAge22,"&lt;"&amp;T10,WeightedMinAge22),MAX(CapacityAge22*АбонементНовых*T10,MeanMinAge22)))</f>
        <v/>
      </c>
      <c r="U96" s="5">
        <f>IF(OR(('03_Сеть'!U44-U42)=0,22&lt;=КаникулыРоялти),0,('03_Сеть'!U44-U42)*IF(РоялтиПоГруппам="Да",MeanMinAge22+U10*SUMIF(ThresholdAge22,"&lt;"&amp;U10,WeightedRevAge22)-SUMIF(ThresholdAge22,"&lt;"&amp;U10,WeightedMinAge22),MAX(CapacityAge22*АбонементНовых*U10,MeanMinAge22)))</f>
        <v/>
      </c>
      <c r="V96" s="5">
        <f>IF(OR(('03_Сеть'!V44-V42)=0,22&lt;=КаникулыРоялти),0,('03_Сеть'!V44-V42)*IF(РоялтиПоГруппам="Да",MeanMinAge22+V10*SUMIF(ThresholdAge22,"&lt;"&amp;V10,WeightedRevAge22)-SUMIF(ThresholdAge22,"&lt;"&amp;V10,WeightedMinAge22),MAX(CapacityAge22*АбонементНовых*V10,MeanMinAge22)))</f>
        <v/>
      </c>
      <c r="W96" s="5">
        <f>IF(OR(('03_Сеть'!W44-W42)=0,22&lt;=КаникулыРоялти),0,('03_Сеть'!W44-W42)*IF(РоялтиПоГруппам="Да",MeanMinAge22+W10*SUMIF(ThresholdAge22,"&lt;"&amp;W10,WeightedRevAge22)-SUMIF(ThresholdAge22,"&lt;"&amp;W10,WeightedMinAge22),MAX(CapacityAge22*АбонементНовых*W10,MeanMinAge22)))</f>
        <v/>
      </c>
      <c r="X96" s="5">
        <f>IF(OR(('03_Сеть'!X44-X42)=0,22&lt;=КаникулыРоялти),0,('03_Сеть'!X44-X42)*IF(РоялтиПоГруппам="Да",MeanMinAge22+X10*SUMIF(ThresholdAge22,"&lt;"&amp;X10,WeightedRevAge22)-SUMIF(ThresholdAge22,"&lt;"&amp;X10,WeightedMinAge22),MAX(CapacityAge22*АбонементНовых*X10,MeanMinAge22)))</f>
        <v/>
      </c>
      <c r="Y96" s="5">
        <f>IF(OR(('03_Сеть'!Y44-Y42)=0,22&lt;=КаникулыРоялти),0,('03_Сеть'!Y44-Y42)*IF(РоялтиПоГруппам="Да",MeanMinAge22+Y10*SUMIF(ThresholdAge22,"&lt;"&amp;Y10,WeightedRevAge22)-SUMIF(ThresholdAge22,"&lt;"&amp;Y10,WeightedMinAge22),MAX(CapacityAge22*АбонементНовых*Y10,MeanMinAge22)))</f>
        <v/>
      </c>
      <c r="Z96" s="5">
        <f>IF(OR(('03_Сеть'!Z44-Z42)=0,22&lt;=КаникулыРоялти),0,('03_Сеть'!Z44-Z42)*IF(РоялтиПоГруппам="Да",MeanMinAge22+Z10*SUMIF(ThresholdAge22,"&lt;"&amp;Z10,WeightedRevAge22)-SUMIF(ThresholdAge22,"&lt;"&amp;Z10,WeightedMinAge22),MAX(CapacityAge22*АбонементНовых*Z10,MeanMinAge22)))</f>
        <v/>
      </c>
      <c r="AA96" s="5">
        <f>IF(OR(('03_Сеть'!AA44-AA42)=0,22&lt;=КаникулыРоялти),0,('03_Сеть'!AA44-AA42)*IF(РоялтиПоГруппам="Да",MeanMinAge22+AA10*SUMIF(ThresholdAge22,"&lt;"&amp;AA10,WeightedRevAge22)-SUMIF(ThresholdAge22,"&lt;"&amp;AA10,WeightedMinAge22),MAX(CapacityAge22*АбонементНовых*AA10,MeanMinAge22)))</f>
        <v/>
      </c>
      <c r="AB96" s="5">
        <f>IF(OR(('03_Сеть'!AB44-AB42)=0,22&lt;=КаникулыРоялти),0,('03_Сеть'!AB44-AB42)*IF(РоялтиПоГруппам="Да",MeanMinAge22+AB10*SUMIF(ThresholdAge22,"&lt;"&amp;AB10,WeightedRevAge22)-SUMIF(ThresholdAge22,"&lt;"&amp;AB10,WeightedMinAge22),MAX(CapacityAge22*АбонементНовых*AB10,MeanMinAge22)))</f>
        <v/>
      </c>
      <c r="AC96" s="5">
        <f>IF(OR(('03_Сеть'!AC44-AC42)=0,22&lt;=КаникулыРоялти),0,('03_Сеть'!AC44-AC42)*IF(РоялтиПоГруппам="Да",MeanMinAge22+AC10*SUMIF(ThresholdAge22,"&lt;"&amp;AC10,WeightedRevAge22)-SUMIF(ThresholdAge22,"&lt;"&amp;AC10,WeightedMinAge22),MAX(CapacityAge22*АбонементНовых*AC10,MeanMinAge22)))</f>
        <v/>
      </c>
      <c r="AD96" s="5">
        <f>IF(OR(('03_Сеть'!AD44-AD42)=0,22&lt;=КаникулыРоялти),0,('03_Сеть'!AD44-AD42)*IF(РоялтиПоГруппам="Да",MeanMinAge22+AD10*SUMIF(ThresholdAge22,"&lt;"&amp;AD10,WeightedRevAge22)-SUMIF(ThresholdAge22,"&lt;"&amp;AD10,WeightedMinAge22),MAX(CapacityAge22*АбонементНовых*AD10,MeanMinAge22)))</f>
        <v/>
      </c>
      <c r="AE96" s="5">
        <f>IF(OR(('03_Сеть'!AE44-AE42)=0,22&lt;=КаникулыРоялти),0,('03_Сеть'!AE44-AE42)*IF(РоялтиПоГруппам="Да",MeanMinAge22+AE10*SUMIF(ThresholdAge22,"&lt;"&amp;AE10,WeightedRevAge22)-SUMIF(ThresholdAge22,"&lt;"&amp;AE10,WeightedMinAge22),MAX(CapacityAge22*АбонементНовых*AE10,MeanMinAge22)))</f>
        <v/>
      </c>
      <c r="AF96" s="5">
        <f>IF(OR(('03_Сеть'!AF44-AF42)=0,22&lt;=КаникулыРоялти),0,('03_Сеть'!AF44-AF42)*IF(РоялтиПоГруппам="Да",MeanMinAge22+AF10*SUMIF(ThresholdAge22,"&lt;"&amp;AF10,WeightedRevAge22)-SUMIF(ThresholdAge22,"&lt;"&amp;AF10,WeightedMinAge22),MAX(CapacityAge22*АбонементНовых*AF10,MeanMinAge22)))</f>
        <v/>
      </c>
      <c r="AG96" s="5">
        <f>IF(OR(('03_Сеть'!AG44-AG42)=0,22&lt;=КаникулыРоялти),0,('03_Сеть'!AG44-AG42)*IF(РоялтиПоГруппам="Да",MeanMinAge22+AG10*SUMIF(ThresholdAge22,"&lt;"&amp;AG10,WeightedRevAge22)-SUMIF(ThresholdAge22,"&lt;"&amp;AG10,WeightedMinAge22),MAX(CapacityAge22*АбонементНовых*AG10,MeanMinAge22)))</f>
        <v/>
      </c>
      <c r="AH96" s="5">
        <f>IF(OR(('03_Сеть'!AH44-AH42)=0,22&lt;=КаникулыРоялти),0,('03_Сеть'!AH44-AH42)*IF(РоялтиПоГруппам="Да",MeanMinAge22+AH10*SUMIF(ThresholdAge22,"&lt;"&amp;AH10,WeightedRevAge22)-SUMIF(ThresholdAge22,"&lt;"&amp;AH10,WeightedMinAge22),MAX(CapacityAge22*АбонементНовых*AH10,MeanMinAge22)))</f>
        <v/>
      </c>
      <c r="AI96" s="5">
        <f>IF(OR(('03_Сеть'!AI44-AI42)=0,22&lt;=КаникулыРоялти),0,('03_Сеть'!AI44-AI42)*IF(РоялтиПоГруппам="Да",MeanMinAge22+AI10*SUMIF(ThresholdAge22,"&lt;"&amp;AI10,WeightedRevAge22)-SUMIF(ThresholdAge22,"&lt;"&amp;AI10,WeightedMinAge22),MAX(CapacityAge22*АбонементНовых*AI10,MeanMinAge22)))</f>
        <v/>
      </c>
      <c r="AJ96" s="5">
        <f>IF(OR(('03_Сеть'!AJ44-AJ42)=0,22&lt;=КаникулыРоялти),0,('03_Сеть'!AJ44-AJ42)*IF(РоялтиПоГруппам="Да",MeanMinAge22+AJ10*SUMIF(ThresholdAge22,"&lt;"&amp;AJ10,WeightedRevAge22)-SUMIF(ThresholdAge22,"&lt;"&amp;AJ10,WeightedMinAge22),MAX(CapacityAge22*АбонементНовых*AJ10,MeanMinAge22)))</f>
        <v/>
      </c>
      <c r="AK96" s="5">
        <f>IF(OR(('03_Сеть'!AK44-AK42)=0,22&lt;=КаникулыРоялти),0,('03_Сеть'!AK44-AK42)*IF(РоялтиПоГруппам="Да",MeanMinAge22+AK10*SUMIF(ThresholdAge22,"&lt;"&amp;AK10,WeightedRevAge22)-SUMIF(ThresholdAge22,"&lt;"&amp;AK10,WeightedMinAge22),MAX(CapacityAge22*АбонементНовых*AK10,MeanMinAge22)))</f>
        <v/>
      </c>
      <c r="AL96" s="5">
        <f>IF(OR(('03_Сеть'!AL44-AL42)=0,22&lt;=КаникулыРоялти),0,('03_Сеть'!AL44-AL42)*IF(РоялтиПоГруппам="Да",MeanMinAge22+AL10*SUMIF(ThresholdAge22,"&lt;"&amp;AL10,WeightedRevAge22)-SUMIF(ThresholdAge22,"&lt;"&amp;AL10,WeightedMinAge22),MAX(CapacityAge22*АбонементНовых*AL10,MeanMinAge22)))</f>
        <v/>
      </c>
      <c r="AM96" s="5">
        <f>IF(OR(('03_Сеть'!AM44-AM42)=0,22&lt;=КаникулыРоялти),0,('03_Сеть'!AM44-AM42)*IF(РоялтиПоГруппам="Да",MeanMinAge22+AM10*SUMIF(ThresholdAge22,"&lt;"&amp;AM10,WeightedRevAge22)-SUMIF(ThresholdAge22,"&lt;"&amp;AM10,WeightedMinAge22),MAX(CapacityAge22*АбонементНовых*AM10,MeanMinAge22)))</f>
        <v/>
      </c>
      <c r="AN96" s="5">
        <f>IF(OR(('03_Сеть'!AN44-AN42)=0,22&lt;=КаникулыРоялти),0,('03_Сеть'!AN44-AN42)*IF(РоялтиПоГруппам="Да",MeanMinAge22+AN10*SUMIF(ThresholdAge22,"&lt;"&amp;AN10,WeightedRevAge22)-SUMIF(ThresholdAge22,"&lt;"&amp;AN10,WeightedMinAge22),MAX(CapacityAge22*АбонементНовых*AN10,MeanMinAge22)))</f>
        <v/>
      </c>
      <c r="AO96" s="5">
        <f>IF(OR(('03_Сеть'!AO44-AO42)=0,22&lt;=КаникулыРоялти),0,('03_Сеть'!AO44-AO42)*IF(РоялтиПоГруппам="Да",MeanMinAge22+AO10*SUMIF(ThresholdAge22,"&lt;"&amp;AO10,WeightedRevAge22)-SUMIF(ThresholdAge22,"&lt;"&amp;AO10,WeightedMinAge22),MAX(CapacityAge22*АбонементНовых*AO10,MeanMinAge22)))</f>
        <v/>
      </c>
      <c r="AP96" s="5">
        <f>IF(OR(('03_Сеть'!AP44-AP42)=0,22&lt;=КаникулыРоялти),0,('03_Сеть'!AP44-AP42)*IF(РоялтиПоГруппам="Да",MeanMinAge22+AP10*SUMIF(ThresholdAge22,"&lt;"&amp;AP10,WeightedRevAge22)-SUMIF(ThresholdAge22,"&lt;"&amp;AP10,WeightedMinAge22),MAX(CapacityAge22*АбонементНовых*AP10,MeanMinAge22)))</f>
        <v/>
      </c>
      <c r="AQ96" s="5">
        <f>IF(OR(('03_Сеть'!AQ44-AQ42)=0,22&lt;=КаникулыРоялти),0,('03_Сеть'!AQ44-AQ42)*IF(РоялтиПоГруппам="Да",MeanMinAge22+AQ10*SUMIF(ThresholdAge22,"&lt;"&amp;AQ10,WeightedRevAge22)-SUMIF(ThresholdAge22,"&lt;"&amp;AQ10,WeightedMinAge22),MAX(CapacityAge22*АбонементНовых*AQ10,MeanMinAge22)))</f>
        <v/>
      </c>
      <c r="AR96" s="5">
        <f>IF(OR(('03_Сеть'!AR44-AR42)=0,22&lt;=КаникулыРоялти),0,('03_Сеть'!AR44-AR42)*IF(РоялтиПоГруппам="Да",MeanMinAge22+AR10*SUMIF(ThresholdAge22,"&lt;"&amp;AR10,WeightedRevAge22)-SUMIF(ThresholdAge22,"&lt;"&amp;AR10,WeightedMinAge22),MAX(CapacityAge22*АбонементНовых*AR10,MeanMinAge22)))</f>
        <v/>
      </c>
      <c r="AS96" s="5">
        <f>IF(OR(('03_Сеть'!AS44-AS42)=0,22&lt;=КаникулыРоялти),0,('03_Сеть'!AS44-AS42)*IF(РоялтиПоГруппам="Да",MeanMinAge22+AS10*SUMIF(ThresholdAge22,"&lt;"&amp;AS10,WeightedRevAge22)-SUMIF(ThresholdAge22,"&lt;"&amp;AS10,WeightedMinAge22),MAX(CapacityAge22*АбонементНовых*AS10,MeanMinAge22)))</f>
        <v/>
      </c>
      <c r="AT96" s="5">
        <f>IF(OR(('03_Сеть'!AT44-AT42)=0,22&lt;=КаникулыРоялти),0,('03_Сеть'!AT44-AT42)*IF(РоялтиПоГруппам="Да",MeanMinAge22+AT10*SUMIF(ThresholdAge22,"&lt;"&amp;AT10,WeightedRevAge22)-SUMIF(ThresholdAge22,"&lt;"&amp;AT10,WeightedMinAge22),MAX(CapacityAge22*АбонементНовых*AT10,MeanMinAge22)))</f>
        <v/>
      </c>
      <c r="AU96" s="5">
        <f>IF(OR(('03_Сеть'!AU44-AU42)=0,22&lt;=КаникулыРоялти),0,('03_Сеть'!AU44-AU42)*IF(РоялтиПоГруппам="Да",MeanMinAge22+AU10*SUMIF(ThresholdAge22,"&lt;"&amp;AU10,WeightedRevAge22)-SUMIF(ThresholdAge22,"&lt;"&amp;AU10,WeightedMinAge22),MAX(CapacityAge22*АбонементНовых*AU10,MeanMinAge22)))</f>
        <v/>
      </c>
      <c r="AV96" s="5">
        <f>IF(OR(('03_Сеть'!AV44-AV42)=0,22&lt;=КаникулыРоялти),0,('03_Сеть'!AV44-AV42)*IF(РоялтиПоГруппам="Да",MeanMinAge22+AV10*SUMIF(ThresholdAge22,"&lt;"&amp;AV10,WeightedRevAge22)-SUMIF(ThresholdAge22,"&lt;"&amp;AV10,WeightedMinAge22),MAX(CapacityAge22*АбонементНовых*AV10,MeanMinAge22)))</f>
        <v/>
      </c>
      <c r="AW96" s="5">
        <f>IF(OR(('03_Сеть'!AW44-AW42)=0,22&lt;=КаникулыРоялти),0,('03_Сеть'!AW44-AW42)*IF(РоялтиПоГруппам="Да",MeanMinAge22+AW10*SUMIF(ThresholdAge22,"&lt;"&amp;AW10,WeightedRevAge22)-SUMIF(ThresholdAge22,"&lt;"&amp;AW10,WeightedMinAge22),MAX(CapacityAge22*АбонементНовых*AW10,MeanMinAge22)))</f>
        <v/>
      </c>
      <c r="AX96" s="5">
        <f>IF(OR(('03_Сеть'!AX44-AX42)=0,22&lt;=КаникулыРоялти),0,('03_Сеть'!AX44-AX42)*IF(РоялтиПоГруппам="Да",MeanMinAge22+AX10*SUMIF(ThresholdAge22,"&lt;"&amp;AX10,WeightedRevAge22)-SUMIF(ThresholdAge22,"&lt;"&amp;AX10,WeightedMinAge22),MAX(CapacityAge22*АбонементНовых*AX10,MeanMinAge22)))</f>
        <v/>
      </c>
      <c r="AY96" s="5">
        <f>IF(OR(('03_Сеть'!AY44-AY42)=0,22&lt;=КаникулыРоялти),0,('03_Сеть'!AY44-AY42)*IF(РоялтиПоГруппам="Да",MeanMinAge22+AY10*SUMIF(ThresholdAge22,"&lt;"&amp;AY10,WeightedRevAge22)-SUMIF(ThresholdAge22,"&lt;"&amp;AY10,WeightedMinAge22),MAX(CapacityAge22*АбонементНовых*AY10,MeanMinAge22)))</f>
        <v/>
      </c>
      <c r="AZ96" s="5">
        <f>IF(OR(('03_Сеть'!AZ44-AZ42)=0,22&lt;=КаникулыРоялти),0,('03_Сеть'!AZ44-AZ42)*IF(РоялтиПоГруппам="Да",MeanMinAge22+AZ10*SUMIF(ThresholdAge22,"&lt;"&amp;AZ10,WeightedRevAge22)-SUMIF(ThresholdAge22,"&lt;"&amp;AZ10,WeightedMinAge22),MAX(CapacityAge22*АбонементНовых*AZ10,MeanMinAge22)))</f>
        <v/>
      </c>
      <c r="BA96" s="5">
        <f>IF(OR(('03_Сеть'!BA44-BA42)=0,22&lt;=КаникулыРоялти),0,('03_Сеть'!BA44-BA42)*IF(РоялтиПоГруппам="Да",MeanMinAge22+BA10*SUMIF(ThresholdAge22,"&lt;"&amp;BA10,WeightedRevAge22)-SUMIF(ThresholdAge22,"&lt;"&amp;BA10,WeightedMinAge22),MAX(CapacityAge22*АбонементНовых*BA10,MeanMinAge22)))</f>
        <v/>
      </c>
      <c r="BB96" s="5">
        <f>IF(OR(('03_Сеть'!BB44-BB42)=0,22&lt;=КаникулыРоялти),0,('03_Сеть'!BB44-BB42)*IF(РоялтиПоГруппам="Да",MeanMinAge22+BB10*SUMIF(ThresholdAge22,"&lt;"&amp;BB10,WeightedRevAge22)-SUMIF(ThresholdAge22,"&lt;"&amp;BB10,WeightedMinAge22),MAX(CapacityAge22*АбонементНовых*BB10,MeanMinAge22)))</f>
        <v/>
      </c>
      <c r="BC96" s="5">
        <f>IF(OR(('03_Сеть'!BC44-BC42)=0,22&lt;=КаникулыРоялти),0,('03_Сеть'!BC44-BC42)*IF(РоялтиПоГруппам="Да",MeanMinAge22+BC10*SUMIF(ThresholdAge22,"&lt;"&amp;BC10,WeightedRevAge22)-SUMIF(ThresholdAge22,"&lt;"&amp;BC10,WeightedMinAge22),MAX(CapacityAge22*АбонементНовых*BC10,MeanMinAge22)))</f>
        <v/>
      </c>
      <c r="BD96" s="5">
        <f>IF(OR(('03_Сеть'!BD44-BD42)=0,22&lt;=КаникулыРоялти),0,('03_Сеть'!BD44-BD42)*IF(РоялтиПоГруппам="Да",MeanMinAge22+BD10*SUMIF(ThresholdAge22,"&lt;"&amp;BD10,WeightedRevAge22)-SUMIF(ThresholdAge22,"&lt;"&amp;BD10,WeightedMinAge22),MAX(CapacityAge22*АбонементНовых*BD10,MeanMinAge22)))</f>
        <v/>
      </c>
      <c r="BE96" s="5">
        <f>IF(OR(('03_Сеть'!BE44-BE42)=0,22&lt;=КаникулыРоялти),0,('03_Сеть'!BE44-BE42)*IF(РоялтиПоГруппам="Да",MeanMinAge22+BE10*SUMIF(ThresholdAge22,"&lt;"&amp;BE10,WeightedRevAge22)-SUMIF(ThresholdAge22,"&lt;"&amp;BE10,WeightedMinAge22),MAX(CapacityAge22*АбонементНовых*BE10,MeanMinAge22)))</f>
        <v/>
      </c>
      <c r="BF96" s="5">
        <f>IF(OR(('03_Сеть'!BF44-BF42)=0,22&lt;=КаникулыРоялти),0,('03_Сеть'!BF44-BF42)*IF(РоялтиПоГруппам="Да",MeanMinAge22+BF10*SUMIF(ThresholdAge22,"&lt;"&amp;BF10,WeightedRevAge22)-SUMIF(ThresholdAge22,"&lt;"&amp;BF10,WeightedMinAge22),MAX(CapacityAge22*АбонементНовых*BF10,MeanMinAge22)))</f>
        <v/>
      </c>
      <c r="BG96" s="5">
        <f>IF(OR(('03_Сеть'!BG44-BG42)=0,22&lt;=КаникулыРоялти),0,('03_Сеть'!BG44-BG42)*IF(РоялтиПоГруппам="Да",MeanMinAge22+BG10*SUMIF(ThresholdAge22,"&lt;"&amp;BG10,WeightedRevAge22)-SUMIF(ThresholdAge22,"&lt;"&amp;BG10,WeightedMinAge22),MAX(CapacityAge22*АбонементНовых*BG10,MeanMinAge22)))</f>
        <v/>
      </c>
      <c r="BH96" s="5">
        <f>IF(OR(('03_Сеть'!BH44-BH42)=0,22&lt;=КаникулыРоялти),0,('03_Сеть'!BH44-BH42)*IF(РоялтиПоГруппам="Да",MeanMinAge22+BH10*SUMIF(ThresholdAge22,"&lt;"&amp;BH10,WeightedRevAge22)-SUMIF(ThresholdAge22,"&lt;"&amp;BH10,WeightedMinAge22),MAX(CapacityAge22*АбонементНовых*BH10,MeanMinAge22)))</f>
        <v/>
      </c>
      <c r="BI96" s="5">
        <f>IF(OR(('03_Сеть'!BI44-BI42)=0,22&lt;=КаникулыРоялти),0,('03_Сеть'!BI44-BI42)*IF(РоялтиПоГруппам="Да",MeanMinAge22+BI10*SUMIF(ThresholdAge22,"&lt;"&amp;BI10,WeightedRevAge22)-SUMIF(ThresholdAge22,"&lt;"&amp;BI10,WeightedMinAge22),MAX(CapacityAge22*АбонементНовых*BI10,MeanMinAge22)))</f>
        <v/>
      </c>
      <c r="BJ96" s="5">
        <f>IF(OR(('03_Сеть'!BJ44-BJ42)=0,22&lt;=КаникулыРоялти),0,('03_Сеть'!BJ44-BJ42)*IF(РоялтиПоГруппам="Да",MeanMinAge22+BJ10*SUMIF(ThresholdAge22,"&lt;"&amp;BJ10,WeightedRevAge22)-SUMIF(ThresholdAge22,"&lt;"&amp;BJ10,WeightedMinAge22),MAX(CapacityAge22*АбонементНовых*BJ10,MeanMinAge22)))</f>
        <v/>
      </c>
      <c r="BK96" s="5">
        <f>IF(OR(('03_Сеть'!BK44-BK42)=0,22&lt;=КаникулыРоялти),0,('03_Сеть'!BK44-BK42)*IF(РоялтиПоГруппам="Да",MeanMinAge22+BK10*SUMIF(ThresholdAge22,"&lt;"&amp;BK10,WeightedRevAge22)-SUMIF(ThresholdAge22,"&lt;"&amp;BK10,WeightedMinAge22),MAX(CapacityAge22*АбонементНовых*BK10,MeanMinAge22)))</f>
        <v/>
      </c>
      <c r="BL96" s="5">
        <f>IF(OR(('03_Сеть'!BL44-BL42)=0,22&lt;=КаникулыРоялти),0,('03_Сеть'!BL44-BL42)*IF(РоялтиПоГруппам="Да",MeanMinAge22+BL10*SUMIF(ThresholdAge22,"&lt;"&amp;BL10,WeightedRevAge22)-SUMIF(ThresholdAge22,"&lt;"&amp;BL10,WeightedMinAge22),MAX(CapacityAge22*АбонементНовых*BL10,MeanMinAge22)))</f>
        <v/>
      </c>
      <c r="BM96" s="5">
        <f>IF(OR(('03_Сеть'!BM44-BM42)=0,22&lt;=КаникулыРоялти),0,('03_Сеть'!BM44-BM42)*IF(РоялтиПоГруппам="Да",MeanMinAge22+BM10*SUMIF(ThresholdAge22,"&lt;"&amp;BM10,WeightedRevAge22)-SUMIF(ThresholdAge22,"&lt;"&amp;BM10,WeightedMinAge22),MAX(CapacityAge22*АбонементНовых*BM10,MeanMinAge22)))</f>
        <v/>
      </c>
      <c r="BN96" s="5">
        <f>IF(OR(('03_Сеть'!BN44-BN42)=0,22&lt;=КаникулыРоялти),0,('03_Сеть'!BN44-BN42)*IF(РоялтиПоГруппам="Да",MeanMinAge22+BN10*SUMIF(ThresholdAge22,"&lt;"&amp;BN10,WeightedRevAge22)-SUMIF(ThresholdAge22,"&lt;"&amp;BN10,WeightedMinAge22),MAX(CapacityAge22*АбонементНовых*BN10,MeanMinAge22)))</f>
        <v/>
      </c>
      <c r="BO96" s="5">
        <f>IF(OR(('03_Сеть'!BO44-BO42)=0,22&lt;=КаникулыРоялти),0,('03_Сеть'!BO44-BO42)*IF(РоялтиПоГруппам="Да",MeanMinAge22+BO10*SUMIF(ThresholdAge22,"&lt;"&amp;BO10,WeightedRevAge22)-SUMIF(ThresholdAge22,"&lt;"&amp;BO10,WeightedMinAge22),MAX(CapacityAge22*АбонементНовых*BO10,MeanMinAge22)))</f>
        <v/>
      </c>
      <c r="BP96" s="5">
        <f>IF(OR(('03_Сеть'!BP44-BP42)=0,22&lt;=КаникулыРоялти),0,('03_Сеть'!BP44-BP42)*IF(РоялтиПоГруппам="Да",MeanMinAge22+BP10*SUMIF(ThresholdAge22,"&lt;"&amp;BP10,WeightedRevAge22)-SUMIF(ThresholdAge22,"&lt;"&amp;BP10,WeightedMinAge22),MAX(CapacityAge22*АбонементНовых*BP10,MeanMinAge22)))</f>
        <v/>
      </c>
      <c r="BQ96" s="5">
        <f>IF(OR(('03_Сеть'!BQ44-BQ42)=0,22&lt;=КаникулыРоялти),0,('03_Сеть'!BQ44-BQ42)*IF(РоялтиПоГруппам="Да",MeanMinAge22+BQ10*SUMIF(ThresholdAge22,"&lt;"&amp;BQ10,WeightedRevAge22)-SUMIF(ThresholdAge22,"&lt;"&amp;BQ10,WeightedMinAge22),MAX(CapacityAge22*АбонементНовых*BQ10,MeanMinAge22)))</f>
        <v/>
      </c>
      <c r="BR96" s="5">
        <f>IF(OR(('03_Сеть'!BR44-BR42)=0,22&lt;=КаникулыРоялти),0,('03_Сеть'!BR44-BR42)*IF(РоялтиПоГруппам="Да",MeanMinAge22+BR10*SUMIF(ThresholdAge22,"&lt;"&amp;BR10,WeightedRevAge22)-SUMIF(ThresholdAge22,"&lt;"&amp;BR10,WeightedMinAge22),MAX(CapacityAge22*АбонементНовых*BR10,MeanMinAge22)))</f>
        <v/>
      </c>
      <c r="BS96" s="5">
        <f>IF(OR(('03_Сеть'!BS44-BS42)=0,22&lt;=КаникулыРоялти),0,('03_Сеть'!BS44-BS42)*IF(РоялтиПоГруппам="Да",MeanMinAge22+BS10*SUMIF(ThresholdAge22,"&lt;"&amp;BS10,WeightedRevAge22)-SUMIF(ThresholdAge22,"&lt;"&amp;BS10,WeightedMinAge22),MAX(CapacityAge22*АбонементНовых*BS10,MeanMinAge22)))</f>
        <v/>
      </c>
      <c r="BT96" s="5">
        <f>IF(OR(('03_Сеть'!BT44-BT42)=0,22&lt;=КаникулыРоялти),0,('03_Сеть'!BT44-BT42)*IF(РоялтиПоГруппам="Да",MeanMinAge22+BT10*SUMIF(ThresholdAge22,"&lt;"&amp;BT10,WeightedRevAge22)-SUMIF(ThresholdAge22,"&lt;"&amp;BT10,WeightedMinAge22),MAX(CapacityAge22*АбонементНовых*BT10,MeanMinAge22)))</f>
        <v/>
      </c>
      <c r="BU96" s="5">
        <f>IF(OR(('03_Сеть'!BU44-BU42)=0,22&lt;=КаникулыРоялти),0,('03_Сеть'!BU44-BU42)*IF(РоялтиПоГруппам="Да",MeanMinAge22+BU10*SUMIF(ThresholdAge22,"&lt;"&amp;BU10,WeightedRevAge22)-SUMIF(ThresholdAge22,"&lt;"&amp;BU10,WeightedMinAge22),MAX(CapacityAge22*АбонементНовых*BU10,MeanMinAge22)))</f>
        <v/>
      </c>
      <c r="BV96" s="5">
        <f>IF(OR(('03_Сеть'!BV44-BV42)=0,22&lt;=КаникулыРоялти),0,('03_Сеть'!BV44-BV42)*IF(РоялтиПоГруппам="Да",MeanMinAge22+BV10*SUMIF(ThresholdAge22,"&lt;"&amp;BV10,WeightedRevAge22)-SUMIF(ThresholdAge22,"&lt;"&amp;BV10,WeightedMinAge22),MAX(CapacityAge22*АбонементНовых*BV10,MeanMinAge22)))</f>
        <v/>
      </c>
      <c r="BW96" s="5">
        <f>IF(OR(('03_Сеть'!BW44-BW42)=0,22&lt;=КаникулыРоялти),0,('03_Сеть'!BW44-BW42)*IF(РоялтиПоГруппам="Да",MeanMinAge22+BW10*SUMIF(ThresholdAge22,"&lt;"&amp;BW10,WeightedRevAge22)-SUMIF(ThresholdAge22,"&lt;"&amp;BW10,WeightedMinAge22),MAX(CapacityAge22*АбонементНовых*BW10,MeanMinAge22)))</f>
        <v/>
      </c>
      <c r="BX96" s="5">
        <f>IF(OR(('03_Сеть'!BX44-BX42)=0,22&lt;=КаникулыРоялти),0,('03_Сеть'!BX44-BX42)*IF(РоялтиПоГруппам="Да",MeanMinAge22+BX10*SUMIF(ThresholdAge22,"&lt;"&amp;BX10,WeightedRevAge22)-SUMIF(ThresholdAge22,"&lt;"&amp;BX10,WeightedMinAge22),MAX(CapacityAge22*АбонементНовых*BX10,MeanMinAge22)))</f>
        <v/>
      </c>
      <c r="BY96" s="5">
        <f>IF(OR(('03_Сеть'!BY44-BY42)=0,22&lt;=КаникулыРоялти),0,('03_Сеть'!BY44-BY42)*IF(РоялтиПоГруппам="Да",MeanMinAge22+BY10*SUMIF(ThresholdAge22,"&lt;"&amp;BY10,WeightedRevAge22)-SUMIF(ThresholdAge22,"&lt;"&amp;BY10,WeightedMinAge22),MAX(CapacityAge22*АбонементНовых*BY10,MeanMinAge22)))</f>
        <v/>
      </c>
    </row>
    <row r="97">
      <c r="B97" t="inlineStr">
        <is>
          <t>23 мес.</t>
        </is>
      </c>
      <c r="C97" t="inlineStr">
        <is>
          <t>₽</t>
        </is>
      </c>
      <c r="D97" s="127" t="inlineStr"/>
      <c r="E97" s="129">
        <f>SUM(L97:W97)</f>
        <v/>
      </c>
      <c r="F97" s="129">
        <f>SUM(X97:AI97)</f>
        <v/>
      </c>
      <c r="G97" s="129">
        <f>SUM(AJ97:AU97)</f>
        <v/>
      </c>
      <c r="H97" s="129">
        <f>SUM(AV97:BG97)</f>
        <v/>
      </c>
      <c r="I97" s="129">
        <f>SUM(BH97:BS97)</f>
        <v/>
      </c>
      <c r="J97" s="6">
        <f>SUM(L97:BS97)</f>
        <v/>
      </c>
      <c r="L97" s="5">
        <f>IF(OR(('03_Сеть'!L45-L43)=0,23&lt;=КаникулыРоялти),0,('03_Сеть'!L45-L43)*IF(РоялтиПоГруппам="Да",MeanMinAge23+L10*SUMIF(ThresholdAge23,"&lt;"&amp;L10,WeightedRevAge23)-SUMIF(ThresholdAge23,"&lt;"&amp;L10,WeightedMinAge23),MAX(CapacityAge23*АбонементНовых*L10,MeanMinAge23)))</f>
        <v/>
      </c>
      <c r="M97" s="5">
        <f>IF(OR(('03_Сеть'!M45-M43)=0,23&lt;=КаникулыРоялти),0,('03_Сеть'!M45-M43)*IF(РоялтиПоГруппам="Да",MeanMinAge23+M10*SUMIF(ThresholdAge23,"&lt;"&amp;M10,WeightedRevAge23)-SUMIF(ThresholdAge23,"&lt;"&amp;M10,WeightedMinAge23),MAX(CapacityAge23*АбонементНовых*M10,MeanMinAge23)))</f>
        <v/>
      </c>
      <c r="N97" s="5">
        <f>IF(OR(('03_Сеть'!N45-N43)=0,23&lt;=КаникулыРоялти),0,('03_Сеть'!N45-N43)*IF(РоялтиПоГруппам="Да",MeanMinAge23+N10*SUMIF(ThresholdAge23,"&lt;"&amp;N10,WeightedRevAge23)-SUMIF(ThresholdAge23,"&lt;"&amp;N10,WeightedMinAge23),MAX(CapacityAge23*АбонементНовых*N10,MeanMinAge23)))</f>
        <v/>
      </c>
      <c r="O97" s="5">
        <f>IF(OR(('03_Сеть'!O45-O43)=0,23&lt;=КаникулыРоялти),0,('03_Сеть'!O45-O43)*IF(РоялтиПоГруппам="Да",MeanMinAge23+O10*SUMIF(ThresholdAge23,"&lt;"&amp;O10,WeightedRevAge23)-SUMIF(ThresholdAge23,"&lt;"&amp;O10,WeightedMinAge23),MAX(CapacityAge23*АбонементНовых*O10,MeanMinAge23)))</f>
        <v/>
      </c>
      <c r="P97" s="5">
        <f>IF(OR(('03_Сеть'!P45-P43)=0,23&lt;=КаникулыРоялти),0,('03_Сеть'!P45-P43)*IF(РоялтиПоГруппам="Да",MeanMinAge23+P10*SUMIF(ThresholdAge23,"&lt;"&amp;P10,WeightedRevAge23)-SUMIF(ThresholdAge23,"&lt;"&amp;P10,WeightedMinAge23),MAX(CapacityAge23*АбонементНовых*P10,MeanMinAge23)))</f>
        <v/>
      </c>
      <c r="Q97" s="5">
        <f>IF(OR(('03_Сеть'!Q45-Q43)=0,23&lt;=КаникулыРоялти),0,('03_Сеть'!Q45-Q43)*IF(РоялтиПоГруппам="Да",MeanMinAge23+Q10*SUMIF(ThresholdAge23,"&lt;"&amp;Q10,WeightedRevAge23)-SUMIF(ThresholdAge23,"&lt;"&amp;Q10,WeightedMinAge23),MAX(CapacityAge23*АбонементНовых*Q10,MeanMinAge23)))</f>
        <v/>
      </c>
      <c r="R97" s="5">
        <f>IF(OR(('03_Сеть'!R45-R43)=0,23&lt;=КаникулыРоялти),0,('03_Сеть'!R45-R43)*IF(РоялтиПоГруппам="Да",MeanMinAge23+R10*SUMIF(ThresholdAge23,"&lt;"&amp;R10,WeightedRevAge23)-SUMIF(ThresholdAge23,"&lt;"&amp;R10,WeightedMinAge23),MAX(CapacityAge23*АбонементНовых*R10,MeanMinAge23)))</f>
        <v/>
      </c>
      <c r="S97" s="5">
        <f>IF(OR(('03_Сеть'!S45-S43)=0,23&lt;=КаникулыРоялти),0,('03_Сеть'!S45-S43)*IF(РоялтиПоГруппам="Да",MeanMinAge23+S10*SUMIF(ThresholdAge23,"&lt;"&amp;S10,WeightedRevAge23)-SUMIF(ThresholdAge23,"&lt;"&amp;S10,WeightedMinAge23),MAX(CapacityAge23*АбонементНовых*S10,MeanMinAge23)))</f>
        <v/>
      </c>
      <c r="T97" s="5">
        <f>IF(OR(('03_Сеть'!T45-T43)=0,23&lt;=КаникулыРоялти),0,('03_Сеть'!T45-T43)*IF(РоялтиПоГруппам="Да",MeanMinAge23+T10*SUMIF(ThresholdAge23,"&lt;"&amp;T10,WeightedRevAge23)-SUMIF(ThresholdAge23,"&lt;"&amp;T10,WeightedMinAge23),MAX(CapacityAge23*АбонементНовых*T10,MeanMinAge23)))</f>
        <v/>
      </c>
      <c r="U97" s="5">
        <f>IF(OR(('03_Сеть'!U45-U43)=0,23&lt;=КаникулыРоялти),0,('03_Сеть'!U45-U43)*IF(РоялтиПоГруппам="Да",MeanMinAge23+U10*SUMIF(ThresholdAge23,"&lt;"&amp;U10,WeightedRevAge23)-SUMIF(ThresholdAge23,"&lt;"&amp;U10,WeightedMinAge23),MAX(CapacityAge23*АбонементНовых*U10,MeanMinAge23)))</f>
        <v/>
      </c>
      <c r="V97" s="5">
        <f>IF(OR(('03_Сеть'!V45-V43)=0,23&lt;=КаникулыРоялти),0,('03_Сеть'!V45-V43)*IF(РоялтиПоГруппам="Да",MeanMinAge23+V10*SUMIF(ThresholdAge23,"&lt;"&amp;V10,WeightedRevAge23)-SUMIF(ThresholdAge23,"&lt;"&amp;V10,WeightedMinAge23),MAX(CapacityAge23*АбонементНовых*V10,MeanMinAge23)))</f>
        <v/>
      </c>
      <c r="W97" s="5">
        <f>IF(OR(('03_Сеть'!W45-W43)=0,23&lt;=КаникулыРоялти),0,('03_Сеть'!W45-W43)*IF(РоялтиПоГруппам="Да",MeanMinAge23+W10*SUMIF(ThresholdAge23,"&lt;"&amp;W10,WeightedRevAge23)-SUMIF(ThresholdAge23,"&lt;"&amp;W10,WeightedMinAge23),MAX(CapacityAge23*АбонементНовых*W10,MeanMinAge23)))</f>
        <v/>
      </c>
      <c r="X97" s="5">
        <f>IF(OR(('03_Сеть'!X45-X43)=0,23&lt;=КаникулыРоялти),0,('03_Сеть'!X45-X43)*IF(РоялтиПоГруппам="Да",MeanMinAge23+X10*SUMIF(ThresholdAge23,"&lt;"&amp;X10,WeightedRevAge23)-SUMIF(ThresholdAge23,"&lt;"&amp;X10,WeightedMinAge23),MAX(CapacityAge23*АбонементНовых*X10,MeanMinAge23)))</f>
        <v/>
      </c>
      <c r="Y97" s="5">
        <f>IF(OR(('03_Сеть'!Y45-Y43)=0,23&lt;=КаникулыРоялти),0,('03_Сеть'!Y45-Y43)*IF(РоялтиПоГруппам="Да",MeanMinAge23+Y10*SUMIF(ThresholdAge23,"&lt;"&amp;Y10,WeightedRevAge23)-SUMIF(ThresholdAge23,"&lt;"&amp;Y10,WeightedMinAge23),MAX(CapacityAge23*АбонементНовых*Y10,MeanMinAge23)))</f>
        <v/>
      </c>
      <c r="Z97" s="5">
        <f>IF(OR(('03_Сеть'!Z45-Z43)=0,23&lt;=КаникулыРоялти),0,('03_Сеть'!Z45-Z43)*IF(РоялтиПоГруппам="Да",MeanMinAge23+Z10*SUMIF(ThresholdAge23,"&lt;"&amp;Z10,WeightedRevAge23)-SUMIF(ThresholdAge23,"&lt;"&amp;Z10,WeightedMinAge23),MAX(CapacityAge23*АбонементНовых*Z10,MeanMinAge23)))</f>
        <v/>
      </c>
      <c r="AA97" s="5">
        <f>IF(OR(('03_Сеть'!AA45-AA43)=0,23&lt;=КаникулыРоялти),0,('03_Сеть'!AA45-AA43)*IF(РоялтиПоГруппам="Да",MeanMinAge23+AA10*SUMIF(ThresholdAge23,"&lt;"&amp;AA10,WeightedRevAge23)-SUMIF(ThresholdAge23,"&lt;"&amp;AA10,WeightedMinAge23),MAX(CapacityAge23*АбонементНовых*AA10,MeanMinAge23)))</f>
        <v/>
      </c>
      <c r="AB97" s="5">
        <f>IF(OR(('03_Сеть'!AB45-AB43)=0,23&lt;=КаникулыРоялти),0,('03_Сеть'!AB45-AB43)*IF(РоялтиПоГруппам="Да",MeanMinAge23+AB10*SUMIF(ThresholdAge23,"&lt;"&amp;AB10,WeightedRevAge23)-SUMIF(ThresholdAge23,"&lt;"&amp;AB10,WeightedMinAge23),MAX(CapacityAge23*АбонементНовых*AB10,MeanMinAge23)))</f>
        <v/>
      </c>
      <c r="AC97" s="5">
        <f>IF(OR(('03_Сеть'!AC45-AC43)=0,23&lt;=КаникулыРоялти),0,('03_Сеть'!AC45-AC43)*IF(РоялтиПоГруппам="Да",MeanMinAge23+AC10*SUMIF(ThresholdAge23,"&lt;"&amp;AC10,WeightedRevAge23)-SUMIF(ThresholdAge23,"&lt;"&amp;AC10,WeightedMinAge23),MAX(CapacityAge23*АбонементНовых*AC10,MeanMinAge23)))</f>
        <v/>
      </c>
      <c r="AD97" s="5">
        <f>IF(OR(('03_Сеть'!AD45-AD43)=0,23&lt;=КаникулыРоялти),0,('03_Сеть'!AD45-AD43)*IF(РоялтиПоГруппам="Да",MeanMinAge23+AD10*SUMIF(ThresholdAge23,"&lt;"&amp;AD10,WeightedRevAge23)-SUMIF(ThresholdAge23,"&lt;"&amp;AD10,WeightedMinAge23),MAX(CapacityAge23*АбонементНовых*AD10,MeanMinAge23)))</f>
        <v/>
      </c>
      <c r="AE97" s="5">
        <f>IF(OR(('03_Сеть'!AE45-AE43)=0,23&lt;=КаникулыРоялти),0,('03_Сеть'!AE45-AE43)*IF(РоялтиПоГруппам="Да",MeanMinAge23+AE10*SUMIF(ThresholdAge23,"&lt;"&amp;AE10,WeightedRevAge23)-SUMIF(ThresholdAge23,"&lt;"&amp;AE10,WeightedMinAge23),MAX(CapacityAge23*АбонементНовых*AE10,MeanMinAge23)))</f>
        <v/>
      </c>
      <c r="AF97" s="5">
        <f>IF(OR(('03_Сеть'!AF45-AF43)=0,23&lt;=КаникулыРоялти),0,('03_Сеть'!AF45-AF43)*IF(РоялтиПоГруппам="Да",MeanMinAge23+AF10*SUMIF(ThresholdAge23,"&lt;"&amp;AF10,WeightedRevAge23)-SUMIF(ThresholdAge23,"&lt;"&amp;AF10,WeightedMinAge23),MAX(CapacityAge23*АбонементНовых*AF10,MeanMinAge23)))</f>
        <v/>
      </c>
      <c r="AG97" s="5">
        <f>IF(OR(('03_Сеть'!AG45-AG43)=0,23&lt;=КаникулыРоялти),0,('03_Сеть'!AG45-AG43)*IF(РоялтиПоГруппам="Да",MeanMinAge23+AG10*SUMIF(ThresholdAge23,"&lt;"&amp;AG10,WeightedRevAge23)-SUMIF(ThresholdAge23,"&lt;"&amp;AG10,WeightedMinAge23),MAX(CapacityAge23*АбонементНовых*AG10,MeanMinAge23)))</f>
        <v/>
      </c>
      <c r="AH97" s="5">
        <f>IF(OR(('03_Сеть'!AH45-AH43)=0,23&lt;=КаникулыРоялти),0,('03_Сеть'!AH45-AH43)*IF(РоялтиПоГруппам="Да",MeanMinAge23+AH10*SUMIF(ThresholdAge23,"&lt;"&amp;AH10,WeightedRevAge23)-SUMIF(ThresholdAge23,"&lt;"&amp;AH10,WeightedMinAge23),MAX(CapacityAge23*АбонементНовых*AH10,MeanMinAge23)))</f>
        <v/>
      </c>
      <c r="AI97" s="5">
        <f>IF(OR(('03_Сеть'!AI45-AI43)=0,23&lt;=КаникулыРоялти),0,('03_Сеть'!AI45-AI43)*IF(РоялтиПоГруппам="Да",MeanMinAge23+AI10*SUMIF(ThresholdAge23,"&lt;"&amp;AI10,WeightedRevAge23)-SUMIF(ThresholdAge23,"&lt;"&amp;AI10,WeightedMinAge23),MAX(CapacityAge23*АбонементНовых*AI10,MeanMinAge23)))</f>
        <v/>
      </c>
      <c r="AJ97" s="5">
        <f>IF(OR(('03_Сеть'!AJ45-AJ43)=0,23&lt;=КаникулыРоялти),0,('03_Сеть'!AJ45-AJ43)*IF(РоялтиПоГруппам="Да",MeanMinAge23+AJ10*SUMIF(ThresholdAge23,"&lt;"&amp;AJ10,WeightedRevAge23)-SUMIF(ThresholdAge23,"&lt;"&amp;AJ10,WeightedMinAge23),MAX(CapacityAge23*АбонементНовых*AJ10,MeanMinAge23)))</f>
        <v/>
      </c>
      <c r="AK97" s="5">
        <f>IF(OR(('03_Сеть'!AK45-AK43)=0,23&lt;=КаникулыРоялти),0,('03_Сеть'!AK45-AK43)*IF(РоялтиПоГруппам="Да",MeanMinAge23+AK10*SUMIF(ThresholdAge23,"&lt;"&amp;AK10,WeightedRevAge23)-SUMIF(ThresholdAge23,"&lt;"&amp;AK10,WeightedMinAge23),MAX(CapacityAge23*АбонементНовых*AK10,MeanMinAge23)))</f>
        <v/>
      </c>
      <c r="AL97" s="5">
        <f>IF(OR(('03_Сеть'!AL45-AL43)=0,23&lt;=КаникулыРоялти),0,('03_Сеть'!AL45-AL43)*IF(РоялтиПоГруппам="Да",MeanMinAge23+AL10*SUMIF(ThresholdAge23,"&lt;"&amp;AL10,WeightedRevAge23)-SUMIF(ThresholdAge23,"&lt;"&amp;AL10,WeightedMinAge23),MAX(CapacityAge23*АбонементНовых*AL10,MeanMinAge23)))</f>
        <v/>
      </c>
      <c r="AM97" s="5">
        <f>IF(OR(('03_Сеть'!AM45-AM43)=0,23&lt;=КаникулыРоялти),0,('03_Сеть'!AM45-AM43)*IF(РоялтиПоГруппам="Да",MeanMinAge23+AM10*SUMIF(ThresholdAge23,"&lt;"&amp;AM10,WeightedRevAge23)-SUMIF(ThresholdAge23,"&lt;"&amp;AM10,WeightedMinAge23),MAX(CapacityAge23*АбонементНовых*AM10,MeanMinAge23)))</f>
        <v/>
      </c>
      <c r="AN97" s="5">
        <f>IF(OR(('03_Сеть'!AN45-AN43)=0,23&lt;=КаникулыРоялти),0,('03_Сеть'!AN45-AN43)*IF(РоялтиПоГруппам="Да",MeanMinAge23+AN10*SUMIF(ThresholdAge23,"&lt;"&amp;AN10,WeightedRevAge23)-SUMIF(ThresholdAge23,"&lt;"&amp;AN10,WeightedMinAge23),MAX(CapacityAge23*АбонементНовых*AN10,MeanMinAge23)))</f>
        <v/>
      </c>
      <c r="AO97" s="5">
        <f>IF(OR(('03_Сеть'!AO45-AO43)=0,23&lt;=КаникулыРоялти),0,('03_Сеть'!AO45-AO43)*IF(РоялтиПоГруппам="Да",MeanMinAge23+AO10*SUMIF(ThresholdAge23,"&lt;"&amp;AO10,WeightedRevAge23)-SUMIF(ThresholdAge23,"&lt;"&amp;AO10,WeightedMinAge23),MAX(CapacityAge23*АбонементНовых*AO10,MeanMinAge23)))</f>
        <v/>
      </c>
      <c r="AP97" s="5">
        <f>IF(OR(('03_Сеть'!AP45-AP43)=0,23&lt;=КаникулыРоялти),0,('03_Сеть'!AP45-AP43)*IF(РоялтиПоГруппам="Да",MeanMinAge23+AP10*SUMIF(ThresholdAge23,"&lt;"&amp;AP10,WeightedRevAge23)-SUMIF(ThresholdAge23,"&lt;"&amp;AP10,WeightedMinAge23),MAX(CapacityAge23*АбонементНовых*AP10,MeanMinAge23)))</f>
        <v/>
      </c>
      <c r="AQ97" s="5">
        <f>IF(OR(('03_Сеть'!AQ45-AQ43)=0,23&lt;=КаникулыРоялти),0,('03_Сеть'!AQ45-AQ43)*IF(РоялтиПоГруппам="Да",MeanMinAge23+AQ10*SUMIF(ThresholdAge23,"&lt;"&amp;AQ10,WeightedRevAge23)-SUMIF(ThresholdAge23,"&lt;"&amp;AQ10,WeightedMinAge23),MAX(CapacityAge23*АбонементНовых*AQ10,MeanMinAge23)))</f>
        <v/>
      </c>
      <c r="AR97" s="5">
        <f>IF(OR(('03_Сеть'!AR45-AR43)=0,23&lt;=КаникулыРоялти),0,('03_Сеть'!AR45-AR43)*IF(РоялтиПоГруппам="Да",MeanMinAge23+AR10*SUMIF(ThresholdAge23,"&lt;"&amp;AR10,WeightedRevAge23)-SUMIF(ThresholdAge23,"&lt;"&amp;AR10,WeightedMinAge23),MAX(CapacityAge23*АбонементНовых*AR10,MeanMinAge23)))</f>
        <v/>
      </c>
      <c r="AS97" s="5">
        <f>IF(OR(('03_Сеть'!AS45-AS43)=0,23&lt;=КаникулыРоялти),0,('03_Сеть'!AS45-AS43)*IF(РоялтиПоГруппам="Да",MeanMinAge23+AS10*SUMIF(ThresholdAge23,"&lt;"&amp;AS10,WeightedRevAge23)-SUMIF(ThresholdAge23,"&lt;"&amp;AS10,WeightedMinAge23),MAX(CapacityAge23*АбонементНовых*AS10,MeanMinAge23)))</f>
        <v/>
      </c>
      <c r="AT97" s="5">
        <f>IF(OR(('03_Сеть'!AT45-AT43)=0,23&lt;=КаникулыРоялти),0,('03_Сеть'!AT45-AT43)*IF(РоялтиПоГруппам="Да",MeanMinAge23+AT10*SUMIF(ThresholdAge23,"&lt;"&amp;AT10,WeightedRevAge23)-SUMIF(ThresholdAge23,"&lt;"&amp;AT10,WeightedMinAge23),MAX(CapacityAge23*АбонементНовых*AT10,MeanMinAge23)))</f>
        <v/>
      </c>
      <c r="AU97" s="5">
        <f>IF(OR(('03_Сеть'!AU45-AU43)=0,23&lt;=КаникулыРоялти),0,('03_Сеть'!AU45-AU43)*IF(РоялтиПоГруппам="Да",MeanMinAge23+AU10*SUMIF(ThresholdAge23,"&lt;"&amp;AU10,WeightedRevAge23)-SUMIF(ThresholdAge23,"&lt;"&amp;AU10,WeightedMinAge23),MAX(CapacityAge23*АбонементНовых*AU10,MeanMinAge23)))</f>
        <v/>
      </c>
      <c r="AV97" s="5">
        <f>IF(OR(('03_Сеть'!AV45-AV43)=0,23&lt;=КаникулыРоялти),0,('03_Сеть'!AV45-AV43)*IF(РоялтиПоГруппам="Да",MeanMinAge23+AV10*SUMIF(ThresholdAge23,"&lt;"&amp;AV10,WeightedRevAge23)-SUMIF(ThresholdAge23,"&lt;"&amp;AV10,WeightedMinAge23),MAX(CapacityAge23*АбонементНовых*AV10,MeanMinAge23)))</f>
        <v/>
      </c>
      <c r="AW97" s="5">
        <f>IF(OR(('03_Сеть'!AW45-AW43)=0,23&lt;=КаникулыРоялти),0,('03_Сеть'!AW45-AW43)*IF(РоялтиПоГруппам="Да",MeanMinAge23+AW10*SUMIF(ThresholdAge23,"&lt;"&amp;AW10,WeightedRevAge23)-SUMIF(ThresholdAge23,"&lt;"&amp;AW10,WeightedMinAge23),MAX(CapacityAge23*АбонементНовых*AW10,MeanMinAge23)))</f>
        <v/>
      </c>
      <c r="AX97" s="5">
        <f>IF(OR(('03_Сеть'!AX45-AX43)=0,23&lt;=КаникулыРоялти),0,('03_Сеть'!AX45-AX43)*IF(РоялтиПоГруппам="Да",MeanMinAge23+AX10*SUMIF(ThresholdAge23,"&lt;"&amp;AX10,WeightedRevAge23)-SUMIF(ThresholdAge23,"&lt;"&amp;AX10,WeightedMinAge23),MAX(CapacityAge23*АбонементНовых*AX10,MeanMinAge23)))</f>
        <v/>
      </c>
      <c r="AY97" s="5">
        <f>IF(OR(('03_Сеть'!AY45-AY43)=0,23&lt;=КаникулыРоялти),0,('03_Сеть'!AY45-AY43)*IF(РоялтиПоГруппам="Да",MeanMinAge23+AY10*SUMIF(ThresholdAge23,"&lt;"&amp;AY10,WeightedRevAge23)-SUMIF(ThresholdAge23,"&lt;"&amp;AY10,WeightedMinAge23),MAX(CapacityAge23*АбонементНовых*AY10,MeanMinAge23)))</f>
        <v/>
      </c>
      <c r="AZ97" s="5">
        <f>IF(OR(('03_Сеть'!AZ45-AZ43)=0,23&lt;=КаникулыРоялти),0,('03_Сеть'!AZ45-AZ43)*IF(РоялтиПоГруппам="Да",MeanMinAge23+AZ10*SUMIF(ThresholdAge23,"&lt;"&amp;AZ10,WeightedRevAge23)-SUMIF(ThresholdAge23,"&lt;"&amp;AZ10,WeightedMinAge23),MAX(CapacityAge23*АбонементНовых*AZ10,MeanMinAge23)))</f>
        <v/>
      </c>
      <c r="BA97" s="5">
        <f>IF(OR(('03_Сеть'!BA45-BA43)=0,23&lt;=КаникулыРоялти),0,('03_Сеть'!BA45-BA43)*IF(РоялтиПоГруппам="Да",MeanMinAge23+BA10*SUMIF(ThresholdAge23,"&lt;"&amp;BA10,WeightedRevAge23)-SUMIF(ThresholdAge23,"&lt;"&amp;BA10,WeightedMinAge23),MAX(CapacityAge23*АбонементНовых*BA10,MeanMinAge23)))</f>
        <v/>
      </c>
      <c r="BB97" s="5">
        <f>IF(OR(('03_Сеть'!BB45-BB43)=0,23&lt;=КаникулыРоялти),0,('03_Сеть'!BB45-BB43)*IF(РоялтиПоГруппам="Да",MeanMinAge23+BB10*SUMIF(ThresholdAge23,"&lt;"&amp;BB10,WeightedRevAge23)-SUMIF(ThresholdAge23,"&lt;"&amp;BB10,WeightedMinAge23),MAX(CapacityAge23*АбонементНовых*BB10,MeanMinAge23)))</f>
        <v/>
      </c>
      <c r="BC97" s="5">
        <f>IF(OR(('03_Сеть'!BC45-BC43)=0,23&lt;=КаникулыРоялти),0,('03_Сеть'!BC45-BC43)*IF(РоялтиПоГруппам="Да",MeanMinAge23+BC10*SUMIF(ThresholdAge23,"&lt;"&amp;BC10,WeightedRevAge23)-SUMIF(ThresholdAge23,"&lt;"&amp;BC10,WeightedMinAge23),MAX(CapacityAge23*АбонементНовых*BC10,MeanMinAge23)))</f>
        <v/>
      </c>
      <c r="BD97" s="5">
        <f>IF(OR(('03_Сеть'!BD45-BD43)=0,23&lt;=КаникулыРоялти),0,('03_Сеть'!BD45-BD43)*IF(РоялтиПоГруппам="Да",MeanMinAge23+BD10*SUMIF(ThresholdAge23,"&lt;"&amp;BD10,WeightedRevAge23)-SUMIF(ThresholdAge23,"&lt;"&amp;BD10,WeightedMinAge23),MAX(CapacityAge23*АбонементНовых*BD10,MeanMinAge23)))</f>
        <v/>
      </c>
      <c r="BE97" s="5">
        <f>IF(OR(('03_Сеть'!BE45-BE43)=0,23&lt;=КаникулыРоялти),0,('03_Сеть'!BE45-BE43)*IF(РоялтиПоГруппам="Да",MeanMinAge23+BE10*SUMIF(ThresholdAge23,"&lt;"&amp;BE10,WeightedRevAge23)-SUMIF(ThresholdAge23,"&lt;"&amp;BE10,WeightedMinAge23),MAX(CapacityAge23*АбонементНовых*BE10,MeanMinAge23)))</f>
        <v/>
      </c>
      <c r="BF97" s="5">
        <f>IF(OR(('03_Сеть'!BF45-BF43)=0,23&lt;=КаникулыРоялти),0,('03_Сеть'!BF45-BF43)*IF(РоялтиПоГруппам="Да",MeanMinAge23+BF10*SUMIF(ThresholdAge23,"&lt;"&amp;BF10,WeightedRevAge23)-SUMIF(ThresholdAge23,"&lt;"&amp;BF10,WeightedMinAge23),MAX(CapacityAge23*АбонементНовых*BF10,MeanMinAge23)))</f>
        <v/>
      </c>
      <c r="BG97" s="5">
        <f>IF(OR(('03_Сеть'!BG45-BG43)=0,23&lt;=КаникулыРоялти),0,('03_Сеть'!BG45-BG43)*IF(РоялтиПоГруппам="Да",MeanMinAge23+BG10*SUMIF(ThresholdAge23,"&lt;"&amp;BG10,WeightedRevAge23)-SUMIF(ThresholdAge23,"&lt;"&amp;BG10,WeightedMinAge23),MAX(CapacityAge23*АбонементНовых*BG10,MeanMinAge23)))</f>
        <v/>
      </c>
      <c r="BH97" s="5">
        <f>IF(OR(('03_Сеть'!BH45-BH43)=0,23&lt;=КаникулыРоялти),0,('03_Сеть'!BH45-BH43)*IF(РоялтиПоГруппам="Да",MeanMinAge23+BH10*SUMIF(ThresholdAge23,"&lt;"&amp;BH10,WeightedRevAge23)-SUMIF(ThresholdAge23,"&lt;"&amp;BH10,WeightedMinAge23),MAX(CapacityAge23*АбонементНовых*BH10,MeanMinAge23)))</f>
        <v/>
      </c>
      <c r="BI97" s="5">
        <f>IF(OR(('03_Сеть'!BI45-BI43)=0,23&lt;=КаникулыРоялти),0,('03_Сеть'!BI45-BI43)*IF(РоялтиПоГруппам="Да",MeanMinAge23+BI10*SUMIF(ThresholdAge23,"&lt;"&amp;BI10,WeightedRevAge23)-SUMIF(ThresholdAge23,"&lt;"&amp;BI10,WeightedMinAge23),MAX(CapacityAge23*АбонементНовых*BI10,MeanMinAge23)))</f>
        <v/>
      </c>
      <c r="BJ97" s="5">
        <f>IF(OR(('03_Сеть'!BJ45-BJ43)=0,23&lt;=КаникулыРоялти),0,('03_Сеть'!BJ45-BJ43)*IF(РоялтиПоГруппам="Да",MeanMinAge23+BJ10*SUMIF(ThresholdAge23,"&lt;"&amp;BJ10,WeightedRevAge23)-SUMIF(ThresholdAge23,"&lt;"&amp;BJ10,WeightedMinAge23),MAX(CapacityAge23*АбонементНовых*BJ10,MeanMinAge23)))</f>
        <v/>
      </c>
      <c r="BK97" s="5">
        <f>IF(OR(('03_Сеть'!BK45-BK43)=0,23&lt;=КаникулыРоялти),0,('03_Сеть'!BK45-BK43)*IF(РоялтиПоГруппам="Да",MeanMinAge23+BK10*SUMIF(ThresholdAge23,"&lt;"&amp;BK10,WeightedRevAge23)-SUMIF(ThresholdAge23,"&lt;"&amp;BK10,WeightedMinAge23),MAX(CapacityAge23*АбонементНовых*BK10,MeanMinAge23)))</f>
        <v/>
      </c>
      <c r="BL97" s="5">
        <f>IF(OR(('03_Сеть'!BL45-BL43)=0,23&lt;=КаникулыРоялти),0,('03_Сеть'!BL45-BL43)*IF(РоялтиПоГруппам="Да",MeanMinAge23+BL10*SUMIF(ThresholdAge23,"&lt;"&amp;BL10,WeightedRevAge23)-SUMIF(ThresholdAge23,"&lt;"&amp;BL10,WeightedMinAge23),MAX(CapacityAge23*АбонементНовых*BL10,MeanMinAge23)))</f>
        <v/>
      </c>
      <c r="BM97" s="5">
        <f>IF(OR(('03_Сеть'!BM45-BM43)=0,23&lt;=КаникулыРоялти),0,('03_Сеть'!BM45-BM43)*IF(РоялтиПоГруппам="Да",MeanMinAge23+BM10*SUMIF(ThresholdAge23,"&lt;"&amp;BM10,WeightedRevAge23)-SUMIF(ThresholdAge23,"&lt;"&amp;BM10,WeightedMinAge23),MAX(CapacityAge23*АбонементНовых*BM10,MeanMinAge23)))</f>
        <v/>
      </c>
      <c r="BN97" s="5">
        <f>IF(OR(('03_Сеть'!BN45-BN43)=0,23&lt;=КаникулыРоялти),0,('03_Сеть'!BN45-BN43)*IF(РоялтиПоГруппам="Да",MeanMinAge23+BN10*SUMIF(ThresholdAge23,"&lt;"&amp;BN10,WeightedRevAge23)-SUMIF(ThresholdAge23,"&lt;"&amp;BN10,WeightedMinAge23),MAX(CapacityAge23*АбонементНовых*BN10,MeanMinAge23)))</f>
        <v/>
      </c>
      <c r="BO97" s="5">
        <f>IF(OR(('03_Сеть'!BO45-BO43)=0,23&lt;=КаникулыРоялти),0,('03_Сеть'!BO45-BO43)*IF(РоялтиПоГруппам="Да",MeanMinAge23+BO10*SUMIF(ThresholdAge23,"&lt;"&amp;BO10,WeightedRevAge23)-SUMIF(ThresholdAge23,"&lt;"&amp;BO10,WeightedMinAge23),MAX(CapacityAge23*АбонементНовых*BO10,MeanMinAge23)))</f>
        <v/>
      </c>
      <c r="BP97" s="5">
        <f>IF(OR(('03_Сеть'!BP45-BP43)=0,23&lt;=КаникулыРоялти),0,('03_Сеть'!BP45-BP43)*IF(РоялтиПоГруппам="Да",MeanMinAge23+BP10*SUMIF(ThresholdAge23,"&lt;"&amp;BP10,WeightedRevAge23)-SUMIF(ThresholdAge23,"&lt;"&amp;BP10,WeightedMinAge23),MAX(CapacityAge23*АбонементНовых*BP10,MeanMinAge23)))</f>
        <v/>
      </c>
      <c r="BQ97" s="5">
        <f>IF(OR(('03_Сеть'!BQ45-BQ43)=0,23&lt;=КаникулыРоялти),0,('03_Сеть'!BQ45-BQ43)*IF(РоялтиПоГруппам="Да",MeanMinAge23+BQ10*SUMIF(ThresholdAge23,"&lt;"&amp;BQ10,WeightedRevAge23)-SUMIF(ThresholdAge23,"&lt;"&amp;BQ10,WeightedMinAge23),MAX(CapacityAge23*АбонементНовых*BQ10,MeanMinAge23)))</f>
        <v/>
      </c>
      <c r="BR97" s="5">
        <f>IF(OR(('03_Сеть'!BR45-BR43)=0,23&lt;=КаникулыРоялти),0,('03_Сеть'!BR45-BR43)*IF(РоялтиПоГруппам="Да",MeanMinAge23+BR10*SUMIF(ThresholdAge23,"&lt;"&amp;BR10,WeightedRevAge23)-SUMIF(ThresholdAge23,"&lt;"&amp;BR10,WeightedMinAge23),MAX(CapacityAge23*АбонементНовых*BR10,MeanMinAge23)))</f>
        <v/>
      </c>
      <c r="BS97" s="5">
        <f>IF(OR(('03_Сеть'!BS45-BS43)=0,23&lt;=КаникулыРоялти),0,('03_Сеть'!BS45-BS43)*IF(РоялтиПоГруппам="Да",MeanMinAge23+BS10*SUMIF(ThresholdAge23,"&lt;"&amp;BS10,WeightedRevAge23)-SUMIF(ThresholdAge23,"&lt;"&amp;BS10,WeightedMinAge23),MAX(CapacityAge23*АбонементНовых*BS10,MeanMinAge23)))</f>
        <v/>
      </c>
      <c r="BT97" s="5">
        <f>IF(OR(('03_Сеть'!BT45-BT43)=0,23&lt;=КаникулыРоялти),0,('03_Сеть'!BT45-BT43)*IF(РоялтиПоГруппам="Да",MeanMinAge23+BT10*SUMIF(ThresholdAge23,"&lt;"&amp;BT10,WeightedRevAge23)-SUMIF(ThresholdAge23,"&lt;"&amp;BT10,WeightedMinAge23),MAX(CapacityAge23*АбонементНовых*BT10,MeanMinAge23)))</f>
        <v/>
      </c>
      <c r="BU97" s="5">
        <f>IF(OR(('03_Сеть'!BU45-BU43)=0,23&lt;=КаникулыРоялти),0,('03_Сеть'!BU45-BU43)*IF(РоялтиПоГруппам="Да",MeanMinAge23+BU10*SUMIF(ThresholdAge23,"&lt;"&amp;BU10,WeightedRevAge23)-SUMIF(ThresholdAge23,"&lt;"&amp;BU10,WeightedMinAge23),MAX(CapacityAge23*АбонементНовых*BU10,MeanMinAge23)))</f>
        <v/>
      </c>
      <c r="BV97" s="5">
        <f>IF(OR(('03_Сеть'!BV45-BV43)=0,23&lt;=КаникулыРоялти),0,('03_Сеть'!BV45-BV43)*IF(РоялтиПоГруппам="Да",MeanMinAge23+BV10*SUMIF(ThresholdAge23,"&lt;"&amp;BV10,WeightedRevAge23)-SUMIF(ThresholdAge23,"&lt;"&amp;BV10,WeightedMinAge23),MAX(CapacityAge23*АбонементНовых*BV10,MeanMinAge23)))</f>
        <v/>
      </c>
      <c r="BW97" s="5">
        <f>IF(OR(('03_Сеть'!BW45-BW43)=0,23&lt;=КаникулыРоялти),0,('03_Сеть'!BW45-BW43)*IF(РоялтиПоГруппам="Да",MeanMinAge23+BW10*SUMIF(ThresholdAge23,"&lt;"&amp;BW10,WeightedRevAge23)-SUMIF(ThresholdAge23,"&lt;"&amp;BW10,WeightedMinAge23),MAX(CapacityAge23*АбонементНовых*BW10,MeanMinAge23)))</f>
        <v/>
      </c>
      <c r="BX97" s="5">
        <f>IF(OR(('03_Сеть'!BX45-BX43)=0,23&lt;=КаникулыРоялти),0,('03_Сеть'!BX45-BX43)*IF(РоялтиПоГруппам="Да",MeanMinAge23+BX10*SUMIF(ThresholdAge23,"&lt;"&amp;BX10,WeightedRevAge23)-SUMIF(ThresholdAge23,"&lt;"&amp;BX10,WeightedMinAge23),MAX(CapacityAge23*АбонементНовых*BX10,MeanMinAge23)))</f>
        <v/>
      </c>
      <c r="BY97" s="5">
        <f>IF(OR(('03_Сеть'!BY45-BY43)=0,23&lt;=КаникулыРоялти),0,('03_Сеть'!BY45-BY43)*IF(РоялтиПоГруппам="Да",MeanMinAge23+BY10*SUMIF(ThresholdAge23,"&lt;"&amp;BY10,WeightedRevAge23)-SUMIF(ThresholdAge23,"&lt;"&amp;BY10,WeightedMinAge23),MAX(CapacityAge23*АбонементНовых*BY10,MeanMinAge23)))</f>
        <v/>
      </c>
    </row>
    <row r="98">
      <c r="B98" t="inlineStr">
        <is>
          <t>24 мес.</t>
        </is>
      </c>
      <c r="C98" t="inlineStr">
        <is>
          <t>₽</t>
        </is>
      </c>
      <c r="D98" s="127" t="inlineStr"/>
      <c r="E98" s="129">
        <f>SUM(L98:W98)</f>
        <v/>
      </c>
      <c r="F98" s="129">
        <f>SUM(X98:AI98)</f>
        <v/>
      </c>
      <c r="G98" s="129">
        <f>SUM(AJ98:AU98)</f>
        <v/>
      </c>
      <c r="H98" s="129">
        <f>SUM(AV98:BG98)</f>
        <v/>
      </c>
      <c r="I98" s="129">
        <f>SUM(BH98:BS98)</f>
        <v/>
      </c>
      <c r="J98" s="6">
        <f>SUM(L98:BS98)</f>
        <v/>
      </c>
      <c r="L98" s="5">
        <f>IF(OR(('03_Сеть'!L46-L44)=0,24&lt;=КаникулыРоялти),0,('03_Сеть'!L46-L44)*IF(РоялтиПоГруппам="Да",MeanMinAge24+L10*SUMIF(ThresholdAge24,"&lt;"&amp;L10,WeightedRevAge24)-SUMIF(ThresholdAge24,"&lt;"&amp;L10,WeightedMinAge24),MAX(CapacityAge24*АбонементНовых*L10,MeanMinAge24)))</f>
        <v/>
      </c>
      <c r="M98" s="5">
        <f>IF(OR(('03_Сеть'!M46-M44)=0,24&lt;=КаникулыРоялти),0,('03_Сеть'!M46-M44)*IF(РоялтиПоГруппам="Да",MeanMinAge24+M10*SUMIF(ThresholdAge24,"&lt;"&amp;M10,WeightedRevAge24)-SUMIF(ThresholdAge24,"&lt;"&amp;M10,WeightedMinAge24),MAX(CapacityAge24*АбонементНовых*M10,MeanMinAge24)))</f>
        <v/>
      </c>
      <c r="N98" s="5">
        <f>IF(OR(('03_Сеть'!N46-N44)=0,24&lt;=КаникулыРоялти),0,('03_Сеть'!N46-N44)*IF(РоялтиПоГруппам="Да",MeanMinAge24+N10*SUMIF(ThresholdAge24,"&lt;"&amp;N10,WeightedRevAge24)-SUMIF(ThresholdAge24,"&lt;"&amp;N10,WeightedMinAge24),MAX(CapacityAge24*АбонементНовых*N10,MeanMinAge24)))</f>
        <v/>
      </c>
      <c r="O98" s="5">
        <f>IF(OR(('03_Сеть'!O46-O44)=0,24&lt;=КаникулыРоялти),0,('03_Сеть'!O46-O44)*IF(РоялтиПоГруппам="Да",MeanMinAge24+O10*SUMIF(ThresholdAge24,"&lt;"&amp;O10,WeightedRevAge24)-SUMIF(ThresholdAge24,"&lt;"&amp;O10,WeightedMinAge24),MAX(CapacityAge24*АбонементНовых*O10,MeanMinAge24)))</f>
        <v/>
      </c>
      <c r="P98" s="5">
        <f>IF(OR(('03_Сеть'!P46-P44)=0,24&lt;=КаникулыРоялти),0,('03_Сеть'!P46-P44)*IF(РоялтиПоГруппам="Да",MeanMinAge24+P10*SUMIF(ThresholdAge24,"&lt;"&amp;P10,WeightedRevAge24)-SUMIF(ThresholdAge24,"&lt;"&amp;P10,WeightedMinAge24),MAX(CapacityAge24*АбонементНовых*P10,MeanMinAge24)))</f>
        <v/>
      </c>
      <c r="Q98" s="5">
        <f>IF(OR(('03_Сеть'!Q46-Q44)=0,24&lt;=КаникулыРоялти),0,('03_Сеть'!Q46-Q44)*IF(РоялтиПоГруппам="Да",MeanMinAge24+Q10*SUMIF(ThresholdAge24,"&lt;"&amp;Q10,WeightedRevAge24)-SUMIF(ThresholdAge24,"&lt;"&amp;Q10,WeightedMinAge24),MAX(CapacityAge24*АбонементНовых*Q10,MeanMinAge24)))</f>
        <v/>
      </c>
      <c r="R98" s="5">
        <f>IF(OR(('03_Сеть'!R46-R44)=0,24&lt;=КаникулыРоялти),0,('03_Сеть'!R46-R44)*IF(РоялтиПоГруппам="Да",MeanMinAge24+R10*SUMIF(ThresholdAge24,"&lt;"&amp;R10,WeightedRevAge24)-SUMIF(ThresholdAge24,"&lt;"&amp;R10,WeightedMinAge24),MAX(CapacityAge24*АбонементНовых*R10,MeanMinAge24)))</f>
        <v/>
      </c>
      <c r="S98" s="5">
        <f>IF(OR(('03_Сеть'!S46-S44)=0,24&lt;=КаникулыРоялти),0,('03_Сеть'!S46-S44)*IF(РоялтиПоГруппам="Да",MeanMinAge24+S10*SUMIF(ThresholdAge24,"&lt;"&amp;S10,WeightedRevAge24)-SUMIF(ThresholdAge24,"&lt;"&amp;S10,WeightedMinAge24),MAX(CapacityAge24*АбонементНовых*S10,MeanMinAge24)))</f>
        <v/>
      </c>
      <c r="T98" s="5">
        <f>IF(OR(('03_Сеть'!T46-T44)=0,24&lt;=КаникулыРоялти),0,('03_Сеть'!T46-T44)*IF(РоялтиПоГруппам="Да",MeanMinAge24+T10*SUMIF(ThresholdAge24,"&lt;"&amp;T10,WeightedRevAge24)-SUMIF(ThresholdAge24,"&lt;"&amp;T10,WeightedMinAge24),MAX(CapacityAge24*АбонементНовых*T10,MeanMinAge24)))</f>
        <v/>
      </c>
      <c r="U98" s="5">
        <f>IF(OR(('03_Сеть'!U46-U44)=0,24&lt;=КаникулыРоялти),0,('03_Сеть'!U46-U44)*IF(РоялтиПоГруппам="Да",MeanMinAge24+U10*SUMIF(ThresholdAge24,"&lt;"&amp;U10,WeightedRevAge24)-SUMIF(ThresholdAge24,"&lt;"&amp;U10,WeightedMinAge24),MAX(CapacityAge24*АбонементНовых*U10,MeanMinAge24)))</f>
        <v/>
      </c>
      <c r="V98" s="5">
        <f>IF(OR(('03_Сеть'!V46-V44)=0,24&lt;=КаникулыРоялти),0,('03_Сеть'!V46-V44)*IF(РоялтиПоГруппам="Да",MeanMinAge24+V10*SUMIF(ThresholdAge24,"&lt;"&amp;V10,WeightedRevAge24)-SUMIF(ThresholdAge24,"&lt;"&amp;V10,WeightedMinAge24),MAX(CapacityAge24*АбонементНовых*V10,MeanMinAge24)))</f>
        <v/>
      </c>
      <c r="W98" s="5">
        <f>IF(OR(('03_Сеть'!W46-W44)=0,24&lt;=КаникулыРоялти),0,('03_Сеть'!W46-W44)*IF(РоялтиПоГруппам="Да",MeanMinAge24+W10*SUMIF(ThresholdAge24,"&lt;"&amp;W10,WeightedRevAge24)-SUMIF(ThresholdAge24,"&lt;"&amp;W10,WeightedMinAge24),MAX(CapacityAge24*АбонементНовых*W10,MeanMinAge24)))</f>
        <v/>
      </c>
      <c r="X98" s="5">
        <f>IF(OR(('03_Сеть'!X46-X44)=0,24&lt;=КаникулыРоялти),0,('03_Сеть'!X46-X44)*IF(РоялтиПоГруппам="Да",MeanMinAge24+X10*SUMIF(ThresholdAge24,"&lt;"&amp;X10,WeightedRevAge24)-SUMIF(ThresholdAge24,"&lt;"&amp;X10,WeightedMinAge24),MAX(CapacityAge24*АбонементНовых*X10,MeanMinAge24)))</f>
        <v/>
      </c>
      <c r="Y98" s="5">
        <f>IF(OR(('03_Сеть'!Y46-Y44)=0,24&lt;=КаникулыРоялти),0,('03_Сеть'!Y46-Y44)*IF(РоялтиПоГруппам="Да",MeanMinAge24+Y10*SUMIF(ThresholdAge24,"&lt;"&amp;Y10,WeightedRevAge24)-SUMIF(ThresholdAge24,"&lt;"&amp;Y10,WeightedMinAge24),MAX(CapacityAge24*АбонементНовых*Y10,MeanMinAge24)))</f>
        <v/>
      </c>
      <c r="Z98" s="5">
        <f>IF(OR(('03_Сеть'!Z46-Z44)=0,24&lt;=КаникулыРоялти),0,('03_Сеть'!Z46-Z44)*IF(РоялтиПоГруппам="Да",MeanMinAge24+Z10*SUMIF(ThresholdAge24,"&lt;"&amp;Z10,WeightedRevAge24)-SUMIF(ThresholdAge24,"&lt;"&amp;Z10,WeightedMinAge24),MAX(CapacityAge24*АбонементНовых*Z10,MeanMinAge24)))</f>
        <v/>
      </c>
      <c r="AA98" s="5">
        <f>IF(OR(('03_Сеть'!AA46-AA44)=0,24&lt;=КаникулыРоялти),0,('03_Сеть'!AA46-AA44)*IF(РоялтиПоГруппам="Да",MeanMinAge24+AA10*SUMIF(ThresholdAge24,"&lt;"&amp;AA10,WeightedRevAge24)-SUMIF(ThresholdAge24,"&lt;"&amp;AA10,WeightedMinAge24),MAX(CapacityAge24*АбонементНовых*AA10,MeanMinAge24)))</f>
        <v/>
      </c>
      <c r="AB98" s="5">
        <f>IF(OR(('03_Сеть'!AB46-AB44)=0,24&lt;=КаникулыРоялти),0,('03_Сеть'!AB46-AB44)*IF(РоялтиПоГруппам="Да",MeanMinAge24+AB10*SUMIF(ThresholdAge24,"&lt;"&amp;AB10,WeightedRevAge24)-SUMIF(ThresholdAge24,"&lt;"&amp;AB10,WeightedMinAge24),MAX(CapacityAge24*АбонементНовых*AB10,MeanMinAge24)))</f>
        <v/>
      </c>
      <c r="AC98" s="5">
        <f>IF(OR(('03_Сеть'!AC46-AC44)=0,24&lt;=КаникулыРоялти),0,('03_Сеть'!AC46-AC44)*IF(РоялтиПоГруппам="Да",MeanMinAge24+AC10*SUMIF(ThresholdAge24,"&lt;"&amp;AC10,WeightedRevAge24)-SUMIF(ThresholdAge24,"&lt;"&amp;AC10,WeightedMinAge24),MAX(CapacityAge24*АбонементНовых*AC10,MeanMinAge24)))</f>
        <v/>
      </c>
      <c r="AD98" s="5">
        <f>IF(OR(('03_Сеть'!AD46-AD44)=0,24&lt;=КаникулыРоялти),0,('03_Сеть'!AD46-AD44)*IF(РоялтиПоГруппам="Да",MeanMinAge24+AD10*SUMIF(ThresholdAge24,"&lt;"&amp;AD10,WeightedRevAge24)-SUMIF(ThresholdAge24,"&lt;"&amp;AD10,WeightedMinAge24),MAX(CapacityAge24*АбонементНовых*AD10,MeanMinAge24)))</f>
        <v/>
      </c>
      <c r="AE98" s="5">
        <f>IF(OR(('03_Сеть'!AE46-AE44)=0,24&lt;=КаникулыРоялти),0,('03_Сеть'!AE46-AE44)*IF(РоялтиПоГруппам="Да",MeanMinAge24+AE10*SUMIF(ThresholdAge24,"&lt;"&amp;AE10,WeightedRevAge24)-SUMIF(ThresholdAge24,"&lt;"&amp;AE10,WeightedMinAge24),MAX(CapacityAge24*АбонементНовых*AE10,MeanMinAge24)))</f>
        <v/>
      </c>
      <c r="AF98" s="5">
        <f>IF(OR(('03_Сеть'!AF46-AF44)=0,24&lt;=КаникулыРоялти),0,('03_Сеть'!AF46-AF44)*IF(РоялтиПоГруппам="Да",MeanMinAge24+AF10*SUMIF(ThresholdAge24,"&lt;"&amp;AF10,WeightedRevAge24)-SUMIF(ThresholdAge24,"&lt;"&amp;AF10,WeightedMinAge24),MAX(CapacityAge24*АбонементНовых*AF10,MeanMinAge24)))</f>
        <v/>
      </c>
      <c r="AG98" s="5">
        <f>IF(OR(('03_Сеть'!AG46-AG44)=0,24&lt;=КаникулыРоялти),0,('03_Сеть'!AG46-AG44)*IF(РоялтиПоГруппам="Да",MeanMinAge24+AG10*SUMIF(ThresholdAge24,"&lt;"&amp;AG10,WeightedRevAge24)-SUMIF(ThresholdAge24,"&lt;"&amp;AG10,WeightedMinAge24),MAX(CapacityAge24*АбонементНовых*AG10,MeanMinAge24)))</f>
        <v/>
      </c>
      <c r="AH98" s="5">
        <f>IF(OR(('03_Сеть'!AH46-AH44)=0,24&lt;=КаникулыРоялти),0,('03_Сеть'!AH46-AH44)*IF(РоялтиПоГруппам="Да",MeanMinAge24+AH10*SUMIF(ThresholdAge24,"&lt;"&amp;AH10,WeightedRevAge24)-SUMIF(ThresholdAge24,"&lt;"&amp;AH10,WeightedMinAge24),MAX(CapacityAge24*АбонементНовых*AH10,MeanMinAge24)))</f>
        <v/>
      </c>
      <c r="AI98" s="5">
        <f>IF(OR(('03_Сеть'!AI46-AI44)=0,24&lt;=КаникулыРоялти),0,('03_Сеть'!AI46-AI44)*IF(РоялтиПоГруппам="Да",MeanMinAge24+AI10*SUMIF(ThresholdAge24,"&lt;"&amp;AI10,WeightedRevAge24)-SUMIF(ThresholdAge24,"&lt;"&amp;AI10,WeightedMinAge24),MAX(CapacityAge24*АбонементНовых*AI10,MeanMinAge24)))</f>
        <v/>
      </c>
      <c r="AJ98" s="5">
        <f>IF(OR(('03_Сеть'!AJ46-AJ44)=0,24&lt;=КаникулыРоялти),0,('03_Сеть'!AJ46-AJ44)*IF(РоялтиПоГруппам="Да",MeanMinAge24+AJ10*SUMIF(ThresholdAge24,"&lt;"&amp;AJ10,WeightedRevAge24)-SUMIF(ThresholdAge24,"&lt;"&amp;AJ10,WeightedMinAge24),MAX(CapacityAge24*АбонементНовых*AJ10,MeanMinAge24)))</f>
        <v/>
      </c>
      <c r="AK98" s="5">
        <f>IF(OR(('03_Сеть'!AK46-AK44)=0,24&lt;=КаникулыРоялти),0,('03_Сеть'!AK46-AK44)*IF(РоялтиПоГруппам="Да",MeanMinAge24+AK10*SUMIF(ThresholdAge24,"&lt;"&amp;AK10,WeightedRevAge24)-SUMIF(ThresholdAge24,"&lt;"&amp;AK10,WeightedMinAge24),MAX(CapacityAge24*АбонементНовых*AK10,MeanMinAge24)))</f>
        <v/>
      </c>
      <c r="AL98" s="5">
        <f>IF(OR(('03_Сеть'!AL46-AL44)=0,24&lt;=КаникулыРоялти),0,('03_Сеть'!AL46-AL44)*IF(РоялтиПоГруппам="Да",MeanMinAge24+AL10*SUMIF(ThresholdAge24,"&lt;"&amp;AL10,WeightedRevAge24)-SUMIF(ThresholdAge24,"&lt;"&amp;AL10,WeightedMinAge24),MAX(CapacityAge24*АбонементНовых*AL10,MeanMinAge24)))</f>
        <v/>
      </c>
      <c r="AM98" s="5">
        <f>IF(OR(('03_Сеть'!AM46-AM44)=0,24&lt;=КаникулыРоялти),0,('03_Сеть'!AM46-AM44)*IF(РоялтиПоГруппам="Да",MeanMinAge24+AM10*SUMIF(ThresholdAge24,"&lt;"&amp;AM10,WeightedRevAge24)-SUMIF(ThresholdAge24,"&lt;"&amp;AM10,WeightedMinAge24),MAX(CapacityAge24*АбонементНовых*AM10,MeanMinAge24)))</f>
        <v/>
      </c>
      <c r="AN98" s="5">
        <f>IF(OR(('03_Сеть'!AN46-AN44)=0,24&lt;=КаникулыРоялти),0,('03_Сеть'!AN46-AN44)*IF(РоялтиПоГруппам="Да",MeanMinAge24+AN10*SUMIF(ThresholdAge24,"&lt;"&amp;AN10,WeightedRevAge24)-SUMIF(ThresholdAge24,"&lt;"&amp;AN10,WeightedMinAge24),MAX(CapacityAge24*АбонементНовых*AN10,MeanMinAge24)))</f>
        <v/>
      </c>
      <c r="AO98" s="5">
        <f>IF(OR(('03_Сеть'!AO46-AO44)=0,24&lt;=КаникулыРоялти),0,('03_Сеть'!AO46-AO44)*IF(РоялтиПоГруппам="Да",MeanMinAge24+AO10*SUMIF(ThresholdAge24,"&lt;"&amp;AO10,WeightedRevAge24)-SUMIF(ThresholdAge24,"&lt;"&amp;AO10,WeightedMinAge24),MAX(CapacityAge24*АбонементНовых*AO10,MeanMinAge24)))</f>
        <v/>
      </c>
      <c r="AP98" s="5">
        <f>IF(OR(('03_Сеть'!AP46-AP44)=0,24&lt;=КаникулыРоялти),0,('03_Сеть'!AP46-AP44)*IF(РоялтиПоГруппам="Да",MeanMinAge24+AP10*SUMIF(ThresholdAge24,"&lt;"&amp;AP10,WeightedRevAge24)-SUMIF(ThresholdAge24,"&lt;"&amp;AP10,WeightedMinAge24),MAX(CapacityAge24*АбонементНовых*AP10,MeanMinAge24)))</f>
        <v/>
      </c>
      <c r="AQ98" s="5">
        <f>IF(OR(('03_Сеть'!AQ46-AQ44)=0,24&lt;=КаникулыРоялти),0,('03_Сеть'!AQ46-AQ44)*IF(РоялтиПоГруппам="Да",MeanMinAge24+AQ10*SUMIF(ThresholdAge24,"&lt;"&amp;AQ10,WeightedRevAge24)-SUMIF(ThresholdAge24,"&lt;"&amp;AQ10,WeightedMinAge24),MAX(CapacityAge24*АбонементНовых*AQ10,MeanMinAge24)))</f>
        <v/>
      </c>
      <c r="AR98" s="5">
        <f>IF(OR(('03_Сеть'!AR46-AR44)=0,24&lt;=КаникулыРоялти),0,('03_Сеть'!AR46-AR44)*IF(РоялтиПоГруппам="Да",MeanMinAge24+AR10*SUMIF(ThresholdAge24,"&lt;"&amp;AR10,WeightedRevAge24)-SUMIF(ThresholdAge24,"&lt;"&amp;AR10,WeightedMinAge24),MAX(CapacityAge24*АбонементНовых*AR10,MeanMinAge24)))</f>
        <v/>
      </c>
      <c r="AS98" s="5">
        <f>IF(OR(('03_Сеть'!AS46-AS44)=0,24&lt;=КаникулыРоялти),0,('03_Сеть'!AS46-AS44)*IF(РоялтиПоГруппам="Да",MeanMinAge24+AS10*SUMIF(ThresholdAge24,"&lt;"&amp;AS10,WeightedRevAge24)-SUMIF(ThresholdAge24,"&lt;"&amp;AS10,WeightedMinAge24),MAX(CapacityAge24*АбонементНовых*AS10,MeanMinAge24)))</f>
        <v/>
      </c>
      <c r="AT98" s="5">
        <f>IF(OR(('03_Сеть'!AT46-AT44)=0,24&lt;=КаникулыРоялти),0,('03_Сеть'!AT46-AT44)*IF(РоялтиПоГруппам="Да",MeanMinAge24+AT10*SUMIF(ThresholdAge24,"&lt;"&amp;AT10,WeightedRevAge24)-SUMIF(ThresholdAge24,"&lt;"&amp;AT10,WeightedMinAge24),MAX(CapacityAge24*АбонементНовых*AT10,MeanMinAge24)))</f>
        <v/>
      </c>
      <c r="AU98" s="5">
        <f>IF(OR(('03_Сеть'!AU46-AU44)=0,24&lt;=КаникулыРоялти),0,('03_Сеть'!AU46-AU44)*IF(РоялтиПоГруппам="Да",MeanMinAge24+AU10*SUMIF(ThresholdAge24,"&lt;"&amp;AU10,WeightedRevAge24)-SUMIF(ThresholdAge24,"&lt;"&amp;AU10,WeightedMinAge24),MAX(CapacityAge24*АбонементНовых*AU10,MeanMinAge24)))</f>
        <v/>
      </c>
      <c r="AV98" s="5">
        <f>IF(OR(('03_Сеть'!AV46-AV44)=0,24&lt;=КаникулыРоялти),0,('03_Сеть'!AV46-AV44)*IF(РоялтиПоГруппам="Да",MeanMinAge24+AV10*SUMIF(ThresholdAge24,"&lt;"&amp;AV10,WeightedRevAge24)-SUMIF(ThresholdAge24,"&lt;"&amp;AV10,WeightedMinAge24),MAX(CapacityAge24*АбонементНовых*AV10,MeanMinAge24)))</f>
        <v/>
      </c>
      <c r="AW98" s="5">
        <f>IF(OR(('03_Сеть'!AW46-AW44)=0,24&lt;=КаникулыРоялти),0,('03_Сеть'!AW46-AW44)*IF(РоялтиПоГруппам="Да",MeanMinAge24+AW10*SUMIF(ThresholdAge24,"&lt;"&amp;AW10,WeightedRevAge24)-SUMIF(ThresholdAge24,"&lt;"&amp;AW10,WeightedMinAge24),MAX(CapacityAge24*АбонементНовых*AW10,MeanMinAge24)))</f>
        <v/>
      </c>
      <c r="AX98" s="5">
        <f>IF(OR(('03_Сеть'!AX46-AX44)=0,24&lt;=КаникулыРоялти),0,('03_Сеть'!AX46-AX44)*IF(РоялтиПоГруппам="Да",MeanMinAge24+AX10*SUMIF(ThresholdAge24,"&lt;"&amp;AX10,WeightedRevAge24)-SUMIF(ThresholdAge24,"&lt;"&amp;AX10,WeightedMinAge24),MAX(CapacityAge24*АбонементНовых*AX10,MeanMinAge24)))</f>
        <v/>
      </c>
      <c r="AY98" s="5">
        <f>IF(OR(('03_Сеть'!AY46-AY44)=0,24&lt;=КаникулыРоялти),0,('03_Сеть'!AY46-AY44)*IF(РоялтиПоГруппам="Да",MeanMinAge24+AY10*SUMIF(ThresholdAge24,"&lt;"&amp;AY10,WeightedRevAge24)-SUMIF(ThresholdAge24,"&lt;"&amp;AY10,WeightedMinAge24),MAX(CapacityAge24*АбонементНовых*AY10,MeanMinAge24)))</f>
        <v/>
      </c>
      <c r="AZ98" s="5">
        <f>IF(OR(('03_Сеть'!AZ46-AZ44)=0,24&lt;=КаникулыРоялти),0,('03_Сеть'!AZ46-AZ44)*IF(РоялтиПоГруппам="Да",MeanMinAge24+AZ10*SUMIF(ThresholdAge24,"&lt;"&amp;AZ10,WeightedRevAge24)-SUMIF(ThresholdAge24,"&lt;"&amp;AZ10,WeightedMinAge24),MAX(CapacityAge24*АбонементНовых*AZ10,MeanMinAge24)))</f>
        <v/>
      </c>
      <c r="BA98" s="5">
        <f>IF(OR(('03_Сеть'!BA46-BA44)=0,24&lt;=КаникулыРоялти),0,('03_Сеть'!BA46-BA44)*IF(РоялтиПоГруппам="Да",MeanMinAge24+BA10*SUMIF(ThresholdAge24,"&lt;"&amp;BA10,WeightedRevAge24)-SUMIF(ThresholdAge24,"&lt;"&amp;BA10,WeightedMinAge24),MAX(CapacityAge24*АбонементНовых*BA10,MeanMinAge24)))</f>
        <v/>
      </c>
      <c r="BB98" s="5">
        <f>IF(OR(('03_Сеть'!BB46-BB44)=0,24&lt;=КаникулыРоялти),0,('03_Сеть'!BB46-BB44)*IF(РоялтиПоГруппам="Да",MeanMinAge24+BB10*SUMIF(ThresholdAge24,"&lt;"&amp;BB10,WeightedRevAge24)-SUMIF(ThresholdAge24,"&lt;"&amp;BB10,WeightedMinAge24),MAX(CapacityAge24*АбонементНовых*BB10,MeanMinAge24)))</f>
        <v/>
      </c>
      <c r="BC98" s="5">
        <f>IF(OR(('03_Сеть'!BC46-BC44)=0,24&lt;=КаникулыРоялти),0,('03_Сеть'!BC46-BC44)*IF(РоялтиПоГруппам="Да",MeanMinAge24+BC10*SUMIF(ThresholdAge24,"&lt;"&amp;BC10,WeightedRevAge24)-SUMIF(ThresholdAge24,"&lt;"&amp;BC10,WeightedMinAge24),MAX(CapacityAge24*АбонементНовых*BC10,MeanMinAge24)))</f>
        <v/>
      </c>
      <c r="BD98" s="5">
        <f>IF(OR(('03_Сеть'!BD46-BD44)=0,24&lt;=КаникулыРоялти),0,('03_Сеть'!BD46-BD44)*IF(РоялтиПоГруппам="Да",MeanMinAge24+BD10*SUMIF(ThresholdAge24,"&lt;"&amp;BD10,WeightedRevAge24)-SUMIF(ThresholdAge24,"&lt;"&amp;BD10,WeightedMinAge24),MAX(CapacityAge24*АбонементНовых*BD10,MeanMinAge24)))</f>
        <v/>
      </c>
      <c r="BE98" s="5">
        <f>IF(OR(('03_Сеть'!BE46-BE44)=0,24&lt;=КаникулыРоялти),0,('03_Сеть'!BE46-BE44)*IF(РоялтиПоГруппам="Да",MeanMinAge24+BE10*SUMIF(ThresholdAge24,"&lt;"&amp;BE10,WeightedRevAge24)-SUMIF(ThresholdAge24,"&lt;"&amp;BE10,WeightedMinAge24),MAX(CapacityAge24*АбонементНовых*BE10,MeanMinAge24)))</f>
        <v/>
      </c>
      <c r="BF98" s="5">
        <f>IF(OR(('03_Сеть'!BF46-BF44)=0,24&lt;=КаникулыРоялти),0,('03_Сеть'!BF46-BF44)*IF(РоялтиПоГруппам="Да",MeanMinAge24+BF10*SUMIF(ThresholdAge24,"&lt;"&amp;BF10,WeightedRevAge24)-SUMIF(ThresholdAge24,"&lt;"&amp;BF10,WeightedMinAge24),MAX(CapacityAge24*АбонементНовых*BF10,MeanMinAge24)))</f>
        <v/>
      </c>
      <c r="BG98" s="5">
        <f>IF(OR(('03_Сеть'!BG46-BG44)=0,24&lt;=КаникулыРоялти),0,('03_Сеть'!BG46-BG44)*IF(РоялтиПоГруппам="Да",MeanMinAge24+BG10*SUMIF(ThresholdAge24,"&lt;"&amp;BG10,WeightedRevAge24)-SUMIF(ThresholdAge24,"&lt;"&amp;BG10,WeightedMinAge24),MAX(CapacityAge24*АбонементНовых*BG10,MeanMinAge24)))</f>
        <v/>
      </c>
      <c r="BH98" s="5">
        <f>IF(OR(('03_Сеть'!BH46-BH44)=0,24&lt;=КаникулыРоялти),0,('03_Сеть'!BH46-BH44)*IF(РоялтиПоГруппам="Да",MeanMinAge24+BH10*SUMIF(ThresholdAge24,"&lt;"&amp;BH10,WeightedRevAge24)-SUMIF(ThresholdAge24,"&lt;"&amp;BH10,WeightedMinAge24),MAX(CapacityAge24*АбонементНовых*BH10,MeanMinAge24)))</f>
        <v/>
      </c>
      <c r="BI98" s="5">
        <f>IF(OR(('03_Сеть'!BI46-BI44)=0,24&lt;=КаникулыРоялти),0,('03_Сеть'!BI46-BI44)*IF(РоялтиПоГруппам="Да",MeanMinAge24+BI10*SUMIF(ThresholdAge24,"&lt;"&amp;BI10,WeightedRevAge24)-SUMIF(ThresholdAge24,"&lt;"&amp;BI10,WeightedMinAge24),MAX(CapacityAge24*АбонементНовых*BI10,MeanMinAge24)))</f>
        <v/>
      </c>
      <c r="BJ98" s="5">
        <f>IF(OR(('03_Сеть'!BJ46-BJ44)=0,24&lt;=КаникулыРоялти),0,('03_Сеть'!BJ46-BJ44)*IF(РоялтиПоГруппам="Да",MeanMinAge24+BJ10*SUMIF(ThresholdAge24,"&lt;"&amp;BJ10,WeightedRevAge24)-SUMIF(ThresholdAge24,"&lt;"&amp;BJ10,WeightedMinAge24),MAX(CapacityAge24*АбонементНовых*BJ10,MeanMinAge24)))</f>
        <v/>
      </c>
      <c r="BK98" s="5">
        <f>IF(OR(('03_Сеть'!BK46-BK44)=0,24&lt;=КаникулыРоялти),0,('03_Сеть'!BK46-BK44)*IF(РоялтиПоГруппам="Да",MeanMinAge24+BK10*SUMIF(ThresholdAge24,"&lt;"&amp;BK10,WeightedRevAge24)-SUMIF(ThresholdAge24,"&lt;"&amp;BK10,WeightedMinAge24),MAX(CapacityAge24*АбонементНовых*BK10,MeanMinAge24)))</f>
        <v/>
      </c>
      <c r="BL98" s="5">
        <f>IF(OR(('03_Сеть'!BL46-BL44)=0,24&lt;=КаникулыРоялти),0,('03_Сеть'!BL46-BL44)*IF(РоялтиПоГруппам="Да",MeanMinAge24+BL10*SUMIF(ThresholdAge24,"&lt;"&amp;BL10,WeightedRevAge24)-SUMIF(ThresholdAge24,"&lt;"&amp;BL10,WeightedMinAge24),MAX(CapacityAge24*АбонементНовых*BL10,MeanMinAge24)))</f>
        <v/>
      </c>
      <c r="BM98" s="5">
        <f>IF(OR(('03_Сеть'!BM46-BM44)=0,24&lt;=КаникулыРоялти),0,('03_Сеть'!BM46-BM44)*IF(РоялтиПоГруппам="Да",MeanMinAge24+BM10*SUMIF(ThresholdAge24,"&lt;"&amp;BM10,WeightedRevAge24)-SUMIF(ThresholdAge24,"&lt;"&amp;BM10,WeightedMinAge24),MAX(CapacityAge24*АбонементНовых*BM10,MeanMinAge24)))</f>
        <v/>
      </c>
      <c r="BN98" s="5">
        <f>IF(OR(('03_Сеть'!BN46-BN44)=0,24&lt;=КаникулыРоялти),0,('03_Сеть'!BN46-BN44)*IF(РоялтиПоГруппам="Да",MeanMinAge24+BN10*SUMIF(ThresholdAge24,"&lt;"&amp;BN10,WeightedRevAge24)-SUMIF(ThresholdAge24,"&lt;"&amp;BN10,WeightedMinAge24),MAX(CapacityAge24*АбонементНовых*BN10,MeanMinAge24)))</f>
        <v/>
      </c>
      <c r="BO98" s="5">
        <f>IF(OR(('03_Сеть'!BO46-BO44)=0,24&lt;=КаникулыРоялти),0,('03_Сеть'!BO46-BO44)*IF(РоялтиПоГруппам="Да",MeanMinAge24+BO10*SUMIF(ThresholdAge24,"&lt;"&amp;BO10,WeightedRevAge24)-SUMIF(ThresholdAge24,"&lt;"&amp;BO10,WeightedMinAge24),MAX(CapacityAge24*АбонементНовых*BO10,MeanMinAge24)))</f>
        <v/>
      </c>
      <c r="BP98" s="5">
        <f>IF(OR(('03_Сеть'!BP46-BP44)=0,24&lt;=КаникулыРоялти),0,('03_Сеть'!BP46-BP44)*IF(РоялтиПоГруппам="Да",MeanMinAge24+BP10*SUMIF(ThresholdAge24,"&lt;"&amp;BP10,WeightedRevAge24)-SUMIF(ThresholdAge24,"&lt;"&amp;BP10,WeightedMinAge24),MAX(CapacityAge24*АбонементНовых*BP10,MeanMinAge24)))</f>
        <v/>
      </c>
      <c r="BQ98" s="5">
        <f>IF(OR(('03_Сеть'!BQ46-BQ44)=0,24&lt;=КаникулыРоялти),0,('03_Сеть'!BQ46-BQ44)*IF(РоялтиПоГруппам="Да",MeanMinAge24+BQ10*SUMIF(ThresholdAge24,"&lt;"&amp;BQ10,WeightedRevAge24)-SUMIF(ThresholdAge24,"&lt;"&amp;BQ10,WeightedMinAge24),MAX(CapacityAge24*АбонементНовых*BQ10,MeanMinAge24)))</f>
        <v/>
      </c>
      <c r="BR98" s="5">
        <f>IF(OR(('03_Сеть'!BR46-BR44)=0,24&lt;=КаникулыРоялти),0,('03_Сеть'!BR46-BR44)*IF(РоялтиПоГруппам="Да",MeanMinAge24+BR10*SUMIF(ThresholdAge24,"&lt;"&amp;BR10,WeightedRevAge24)-SUMIF(ThresholdAge24,"&lt;"&amp;BR10,WeightedMinAge24),MAX(CapacityAge24*АбонементНовых*BR10,MeanMinAge24)))</f>
        <v/>
      </c>
      <c r="BS98" s="5">
        <f>IF(OR(('03_Сеть'!BS46-BS44)=0,24&lt;=КаникулыРоялти),0,('03_Сеть'!BS46-BS44)*IF(РоялтиПоГруппам="Да",MeanMinAge24+BS10*SUMIF(ThresholdAge24,"&lt;"&amp;BS10,WeightedRevAge24)-SUMIF(ThresholdAge24,"&lt;"&amp;BS10,WeightedMinAge24),MAX(CapacityAge24*АбонементНовых*BS10,MeanMinAge24)))</f>
        <v/>
      </c>
      <c r="BT98" s="5">
        <f>IF(OR(('03_Сеть'!BT46-BT44)=0,24&lt;=КаникулыРоялти),0,('03_Сеть'!BT46-BT44)*IF(РоялтиПоГруппам="Да",MeanMinAge24+BT10*SUMIF(ThresholdAge24,"&lt;"&amp;BT10,WeightedRevAge24)-SUMIF(ThresholdAge24,"&lt;"&amp;BT10,WeightedMinAge24),MAX(CapacityAge24*АбонементНовых*BT10,MeanMinAge24)))</f>
        <v/>
      </c>
      <c r="BU98" s="5">
        <f>IF(OR(('03_Сеть'!BU46-BU44)=0,24&lt;=КаникулыРоялти),0,('03_Сеть'!BU46-BU44)*IF(РоялтиПоГруппам="Да",MeanMinAge24+BU10*SUMIF(ThresholdAge24,"&lt;"&amp;BU10,WeightedRevAge24)-SUMIF(ThresholdAge24,"&lt;"&amp;BU10,WeightedMinAge24),MAX(CapacityAge24*АбонементНовых*BU10,MeanMinAge24)))</f>
        <v/>
      </c>
      <c r="BV98" s="5">
        <f>IF(OR(('03_Сеть'!BV46-BV44)=0,24&lt;=КаникулыРоялти),0,('03_Сеть'!BV46-BV44)*IF(РоялтиПоГруппам="Да",MeanMinAge24+BV10*SUMIF(ThresholdAge24,"&lt;"&amp;BV10,WeightedRevAge24)-SUMIF(ThresholdAge24,"&lt;"&amp;BV10,WeightedMinAge24),MAX(CapacityAge24*АбонементНовых*BV10,MeanMinAge24)))</f>
        <v/>
      </c>
      <c r="BW98" s="5">
        <f>IF(OR(('03_Сеть'!BW46-BW44)=0,24&lt;=КаникулыРоялти),0,('03_Сеть'!BW46-BW44)*IF(РоялтиПоГруппам="Да",MeanMinAge24+BW10*SUMIF(ThresholdAge24,"&lt;"&amp;BW10,WeightedRevAge24)-SUMIF(ThresholdAge24,"&lt;"&amp;BW10,WeightedMinAge24),MAX(CapacityAge24*АбонементНовых*BW10,MeanMinAge24)))</f>
        <v/>
      </c>
      <c r="BX98" s="5">
        <f>IF(OR(('03_Сеть'!BX46-BX44)=0,24&lt;=КаникулыРоялти),0,('03_Сеть'!BX46-BX44)*IF(РоялтиПоГруппам="Да",MeanMinAge24+BX10*SUMIF(ThresholdAge24,"&lt;"&amp;BX10,WeightedRevAge24)-SUMIF(ThresholdAge24,"&lt;"&amp;BX10,WeightedMinAge24),MAX(CapacityAge24*АбонементНовых*BX10,MeanMinAge24)))</f>
        <v/>
      </c>
      <c r="BY98" s="5">
        <f>IF(OR(('03_Сеть'!BY46-BY44)=0,24&lt;=КаникулыРоялти),0,('03_Сеть'!BY46-BY44)*IF(РоялтиПоГруппам="Да",MeanMinAge24+BY10*SUMIF(ThresholdAge24,"&lt;"&amp;BY10,WeightedRevAge24)-SUMIF(ThresholdAge24,"&lt;"&amp;BY10,WeightedMinAge24),MAX(CapacityAge24*АбонементНовых*BY10,MeanMinAge24)))</f>
        <v/>
      </c>
    </row>
    <row r="99">
      <c r="B99" t="inlineStr">
        <is>
          <t>25+ мес.</t>
        </is>
      </c>
      <c r="C99" t="inlineStr">
        <is>
          <t>₽</t>
        </is>
      </c>
      <c r="D99" s="127" t="inlineStr"/>
      <c r="E99" s="129">
        <f>SUM(L99:W99)</f>
        <v/>
      </c>
      <c r="F99" s="129">
        <f>SUM(X99:AI99)</f>
        <v/>
      </c>
      <c r="G99" s="129">
        <f>SUM(AJ99:AU99)</f>
        <v/>
      </c>
      <c r="H99" s="129">
        <f>SUM(AV99:BG99)</f>
        <v/>
      </c>
      <c r="I99" s="129">
        <f>SUM(BH99:BS99)</f>
        <v/>
      </c>
      <c r="J99" s="6">
        <f>SUM(L99:BS99)</f>
        <v/>
      </c>
      <c r="L99" s="5">
        <f>IF(OR(('03_Сеть'!L47-L45)=0,25&lt;=КаникулыРоялти),0,('03_Сеть'!L47-L45)*IF(РоялтиПоГруппам="Да",MeanMinAge25+L10*SUMIF(ThresholdAge25,"&lt;"&amp;L10,WeightedRevAge25)-SUMIF(ThresholdAge25,"&lt;"&amp;L10,WeightedMinAge25),MAX(CapacityAge25*АбонементНовых*L10,MeanMinAge25)))</f>
        <v/>
      </c>
      <c r="M99" s="5">
        <f>IF(OR(('03_Сеть'!M47-M45)=0,25&lt;=КаникулыРоялти),0,('03_Сеть'!M47-M45)*IF(РоялтиПоГруппам="Да",MeanMinAge25+M10*SUMIF(ThresholdAge25,"&lt;"&amp;M10,WeightedRevAge25)-SUMIF(ThresholdAge25,"&lt;"&amp;M10,WeightedMinAge25),MAX(CapacityAge25*АбонементНовых*M10,MeanMinAge25)))</f>
        <v/>
      </c>
      <c r="N99" s="5">
        <f>IF(OR(('03_Сеть'!N47-N45)=0,25&lt;=КаникулыРоялти),0,('03_Сеть'!N47-N45)*IF(РоялтиПоГруппам="Да",MeanMinAge25+N10*SUMIF(ThresholdAge25,"&lt;"&amp;N10,WeightedRevAge25)-SUMIF(ThresholdAge25,"&lt;"&amp;N10,WeightedMinAge25),MAX(CapacityAge25*АбонементНовых*N10,MeanMinAge25)))</f>
        <v/>
      </c>
      <c r="O99" s="5">
        <f>IF(OR(('03_Сеть'!O47-O45)=0,25&lt;=КаникулыРоялти),0,('03_Сеть'!O47-O45)*IF(РоялтиПоГруппам="Да",MeanMinAge25+O10*SUMIF(ThresholdAge25,"&lt;"&amp;O10,WeightedRevAge25)-SUMIF(ThresholdAge25,"&lt;"&amp;O10,WeightedMinAge25),MAX(CapacityAge25*АбонементНовых*O10,MeanMinAge25)))</f>
        <v/>
      </c>
      <c r="P99" s="5">
        <f>IF(OR(('03_Сеть'!P47-P45)=0,25&lt;=КаникулыРоялти),0,('03_Сеть'!P47-P45)*IF(РоялтиПоГруппам="Да",MeanMinAge25+P10*SUMIF(ThresholdAge25,"&lt;"&amp;P10,WeightedRevAge25)-SUMIF(ThresholdAge25,"&lt;"&amp;P10,WeightedMinAge25),MAX(CapacityAge25*АбонементНовых*P10,MeanMinAge25)))</f>
        <v/>
      </c>
      <c r="Q99" s="5">
        <f>IF(OR(('03_Сеть'!Q47-Q45)=0,25&lt;=КаникулыРоялти),0,('03_Сеть'!Q47-Q45)*IF(РоялтиПоГруппам="Да",MeanMinAge25+Q10*SUMIF(ThresholdAge25,"&lt;"&amp;Q10,WeightedRevAge25)-SUMIF(ThresholdAge25,"&lt;"&amp;Q10,WeightedMinAge25),MAX(CapacityAge25*АбонементНовых*Q10,MeanMinAge25)))</f>
        <v/>
      </c>
      <c r="R99" s="5">
        <f>IF(OR(('03_Сеть'!R47-R45)=0,25&lt;=КаникулыРоялти),0,('03_Сеть'!R47-R45)*IF(РоялтиПоГруппам="Да",MeanMinAge25+R10*SUMIF(ThresholdAge25,"&lt;"&amp;R10,WeightedRevAge25)-SUMIF(ThresholdAge25,"&lt;"&amp;R10,WeightedMinAge25),MAX(CapacityAge25*АбонементНовых*R10,MeanMinAge25)))</f>
        <v/>
      </c>
      <c r="S99" s="5">
        <f>IF(OR(('03_Сеть'!S47-S45)=0,25&lt;=КаникулыРоялти),0,('03_Сеть'!S47-S45)*IF(РоялтиПоГруппам="Да",MeanMinAge25+S10*SUMIF(ThresholdAge25,"&lt;"&amp;S10,WeightedRevAge25)-SUMIF(ThresholdAge25,"&lt;"&amp;S10,WeightedMinAge25),MAX(CapacityAge25*АбонементНовых*S10,MeanMinAge25)))</f>
        <v/>
      </c>
      <c r="T99" s="5">
        <f>IF(OR(('03_Сеть'!T47-T45)=0,25&lt;=КаникулыРоялти),0,('03_Сеть'!T47-T45)*IF(РоялтиПоГруппам="Да",MeanMinAge25+T10*SUMIF(ThresholdAge25,"&lt;"&amp;T10,WeightedRevAge25)-SUMIF(ThresholdAge25,"&lt;"&amp;T10,WeightedMinAge25),MAX(CapacityAge25*АбонементНовых*T10,MeanMinAge25)))</f>
        <v/>
      </c>
      <c r="U99" s="5">
        <f>IF(OR(('03_Сеть'!U47-U45)=0,25&lt;=КаникулыРоялти),0,('03_Сеть'!U47-U45)*IF(РоялтиПоГруппам="Да",MeanMinAge25+U10*SUMIF(ThresholdAge25,"&lt;"&amp;U10,WeightedRevAge25)-SUMIF(ThresholdAge25,"&lt;"&amp;U10,WeightedMinAge25),MAX(CapacityAge25*АбонементНовых*U10,MeanMinAge25)))</f>
        <v/>
      </c>
      <c r="V99" s="5">
        <f>IF(OR(('03_Сеть'!V47-V45)=0,25&lt;=КаникулыРоялти),0,('03_Сеть'!V47-V45)*IF(РоялтиПоГруппам="Да",MeanMinAge25+V10*SUMIF(ThresholdAge25,"&lt;"&amp;V10,WeightedRevAge25)-SUMIF(ThresholdAge25,"&lt;"&amp;V10,WeightedMinAge25),MAX(CapacityAge25*АбонементНовых*V10,MeanMinAge25)))</f>
        <v/>
      </c>
      <c r="W99" s="5">
        <f>IF(OR(('03_Сеть'!W47-W45)=0,25&lt;=КаникулыРоялти),0,('03_Сеть'!W47-W45)*IF(РоялтиПоГруппам="Да",MeanMinAge25+W10*SUMIF(ThresholdAge25,"&lt;"&amp;W10,WeightedRevAge25)-SUMIF(ThresholdAge25,"&lt;"&amp;W10,WeightedMinAge25),MAX(CapacityAge25*АбонементНовых*W10,MeanMinAge25)))</f>
        <v/>
      </c>
      <c r="X99" s="5">
        <f>IF(OR(('03_Сеть'!X47-X45)=0,25&lt;=КаникулыРоялти),0,('03_Сеть'!X47-X45)*IF(РоялтиПоГруппам="Да",MeanMinAge25+X10*SUMIF(ThresholdAge25,"&lt;"&amp;X10,WeightedRevAge25)-SUMIF(ThresholdAge25,"&lt;"&amp;X10,WeightedMinAge25),MAX(CapacityAge25*АбонементНовых*X10,MeanMinAge25)))</f>
        <v/>
      </c>
      <c r="Y99" s="5">
        <f>IF(OR(('03_Сеть'!Y47-Y45)=0,25&lt;=КаникулыРоялти),0,('03_Сеть'!Y47-Y45)*IF(РоялтиПоГруппам="Да",MeanMinAge25+Y10*SUMIF(ThresholdAge25,"&lt;"&amp;Y10,WeightedRevAge25)-SUMIF(ThresholdAge25,"&lt;"&amp;Y10,WeightedMinAge25),MAX(CapacityAge25*АбонементНовых*Y10,MeanMinAge25)))</f>
        <v/>
      </c>
      <c r="Z99" s="5">
        <f>IF(OR(('03_Сеть'!Z47-Z45)=0,25&lt;=КаникулыРоялти),0,('03_Сеть'!Z47-Z45)*IF(РоялтиПоГруппам="Да",MeanMinAge25+Z10*SUMIF(ThresholdAge25,"&lt;"&amp;Z10,WeightedRevAge25)-SUMIF(ThresholdAge25,"&lt;"&amp;Z10,WeightedMinAge25),MAX(CapacityAge25*АбонементНовых*Z10,MeanMinAge25)))</f>
        <v/>
      </c>
      <c r="AA99" s="5">
        <f>IF(OR(('03_Сеть'!AA47-AA45)=0,25&lt;=КаникулыРоялти),0,('03_Сеть'!AA47-AA45)*IF(РоялтиПоГруппам="Да",MeanMinAge25+AA10*SUMIF(ThresholdAge25,"&lt;"&amp;AA10,WeightedRevAge25)-SUMIF(ThresholdAge25,"&lt;"&amp;AA10,WeightedMinAge25),MAX(CapacityAge25*АбонементНовых*AA10,MeanMinAge25)))</f>
        <v/>
      </c>
      <c r="AB99" s="5">
        <f>IF(OR(('03_Сеть'!AB47-AB45)=0,25&lt;=КаникулыРоялти),0,('03_Сеть'!AB47-AB45)*IF(РоялтиПоГруппам="Да",MeanMinAge25+AB10*SUMIF(ThresholdAge25,"&lt;"&amp;AB10,WeightedRevAge25)-SUMIF(ThresholdAge25,"&lt;"&amp;AB10,WeightedMinAge25),MAX(CapacityAge25*АбонементНовых*AB10,MeanMinAge25)))</f>
        <v/>
      </c>
      <c r="AC99" s="5">
        <f>IF(OR(('03_Сеть'!AC47-AC45)=0,25&lt;=КаникулыРоялти),0,('03_Сеть'!AC47-AC45)*IF(РоялтиПоГруппам="Да",MeanMinAge25+AC10*SUMIF(ThresholdAge25,"&lt;"&amp;AC10,WeightedRevAge25)-SUMIF(ThresholdAge25,"&lt;"&amp;AC10,WeightedMinAge25),MAX(CapacityAge25*АбонементНовых*AC10,MeanMinAge25)))</f>
        <v/>
      </c>
      <c r="AD99" s="5">
        <f>IF(OR(('03_Сеть'!AD47-AD45)=0,25&lt;=КаникулыРоялти),0,('03_Сеть'!AD47-AD45)*IF(РоялтиПоГруппам="Да",MeanMinAge25+AD10*SUMIF(ThresholdAge25,"&lt;"&amp;AD10,WeightedRevAge25)-SUMIF(ThresholdAge25,"&lt;"&amp;AD10,WeightedMinAge25),MAX(CapacityAge25*АбонементНовых*AD10,MeanMinAge25)))</f>
        <v/>
      </c>
      <c r="AE99" s="5">
        <f>IF(OR(('03_Сеть'!AE47-AE45)=0,25&lt;=КаникулыРоялти),0,('03_Сеть'!AE47-AE45)*IF(РоялтиПоГруппам="Да",MeanMinAge25+AE10*SUMIF(ThresholdAge25,"&lt;"&amp;AE10,WeightedRevAge25)-SUMIF(ThresholdAge25,"&lt;"&amp;AE10,WeightedMinAge25),MAX(CapacityAge25*АбонементНовых*AE10,MeanMinAge25)))</f>
        <v/>
      </c>
      <c r="AF99" s="5">
        <f>IF(OR(('03_Сеть'!AF47-AF45)=0,25&lt;=КаникулыРоялти),0,('03_Сеть'!AF47-AF45)*IF(РоялтиПоГруппам="Да",MeanMinAge25+AF10*SUMIF(ThresholdAge25,"&lt;"&amp;AF10,WeightedRevAge25)-SUMIF(ThresholdAge25,"&lt;"&amp;AF10,WeightedMinAge25),MAX(CapacityAge25*АбонементНовых*AF10,MeanMinAge25)))</f>
        <v/>
      </c>
      <c r="AG99" s="5">
        <f>IF(OR(('03_Сеть'!AG47-AG45)=0,25&lt;=КаникулыРоялти),0,('03_Сеть'!AG47-AG45)*IF(РоялтиПоГруппам="Да",MeanMinAge25+AG10*SUMIF(ThresholdAge25,"&lt;"&amp;AG10,WeightedRevAge25)-SUMIF(ThresholdAge25,"&lt;"&amp;AG10,WeightedMinAge25),MAX(CapacityAge25*АбонементНовых*AG10,MeanMinAge25)))</f>
        <v/>
      </c>
      <c r="AH99" s="5">
        <f>IF(OR(('03_Сеть'!AH47-AH45)=0,25&lt;=КаникулыРоялти),0,('03_Сеть'!AH47-AH45)*IF(РоялтиПоГруппам="Да",MeanMinAge25+AH10*SUMIF(ThresholdAge25,"&lt;"&amp;AH10,WeightedRevAge25)-SUMIF(ThresholdAge25,"&lt;"&amp;AH10,WeightedMinAge25),MAX(CapacityAge25*АбонементНовых*AH10,MeanMinAge25)))</f>
        <v/>
      </c>
      <c r="AI99" s="5">
        <f>IF(OR(('03_Сеть'!AI47-AI45)=0,25&lt;=КаникулыРоялти),0,('03_Сеть'!AI47-AI45)*IF(РоялтиПоГруппам="Да",MeanMinAge25+AI10*SUMIF(ThresholdAge25,"&lt;"&amp;AI10,WeightedRevAge25)-SUMIF(ThresholdAge25,"&lt;"&amp;AI10,WeightedMinAge25),MAX(CapacityAge25*АбонементНовых*AI10,MeanMinAge25)))</f>
        <v/>
      </c>
      <c r="AJ99" s="5">
        <f>IF(OR(('03_Сеть'!AJ47-AJ45)=0,25&lt;=КаникулыРоялти),0,('03_Сеть'!AJ47-AJ45)*IF(РоялтиПоГруппам="Да",MeanMinAge25+AJ10*SUMIF(ThresholdAge25,"&lt;"&amp;AJ10,WeightedRevAge25)-SUMIF(ThresholdAge25,"&lt;"&amp;AJ10,WeightedMinAge25),MAX(CapacityAge25*АбонементНовых*AJ10,MeanMinAge25)))</f>
        <v/>
      </c>
      <c r="AK99" s="5">
        <f>IF(OR(('03_Сеть'!AK47-AK45)=0,25&lt;=КаникулыРоялти),0,('03_Сеть'!AK47-AK45)*IF(РоялтиПоГруппам="Да",MeanMinAge25+AK10*SUMIF(ThresholdAge25,"&lt;"&amp;AK10,WeightedRevAge25)-SUMIF(ThresholdAge25,"&lt;"&amp;AK10,WeightedMinAge25),MAX(CapacityAge25*АбонементНовых*AK10,MeanMinAge25)))</f>
        <v/>
      </c>
      <c r="AL99" s="5">
        <f>IF(OR(('03_Сеть'!AL47-AL45)=0,25&lt;=КаникулыРоялти),0,('03_Сеть'!AL47-AL45)*IF(РоялтиПоГруппам="Да",MeanMinAge25+AL10*SUMIF(ThresholdAge25,"&lt;"&amp;AL10,WeightedRevAge25)-SUMIF(ThresholdAge25,"&lt;"&amp;AL10,WeightedMinAge25),MAX(CapacityAge25*АбонементНовых*AL10,MeanMinAge25)))</f>
        <v/>
      </c>
      <c r="AM99" s="5">
        <f>IF(OR(('03_Сеть'!AM47-AM45)=0,25&lt;=КаникулыРоялти),0,('03_Сеть'!AM47-AM45)*IF(РоялтиПоГруппам="Да",MeanMinAge25+AM10*SUMIF(ThresholdAge25,"&lt;"&amp;AM10,WeightedRevAge25)-SUMIF(ThresholdAge25,"&lt;"&amp;AM10,WeightedMinAge25),MAX(CapacityAge25*АбонементНовых*AM10,MeanMinAge25)))</f>
        <v/>
      </c>
      <c r="AN99" s="5">
        <f>IF(OR(('03_Сеть'!AN47-AN45)=0,25&lt;=КаникулыРоялти),0,('03_Сеть'!AN47-AN45)*IF(РоялтиПоГруппам="Да",MeanMinAge25+AN10*SUMIF(ThresholdAge25,"&lt;"&amp;AN10,WeightedRevAge25)-SUMIF(ThresholdAge25,"&lt;"&amp;AN10,WeightedMinAge25),MAX(CapacityAge25*АбонементНовых*AN10,MeanMinAge25)))</f>
        <v/>
      </c>
      <c r="AO99" s="5">
        <f>IF(OR(('03_Сеть'!AO47-AO45)=0,25&lt;=КаникулыРоялти),0,('03_Сеть'!AO47-AO45)*IF(РоялтиПоГруппам="Да",MeanMinAge25+AO10*SUMIF(ThresholdAge25,"&lt;"&amp;AO10,WeightedRevAge25)-SUMIF(ThresholdAge25,"&lt;"&amp;AO10,WeightedMinAge25),MAX(CapacityAge25*АбонементНовых*AO10,MeanMinAge25)))</f>
        <v/>
      </c>
      <c r="AP99" s="5">
        <f>IF(OR(('03_Сеть'!AP47-AP45)=0,25&lt;=КаникулыРоялти),0,('03_Сеть'!AP47-AP45)*IF(РоялтиПоГруппам="Да",MeanMinAge25+AP10*SUMIF(ThresholdAge25,"&lt;"&amp;AP10,WeightedRevAge25)-SUMIF(ThresholdAge25,"&lt;"&amp;AP10,WeightedMinAge25),MAX(CapacityAge25*АбонементНовых*AP10,MeanMinAge25)))</f>
        <v/>
      </c>
      <c r="AQ99" s="5">
        <f>IF(OR(('03_Сеть'!AQ47-AQ45)=0,25&lt;=КаникулыРоялти),0,('03_Сеть'!AQ47-AQ45)*IF(РоялтиПоГруппам="Да",MeanMinAge25+AQ10*SUMIF(ThresholdAge25,"&lt;"&amp;AQ10,WeightedRevAge25)-SUMIF(ThresholdAge25,"&lt;"&amp;AQ10,WeightedMinAge25),MAX(CapacityAge25*АбонементНовых*AQ10,MeanMinAge25)))</f>
        <v/>
      </c>
      <c r="AR99" s="5">
        <f>IF(OR(('03_Сеть'!AR47-AR45)=0,25&lt;=КаникулыРоялти),0,('03_Сеть'!AR47-AR45)*IF(РоялтиПоГруппам="Да",MeanMinAge25+AR10*SUMIF(ThresholdAge25,"&lt;"&amp;AR10,WeightedRevAge25)-SUMIF(ThresholdAge25,"&lt;"&amp;AR10,WeightedMinAge25),MAX(CapacityAge25*АбонементНовых*AR10,MeanMinAge25)))</f>
        <v/>
      </c>
      <c r="AS99" s="5">
        <f>IF(OR(('03_Сеть'!AS47-AS45)=0,25&lt;=КаникулыРоялти),0,('03_Сеть'!AS47-AS45)*IF(РоялтиПоГруппам="Да",MeanMinAge25+AS10*SUMIF(ThresholdAge25,"&lt;"&amp;AS10,WeightedRevAge25)-SUMIF(ThresholdAge25,"&lt;"&amp;AS10,WeightedMinAge25),MAX(CapacityAge25*АбонементНовых*AS10,MeanMinAge25)))</f>
        <v/>
      </c>
      <c r="AT99" s="5">
        <f>IF(OR(('03_Сеть'!AT47-AT45)=0,25&lt;=КаникулыРоялти),0,('03_Сеть'!AT47-AT45)*IF(РоялтиПоГруппам="Да",MeanMinAge25+AT10*SUMIF(ThresholdAge25,"&lt;"&amp;AT10,WeightedRevAge25)-SUMIF(ThresholdAge25,"&lt;"&amp;AT10,WeightedMinAge25),MAX(CapacityAge25*АбонементНовых*AT10,MeanMinAge25)))</f>
        <v/>
      </c>
      <c r="AU99" s="5">
        <f>IF(OR(('03_Сеть'!AU47-AU45)=0,25&lt;=КаникулыРоялти),0,('03_Сеть'!AU47-AU45)*IF(РоялтиПоГруппам="Да",MeanMinAge25+AU10*SUMIF(ThresholdAge25,"&lt;"&amp;AU10,WeightedRevAge25)-SUMIF(ThresholdAge25,"&lt;"&amp;AU10,WeightedMinAge25),MAX(CapacityAge25*АбонементНовых*AU10,MeanMinAge25)))</f>
        <v/>
      </c>
      <c r="AV99" s="5">
        <f>IF(OR(('03_Сеть'!AV47-AV45)=0,25&lt;=КаникулыРоялти),0,('03_Сеть'!AV47-AV45)*IF(РоялтиПоГруппам="Да",MeanMinAge25+AV10*SUMIF(ThresholdAge25,"&lt;"&amp;AV10,WeightedRevAge25)-SUMIF(ThresholdAge25,"&lt;"&amp;AV10,WeightedMinAge25),MAX(CapacityAge25*АбонементНовых*AV10,MeanMinAge25)))</f>
        <v/>
      </c>
      <c r="AW99" s="5">
        <f>IF(OR(('03_Сеть'!AW47-AW45)=0,25&lt;=КаникулыРоялти),0,('03_Сеть'!AW47-AW45)*IF(РоялтиПоГруппам="Да",MeanMinAge25+AW10*SUMIF(ThresholdAge25,"&lt;"&amp;AW10,WeightedRevAge25)-SUMIF(ThresholdAge25,"&lt;"&amp;AW10,WeightedMinAge25),MAX(CapacityAge25*АбонементНовых*AW10,MeanMinAge25)))</f>
        <v/>
      </c>
      <c r="AX99" s="5">
        <f>IF(OR(('03_Сеть'!AX47-AX45)=0,25&lt;=КаникулыРоялти),0,('03_Сеть'!AX47-AX45)*IF(РоялтиПоГруппам="Да",MeanMinAge25+AX10*SUMIF(ThresholdAge25,"&lt;"&amp;AX10,WeightedRevAge25)-SUMIF(ThresholdAge25,"&lt;"&amp;AX10,WeightedMinAge25),MAX(CapacityAge25*АбонементНовых*AX10,MeanMinAge25)))</f>
        <v/>
      </c>
      <c r="AY99" s="5">
        <f>IF(OR(('03_Сеть'!AY47-AY45)=0,25&lt;=КаникулыРоялти),0,('03_Сеть'!AY47-AY45)*IF(РоялтиПоГруппам="Да",MeanMinAge25+AY10*SUMIF(ThresholdAge25,"&lt;"&amp;AY10,WeightedRevAge25)-SUMIF(ThresholdAge25,"&lt;"&amp;AY10,WeightedMinAge25),MAX(CapacityAge25*АбонементНовых*AY10,MeanMinAge25)))</f>
        <v/>
      </c>
      <c r="AZ99" s="5">
        <f>IF(OR(('03_Сеть'!AZ47-AZ45)=0,25&lt;=КаникулыРоялти),0,('03_Сеть'!AZ47-AZ45)*IF(РоялтиПоГруппам="Да",MeanMinAge25+AZ10*SUMIF(ThresholdAge25,"&lt;"&amp;AZ10,WeightedRevAge25)-SUMIF(ThresholdAge25,"&lt;"&amp;AZ10,WeightedMinAge25),MAX(CapacityAge25*АбонементНовых*AZ10,MeanMinAge25)))</f>
        <v/>
      </c>
      <c r="BA99" s="5">
        <f>IF(OR(('03_Сеть'!BA47-BA45)=0,25&lt;=КаникулыРоялти),0,('03_Сеть'!BA47-BA45)*IF(РоялтиПоГруппам="Да",MeanMinAge25+BA10*SUMIF(ThresholdAge25,"&lt;"&amp;BA10,WeightedRevAge25)-SUMIF(ThresholdAge25,"&lt;"&amp;BA10,WeightedMinAge25),MAX(CapacityAge25*АбонементНовых*BA10,MeanMinAge25)))</f>
        <v/>
      </c>
      <c r="BB99" s="5">
        <f>IF(OR(('03_Сеть'!BB47-BB45)=0,25&lt;=КаникулыРоялти),0,('03_Сеть'!BB47-BB45)*IF(РоялтиПоГруппам="Да",MeanMinAge25+BB10*SUMIF(ThresholdAge25,"&lt;"&amp;BB10,WeightedRevAge25)-SUMIF(ThresholdAge25,"&lt;"&amp;BB10,WeightedMinAge25),MAX(CapacityAge25*АбонементНовых*BB10,MeanMinAge25)))</f>
        <v/>
      </c>
      <c r="BC99" s="5">
        <f>IF(OR(('03_Сеть'!BC47-BC45)=0,25&lt;=КаникулыРоялти),0,('03_Сеть'!BC47-BC45)*IF(РоялтиПоГруппам="Да",MeanMinAge25+BC10*SUMIF(ThresholdAge25,"&lt;"&amp;BC10,WeightedRevAge25)-SUMIF(ThresholdAge25,"&lt;"&amp;BC10,WeightedMinAge25),MAX(CapacityAge25*АбонементНовых*BC10,MeanMinAge25)))</f>
        <v/>
      </c>
      <c r="BD99" s="5">
        <f>IF(OR(('03_Сеть'!BD47-BD45)=0,25&lt;=КаникулыРоялти),0,('03_Сеть'!BD47-BD45)*IF(РоялтиПоГруппам="Да",MeanMinAge25+BD10*SUMIF(ThresholdAge25,"&lt;"&amp;BD10,WeightedRevAge25)-SUMIF(ThresholdAge25,"&lt;"&amp;BD10,WeightedMinAge25),MAX(CapacityAge25*АбонементНовых*BD10,MeanMinAge25)))</f>
        <v/>
      </c>
      <c r="BE99" s="5">
        <f>IF(OR(('03_Сеть'!BE47-BE45)=0,25&lt;=КаникулыРоялти),0,('03_Сеть'!BE47-BE45)*IF(РоялтиПоГруппам="Да",MeanMinAge25+BE10*SUMIF(ThresholdAge25,"&lt;"&amp;BE10,WeightedRevAge25)-SUMIF(ThresholdAge25,"&lt;"&amp;BE10,WeightedMinAge25),MAX(CapacityAge25*АбонементНовых*BE10,MeanMinAge25)))</f>
        <v/>
      </c>
      <c r="BF99" s="5">
        <f>IF(OR(('03_Сеть'!BF47-BF45)=0,25&lt;=КаникулыРоялти),0,('03_Сеть'!BF47-BF45)*IF(РоялтиПоГруппам="Да",MeanMinAge25+BF10*SUMIF(ThresholdAge25,"&lt;"&amp;BF10,WeightedRevAge25)-SUMIF(ThresholdAge25,"&lt;"&amp;BF10,WeightedMinAge25),MAX(CapacityAge25*АбонементНовых*BF10,MeanMinAge25)))</f>
        <v/>
      </c>
      <c r="BG99" s="5">
        <f>IF(OR(('03_Сеть'!BG47-BG45)=0,25&lt;=КаникулыРоялти),0,('03_Сеть'!BG47-BG45)*IF(РоялтиПоГруппам="Да",MeanMinAge25+BG10*SUMIF(ThresholdAge25,"&lt;"&amp;BG10,WeightedRevAge25)-SUMIF(ThresholdAge25,"&lt;"&amp;BG10,WeightedMinAge25),MAX(CapacityAge25*АбонементНовых*BG10,MeanMinAge25)))</f>
        <v/>
      </c>
      <c r="BH99" s="5">
        <f>IF(OR(('03_Сеть'!BH47-BH45)=0,25&lt;=КаникулыРоялти),0,('03_Сеть'!BH47-BH45)*IF(РоялтиПоГруппам="Да",MeanMinAge25+BH10*SUMIF(ThresholdAge25,"&lt;"&amp;BH10,WeightedRevAge25)-SUMIF(ThresholdAge25,"&lt;"&amp;BH10,WeightedMinAge25),MAX(CapacityAge25*АбонементНовых*BH10,MeanMinAge25)))</f>
        <v/>
      </c>
      <c r="BI99" s="5">
        <f>IF(OR(('03_Сеть'!BI47-BI45)=0,25&lt;=КаникулыРоялти),0,('03_Сеть'!BI47-BI45)*IF(РоялтиПоГруппам="Да",MeanMinAge25+BI10*SUMIF(ThresholdAge25,"&lt;"&amp;BI10,WeightedRevAge25)-SUMIF(ThresholdAge25,"&lt;"&amp;BI10,WeightedMinAge25),MAX(CapacityAge25*АбонементНовых*BI10,MeanMinAge25)))</f>
        <v/>
      </c>
      <c r="BJ99" s="5">
        <f>IF(OR(('03_Сеть'!BJ47-BJ45)=0,25&lt;=КаникулыРоялти),0,('03_Сеть'!BJ47-BJ45)*IF(РоялтиПоГруппам="Да",MeanMinAge25+BJ10*SUMIF(ThresholdAge25,"&lt;"&amp;BJ10,WeightedRevAge25)-SUMIF(ThresholdAge25,"&lt;"&amp;BJ10,WeightedMinAge25),MAX(CapacityAge25*АбонементНовых*BJ10,MeanMinAge25)))</f>
        <v/>
      </c>
      <c r="BK99" s="5">
        <f>IF(OR(('03_Сеть'!BK47-BK45)=0,25&lt;=КаникулыРоялти),0,('03_Сеть'!BK47-BK45)*IF(РоялтиПоГруппам="Да",MeanMinAge25+BK10*SUMIF(ThresholdAge25,"&lt;"&amp;BK10,WeightedRevAge25)-SUMIF(ThresholdAge25,"&lt;"&amp;BK10,WeightedMinAge25),MAX(CapacityAge25*АбонементНовых*BK10,MeanMinAge25)))</f>
        <v/>
      </c>
      <c r="BL99" s="5">
        <f>IF(OR(('03_Сеть'!BL47-BL45)=0,25&lt;=КаникулыРоялти),0,('03_Сеть'!BL47-BL45)*IF(РоялтиПоГруппам="Да",MeanMinAge25+BL10*SUMIF(ThresholdAge25,"&lt;"&amp;BL10,WeightedRevAge25)-SUMIF(ThresholdAge25,"&lt;"&amp;BL10,WeightedMinAge25),MAX(CapacityAge25*АбонементНовых*BL10,MeanMinAge25)))</f>
        <v/>
      </c>
      <c r="BM99" s="5">
        <f>IF(OR(('03_Сеть'!BM47-BM45)=0,25&lt;=КаникулыРоялти),0,('03_Сеть'!BM47-BM45)*IF(РоялтиПоГруппам="Да",MeanMinAge25+BM10*SUMIF(ThresholdAge25,"&lt;"&amp;BM10,WeightedRevAge25)-SUMIF(ThresholdAge25,"&lt;"&amp;BM10,WeightedMinAge25),MAX(CapacityAge25*АбонементНовых*BM10,MeanMinAge25)))</f>
        <v/>
      </c>
      <c r="BN99" s="5">
        <f>IF(OR(('03_Сеть'!BN47-BN45)=0,25&lt;=КаникулыРоялти),0,('03_Сеть'!BN47-BN45)*IF(РоялтиПоГруппам="Да",MeanMinAge25+BN10*SUMIF(ThresholdAge25,"&lt;"&amp;BN10,WeightedRevAge25)-SUMIF(ThresholdAge25,"&lt;"&amp;BN10,WeightedMinAge25),MAX(CapacityAge25*АбонементНовых*BN10,MeanMinAge25)))</f>
        <v/>
      </c>
      <c r="BO99" s="5">
        <f>IF(OR(('03_Сеть'!BO47-BO45)=0,25&lt;=КаникулыРоялти),0,('03_Сеть'!BO47-BO45)*IF(РоялтиПоГруппам="Да",MeanMinAge25+BO10*SUMIF(ThresholdAge25,"&lt;"&amp;BO10,WeightedRevAge25)-SUMIF(ThresholdAge25,"&lt;"&amp;BO10,WeightedMinAge25),MAX(CapacityAge25*АбонементНовых*BO10,MeanMinAge25)))</f>
        <v/>
      </c>
      <c r="BP99" s="5">
        <f>IF(OR(('03_Сеть'!BP47-BP45)=0,25&lt;=КаникулыРоялти),0,('03_Сеть'!BP47-BP45)*IF(РоялтиПоГруппам="Да",MeanMinAge25+BP10*SUMIF(ThresholdAge25,"&lt;"&amp;BP10,WeightedRevAge25)-SUMIF(ThresholdAge25,"&lt;"&amp;BP10,WeightedMinAge25),MAX(CapacityAge25*АбонементНовых*BP10,MeanMinAge25)))</f>
        <v/>
      </c>
      <c r="BQ99" s="5">
        <f>IF(OR(('03_Сеть'!BQ47-BQ45)=0,25&lt;=КаникулыРоялти),0,('03_Сеть'!BQ47-BQ45)*IF(РоялтиПоГруппам="Да",MeanMinAge25+BQ10*SUMIF(ThresholdAge25,"&lt;"&amp;BQ10,WeightedRevAge25)-SUMIF(ThresholdAge25,"&lt;"&amp;BQ10,WeightedMinAge25),MAX(CapacityAge25*АбонементНовых*BQ10,MeanMinAge25)))</f>
        <v/>
      </c>
      <c r="BR99" s="5">
        <f>IF(OR(('03_Сеть'!BR47-BR45)=0,25&lt;=КаникулыРоялти),0,('03_Сеть'!BR47-BR45)*IF(РоялтиПоГруппам="Да",MeanMinAge25+BR10*SUMIF(ThresholdAge25,"&lt;"&amp;BR10,WeightedRevAge25)-SUMIF(ThresholdAge25,"&lt;"&amp;BR10,WeightedMinAge25),MAX(CapacityAge25*АбонементНовых*BR10,MeanMinAge25)))</f>
        <v/>
      </c>
      <c r="BS99" s="5">
        <f>IF(OR(('03_Сеть'!BS47-BS45)=0,25&lt;=КаникулыРоялти),0,('03_Сеть'!BS47-BS45)*IF(РоялтиПоГруппам="Да",MeanMinAge25+BS10*SUMIF(ThresholdAge25,"&lt;"&amp;BS10,WeightedRevAge25)-SUMIF(ThresholdAge25,"&lt;"&amp;BS10,WeightedMinAge25),MAX(CapacityAge25*АбонементНовых*BS10,MeanMinAge25)))</f>
        <v/>
      </c>
      <c r="BT99" s="5">
        <f>IF(OR(('03_Сеть'!BT47-BT45)=0,25&lt;=КаникулыРоялти),0,('03_Сеть'!BT47-BT45)*IF(РоялтиПоГруппам="Да",MeanMinAge25+BT10*SUMIF(ThresholdAge25,"&lt;"&amp;BT10,WeightedRevAge25)-SUMIF(ThresholdAge25,"&lt;"&amp;BT10,WeightedMinAge25),MAX(CapacityAge25*АбонементНовых*BT10,MeanMinAge25)))</f>
        <v/>
      </c>
      <c r="BU99" s="5">
        <f>IF(OR(('03_Сеть'!BU47-BU45)=0,25&lt;=КаникулыРоялти),0,('03_Сеть'!BU47-BU45)*IF(РоялтиПоГруппам="Да",MeanMinAge25+BU10*SUMIF(ThresholdAge25,"&lt;"&amp;BU10,WeightedRevAge25)-SUMIF(ThresholdAge25,"&lt;"&amp;BU10,WeightedMinAge25),MAX(CapacityAge25*АбонементНовых*BU10,MeanMinAge25)))</f>
        <v/>
      </c>
      <c r="BV99" s="5">
        <f>IF(OR(('03_Сеть'!BV47-BV45)=0,25&lt;=КаникулыРоялти),0,('03_Сеть'!BV47-BV45)*IF(РоялтиПоГруппам="Да",MeanMinAge25+BV10*SUMIF(ThresholdAge25,"&lt;"&amp;BV10,WeightedRevAge25)-SUMIF(ThresholdAge25,"&lt;"&amp;BV10,WeightedMinAge25),MAX(CapacityAge25*АбонементНовых*BV10,MeanMinAge25)))</f>
        <v/>
      </c>
      <c r="BW99" s="5">
        <f>IF(OR(('03_Сеть'!BW47-BW45)=0,25&lt;=КаникулыРоялти),0,('03_Сеть'!BW47-BW45)*IF(РоялтиПоГруппам="Да",MeanMinAge25+BW10*SUMIF(ThresholdAge25,"&lt;"&amp;BW10,WeightedRevAge25)-SUMIF(ThresholdAge25,"&lt;"&amp;BW10,WeightedMinAge25),MAX(CapacityAge25*АбонементНовых*BW10,MeanMinAge25)))</f>
        <v/>
      </c>
      <c r="BX99" s="5">
        <f>IF(OR(('03_Сеть'!BX47-BX45)=0,25&lt;=КаникулыРоялти),0,('03_Сеть'!BX47-BX45)*IF(РоялтиПоГруппам="Да",MeanMinAge25+BX10*SUMIF(ThresholdAge25,"&lt;"&amp;BX10,WeightedRevAge25)-SUMIF(ThresholdAge25,"&lt;"&amp;BX10,WeightedMinAge25),MAX(CapacityAge25*АбонементНовых*BX10,MeanMinAge25)))</f>
        <v/>
      </c>
      <c r="BY99" s="5">
        <f>IF(OR(('03_Сеть'!BY47-BY45)=0,25&lt;=КаникулыРоялти),0,('03_Сеть'!BY47-BY45)*IF(РоялтиПоГруппам="Да",MeanMinAge25+BY10*SUMIF(ThresholdAge25,"&lt;"&amp;BY10,WeightedRevAge25)-SUMIF(ThresholdAge25,"&lt;"&amp;BY10,WeightedMinAge25),MAX(CapacityAge25*АбонементНовых*BY10,MeanMinAge25)))</f>
        <v/>
      </c>
    </row>
    <row r="100"/>
    <row r="101">
      <c r="B101" s="125" t="inlineStr">
        <is>
          <t>Итог по роялти</t>
        </is>
      </c>
      <c r="C101" s="126" t="n"/>
      <c r="D101" s="126" t="n"/>
      <c r="E101" s="126" t="n"/>
      <c r="F101" s="126" t="n"/>
      <c r="G101" s="126" t="n"/>
      <c r="H101" s="126" t="n"/>
      <c r="I101" s="126" t="n"/>
      <c r="J101" s="126" t="n"/>
      <c r="K101" s="126" t="n"/>
      <c r="L101" s="126" t="n"/>
      <c r="M101" s="126" t="n"/>
      <c r="N101" s="126" t="n"/>
      <c r="O101" s="126" t="n"/>
      <c r="P101" s="126" t="n"/>
      <c r="Q101" s="126" t="n"/>
      <c r="R101" s="126" t="n"/>
      <c r="S101" s="126" t="n"/>
      <c r="T101" s="126" t="n"/>
      <c r="U101" s="126" t="n"/>
      <c r="V101" s="126" t="n"/>
      <c r="W101" s="126" t="n"/>
      <c r="X101" s="126" t="n"/>
      <c r="Y101" s="126" t="n"/>
      <c r="Z101" s="126" t="n"/>
      <c r="AA101" s="126" t="n"/>
      <c r="AB101" s="126" t="n"/>
      <c r="AC101" s="126" t="n"/>
      <c r="AD101" s="126" t="n"/>
      <c r="AE101" s="126" t="n"/>
      <c r="AF101" s="126" t="n"/>
      <c r="AG101" s="126" t="n"/>
      <c r="AH101" s="126" t="n"/>
      <c r="AI101" s="126" t="n"/>
      <c r="AJ101" s="126" t="n"/>
      <c r="AK101" s="126" t="n"/>
      <c r="AL101" s="126" t="n"/>
      <c r="AM101" s="126" t="n"/>
      <c r="AN101" s="126" t="n"/>
      <c r="AO101" s="126" t="n"/>
      <c r="AP101" s="126" t="n"/>
      <c r="AQ101" s="126" t="n"/>
      <c r="AR101" s="126" t="n"/>
      <c r="AS101" s="126" t="n"/>
      <c r="AT101" s="126" t="n"/>
      <c r="AU101" s="126" t="n"/>
      <c r="AV101" s="126" t="n"/>
      <c r="AW101" s="126" t="n"/>
      <c r="AX101" s="126" t="n"/>
      <c r="AY101" s="126" t="n"/>
      <c r="AZ101" s="126" t="n"/>
      <c r="BA101" s="126" t="n"/>
      <c r="BB101" s="126" t="n"/>
      <c r="BC101" s="126" t="n"/>
      <c r="BD101" s="126" t="n"/>
      <c r="BE101" s="126" t="n"/>
      <c r="BF101" s="126" t="n"/>
      <c r="BG101" s="126" t="n"/>
      <c r="BH101" s="126" t="n"/>
      <c r="BI101" s="126" t="n"/>
      <c r="BJ101" s="126" t="n"/>
      <c r="BK101" s="126" t="n"/>
      <c r="BL101" s="126" t="n"/>
      <c r="BM101" s="126" t="n"/>
      <c r="BN101" s="126" t="n"/>
      <c r="BO101" s="126" t="n"/>
      <c r="BP101" s="126" t="n"/>
      <c r="BQ101" s="126" t="n"/>
      <c r="BR101" s="126" t="n"/>
      <c r="BS101" s="126" t="n"/>
      <c r="BT101" s="126" t="n"/>
      <c r="BU101" s="126" t="n"/>
      <c r="BV101" s="126" t="n"/>
      <c r="BW101" s="126" t="n"/>
      <c r="BX101" s="126" t="n"/>
      <c r="BY101" s="126" t="n"/>
    </row>
    <row r="102">
      <c r="B102" t="inlineStr">
        <is>
          <t>Роялти новых школ, с НДС</t>
        </is>
      </c>
      <c r="C102" t="inlineStr">
        <is>
          <t>₽</t>
        </is>
      </c>
      <c r="D102" s="127" t="inlineStr">
        <is>
          <t>Сумма по всем возрастам и обеим ставкам</t>
        </is>
      </c>
      <c r="E102" s="129">
        <f>SUM(L102:W102)</f>
        <v/>
      </c>
      <c r="F102" s="129">
        <f>SUM(X102:AI102)</f>
        <v/>
      </c>
      <c r="G102" s="129">
        <f>SUM(AJ102:AU102)</f>
        <v/>
      </c>
      <c r="H102" s="129">
        <f>SUM(AV102:BG102)</f>
        <v/>
      </c>
      <c r="I102" s="129">
        <f>SUM(BH102:BS102)</f>
        <v/>
      </c>
      <c r="J102" s="6">
        <f>SUM(L102:BS102)</f>
        <v/>
      </c>
      <c r="L102" s="5">
        <f>SUM(L48:L72)+SUM(L75:L99)</f>
        <v/>
      </c>
      <c r="M102" s="5">
        <f>SUM(M48:M72)+SUM(M75:M99)</f>
        <v/>
      </c>
      <c r="N102" s="5">
        <f>SUM(N48:N72)+SUM(N75:N99)</f>
        <v/>
      </c>
      <c r="O102" s="5">
        <f>SUM(O48:O72)+SUM(O75:O99)</f>
        <v/>
      </c>
      <c r="P102" s="5">
        <f>SUM(P48:P72)+SUM(P75:P99)</f>
        <v/>
      </c>
      <c r="Q102" s="5">
        <f>SUM(Q48:Q72)+SUM(Q75:Q99)</f>
        <v/>
      </c>
      <c r="R102" s="5">
        <f>SUM(R48:R72)+SUM(R75:R99)</f>
        <v/>
      </c>
      <c r="S102" s="5">
        <f>SUM(S48:S72)+SUM(S75:S99)</f>
        <v/>
      </c>
      <c r="T102" s="5">
        <f>SUM(T48:T72)+SUM(T75:T99)</f>
        <v/>
      </c>
      <c r="U102" s="5">
        <f>SUM(U48:U72)+SUM(U75:U99)</f>
        <v/>
      </c>
      <c r="V102" s="5">
        <f>SUM(V48:V72)+SUM(V75:V99)</f>
        <v/>
      </c>
      <c r="W102" s="5">
        <f>SUM(W48:W72)+SUM(W75:W99)</f>
        <v/>
      </c>
      <c r="X102" s="5">
        <f>SUM(X48:X72)+SUM(X75:X99)</f>
        <v/>
      </c>
      <c r="Y102" s="5">
        <f>SUM(Y48:Y72)+SUM(Y75:Y99)</f>
        <v/>
      </c>
      <c r="Z102" s="5">
        <f>SUM(Z48:Z72)+SUM(Z75:Z99)</f>
        <v/>
      </c>
      <c r="AA102" s="5">
        <f>SUM(AA48:AA72)+SUM(AA75:AA99)</f>
        <v/>
      </c>
      <c r="AB102" s="5">
        <f>SUM(AB48:AB72)+SUM(AB75:AB99)</f>
        <v/>
      </c>
      <c r="AC102" s="5">
        <f>SUM(AC48:AC72)+SUM(AC75:AC99)</f>
        <v/>
      </c>
      <c r="AD102" s="5">
        <f>SUM(AD48:AD72)+SUM(AD75:AD99)</f>
        <v/>
      </c>
      <c r="AE102" s="5">
        <f>SUM(AE48:AE72)+SUM(AE75:AE99)</f>
        <v/>
      </c>
      <c r="AF102" s="5">
        <f>SUM(AF48:AF72)+SUM(AF75:AF99)</f>
        <v/>
      </c>
      <c r="AG102" s="5">
        <f>SUM(AG48:AG72)+SUM(AG75:AG99)</f>
        <v/>
      </c>
      <c r="AH102" s="5">
        <f>SUM(AH48:AH72)+SUM(AH75:AH99)</f>
        <v/>
      </c>
      <c r="AI102" s="5">
        <f>SUM(AI48:AI72)+SUM(AI75:AI99)</f>
        <v/>
      </c>
      <c r="AJ102" s="5">
        <f>SUM(AJ48:AJ72)+SUM(AJ75:AJ99)</f>
        <v/>
      </c>
      <c r="AK102" s="5">
        <f>SUM(AK48:AK72)+SUM(AK75:AK99)</f>
        <v/>
      </c>
      <c r="AL102" s="5">
        <f>SUM(AL48:AL72)+SUM(AL75:AL99)</f>
        <v/>
      </c>
      <c r="AM102" s="5">
        <f>SUM(AM48:AM72)+SUM(AM75:AM99)</f>
        <v/>
      </c>
      <c r="AN102" s="5">
        <f>SUM(AN48:AN72)+SUM(AN75:AN99)</f>
        <v/>
      </c>
      <c r="AO102" s="5">
        <f>SUM(AO48:AO72)+SUM(AO75:AO99)</f>
        <v/>
      </c>
      <c r="AP102" s="5">
        <f>SUM(AP48:AP72)+SUM(AP75:AP99)</f>
        <v/>
      </c>
      <c r="AQ102" s="5">
        <f>SUM(AQ48:AQ72)+SUM(AQ75:AQ99)</f>
        <v/>
      </c>
      <c r="AR102" s="5">
        <f>SUM(AR48:AR72)+SUM(AR75:AR99)</f>
        <v/>
      </c>
      <c r="AS102" s="5">
        <f>SUM(AS48:AS72)+SUM(AS75:AS99)</f>
        <v/>
      </c>
      <c r="AT102" s="5">
        <f>SUM(AT48:AT72)+SUM(AT75:AT99)</f>
        <v/>
      </c>
      <c r="AU102" s="5">
        <f>SUM(AU48:AU72)+SUM(AU75:AU99)</f>
        <v/>
      </c>
      <c r="AV102" s="5">
        <f>SUM(AV48:AV72)+SUM(AV75:AV99)</f>
        <v/>
      </c>
      <c r="AW102" s="5">
        <f>SUM(AW48:AW72)+SUM(AW75:AW99)</f>
        <v/>
      </c>
      <c r="AX102" s="5">
        <f>SUM(AX48:AX72)+SUM(AX75:AX99)</f>
        <v/>
      </c>
      <c r="AY102" s="5">
        <f>SUM(AY48:AY72)+SUM(AY75:AY99)</f>
        <v/>
      </c>
      <c r="AZ102" s="5">
        <f>SUM(AZ48:AZ72)+SUM(AZ75:AZ99)</f>
        <v/>
      </c>
      <c r="BA102" s="5">
        <f>SUM(BA48:BA72)+SUM(BA75:BA99)</f>
        <v/>
      </c>
      <c r="BB102" s="5">
        <f>SUM(BB48:BB72)+SUM(BB75:BB99)</f>
        <v/>
      </c>
      <c r="BC102" s="5">
        <f>SUM(BC48:BC72)+SUM(BC75:BC99)</f>
        <v/>
      </c>
      <c r="BD102" s="5">
        <f>SUM(BD48:BD72)+SUM(BD75:BD99)</f>
        <v/>
      </c>
      <c r="BE102" s="5">
        <f>SUM(BE48:BE72)+SUM(BE75:BE99)</f>
        <v/>
      </c>
      <c r="BF102" s="5">
        <f>SUM(BF48:BF72)+SUM(BF75:BF99)</f>
        <v/>
      </c>
      <c r="BG102" s="5">
        <f>SUM(BG48:BG72)+SUM(BG75:BG99)</f>
        <v/>
      </c>
      <c r="BH102" s="5">
        <f>SUM(BH48:BH72)+SUM(BH75:BH99)</f>
        <v/>
      </c>
      <c r="BI102" s="5">
        <f>SUM(BI48:BI72)+SUM(BI75:BI99)</f>
        <v/>
      </c>
      <c r="BJ102" s="5">
        <f>SUM(BJ48:BJ72)+SUM(BJ75:BJ99)</f>
        <v/>
      </c>
      <c r="BK102" s="5">
        <f>SUM(BK48:BK72)+SUM(BK75:BK99)</f>
        <v/>
      </c>
      <c r="BL102" s="5">
        <f>SUM(BL48:BL72)+SUM(BL75:BL99)</f>
        <v/>
      </c>
      <c r="BM102" s="5">
        <f>SUM(BM48:BM72)+SUM(BM75:BM99)</f>
        <v/>
      </c>
      <c r="BN102" s="5">
        <f>SUM(BN48:BN72)+SUM(BN75:BN99)</f>
        <v/>
      </c>
      <c r="BO102" s="5">
        <f>SUM(BO48:BO72)+SUM(BO75:BO99)</f>
        <v/>
      </c>
      <c r="BP102" s="5">
        <f>SUM(BP48:BP72)+SUM(BP75:BP99)</f>
        <v/>
      </c>
      <c r="BQ102" s="5">
        <f>SUM(BQ48:BQ72)+SUM(BQ75:BQ99)</f>
        <v/>
      </c>
      <c r="BR102" s="5">
        <f>SUM(BR48:BR72)+SUM(BR75:BR99)</f>
        <v/>
      </c>
      <c r="BS102" s="5">
        <f>SUM(BS48:BS72)+SUM(BS75:BS99)</f>
        <v/>
      </c>
      <c r="BT102" s="5">
        <f>SUM(BT48:BT72)+SUM(BT75:BT99)</f>
        <v/>
      </c>
      <c r="BU102" s="5">
        <f>SUM(BU48:BU72)+SUM(BU75:BU99)</f>
        <v/>
      </c>
      <c r="BV102" s="5">
        <f>SUM(BV48:BV72)+SUM(BV75:BV99)</f>
        <v/>
      </c>
      <c r="BW102" s="5">
        <f>SUM(BW48:BW72)+SUM(BW75:BW99)</f>
        <v/>
      </c>
      <c r="BX102" s="5">
        <f>SUM(BX48:BX72)+SUM(BX75:BX99)</f>
        <v/>
      </c>
      <c r="BY102" s="5">
        <f>SUM(BY48:BY72)+SUM(BY75:BY99)</f>
        <v/>
      </c>
    </row>
    <row r="103">
      <c r="B103" s="7" t="inlineStr">
        <is>
          <t>Роялти всего, с НДС</t>
        </is>
      </c>
      <c r="C103" s="7" t="inlineStr">
        <is>
          <t>₽</t>
        </is>
      </c>
      <c r="D103" s="130" t="inlineStr"/>
      <c r="E103" s="131">
        <f>SUM(L103:W103)</f>
        <v/>
      </c>
      <c r="F103" s="131">
        <f>SUM(X103:AI103)</f>
        <v/>
      </c>
      <c r="G103" s="131">
        <f>SUM(AJ103:AU103)</f>
        <v/>
      </c>
      <c r="H103" s="131">
        <f>SUM(AV103:BG103)</f>
        <v/>
      </c>
      <c r="I103" s="131">
        <f>SUM(BH103:BS103)</f>
        <v/>
      </c>
      <c r="J103" s="10">
        <f>SUM(L103:BS103)</f>
        <v/>
      </c>
      <c r="L103" s="9">
        <f>L17+L102</f>
        <v/>
      </c>
      <c r="M103" s="9">
        <f>M17+M102</f>
        <v/>
      </c>
      <c r="N103" s="9">
        <f>N17+N102</f>
        <v/>
      </c>
      <c r="O103" s="9">
        <f>O17+O102</f>
        <v/>
      </c>
      <c r="P103" s="9">
        <f>P17+P102</f>
        <v/>
      </c>
      <c r="Q103" s="9">
        <f>Q17+Q102</f>
        <v/>
      </c>
      <c r="R103" s="9">
        <f>R17+R102</f>
        <v/>
      </c>
      <c r="S103" s="9">
        <f>S17+S102</f>
        <v/>
      </c>
      <c r="T103" s="9">
        <f>T17+T102</f>
        <v/>
      </c>
      <c r="U103" s="9">
        <f>U17+U102</f>
        <v/>
      </c>
      <c r="V103" s="9">
        <f>V17+V102</f>
        <v/>
      </c>
      <c r="W103" s="9">
        <f>W17+W102</f>
        <v/>
      </c>
      <c r="X103" s="9">
        <f>X17+X102</f>
        <v/>
      </c>
      <c r="Y103" s="9">
        <f>Y17+Y102</f>
        <v/>
      </c>
      <c r="Z103" s="9">
        <f>Z17+Z102</f>
        <v/>
      </c>
      <c r="AA103" s="9">
        <f>AA17+AA102</f>
        <v/>
      </c>
      <c r="AB103" s="9">
        <f>AB17+AB102</f>
        <v/>
      </c>
      <c r="AC103" s="9">
        <f>AC17+AC102</f>
        <v/>
      </c>
      <c r="AD103" s="9">
        <f>AD17+AD102</f>
        <v/>
      </c>
      <c r="AE103" s="9">
        <f>AE17+AE102</f>
        <v/>
      </c>
      <c r="AF103" s="9">
        <f>AF17+AF102</f>
        <v/>
      </c>
      <c r="AG103" s="9">
        <f>AG17+AG102</f>
        <v/>
      </c>
      <c r="AH103" s="9">
        <f>AH17+AH102</f>
        <v/>
      </c>
      <c r="AI103" s="9">
        <f>AI17+AI102</f>
        <v/>
      </c>
      <c r="AJ103" s="9">
        <f>AJ17+AJ102</f>
        <v/>
      </c>
      <c r="AK103" s="9">
        <f>AK17+AK102</f>
        <v/>
      </c>
      <c r="AL103" s="9">
        <f>AL17+AL102</f>
        <v/>
      </c>
      <c r="AM103" s="9">
        <f>AM17+AM102</f>
        <v/>
      </c>
      <c r="AN103" s="9">
        <f>AN17+AN102</f>
        <v/>
      </c>
      <c r="AO103" s="9">
        <f>AO17+AO102</f>
        <v/>
      </c>
      <c r="AP103" s="9">
        <f>AP17+AP102</f>
        <v/>
      </c>
      <c r="AQ103" s="9">
        <f>AQ17+AQ102</f>
        <v/>
      </c>
      <c r="AR103" s="9">
        <f>AR17+AR102</f>
        <v/>
      </c>
      <c r="AS103" s="9">
        <f>AS17+AS102</f>
        <v/>
      </c>
      <c r="AT103" s="9">
        <f>AT17+AT102</f>
        <v/>
      </c>
      <c r="AU103" s="9">
        <f>AU17+AU102</f>
        <v/>
      </c>
      <c r="AV103" s="9">
        <f>AV17+AV102</f>
        <v/>
      </c>
      <c r="AW103" s="9">
        <f>AW17+AW102</f>
        <v/>
      </c>
      <c r="AX103" s="9">
        <f>AX17+AX102</f>
        <v/>
      </c>
      <c r="AY103" s="9">
        <f>AY17+AY102</f>
        <v/>
      </c>
      <c r="AZ103" s="9">
        <f>AZ17+AZ102</f>
        <v/>
      </c>
      <c r="BA103" s="9">
        <f>BA17+BA102</f>
        <v/>
      </c>
      <c r="BB103" s="9">
        <f>BB17+BB102</f>
        <v/>
      </c>
      <c r="BC103" s="9">
        <f>BC17+BC102</f>
        <v/>
      </c>
      <c r="BD103" s="9">
        <f>BD17+BD102</f>
        <v/>
      </c>
      <c r="BE103" s="9">
        <f>BE17+BE102</f>
        <v/>
      </c>
      <c r="BF103" s="9">
        <f>BF17+BF102</f>
        <v/>
      </c>
      <c r="BG103" s="9">
        <f>BG17+BG102</f>
        <v/>
      </c>
      <c r="BH103" s="9">
        <f>BH17+BH102</f>
        <v/>
      </c>
      <c r="BI103" s="9">
        <f>BI17+BI102</f>
        <v/>
      </c>
      <c r="BJ103" s="9">
        <f>BJ17+BJ102</f>
        <v/>
      </c>
      <c r="BK103" s="9">
        <f>BK17+BK102</f>
        <v/>
      </c>
      <c r="BL103" s="9">
        <f>BL17+BL102</f>
        <v/>
      </c>
      <c r="BM103" s="9">
        <f>BM17+BM102</f>
        <v/>
      </c>
      <c r="BN103" s="9">
        <f>BN17+BN102</f>
        <v/>
      </c>
      <c r="BO103" s="9">
        <f>BO17+BO102</f>
        <v/>
      </c>
      <c r="BP103" s="9">
        <f>BP17+BP102</f>
        <v/>
      </c>
      <c r="BQ103" s="9">
        <f>BQ17+BQ102</f>
        <v/>
      </c>
      <c r="BR103" s="9">
        <f>BR17+BR102</f>
        <v/>
      </c>
      <c r="BS103" s="9">
        <f>BS17+BS102</f>
        <v/>
      </c>
      <c r="BT103" s="9">
        <f>BT17+BT102</f>
        <v/>
      </c>
      <c r="BU103" s="9">
        <f>BU17+BU102</f>
        <v/>
      </c>
      <c r="BV103" s="9">
        <f>BV17+BV102</f>
        <v/>
      </c>
      <c r="BW103" s="9">
        <f>BW17+BW102</f>
        <v/>
      </c>
      <c r="BX103" s="9">
        <f>BX17+BX102</f>
        <v/>
      </c>
      <c r="BY103" s="9">
        <f>BY17+BY102</f>
        <v/>
      </c>
    </row>
    <row r="104"/>
    <row r="105">
      <c r="B105" s="125" t="inlineStr">
        <is>
          <t>Мерч: сколько комплектов покупают</t>
        </is>
      </c>
      <c r="C105" s="126" t="n"/>
      <c r="D105" s="126" t="n"/>
      <c r="E105" s="126" t="n"/>
      <c r="F105" s="126" t="n"/>
      <c r="G105" s="126" t="n"/>
      <c r="H105" s="126" t="n"/>
      <c r="I105" s="126" t="n"/>
      <c r="J105" s="126" t="n"/>
      <c r="K105" s="126" t="n"/>
      <c r="L105" s="126" t="n"/>
      <c r="M105" s="126" t="n"/>
      <c r="N105" s="126" t="n"/>
      <c r="O105" s="126" t="n"/>
      <c r="P105" s="126" t="n"/>
      <c r="Q105" s="126" t="n"/>
      <c r="R105" s="126" t="n"/>
      <c r="S105" s="126" t="n"/>
      <c r="T105" s="126" t="n"/>
      <c r="U105" s="126" t="n"/>
      <c r="V105" s="126" t="n"/>
      <c r="W105" s="126" t="n"/>
      <c r="X105" s="126" t="n"/>
      <c r="Y105" s="126" t="n"/>
      <c r="Z105" s="126" t="n"/>
      <c r="AA105" s="126" t="n"/>
      <c r="AB105" s="126" t="n"/>
      <c r="AC105" s="126" t="n"/>
      <c r="AD105" s="126" t="n"/>
      <c r="AE105" s="126" t="n"/>
      <c r="AF105" s="126" t="n"/>
      <c r="AG105" s="126" t="n"/>
      <c r="AH105" s="126" t="n"/>
      <c r="AI105" s="126" t="n"/>
      <c r="AJ105" s="126" t="n"/>
      <c r="AK105" s="126" t="n"/>
      <c r="AL105" s="126" t="n"/>
      <c r="AM105" s="126" t="n"/>
      <c r="AN105" s="126" t="n"/>
      <c r="AO105" s="126" t="n"/>
      <c r="AP105" s="126" t="n"/>
      <c r="AQ105" s="126" t="n"/>
      <c r="AR105" s="126" t="n"/>
      <c r="AS105" s="126" t="n"/>
      <c r="AT105" s="126" t="n"/>
      <c r="AU105" s="126" t="n"/>
      <c r="AV105" s="126" t="n"/>
      <c r="AW105" s="126" t="n"/>
      <c r="AX105" s="126" t="n"/>
      <c r="AY105" s="126" t="n"/>
      <c r="AZ105" s="126" t="n"/>
      <c r="BA105" s="126" t="n"/>
      <c r="BB105" s="126" t="n"/>
      <c r="BC105" s="126" t="n"/>
      <c r="BD105" s="126" t="n"/>
      <c r="BE105" s="126" t="n"/>
      <c r="BF105" s="126" t="n"/>
      <c r="BG105" s="126" t="n"/>
      <c r="BH105" s="126" t="n"/>
      <c r="BI105" s="126" t="n"/>
      <c r="BJ105" s="126" t="n"/>
      <c r="BK105" s="126" t="n"/>
      <c r="BL105" s="126" t="n"/>
      <c r="BM105" s="126" t="n"/>
      <c r="BN105" s="126" t="n"/>
      <c r="BO105" s="126" t="n"/>
      <c r="BP105" s="126" t="n"/>
      <c r="BQ105" s="126" t="n"/>
      <c r="BR105" s="126" t="n"/>
      <c r="BS105" s="126" t="n"/>
      <c r="BT105" s="126" t="n"/>
      <c r="BU105" s="126" t="n"/>
      <c r="BV105" s="126" t="n"/>
      <c r="BW105" s="126" t="n"/>
      <c r="BX105" s="126" t="n"/>
      <c r="BY105" s="126" t="n"/>
    </row>
    <row r="106">
      <c r="B106" t="inlineStr">
        <is>
          <t>Сезонность повторных покупок</t>
        </is>
      </c>
      <c r="C106" t="inlineStr">
        <is>
          <t>%</t>
        </is>
      </c>
      <c r="D106" s="127" t="inlineStr">
        <is>
          <t>Доля годовой закупки, приходящаяся на этот месяц В колонках лет — среднее за год, в «Итого» — среднее за все 60 месяцев.</t>
        </is>
      </c>
      <c r="E106" s="132">
        <f>AVERAGE(L106:W106)</f>
        <v/>
      </c>
      <c r="F106" s="132">
        <f>AVERAGE(X106:AI106)</f>
        <v/>
      </c>
      <c r="G106" s="132">
        <f>AVERAGE(AJ106:AU106)</f>
        <v/>
      </c>
      <c r="H106" s="132">
        <f>AVERAGE(AV106:BG106)</f>
        <v/>
      </c>
      <c r="I106" s="132">
        <f>AVERAGE(BH106:BS106)</f>
        <v/>
      </c>
      <c r="J106" s="133">
        <f>AVERAGE(L106:BS106)</f>
        <v/>
      </c>
      <c r="L106" s="15">
        <f>INDEX('01_Вводные'!$B$94:$M$94,1,MONTH('03_Сеть'!L7))</f>
        <v/>
      </c>
      <c r="M106" s="15">
        <f>INDEX('01_Вводные'!$B$94:$M$94,1,MONTH('03_Сеть'!M7))</f>
        <v/>
      </c>
      <c r="N106" s="15">
        <f>INDEX('01_Вводные'!$B$94:$M$94,1,MONTH('03_Сеть'!N7))</f>
        <v/>
      </c>
      <c r="O106" s="15">
        <f>INDEX('01_Вводные'!$B$94:$M$94,1,MONTH('03_Сеть'!O7))</f>
        <v/>
      </c>
      <c r="P106" s="15">
        <f>INDEX('01_Вводные'!$B$94:$M$94,1,MONTH('03_Сеть'!P7))</f>
        <v/>
      </c>
      <c r="Q106" s="15">
        <f>INDEX('01_Вводные'!$B$94:$M$94,1,MONTH('03_Сеть'!Q7))</f>
        <v/>
      </c>
      <c r="R106" s="15">
        <f>INDEX('01_Вводные'!$B$94:$M$94,1,MONTH('03_Сеть'!R7))</f>
        <v/>
      </c>
      <c r="S106" s="15">
        <f>INDEX('01_Вводные'!$B$94:$M$94,1,MONTH('03_Сеть'!S7))</f>
        <v/>
      </c>
      <c r="T106" s="15">
        <f>INDEX('01_Вводные'!$B$94:$M$94,1,MONTH('03_Сеть'!T7))</f>
        <v/>
      </c>
      <c r="U106" s="15">
        <f>INDEX('01_Вводные'!$B$94:$M$94,1,MONTH('03_Сеть'!U7))</f>
        <v/>
      </c>
      <c r="V106" s="15">
        <f>INDEX('01_Вводные'!$B$94:$M$94,1,MONTH('03_Сеть'!V7))</f>
        <v/>
      </c>
      <c r="W106" s="15">
        <f>INDEX('01_Вводные'!$B$94:$M$94,1,MONTH('03_Сеть'!W7))</f>
        <v/>
      </c>
      <c r="X106" s="15">
        <f>INDEX('01_Вводные'!$B$94:$M$94,1,MONTH('03_Сеть'!X7))</f>
        <v/>
      </c>
      <c r="Y106" s="15">
        <f>INDEX('01_Вводные'!$B$94:$M$94,1,MONTH('03_Сеть'!Y7))</f>
        <v/>
      </c>
      <c r="Z106" s="15">
        <f>INDEX('01_Вводные'!$B$94:$M$94,1,MONTH('03_Сеть'!Z7))</f>
        <v/>
      </c>
      <c r="AA106" s="15">
        <f>INDEX('01_Вводные'!$B$94:$M$94,1,MONTH('03_Сеть'!AA7))</f>
        <v/>
      </c>
      <c r="AB106" s="15">
        <f>INDEX('01_Вводные'!$B$94:$M$94,1,MONTH('03_Сеть'!AB7))</f>
        <v/>
      </c>
      <c r="AC106" s="15">
        <f>INDEX('01_Вводные'!$B$94:$M$94,1,MONTH('03_Сеть'!AC7))</f>
        <v/>
      </c>
      <c r="AD106" s="15">
        <f>INDEX('01_Вводные'!$B$94:$M$94,1,MONTH('03_Сеть'!AD7))</f>
        <v/>
      </c>
      <c r="AE106" s="15">
        <f>INDEX('01_Вводные'!$B$94:$M$94,1,MONTH('03_Сеть'!AE7))</f>
        <v/>
      </c>
      <c r="AF106" s="15">
        <f>INDEX('01_Вводные'!$B$94:$M$94,1,MONTH('03_Сеть'!AF7))</f>
        <v/>
      </c>
      <c r="AG106" s="15">
        <f>INDEX('01_Вводные'!$B$94:$M$94,1,MONTH('03_Сеть'!AG7))</f>
        <v/>
      </c>
      <c r="AH106" s="15">
        <f>INDEX('01_Вводные'!$B$94:$M$94,1,MONTH('03_Сеть'!AH7))</f>
        <v/>
      </c>
      <c r="AI106" s="15">
        <f>INDEX('01_Вводные'!$B$94:$M$94,1,MONTH('03_Сеть'!AI7))</f>
        <v/>
      </c>
      <c r="AJ106" s="15">
        <f>INDEX('01_Вводные'!$B$94:$M$94,1,MONTH('03_Сеть'!AJ7))</f>
        <v/>
      </c>
      <c r="AK106" s="15">
        <f>INDEX('01_Вводные'!$B$94:$M$94,1,MONTH('03_Сеть'!AK7))</f>
        <v/>
      </c>
      <c r="AL106" s="15">
        <f>INDEX('01_Вводные'!$B$94:$M$94,1,MONTH('03_Сеть'!AL7))</f>
        <v/>
      </c>
      <c r="AM106" s="15">
        <f>INDEX('01_Вводные'!$B$94:$M$94,1,MONTH('03_Сеть'!AM7))</f>
        <v/>
      </c>
      <c r="AN106" s="15">
        <f>INDEX('01_Вводные'!$B$94:$M$94,1,MONTH('03_Сеть'!AN7))</f>
        <v/>
      </c>
      <c r="AO106" s="15">
        <f>INDEX('01_Вводные'!$B$94:$M$94,1,MONTH('03_Сеть'!AO7))</f>
        <v/>
      </c>
      <c r="AP106" s="15">
        <f>INDEX('01_Вводные'!$B$94:$M$94,1,MONTH('03_Сеть'!AP7))</f>
        <v/>
      </c>
      <c r="AQ106" s="15">
        <f>INDEX('01_Вводные'!$B$94:$M$94,1,MONTH('03_Сеть'!AQ7))</f>
        <v/>
      </c>
      <c r="AR106" s="15">
        <f>INDEX('01_Вводные'!$B$94:$M$94,1,MONTH('03_Сеть'!AR7))</f>
        <v/>
      </c>
      <c r="AS106" s="15">
        <f>INDEX('01_Вводные'!$B$94:$M$94,1,MONTH('03_Сеть'!AS7))</f>
        <v/>
      </c>
      <c r="AT106" s="15">
        <f>INDEX('01_Вводные'!$B$94:$M$94,1,MONTH('03_Сеть'!AT7))</f>
        <v/>
      </c>
      <c r="AU106" s="15">
        <f>INDEX('01_Вводные'!$B$94:$M$94,1,MONTH('03_Сеть'!AU7))</f>
        <v/>
      </c>
      <c r="AV106" s="15">
        <f>INDEX('01_Вводные'!$B$94:$M$94,1,MONTH('03_Сеть'!AV7))</f>
        <v/>
      </c>
      <c r="AW106" s="15">
        <f>INDEX('01_Вводные'!$B$94:$M$94,1,MONTH('03_Сеть'!AW7))</f>
        <v/>
      </c>
      <c r="AX106" s="15">
        <f>INDEX('01_Вводные'!$B$94:$M$94,1,MONTH('03_Сеть'!AX7))</f>
        <v/>
      </c>
      <c r="AY106" s="15">
        <f>INDEX('01_Вводные'!$B$94:$M$94,1,MONTH('03_Сеть'!AY7))</f>
        <v/>
      </c>
      <c r="AZ106" s="15">
        <f>INDEX('01_Вводные'!$B$94:$M$94,1,MONTH('03_Сеть'!AZ7))</f>
        <v/>
      </c>
      <c r="BA106" s="15">
        <f>INDEX('01_Вводные'!$B$94:$M$94,1,MONTH('03_Сеть'!BA7))</f>
        <v/>
      </c>
      <c r="BB106" s="15">
        <f>INDEX('01_Вводные'!$B$94:$M$94,1,MONTH('03_Сеть'!BB7))</f>
        <v/>
      </c>
      <c r="BC106" s="15">
        <f>INDEX('01_Вводные'!$B$94:$M$94,1,MONTH('03_Сеть'!BC7))</f>
        <v/>
      </c>
      <c r="BD106" s="15">
        <f>INDEX('01_Вводные'!$B$94:$M$94,1,MONTH('03_Сеть'!BD7))</f>
        <v/>
      </c>
      <c r="BE106" s="15">
        <f>INDEX('01_Вводные'!$B$94:$M$94,1,MONTH('03_Сеть'!BE7))</f>
        <v/>
      </c>
      <c r="BF106" s="15">
        <f>INDEX('01_Вводные'!$B$94:$M$94,1,MONTH('03_Сеть'!BF7))</f>
        <v/>
      </c>
      <c r="BG106" s="15">
        <f>INDEX('01_Вводные'!$B$94:$M$94,1,MONTH('03_Сеть'!BG7))</f>
        <v/>
      </c>
      <c r="BH106" s="15">
        <f>INDEX('01_Вводные'!$B$94:$M$94,1,MONTH('03_Сеть'!BH7))</f>
        <v/>
      </c>
      <c r="BI106" s="15">
        <f>INDEX('01_Вводные'!$B$94:$M$94,1,MONTH('03_Сеть'!BI7))</f>
        <v/>
      </c>
      <c r="BJ106" s="15">
        <f>INDEX('01_Вводные'!$B$94:$M$94,1,MONTH('03_Сеть'!BJ7))</f>
        <v/>
      </c>
      <c r="BK106" s="15">
        <f>INDEX('01_Вводные'!$B$94:$M$94,1,MONTH('03_Сеть'!BK7))</f>
        <v/>
      </c>
      <c r="BL106" s="15">
        <f>INDEX('01_Вводные'!$B$94:$M$94,1,MONTH('03_Сеть'!BL7))</f>
        <v/>
      </c>
      <c r="BM106" s="15">
        <f>INDEX('01_Вводные'!$B$94:$M$94,1,MONTH('03_Сеть'!BM7))</f>
        <v/>
      </c>
      <c r="BN106" s="15">
        <f>INDEX('01_Вводные'!$B$94:$M$94,1,MONTH('03_Сеть'!BN7))</f>
        <v/>
      </c>
      <c r="BO106" s="15">
        <f>INDEX('01_Вводные'!$B$94:$M$94,1,MONTH('03_Сеть'!BO7))</f>
        <v/>
      </c>
      <c r="BP106" s="15">
        <f>INDEX('01_Вводные'!$B$94:$M$94,1,MONTH('03_Сеть'!BP7))</f>
        <v/>
      </c>
      <c r="BQ106" s="15">
        <f>INDEX('01_Вводные'!$B$94:$M$94,1,MONTH('03_Сеть'!BQ7))</f>
        <v/>
      </c>
      <c r="BR106" s="15">
        <f>INDEX('01_Вводные'!$B$94:$M$94,1,MONTH('03_Сеть'!BR7))</f>
        <v/>
      </c>
      <c r="BS106" s="15">
        <f>INDEX('01_Вводные'!$B$94:$M$94,1,MONTH('03_Сеть'!BS7))</f>
        <v/>
      </c>
      <c r="BT106" s="15">
        <f>INDEX('01_Вводные'!$B$94:$M$94,1,MONTH('03_Сеть'!BT7))</f>
        <v/>
      </c>
      <c r="BU106" s="15">
        <f>INDEX('01_Вводные'!$B$94:$M$94,1,MONTH('03_Сеть'!BU7))</f>
        <v/>
      </c>
      <c r="BV106" s="15">
        <f>INDEX('01_Вводные'!$B$94:$M$94,1,MONTH('03_Сеть'!BV7))</f>
        <v/>
      </c>
      <c r="BW106" s="15">
        <f>INDEX('01_Вводные'!$B$94:$M$94,1,MONTH('03_Сеть'!BW7))</f>
        <v/>
      </c>
      <c r="BX106" s="15">
        <f>INDEX('01_Вводные'!$B$94:$M$94,1,MONTH('03_Сеть'!BX7))</f>
        <v/>
      </c>
      <c r="BY106" s="15">
        <f>INDEX('01_Вводные'!$B$94:$M$94,1,MONTH('03_Сеть'!BY7))</f>
        <v/>
      </c>
    </row>
    <row r="107">
      <c r="B107" t="inlineStr">
        <is>
          <t>Действующая сеть — комплекты</t>
        </is>
      </c>
      <c r="C107" t="inlineStr">
        <is>
          <t>шт.</t>
        </is>
      </c>
      <c r="D107" s="127" t="inlineStr">
        <is>
          <t>Дети действующей сети по норме комплектов на ребёнка, разложено сезонностью. Сентябрь–декабрь 2026 — согласованный факт из раздела 5а вводных</t>
        </is>
      </c>
      <c r="E107" s="128">
        <f>SUM(L107:W107)</f>
        <v/>
      </c>
      <c r="F107" s="128">
        <f>SUM(X107:AI107)</f>
        <v/>
      </c>
      <c r="G107" s="128">
        <f>SUM(AJ107:AU107)</f>
        <v/>
      </c>
      <c r="H107" s="128">
        <f>SUM(AV107:BG107)</f>
        <v/>
      </c>
      <c r="I107" s="128">
        <f>SUM(BH107:BS107)</f>
        <v/>
      </c>
      <c r="J107" s="13">
        <f>SUM(L107:BS107)</f>
        <v/>
      </c>
      <c r="L107" s="12">
        <f>IF(COUNTIF('01_Вводные'!$B$98:$E$98,'03_Сеть'!L7)&gt;0,SUMIF('01_Вводные'!$B$98:$E$98,'03_Сеть'!L7,'01_Вводные'!$B$99:$E$99),'03_Сеть'!L19*КоэффМерча*L106)</f>
        <v/>
      </c>
      <c r="M107" s="12">
        <f>IF(COUNTIF('01_Вводные'!$B$98:$E$98,'03_Сеть'!M7)&gt;0,SUMIF('01_Вводные'!$B$98:$E$98,'03_Сеть'!M7,'01_Вводные'!$B$99:$E$99),'03_Сеть'!M19*КоэффМерча*M106)</f>
        <v/>
      </c>
      <c r="N107" s="12">
        <f>IF(COUNTIF('01_Вводные'!$B$98:$E$98,'03_Сеть'!N7)&gt;0,SUMIF('01_Вводные'!$B$98:$E$98,'03_Сеть'!N7,'01_Вводные'!$B$99:$E$99),'03_Сеть'!N19*КоэффМерча*N106)</f>
        <v/>
      </c>
      <c r="O107" s="12">
        <f>IF(COUNTIF('01_Вводные'!$B$98:$E$98,'03_Сеть'!O7)&gt;0,SUMIF('01_Вводные'!$B$98:$E$98,'03_Сеть'!O7,'01_Вводные'!$B$99:$E$99),'03_Сеть'!O19*КоэффМерча*O106)</f>
        <v/>
      </c>
      <c r="P107" s="12">
        <f>IF(COUNTIF('01_Вводные'!$B$98:$E$98,'03_Сеть'!P7)&gt;0,SUMIF('01_Вводные'!$B$98:$E$98,'03_Сеть'!P7,'01_Вводные'!$B$99:$E$99),'03_Сеть'!P19*КоэффМерча*P106)</f>
        <v/>
      </c>
      <c r="Q107" s="12">
        <f>IF(COUNTIF('01_Вводные'!$B$98:$E$98,'03_Сеть'!Q7)&gt;0,SUMIF('01_Вводные'!$B$98:$E$98,'03_Сеть'!Q7,'01_Вводные'!$B$99:$E$99),'03_Сеть'!Q19*КоэффМерча*Q106)</f>
        <v/>
      </c>
      <c r="R107" s="12">
        <f>IF(COUNTIF('01_Вводные'!$B$98:$E$98,'03_Сеть'!R7)&gt;0,SUMIF('01_Вводные'!$B$98:$E$98,'03_Сеть'!R7,'01_Вводные'!$B$99:$E$99),'03_Сеть'!R19*КоэффМерча*R106)</f>
        <v/>
      </c>
      <c r="S107" s="12">
        <f>IF(COUNTIF('01_Вводные'!$B$98:$E$98,'03_Сеть'!S7)&gt;0,SUMIF('01_Вводные'!$B$98:$E$98,'03_Сеть'!S7,'01_Вводные'!$B$99:$E$99),'03_Сеть'!S19*КоэффМерча*S106)</f>
        <v/>
      </c>
      <c r="T107" s="12">
        <f>IF(COUNTIF('01_Вводные'!$B$98:$E$98,'03_Сеть'!T7)&gt;0,SUMIF('01_Вводные'!$B$98:$E$98,'03_Сеть'!T7,'01_Вводные'!$B$99:$E$99),'03_Сеть'!T19*КоэффМерча*T106)</f>
        <v/>
      </c>
      <c r="U107" s="12">
        <f>IF(COUNTIF('01_Вводные'!$B$98:$E$98,'03_Сеть'!U7)&gt;0,SUMIF('01_Вводные'!$B$98:$E$98,'03_Сеть'!U7,'01_Вводные'!$B$99:$E$99),'03_Сеть'!U19*КоэффМерча*U106)</f>
        <v/>
      </c>
      <c r="V107" s="12">
        <f>IF(COUNTIF('01_Вводные'!$B$98:$E$98,'03_Сеть'!V7)&gt;0,SUMIF('01_Вводные'!$B$98:$E$98,'03_Сеть'!V7,'01_Вводные'!$B$99:$E$99),'03_Сеть'!V19*КоэффМерча*V106)</f>
        <v/>
      </c>
      <c r="W107" s="12">
        <f>IF(COUNTIF('01_Вводные'!$B$98:$E$98,'03_Сеть'!W7)&gt;0,SUMIF('01_Вводные'!$B$98:$E$98,'03_Сеть'!W7,'01_Вводные'!$B$99:$E$99),'03_Сеть'!W19*КоэффМерча*W106)</f>
        <v/>
      </c>
      <c r="X107" s="12">
        <f>IF(COUNTIF('01_Вводные'!$B$98:$E$98,'03_Сеть'!X7)&gt;0,SUMIF('01_Вводные'!$B$98:$E$98,'03_Сеть'!X7,'01_Вводные'!$B$99:$E$99),'03_Сеть'!X19*КоэффМерча*X106)</f>
        <v/>
      </c>
      <c r="Y107" s="12">
        <f>IF(COUNTIF('01_Вводные'!$B$98:$E$98,'03_Сеть'!Y7)&gt;0,SUMIF('01_Вводные'!$B$98:$E$98,'03_Сеть'!Y7,'01_Вводные'!$B$99:$E$99),'03_Сеть'!Y19*КоэффМерча*Y106)</f>
        <v/>
      </c>
      <c r="Z107" s="12">
        <f>IF(COUNTIF('01_Вводные'!$B$98:$E$98,'03_Сеть'!Z7)&gt;0,SUMIF('01_Вводные'!$B$98:$E$98,'03_Сеть'!Z7,'01_Вводные'!$B$99:$E$99),'03_Сеть'!Z19*КоэффМерча*Z106)</f>
        <v/>
      </c>
      <c r="AA107" s="12">
        <f>IF(COUNTIF('01_Вводные'!$B$98:$E$98,'03_Сеть'!AA7)&gt;0,SUMIF('01_Вводные'!$B$98:$E$98,'03_Сеть'!AA7,'01_Вводные'!$B$99:$E$99),'03_Сеть'!AA19*КоэффМерча*AA106)</f>
        <v/>
      </c>
      <c r="AB107" s="12">
        <f>IF(COUNTIF('01_Вводные'!$B$98:$E$98,'03_Сеть'!AB7)&gt;0,SUMIF('01_Вводные'!$B$98:$E$98,'03_Сеть'!AB7,'01_Вводные'!$B$99:$E$99),'03_Сеть'!AB19*КоэффМерча*AB106)</f>
        <v/>
      </c>
      <c r="AC107" s="12">
        <f>IF(COUNTIF('01_Вводные'!$B$98:$E$98,'03_Сеть'!AC7)&gt;0,SUMIF('01_Вводные'!$B$98:$E$98,'03_Сеть'!AC7,'01_Вводные'!$B$99:$E$99),'03_Сеть'!AC19*КоэффМерча*AC106)</f>
        <v/>
      </c>
      <c r="AD107" s="12">
        <f>IF(COUNTIF('01_Вводные'!$B$98:$E$98,'03_Сеть'!AD7)&gt;0,SUMIF('01_Вводные'!$B$98:$E$98,'03_Сеть'!AD7,'01_Вводные'!$B$99:$E$99),'03_Сеть'!AD19*КоэффМерча*AD106)</f>
        <v/>
      </c>
      <c r="AE107" s="12">
        <f>IF(COUNTIF('01_Вводные'!$B$98:$E$98,'03_Сеть'!AE7)&gt;0,SUMIF('01_Вводные'!$B$98:$E$98,'03_Сеть'!AE7,'01_Вводные'!$B$99:$E$99),'03_Сеть'!AE19*КоэффМерча*AE106)</f>
        <v/>
      </c>
      <c r="AF107" s="12">
        <f>IF(COUNTIF('01_Вводные'!$B$98:$E$98,'03_Сеть'!AF7)&gt;0,SUMIF('01_Вводные'!$B$98:$E$98,'03_Сеть'!AF7,'01_Вводные'!$B$99:$E$99),'03_Сеть'!AF19*КоэффМерча*AF106)</f>
        <v/>
      </c>
      <c r="AG107" s="12">
        <f>IF(COUNTIF('01_Вводные'!$B$98:$E$98,'03_Сеть'!AG7)&gt;0,SUMIF('01_Вводные'!$B$98:$E$98,'03_Сеть'!AG7,'01_Вводные'!$B$99:$E$99),'03_Сеть'!AG19*КоэффМерча*AG106)</f>
        <v/>
      </c>
      <c r="AH107" s="12">
        <f>IF(COUNTIF('01_Вводные'!$B$98:$E$98,'03_Сеть'!AH7)&gt;0,SUMIF('01_Вводные'!$B$98:$E$98,'03_Сеть'!AH7,'01_Вводные'!$B$99:$E$99),'03_Сеть'!AH19*КоэффМерча*AH106)</f>
        <v/>
      </c>
      <c r="AI107" s="12">
        <f>IF(COUNTIF('01_Вводные'!$B$98:$E$98,'03_Сеть'!AI7)&gt;0,SUMIF('01_Вводные'!$B$98:$E$98,'03_Сеть'!AI7,'01_Вводные'!$B$99:$E$99),'03_Сеть'!AI19*КоэффМерча*AI106)</f>
        <v/>
      </c>
      <c r="AJ107" s="12">
        <f>IF(COUNTIF('01_Вводные'!$B$98:$E$98,'03_Сеть'!AJ7)&gt;0,SUMIF('01_Вводные'!$B$98:$E$98,'03_Сеть'!AJ7,'01_Вводные'!$B$99:$E$99),'03_Сеть'!AJ19*КоэффМерча*AJ106)</f>
        <v/>
      </c>
      <c r="AK107" s="12">
        <f>IF(COUNTIF('01_Вводные'!$B$98:$E$98,'03_Сеть'!AK7)&gt;0,SUMIF('01_Вводные'!$B$98:$E$98,'03_Сеть'!AK7,'01_Вводные'!$B$99:$E$99),'03_Сеть'!AK19*КоэффМерча*AK106)</f>
        <v/>
      </c>
      <c r="AL107" s="12">
        <f>IF(COUNTIF('01_Вводные'!$B$98:$E$98,'03_Сеть'!AL7)&gt;0,SUMIF('01_Вводные'!$B$98:$E$98,'03_Сеть'!AL7,'01_Вводные'!$B$99:$E$99),'03_Сеть'!AL19*КоэффМерча*AL106)</f>
        <v/>
      </c>
      <c r="AM107" s="12">
        <f>IF(COUNTIF('01_Вводные'!$B$98:$E$98,'03_Сеть'!AM7)&gt;0,SUMIF('01_Вводные'!$B$98:$E$98,'03_Сеть'!AM7,'01_Вводные'!$B$99:$E$99),'03_Сеть'!AM19*КоэффМерча*AM106)</f>
        <v/>
      </c>
      <c r="AN107" s="12">
        <f>IF(COUNTIF('01_Вводные'!$B$98:$E$98,'03_Сеть'!AN7)&gt;0,SUMIF('01_Вводные'!$B$98:$E$98,'03_Сеть'!AN7,'01_Вводные'!$B$99:$E$99),'03_Сеть'!AN19*КоэффМерча*AN106)</f>
        <v/>
      </c>
      <c r="AO107" s="12">
        <f>IF(COUNTIF('01_Вводные'!$B$98:$E$98,'03_Сеть'!AO7)&gt;0,SUMIF('01_Вводные'!$B$98:$E$98,'03_Сеть'!AO7,'01_Вводные'!$B$99:$E$99),'03_Сеть'!AO19*КоэффМерча*AO106)</f>
        <v/>
      </c>
      <c r="AP107" s="12">
        <f>IF(COUNTIF('01_Вводные'!$B$98:$E$98,'03_Сеть'!AP7)&gt;0,SUMIF('01_Вводные'!$B$98:$E$98,'03_Сеть'!AP7,'01_Вводные'!$B$99:$E$99),'03_Сеть'!AP19*КоэффМерча*AP106)</f>
        <v/>
      </c>
      <c r="AQ107" s="12">
        <f>IF(COUNTIF('01_Вводные'!$B$98:$E$98,'03_Сеть'!AQ7)&gt;0,SUMIF('01_Вводные'!$B$98:$E$98,'03_Сеть'!AQ7,'01_Вводные'!$B$99:$E$99),'03_Сеть'!AQ19*КоэффМерча*AQ106)</f>
        <v/>
      </c>
      <c r="AR107" s="12">
        <f>IF(COUNTIF('01_Вводные'!$B$98:$E$98,'03_Сеть'!AR7)&gt;0,SUMIF('01_Вводные'!$B$98:$E$98,'03_Сеть'!AR7,'01_Вводные'!$B$99:$E$99),'03_Сеть'!AR19*КоэффМерча*AR106)</f>
        <v/>
      </c>
      <c r="AS107" s="12">
        <f>IF(COUNTIF('01_Вводные'!$B$98:$E$98,'03_Сеть'!AS7)&gt;0,SUMIF('01_Вводные'!$B$98:$E$98,'03_Сеть'!AS7,'01_Вводные'!$B$99:$E$99),'03_Сеть'!AS19*КоэффМерча*AS106)</f>
        <v/>
      </c>
      <c r="AT107" s="12">
        <f>IF(COUNTIF('01_Вводные'!$B$98:$E$98,'03_Сеть'!AT7)&gt;0,SUMIF('01_Вводные'!$B$98:$E$98,'03_Сеть'!AT7,'01_Вводные'!$B$99:$E$99),'03_Сеть'!AT19*КоэффМерча*AT106)</f>
        <v/>
      </c>
      <c r="AU107" s="12">
        <f>IF(COUNTIF('01_Вводные'!$B$98:$E$98,'03_Сеть'!AU7)&gt;0,SUMIF('01_Вводные'!$B$98:$E$98,'03_Сеть'!AU7,'01_Вводные'!$B$99:$E$99),'03_Сеть'!AU19*КоэффМерча*AU106)</f>
        <v/>
      </c>
      <c r="AV107" s="12">
        <f>IF(COUNTIF('01_Вводные'!$B$98:$E$98,'03_Сеть'!AV7)&gt;0,SUMIF('01_Вводные'!$B$98:$E$98,'03_Сеть'!AV7,'01_Вводные'!$B$99:$E$99),'03_Сеть'!AV19*КоэффМерча*AV106)</f>
        <v/>
      </c>
      <c r="AW107" s="12">
        <f>IF(COUNTIF('01_Вводные'!$B$98:$E$98,'03_Сеть'!AW7)&gt;0,SUMIF('01_Вводные'!$B$98:$E$98,'03_Сеть'!AW7,'01_Вводные'!$B$99:$E$99),'03_Сеть'!AW19*КоэффМерча*AW106)</f>
        <v/>
      </c>
      <c r="AX107" s="12">
        <f>IF(COUNTIF('01_Вводные'!$B$98:$E$98,'03_Сеть'!AX7)&gt;0,SUMIF('01_Вводные'!$B$98:$E$98,'03_Сеть'!AX7,'01_Вводные'!$B$99:$E$99),'03_Сеть'!AX19*КоэффМерча*AX106)</f>
        <v/>
      </c>
      <c r="AY107" s="12">
        <f>IF(COUNTIF('01_Вводные'!$B$98:$E$98,'03_Сеть'!AY7)&gt;0,SUMIF('01_Вводные'!$B$98:$E$98,'03_Сеть'!AY7,'01_Вводные'!$B$99:$E$99),'03_Сеть'!AY19*КоэффМерча*AY106)</f>
        <v/>
      </c>
      <c r="AZ107" s="12">
        <f>IF(COUNTIF('01_Вводные'!$B$98:$E$98,'03_Сеть'!AZ7)&gt;0,SUMIF('01_Вводные'!$B$98:$E$98,'03_Сеть'!AZ7,'01_Вводные'!$B$99:$E$99),'03_Сеть'!AZ19*КоэффМерча*AZ106)</f>
        <v/>
      </c>
      <c r="BA107" s="12">
        <f>IF(COUNTIF('01_Вводные'!$B$98:$E$98,'03_Сеть'!BA7)&gt;0,SUMIF('01_Вводные'!$B$98:$E$98,'03_Сеть'!BA7,'01_Вводные'!$B$99:$E$99),'03_Сеть'!BA19*КоэффМерча*BA106)</f>
        <v/>
      </c>
      <c r="BB107" s="12">
        <f>IF(COUNTIF('01_Вводные'!$B$98:$E$98,'03_Сеть'!BB7)&gt;0,SUMIF('01_Вводные'!$B$98:$E$98,'03_Сеть'!BB7,'01_Вводные'!$B$99:$E$99),'03_Сеть'!BB19*КоэффМерча*BB106)</f>
        <v/>
      </c>
      <c r="BC107" s="12">
        <f>IF(COUNTIF('01_Вводные'!$B$98:$E$98,'03_Сеть'!BC7)&gt;0,SUMIF('01_Вводные'!$B$98:$E$98,'03_Сеть'!BC7,'01_Вводные'!$B$99:$E$99),'03_Сеть'!BC19*КоэффМерча*BC106)</f>
        <v/>
      </c>
      <c r="BD107" s="12">
        <f>IF(COUNTIF('01_Вводные'!$B$98:$E$98,'03_Сеть'!BD7)&gt;0,SUMIF('01_Вводные'!$B$98:$E$98,'03_Сеть'!BD7,'01_Вводные'!$B$99:$E$99),'03_Сеть'!BD19*КоэффМерча*BD106)</f>
        <v/>
      </c>
      <c r="BE107" s="12">
        <f>IF(COUNTIF('01_Вводные'!$B$98:$E$98,'03_Сеть'!BE7)&gt;0,SUMIF('01_Вводные'!$B$98:$E$98,'03_Сеть'!BE7,'01_Вводные'!$B$99:$E$99),'03_Сеть'!BE19*КоэффМерча*BE106)</f>
        <v/>
      </c>
      <c r="BF107" s="12">
        <f>IF(COUNTIF('01_Вводные'!$B$98:$E$98,'03_Сеть'!BF7)&gt;0,SUMIF('01_Вводные'!$B$98:$E$98,'03_Сеть'!BF7,'01_Вводные'!$B$99:$E$99),'03_Сеть'!BF19*КоэффМерча*BF106)</f>
        <v/>
      </c>
      <c r="BG107" s="12">
        <f>IF(COUNTIF('01_Вводные'!$B$98:$E$98,'03_Сеть'!BG7)&gt;0,SUMIF('01_Вводные'!$B$98:$E$98,'03_Сеть'!BG7,'01_Вводные'!$B$99:$E$99),'03_Сеть'!BG19*КоэффМерча*BG106)</f>
        <v/>
      </c>
      <c r="BH107" s="12">
        <f>IF(COUNTIF('01_Вводные'!$B$98:$E$98,'03_Сеть'!BH7)&gt;0,SUMIF('01_Вводные'!$B$98:$E$98,'03_Сеть'!BH7,'01_Вводные'!$B$99:$E$99),'03_Сеть'!BH19*КоэффМерча*BH106)</f>
        <v/>
      </c>
      <c r="BI107" s="12">
        <f>IF(COUNTIF('01_Вводные'!$B$98:$E$98,'03_Сеть'!BI7)&gt;0,SUMIF('01_Вводные'!$B$98:$E$98,'03_Сеть'!BI7,'01_Вводные'!$B$99:$E$99),'03_Сеть'!BI19*КоэффМерча*BI106)</f>
        <v/>
      </c>
      <c r="BJ107" s="12">
        <f>IF(COUNTIF('01_Вводные'!$B$98:$E$98,'03_Сеть'!BJ7)&gt;0,SUMIF('01_Вводные'!$B$98:$E$98,'03_Сеть'!BJ7,'01_Вводные'!$B$99:$E$99),'03_Сеть'!BJ19*КоэффМерча*BJ106)</f>
        <v/>
      </c>
      <c r="BK107" s="12">
        <f>IF(COUNTIF('01_Вводные'!$B$98:$E$98,'03_Сеть'!BK7)&gt;0,SUMIF('01_Вводные'!$B$98:$E$98,'03_Сеть'!BK7,'01_Вводные'!$B$99:$E$99),'03_Сеть'!BK19*КоэффМерча*BK106)</f>
        <v/>
      </c>
      <c r="BL107" s="12">
        <f>IF(COUNTIF('01_Вводные'!$B$98:$E$98,'03_Сеть'!BL7)&gt;0,SUMIF('01_Вводные'!$B$98:$E$98,'03_Сеть'!BL7,'01_Вводные'!$B$99:$E$99),'03_Сеть'!BL19*КоэффМерча*BL106)</f>
        <v/>
      </c>
      <c r="BM107" s="12">
        <f>IF(COUNTIF('01_Вводные'!$B$98:$E$98,'03_Сеть'!BM7)&gt;0,SUMIF('01_Вводные'!$B$98:$E$98,'03_Сеть'!BM7,'01_Вводные'!$B$99:$E$99),'03_Сеть'!BM19*КоэффМерча*BM106)</f>
        <v/>
      </c>
      <c r="BN107" s="12">
        <f>IF(COUNTIF('01_Вводные'!$B$98:$E$98,'03_Сеть'!BN7)&gt;0,SUMIF('01_Вводные'!$B$98:$E$98,'03_Сеть'!BN7,'01_Вводные'!$B$99:$E$99),'03_Сеть'!BN19*КоэффМерча*BN106)</f>
        <v/>
      </c>
      <c r="BO107" s="12">
        <f>IF(COUNTIF('01_Вводные'!$B$98:$E$98,'03_Сеть'!BO7)&gt;0,SUMIF('01_Вводные'!$B$98:$E$98,'03_Сеть'!BO7,'01_Вводные'!$B$99:$E$99),'03_Сеть'!BO19*КоэффМерча*BO106)</f>
        <v/>
      </c>
      <c r="BP107" s="12">
        <f>IF(COUNTIF('01_Вводные'!$B$98:$E$98,'03_Сеть'!BP7)&gt;0,SUMIF('01_Вводные'!$B$98:$E$98,'03_Сеть'!BP7,'01_Вводные'!$B$99:$E$99),'03_Сеть'!BP19*КоэффМерча*BP106)</f>
        <v/>
      </c>
      <c r="BQ107" s="12">
        <f>IF(COUNTIF('01_Вводные'!$B$98:$E$98,'03_Сеть'!BQ7)&gt;0,SUMIF('01_Вводные'!$B$98:$E$98,'03_Сеть'!BQ7,'01_Вводные'!$B$99:$E$99),'03_Сеть'!BQ19*КоэффМерча*BQ106)</f>
        <v/>
      </c>
      <c r="BR107" s="12">
        <f>IF(COUNTIF('01_Вводные'!$B$98:$E$98,'03_Сеть'!BR7)&gt;0,SUMIF('01_Вводные'!$B$98:$E$98,'03_Сеть'!BR7,'01_Вводные'!$B$99:$E$99),'03_Сеть'!BR19*КоэффМерча*BR106)</f>
        <v/>
      </c>
      <c r="BS107" s="12">
        <f>IF(COUNTIF('01_Вводные'!$B$98:$E$98,'03_Сеть'!BS7)&gt;0,SUMIF('01_Вводные'!$B$98:$E$98,'03_Сеть'!BS7,'01_Вводные'!$B$99:$E$99),'03_Сеть'!BS19*КоэффМерча*BS106)</f>
        <v/>
      </c>
      <c r="BT107" s="12">
        <f>IF(COUNTIF('01_Вводные'!$B$98:$E$98,'03_Сеть'!BT7)&gt;0,SUMIF('01_Вводные'!$B$98:$E$98,'03_Сеть'!BT7,'01_Вводные'!$B$99:$E$99),'03_Сеть'!BT19*КоэффМерча*BT106)</f>
        <v/>
      </c>
      <c r="BU107" s="12">
        <f>IF(COUNTIF('01_Вводные'!$B$98:$E$98,'03_Сеть'!BU7)&gt;0,SUMIF('01_Вводные'!$B$98:$E$98,'03_Сеть'!BU7,'01_Вводные'!$B$99:$E$99),'03_Сеть'!BU19*КоэффМерча*BU106)</f>
        <v/>
      </c>
      <c r="BV107" s="12">
        <f>IF(COUNTIF('01_Вводные'!$B$98:$E$98,'03_Сеть'!BV7)&gt;0,SUMIF('01_Вводные'!$B$98:$E$98,'03_Сеть'!BV7,'01_Вводные'!$B$99:$E$99),'03_Сеть'!BV19*КоэффМерча*BV106)</f>
        <v/>
      </c>
      <c r="BW107" s="12">
        <f>IF(COUNTIF('01_Вводные'!$B$98:$E$98,'03_Сеть'!BW7)&gt;0,SUMIF('01_Вводные'!$B$98:$E$98,'03_Сеть'!BW7,'01_Вводные'!$B$99:$E$99),'03_Сеть'!BW19*КоэффМерча*BW106)</f>
        <v/>
      </c>
      <c r="BX107" s="12">
        <f>IF(COUNTIF('01_Вводные'!$B$98:$E$98,'03_Сеть'!BX7)&gt;0,SUMIF('01_Вводные'!$B$98:$E$98,'03_Сеть'!BX7,'01_Вводные'!$B$99:$E$99),'03_Сеть'!BX19*КоэффМерча*BX106)</f>
        <v/>
      </c>
      <c r="BY107" s="12">
        <f>IF(COUNTIF('01_Вводные'!$B$98:$E$98,'03_Сеть'!BY7)&gt;0,SUMIF('01_Вводные'!$B$98:$E$98,'03_Сеть'!BY7,'01_Вводные'!$B$99:$E$99),'03_Сеть'!BY19*КоэффМерча*BY106)</f>
        <v/>
      </c>
    </row>
    <row r="108">
      <c r="B108" s="125" t="inlineStr">
        <is>
          <t>Школы, покупающие форму повторно (по возрасту)</t>
        </is>
      </c>
      <c r="C108" s="126" t="n"/>
      <c r="D108" s="126" t="n"/>
      <c r="E108" s="126" t="n"/>
      <c r="F108" s="126" t="n"/>
      <c r="G108" s="126" t="n"/>
      <c r="H108" s="126" t="n"/>
      <c r="I108" s="126" t="n"/>
      <c r="J108" s="126" t="n"/>
      <c r="K108" s="126" t="n"/>
      <c r="L108" s="126" t="n"/>
      <c r="M108" s="126" t="n"/>
      <c r="N108" s="126" t="n"/>
      <c r="O108" s="126" t="n"/>
      <c r="P108" s="126" t="n"/>
      <c r="Q108" s="126" t="n"/>
      <c r="R108" s="126" t="n"/>
      <c r="S108" s="126" t="n"/>
      <c r="T108" s="126" t="n"/>
      <c r="U108" s="126" t="n"/>
      <c r="V108" s="126" t="n"/>
      <c r="W108" s="126" t="n"/>
      <c r="X108" s="126" t="n"/>
      <c r="Y108" s="126" t="n"/>
      <c r="Z108" s="126" t="n"/>
      <c r="AA108" s="126" t="n"/>
      <c r="AB108" s="126" t="n"/>
      <c r="AC108" s="126" t="n"/>
      <c r="AD108" s="126" t="n"/>
      <c r="AE108" s="126" t="n"/>
      <c r="AF108" s="126" t="n"/>
      <c r="AG108" s="126" t="n"/>
      <c r="AH108" s="126" t="n"/>
      <c r="AI108" s="126" t="n"/>
      <c r="AJ108" s="126" t="n"/>
      <c r="AK108" s="126" t="n"/>
      <c r="AL108" s="126" t="n"/>
      <c r="AM108" s="126" t="n"/>
      <c r="AN108" s="126" t="n"/>
      <c r="AO108" s="126" t="n"/>
      <c r="AP108" s="126" t="n"/>
      <c r="AQ108" s="126" t="n"/>
      <c r="AR108" s="126" t="n"/>
      <c r="AS108" s="126" t="n"/>
      <c r="AT108" s="126" t="n"/>
      <c r="AU108" s="126" t="n"/>
      <c r="AV108" s="126" t="n"/>
      <c r="AW108" s="126" t="n"/>
      <c r="AX108" s="126" t="n"/>
      <c r="AY108" s="126" t="n"/>
      <c r="AZ108" s="126" t="n"/>
      <c r="BA108" s="126" t="n"/>
      <c r="BB108" s="126" t="n"/>
      <c r="BC108" s="126" t="n"/>
      <c r="BD108" s="126" t="n"/>
      <c r="BE108" s="126" t="n"/>
      <c r="BF108" s="126" t="n"/>
      <c r="BG108" s="126" t="n"/>
      <c r="BH108" s="126" t="n"/>
      <c r="BI108" s="126" t="n"/>
      <c r="BJ108" s="126" t="n"/>
      <c r="BK108" s="126" t="n"/>
      <c r="BL108" s="126" t="n"/>
      <c r="BM108" s="126" t="n"/>
      <c r="BN108" s="126" t="n"/>
      <c r="BO108" s="126" t="n"/>
      <c r="BP108" s="126" t="n"/>
      <c r="BQ108" s="126" t="n"/>
      <c r="BR108" s="126" t="n"/>
      <c r="BS108" s="126" t="n"/>
      <c r="BT108" s="126" t="n"/>
      <c r="BU108" s="126" t="n"/>
      <c r="BV108" s="126" t="n"/>
      <c r="BW108" s="126" t="n"/>
      <c r="BX108" s="126" t="n"/>
      <c r="BY108" s="126" t="n"/>
    </row>
    <row r="109">
      <c r="B109" t="inlineStr">
        <is>
          <t>1 мес.</t>
        </is>
      </c>
      <c r="C109" t="inlineStr">
        <is>
          <t>чел.</t>
        </is>
      </c>
      <c r="D109" s="127" t="inlineStr">
        <is>
          <t>Школы моложе пяти месяцев повторно не закупаются — у них ещё идёт первичная закупка В колонках лет — значение на конец года, в «Итого» — на конец пятого года. Это остаток, а не сумма.</t>
        </is>
      </c>
      <c r="E109" s="129">
        <f>W109</f>
        <v/>
      </c>
      <c r="F109" s="129">
        <f>AI109</f>
        <v/>
      </c>
      <c r="G109" s="129">
        <f>AU109</f>
        <v/>
      </c>
      <c r="H109" s="129">
        <f>BG109</f>
        <v/>
      </c>
      <c r="I109" s="129">
        <f>BS109</f>
        <v/>
      </c>
      <c r="J109" s="6">
        <f>BS109</f>
        <v/>
      </c>
      <c r="L109" s="5">
        <f>0</f>
        <v/>
      </c>
      <c r="M109" s="5">
        <f>0</f>
        <v/>
      </c>
      <c r="N109" s="5">
        <f>0</f>
        <v/>
      </c>
      <c r="O109" s="5">
        <f>0</f>
        <v/>
      </c>
      <c r="P109" s="5">
        <f>0</f>
        <v/>
      </c>
      <c r="Q109" s="5">
        <f>0</f>
        <v/>
      </c>
      <c r="R109" s="5">
        <f>0</f>
        <v/>
      </c>
      <c r="S109" s="5">
        <f>0</f>
        <v/>
      </c>
      <c r="T109" s="5">
        <f>0</f>
        <v/>
      </c>
      <c r="U109" s="5">
        <f>0</f>
        <v/>
      </c>
      <c r="V109" s="5">
        <f>0</f>
        <v/>
      </c>
      <c r="W109" s="5">
        <f>0</f>
        <v/>
      </c>
      <c r="X109" s="5">
        <f>0</f>
        <v/>
      </c>
      <c r="Y109" s="5">
        <f>0</f>
        <v/>
      </c>
      <c r="Z109" s="5">
        <f>0</f>
        <v/>
      </c>
      <c r="AA109" s="5">
        <f>0</f>
        <v/>
      </c>
      <c r="AB109" s="5">
        <f>0</f>
        <v/>
      </c>
      <c r="AC109" s="5">
        <f>0</f>
        <v/>
      </c>
      <c r="AD109" s="5">
        <f>0</f>
        <v/>
      </c>
      <c r="AE109" s="5">
        <f>0</f>
        <v/>
      </c>
      <c r="AF109" s="5">
        <f>0</f>
        <v/>
      </c>
      <c r="AG109" s="5">
        <f>0</f>
        <v/>
      </c>
      <c r="AH109" s="5">
        <f>0</f>
        <v/>
      </c>
      <c r="AI109" s="5">
        <f>0</f>
        <v/>
      </c>
      <c r="AJ109" s="5">
        <f>0</f>
        <v/>
      </c>
      <c r="AK109" s="5">
        <f>0</f>
        <v/>
      </c>
      <c r="AL109" s="5">
        <f>0</f>
        <v/>
      </c>
      <c r="AM109" s="5">
        <f>0</f>
        <v/>
      </c>
      <c r="AN109" s="5">
        <f>0</f>
        <v/>
      </c>
      <c r="AO109" s="5">
        <f>0</f>
        <v/>
      </c>
      <c r="AP109" s="5">
        <f>0</f>
        <v/>
      </c>
      <c r="AQ109" s="5">
        <f>0</f>
        <v/>
      </c>
      <c r="AR109" s="5">
        <f>0</f>
        <v/>
      </c>
      <c r="AS109" s="5">
        <f>0</f>
        <v/>
      </c>
      <c r="AT109" s="5">
        <f>0</f>
        <v/>
      </c>
      <c r="AU109" s="5">
        <f>0</f>
        <v/>
      </c>
      <c r="AV109" s="5">
        <f>0</f>
        <v/>
      </c>
      <c r="AW109" s="5">
        <f>0</f>
        <v/>
      </c>
      <c r="AX109" s="5">
        <f>0</f>
        <v/>
      </c>
      <c r="AY109" s="5">
        <f>0</f>
        <v/>
      </c>
      <c r="AZ109" s="5">
        <f>0</f>
        <v/>
      </c>
      <c r="BA109" s="5">
        <f>0</f>
        <v/>
      </c>
      <c r="BB109" s="5">
        <f>0</f>
        <v/>
      </c>
      <c r="BC109" s="5">
        <f>0</f>
        <v/>
      </c>
      <c r="BD109" s="5">
        <f>0</f>
        <v/>
      </c>
      <c r="BE109" s="5">
        <f>0</f>
        <v/>
      </c>
      <c r="BF109" s="5">
        <f>0</f>
        <v/>
      </c>
      <c r="BG109" s="5">
        <f>0</f>
        <v/>
      </c>
      <c r="BH109" s="5">
        <f>0</f>
        <v/>
      </c>
      <c r="BI109" s="5">
        <f>0</f>
        <v/>
      </c>
      <c r="BJ109" s="5">
        <f>0</f>
        <v/>
      </c>
      <c r="BK109" s="5">
        <f>0</f>
        <v/>
      </c>
      <c r="BL109" s="5">
        <f>0</f>
        <v/>
      </c>
      <c r="BM109" s="5">
        <f>0</f>
        <v/>
      </c>
      <c r="BN109" s="5">
        <f>0</f>
        <v/>
      </c>
      <c r="BO109" s="5">
        <f>0</f>
        <v/>
      </c>
      <c r="BP109" s="5">
        <f>0</f>
        <v/>
      </c>
      <c r="BQ109" s="5">
        <f>0</f>
        <v/>
      </c>
      <c r="BR109" s="5">
        <f>0</f>
        <v/>
      </c>
      <c r="BS109" s="5">
        <f>0</f>
        <v/>
      </c>
      <c r="BT109" s="5">
        <f>0</f>
        <v/>
      </c>
      <c r="BU109" s="5">
        <f>0</f>
        <v/>
      </c>
      <c r="BV109" s="5">
        <f>0</f>
        <v/>
      </c>
      <c r="BW109" s="5">
        <f>0</f>
        <v/>
      </c>
      <c r="BX109" s="5">
        <f>0</f>
        <v/>
      </c>
      <c r="BY109" s="5">
        <f>0</f>
        <v/>
      </c>
    </row>
    <row r="110">
      <c r="B110" t="inlineStr">
        <is>
          <t>2 мес.</t>
        </is>
      </c>
      <c r="C110" t="inlineStr">
        <is>
          <t>чел.</t>
        </is>
      </c>
      <c r="D110" s="127" t="inlineStr">
        <is>
          <t>В колонках лет — значение на конец года, в «Итого» — на конец пятого года. Это остаток, а не сумма.</t>
        </is>
      </c>
      <c r="E110" s="129">
        <f>W110</f>
        <v/>
      </c>
      <c r="F110" s="129">
        <f>AI110</f>
        <v/>
      </c>
      <c r="G110" s="129">
        <f>AU110</f>
        <v/>
      </c>
      <c r="H110" s="129">
        <f>BG110</f>
        <v/>
      </c>
      <c r="I110" s="129">
        <f>BS110</f>
        <v/>
      </c>
      <c r="J110" s="6">
        <f>BS110</f>
        <v/>
      </c>
      <c r="L110" s="5">
        <f>0</f>
        <v/>
      </c>
      <c r="M110" s="5">
        <f>0</f>
        <v/>
      </c>
      <c r="N110" s="5">
        <f>0</f>
        <v/>
      </c>
      <c r="O110" s="5">
        <f>0</f>
        <v/>
      </c>
      <c r="P110" s="5">
        <f>0</f>
        <v/>
      </c>
      <c r="Q110" s="5">
        <f>0</f>
        <v/>
      </c>
      <c r="R110" s="5">
        <f>0</f>
        <v/>
      </c>
      <c r="S110" s="5">
        <f>0</f>
        <v/>
      </c>
      <c r="T110" s="5">
        <f>0</f>
        <v/>
      </c>
      <c r="U110" s="5">
        <f>0</f>
        <v/>
      </c>
      <c r="V110" s="5">
        <f>0</f>
        <v/>
      </c>
      <c r="W110" s="5">
        <f>0</f>
        <v/>
      </c>
      <c r="X110" s="5">
        <f>0</f>
        <v/>
      </c>
      <c r="Y110" s="5">
        <f>0</f>
        <v/>
      </c>
      <c r="Z110" s="5">
        <f>0</f>
        <v/>
      </c>
      <c r="AA110" s="5">
        <f>0</f>
        <v/>
      </c>
      <c r="AB110" s="5">
        <f>0</f>
        <v/>
      </c>
      <c r="AC110" s="5">
        <f>0</f>
        <v/>
      </c>
      <c r="AD110" s="5">
        <f>0</f>
        <v/>
      </c>
      <c r="AE110" s="5">
        <f>0</f>
        <v/>
      </c>
      <c r="AF110" s="5">
        <f>0</f>
        <v/>
      </c>
      <c r="AG110" s="5">
        <f>0</f>
        <v/>
      </c>
      <c r="AH110" s="5">
        <f>0</f>
        <v/>
      </c>
      <c r="AI110" s="5">
        <f>0</f>
        <v/>
      </c>
      <c r="AJ110" s="5">
        <f>0</f>
        <v/>
      </c>
      <c r="AK110" s="5">
        <f>0</f>
        <v/>
      </c>
      <c r="AL110" s="5">
        <f>0</f>
        <v/>
      </c>
      <c r="AM110" s="5">
        <f>0</f>
        <v/>
      </c>
      <c r="AN110" s="5">
        <f>0</f>
        <v/>
      </c>
      <c r="AO110" s="5">
        <f>0</f>
        <v/>
      </c>
      <c r="AP110" s="5">
        <f>0</f>
        <v/>
      </c>
      <c r="AQ110" s="5">
        <f>0</f>
        <v/>
      </c>
      <c r="AR110" s="5">
        <f>0</f>
        <v/>
      </c>
      <c r="AS110" s="5">
        <f>0</f>
        <v/>
      </c>
      <c r="AT110" s="5">
        <f>0</f>
        <v/>
      </c>
      <c r="AU110" s="5">
        <f>0</f>
        <v/>
      </c>
      <c r="AV110" s="5">
        <f>0</f>
        <v/>
      </c>
      <c r="AW110" s="5">
        <f>0</f>
        <v/>
      </c>
      <c r="AX110" s="5">
        <f>0</f>
        <v/>
      </c>
      <c r="AY110" s="5">
        <f>0</f>
        <v/>
      </c>
      <c r="AZ110" s="5">
        <f>0</f>
        <v/>
      </c>
      <c r="BA110" s="5">
        <f>0</f>
        <v/>
      </c>
      <c r="BB110" s="5">
        <f>0</f>
        <v/>
      </c>
      <c r="BC110" s="5">
        <f>0</f>
        <v/>
      </c>
      <c r="BD110" s="5">
        <f>0</f>
        <v/>
      </c>
      <c r="BE110" s="5">
        <f>0</f>
        <v/>
      </c>
      <c r="BF110" s="5">
        <f>0</f>
        <v/>
      </c>
      <c r="BG110" s="5">
        <f>0</f>
        <v/>
      </c>
      <c r="BH110" s="5">
        <f>0</f>
        <v/>
      </c>
      <c r="BI110" s="5">
        <f>0</f>
        <v/>
      </c>
      <c r="BJ110" s="5">
        <f>0</f>
        <v/>
      </c>
      <c r="BK110" s="5">
        <f>0</f>
        <v/>
      </c>
      <c r="BL110" s="5">
        <f>0</f>
        <v/>
      </c>
      <c r="BM110" s="5">
        <f>0</f>
        <v/>
      </c>
      <c r="BN110" s="5">
        <f>0</f>
        <v/>
      </c>
      <c r="BO110" s="5">
        <f>0</f>
        <v/>
      </c>
      <c r="BP110" s="5">
        <f>0</f>
        <v/>
      </c>
      <c r="BQ110" s="5">
        <f>0</f>
        <v/>
      </c>
      <c r="BR110" s="5">
        <f>0</f>
        <v/>
      </c>
      <c r="BS110" s="5">
        <f>0</f>
        <v/>
      </c>
      <c r="BT110" s="5">
        <f>0</f>
        <v/>
      </c>
      <c r="BU110" s="5">
        <f>0</f>
        <v/>
      </c>
      <c r="BV110" s="5">
        <f>0</f>
        <v/>
      </c>
      <c r="BW110" s="5">
        <f>0</f>
        <v/>
      </c>
      <c r="BX110" s="5">
        <f>0</f>
        <v/>
      </c>
      <c r="BY110" s="5">
        <f>0</f>
        <v/>
      </c>
    </row>
    <row r="111">
      <c r="B111" t="inlineStr">
        <is>
          <t>3 мес.</t>
        </is>
      </c>
      <c r="C111" t="inlineStr">
        <is>
          <t>чел.</t>
        </is>
      </c>
      <c r="D111" s="127" t="inlineStr">
        <is>
          <t>В колонках лет — значение на конец года, в «Итого» — на конец пятого года. Это остаток, а не сумма.</t>
        </is>
      </c>
      <c r="E111" s="129">
        <f>W111</f>
        <v/>
      </c>
      <c r="F111" s="129">
        <f>AI111</f>
        <v/>
      </c>
      <c r="G111" s="129">
        <f>AU111</f>
        <v/>
      </c>
      <c r="H111" s="129">
        <f>BG111</f>
        <v/>
      </c>
      <c r="I111" s="129">
        <f>BS111</f>
        <v/>
      </c>
      <c r="J111" s="6">
        <f>BS111</f>
        <v/>
      </c>
      <c r="L111" s="5">
        <f>0</f>
        <v/>
      </c>
      <c r="M111" s="5">
        <f>0</f>
        <v/>
      </c>
      <c r="N111" s="5">
        <f>0</f>
        <v/>
      </c>
      <c r="O111" s="5">
        <f>0</f>
        <v/>
      </c>
      <c r="P111" s="5">
        <f>0</f>
        <v/>
      </c>
      <c r="Q111" s="5">
        <f>0</f>
        <v/>
      </c>
      <c r="R111" s="5">
        <f>0</f>
        <v/>
      </c>
      <c r="S111" s="5">
        <f>0</f>
        <v/>
      </c>
      <c r="T111" s="5">
        <f>0</f>
        <v/>
      </c>
      <c r="U111" s="5">
        <f>0</f>
        <v/>
      </c>
      <c r="V111" s="5">
        <f>0</f>
        <v/>
      </c>
      <c r="W111" s="5">
        <f>0</f>
        <v/>
      </c>
      <c r="X111" s="5">
        <f>0</f>
        <v/>
      </c>
      <c r="Y111" s="5">
        <f>0</f>
        <v/>
      </c>
      <c r="Z111" s="5">
        <f>0</f>
        <v/>
      </c>
      <c r="AA111" s="5">
        <f>0</f>
        <v/>
      </c>
      <c r="AB111" s="5">
        <f>0</f>
        <v/>
      </c>
      <c r="AC111" s="5">
        <f>0</f>
        <v/>
      </c>
      <c r="AD111" s="5">
        <f>0</f>
        <v/>
      </c>
      <c r="AE111" s="5">
        <f>0</f>
        <v/>
      </c>
      <c r="AF111" s="5">
        <f>0</f>
        <v/>
      </c>
      <c r="AG111" s="5">
        <f>0</f>
        <v/>
      </c>
      <c r="AH111" s="5">
        <f>0</f>
        <v/>
      </c>
      <c r="AI111" s="5">
        <f>0</f>
        <v/>
      </c>
      <c r="AJ111" s="5">
        <f>0</f>
        <v/>
      </c>
      <c r="AK111" s="5">
        <f>0</f>
        <v/>
      </c>
      <c r="AL111" s="5">
        <f>0</f>
        <v/>
      </c>
      <c r="AM111" s="5">
        <f>0</f>
        <v/>
      </c>
      <c r="AN111" s="5">
        <f>0</f>
        <v/>
      </c>
      <c r="AO111" s="5">
        <f>0</f>
        <v/>
      </c>
      <c r="AP111" s="5">
        <f>0</f>
        <v/>
      </c>
      <c r="AQ111" s="5">
        <f>0</f>
        <v/>
      </c>
      <c r="AR111" s="5">
        <f>0</f>
        <v/>
      </c>
      <c r="AS111" s="5">
        <f>0</f>
        <v/>
      </c>
      <c r="AT111" s="5">
        <f>0</f>
        <v/>
      </c>
      <c r="AU111" s="5">
        <f>0</f>
        <v/>
      </c>
      <c r="AV111" s="5">
        <f>0</f>
        <v/>
      </c>
      <c r="AW111" s="5">
        <f>0</f>
        <v/>
      </c>
      <c r="AX111" s="5">
        <f>0</f>
        <v/>
      </c>
      <c r="AY111" s="5">
        <f>0</f>
        <v/>
      </c>
      <c r="AZ111" s="5">
        <f>0</f>
        <v/>
      </c>
      <c r="BA111" s="5">
        <f>0</f>
        <v/>
      </c>
      <c r="BB111" s="5">
        <f>0</f>
        <v/>
      </c>
      <c r="BC111" s="5">
        <f>0</f>
        <v/>
      </c>
      <c r="BD111" s="5">
        <f>0</f>
        <v/>
      </c>
      <c r="BE111" s="5">
        <f>0</f>
        <v/>
      </c>
      <c r="BF111" s="5">
        <f>0</f>
        <v/>
      </c>
      <c r="BG111" s="5">
        <f>0</f>
        <v/>
      </c>
      <c r="BH111" s="5">
        <f>0</f>
        <v/>
      </c>
      <c r="BI111" s="5">
        <f>0</f>
        <v/>
      </c>
      <c r="BJ111" s="5">
        <f>0</f>
        <v/>
      </c>
      <c r="BK111" s="5">
        <f>0</f>
        <v/>
      </c>
      <c r="BL111" s="5">
        <f>0</f>
        <v/>
      </c>
      <c r="BM111" s="5">
        <f>0</f>
        <v/>
      </c>
      <c r="BN111" s="5">
        <f>0</f>
        <v/>
      </c>
      <c r="BO111" s="5">
        <f>0</f>
        <v/>
      </c>
      <c r="BP111" s="5">
        <f>0</f>
        <v/>
      </c>
      <c r="BQ111" s="5">
        <f>0</f>
        <v/>
      </c>
      <c r="BR111" s="5">
        <f>0</f>
        <v/>
      </c>
      <c r="BS111" s="5">
        <f>0</f>
        <v/>
      </c>
      <c r="BT111" s="5">
        <f>0</f>
        <v/>
      </c>
      <c r="BU111" s="5">
        <f>0</f>
        <v/>
      </c>
      <c r="BV111" s="5">
        <f>0</f>
        <v/>
      </c>
      <c r="BW111" s="5">
        <f>0</f>
        <v/>
      </c>
      <c r="BX111" s="5">
        <f>0</f>
        <v/>
      </c>
      <c r="BY111" s="5">
        <f>0</f>
        <v/>
      </c>
    </row>
    <row r="112">
      <c r="B112" t="inlineStr">
        <is>
          <t>4 мес.</t>
        </is>
      </c>
      <c r="C112" t="inlineStr">
        <is>
          <t>чел.</t>
        </is>
      </c>
      <c r="D112" s="127" t="inlineStr">
        <is>
          <t>В колонках лет — значение на конец года, в «Итого» — на конец пятого года. Это остаток, а не сумма.</t>
        </is>
      </c>
      <c r="E112" s="129">
        <f>W112</f>
        <v/>
      </c>
      <c r="F112" s="129">
        <f>AI112</f>
        <v/>
      </c>
      <c r="G112" s="129">
        <f>AU112</f>
        <v/>
      </c>
      <c r="H112" s="129">
        <f>BG112</f>
        <v/>
      </c>
      <c r="I112" s="129">
        <f>BS112</f>
        <v/>
      </c>
      <c r="J112" s="6">
        <f>BS112</f>
        <v/>
      </c>
      <c r="L112" s="5">
        <f>0</f>
        <v/>
      </c>
      <c r="M112" s="5">
        <f>0</f>
        <v/>
      </c>
      <c r="N112" s="5">
        <f>0</f>
        <v/>
      </c>
      <c r="O112" s="5">
        <f>0</f>
        <v/>
      </c>
      <c r="P112" s="5">
        <f>0</f>
        <v/>
      </c>
      <c r="Q112" s="5">
        <f>0</f>
        <v/>
      </c>
      <c r="R112" s="5">
        <f>0</f>
        <v/>
      </c>
      <c r="S112" s="5">
        <f>0</f>
        <v/>
      </c>
      <c r="T112" s="5">
        <f>0</f>
        <v/>
      </c>
      <c r="U112" s="5">
        <f>0</f>
        <v/>
      </c>
      <c r="V112" s="5">
        <f>0</f>
        <v/>
      </c>
      <c r="W112" s="5">
        <f>0</f>
        <v/>
      </c>
      <c r="X112" s="5">
        <f>0</f>
        <v/>
      </c>
      <c r="Y112" s="5">
        <f>0</f>
        <v/>
      </c>
      <c r="Z112" s="5">
        <f>0</f>
        <v/>
      </c>
      <c r="AA112" s="5">
        <f>0</f>
        <v/>
      </c>
      <c r="AB112" s="5">
        <f>0</f>
        <v/>
      </c>
      <c r="AC112" s="5">
        <f>0</f>
        <v/>
      </c>
      <c r="AD112" s="5">
        <f>0</f>
        <v/>
      </c>
      <c r="AE112" s="5">
        <f>0</f>
        <v/>
      </c>
      <c r="AF112" s="5">
        <f>0</f>
        <v/>
      </c>
      <c r="AG112" s="5">
        <f>0</f>
        <v/>
      </c>
      <c r="AH112" s="5">
        <f>0</f>
        <v/>
      </c>
      <c r="AI112" s="5">
        <f>0</f>
        <v/>
      </c>
      <c r="AJ112" s="5">
        <f>0</f>
        <v/>
      </c>
      <c r="AK112" s="5">
        <f>0</f>
        <v/>
      </c>
      <c r="AL112" s="5">
        <f>0</f>
        <v/>
      </c>
      <c r="AM112" s="5">
        <f>0</f>
        <v/>
      </c>
      <c r="AN112" s="5">
        <f>0</f>
        <v/>
      </c>
      <c r="AO112" s="5">
        <f>0</f>
        <v/>
      </c>
      <c r="AP112" s="5">
        <f>0</f>
        <v/>
      </c>
      <c r="AQ112" s="5">
        <f>0</f>
        <v/>
      </c>
      <c r="AR112" s="5">
        <f>0</f>
        <v/>
      </c>
      <c r="AS112" s="5">
        <f>0</f>
        <v/>
      </c>
      <c r="AT112" s="5">
        <f>0</f>
        <v/>
      </c>
      <c r="AU112" s="5">
        <f>0</f>
        <v/>
      </c>
      <c r="AV112" s="5">
        <f>0</f>
        <v/>
      </c>
      <c r="AW112" s="5">
        <f>0</f>
        <v/>
      </c>
      <c r="AX112" s="5">
        <f>0</f>
        <v/>
      </c>
      <c r="AY112" s="5">
        <f>0</f>
        <v/>
      </c>
      <c r="AZ112" s="5">
        <f>0</f>
        <v/>
      </c>
      <c r="BA112" s="5">
        <f>0</f>
        <v/>
      </c>
      <c r="BB112" s="5">
        <f>0</f>
        <v/>
      </c>
      <c r="BC112" s="5">
        <f>0</f>
        <v/>
      </c>
      <c r="BD112" s="5">
        <f>0</f>
        <v/>
      </c>
      <c r="BE112" s="5">
        <f>0</f>
        <v/>
      </c>
      <c r="BF112" s="5">
        <f>0</f>
        <v/>
      </c>
      <c r="BG112" s="5">
        <f>0</f>
        <v/>
      </c>
      <c r="BH112" s="5">
        <f>0</f>
        <v/>
      </c>
      <c r="BI112" s="5">
        <f>0</f>
        <v/>
      </c>
      <c r="BJ112" s="5">
        <f>0</f>
        <v/>
      </c>
      <c r="BK112" s="5">
        <f>0</f>
        <v/>
      </c>
      <c r="BL112" s="5">
        <f>0</f>
        <v/>
      </c>
      <c r="BM112" s="5">
        <f>0</f>
        <v/>
      </c>
      <c r="BN112" s="5">
        <f>0</f>
        <v/>
      </c>
      <c r="BO112" s="5">
        <f>0</f>
        <v/>
      </c>
      <c r="BP112" s="5">
        <f>0</f>
        <v/>
      </c>
      <c r="BQ112" s="5">
        <f>0</f>
        <v/>
      </c>
      <c r="BR112" s="5">
        <f>0</f>
        <v/>
      </c>
      <c r="BS112" s="5">
        <f>0</f>
        <v/>
      </c>
      <c r="BT112" s="5">
        <f>0</f>
        <v/>
      </c>
      <c r="BU112" s="5">
        <f>0</f>
        <v/>
      </c>
      <c r="BV112" s="5">
        <f>0</f>
        <v/>
      </c>
      <c r="BW112" s="5">
        <f>0</f>
        <v/>
      </c>
      <c r="BX112" s="5">
        <f>0</f>
        <v/>
      </c>
      <c r="BY112" s="5">
        <f>0</f>
        <v/>
      </c>
    </row>
    <row r="113">
      <c r="B113" t="inlineStr">
        <is>
          <t>5 мес.</t>
        </is>
      </c>
      <c r="C113" t="inlineStr">
        <is>
          <t>чел.</t>
        </is>
      </c>
      <c r="D113" s="127" t="inlineStr">
        <is>
          <t>Покупают заново, если уже пережили начало сезона В колонках лет — значение на конец года, в «Итого» — на конец пятого года. Это остаток, а не сумма.</t>
        </is>
      </c>
      <c r="E113" s="129">
        <f>W113</f>
        <v/>
      </c>
      <c r="F113" s="129">
        <f>AI113</f>
        <v/>
      </c>
      <c r="G113" s="129">
        <f>AU113</f>
        <v/>
      </c>
      <c r="H113" s="129">
        <f>BG113</f>
        <v/>
      </c>
      <c r="I113" s="129">
        <f>BS113</f>
        <v/>
      </c>
      <c r="J113" s="6">
        <f>BS113</f>
        <v/>
      </c>
      <c r="L113" s="5">
        <f>IF(AND(ПравилоПовтора="Новый сезон",5-1&gt;MOD(MONTH('03_Сеть'!L7)-9,12)),'03_Сеть'!L27*CapacityAge05*МножительДетей,0)</f>
        <v/>
      </c>
      <c r="M113" s="5">
        <f>IF(AND(ПравилоПовтора="Новый сезон",5-1&gt;MOD(MONTH('03_Сеть'!M7)-9,12)),'03_Сеть'!M27*CapacityAge05*МножительДетей,0)</f>
        <v/>
      </c>
      <c r="N113" s="5">
        <f>IF(AND(ПравилоПовтора="Новый сезон",5-1&gt;MOD(MONTH('03_Сеть'!N7)-9,12)),'03_Сеть'!N27*CapacityAge05*МножительДетей,0)</f>
        <v/>
      </c>
      <c r="O113" s="5">
        <f>IF(AND(ПравилоПовтора="Новый сезон",5-1&gt;MOD(MONTH('03_Сеть'!O7)-9,12)),'03_Сеть'!O27*CapacityAge05*МножительДетей,0)</f>
        <v/>
      </c>
      <c r="P113" s="5">
        <f>IF(AND(ПравилоПовтора="Новый сезон",5-1&gt;MOD(MONTH('03_Сеть'!P7)-9,12)),'03_Сеть'!P27*CapacityAge05*МножительДетей,0)</f>
        <v/>
      </c>
      <c r="Q113" s="5">
        <f>IF(AND(ПравилоПовтора="Новый сезон",5-1&gt;MOD(MONTH('03_Сеть'!Q7)-9,12)),'03_Сеть'!Q27*CapacityAge05*МножительДетей,0)</f>
        <v/>
      </c>
      <c r="R113" s="5">
        <f>IF(AND(ПравилоПовтора="Новый сезон",5-1&gt;MOD(MONTH('03_Сеть'!R7)-9,12)),'03_Сеть'!R27*CapacityAge05*МножительДетей,0)</f>
        <v/>
      </c>
      <c r="S113" s="5">
        <f>IF(AND(ПравилоПовтора="Новый сезон",5-1&gt;MOD(MONTH('03_Сеть'!S7)-9,12)),'03_Сеть'!S27*CapacityAge05*МножительДетей,0)</f>
        <v/>
      </c>
      <c r="T113" s="5">
        <f>IF(AND(ПравилоПовтора="Новый сезон",5-1&gt;MOD(MONTH('03_Сеть'!T7)-9,12)),'03_Сеть'!T27*CapacityAge05*МножительДетей,0)</f>
        <v/>
      </c>
      <c r="U113" s="5">
        <f>IF(AND(ПравилоПовтора="Новый сезон",5-1&gt;MOD(MONTH('03_Сеть'!U7)-9,12)),'03_Сеть'!U27*CapacityAge05*МножительДетей,0)</f>
        <v/>
      </c>
      <c r="V113" s="5">
        <f>IF(AND(ПравилоПовтора="Новый сезон",5-1&gt;MOD(MONTH('03_Сеть'!V7)-9,12)),'03_Сеть'!V27*CapacityAge05*МножительДетей,0)</f>
        <v/>
      </c>
      <c r="W113" s="5">
        <f>IF(AND(ПравилоПовтора="Новый сезон",5-1&gt;MOD(MONTH('03_Сеть'!W7)-9,12)),'03_Сеть'!W27*CapacityAge05*МножительДетей,0)</f>
        <v/>
      </c>
      <c r="X113" s="5">
        <f>IF(AND(ПравилоПовтора="Новый сезон",5-1&gt;MOD(MONTH('03_Сеть'!X7)-9,12)),'03_Сеть'!X27*CapacityAge05*МножительДетей,0)</f>
        <v/>
      </c>
      <c r="Y113" s="5">
        <f>IF(AND(ПравилоПовтора="Новый сезон",5-1&gt;MOD(MONTH('03_Сеть'!Y7)-9,12)),'03_Сеть'!Y27*CapacityAge05*МножительДетей,0)</f>
        <v/>
      </c>
      <c r="Z113" s="5">
        <f>IF(AND(ПравилоПовтора="Новый сезон",5-1&gt;MOD(MONTH('03_Сеть'!Z7)-9,12)),'03_Сеть'!Z27*CapacityAge05*МножительДетей,0)</f>
        <v/>
      </c>
      <c r="AA113" s="5">
        <f>IF(AND(ПравилоПовтора="Новый сезон",5-1&gt;MOD(MONTH('03_Сеть'!AA7)-9,12)),'03_Сеть'!AA27*CapacityAge05*МножительДетей,0)</f>
        <v/>
      </c>
      <c r="AB113" s="5">
        <f>IF(AND(ПравилоПовтора="Новый сезон",5-1&gt;MOD(MONTH('03_Сеть'!AB7)-9,12)),'03_Сеть'!AB27*CapacityAge05*МножительДетей,0)</f>
        <v/>
      </c>
      <c r="AC113" s="5">
        <f>IF(AND(ПравилоПовтора="Новый сезон",5-1&gt;MOD(MONTH('03_Сеть'!AC7)-9,12)),'03_Сеть'!AC27*CapacityAge05*МножительДетей,0)</f>
        <v/>
      </c>
      <c r="AD113" s="5">
        <f>IF(AND(ПравилоПовтора="Новый сезон",5-1&gt;MOD(MONTH('03_Сеть'!AD7)-9,12)),'03_Сеть'!AD27*CapacityAge05*МножительДетей,0)</f>
        <v/>
      </c>
      <c r="AE113" s="5">
        <f>IF(AND(ПравилоПовтора="Новый сезон",5-1&gt;MOD(MONTH('03_Сеть'!AE7)-9,12)),'03_Сеть'!AE27*CapacityAge05*МножительДетей,0)</f>
        <v/>
      </c>
      <c r="AF113" s="5">
        <f>IF(AND(ПравилоПовтора="Новый сезон",5-1&gt;MOD(MONTH('03_Сеть'!AF7)-9,12)),'03_Сеть'!AF27*CapacityAge05*МножительДетей,0)</f>
        <v/>
      </c>
      <c r="AG113" s="5">
        <f>IF(AND(ПравилоПовтора="Новый сезон",5-1&gt;MOD(MONTH('03_Сеть'!AG7)-9,12)),'03_Сеть'!AG27*CapacityAge05*МножительДетей,0)</f>
        <v/>
      </c>
      <c r="AH113" s="5">
        <f>IF(AND(ПравилоПовтора="Новый сезон",5-1&gt;MOD(MONTH('03_Сеть'!AH7)-9,12)),'03_Сеть'!AH27*CapacityAge05*МножительДетей,0)</f>
        <v/>
      </c>
      <c r="AI113" s="5">
        <f>IF(AND(ПравилоПовтора="Новый сезон",5-1&gt;MOD(MONTH('03_Сеть'!AI7)-9,12)),'03_Сеть'!AI27*CapacityAge05*МножительДетей,0)</f>
        <v/>
      </c>
      <c r="AJ113" s="5">
        <f>IF(AND(ПравилоПовтора="Новый сезон",5-1&gt;MOD(MONTH('03_Сеть'!AJ7)-9,12)),'03_Сеть'!AJ27*CapacityAge05*МножительДетей,0)</f>
        <v/>
      </c>
      <c r="AK113" s="5">
        <f>IF(AND(ПравилоПовтора="Новый сезон",5-1&gt;MOD(MONTH('03_Сеть'!AK7)-9,12)),'03_Сеть'!AK27*CapacityAge05*МножительДетей,0)</f>
        <v/>
      </c>
      <c r="AL113" s="5">
        <f>IF(AND(ПравилоПовтора="Новый сезон",5-1&gt;MOD(MONTH('03_Сеть'!AL7)-9,12)),'03_Сеть'!AL27*CapacityAge05*МножительДетей,0)</f>
        <v/>
      </c>
      <c r="AM113" s="5">
        <f>IF(AND(ПравилоПовтора="Новый сезон",5-1&gt;MOD(MONTH('03_Сеть'!AM7)-9,12)),'03_Сеть'!AM27*CapacityAge05*МножительДетей,0)</f>
        <v/>
      </c>
      <c r="AN113" s="5">
        <f>IF(AND(ПравилоПовтора="Новый сезон",5-1&gt;MOD(MONTH('03_Сеть'!AN7)-9,12)),'03_Сеть'!AN27*CapacityAge05*МножительДетей,0)</f>
        <v/>
      </c>
      <c r="AO113" s="5">
        <f>IF(AND(ПравилоПовтора="Новый сезон",5-1&gt;MOD(MONTH('03_Сеть'!AO7)-9,12)),'03_Сеть'!AO27*CapacityAge05*МножительДетей,0)</f>
        <v/>
      </c>
      <c r="AP113" s="5">
        <f>IF(AND(ПравилоПовтора="Новый сезон",5-1&gt;MOD(MONTH('03_Сеть'!AP7)-9,12)),'03_Сеть'!AP27*CapacityAge05*МножительДетей,0)</f>
        <v/>
      </c>
      <c r="AQ113" s="5">
        <f>IF(AND(ПравилоПовтора="Новый сезон",5-1&gt;MOD(MONTH('03_Сеть'!AQ7)-9,12)),'03_Сеть'!AQ27*CapacityAge05*МножительДетей,0)</f>
        <v/>
      </c>
      <c r="AR113" s="5">
        <f>IF(AND(ПравилоПовтора="Новый сезон",5-1&gt;MOD(MONTH('03_Сеть'!AR7)-9,12)),'03_Сеть'!AR27*CapacityAge05*МножительДетей,0)</f>
        <v/>
      </c>
      <c r="AS113" s="5">
        <f>IF(AND(ПравилоПовтора="Новый сезон",5-1&gt;MOD(MONTH('03_Сеть'!AS7)-9,12)),'03_Сеть'!AS27*CapacityAge05*МножительДетей,0)</f>
        <v/>
      </c>
      <c r="AT113" s="5">
        <f>IF(AND(ПравилоПовтора="Новый сезон",5-1&gt;MOD(MONTH('03_Сеть'!AT7)-9,12)),'03_Сеть'!AT27*CapacityAge05*МножительДетей,0)</f>
        <v/>
      </c>
      <c r="AU113" s="5">
        <f>IF(AND(ПравилоПовтора="Новый сезон",5-1&gt;MOD(MONTH('03_Сеть'!AU7)-9,12)),'03_Сеть'!AU27*CapacityAge05*МножительДетей,0)</f>
        <v/>
      </c>
      <c r="AV113" s="5">
        <f>IF(AND(ПравилоПовтора="Новый сезон",5-1&gt;MOD(MONTH('03_Сеть'!AV7)-9,12)),'03_Сеть'!AV27*CapacityAge05*МножительДетей,0)</f>
        <v/>
      </c>
      <c r="AW113" s="5">
        <f>IF(AND(ПравилоПовтора="Новый сезон",5-1&gt;MOD(MONTH('03_Сеть'!AW7)-9,12)),'03_Сеть'!AW27*CapacityAge05*МножительДетей,0)</f>
        <v/>
      </c>
      <c r="AX113" s="5">
        <f>IF(AND(ПравилоПовтора="Новый сезон",5-1&gt;MOD(MONTH('03_Сеть'!AX7)-9,12)),'03_Сеть'!AX27*CapacityAge05*МножительДетей,0)</f>
        <v/>
      </c>
      <c r="AY113" s="5">
        <f>IF(AND(ПравилоПовтора="Новый сезон",5-1&gt;MOD(MONTH('03_Сеть'!AY7)-9,12)),'03_Сеть'!AY27*CapacityAge05*МножительДетей,0)</f>
        <v/>
      </c>
      <c r="AZ113" s="5">
        <f>IF(AND(ПравилоПовтора="Новый сезон",5-1&gt;MOD(MONTH('03_Сеть'!AZ7)-9,12)),'03_Сеть'!AZ27*CapacityAge05*МножительДетей,0)</f>
        <v/>
      </c>
      <c r="BA113" s="5">
        <f>IF(AND(ПравилоПовтора="Новый сезон",5-1&gt;MOD(MONTH('03_Сеть'!BA7)-9,12)),'03_Сеть'!BA27*CapacityAge05*МножительДетей,0)</f>
        <v/>
      </c>
      <c r="BB113" s="5">
        <f>IF(AND(ПравилоПовтора="Новый сезон",5-1&gt;MOD(MONTH('03_Сеть'!BB7)-9,12)),'03_Сеть'!BB27*CapacityAge05*МножительДетей,0)</f>
        <v/>
      </c>
      <c r="BC113" s="5">
        <f>IF(AND(ПравилоПовтора="Новый сезон",5-1&gt;MOD(MONTH('03_Сеть'!BC7)-9,12)),'03_Сеть'!BC27*CapacityAge05*МножительДетей,0)</f>
        <v/>
      </c>
      <c r="BD113" s="5">
        <f>IF(AND(ПравилоПовтора="Новый сезон",5-1&gt;MOD(MONTH('03_Сеть'!BD7)-9,12)),'03_Сеть'!BD27*CapacityAge05*МножительДетей,0)</f>
        <v/>
      </c>
      <c r="BE113" s="5">
        <f>IF(AND(ПравилоПовтора="Новый сезон",5-1&gt;MOD(MONTH('03_Сеть'!BE7)-9,12)),'03_Сеть'!BE27*CapacityAge05*МножительДетей,0)</f>
        <v/>
      </c>
      <c r="BF113" s="5">
        <f>IF(AND(ПравилоПовтора="Новый сезон",5-1&gt;MOD(MONTH('03_Сеть'!BF7)-9,12)),'03_Сеть'!BF27*CapacityAge05*МножительДетей,0)</f>
        <v/>
      </c>
      <c r="BG113" s="5">
        <f>IF(AND(ПравилоПовтора="Новый сезон",5-1&gt;MOD(MONTH('03_Сеть'!BG7)-9,12)),'03_Сеть'!BG27*CapacityAge05*МножительДетей,0)</f>
        <v/>
      </c>
      <c r="BH113" s="5">
        <f>IF(AND(ПравилоПовтора="Новый сезон",5-1&gt;MOD(MONTH('03_Сеть'!BH7)-9,12)),'03_Сеть'!BH27*CapacityAge05*МножительДетей,0)</f>
        <v/>
      </c>
      <c r="BI113" s="5">
        <f>IF(AND(ПравилоПовтора="Новый сезон",5-1&gt;MOD(MONTH('03_Сеть'!BI7)-9,12)),'03_Сеть'!BI27*CapacityAge05*МножительДетей,0)</f>
        <v/>
      </c>
      <c r="BJ113" s="5">
        <f>IF(AND(ПравилоПовтора="Новый сезон",5-1&gt;MOD(MONTH('03_Сеть'!BJ7)-9,12)),'03_Сеть'!BJ27*CapacityAge05*МножительДетей,0)</f>
        <v/>
      </c>
      <c r="BK113" s="5">
        <f>IF(AND(ПравилоПовтора="Новый сезон",5-1&gt;MOD(MONTH('03_Сеть'!BK7)-9,12)),'03_Сеть'!BK27*CapacityAge05*МножительДетей,0)</f>
        <v/>
      </c>
      <c r="BL113" s="5">
        <f>IF(AND(ПравилоПовтора="Новый сезон",5-1&gt;MOD(MONTH('03_Сеть'!BL7)-9,12)),'03_Сеть'!BL27*CapacityAge05*МножительДетей,0)</f>
        <v/>
      </c>
      <c r="BM113" s="5">
        <f>IF(AND(ПравилоПовтора="Новый сезон",5-1&gt;MOD(MONTH('03_Сеть'!BM7)-9,12)),'03_Сеть'!BM27*CapacityAge05*МножительДетей,0)</f>
        <v/>
      </c>
      <c r="BN113" s="5">
        <f>IF(AND(ПравилоПовтора="Новый сезон",5-1&gt;MOD(MONTH('03_Сеть'!BN7)-9,12)),'03_Сеть'!BN27*CapacityAge05*МножительДетей,0)</f>
        <v/>
      </c>
      <c r="BO113" s="5">
        <f>IF(AND(ПравилоПовтора="Новый сезон",5-1&gt;MOD(MONTH('03_Сеть'!BO7)-9,12)),'03_Сеть'!BO27*CapacityAge05*МножительДетей,0)</f>
        <v/>
      </c>
      <c r="BP113" s="5">
        <f>IF(AND(ПравилоПовтора="Новый сезон",5-1&gt;MOD(MONTH('03_Сеть'!BP7)-9,12)),'03_Сеть'!BP27*CapacityAge05*МножительДетей,0)</f>
        <v/>
      </c>
      <c r="BQ113" s="5">
        <f>IF(AND(ПравилоПовтора="Новый сезон",5-1&gt;MOD(MONTH('03_Сеть'!BQ7)-9,12)),'03_Сеть'!BQ27*CapacityAge05*МножительДетей,0)</f>
        <v/>
      </c>
      <c r="BR113" s="5">
        <f>IF(AND(ПравилоПовтора="Новый сезон",5-1&gt;MOD(MONTH('03_Сеть'!BR7)-9,12)),'03_Сеть'!BR27*CapacityAge05*МножительДетей,0)</f>
        <v/>
      </c>
      <c r="BS113" s="5">
        <f>IF(AND(ПравилоПовтора="Новый сезон",5-1&gt;MOD(MONTH('03_Сеть'!BS7)-9,12)),'03_Сеть'!BS27*CapacityAge05*МножительДетей,0)</f>
        <v/>
      </c>
      <c r="BT113" s="5">
        <f>IF(AND(ПравилоПовтора="Новый сезон",5-1&gt;MOD(MONTH('03_Сеть'!BT7)-9,12)),'03_Сеть'!BT27*CapacityAge05*МножительДетей,0)</f>
        <v/>
      </c>
      <c r="BU113" s="5">
        <f>IF(AND(ПравилоПовтора="Новый сезон",5-1&gt;MOD(MONTH('03_Сеть'!BU7)-9,12)),'03_Сеть'!BU27*CapacityAge05*МножительДетей,0)</f>
        <v/>
      </c>
      <c r="BV113" s="5">
        <f>IF(AND(ПравилоПовтора="Новый сезон",5-1&gt;MOD(MONTH('03_Сеть'!BV7)-9,12)),'03_Сеть'!BV27*CapacityAge05*МножительДетей,0)</f>
        <v/>
      </c>
      <c r="BW113" s="5">
        <f>IF(AND(ПравилоПовтора="Новый сезон",5-1&gt;MOD(MONTH('03_Сеть'!BW7)-9,12)),'03_Сеть'!BW27*CapacityAge05*МножительДетей,0)</f>
        <v/>
      </c>
      <c r="BX113" s="5">
        <f>IF(AND(ПравилоПовтора="Новый сезон",5-1&gt;MOD(MONTH('03_Сеть'!BX7)-9,12)),'03_Сеть'!BX27*CapacityAge05*МножительДетей,0)</f>
        <v/>
      </c>
      <c r="BY113" s="5">
        <f>IF(AND(ПравилоПовтора="Новый сезон",5-1&gt;MOD(MONTH('03_Сеть'!BY7)-9,12)),'03_Сеть'!BY27*CapacityAge05*МножительДетей,0)</f>
        <v/>
      </c>
    </row>
    <row r="114">
      <c r="B114" t="inlineStr">
        <is>
          <t>6 мес.</t>
        </is>
      </c>
      <c r="C114" t="inlineStr">
        <is>
          <t>чел.</t>
        </is>
      </c>
      <c r="D114" s="127" t="inlineStr">
        <is>
          <t>В колонках лет — значение на конец года, в «Итого» — на конец пятого года. Это остаток, а не сумма.</t>
        </is>
      </c>
      <c r="E114" s="129">
        <f>W114</f>
        <v/>
      </c>
      <c r="F114" s="129">
        <f>AI114</f>
        <v/>
      </c>
      <c r="G114" s="129">
        <f>AU114</f>
        <v/>
      </c>
      <c r="H114" s="129">
        <f>BG114</f>
        <v/>
      </c>
      <c r="I114" s="129">
        <f>BS114</f>
        <v/>
      </c>
      <c r="J114" s="6">
        <f>BS114</f>
        <v/>
      </c>
      <c r="L114" s="5">
        <f>IF(AND(ПравилоПовтора="Новый сезон",6-1&gt;MOD(MONTH('03_Сеть'!L7)-9,12)),'03_Сеть'!L28*CapacityAge06*МножительДетей,0)</f>
        <v/>
      </c>
      <c r="M114" s="5">
        <f>IF(AND(ПравилоПовтора="Новый сезон",6-1&gt;MOD(MONTH('03_Сеть'!M7)-9,12)),'03_Сеть'!M28*CapacityAge06*МножительДетей,0)</f>
        <v/>
      </c>
      <c r="N114" s="5">
        <f>IF(AND(ПравилоПовтора="Новый сезон",6-1&gt;MOD(MONTH('03_Сеть'!N7)-9,12)),'03_Сеть'!N28*CapacityAge06*МножительДетей,0)</f>
        <v/>
      </c>
      <c r="O114" s="5">
        <f>IF(AND(ПравилоПовтора="Новый сезон",6-1&gt;MOD(MONTH('03_Сеть'!O7)-9,12)),'03_Сеть'!O28*CapacityAge06*МножительДетей,0)</f>
        <v/>
      </c>
      <c r="P114" s="5">
        <f>IF(AND(ПравилоПовтора="Новый сезон",6-1&gt;MOD(MONTH('03_Сеть'!P7)-9,12)),'03_Сеть'!P28*CapacityAge06*МножительДетей,0)</f>
        <v/>
      </c>
      <c r="Q114" s="5">
        <f>IF(AND(ПравилоПовтора="Новый сезон",6-1&gt;MOD(MONTH('03_Сеть'!Q7)-9,12)),'03_Сеть'!Q28*CapacityAge06*МножительДетей,0)</f>
        <v/>
      </c>
      <c r="R114" s="5">
        <f>IF(AND(ПравилоПовтора="Новый сезон",6-1&gt;MOD(MONTH('03_Сеть'!R7)-9,12)),'03_Сеть'!R28*CapacityAge06*МножительДетей,0)</f>
        <v/>
      </c>
      <c r="S114" s="5">
        <f>IF(AND(ПравилоПовтора="Новый сезон",6-1&gt;MOD(MONTH('03_Сеть'!S7)-9,12)),'03_Сеть'!S28*CapacityAge06*МножительДетей,0)</f>
        <v/>
      </c>
      <c r="T114" s="5">
        <f>IF(AND(ПравилоПовтора="Новый сезон",6-1&gt;MOD(MONTH('03_Сеть'!T7)-9,12)),'03_Сеть'!T28*CapacityAge06*МножительДетей,0)</f>
        <v/>
      </c>
      <c r="U114" s="5">
        <f>IF(AND(ПравилоПовтора="Новый сезон",6-1&gt;MOD(MONTH('03_Сеть'!U7)-9,12)),'03_Сеть'!U28*CapacityAge06*МножительДетей,0)</f>
        <v/>
      </c>
      <c r="V114" s="5">
        <f>IF(AND(ПравилоПовтора="Новый сезон",6-1&gt;MOD(MONTH('03_Сеть'!V7)-9,12)),'03_Сеть'!V28*CapacityAge06*МножительДетей,0)</f>
        <v/>
      </c>
      <c r="W114" s="5">
        <f>IF(AND(ПравилоПовтора="Новый сезон",6-1&gt;MOD(MONTH('03_Сеть'!W7)-9,12)),'03_Сеть'!W28*CapacityAge06*МножительДетей,0)</f>
        <v/>
      </c>
      <c r="X114" s="5">
        <f>IF(AND(ПравилоПовтора="Новый сезон",6-1&gt;MOD(MONTH('03_Сеть'!X7)-9,12)),'03_Сеть'!X28*CapacityAge06*МножительДетей,0)</f>
        <v/>
      </c>
      <c r="Y114" s="5">
        <f>IF(AND(ПравилоПовтора="Новый сезон",6-1&gt;MOD(MONTH('03_Сеть'!Y7)-9,12)),'03_Сеть'!Y28*CapacityAge06*МножительДетей,0)</f>
        <v/>
      </c>
      <c r="Z114" s="5">
        <f>IF(AND(ПравилоПовтора="Новый сезон",6-1&gt;MOD(MONTH('03_Сеть'!Z7)-9,12)),'03_Сеть'!Z28*CapacityAge06*МножительДетей,0)</f>
        <v/>
      </c>
      <c r="AA114" s="5">
        <f>IF(AND(ПравилоПовтора="Новый сезон",6-1&gt;MOD(MONTH('03_Сеть'!AA7)-9,12)),'03_Сеть'!AA28*CapacityAge06*МножительДетей,0)</f>
        <v/>
      </c>
      <c r="AB114" s="5">
        <f>IF(AND(ПравилоПовтора="Новый сезон",6-1&gt;MOD(MONTH('03_Сеть'!AB7)-9,12)),'03_Сеть'!AB28*CapacityAge06*МножительДетей,0)</f>
        <v/>
      </c>
      <c r="AC114" s="5">
        <f>IF(AND(ПравилоПовтора="Новый сезон",6-1&gt;MOD(MONTH('03_Сеть'!AC7)-9,12)),'03_Сеть'!AC28*CapacityAge06*МножительДетей,0)</f>
        <v/>
      </c>
      <c r="AD114" s="5">
        <f>IF(AND(ПравилоПовтора="Новый сезон",6-1&gt;MOD(MONTH('03_Сеть'!AD7)-9,12)),'03_Сеть'!AD28*CapacityAge06*МножительДетей,0)</f>
        <v/>
      </c>
      <c r="AE114" s="5">
        <f>IF(AND(ПравилоПовтора="Новый сезон",6-1&gt;MOD(MONTH('03_Сеть'!AE7)-9,12)),'03_Сеть'!AE28*CapacityAge06*МножительДетей,0)</f>
        <v/>
      </c>
      <c r="AF114" s="5">
        <f>IF(AND(ПравилоПовтора="Новый сезон",6-1&gt;MOD(MONTH('03_Сеть'!AF7)-9,12)),'03_Сеть'!AF28*CapacityAge06*МножительДетей,0)</f>
        <v/>
      </c>
      <c r="AG114" s="5">
        <f>IF(AND(ПравилоПовтора="Новый сезон",6-1&gt;MOD(MONTH('03_Сеть'!AG7)-9,12)),'03_Сеть'!AG28*CapacityAge06*МножительДетей,0)</f>
        <v/>
      </c>
      <c r="AH114" s="5">
        <f>IF(AND(ПравилоПовтора="Новый сезон",6-1&gt;MOD(MONTH('03_Сеть'!AH7)-9,12)),'03_Сеть'!AH28*CapacityAge06*МножительДетей,0)</f>
        <v/>
      </c>
      <c r="AI114" s="5">
        <f>IF(AND(ПравилоПовтора="Новый сезон",6-1&gt;MOD(MONTH('03_Сеть'!AI7)-9,12)),'03_Сеть'!AI28*CapacityAge06*МножительДетей,0)</f>
        <v/>
      </c>
      <c r="AJ114" s="5">
        <f>IF(AND(ПравилоПовтора="Новый сезон",6-1&gt;MOD(MONTH('03_Сеть'!AJ7)-9,12)),'03_Сеть'!AJ28*CapacityAge06*МножительДетей,0)</f>
        <v/>
      </c>
      <c r="AK114" s="5">
        <f>IF(AND(ПравилоПовтора="Новый сезон",6-1&gt;MOD(MONTH('03_Сеть'!AK7)-9,12)),'03_Сеть'!AK28*CapacityAge06*МножительДетей,0)</f>
        <v/>
      </c>
      <c r="AL114" s="5">
        <f>IF(AND(ПравилоПовтора="Новый сезон",6-1&gt;MOD(MONTH('03_Сеть'!AL7)-9,12)),'03_Сеть'!AL28*CapacityAge06*МножительДетей,0)</f>
        <v/>
      </c>
      <c r="AM114" s="5">
        <f>IF(AND(ПравилоПовтора="Новый сезон",6-1&gt;MOD(MONTH('03_Сеть'!AM7)-9,12)),'03_Сеть'!AM28*CapacityAge06*МножительДетей,0)</f>
        <v/>
      </c>
      <c r="AN114" s="5">
        <f>IF(AND(ПравилоПовтора="Новый сезон",6-1&gt;MOD(MONTH('03_Сеть'!AN7)-9,12)),'03_Сеть'!AN28*CapacityAge06*МножительДетей,0)</f>
        <v/>
      </c>
      <c r="AO114" s="5">
        <f>IF(AND(ПравилоПовтора="Новый сезон",6-1&gt;MOD(MONTH('03_Сеть'!AO7)-9,12)),'03_Сеть'!AO28*CapacityAge06*МножительДетей,0)</f>
        <v/>
      </c>
      <c r="AP114" s="5">
        <f>IF(AND(ПравилоПовтора="Новый сезон",6-1&gt;MOD(MONTH('03_Сеть'!AP7)-9,12)),'03_Сеть'!AP28*CapacityAge06*МножительДетей,0)</f>
        <v/>
      </c>
      <c r="AQ114" s="5">
        <f>IF(AND(ПравилоПовтора="Новый сезон",6-1&gt;MOD(MONTH('03_Сеть'!AQ7)-9,12)),'03_Сеть'!AQ28*CapacityAge06*МножительДетей,0)</f>
        <v/>
      </c>
      <c r="AR114" s="5">
        <f>IF(AND(ПравилоПовтора="Новый сезон",6-1&gt;MOD(MONTH('03_Сеть'!AR7)-9,12)),'03_Сеть'!AR28*CapacityAge06*МножительДетей,0)</f>
        <v/>
      </c>
      <c r="AS114" s="5">
        <f>IF(AND(ПравилоПовтора="Новый сезон",6-1&gt;MOD(MONTH('03_Сеть'!AS7)-9,12)),'03_Сеть'!AS28*CapacityAge06*МножительДетей,0)</f>
        <v/>
      </c>
      <c r="AT114" s="5">
        <f>IF(AND(ПравилоПовтора="Новый сезон",6-1&gt;MOD(MONTH('03_Сеть'!AT7)-9,12)),'03_Сеть'!AT28*CapacityAge06*МножительДетей,0)</f>
        <v/>
      </c>
      <c r="AU114" s="5">
        <f>IF(AND(ПравилоПовтора="Новый сезон",6-1&gt;MOD(MONTH('03_Сеть'!AU7)-9,12)),'03_Сеть'!AU28*CapacityAge06*МножительДетей,0)</f>
        <v/>
      </c>
      <c r="AV114" s="5">
        <f>IF(AND(ПравилоПовтора="Новый сезон",6-1&gt;MOD(MONTH('03_Сеть'!AV7)-9,12)),'03_Сеть'!AV28*CapacityAge06*МножительДетей,0)</f>
        <v/>
      </c>
      <c r="AW114" s="5">
        <f>IF(AND(ПравилоПовтора="Новый сезон",6-1&gt;MOD(MONTH('03_Сеть'!AW7)-9,12)),'03_Сеть'!AW28*CapacityAge06*МножительДетей,0)</f>
        <v/>
      </c>
      <c r="AX114" s="5">
        <f>IF(AND(ПравилоПовтора="Новый сезон",6-1&gt;MOD(MONTH('03_Сеть'!AX7)-9,12)),'03_Сеть'!AX28*CapacityAge06*МножительДетей,0)</f>
        <v/>
      </c>
      <c r="AY114" s="5">
        <f>IF(AND(ПравилоПовтора="Новый сезон",6-1&gt;MOD(MONTH('03_Сеть'!AY7)-9,12)),'03_Сеть'!AY28*CapacityAge06*МножительДетей,0)</f>
        <v/>
      </c>
      <c r="AZ114" s="5">
        <f>IF(AND(ПравилоПовтора="Новый сезон",6-1&gt;MOD(MONTH('03_Сеть'!AZ7)-9,12)),'03_Сеть'!AZ28*CapacityAge06*МножительДетей,0)</f>
        <v/>
      </c>
      <c r="BA114" s="5">
        <f>IF(AND(ПравилоПовтора="Новый сезон",6-1&gt;MOD(MONTH('03_Сеть'!BA7)-9,12)),'03_Сеть'!BA28*CapacityAge06*МножительДетей,0)</f>
        <v/>
      </c>
      <c r="BB114" s="5">
        <f>IF(AND(ПравилоПовтора="Новый сезон",6-1&gt;MOD(MONTH('03_Сеть'!BB7)-9,12)),'03_Сеть'!BB28*CapacityAge06*МножительДетей,0)</f>
        <v/>
      </c>
      <c r="BC114" s="5">
        <f>IF(AND(ПравилоПовтора="Новый сезон",6-1&gt;MOD(MONTH('03_Сеть'!BC7)-9,12)),'03_Сеть'!BC28*CapacityAge06*МножительДетей,0)</f>
        <v/>
      </c>
      <c r="BD114" s="5">
        <f>IF(AND(ПравилоПовтора="Новый сезон",6-1&gt;MOD(MONTH('03_Сеть'!BD7)-9,12)),'03_Сеть'!BD28*CapacityAge06*МножительДетей,0)</f>
        <v/>
      </c>
      <c r="BE114" s="5">
        <f>IF(AND(ПравилоПовтора="Новый сезон",6-1&gt;MOD(MONTH('03_Сеть'!BE7)-9,12)),'03_Сеть'!BE28*CapacityAge06*МножительДетей,0)</f>
        <v/>
      </c>
      <c r="BF114" s="5">
        <f>IF(AND(ПравилоПовтора="Новый сезон",6-1&gt;MOD(MONTH('03_Сеть'!BF7)-9,12)),'03_Сеть'!BF28*CapacityAge06*МножительДетей,0)</f>
        <v/>
      </c>
      <c r="BG114" s="5">
        <f>IF(AND(ПравилоПовтора="Новый сезон",6-1&gt;MOD(MONTH('03_Сеть'!BG7)-9,12)),'03_Сеть'!BG28*CapacityAge06*МножительДетей,0)</f>
        <v/>
      </c>
      <c r="BH114" s="5">
        <f>IF(AND(ПравилоПовтора="Новый сезон",6-1&gt;MOD(MONTH('03_Сеть'!BH7)-9,12)),'03_Сеть'!BH28*CapacityAge06*МножительДетей,0)</f>
        <v/>
      </c>
      <c r="BI114" s="5">
        <f>IF(AND(ПравилоПовтора="Новый сезон",6-1&gt;MOD(MONTH('03_Сеть'!BI7)-9,12)),'03_Сеть'!BI28*CapacityAge06*МножительДетей,0)</f>
        <v/>
      </c>
      <c r="BJ114" s="5">
        <f>IF(AND(ПравилоПовтора="Новый сезон",6-1&gt;MOD(MONTH('03_Сеть'!BJ7)-9,12)),'03_Сеть'!BJ28*CapacityAge06*МножительДетей,0)</f>
        <v/>
      </c>
      <c r="BK114" s="5">
        <f>IF(AND(ПравилоПовтора="Новый сезон",6-1&gt;MOD(MONTH('03_Сеть'!BK7)-9,12)),'03_Сеть'!BK28*CapacityAge06*МножительДетей,0)</f>
        <v/>
      </c>
      <c r="BL114" s="5">
        <f>IF(AND(ПравилоПовтора="Новый сезон",6-1&gt;MOD(MONTH('03_Сеть'!BL7)-9,12)),'03_Сеть'!BL28*CapacityAge06*МножительДетей,0)</f>
        <v/>
      </c>
      <c r="BM114" s="5">
        <f>IF(AND(ПравилоПовтора="Новый сезон",6-1&gt;MOD(MONTH('03_Сеть'!BM7)-9,12)),'03_Сеть'!BM28*CapacityAge06*МножительДетей,0)</f>
        <v/>
      </c>
      <c r="BN114" s="5">
        <f>IF(AND(ПравилоПовтора="Новый сезон",6-1&gt;MOD(MONTH('03_Сеть'!BN7)-9,12)),'03_Сеть'!BN28*CapacityAge06*МножительДетей,0)</f>
        <v/>
      </c>
      <c r="BO114" s="5">
        <f>IF(AND(ПравилоПовтора="Новый сезон",6-1&gt;MOD(MONTH('03_Сеть'!BO7)-9,12)),'03_Сеть'!BO28*CapacityAge06*МножительДетей,0)</f>
        <v/>
      </c>
      <c r="BP114" s="5">
        <f>IF(AND(ПравилоПовтора="Новый сезон",6-1&gt;MOD(MONTH('03_Сеть'!BP7)-9,12)),'03_Сеть'!BP28*CapacityAge06*МножительДетей,0)</f>
        <v/>
      </c>
      <c r="BQ114" s="5">
        <f>IF(AND(ПравилоПовтора="Новый сезон",6-1&gt;MOD(MONTH('03_Сеть'!BQ7)-9,12)),'03_Сеть'!BQ28*CapacityAge06*МножительДетей,0)</f>
        <v/>
      </c>
      <c r="BR114" s="5">
        <f>IF(AND(ПравилоПовтора="Новый сезон",6-1&gt;MOD(MONTH('03_Сеть'!BR7)-9,12)),'03_Сеть'!BR28*CapacityAge06*МножительДетей,0)</f>
        <v/>
      </c>
      <c r="BS114" s="5">
        <f>IF(AND(ПравилоПовтора="Новый сезон",6-1&gt;MOD(MONTH('03_Сеть'!BS7)-9,12)),'03_Сеть'!BS28*CapacityAge06*МножительДетей,0)</f>
        <v/>
      </c>
      <c r="BT114" s="5">
        <f>IF(AND(ПравилоПовтора="Новый сезон",6-1&gt;MOD(MONTH('03_Сеть'!BT7)-9,12)),'03_Сеть'!BT28*CapacityAge06*МножительДетей,0)</f>
        <v/>
      </c>
      <c r="BU114" s="5">
        <f>IF(AND(ПравилоПовтора="Новый сезон",6-1&gt;MOD(MONTH('03_Сеть'!BU7)-9,12)),'03_Сеть'!BU28*CapacityAge06*МножительДетей,0)</f>
        <v/>
      </c>
      <c r="BV114" s="5">
        <f>IF(AND(ПравилоПовтора="Новый сезон",6-1&gt;MOD(MONTH('03_Сеть'!BV7)-9,12)),'03_Сеть'!BV28*CapacityAge06*МножительДетей,0)</f>
        <v/>
      </c>
      <c r="BW114" s="5">
        <f>IF(AND(ПравилоПовтора="Новый сезон",6-1&gt;MOD(MONTH('03_Сеть'!BW7)-9,12)),'03_Сеть'!BW28*CapacityAge06*МножительДетей,0)</f>
        <v/>
      </c>
      <c r="BX114" s="5">
        <f>IF(AND(ПравилоПовтора="Новый сезон",6-1&gt;MOD(MONTH('03_Сеть'!BX7)-9,12)),'03_Сеть'!BX28*CapacityAge06*МножительДетей,0)</f>
        <v/>
      </c>
      <c r="BY114" s="5">
        <f>IF(AND(ПравилоПовтора="Новый сезон",6-1&gt;MOD(MONTH('03_Сеть'!BY7)-9,12)),'03_Сеть'!BY28*CapacityAge06*МножительДетей,0)</f>
        <v/>
      </c>
    </row>
    <row r="115">
      <c r="B115" t="inlineStr">
        <is>
          <t>7 мес.</t>
        </is>
      </c>
      <c r="C115" t="inlineStr">
        <is>
          <t>чел.</t>
        </is>
      </c>
      <c r="D115" s="127" t="inlineStr">
        <is>
          <t>В колонках лет — значение на конец года, в «Итого» — на конец пятого года. Это остаток, а не сумма.</t>
        </is>
      </c>
      <c r="E115" s="129">
        <f>W115</f>
        <v/>
      </c>
      <c r="F115" s="129">
        <f>AI115</f>
        <v/>
      </c>
      <c r="G115" s="129">
        <f>AU115</f>
        <v/>
      </c>
      <c r="H115" s="129">
        <f>BG115</f>
        <v/>
      </c>
      <c r="I115" s="129">
        <f>BS115</f>
        <v/>
      </c>
      <c r="J115" s="6">
        <f>BS115</f>
        <v/>
      </c>
      <c r="L115" s="5">
        <f>IF(AND(ПравилоПовтора="Новый сезон",7-1&gt;MOD(MONTH('03_Сеть'!L7)-9,12)),'03_Сеть'!L29*CapacityAge07*МножительДетей,0)</f>
        <v/>
      </c>
      <c r="M115" s="5">
        <f>IF(AND(ПравилоПовтора="Новый сезон",7-1&gt;MOD(MONTH('03_Сеть'!M7)-9,12)),'03_Сеть'!M29*CapacityAge07*МножительДетей,0)</f>
        <v/>
      </c>
      <c r="N115" s="5">
        <f>IF(AND(ПравилоПовтора="Новый сезон",7-1&gt;MOD(MONTH('03_Сеть'!N7)-9,12)),'03_Сеть'!N29*CapacityAge07*МножительДетей,0)</f>
        <v/>
      </c>
      <c r="O115" s="5">
        <f>IF(AND(ПравилоПовтора="Новый сезон",7-1&gt;MOD(MONTH('03_Сеть'!O7)-9,12)),'03_Сеть'!O29*CapacityAge07*МножительДетей,0)</f>
        <v/>
      </c>
      <c r="P115" s="5">
        <f>IF(AND(ПравилоПовтора="Новый сезон",7-1&gt;MOD(MONTH('03_Сеть'!P7)-9,12)),'03_Сеть'!P29*CapacityAge07*МножительДетей,0)</f>
        <v/>
      </c>
      <c r="Q115" s="5">
        <f>IF(AND(ПравилоПовтора="Новый сезон",7-1&gt;MOD(MONTH('03_Сеть'!Q7)-9,12)),'03_Сеть'!Q29*CapacityAge07*МножительДетей,0)</f>
        <v/>
      </c>
      <c r="R115" s="5">
        <f>IF(AND(ПравилоПовтора="Новый сезон",7-1&gt;MOD(MONTH('03_Сеть'!R7)-9,12)),'03_Сеть'!R29*CapacityAge07*МножительДетей,0)</f>
        <v/>
      </c>
      <c r="S115" s="5">
        <f>IF(AND(ПравилоПовтора="Новый сезон",7-1&gt;MOD(MONTH('03_Сеть'!S7)-9,12)),'03_Сеть'!S29*CapacityAge07*МножительДетей,0)</f>
        <v/>
      </c>
      <c r="T115" s="5">
        <f>IF(AND(ПравилоПовтора="Новый сезон",7-1&gt;MOD(MONTH('03_Сеть'!T7)-9,12)),'03_Сеть'!T29*CapacityAge07*МножительДетей,0)</f>
        <v/>
      </c>
      <c r="U115" s="5">
        <f>IF(AND(ПравилоПовтора="Новый сезон",7-1&gt;MOD(MONTH('03_Сеть'!U7)-9,12)),'03_Сеть'!U29*CapacityAge07*МножительДетей,0)</f>
        <v/>
      </c>
      <c r="V115" s="5">
        <f>IF(AND(ПравилоПовтора="Новый сезон",7-1&gt;MOD(MONTH('03_Сеть'!V7)-9,12)),'03_Сеть'!V29*CapacityAge07*МножительДетей,0)</f>
        <v/>
      </c>
      <c r="W115" s="5">
        <f>IF(AND(ПравилоПовтора="Новый сезон",7-1&gt;MOD(MONTH('03_Сеть'!W7)-9,12)),'03_Сеть'!W29*CapacityAge07*МножительДетей,0)</f>
        <v/>
      </c>
      <c r="X115" s="5">
        <f>IF(AND(ПравилоПовтора="Новый сезон",7-1&gt;MOD(MONTH('03_Сеть'!X7)-9,12)),'03_Сеть'!X29*CapacityAge07*МножительДетей,0)</f>
        <v/>
      </c>
      <c r="Y115" s="5">
        <f>IF(AND(ПравилоПовтора="Новый сезон",7-1&gt;MOD(MONTH('03_Сеть'!Y7)-9,12)),'03_Сеть'!Y29*CapacityAge07*МножительДетей,0)</f>
        <v/>
      </c>
      <c r="Z115" s="5">
        <f>IF(AND(ПравилоПовтора="Новый сезон",7-1&gt;MOD(MONTH('03_Сеть'!Z7)-9,12)),'03_Сеть'!Z29*CapacityAge07*МножительДетей,0)</f>
        <v/>
      </c>
      <c r="AA115" s="5">
        <f>IF(AND(ПравилоПовтора="Новый сезон",7-1&gt;MOD(MONTH('03_Сеть'!AA7)-9,12)),'03_Сеть'!AA29*CapacityAge07*МножительДетей,0)</f>
        <v/>
      </c>
      <c r="AB115" s="5">
        <f>IF(AND(ПравилоПовтора="Новый сезон",7-1&gt;MOD(MONTH('03_Сеть'!AB7)-9,12)),'03_Сеть'!AB29*CapacityAge07*МножительДетей,0)</f>
        <v/>
      </c>
      <c r="AC115" s="5">
        <f>IF(AND(ПравилоПовтора="Новый сезон",7-1&gt;MOD(MONTH('03_Сеть'!AC7)-9,12)),'03_Сеть'!AC29*CapacityAge07*МножительДетей,0)</f>
        <v/>
      </c>
      <c r="AD115" s="5">
        <f>IF(AND(ПравилоПовтора="Новый сезон",7-1&gt;MOD(MONTH('03_Сеть'!AD7)-9,12)),'03_Сеть'!AD29*CapacityAge07*МножительДетей,0)</f>
        <v/>
      </c>
      <c r="AE115" s="5">
        <f>IF(AND(ПравилоПовтора="Новый сезон",7-1&gt;MOD(MONTH('03_Сеть'!AE7)-9,12)),'03_Сеть'!AE29*CapacityAge07*МножительДетей,0)</f>
        <v/>
      </c>
      <c r="AF115" s="5">
        <f>IF(AND(ПравилоПовтора="Новый сезон",7-1&gt;MOD(MONTH('03_Сеть'!AF7)-9,12)),'03_Сеть'!AF29*CapacityAge07*МножительДетей,0)</f>
        <v/>
      </c>
      <c r="AG115" s="5">
        <f>IF(AND(ПравилоПовтора="Новый сезон",7-1&gt;MOD(MONTH('03_Сеть'!AG7)-9,12)),'03_Сеть'!AG29*CapacityAge07*МножительДетей,0)</f>
        <v/>
      </c>
      <c r="AH115" s="5">
        <f>IF(AND(ПравилоПовтора="Новый сезон",7-1&gt;MOD(MONTH('03_Сеть'!AH7)-9,12)),'03_Сеть'!AH29*CapacityAge07*МножительДетей,0)</f>
        <v/>
      </c>
      <c r="AI115" s="5">
        <f>IF(AND(ПравилоПовтора="Новый сезон",7-1&gt;MOD(MONTH('03_Сеть'!AI7)-9,12)),'03_Сеть'!AI29*CapacityAge07*МножительДетей,0)</f>
        <v/>
      </c>
      <c r="AJ115" s="5">
        <f>IF(AND(ПравилоПовтора="Новый сезон",7-1&gt;MOD(MONTH('03_Сеть'!AJ7)-9,12)),'03_Сеть'!AJ29*CapacityAge07*МножительДетей,0)</f>
        <v/>
      </c>
      <c r="AK115" s="5">
        <f>IF(AND(ПравилоПовтора="Новый сезон",7-1&gt;MOD(MONTH('03_Сеть'!AK7)-9,12)),'03_Сеть'!AK29*CapacityAge07*МножительДетей,0)</f>
        <v/>
      </c>
      <c r="AL115" s="5">
        <f>IF(AND(ПравилоПовтора="Новый сезон",7-1&gt;MOD(MONTH('03_Сеть'!AL7)-9,12)),'03_Сеть'!AL29*CapacityAge07*МножительДетей,0)</f>
        <v/>
      </c>
      <c r="AM115" s="5">
        <f>IF(AND(ПравилоПовтора="Новый сезон",7-1&gt;MOD(MONTH('03_Сеть'!AM7)-9,12)),'03_Сеть'!AM29*CapacityAge07*МножительДетей,0)</f>
        <v/>
      </c>
      <c r="AN115" s="5">
        <f>IF(AND(ПравилоПовтора="Новый сезон",7-1&gt;MOD(MONTH('03_Сеть'!AN7)-9,12)),'03_Сеть'!AN29*CapacityAge07*МножительДетей,0)</f>
        <v/>
      </c>
      <c r="AO115" s="5">
        <f>IF(AND(ПравилоПовтора="Новый сезон",7-1&gt;MOD(MONTH('03_Сеть'!AO7)-9,12)),'03_Сеть'!AO29*CapacityAge07*МножительДетей,0)</f>
        <v/>
      </c>
      <c r="AP115" s="5">
        <f>IF(AND(ПравилоПовтора="Новый сезон",7-1&gt;MOD(MONTH('03_Сеть'!AP7)-9,12)),'03_Сеть'!AP29*CapacityAge07*МножительДетей,0)</f>
        <v/>
      </c>
      <c r="AQ115" s="5">
        <f>IF(AND(ПравилоПовтора="Новый сезон",7-1&gt;MOD(MONTH('03_Сеть'!AQ7)-9,12)),'03_Сеть'!AQ29*CapacityAge07*МножительДетей,0)</f>
        <v/>
      </c>
      <c r="AR115" s="5">
        <f>IF(AND(ПравилоПовтора="Новый сезон",7-1&gt;MOD(MONTH('03_Сеть'!AR7)-9,12)),'03_Сеть'!AR29*CapacityAge07*МножительДетей,0)</f>
        <v/>
      </c>
      <c r="AS115" s="5">
        <f>IF(AND(ПравилоПовтора="Новый сезон",7-1&gt;MOD(MONTH('03_Сеть'!AS7)-9,12)),'03_Сеть'!AS29*CapacityAge07*МножительДетей,0)</f>
        <v/>
      </c>
      <c r="AT115" s="5">
        <f>IF(AND(ПравилоПовтора="Новый сезон",7-1&gt;MOD(MONTH('03_Сеть'!AT7)-9,12)),'03_Сеть'!AT29*CapacityAge07*МножительДетей,0)</f>
        <v/>
      </c>
      <c r="AU115" s="5">
        <f>IF(AND(ПравилоПовтора="Новый сезон",7-1&gt;MOD(MONTH('03_Сеть'!AU7)-9,12)),'03_Сеть'!AU29*CapacityAge07*МножительДетей,0)</f>
        <v/>
      </c>
      <c r="AV115" s="5">
        <f>IF(AND(ПравилоПовтора="Новый сезон",7-1&gt;MOD(MONTH('03_Сеть'!AV7)-9,12)),'03_Сеть'!AV29*CapacityAge07*МножительДетей,0)</f>
        <v/>
      </c>
      <c r="AW115" s="5">
        <f>IF(AND(ПравилоПовтора="Новый сезон",7-1&gt;MOD(MONTH('03_Сеть'!AW7)-9,12)),'03_Сеть'!AW29*CapacityAge07*МножительДетей,0)</f>
        <v/>
      </c>
      <c r="AX115" s="5">
        <f>IF(AND(ПравилоПовтора="Новый сезон",7-1&gt;MOD(MONTH('03_Сеть'!AX7)-9,12)),'03_Сеть'!AX29*CapacityAge07*МножительДетей,0)</f>
        <v/>
      </c>
      <c r="AY115" s="5">
        <f>IF(AND(ПравилоПовтора="Новый сезон",7-1&gt;MOD(MONTH('03_Сеть'!AY7)-9,12)),'03_Сеть'!AY29*CapacityAge07*МножительДетей,0)</f>
        <v/>
      </c>
      <c r="AZ115" s="5">
        <f>IF(AND(ПравилоПовтора="Новый сезон",7-1&gt;MOD(MONTH('03_Сеть'!AZ7)-9,12)),'03_Сеть'!AZ29*CapacityAge07*МножительДетей,0)</f>
        <v/>
      </c>
      <c r="BA115" s="5">
        <f>IF(AND(ПравилоПовтора="Новый сезон",7-1&gt;MOD(MONTH('03_Сеть'!BA7)-9,12)),'03_Сеть'!BA29*CapacityAge07*МножительДетей,0)</f>
        <v/>
      </c>
      <c r="BB115" s="5">
        <f>IF(AND(ПравилоПовтора="Новый сезон",7-1&gt;MOD(MONTH('03_Сеть'!BB7)-9,12)),'03_Сеть'!BB29*CapacityAge07*МножительДетей,0)</f>
        <v/>
      </c>
      <c r="BC115" s="5">
        <f>IF(AND(ПравилоПовтора="Новый сезон",7-1&gt;MOD(MONTH('03_Сеть'!BC7)-9,12)),'03_Сеть'!BC29*CapacityAge07*МножительДетей,0)</f>
        <v/>
      </c>
      <c r="BD115" s="5">
        <f>IF(AND(ПравилоПовтора="Новый сезон",7-1&gt;MOD(MONTH('03_Сеть'!BD7)-9,12)),'03_Сеть'!BD29*CapacityAge07*МножительДетей,0)</f>
        <v/>
      </c>
      <c r="BE115" s="5">
        <f>IF(AND(ПравилоПовтора="Новый сезон",7-1&gt;MOD(MONTH('03_Сеть'!BE7)-9,12)),'03_Сеть'!BE29*CapacityAge07*МножительДетей,0)</f>
        <v/>
      </c>
      <c r="BF115" s="5">
        <f>IF(AND(ПравилоПовтора="Новый сезон",7-1&gt;MOD(MONTH('03_Сеть'!BF7)-9,12)),'03_Сеть'!BF29*CapacityAge07*МножительДетей,0)</f>
        <v/>
      </c>
      <c r="BG115" s="5">
        <f>IF(AND(ПравилоПовтора="Новый сезон",7-1&gt;MOD(MONTH('03_Сеть'!BG7)-9,12)),'03_Сеть'!BG29*CapacityAge07*МножительДетей,0)</f>
        <v/>
      </c>
      <c r="BH115" s="5">
        <f>IF(AND(ПравилоПовтора="Новый сезон",7-1&gt;MOD(MONTH('03_Сеть'!BH7)-9,12)),'03_Сеть'!BH29*CapacityAge07*МножительДетей,0)</f>
        <v/>
      </c>
      <c r="BI115" s="5">
        <f>IF(AND(ПравилоПовтора="Новый сезон",7-1&gt;MOD(MONTH('03_Сеть'!BI7)-9,12)),'03_Сеть'!BI29*CapacityAge07*МножительДетей,0)</f>
        <v/>
      </c>
      <c r="BJ115" s="5">
        <f>IF(AND(ПравилоПовтора="Новый сезон",7-1&gt;MOD(MONTH('03_Сеть'!BJ7)-9,12)),'03_Сеть'!BJ29*CapacityAge07*МножительДетей,0)</f>
        <v/>
      </c>
      <c r="BK115" s="5">
        <f>IF(AND(ПравилоПовтора="Новый сезон",7-1&gt;MOD(MONTH('03_Сеть'!BK7)-9,12)),'03_Сеть'!BK29*CapacityAge07*МножительДетей,0)</f>
        <v/>
      </c>
      <c r="BL115" s="5">
        <f>IF(AND(ПравилоПовтора="Новый сезон",7-1&gt;MOD(MONTH('03_Сеть'!BL7)-9,12)),'03_Сеть'!BL29*CapacityAge07*МножительДетей,0)</f>
        <v/>
      </c>
      <c r="BM115" s="5">
        <f>IF(AND(ПравилоПовтора="Новый сезон",7-1&gt;MOD(MONTH('03_Сеть'!BM7)-9,12)),'03_Сеть'!BM29*CapacityAge07*МножительДетей,0)</f>
        <v/>
      </c>
      <c r="BN115" s="5">
        <f>IF(AND(ПравилоПовтора="Новый сезон",7-1&gt;MOD(MONTH('03_Сеть'!BN7)-9,12)),'03_Сеть'!BN29*CapacityAge07*МножительДетей,0)</f>
        <v/>
      </c>
      <c r="BO115" s="5">
        <f>IF(AND(ПравилоПовтора="Новый сезон",7-1&gt;MOD(MONTH('03_Сеть'!BO7)-9,12)),'03_Сеть'!BO29*CapacityAge07*МножительДетей,0)</f>
        <v/>
      </c>
      <c r="BP115" s="5">
        <f>IF(AND(ПравилоПовтора="Новый сезон",7-1&gt;MOD(MONTH('03_Сеть'!BP7)-9,12)),'03_Сеть'!BP29*CapacityAge07*МножительДетей,0)</f>
        <v/>
      </c>
      <c r="BQ115" s="5">
        <f>IF(AND(ПравилоПовтора="Новый сезон",7-1&gt;MOD(MONTH('03_Сеть'!BQ7)-9,12)),'03_Сеть'!BQ29*CapacityAge07*МножительДетей,0)</f>
        <v/>
      </c>
      <c r="BR115" s="5">
        <f>IF(AND(ПравилоПовтора="Новый сезон",7-1&gt;MOD(MONTH('03_Сеть'!BR7)-9,12)),'03_Сеть'!BR29*CapacityAge07*МножительДетей,0)</f>
        <v/>
      </c>
      <c r="BS115" s="5">
        <f>IF(AND(ПравилоПовтора="Новый сезон",7-1&gt;MOD(MONTH('03_Сеть'!BS7)-9,12)),'03_Сеть'!BS29*CapacityAge07*МножительДетей,0)</f>
        <v/>
      </c>
      <c r="BT115" s="5">
        <f>IF(AND(ПравилоПовтора="Новый сезон",7-1&gt;MOD(MONTH('03_Сеть'!BT7)-9,12)),'03_Сеть'!BT29*CapacityAge07*МножительДетей,0)</f>
        <v/>
      </c>
      <c r="BU115" s="5">
        <f>IF(AND(ПравилоПовтора="Новый сезон",7-1&gt;MOD(MONTH('03_Сеть'!BU7)-9,12)),'03_Сеть'!BU29*CapacityAge07*МножительДетей,0)</f>
        <v/>
      </c>
      <c r="BV115" s="5">
        <f>IF(AND(ПравилоПовтора="Новый сезон",7-1&gt;MOD(MONTH('03_Сеть'!BV7)-9,12)),'03_Сеть'!BV29*CapacityAge07*МножительДетей,0)</f>
        <v/>
      </c>
      <c r="BW115" s="5">
        <f>IF(AND(ПравилоПовтора="Новый сезон",7-1&gt;MOD(MONTH('03_Сеть'!BW7)-9,12)),'03_Сеть'!BW29*CapacityAge07*МножительДетей,0)</f>
        <v/>
      </c>
      <c r="BX115" s="5">
        <f>IF(AND(ПравилоПовтора="Новый сезон",7-1&gt;MOD(MONTH('03_Сеть'!BX7)-9,12)),'03_Сеть'!BX29*CapacityAge07*МножительДетей,0)</f>
        <v/>
      </c>
      <c r="BY115" s="5">
        <f>IF(AND(ПравилоПовтора="Новый сезон",7-1&gt;MOD(MONTH('03_Сеть'!BY7)-9,12)),'03_Сеть'!BY29*CapacityAge07*МножительДетей,0)</f>
        <v/>
      </c>
    </row>
    <row r="116">
      <c r="B116" t="inlineStr">
        <is>
          <t>8 мес.</t>
        </is>
      </c>
      <c r="C116" t="inlineStr">
        <is>
          <t>чел.</t>
        </is>
      </c>
      <c r="D116" s="127" t="inlineStr">
        <is>
          <t>В колонках лет — значение на конец года, в «Итого» — на конец пятого года. Это остаток, а не сумма.</t>
        </is>
      </c>
      <c r="E116" s="129">
        <f>W116</f>
        <v/>
      </c>
      <c r="F116" s="129">
        <f>AI116</f>
        <v/>
      </c>
      <c r="G116" s="129">
        <f>AU116</f>
        <v/>
      </c>
      <c r="H116" s="129">
        <f>BG116</f>
        <v/>
      </c>
      <c r="I116" s="129">
        <f>BS116</f>
        <v/>
      </c>
      <c r="J116" s="6">
        <f>BS116</f>
        <v/>
      </c>
      <c r="L116" s="5">
        <f>IF(AND(ПравилоПовтора="Новый сезон",8-1&gt;MOD(MONTH('03_Сеть'!L7)-9,12)),'03_Сеть'!L30*CapacityAge08*МножительДетей,0)</f>
        <v/>
      </c>
      <c r="M116" s="5">
        <f>IF(AND(ПравилоПовтора="Новый сезон",8-1&gt;MOD(MONTH('03_Сеть'!M7)-9,12)),'03_Сеть'!M30*CapacityAge08*МножительДетей,0)</f>
        <v/>
      </c>
      <c r="N116" s="5">
        <f>IF(AND(ПравилоПовтора="Новый сезон",8-1&gt;MOD(MONTH('03_Сеть'!N7)-9,12)),'03_Сеть'!N30*CapacityAge08*МножительДетей,0)</f>
        <v/>
      </c>
      <c r="O116" s="5">
        <f>IF(AND(ПравилоПовтора="Новый сезон",8-1&gt;MOD(MONTH('03_Сеть'!O7)-9,12)),'03_Сеть'!O30*CapacityAge08*МножительДетей,0)</f>
        <v/>
      </c>
      <c r="P116" s="5">
        <f>IF(AND(ПравилоПовтора="Новый сезон",8-1&gt;MOD(MONTH('03_Сеть'!P7)-9,12)),'03_Сеть'!P30*CapacityAge08*МножительДетей,0)</f>
        <v/>
      </c>
      <c r="Q116" s="5">
        <f>IF(AND(ПравилоПовтора="Новый сезон",8-1&gt;MOD(MONTH('03_Сеть'!Q7)-9,12)),'03_Сеть'!Q30*CapacityAge08*МножительДетей,0)</f>
        <v/>
      </c>
      <c r="R116" s="5">
        <f>IF(AND(ПравилоПовтора="Новый сезон",8-1&gt;MOD(MONTH('03_Сеть'!R7)-9,12)),'03_Сеть'!R30*CapacityAge08*МножительДетей,0)</f>
        <v/>
      </c>
      <c r="S116" s="5">
        <f>IF(AND(ПравилоПовтора="Новый сезон",8-1&gt;MOD(MONTH('03_Сеть'!S7)-9,12)),'03_Сеть'!S30*CapacityAge08*МножительДетей,0)</f>
        <v/>
      </c>
      <c r="T116" s="5">
        <f>IF(AND(ПравилоПовтора="Новый сезон",8-1&gt;MOD(MONTH('03_Сеть'!T7)-9,12)),'03_Сеть'!T30*CapacityAge08*МножительДетей,0)</f>
        <v/>
      </c>
      <c r="U116" s="5">
        <f>IF(AND(ПравилоПовтора="Новый сезон",8-1&gt;MOD(MONTH('03_Сеть'!U7)-9,12)),'03_Сеть'!U30*CapacityAge08*МножительДетей,0)</f>
        <v/>
      </c>
      <c r="V116" s="5">
        <f>IF(AND(ПравилоПовтора="Новый сезон",8-1&gt;MOD(MONTH('03_Сеть'!V7)-9,12)),'03_Сеть'!V30*CapacityAge08*МножительДетей,0)</f>
        <v/>
      </c>
      <c r="W116" s="5">
        <f>IF(AND(ПравилоПовтора="Новый сезон",8-1&gt;MOD(MONTH('03_Сеть'!W7)-9,12)),'03_Сеть'!W30*CapacityAge08*МножительДетей,0)</f>
        <v/>
      </c>
      <c r="X116" s="5">
        <f>IF(AND(ПравилоПовтора="Новый сезон",8-1&gt;MOD(MONTH('03_Сеть'!X7)-9,12)),'03_Сеть'!X30*CapacityAge08*МножительДетей,0)</f>
        <v/>
      </c>
      <c r="Y116" s="5">
        <f>IF(AND(ПравилоПовтора="Новый сезон",8-1&gt;MOD(MONTH('03_Сеть'!Y7)-9,12)),'03_Сеть'!Y30*CapacityAge08*МножительДетей,0)</f>
        <v/>
      </c>
      <c r="Z116" s="5">
        <f>IF(AND(ПравилоПовтора="Новый сезон",8-1&gt;MOD(MONTH('03_Сеть'!Z7)-9,12)),'03_Сеть'!Z30*CapacityAge08*МножительДетей,0)</f>
        <v/>
      </c>
      <c r="AA116" s="5">
        <f>IF(AND(ПравилоПовтора="Новый сезон",8-1&gt;MOD(MONTH('03_Сеть'!AA7)-9,12)),'03_Сеть'!AA30*CapacityAge08*МножительДетей,0)</f>
        <v/>
      </c>
      <c r="AB116" s="5">
        <f>IF(AND(ПравилоПовтора="Новый сезон",8-1&gt;MOD(MONTH('03_Сеть'!AB7)-9,12)),'03_Сеть'!AB30*CapacityAge08*МножительДетей,0)</f>
        <v/>
      </c>
      <c r="AC116" s="5">
        <f>IF(AND(ПравилоПовтора="Новый сезон",8-1&gt;MOD(MONTH('03_Сеть'!AC7)-9,12)),'03_Сеть'!AC30*CapacityAge08*МножительДетей,0)</f>
        <v/>
      </c>
      <c r="AD116" s="5">
        <f>IF(AND(ПравилоПовтора="Новый сезон",8-1&gt;MOD(MONTH('03_Сеть'!AD7)-9,12)),'03_Сеть'!AD30*CapacityAge08*МножительДетей,0)</f>
        <v/>
      </c>
      <c r="AE116" s="5">
        <f>IF(AND(ПравилоПовтора="Новый сезон",8-1&gt;MOD(MONTH('03_Сеть'!AE7)-9,12)),'03_Сеть'!AE30*CapacityAge08*МножительДетей,0)</f>
        <v/>
      </c>
      <c r="AF116" s="5">
        <f>IF(AND(ПравилоПовтора="Новый сезон",8-1&gt;MOD(MONTH('03_Сеть'!AF7)-9,12)),'03_Сеть'!AF30*CapacityAge08*МножительДетей,0)</f>
        <v/>
      </c>
      <c r="AG116" s="5">
        <f>IF(AND(ПравилоПовтора="Новый сезон",8-1&gt;MOD(MONTH('03_Сеть'!AG7)-9,12)),'03_Сеть'!AG30*CapacityAge08*МножительДетей,0)</f>
        <v/>
      </c>
      <c r="AH116" s="5">
        <f>IF(AND(ПравилоПовтора="Новый сезон",8-1&gt;MOD(MONTH('03_Сеть'!AH7)-9,12)),'03_Сеть'!AH30*CapacityAge08*МножительДетей,0)</f>
        <v/>
      </c>
      <c r="AI116" s="5">
        <f>IF(AND(ПравилоПовтора="Новый сезон",8-1&gt;MOD(MONTH('03_Сеть'!AI7)-9,12)),'03_Сеть'!AI30*CapacityAge08*МножительДетей,0)</f>
        <v/>
      </c>
      <c r="AJ116" s="5">
        <f>IF(AND(ПравилоПовтора="Новый сезон",8-1&gt;MOD(MONTH('03_Сеть'!AJ7)-9,12)),'03_Сеть'!AJ30*CapacityAge08*МножительДетей,0)</f>
        <v/>
      </c>
      <c r="AK116" s="5">
        <f>IF(AND(ПравилоПовтора="Новый сезон",8-1&gt;MOD(MONTH('03_Сеть'!AK7)-9,12)),'03_Сеть'!AK30*CapacityAge08*МножительДетей,0)</f>
        <v/>
      </c>
      <c r="AL116" s="5">
        <f>IF(AND(ПравилоПовтора="Новый сезон",8-1&gt;MOD(MONTH('03_Сеть'!AL7)-9,12)),'03_Сеть'!AL30*CapacityAge08*МножительДетей,0)</f>
        <v/>
      </c>
      <c r="AM116" s="5">
        <f>IF(AND(ПравилоПовтора="Новый сезон",8-1&gt;MOD(MONTH('03_Сеть'!AM7)-9,12)),'03_Сеть'!AM30*CapacityAge08*МножительДетей,0)</f>
        <v/>
      </c>
      <c r="AN116" s="5">
        <f>IF(AND(ПравилоПовтора="Новый сезон",8-1&gt;MOD(MONTH('03_Сеть'!AN7)-9,12)),'03_Сеть'!AN30*CapacityAge08*МножительДетей,0)</f>
        <v/>
      </c>
      <c r="AO116" s="5">
        <f>IF(AND(ПравилоПовтора="Новый сезон",8-1&gt;MOD(MONTH('03_Сеть'!AO7)-9,12)),'03_Сеть'!AO30*CapacityAge08*МножительДетей,0)</f>
        <v/>
      </c>
      <c r="AP116" s="5">
        <f>IF(AND(ПравилоПовтора="Новый сезон",8-1&gt;MOD(MONTH('03_Сеть'!AP7)-9,12)),'03_Сеть'!AP30*CapacityAge08*МножительДетей,0)</f>
        <v/>
      </c>
      <c r="AQ116" s="5">
        <f>IF(AND(ПравилоПовтора="Новый сезон",8-1&gt;MOD(MONTH('03_Сеть'!AQ7)-9,12)),'03_Сеть'!AQ30*CapacityAge08*МножительДетей,0)</f>
        <v/>
      </c>
      <c r="AR116" s="5">
        <f>IF(AND(ПравилоПовтора="Новый сезон",8-1&gt;MOD(MONTH('03_Сеть'!AR7)-9,12)),'03_Сеть'!AR30*CapacityAge08*МножительДетей,0)</f>
        <v/>
      </c>
      <c r="AS116" s="5">
        <f>IF(AND(ПравилоПовтора="Новый сезон",8-1&gt;MOD(MONTH('03_Сеть'!AS7)-9,12)),'03_Сеть'!AS30*CapacityAge08*МножительДетей,0)</f>
        <v/>
      </c>
      <c r="AT116" s="5">
        <f>IF(AND(ПравилоПовтора="Новый сезон",8-1&gt;MOD(MONTH('03_Сеть'!AT7)-9,12)),'03_Сеть'!AT30*CapacityAge08*МножительДетей,0)</f>
        <v/>
      </c>
      <c r="AU116" s="5">
        <f>IF(AND(ПравилоПовтора="Новый сезон",8-1&gt;MOD(MONTH('03_Сеть'!AU7)-9,12)),'03_Сеть'!AU30*CapacityAge08*МножительДетей,0)</f>
        <v/>
      </c>
      <c r="AV116" s="5">
        <f>IF(AND(ПравилоПовтора="Новый сезон",8-1&gt;MOD(MONTH('03_Сеть'!AV7)-9,12)),'03_Сеть'!AV30*CapacityAge08*МножительДетей,0)</f>
        <v/>
      </c>
      <c r="AW116" s="5">
        <f>IF(AND(ПравилоПовтора="Новый сезон",8-1&gt;MOD(MONTH('03_Сеть'!AW7)-9,12)),'03_Сеть'!AW30*CapacityAge08*МножительДетей,0)</f>
        <v/>
      </c>
      <c r="AX116" s="5">
        <f>IF(AND(ПравилоПовтора="Новый сезон",8-1&gt;MOD(MONTH('03_Сеть'!AX7)-9,12)),'03_Сеть'!AX30*CapacityAge08*МножительДетей,0)</f>
        <v/>
      </c>
      <c r="AY116" s="5">
        <f>IF(AND(ПравилоПовтора="Новый сезон",8-1&gt;MOD(MONTH('03_Сеть'!AY7)-9,12)),'03_Сеть'!AY30*CapacityAge08*МножительДетей,0)</f>
        <v/>
      </c>
      <c r="AZ116" s="5">
        <f>IF(AND(ПравилоПовтора="Новый сезон",8-1&gt;MOD(MONTH('03_Сеть'!AZ7)-9,12)),'03_Сеть'!AZ30*CapacityAge08*МножительДетей,0)</f>
        <v/>
      </c>
      <c r="BA116" s="5">
        <f>IF(AND(ПравилоПовтора="Новый сезон",8-1&gt;MOD(MONTH('03_Сеть'!BA7)-9,12)),'03_Сеть'!BA30*CapacityAge08*МножительДетей,0)</f>
        <v/>
      </c>
      <c r="BB116" s="5">
        <f>IF(AND(ПравилоПовтора="Новый сезон",8-1&gt;MOD(MONTH('03_Сеть'!BB7)-9,12)),'03_Сеть'!BB30*CapacityAge08*МножительДетей,0)</f>
        <v/>
      </c>
      <c r="BC116" s="5">
        <f>IF(AND(ПравилоПовтора="Новый сезон",8-1&gt;MOD(MONTH('03_Сеть'!BC7)-9,12)),'03_Сеть'!BC30*CapacityAge08*МножительДетей,0)</f>
        <v/>
      </c>
      <c r="BD116" s="5">
        <f>IF(AND(ПравилоПовтора="Новый сезон",8-1&gt;MOD(MONTH('03_Сеть'!BD7)-9,12)),'03_Сеть'!BD30*CapacityAge08*МножительДетей,0)</f>
        <v/>
      </c>
      <c r="BE116" s="5">
        <f>IF(AND(ПравилоПовтора="Новый сезон",8-1&gt;MOD(MONTH('03_Сеть'!BE7)-9,12)),'03_Сеть'!BE30*CapacityAge08*МножительДетей,0)</f>
        <v/>
      </c>
      <c r="BF116" s="5">
        <f>IF(AND(ПравилоПовтора="Новый сезон",8-1&gt;MOD(MONTH('03_Сеть'!BF7)-9,12)),'03_Сеть'!BF30*CapacityAge08*МножительДетей,0)</f>
        <v/>
      </c>
      <c r="BG116" s="5">
        <f>IF(AND(ПравилоПовтора="Новый сезон",8-1&gt;MOD(MONTH('03_Сеть'!BG7)-9,12)),'03_Сеть'!BG30*CapacityAge08*МножительДетей,0)</f>
        <v/>
      </c>
      <c r="BH116" s="5">
        <f>IF(AND(ПравилоПовтора="Новый сезон",8-1&gt;MOD(MONTH('03_Сеть'!BH7)-9,12)),'03_Сеть'!BH30*CapacityAge08*МножительДетей,0)</f>
        <v/>
      </c>
      <c r="BI116" s="5">
        <f>IF(AND(ПравилоПовтора="Новый сезон",8-1&gt;MOD(MONTH('03_Сеть'!BI7)-9,12)),'03_Сеть'!BI30*CapacityAge08*МножительДетей,0)</f>
        <v/>
      </c>
      <c r="BJ116" s="5">
        <f>IF(AND(ПравилоПовтора="Новый сезон",8-1&gt;MOD(MONTH('03_Сеть'!BJ7)-9,12)),'03_Сеть'!BJ30*CapacityAge08*МножительДетей,0)</f>
        <v/>
      </c>
      <c r="BK116" s="5">
        <f>IF(AND(ПравилоПовтора="Новый сезон",8-1&gt;MOD(MONTH('03_Сеть'!BK7)-9,12)),'03_Сеть'!BK30*CapacityAge08*МножительДетей,0)</f>
        <v/>
      </c>
      <c r="BL116" s="5">
        <f>IF(AND(ПравилоПовтора="Новый сезон",8-1&gt;MOD(MONTH('03_Сеть'!BL7)-9,12)),'03_Сеть'!BL30*CapacityAge08*МножительДетей,0)</f>
        <v/>
      </c>
      <c r="BM116" s="5">
        <f>IF(AND(ПравилоПовтора="Новый сезон",8-1&gt;MOD(MONTH('03_Сеть'!BM7)-9,12)),'03_Сеть'!BM30*CapacityAge08*МножительДетей,0)</f>
        <v/>
      </c>
      <c r="BN116" s="5">
        <f>IF(AND(ПравилоПовтора="Новый сезон",8-1&gt;MOD(MONTH('03_Сеть'!BN7)-9,12)),'03_Сеть'!BN30*CapacityAge08*МножительДетей,0)</f>
        <v/>
      </c>
      <c r="BO116" s="5">
        <f>IF(AND(ПравилоПовтора="Новый сезон",8-1&gt;MOD(MONTH('03_Сеть'!BO7)-9,12)),'03_Сеть'!BO30*CapacityAge08*МножительДетей,0)</f>
        <v/>
      </c>
      <c r="BP116" s="5">
        <f>IF(AND(ПравилоПовтора="Новый сезон",8-1&gt;MOD(MONTH('03_Сеть'!BP7)-9,12)),'03_Сеть'!BP30*CapacityAge08*МножительДетей,0)</f>
        <v/>
      </c>
      <c r="BQ116" s="5">
        <f>IF(AND(ПравилоПовтора="Новый сезон",8-1&gt;MOD(MONTH('03_Сеть'!BQ7)-9,12)),'03_Сеть'!BQ30*CapacityAge08*МножительДетей,0)</f>
        <v/>
      </c>
      <c r="BR116" s="5">
        <f>IF(AND(ПравилоПовтора="Новый сезон",8-1&gt;MOD(MONTH('03_Сеть'!BR7)-9,12)),'03_Сеть'!BR30*CapacityAge08*МножительДетей,0)</f>
        <v/>
      </c>
      <c r="BS116" s="5">
        <f>IF(AND(ПравилоПовтора="Новый сезон",8-1&gt;MOD(MONTH('03_Сеть'!BS7)-9,12)),'03_Сеть'!BS30*CapacityAge08*МножительДетей,0)</f>
        <v/>
      </c>
      <c r="BT116" s="5">
        <f>IF(AND(ПравилоПовтора="Новый сезон",8-1&gt;MOD(MONTH('03_Сеть'!BT7)-9,12)),'03_Сеть'!BT30*CapacityAge08*МножительДетей,0)</f>
        <v/>
      </c>
      <c r="BU116" s="5">
        <f>IF(AND(ПравилоПовтора="Новый сезон",8-1&gt;MOD(MONTH('03_Сеть'!BU7)-9,12)),'03_Сеть'!BU30*CapacityAge08*МножительДетей,0)</f>
        <v/>
      </c>
      <c r="BV116" s="5">
        <f>IF(AND(ПравилоПовтора="Новый сезон",8-1&gt;MOD(MONTH('03_Сеть'!BV7)-9,12)),'03_Сеть'!BV30*CapacityAge08*МножительДетей,0)</f>
        <v/>
      </c>
      <c r="BW116" s="5">
        <f>IF(AND(ПравилоПовтора="Новый сезон",8-1&gt;MOD(MONTH('03_Сеть'!BW7)-9,12)),'03_Сеть'!BW30*CapacityAge08*МножительДетей,0)</f>
        <v/>
      </c>
      <c r="BX116" s="5">
        <f>IF(AND(ПравилоПовтора="Новый сезон",8-1&gt;MOD(MONTH('03_Сеть'!BX7)-9,12)),'03_Сеть'!BX30*CapacityAge08*МножительДетей,0)</f>
        <v/>
      </c>
      <c r="BY116" s="5">
        <f>IF(AND(ПравилоПовтора="Новый сезон",8-1&gt;MOD(MONTH('03_Сеть'!BY7)-9,12)),'03_Сеть'!BY30*CapacityAge08*МножительДетей,0)</f>
        <v/>
      </c>
    </row>
    <row r="117">
      <c r="B117" t="inlineStr">
        <is>
          <t>9 мес.</t>
        </is>
      </c>
      <c r="C117" t="inlineStr">
        <is>
          <t>чел.</t>
        </is>
      </c>
      <c r="D117" s="127" t="inlineStr">
        <is>
          <t>В колонках лет — значение на конец года, в «Итого» — на конец пятого года. Это остаток, а не сумма.</t>
        </is>
      </c>
      <c r="E117" s="129">
        <f>W117</f>
        <v/>
      </c>
      <c r="F117" s="129">
        <f>AI117</f>
        <v/>
      </c>
      <c r="G117" s="129">
        <f>AU117</f>
        <v/>
      </c>
      <c r="H117" s="129">
        <f>BG117</f>
        <v/>
      </c>
      <c r="I117" s="129">
        <f>BS117</f>
        <v/>
      </c>
      <c r="J117" s="6">
        <f>BS117</f>
        <v/>
      </c>
      <c r="L117" s="5">
        <f>IF(AND(ПравилоПовтора="Новый сезон",9-1&gt;MOD(MONTH('03_Сеть'!L7)-9,12)),'03_Сеть'!L31*CapacityAge09*МножительДетей,0)</f>
        <v/>
      </c>
      <c r="M117" s="5">
        <f>IF(AND(ПравилоПовтора="Новый сезон",9-1&gt;MOD(MONTH('03_Сеть'!M7)-9,12)),'03_Сеть'!M31*CapacityAge09*МножительДетей,0)</f>
        <v/>
      </c>
      <c r="N117" s="5">
        <f>IF(AND(ПравилоПовтора="Новый сезон",9-1&gt;MOD(MONTH('03_Сеть'!N7)-9,12)),'03_Сеть'!N31*CapacityAge09*МножительДетей,0)</f>
        <v/>
      </c>
      <c r="O117" s="5">
        <f>IF(AND(ПравилоПовтора="Новый сезон",9-1&gt;MOD(MONTH('03_Сеть'!O7)-9,12)),'03_Сеть'!O31*CapacityAge09*МножительДетей,0)</f>
        <v/>
      </c>
      <c r="P117" s="5">
        <f>IF(AND(ПравилоПовтора="Новый сезон",9-1&gt;MOD(MONTH('03_Сеть'!P7)-9,12)),'03_Сеть'!P31*CapacityAge09*МножительДетей,0)</f>
        <v/>
      </c>
      <c r="Q117" s="5">
        <f>IF(AND(ПравилоПовтора="Новый сезон",9-1&gt;MOD(MONTH('03_Сеть'!Q7)-9,12)),'03_Сеть'!Q31*CapacityAge09*МножительДетей,0)</f>
        <v/>
      </c>
      <c r="R117" s="5">
        <f>IF(AND(ПравилоПовтора="Новый сезон",9-1&gt;MOD(MONTH('03_Сеть'!R7)-9,12)),'03_Сеть'!R31*CapacityAge09*МножительДетей,0)</f>
        <v/>
      </c>
      <c r="S117" s="5">
        <f>IF(AND(ПравилоПовтора="Новый сезон",9-1&gt;MOD(MONTH('03_Сеть'!S7)-9,12)),'03_Сеть'!S31*CapacityAge09*МножительДетей,0)</f>
        <v/>
      </c>
      <c r="T117" s="5">
        <f>IF(AND(ПравилоПовтора="Новый сезон",9-1&gt;MOD(MONTH('03_Сеть'!T7)-9,12)),'03_Сеть'!T31*CapacityAge09*МножительДетей,0)</f>
        <v/>
      </c>
      <c r="U117" s="5">
        <f>IF(AND(ПравилоПовтора="Новый сезон",9-1&gt;MOD(MONTH('03_Сеть'!U7)-9,12)),'03_Сеть'!U31*CapacityAge09*МножительДетей,0)</f>
        <v/>
      </c>
      <c r="V117" s="5">
        <f>IF(AND(ПравилоПовтора="Новый сезон",9-1&gt;MOD(MONTH('03_Сеть'!V7)-9,12)),'03_Сеть'!V31*CapacityAge09*МножительДетей,0)</f>
        <v/>
      </c>
      <c r="W117" s="5">
        <f>IF(AND(ПравилоПовтора="Новый сезон",9-1&gt;MOD(MONTH('03_Сеть'!W7)-9,12)),'03_Сеть'!W31*CapacityAge09*МножительДетей,0)</f>
        <v/>
      </c>
      <c r="X117" s="5">
        <f>IF(AND(ПравилоПовтора="Новый сезон",9-1&gt;MOD(MONTH('03_Сеть'!X7)-9,12)),'03_Сеть'!X31*CapacityAge09*МножительДетей,0)</f>
        <v/>
      </c>
      <c r="Y117" s="5">
        <f>IF(AND(ПравилоПовтора="Новый сезон",9-1&gt;MOD(MONTH('03_Сеть'!Y7)-9,12)),'03_Сеть'!Y31*CapacityAge09*МножительДетей,0)</f>
        <v/>
      </c>
      <c r="Z117" s="5">
        <f>IF(AND(ПравилоПовтора="Новый сезон",9-1&gt;MOD(MONTH('03_Сеть'!Z7)-9,12)),'03_Сеть'!Z31*CapacityAge09*МножительДетей,0)</f>
        <v/>
      </c>
      <c r="AA117" s="5">
        <f>IF(AND(ПравилоПовтора="Новый сезон",9-1&gt;MOD(MONTH('03_Сеть'!AA7)-9,12)),'03_Сеть'!AA31*CapacityAge09*МножительДетей,0)</f>
        <v/>
      </c>
      <c r="AB117" s="5">
        <f>IF(AND(ПравилоПовтора="Новый сезон",9-1&gt;MOD(MONTH('03_Сеть'!AB7)-9,12)),'03_Сеть'!AB31*CapacityAge09*МножительДетей,0)</f>
        <v/>
      </c>
      <c r="AC117" s="5">
        <f>IF(AND(ПравилоПовтора="Новый сезон",9-1&gt;MOD(MONTH('03_Сеть'!AC7)-9,12)),'03_Сеть'!AC31*CapacityAge09*МножительДетей,0)</f>
        <v/>
      </c>
      <c r="AD117" s="5">
        <f>IF(AND(ПравилоПовтора="Новый сезон",9-1&gt;MOD(MONTH('03_Сеть'!AD7)-9,12)),'03_Сеть'!AD31*CapacityAge09*МножительДетей,0)</f>
        <v/>
      </c>
      <c r="AE117" s="5">
        <f>IF(AND(ПравилоПовтора="Новый сезон",9-1&gt;MOD(MONTH('03_Сеть'!AE7)-9,12)),'03_Сеть'!AE31*CapacityAge09*МножительДетей,0)</f>
        <v/>
      </c>
      <c r="AF117" s="5">
        <f>IF(AND(ПравилоПовтора="Новый сезон",9-1&gt;MOD(MONTH('03_Сеть'!AF7)-9,12)),'03_Сеть'!AF31*CapacityAge09*МножительДетей,0)</f>
        <v/>
      </c>
      <c r="AG117" s="5">
        <f>IF(AND(ПравилоПовтора="Новый сезон",9-1&gt;MOD(MONTH('03_Сеть'!AG7)-9,12)),'03_Сеть'!AG31*CapacityAge09*МножительДетей,0)</f>
        <v/>
      </c>
      <c r="AH117" s="5">
        <f>IF(AND(ПравилоПовтора="Новый сезон",9-1&gt;MOD(MONTH('03_Сеть'!AH7)-9,12)),'03_Сеть'!AH31*CapacityAge09*МножительДетей,0)</f>
        <v/>
      </c>
      <c r="AI117" s="5">
        <f>IF(AND(ПравилоПовтора="Новый сезон",9-1&gt;MOD(MONTH('03_Сеть'!AI7)-9,12)),'03_Сеть'!AI31*CapacityAge09*МножительДетей,0)</f>
        <v/>
      </c>
      <c r="AJ117" s="5">
        <f>IF(AND(ПравилоПовтора="Новый сезон",9-1&gt;MOD(MONTH('03_Сеть'!AJ7)-9,12)),'03_Сеть'!AJ31*CapacityAge09*МножительДетей,0)</f>
        <v/>
      </c>
      <c r="AK117" s="5">
        <f>IF(AND(ПравилоПовтора="Новый сезон",9-1&gt;MOD(MONTH('03_Сеть'!AK7)-9,12)),'03_Сеть'!AK31*CapacityAge09*МножительДетей,0)</f>
        <v/>
      </c>
      <c r="AL117" s="5">
        <f>IF(AND(ПравилоПовтора="Новый сезон",9-1&gt;MOD(MONTH('03_Сеть'!AL7)-9,12)),'03_Сеть'!AL31*CapacityAge09*МножительДетей,0)</f>
        <v/>
      </c>
      <c r="AM117" s="5">
        <f>IF(AND(ПравилоПовтора="Новый сезон",9-1&gt;MOD(MONTH('03_Сеть'!AM7)-9,12)),'03_Сеть'!AM31*CapacityAge09*МножительДетей,0)</f>
        <v/>
      </c>
      <c r="AN117" s="5">
        <f>IF(AND(ПравилоПовтора="Новый сезон",9-1&gt;MOD(MONTH('03_Сеть'!AN7)-9,12)),'03_Сеть'!AN31*CapacityAge09*МножительДетей,0)</f>
        <v/>
      </c>
      <c r="AO117" s="5">
        <f>IF(AND(ПравилоПовтора="Новый сезон",9-1&gt;MOD(MONTH('03_Сеть'!AO7)-9,12)),'03_Сеть'!AO31*CapacityAge09*МножительДетей,0)</f>
        <v/>
      </c>
      <c r="AP117" s="5">
        <f>IF(AND(ПравилоПовтора="Новый сезон",9-1&gt;MOD(MONTH('03_Сеть'!AP7)-9,12)),'03_Сеть'!AP31*CapacityAge09*МножительДетей,0)</f>
        <v/>
      </c>
      <c r="AQ117" s="5">
        <f>IF(AND(ПравилоПовтора="Новый сезон",9-1&gt;MOD(MONTH('03_Сеть'!AQ7)-9,12)),'03_Сеть'!AQ31*CapacityAge09*МножительДетей,0)</f>
        <v/>
      </c>
      <c r="AR117" s="5">
        <f>IF(AND(ПравилоПовтора="Новый сезон",9-1&gt;MOD(MONTH('03_Сеть'!AR7)-9,12)),'03_Сеть'!AR31*CapacityAge09*МножительДетей,0)</f>
        <v/>
      </c>
      <c r="AS117" s="5">
        <f>IF(AND(ПравилоПовтора="Новый сезон",9-1&gt;MOD(MONTH('03_Сеть'!AS7)-9,12)),'03_Сеть'!AS31*CapacityAge09*МножительДетей,0)</f>
        <v/>
      </c>
      <c r="AT117" s="5">
        <f>IF(AND(ПравилоПовтора="Новый сезон",9-1&gt;MOD(MONTH('03_Сеть'!AT7)-9,12)),'03_Сеть'!AT31*CapacityAge09*МножительДетей,0)</f>
        <v/>
      </c>
      <c r="AU117" s="5">
        <f>IF(AND(ПравилоПовтора="Новый сезон",9-1&gt;MOD(MONTH('03_Сеть'!AU7)-9,12)),'03_Сеть'!AU31*CapacityAge09*МножительДетей,0)</f>
        <v/>
      </c>
      <c r="AV117" s="5">
        <f>IF(AND(ПравилоПовтора="Новый сезон",9-1&gt;MOD(MONTH('03_Сеть'!AV7)-9,12)),'03_Сеть'!AV31*CapacityAge09*МножительДетей,0)</f>
        <v/>
      </c>
      <c r="AW117" s="5">
        <f>IF(AND(ПравилоПовтора="Новый сезон",9-1&gt;MOD(MONTH('03_Сеть'!AW7)-9,12)),'03_Сеть'!AW31*CapacityAge09*МножительДетей,0)</f>
        <v/>
      </c>
      <c r="AX117" s="5">
        <f>IF(AND(ПравилоПовтора="Новый сезон",9-1&gt;MOD(MONTH('03_Сеть'!AX7)-9,12)),'03_Сеть'!AX31*CapacityAge09*МножительДетей,0)</f>
        <v/>
      </c>
      <c r="AY117" s="5">
        <f>IF(AND(ПравилоПовтора="Новый сезон",9-1&gt;MOD(MONTH('03_Сеть'!AY7)-9,12)),'03_Сеть'!AY31*CapacityAge09*МножительДетей,0)</f>
        <v/>
      </c>
      <c r="AZ117" s="5">
        <f>IF(AND(ПравилоПовтора="Новый сезон",9-1&gt;MOD(MONTH('03_Сеть'!AZ7)-9,12)),'03_Сеть'!AZ31*CapacityAge09*МножительДетей,0)</f>
        <v/>
      </c>
      <c r="BA117" s="5">
        <f>IF(AND(ПравилоПовтора="Новый сезон",9-1&gt;MOD(MONTH('03_Сеть'!BA7)-9,12)),'03_Сеть'!BA31*CapacityAge09*МножительДетей,0)</f>
        <v/>
      </c>
      <c r="BB117" s="5">
        <f>IF(AND(ПравилоПовтора="Новый сезон",9-1&gt;MOD(MONTH('03_Сеть'!BB7)-9,12)),'03_Сеть'!BB31*CapacityAge09*МножительДетей,0)</f>
        <v/>
      </c>
      <c r="BC117" s="5">
        <f>IF(AND(ПравилоПовтора="Новый сезон",9-1&gt;MOD(MONTH('03_Сеть'!BC7)-9,12)),'03_Сеть'!BC31*CapacityAge09*МножительДетей,0)</f>
        <v/>
      </c>
      <c r="BD117" s="5">
        <f>IF(AND(ПравилоПовтора="Новый сезон",9-1&gt;MOD(MONTH('03_Сеть'!BD7)-9,12)),'03_Сеть'!BD31*CapacityAge09*МножительДетей,0)</f>
        <v/>
      </c>
      <c r="BE117" s="5">
        <f>IF(AND(ПравилоПовтора="Новый сезон",9-1&gt;MOD(MONTH('03_Сеть'!BE7)-9,12)),'03_Сеть'!BE31*CapacityAge09*МножительДетей,0)</f>
        <v/>
      </c>
      <c r="BF117" s="5">
        <f>IF(AND(ПравилоПовтора="Новый сезон",9-1&gt;MOD(MONTH('03_Сеть'!BF7)-9,12)),'03_Сеть'!BF31*CapacityAge09*МножительДетей,0)</f>
        <v/>
      </c>
      <c r="BG117" s="5">
        <f>IF(AND(ПравилоПовтора="Новый сезон",9-1&gt;MOD(MONTH('03_Сеть'!BG7)-9,12)),'03_Сеть'!BG31*CapacityAge09*МножительДетей,0)</f>
        <v/>
      </c>
      <c r="BH117" s="5">
        <f>IF(AND(ПравилоПовтора="Новый сезон",9-1&gt;MOD(MONTH('03_Сеть'!BH7)-9,12)),'03_Сеть'!BH31*CapacityAge09*МножительДетей,0)</f>
        <v/>
      </c>
      <c r="BI117" s="5">
        <f>IF(AND(ПравилоПовтора="Новый сезон",9-1&gt;MOD(MONTH('03_Сеть'!BI7)-9,12)),'03_Сеть'!BI31*CapacityAge09*МножительДетей,0)</f>
        <v/>
      </c>
      <c r="BJ117" s="5">
        <f>IF(AND(ПравилоПовтора="Новый сезон",9-1&gt;MOD(MONTH('03_Сеть'!BJ7)-9,12)),'03_Сеть'!BJ31*CapacityAge09*МножительДетей,0)</f>
        <v/>
      </c>
      <c r="BK117" s="5">
        <f>IF(AND(ПравилоПовтора="Новый сезон",9-1&gt;MOD(MONTH('03_Сеть'!BK7)-9,12)),'03_Сеть'!BK31*CapacityAge09*МножительДетей,0)</f>
        <v/>
      </c>
      <c r="BL117" s="5">
        <f>IF(AND(ПравилоПовтора="Новый сезон",9-1&gt;MOD(MONTH('03_Сеть'!BL7)-9,12)),'03_Сеть'!BL31*CapacityAge09*МножительДетей,0)</f>
        <v/>
      </c>
      <c r="BM117" s="5">
        <f>IF(AND(ПравилоПовтора="Новый сезон",9-1&gt;MOD(MONTH('03_Сеть'!BM7)-9,12)),'03_Сеть'!BM31*CapacityAge09*МножительДетей,0)</f>
        <v/>
      </c>
      <c r="BN117" s="5">
        <f>IF(AND(ПравилоПовтора="Новый сезон",9-1&gt;MOD(MONTH('03_Сеть'!BN7)-9,12)),'03_Сеть'!BN31*CapacityAge09*МножительДетей,0)</f>
        <v/>
      </c>
      <c r="BO117" s="5">
        <f>IF(AND(ПравилоПовтора="Новый сезон",9-1&gt;MOD(MONTH('03_Сеть'!BO7)-9,12)),'03_Сеть'!BO31*CapacityAge09*МножительДетей,0)</f>
        <v/>
      </c>
      <c r="BP117" s="5">
        <f>IF(AND(ПравилоПовтора="Новый сезон",9-1&gt;MOD(MONTH('03_Сеть'!BP7)-9,12)),'03_Сеть'!BP31*CapacityAge09*МножительДетей,0)</f>
        <v/>
      </c>
      <c r="BQ117" s="5">
        <f>IF(AND(ПравилоПовтора="Новый сезон",9-1&gt;MOD(MONTH('03_Сеть'!BQ7)-9,12)),'03_Сеть'!BQ31*CapacityAge09*МножительДетей,0)</f>
        <v/>
      </c>
      <c r="BR117" s="5">
        <f>IF(AND(ПравилоПовтора="Новый сезон",9-1&gt;MOD(MONTH('03_Сеть'!BR7)-9,12)),'03_Сеть'!BR31*CapacityAge09*МножительДетей,0)</f>
        <v/>
      </c>
      <c r="BS117" s="5">
        <f>IF(AND(ПравилоПовтора="Новый сезон",9-1&gt;MOD(MONTH('03_Сеть'!BS7)-9,12)),'03_Сеть'!BS31*CapacityAge09*МножительДетей,0)</f>
        <v/>
      </c>
      <c r="BT117" s="5">
        <f>IF(AND(ПравилоПовтора="Новый сезон",9-1&gt;MOD(MONTH('03_Сеть'!BT7)-9,12)),'03_Сеть'!BT31*CapacityAge09*МножительДетей,0)</f>
        <v/>
      </c>
      <c r="BU117" s="5">
        <f>IF(AND(ПравилоПовтора="Новый сезон",9-1&gt;MOD(MONTH('03_Сеть'!BU7)-9,12)),'03_Сеть'!BU31*CapacityAge09*МножительДетей,0)</f>
        <v/>
      </c>
      <c r="BV117" s="5">
        <f>IF(AND(ПравилоПовтора="Новый сезон",9-1&gt;MOD(MONTH('03_Сеть'!BV7)-9,12)),'03_Сеть'!BV31*CapacityAge09*МножительДетей,0)</f>
        <v/>
      </c>
      <c r="BW117" s="5">
        <f>IF(AND(ПравилоПовтора="Новый сезон",9-1&gt;MOD(MONTH('03_Сеть'!BW7)-9,12)),'03_Сеть'!BW31*CapacityAge09*МножительДетей,0)</f>
        <v/>
      </c>
      <c r="BX117" s="5">
        <f>IF(AND(ПравилоПовтора="Новый сезон",9-1&gt;MOD(MONTH('03_Сеть'!BX7)-9,12)),'03_Сеть'!BX31*CapacityAge09*МножительДетей,0)</f>
        <v/>
      </c>
      <c r="BY117" s="5">
        <f>IF(AND(ПравилоПовтора="Новый сезон",9-1&gt;MOD(MONTH('03_Сеть'!BY7)-9,12)),'03_Сеть'!BY31*CapacityAge09*МножительДетей,0)</f>
        <v/>
      </c>
    </row>
    <row r="118">
      <c r="B118" t="inlineStr">
        <is>
          <t>10 мес.</t>
        </is>
      </c>
      <c r="C118" t="inlineStr">
        <is>
          <t>чел.</t>
        </is>
      </c>
      <c r="D118" s="127" t="inlineStr">
        <is>
          <t>В колонках лет — значение на конец года, в «Итого» — на конец пятого года. Это остаток, а не сумма.</t>
        </is>
      </c>
      <c r="E118" s="129">
        <f>W118</f>
        <v/>
      </c>
      <c r="F118" s="129">
        <f>AI118</f>
        <v/>
      </c>
      <c r="G118" s="129">
        <f>AU118</f>
        <v/>
      </c>
      <c r="H118" s="129">
        <f>BG118</f>
        <v/>
      </c>
      <c r="I118" s="129">
        <f>BS118</f>
        <v/>
      </c>
      <c r="J118" s="6">
        <f>BS118</f>
        <v/>
      </c>
      <c r="L118" s="5">
        <f>IF(AND(ПравилоПовтора="Новый сезон",10-1&gt;MOD(MONTH('03_Сеть'!L7)-9,12)),'03_Сеть'!L32*CapacityAge10*МножительДетей,0)</f>
        <v/>
      </c>
      <c r="M118" s="5">
        <f>IF(AND(ПравилоПовтора="Новый сезон",10-1&gt;MOD(MONTH('03_Сеть'!M7)-9,12)),'03_Сеть'!M32*CapacityAge10*МножительДетей,0)</f>
        <v/>
      </c>
      <c r="N118" s="5">
        <f>IF(AND(ПравилоПовтора="Новый сезон",10-1&gt;MOD(MONTH('03_Сеть'!N7)-9,12)),'03_Сеть'!N32*CapacityAge10*МножительДетей,0)</f>
        <v/>
      </c>
      <c r="O118" s="5">
        <f>IF(AND(ПравилоПовтора="Новый сезон",10-1&gt;MOD(MONTH('03_Сеть'!O7)-9,12)),'03_Сеть'!O32*CapacityAge10*МножительДетей,0)</f>
        <v/>
      </c>
      <c r="P118" s="5">
        <f>IF(AND(ПравилоПовтора="Новый сезон",10-1&gt;MOD(MONTH('03_Сеть'!P7)-9,12)),'03_Сеть'!P32*CapacityAge10*МножительДетей,0)</f>
        <v/>
      </c>
      <c r="Q118" s="5">
        <f>IF(AND(ПравилоПовтора="Новый сезон",10-1&gt;MOD(MONTH('03_Сеть'!Q7)-9,12)),'03_Сеть'!Q32*CapacityAge10*МножительДетей,0)</f>
        <v/>
      </c>
      <c r="R118" s="5">
        <f>IF(AND(ПравилоПовтора="Новый сезон",10-1&gt;MOD(MONTH('03_Сеть'!R7)-9,12)),'03_Сеть'!R32*CapacityAge10*МножительДетей,0)</f>
        <v/>
      </c>
      <c r="S118" s="5">
        <f>IF(AND(ПравилоПовтора="Новый сезон",10-1&gt;MOD(MONTH('03_Сеть'!S7)-9,12)),'03_Сеть'!S32*CapacityAge10*МножительДетей,0)</f>
        <v/>
      </c>
      <c r="T118" s="5">
        <f>IF(AND(ПравилоПовтора="Новый сезон",10-1&gt;MOD(MONTH('03_Сеть'!T7)-9,12)),'03_Сеть'!T32*CapacityAge10*МножительДетей,0)</f>
        <v/>
      </c>
      <c r="U118" s="5">
        <f>IF(AND(ПравилоПовтора="Новый сезон",10-1&gt;MOD(MONTH('03_Сеть'!U7)-9,12)),'03_Сеть'!U32*CapacityAge10*МножительДетей,0)</f>
        <v/>
      </c>
      <c r="V118" s="5">
        <f>IF(AND(ПравилоПовтора="Новый сезон",10-1&gt;MOD(MONTH('03_Сеть'!V7)-9,12)),'03_Сеть'!V32*CapacityAge10*МножительДетей,0)</f>
        <v/>
      </c>
      <c r="W118" s="5">
        <f>IF(AND(ПравилоПовтора="Новый сезон",10-1&gt;MOD(MONTH('03_Сеть'!W7)-9,12)),'03_Сеть'!W32*CapacityAge10*МножительДетей,0)</f>
        <v/>
      </c>
      <c r="X118" s="5">
        <f>IF(AND(ПравилоПовтора="Новый сезон",10-1&gt;MOD(MONTH('03_Сеть'!X7)-9,12)),'03_Сеть'!X32*CapacityAge10*МножительДетей,0)</f>
        <v/>
      </c>
      <c r="Y118" s="5">
        <f>IF(AND(ПравилоПовтора="Новый сезон",10-1&gt;MOD(MONTH('03_Сеть'!Y7)-9,12)),'03_Сеть'!Y32*CapacityAge10*МножительДетей,0)</f>
        <v/>
      </c>
      <c r="Z118" s="5">
        <f>IF(AND(ПравилоПовтора="Новый сезон",10-1&gt;MOD(MONTH('03_Сеть'!Z7)-9,12)),'03_Сеть'!Z32*CapacityAge10*МножительДетей,0)</f>
        <v/>
      </c>
      <c r="AA118" s="5">
        <f>IF(AND(ПравилоПовтора="Новый сезон",10-1&gt;MOD(MONTH('03_Сеть'!AA7)-9,12)),'03_Сеть'!AA32*CapacityAge10*МножительДетей,0)</f>
        <v/>
      </c>
      <c r="AB118" s="5">
        <f>IF(AND(ПравилоПовтора="Новый сезон",10-1&gt;MOD(MONTH('03_Сеть'!AB7)-9,12)),'03_Сеть'!AB32*CapacityAge10*МножительДетей,0)</f>
        <v/>
      </c>
      <c r="AC118" s="5">
        <f>IF(AND(ПравилоПовтора="Новый сезон",10-1&gt;MOD(MONTH('03_Сеть'!AC7)-9,12)),'03_Сеть'!AC32*CapacityAge10*МножительДетей,0)</f>
        <v/>
      </c>
      <c r="AD118" s="5">
        <f>IF(AND(ПравилоПовтора="Новый сезон",10-1&gt;MOD(MONTH('03_Сеть'!AD7)-9,12)),'03_Сеть'!AD32*CapacityAge10*МножительДетей,0)</f>
        <v/>
      </c>
      <c r="AE118" s="5">
        <f>IF(AND(ПравилоПовтора="Новый сезон",10-1&gt;MOD(MONTH('03_Сеть'!AE7)-9,12)),'03_Сеть'!AE32*CapacityAge10*МножительДетей,0)</f>
        <v/>
      </c>
      <c r="AF118" s="5">
        <f>IF(AND(ПравилоПовтора="Новый сезон",10-1&gt;MOD(MONTH('03_Сеть'!AF7)-9,12)),'03_Сеть'!AF32*CapacityAge10*МножительДетей,0)</f>
        <v/>
      </c>
      <c r="AG118" s="5">
        <f>IF(AND(ПравилоПовтора="Новый сезон",10-1&gt;MOD(MONTH('03_Сеть'!AG7)-9,12)),'03_Сеть'!AG32*CapacityAge10*МножительДетей,0)</f>
        <v/>
      </c>
      <c r="AH118" s="5">
        <f>IF(AND(ПравилоПовтора="Новый сезон",10-1&gt;MOD(MONTH('03_Сеть'!AH7)-9,12)),'03_Сеть'!AH32*CapacityAge10*МножительДетей,0)</f>
        <v/>
      </c>
      <c r="AI118" s="5">
        <f>IF(AND(ПравилоПовтора="Новый сезон",10-1&gt;MOD(MONTH('03_Сеть'!AI7)-9,12)),'03_Сеть'!AI32*CapacityAge10*МножительДетей,0)</f>
        <v/>
      </c>
      <c r="AJ118" s="5">
        <f>IF(AND(ПравилоПовтора="Новый сезон",10-1&gt;MOD(MONTH('03_Сеть'!AJ7)-9,12)),'03_Сеть'!AJ32*CapacityAge10*МножительДетей,0)</f>
        <v/>
      </c>
      <c r="AK118" s="5">
        <f>IF(AND(ПравилоПовтора="Новый сезон",10-1&gt;MOD(MONTH('03_Сеть'!AK7)-9,12)),'03_Сеть'!AK32*CapacityAge10*МножительДетей,0)</f>
        <v/>
      </c>
      <c r="AL118" s="5">
        <f>IF(AND(ПравилоПовтора="Новый сезон",10-1&gt;MOD(MONTH('03_Сеть'!AL7)-9,12)),'03_Сеть'!AL32*CapacityAge10*МножительДетей,0)</f>
        <v/>
      </c>
      <c r="AM118" s="5">
        <f>IF(AND(ПравилоПовтора="Новый сезон",10-1&gt;MOD(MONTH('03_Сеть'!AM7)-9,12)),'03_Сеть'!AM32*CapacityAge10*МножительДетей,0)</f>
        <v/>
      </c>
      <c r="AN118" s="5">
        <f>IF(AND(ПравилоПовтора="Новый сезон",10-1&gt;MOD(MONTH('03_Сеть'!AN7)-9,12)),'03_Сеть'!AN32*CapacityAge10*МножительДетей,0)</f>
        <v/>
      </c>
      <c r="AO118" s="5">
        <f>IF(AND(ПравилоПовтора="Новый сезон",10-1&gt;MOD(MONTH('03_Сеть'!AO7)-9,12)),'03_Сеть'!AO32*CapacityAge10*МножительДетей,0)</f>
        <v/>
      </c>
      <c r="AP118" s="5">
        <f>IF(AND(ПравилоПовтора="Новый сезон",10-1&gt;MOD(MONTH('03_Сеть'!AP7)-9,12)),'03_Сеть'!AP32*CapacityAge10*МножительДетей,0)</f>
        <v/>
      </c>
      <c r="AQ118" s="5">
        <f>IF(AND(ПравилоПовтора="Новый сезон",10-1&gt;MOD(MONTH('03_Сеть'!AQ7)-9,12)),'03_Сеть'!AQ32*CapacityAge10*МножительДетей,0)</f>
        <v/>
      </c>
      <c r="AR118" s="5">
        <f>IF(AND(ПравилоПовтора="Новый сезон",10-1&gt;MOD(MONTH('03_Сеть'!AR7)-9,12)),'03_Сеть'!AR32*CapacityAge10*МножительДетей,0)</f>
        <v/>
      </c>
      <c r="AS118" s="5">
        <f>IF(AND(ПравилоПовтора="Новый сезон",10-1&gt;MOD(MONTH('03_Сеть'!AS7)-9,12)),'03_Сеть'!AS32*CapacityAge10*МножительДетей,0)</f>
        <v/>
      </c>
      <c r="AT118" s="5">
        <f>IF(AND(ПравилоПовтора="Новый сезон",10-1&gt;MOD(MONTH('03_Сеть'!AT7)-9,12)),'03_Сеть'!AT32*CapacityAge10*МножительДетей,0)</f>
        <v/>
      </c>
      <c r="AU118" s="5">
        <f>IF(AND(ПравилоПовтора="Новый сезон",10-1&gt;MOD(MONTH('03_Сеть'!AU7)-9,12)),'03_Сеть'!AU32*CapacityAge10*МножительДетей,0)</f>
        <v/>
      </c>
      <c r="AV118" s="5">
        <f>IF(AND(ПравилоПовтора="Новый сезон",10-1&gt;MOD(MONTH('03_Сеть'!AV7)-9,12)),'03_Сеть'!AV32*CapacityAge10*МножительДетей,0)</f>
        <v/>
      </c>
      <c r="AW118" s="5">
        <f>IF(AND(ПравилоПовтора="Новый сезон",10-1&gt;MOD(MONTH('03_Сеть'!AW7)-9,12)),'03_Сеть'!AW32*CapacityAge10*МножительДетей,0)</f>
        <v/>
      </c>
      <c r="AX118" s="5">
        <f>IF(AND(ПравилоПовтора="Новый сезон",10-1&gt;MOD(MONTH('03_Сеть'!AX7)-9,12)),'03_Сеть'!AX32*CapacityAge10*МножительДетей,0)</f>
        <v/>
      </c>
      <c r="AY118" s="5">
        <f>IF(AND(ПравилоПовтора="Новый сезон",10-1&gt;MOD(MONTH('03_Сеть'!AY7)-9,12)),'03_Сеть'!AY32*CapacityAge10*МножительДетей,0)</f>
        <v/>
      </c>
      <c r="AZ118" s="5">
        <f>IF(AND(ПравилоПовтора="Новый сезон",10-1&gt;MOD(MONTH('03_Сеть'!AZ7)-9,12)),'03_Сеть'!AZ32*CapacityAge10*МножительДетей,0)</f>
        <v/>
      </c>
      <c r="BA118" s="5">
        <f>IF(AND(ПравилоПовтора="Новый сезон",10-1&gt;MOD(MONTH('03_Сеть'!BA7)-9,12)),'03_Сеть'!BA32*CapacityAge10*МножительДетей,0)</f>
        <v/>
      </c>
      <c r="BB118" s="5">
        <f>IF(AND(ПравилоПовтора="Новый сезон",10-1&gt;MOD(MONTH('03_Сеть'!BB7)-9,12)),'03_Сеть'!BB32*CapacityAge10*МножительДетей,0)</f>
        <v/>
      </c>
      <c r="BC118" s="5">
        <f>IF(AND(ПравилоПовтора="Новый сезон",10-1&gt;MOD(MONTH('03_Сеть'!BC7)-9,12)),'03_Сеть'!BC32*CapacityAge10*МножительДетей,0)</f>
        <v/>
      </c>
      <c r="BD118" s="5">
        <f>IF(AND(ПравилоПовтора="Новый сезон",10-1&gt;MOD(MONTH('03_Сеть'!BD7)-9,12)),'03_Сеть'!BD32*CapacityAge10*МножительДетей,0)</f>
        <v/>
      </c>
      <c r="BE118" s="5">
        <f>IF(AND(ПравилоПовтора="Новый сезон",10-1&gt;MOD(MONTH('03_Сеть'!BE7)-9,12)),'03_Сеть'!BE32*CapacityAge10*МножительДетей,0)</f>
        <v/>
      </c>
      <c r="BF118" s="5">
        <f>IF(AND(ПравилоПовтора="Новый сезон",10-1&gt;MOD(MONTH('03_Сеть'!BF7)-9,12)),'03_Сеть'!BF32*CapacityAge10*МножительДетей,0)</f>
        <v/>
      </c>
      <c r="BG118" s="5">
        <f>IF(AND(ПравилоПовтора="Новый сезон",10-1&gt;MOD(MONTH('03_Сеть'!BG7)-9,12)),'03_Сеть'!BG32*CapacityAge10*МножительДетей,0)</f>
        <v/>
      </c>
      <c r="BH118" s="5">
        <f>IF(AND(ПравилоПовтора="Новый сезон",10-1&gt;MOD(MONTH('03_Сеть'!BH7)-9,12)),'03_Сеть'!BH32*CapacityAge10*МножительДетей,0)</f>
        <v/>
      </c>
      <c r="BI118" s="5">
        <f>IF(AND(ПравилоПовтора="Новый сезон",10-1&gt;MOD(MONTH('03_Сеть'!BI7)-9,12)),'03_Сеть'!BI32*CapacityAge10*МножительДетей,0)</f>
        <v/>
      </c>
      <c r="BJ118" s="5">
        <f>IF(AND(ПравилоПовтора="Новый сезон",10-1&gt;MOD(MONTH('03_Сеть'!BJ7)-9,12)),'03_Сеть'!BJ32*CapacityAge10*МножительДетей,0)</f>
        <v/>
      </c>
      <c r="BK118" s="5">
        <f>IF(AND(ПравилоПовтора="Новый сезон",10-1&gt;MOD(MONTH('03_Сеть'!BK7)-9,12)),'03_Сеть'!BK32*CapacityAge10*МножительДетей,0)</f>
        <v/>
      </c>
      <c r="BL118" s="5">
        <f>IF(AND(ПравилоПовтора="Новый сезон",10-1&gt;MOD(MONTH('03_Сеть'!BL7)-9,12)),'03_Сеть'!BL32*CapacityAge10*МножительДетей,0)</f>
        <v/>
      </c>
      <c r="BM118" s="5">
        <f>IF(AND(ПравилоПовтора="Новый сезон",10-1&gt;MOD(MONTH('03_Сеть'!BM7)-9,12)),'03_Сеть'!BM32*CapacityAge10*МножительДетей,0)</f>
        <v/>
      </c>
      <c r="BN118" s="5">
        <f>IF(AND(ПравилоПовтора="Новый сезон",10-1&gt;MOD(MONTH('03_Сеть'!BN7)-9,12)),'03_Сеть'!BN32*CapacityAge10*МножительДетей,0)</f>
        <v/>
      </c>
      <c r="BO118" s="5">
        <f>IF(AND(ПравилоПовтора="Новый сезон",10-1&gt;MOD(MONTH('03_Сеть'!BO7)-9,12)),'03_Сеть'!BO32*CapacityAge10*МножительДетей,0)</f>
        <v/>
      </c>
      <c r="BP118" s="5">
        <f>IF(AND(ПравилоПовтора="Новый сезон",10-1&gt;MOD(MONTH('03_Сеть'!BP7)-9,12)),'03_Сеть'!BP32*CapacityAge10*МножительДетей,0)</f>
        <v/>
      </c>
      <c r="BQ118" s="5">
        <f>IF(AND(ПравилоПовтора="Новый сезон",10-1&gt;MOD(MONTH('03_Сеть'!BQ7)-9,12)),'03_Сеть'!BQ32*CapacityAge10*МножительДетей,0)</f>
        <v/>
      </c>
      <c r="BR118" s="5">
        <f>IF(AND(ПравилоПовтора="Новый сезон",10-1&gt;MOD(MONTH('03_Сеть'!BR7)-9,12)),'03_Сеть'!BR32*CapacityAge10*МножительДетей,0)</f>
        <v/>
      </c>
      <c r="BS118" s="5">
        <f>IF(AND(ПравилоПовтора="Новый сезон",10-1&gt;MOD(MONTH('03_Сеть'!BS7)-9,12)),'03_Сеть'!BS32*CapacityAge10*МножительДетей,0)</f>
        <v/>
      </c>
      <c r="BT118" s="5">
        <f>IF(AND(ПравилоПовтора="Новый сезон",10-1&gt;MOD(MONTH('03_Сеть'!BT7)-9,12)),'03_Сеть'!BT32*CapacityAge10*МножительДетей,0)</f>
        <v/>
      </c>
      <c r="BU118" s="5">
        <f>IF(AND(ПравилоПовтора="Новый сезон",10-1&gt;MOD(MONTH('03_Сеть'!BU7)-9,12)),'03_Сеть'!BU32*CapacityAge10*МножительДетей,0)</f>
        <v/>
      </c>
      <c r="BV118" s="5">
        <f>IF(AND(ПравилоПовтора="Новый сезон",10-1&gt;MOD(MONTH('03_Сеть'!BV7)-9,12)),'03_Сеть'!BV32*CapacityAge10*МножительДетей,0)</f>
        <v/>
      </c>
      <c r="BW118" s="5">
        <f>IF(AND(ПравилоПовтора="Новый сезон",10-1&gt;MOD(MONTH('03_Сеть'!BW7)-9,12)),'03_Сеть'!BW32*CapacityAge10*МножительДетей,0)</f>
        <v/>
      </c>
      <c r="BX118" s="5">
        <f>IF(AND(ПравилоПовтора="Новый сезон",10-1&gt;MOD(MONTH('03_Сеть'!BX7)-9,12)),'03_Сеть'!BX32*CapacityAge10*МножительДетей,0)</f>
        <v/>
      </c>
      <c r="BY118" s="5">
        <f>IF(AND(ПравилоПовтора="Новый сезон",10-1&gt;MOD(MONTH('03_Сеть'!BY7)-9,12)),'03_Сеть'!BY32*CapacityAge10*МножительДетей,0)</f>
        <v/>
      </c>
    </row>
    <row r="119">
      <c r="B119" t="inlineStr">
        <is>
          <t>11 мес.</t>
        </is>
      </c>
      <c r="C119" t="inlineStr">
        <is>
          <t>чел.</t>
        </is>
      </c>
      <c r="D119" s="127" t="inlineStr">
        <is>
          <t>В колонках лет — значение на конец года, в «Итого» — на конец пятого года. Это остаток, а не сумма.</t>
        </is>
      </c>
      <c r="E119" s="129">
        <f>W119</f>
        <v/>
      </c>
      <c r="F119" s="129">
        <f>AI119</f>
        <v/>
      </c>
      <c r="G119" s="129">
        <f>AU119</f>
        <v/>
      </c>
      <c r="H119" s="129">
        <f>BG119</f>
        <v/>
      </c>
      <c r="I119" s="129">
        <f>BS119</f>
        <v/>
      </c>
      <c r="J119" s="6">
        <f>BS119</f>
        <v/>
      </c>
      <c r="L119" s="5">
        <f>IF(AND(ПравилоПовтора="Новый сезон",11-1&gt;MOD(MONTH('03_Сеть'!L7)-9,12)),'03_Сеть'!L33*CapacityAge11*МножительДетей,0)</f>
        <v/>
      </c>
      <c r="M119" s="5">
        <f>IF(AND(ПравилоПовтора="Новый сезон",11-1&gt;MOD(MONTH('03_Сеть'!M7)-9,12)),'03_Сеть'!M33*CapacityAge11*МножительДетей,0)</f>
        <v/>
      </c>
      <c r="N119" s="5">
        <f>IF(AND(ПравилоПовтора="Новый сезон",11-1&gt;MOD(MONTH('03_Сеть'!N7)-9,12)),'03_Сеть'!N33*CapacityAge11*МножительДетей,0)</f>
        <v/>
      </c>
      <c r="O119" s="5">
        <f>IF(AND(ПравилоПовтора="Новый сезон",11-1&gt;MOD(MONTH('03_Сеть'!O7)-9,12)),'03_Сеть'!O33*CapacityAge11*МножительДетей,0)</f>
        <v/>
      </c>
      <c r="P119" s="5">
        <f>IF(AND(ПравилоПовтора="Новый сезон",11-1&gt;MOD(MONTH('03_Сеть'!P7)-9,12)),'03_Сеть'!P33*CapacityAge11*МножительДетей,0)</f>
        <v/>
      </c>
      <c r="Q119" s="5">
        <f>IF(AND(ПравилоПовтора="Новый сезон",11-1&gt;MOD(MONTH('03_Сеть'!Q7)-9,12)),'03_Сеть'!Q33*CapacityAge11*МножительДетей,0)</f>
        <v/>
      </c>
      <c r="R119" s="5">
        <f>IF(AND(ПравилоПовтора="Новый сезон",11-1&gt;MOD(MONTH('03_Сеть'!R7)-9,12)),'03_Сеть'!R33*CapacityAge11*МножительДетей,0)</f>
        <v/>
      </c>
      <c r="S119" s="5">
        <f>IF(AND(ПравилоПовтора="Новый сезон",11-1&gt;MOD(MONTH('03_Сеть'!S7)-9,12)),'03_Сеть'!S33*CapacityAge11*МножительДетей,0)</f>
        <v/>
      </c>
      <c r="T119" s="5">
        <f>IF(AND(ПравилоПовтора="Новый сезон",11-1&gt;MOD(MONTH('03_Сеть'!T7)-9,12)),'03_Сеть'!T33*CapacityAge11*МножительДетей,0)</f>
        <v/>
      </c>
      <c r="U119" s="5">
        <f>IF(AND(ПравилоПовтора="Новый сезон",11-1&gt;MOD(MONTH('03_Сеть'!U7)-9,12)),'03_Сеть'!U33*CapacityAge11*МножительДетей,0)</f>
        <v/>
      </c>
      <c r="V119" s="5">
        <f>IF(AND(ПравилоПовтора="Новый сезон",11-1&gt;MOD(MONTH('03_Сеть'!V7)-9,12)),'03_Сеть'!V33*CapacityAge11*МножительДетей,0)</f>
        <v/>
      </c>
      <c r="W119" s="5">
        <f>IF(AND(ПравилоПовтора="Новый сезон",11-1&gt;MOD(MONTH('03_Сеть'!W7)-9,12)),'03_Сеть'!W33*CapacityAge11*МножительДетей,0)</f>
        <v/>
      </c>
      <c r="X119" s="5">
        <f>IF(AND(ПравилоПовтора="Новый сезон",11-1&gt;MOD(MONTH('03_Сеть'!X7)-9,12)),'03_Сеть'!X33*CapacityAge11*МножительДетей,0)</f>
        <v/>
      </c>
      <c r="Y119" s="5">
        <f>IF(AND(ПравилоПовтора="Новый сезон",11-1&gt;MOD(MONTH('03_Сеть'!Y7)-9,12)),'03_Сеть'!Y33*CapacityAge11*МножительДетей,0)</f>
        <v/>
      </c>
      <c r="Z119" s="5">
        <f>IF(AND(ПравилоПовтора="Новый сезон",11-1&gt;MOD(MONTH('03_Сеть'!Z7)-9,12)),'03_Сеть'!Z33*CapacityAge11*МножительДетей,0)</f>
        <v/>
      </c>
      <c r="AA119" s="5">
        <f>IF(AND(ПравилоПовтора="Новый сезон",11-1&gt;MOD(MONTH('03_Сеть'!AA7)-9,12)),'03_Сеть'!AA33*CapacityAge11*МножительДетей,0)</f>
        <v/>
      </c>
      <c r="AB119" s="5">
        <f>IF(AND(ПравилоПовтора="Новый сезон",11-1&gt;MOD(MONTH('03_Сеть'!AB7)-9,12)),'03_Сеть'!AB33*CapacityAge11*МножительДетей,0)</f>
        <v/>
      </c>
      <c r="AC119" s="5">
        <f>IF(AND(ПравилоПовтора="Новый сезон",11-1&gt;MOD(MONTH('03_Сеть'!AC7)-9,12)),'03_Сеть'!AC33*CapacityAge11*МножительДетей,0)</f>
        <v/>
      </c>
      <c r="AD119" s="5">
        <f>IF(AND(ПравилоПовтора="Новый сезон",11-1&gt;MOD(MONTH('03_Сеть'!AD7)-9,12)),'03_Сеть'!AD33*CapacityAge11*МножительДетей,0)</f>
        <v/>
      </c>
      <c r="AE119" s="5">
        <f>IF(AND(ПравилоПовтора="Новый сезон",11-1&gt;MOD(MONTH('03_Сеть'!AE7)-9,12)),'03_Сеть'!AE33*CapacityAge11*МножительДетей,0)</f>
        <v/>
      </c>
      <c r="AF119" s="5">
        <f>IF(AND(ПравилоПовтора="Новый сезон",11-1&gt;MOD(MONTH('03_Сеть'!AF7)-9,12)),'03_Сеть'!AF33*CapacityAge11*МножительДетей,0)</f>
        <v/>
      </c>
      <c r="AG119" s="5">
        <f>IF(AND(ПравилоПовтора="Новый сезон",11-1&gt;MOD(MONTH('03_Сеть'!AG7)-9,12)),'03_Сеть'!AG33*CapacityAge11*МножительДетей,0)</f>
        <v/>
      </c>
      <c r="AH119" s="5">
        <f>IF(AND(ПравилоПовтора="Новый сезон",11-1&gt;MOD(MONTH('03_Сеть'!AH7)-9,12)),'03_Сеть'!AH33*CapacityAge11*МножительДетей,0)</f>
        <v/>
      </c>
      <c r="AI119" s="5">
        <f>IF(AND(ПравилоПовтора="Новый сезон",11-1&gt;MOD(MONTH('03_Сеть'!AI7)-9,12)),'03_Сеть'!AI33*CapacityAge11*МножительДетей,0)</f>
        <v/>
      </c>
      <c r="AJ119" s="5">
        <f>IF(AND(ПравилоПовтора="Новый сезон",11-1&gt;MOD(MONTH('03_Сеть'!AJ7)-9,12)),'03_Сеть'!AJ33*CapacityAge11*МножительДетей,0)</f>
        <v/>
      </c>
      <c r="AK119" s="5">
        <f>IF(AND(ПравилоПовтора="Новый сезон",11-1&gt;MOD(MONTH('03_Сеть'!AK7)-9,12)),'03_Сеть'!AK33*CapacityAge11*МножительДетей,0)</f>
        <v/>
      </c>
      <c r="AL119" s="5">
        <f>IF(AND(ПравилоПовтора="Новый сезон",11-1&gt;MOD(MONTH('03_Сеть'!AL7)-9,12)),'03_Сеть'!AL33*CapacityAge11*МножительДетей,0)</f>
        <v/>
      </c>
      <c r="AM119" s="5">
        <f>IF(AND(ПравилоПовтора="Новый сезон",11-1&gt;MOD(MONTH('03_Сеть'!AM7)-9,12)),'03_Сеть'!AM33*CapacityAge11*МножительДетей,0)</f>
        <v/>
      </c>
      <c r="AN119" s="5">
        <f>IF(AND(ПравилоПовтора="Новый сезон",11-1&gt;MOD(MONTH('03_Сеть'!AN7)-9,12)),'03_Сеть'!AN33*CapacityAge11*МножительДетей,0)</f>
        <v/>
      </c>
      <c r="AO119" s="5">
        <f>IF(AND(ПравилоПовтора="Новый сезон",11-1&gt;MOD(MONTH('03_Сеть'!AO7)-9,12)),'03_Сеть'!AO33*CapacityAge11*МножительДетей,0)</f>
        <v/>
      </c>
      <c r="AP119" s="5">
        <f>IF(AND(ПравилоПовтора="Новый сезон",11-1&gt;MOD(MONTH('03_Сеть'!AP7)-9,12)),'03_Сеть'!AP33*CapacityAge11*МножительДетей,0)</f>
        <v/>
      </c>
      <c r="AQ119" s="5">
        <f>IF(AND(ПравилоПовтора="Новый сезон",11-1&gt;MOD(MONTH('03_Сеть'!AQ7)-9,12)),'03_Сеть'!AQ33*CapacityAge11*МножительДетей,0)</f>
        <v/>
      </c>
      <c r="AR119" s="5">
        <f>IF(AND(ПравилоПовтора="Новый сезон",11-1&gt;MOD(MONTH('03_Сеть'!AR7)-9,12)),'03_Сеть'!AR33*CapacityAge11*МножительДетей,0)</f>
        <v/>
      </c>
      <c r="AS119" s="5">
        <f>IF(AND(ПравилоПовтора="Новый сезон",11-1&gt;MOD(MONTH('03_Сеть'!AS7)-9,12)),'03_Сеть'!AS33*CapacityAge11*МножительДетей,0)</f>
        <v/>
      </c>
      <c r="AT119" s="5">
        <f>IF(AND(ПравилоПовтора="Новый сезон",11-1&gt;MOD(MONTH('03_Сеть'!AT7)-9,12)),'03_Сеть'!AT33*CapacityAge11*МножительДетей,0)</f>
        <v/>
      </c>
      <c r="AU119" s="5">
        <f>IF(AND(ПравилоПовтора="Новый сезон",11-1&gt;MOD(MONTH('03_Сеть'!AU7)-9,12)),'03_Сеть'!AU33*CapacityAge11*МножительДетей,0)</f>
        <v/>
      </c>
      <c r="AV119" s="5">
        <f>IF(AND(ПравилоПовтора="Новый сезон",11-1&gt;MOD(MONTH('03_Сеть'!AV7)-9,12)),'03_Сеть'!AV33*CapacityAge11*МножительДетей,0)</f>
        <v/>
      </c>
      <c r="AW119" s="5">
        <f>IF(AND(ПравилоПовтора="Новый сезон",11-1&gt;MOD(MONTH('03_Сеть'!AW7)-9,12)),'03_Сеть'!AW33*CapacityAge11*МножительДетей,0)</f>
        <v/>
      </c>
      <c r="AX119" s="5">
        <f>IF(AND(ПравилоПовтора="Новый сезон",11-1&gt;MOD(MONTH('03_Сеть'!AX7)-9,12)),'03_Сеть'!AX33*CapacityAge11*МножительДетей,0)</f>
        <v/>
      </c>
      <c r="AY119" s="5">
        <f>IF(AND(ПравилоПовтора="Новый сезон",11-1&gt;MOD(MONTH('03_Сеть'!AY7)-9,12)),'03_Сеть'!AY33*CapacityAge11*МножительДетей,0)</f>
        <v/>
      </c>
      <c r="AZ119" s="5">
        <f>IF(AND(ПравилоПовтора="Новый сезон",11-1&gt;MOD(MONTH('03_Сеть'!AZ7)-9,12)),'03_Сеть'!AZ33*CapacityAge11*МножительДетей,0)</f>
        <v/>
      </c>
      <c r="BA119" s="5">
        <f>IF(AND(ПравилоПовтора="Новый сезон",11-1&gt;MOD(MONTH('03_Сеть'!BA7)-9,12)),'03_Сеть'!BA33*CapacityAge11*МножительДетей,0)</f>
        <v/>
      </c>
      <c r="BB119" s="5">
        <f>IF(AND(ПравилоПовтора="Новый сезон",11-1&gt;MOD(MONTH('03_Сеть'!BB7)-9,12)),'03_Сеть'!BB33*CapacityAge11*МножительДетей,0)</f>
        <v/>
      </c>
      <c r="BC119" s="5">
        <f>IF(AND(ПравилоПовтора="Новый сезон",11-1&gt;MOD(MONTH('03_Сеть'!BC7)-9,12)),'03_Сеть'!BC33*CapacityAge11*МножительДетей,0)</f>
        <v/>
      </c>
      <c r="BD119" s="5">
        <f>IF(AND(ПравилоПовтора="Новый сезон",11-1&gt;MOD(MONTH('03_Сеть'!BD7)-9,12)),'03_Сеть'!BD33*CapacityAge11*МножительДетей,0)</f>
        <v/>
      </c>
      <c r="BE119" s="5">
        <f>IF(AND(ПравилоПовтора="Новый сезон",11-1&gt;MOD(MONTH('03_Сеть'!BE7)-9,12)),'03_Сеть'!BE33*CapacityAge11*МножительДетей,0)</f>
        <v/>
      </c>
      <c r="BF119" s="5">
        <f>IF(AND(ПравилоПовтора="Новый сезон",11-1&gt;MOD(MONTH('03_Сеть'!BF7)-9,12)),'03_Сеть'!BF33*CapacityAge11*МножительДетей,0)</f>
        <v/>
      </c>
      <c r="BG119" s="5">
        <f>IF(AND(ПравилоПовтора="Новый сезон",11-1&gt;MOD(MONTH('03_Сеть'!BG7)-9,12)),'03_Сеть'!BG33*CapacityAge11*МножительДетей,0)</f>
        <v/>
      </c>
      <c r="BH119" s="5">
        <f>IF(AND(ПравилоПовтора="Новый сезон",11-1&gt;MOD(MONTH('03_Сеть'!BH7)-9,12)),'03_Сеть'!BH33*CapacityAge11*МножительДетей,0)</f>
        <v/>
      </c>
      <c r="BI119" s="5">
        <f>IF(AND(ПравилоПовтора="Новый сезон",11-1&gt;MOD(MONTH('03_Сеть'!BI7)-9,12)),'03_Сеть'!BI33*CapacityAge11*МножительДетей,0)</f>
        <v/>
      </c>
      <c r="BJ119" s="5">
        <f>IF(AND(ПравилоПовтора="Новый сезон",11-1&gt;MOD(MONTH('03_Сеть'!BJ7)-9,12)),'03_Сеть'!BJ33*CapacityAge11*МножительДетей,0)</f>
        <v/>
      </c>
      <c r="BK119" s="5">
        <f>IF(AND(ПравилоПовтора="Новый сезон",11-1&gt;MOD(MONTH('03_Сеть'!BK7)-9,12)),'03_Сеть'!BK33*CapacityAge11*МножительДетей,0)</f>
        <v/>
      </c>
      <c r="BL119" s="5">
        <f>IF(AND(ПравилоПовтора="Новый сезон",11-1&gt;MOD(MONTH('03_Сеть'!BL7)-9,12)),'03_Сеть'!BL33*CapacityAge11*МножительДетей,0)</f>
        <v/>
      </c>
      <c r="BM119" s="5">
        <f>IF(AND(ПравилоПовтора="Новый сезон",11-1&gt;MOD(MONTH('03_Сеть'!BM7)-9,12)),'03_Сеть'!BM33*CapacityAge11*МножительДетей,0)</f>
        <v/>
      </c>
      <c r="BN119" s="5">
        <f>IF(AND(ПравилоПовтора="Новый сезон",11-1&gt;MOD(MONTH('03_Сеть'!BN7)-9,12)),'03_Сеть'!BN33*CapacityAge11*МножительДетей,0)</f>
        <v/>
      </c>
      <c r="BO119" s="5">
        <f>IF(AND(ПравилоПовтора="Новый сезон",11-1&gt;MOD(MONTH('03_Сеть'!BO7)-9,12)),'03_Сеть'!BO33*CapacityAge11*МножительДетей,0)</f>
        <v/>
      </c>
      <c r="BP119" s="5">
        <f>IF(AND(ПравилоПовтора="Новый сезон",11-1&gt;MOD(MONTH('03_Сеть'!BP7)-9,12)),'03_Сеть'!BP33*CapacityAge11*МножительДетей,0)</f>
        <v/>
      </c>
      <c r="BQ119" s="5">
        <f>IF(AND(ПравилоПовтора="Новый сезон",11-1&gt;MOD(MONTH('03_Сеть'!BQ7)-9,12)),'03_Сеть'!BQ33*CapacityAge11*МножительДетей,0)</f>
        <v/>
      </c>
      <c r="BR119" s="5">
        <f>IF(AND(ПравилоПовтора="Новый сезон",11-1&gt;MOD(MONTH('03_Сеть'!BR7)-9,12)),'03_Сеть'!BR33*CapacityAge11*МножительДетей,0)</f>
        <v/>
      </c>
      <c r="BS119" s="5">
        <f>IF(AND(ПравилоПовтора="Новый сезон",11-1&gt;MOD(MONTH('03_Сеть'!BS7)-9,12)),'03_Сеть'!BS33*CapacityAge11*МножительДетей,0)</f>
        <v/>
      </c>
      <c r="BT119" s="5">
        <f>IF(AND(ПравилоПовтора="Новый сезон",11-1&gt;MOD(MONTH('03_Сеть'!BT7)-9,12)),'03_Сеть'!BT33*CapacityAge11*МножительДетей,0)</f>
        <v/>
      </c>
      <c r="BU119" s="5">
        <f>IF(AND(ПравилоПовтора="Новый сезон",11-1&gt;MOD(MONTH('03_Сеть'!BU7)-9,12)),'03_Сеть'!BU33*CapacityAge11*МножительДетей,0)</f>
        <v/>
      </c>
      <c r="BV119" s="5">
        <f>IF(AND(ПравилоПовтора="Новый сезон",11-1&gt;MOD(MONTH('03_Сеть'!BV7)-9,12)),'03_Сеть'!BV33*CapacityAge11*МножительДетей,0)</f>
        <v/>
      </c>
      <c r="BW119" s="5">
        <f>IF(AND(ПравилоПовтора="Новый сезон",11-1&gt;MOD(MONTH('03_Сеть'!BW7)-9,12)),'03_Сеть'!BW33*CapacityAge11*МножительДетей,0)</f>
        <v/>
      </c>
      <c r="BX119" s="5">
        <f>IF(AND(ПравилоПовтора="Новый сезон",11-1&gt;MOD(MONTH('03_Сеть'!BX7)-9,12)),'03_Сеть'!BX33*CapacityAge11*МножительДетей,0)</f>
        <v/>
      </c>
      <c r="BY119" s="5">
        <f>IF(AND(ПравилоПовтора="Новый сезон",11-1&gt;MOD(MONTH('03_Сеть'!BY7)-9,12)),'03_Сеть'!BY33*CapacityAge11*МножительДетей,0)</f>
        <v/>
      </c>
    </row>
    <row r="120">
      <c r="B120" t="inlineStr">
        <is>
          <t>12 мес.</t>
        </is>
      </c>
      <c r="C120" t="inlineStr">
        <is>
          <t>чел.</t>
        </is>
      </c>
      <c r="D120" s="127" t="inlineStr">
        <is>
          <t>В колонках лет — значение на конец года, в «Итого» — на конец пятого года. Это остаток, а не сумма.</t>
        </is>
      </c>
      <c r="E120" s="129">
        <f>W120</f>
        <v/>
      </c>
      <c r="F120" s="129">
        <f>AI120</f>
        <v/>
      </c>
      <c r="G120" s="129">
        <f>AU120</f>
        <v/>
      </c>
      <c r="H120" s="129">
        <f>BG120</f>
        <v/>
      </c>
      <c r="I120" s="129">
        <f>BS120</f>
        <v/>
      </c>
      <c r="J120" s="6">
        <f>BS120</f>
        <v/>
      </c>
      <c r="L120" s="5">
        <f>IF(AND(ПравилоПовтора="Новый сезон",12-1&gt;MOD(MONTH('03_Сеть'!L7)-9,12)),'03_Сеть'!L34*CapacityAge12*МножительДетей,0)</f>
        <v/>
      </c>
      <c r="M120" s="5">
        <f>IF(AND(ПравилоПовтора="Новый сезон",12-1&gt;MOD(MONTH('03_Сеть'!M7)-9,12)),'03_Сеть'!M34*CapacityAge12*МножительДетей,0)</f>
        <v/>
      </c>
      <c r="N120" s="5">
        <f>IF(AND(ПравилоПовтора="Новый сезон",12-1&gt;MOD(MONTH('03_Сеть'!N7)-9,12)),'03_Сеть'!N34*CapacityAge12*МножительДетей,0)</f>
        <v/>
      </c>
      <c r="O120" s="5">
        <f>IF(AND(ПравилоПовтора="Новый сезон",12-1&gt;MOD(MONTH('03_Сеть'!O7)-9,12)),'03_Сеть'!O34*CapacityAge12*МножительДетей,0)</f>
        <v/>
      </c>
      <c r="P120" s="5">
        <f>IF(AND(ПравилоПовтора="Новый сезон",12-1&gt;MOD(MONTH('03_Сеть'!P7)-9,12)),'03_Сеть'!P34*CapacityAge12*МножительДетей,0)</f>
        <v/>
      </c>
      <c r="Q120" s="5">
        <f>IF(AND(ПравилоПовтора="Новый сезон",12-1&gt;MOD(MONTH('03_Сеть'!Q7)-9,12)),'03_Сеть'!Q34*CapacityAge12*МножительДетей,0)</f>
        <v/>
      </c>
      <c r="R120" s="5">
        <f>IF(AND(ПравилоПовтора="Новый сезон",12-1&gt;MOD(MONTH('03_Сеть'!R7)-9,12)),'03_Сеть'!R34*CapacityAge12*МножительДетей,0)</f>
        <v/>
      </c>
      <c r="S120" s="5">
        <f>IF(AND(ПравилоПовтора="Новый сезон",12-1&gt;MOD(MONTH('03_Сеть'!S7)-9,12)),'03_Сеть'!S34*CapacityAge12*МножительДетей,0)</f>
        <v/>
      </c>
      <c r="T120" s="5">
        <f>IF(AND(ПравилоПовтора="Новый сезон",12-1&gt;MOD(MONTH('03_Сеть'!T7)-9,12)),'03_Сеть'!T34*CapacityAge12*МножительДетей,0)</f>
        <v/>
      </c>
      <c r="U120" s="5">
        <f>IF(AND(ПравилоПовтора="Новый сезон",12-1&gt;MOD(MONTH('03_Сеть'!U7)-9,12)),'03_Сеть'!U34*CapacityAge12*МножительДетей,0)</f>
        <v/>
      </c>
      <c r="V120" s="5">
        <f>IF(AND(ПравилоПовтора="Новый сезон",12-1&gt;MOD(MONTH('03_Сеть'!V7)-9,12)),'03_Сеть'!V34*CapacityAge12*МножительДетей,0)</f>
        <v/>
      </c>
      <c r="W120" s="5">
        <f>IF(AND(ПравилоПовтора="Новый сезон",12-1&gt;MOD(MONTH('03_Сеть'!W7)-9,12)),'03_Сеть'!W34*CapacityAge12*МножительДетей,0)</f>
        <v/>
      </c>
      <c r="X120" s="5">
        <f>IF(AND(ПравилоПовтора="Новый сезон",12-1&gt;MOD(MONTH('03_Сеть'!X7)-9,12)),'03_Сеть'!X34*CapacityAge12*МножительДетей,0)</f>
        <v/>
      </c>
      <c r="Y120" s="5">
        <f>IF(AND(ПравилоПовтора="Новый сезон",12-1&gt;MOD(MONTH('03_Сеть'!Y7)-9,12)),'03_Сеть'!Y34*CapacityAge12*МножительДетей,0)</f>
        <v/>
      </c>
      <c r="Z120" s="5">
        <f>IF(AND(ПравилоПовтора="Новый сезон",12-1&gt;MOD(MONTH('03_Сеть'!Z7)-9,12)),'03_Сеть'!Z34*CapacityAge12*МножительДетей,0)</f>
        <v/>
      </c>
      <c r="AA120" s="5">
        <f>IF(AND(ПравилоПовтора="Новый сезон",12-1&gt;MOD(MONTH('03_Сеть'!AA7)-9,12)),'03_Сеть'!AA34*CapacityAge12*МножительДетей,0)</f>
        <v/>
      </c>
      <c r="AB120" s="5">
        <f>IF(AND(ПравилоПовтора="Новый сезон",12-1&gt;MOD(MONTH('03_Сеть'!AB7)-9,12)),'03_Сеть'!AB34*CapacityAge12*МножительДетей,0)</f>
        <v/>
      </c>
      <c r="AC120" s="5">
        <f>IF(AND(ПравилоПовтора="Новый сезон",12-1&gt;MOD(MONTH('03_Сеть'!AC7)-9,12)),'03_Сеть'!AC34*CapacityAge12*МножительДетей,0)</f>
        <v/>
      </c>
      <c r="AD120" s="5">
        <f>IF(AND(ПравилоПовтора="Новый сезон",12-1&gt;MOD(MONTH('03_Сеть'!AD7)-9,12)),'03_Сеть'!AD34*CapacityAge12*МножительДетей,0)</f>
        <v/>
      </c>
      <c r="AE120" s="5">
        <f>IF(AND(ПравилоПовтора="Новый сезон",12-1&gt;MOD(MONTH('03_Сеть'!AE7)-9,12)),'03_Сеть'!AE34*CapacityAge12*МножительДетей,0)</f>
        <v/>
      </c>
      <c r="AF120" s="5">
        <f>IF(AND(ПравилоПовтора="Новый сезон",12-1&gt;MOD(MONTH('03_Сеть'!AF7)-9,12)),'03_Сеть'!AF34*CapacityAge12*МножительДетей,0)</f>
        <v/>
      </c>
      <c r="AG120" s="5">
        <f>IF(AND(ПравилоПовтора="Новый сезон",12-1&gt;MOD(MONTH('03_Сеть'!AG7)-9,12)),'03_Сеть'!AG34*CapacityAge12*МножительДетей,0)</f>
        <v/>
      </c>
      <c r="AH120" s="5">
        <f>IF(AND(ПравилоПовтора="Новый сезон",12-1&gt;MOD(MONTH('03_Сеть'!AH7)-9,12)),'03_Сеть'!AH34*CapacityAge12*МножительДетей,0)</f>
        <v/>
      </c>
      <c r="AI120" s="5">
        <f>IF(AND(ПравилоПовтора="Новый сезон",12-1&gt;MOD(MONTH('03_Сеть'!AI7)-9,12)),'03_Сеть'!AI34*CapacityAge12*МножительДетей,0)</f>
        <v/>
      </c>
      <c r="AJ120" s="5">
        <f>IF(AND(ПравилоПовтора="Новый сезон",12-1&gt;MOD(MONTH('03_Сеть'!AJ7)-9,12)),'03_Сеть'!AJ34*CapacityAge12*МножительДетей,0)</f>
        <v/>
      </c>
      <c r="AK120" s="5">
        <f>IF(AND(ПравилоПовтора="Новый сезон",12-1&gt;MOD(MONTH('03_Сеть'!AK7)-9,12)),'03_Сеть'!AK34*CapacityAge12*МножительДетей,0)</f>
        <v/>
      </c>
      <c r="AL120" s="5">
        <f>IF(AND(ПравилоПовтора="Новый сезон",12-1&gt;MOD(MONTH('03_Сеть'!AL7)-9,12)),'03_Сеть'!AL34*CapacityAge12*МножительДетей,0)</f>
        <v/>
      </c>
      <c r="AM120" s="5">
        <f>IF(AND(ПравилоПовтора="Новый сезон",12-1&gt;MOD(MONTH('03_Сеть'!AM7)-9,12)),'03_Сеть'!AM34*CapacityAge12*МножительДетей,0)</f>
        <v/>
      </c>
      <c r="AN120" s="5">
        <f>IF(AND(ПравилоПовтора="Новый сезон",12-1&gt;MOD(MONTH('03_Сеть'!AN7)-9,12)),'03_Сеть'!AN34*CapacityAge12*МножительДетей,0)</f>
        <v/>
      </c>
      <c r="AO120" s="5">
        <f>IF(AND(ПравилоПовтора="Новый сезон",12-1&gt;MOD(MONTH('03_Сеть'!AO7)-9,12)),'03_Сеть'!AO34*CapacityAge12*МножительДетей,0)</f>
        <v/>
      </c>
      <c r="AP120" s="5">
        <f>IF(AND(ПравилоПовтора="Новый сезон",12-1&gt;MOD(MONTH('03_Сеть'!AP7)-9,12)),'03_Сеть'!AP34*CapacityAge12*МножительДетей,0)</f>
        <v/>
      </c>
      <c r="AQ120" s="5">
        <f>IF(AND(ПравилоПовтора="Новый сезон",12-1&gt;MOD(MONTH('03_Сеть'!AQ7)-9,12)),'03_Сеть'!AQ34*CapacityAge12*МножительДетей,0)</f>
        <v/>
      </c>
      <c r="AR120" s="5">
        <f>IF(AND(ПравилоПовтора="Новый сезон",12-1&gt;MOD(MONTH('03_Сеть'!AR7)-9,12)),'03_Сеть'!AR34*CapacityAge12*МножительДетей,0)</f>
        <v/>
      </c>
      <c r="AS120" s="5">
        <f>IF(AND(ПравилоПовтора="Новый сезон",12-1&gt;MOD(MONTH('03_Сеть'!AS7)-9,12)),'03_Сеть'!AS34*CapacityAge12*МножительДетей,0)</f>
        <v/>
      </c>
      <c r="AT120" s="5">
        <f>IF(AND(ПравилоПовтора="Новый сезон",12-1&gt;MOD(MONTH('03_Сеть'!AT7)-9,12)),'03_Сеть'!AT34*CapacityAge12*МножительДетей,0)</f>
        <v/>
      </c>
      <c r="AU120" s="5">
        <f>IF(AND(ПравилоПовтора="Новый сезон",12-1&gt;MOD(MONTH('03_Сеть'!AU7)-9,12)),'03_Сеть'!AU34*CapacityAge12*МножительДетей,0)</f>
        <v/>
      </c>
      <c r="AV120" s="5">
        <f>IF(AND(ПравилоПовтора="Новый сезон",12-1&gt;MOD(MONTH('03_Сеть'!AV7)-9,12)),'03_Сеть'!AV34*CapacityAge12*МножительДетей,0)</f>
        <v/>
      </c>
      <c r="AW120" s="5">
        <f>IF(AND(ПравилоПовтора="Новый сезон",12-1&gt;MOD(MONTH('03_Сеть'!AW7)-9,12)),'03_Сеть'!AW34*CapacityAge12*МножительДетей,0)</f>
        <v/>
      </c>
      <c r="AX120" s="5">
        <f>IF(AND(ПравилоПовтора="Новый сезон",12-1&gt;MOD(MONTH('03_Сеть'!AX7)-9,12)),'03_Сеть'!AX34*CapacityAge12*МножительДетей,0)</f>
        <v/>
      </c>
      <c r="AY120" s="5">
        <f>IF(AND(ПравилоПовтора="Новый сезон",12-1&gt;MOD(MONTH('03_Сеть'!AY7)-9,12)),'03_Сеть'!AY34*CapacityAge12*МножительДетей,0)</f>
        <v/>
      </c>
      <c r="AZ120" s="5">
        <f>IF(AND(ПравилоПовтора="Новый сезон",12-1&gt;MOD(MONTH('03_Сеть'!AZ7)-9,12)),'03_Сеть'!AZ34*CapacityAge12*МножительДетей,0)</f>
        <v/>
      </c>
      <c r="BA120" s="5">
        <f>IF(AND(ПравилоПовтора="Новый сезон",12-1&gt;MOD(MONTH('03_Сеть'!BA7)-9,12)),'03_Сеть'!BA34*CapacityAge12*МножительДетей,0)</f>
        <v/>
      </c>
      <c r="BB120" s="5">
        <f>IF(AND(ПравилоПовтора="Новый сезон",12-1&gt;MOD(MONTH('03_Сеть'!BB7)-9,12)),'03_Сеть'!BB34*CapacityAge12*МножительДетей,0)</f>
        <v/>
      </c>
      <c r="BC120" s="5">
        <f>IF(AND(ПравилоПовтора="Новый сезон",12-1&gt;MOD(MONTH('03_Сеть'!BC7)-9,12)),'03_Сеть'!BC34*CapacityAge12*МножительДетей,0)</f>
        <v/>
      </c>
      <c r="BD120" s="5">
        <f>IF(AND(ПравилоПовтора="Новый сезон",12-1&gt;MOD(MONTH('03_Сеть'!BD7)-9,12)),'03_Сеть'!BD34*CapacityAge12*МножительДетей,0)</f>
        <v/>
      </c>
      <c r="BE120" s="5">
        <f>IF(AND(ПравилоПовтора="Новый сезон",12-1&gt;MOD(MONTH('03_Сеть'!BE7)-9,12)),'03_Сеть'!BE34*CapacityAge12*МножительДетей,0)</f>
        <v/>
      </c>
      <c r="BF120" s="5">
        <f>IF(AND(ПравилоПовтора="Новый сезон",12-1&gt;MOD(MONTH('03_Сеть'!BF7)-9,12)),'03_Сеть'!BF34*CapacityAge12*МножительДетей,0)</f>
        <v/>
      </c>
      <c r="BG120" s="5">
        <f>IF(AND(ПравилоПовтора="Новый сезон",12-1&gt;MOD(MONTH('03_Сеть'!BG7)-9,12)),'03_Сеть'!BG34*CapacityAge12*МножительДетей,0)</f>
        <v/>
      </c>
      <c r="BH120" s="5">
        <f>IF(AND(ПравилоПовтора="Новый сезон",12-1&gt;MOD(MONTH('03_Сеть'!BH7)-9,12)),'03_Сеть'!BH34*CapacityAge12*МножительДетей,0)</f>
        <v/>
      </c>
      <c r="BI120" s="5">
        <f>IF(AND(ПравилоПовтора="Новый сезон",12-1&gt;MOD(MONTH('03_Сеть'!BI7)-9,12)),'03_Сеть'!BI34*CapacityAge12*МножительДетей,0)</f>
        <v/>
      </c>
      <c r="BJ120" s="5">
        <f>IF(AND(ПравилоПовтора="Новый сезон",12-1&gt;MOD(MONTH('03_Сеть'!BJ7)-9,12)),'03_Сеть'!BJ34*CapacityAge12*МножительДетей,0)</f>
        <v/>
      </c>
      <c r="BK120" s="5">
        <f>IF(AND(ПравилоПовтора="Новый сезон",12-1&gt;MOD(MONTH('03_Сеть'!BK7)-9,12)),'03_Сеть'!BK34*CapacityAge12*МножительДетей,0)</f>
        <v/>
      </c>
      <c r="BL120" s="5">
        <f>IF(AND(ПравилоПовтора="Новый сезон",12-1&gt;MOD(MONTH('03_Сеть'!BL7)-9,12)),'03_Сеть'!BL34*CapacityAge12*МножительДетей,0)</f>
        <v/>
      </c>
      <c r="BM120" s="5">
        <f>IF(AND(ПравилоПовтора="Новый сезон",12-1&gt;MOD(MONTH('03_Сеть'!BM7)-9,12)),'03_Сеть'!BM34*CapacityAge12*МножительДетей,0)</f>
        <v/>
      </c>
      <c r="BN120" s="5">
        <f>IF(AND(ПравилоПовтора="Новый сезон",12-1&gt;MOD(MONTH('03_Сеть'!BN7)-9,12)),'03_Сеть'!BN34*CapacityAge12*МножительДетей,0)</f>
        <v/>
      </c>
      <c r="BO120" s="5">
        <f>IF(AND(ПравилоПовтора="Новый сезон",12-1&gt;MOD(MONTH('03_Сеть'!BO7)-9,12)),'03_Сеть'!BO34*CapacityAge12*МножительДетей,0)</f>
        <v/>
      </c>
      <c r="BP120" s="5">
        <f>IF(AND(ПравилоПовтора="Новый сезон",12-1&gt;MOD(MONTH('03_Сеть'!BP7)-9,12)),'03_Сеть'!BP34*CapacityAge12*МножительДетей,0)</f>
        <v/>
      </c>
      <c r="BQ120" s="5">
        <f>IF(AND(ПравилоПовтора="Новый сезон",12-1&gt;MOD(MONTH('03_Сеть'!BQ7)-9,12)),'03_Сеть'!BQ34*CapacityAge12*МножительДетей,0)</f>
        <v/>
      </c>
      <c r="BR120" s="5">
        <f>IF(AND(ПравилоПовтора="Новый сезон",12-1&gt;MOD(MONTH('03_Сеть'!BR7)-9,12)),'03_Сеть'!BR34*CapacityAge12*МножительДетей,0)</f>
        <v/>
      </c>
      <c r="BS120" s="5">
        <f>IF(AND(ПравилоПовтора="Новый сезон",12-1&gt;MOD(MONTH('03_Сеть'!BS7)-9,12)),'03_Сеть'!BS34*CapacityAge12*МножительДетей,0)</f>
        <v/>
      </c>
      <c r="BT120" s="5">
        <f>IF(AND(ПравилоПовтора="Новый сезон",12-1&gt;MOD(MONTH('03_Сеть'!BT7)-9,12)),'03_Сеть'!BT34*CapacityAge12*МножительДетей,0)</f>
        <v/>
      </c>
      <c r="BU120" s="5">
        <f>IF(AND(ПравилоПовтора="Новый сезон",12-1&gt;MOD(MONTH('03_Сеть'!BU7)-9,12)),'03_Сеть'!BU34*CapacityAge12*МножительДетей,0)</f>
        <v/>
      </c>
      <c r="BV120" s="5">
        <f>IF(AND(ПравилоПовтора="Новый сезон",12-1&gt;MOD(MONTH('03_Сеть'!BV7)-9,12)),'03_Сеть'!BV34*CapacityAge12*МножительДетей,0)</f>
        <v/>
      </c>
      <c r="BW120" s="5">
        <f>IF(AND(ПравилоПовтора="Новый сезон",12-1&gt;MOD(MONTH('03_Сеть'!BW7)-9,12)),'03_Сеть'!BW34*CapacityAge12*МножительДетей,0)</f>
        <v/>
      </c>
      <c r="BX120" s="5">
        <f>IF(AND(ПравилоПовтора="Новый сезон",12-1&gt;MOD(MONTH('03_Сеть'!BX7)-9,12)),'03_Сеть'!BX34*CapacityAge12*МножительДетей,0)</f>
        <v/>
      </c>
      <c r="BY120" s="5">
        <f>IF(AND(ПравилоПовтора="Новый сезон",12-1&gt;MOD(MONTH('03_Сеть'!BY7)-9,12)),'03_Сеть'!BY34*CapacityAge12*МножительДетей,0)</f>
        <v/>
      </c>
    </row>
    <row r="121">
      <c r="B121" t="inlineStr">
        <is>
          <t>13 мес. и старше</t>
        </is>
      </c>
      <c r="C121" t="inlineStr">
        <is>
          <t>чел.</t>
        </is>
      </c>
      <c r="D121" s="127" t="inlineStr">
        <is>
          <t>Школы старше года покупают форму каждый сезон В колонках лет — значение на конец года, в «Итого» — на конец пятого года. Это остаток, а не сумма.</t>
        </is>
      </c>
      <c r="E121" s="129">
        <f>W121</f>
        <v/>
      </c>
      <c r="F121" s="129">
        <f>AI121</f>
        <v/>
      </c>
      <c r="G121" s="129">
        <f>AU121</f>
        <v/>
      </c>
      <c r="H121" s="129">
        <f>BG121</f>
        <v/>
      </c>
      <c r="I121" s="129">
        <f>BS121</f>
        <v/>
      </c>
      <c r="J121" s="6">
        <f>BS121</f>
        <v/>
      </c>
      <c r="L121" s="5">
        <f>SUMPRODUCT('03_Сеть'!L35:L46,CapacityYear2)*МножительДетей+'03_Сеть'!L47*CapacityAge25*МножительДетей</f>
        <v/>
      </c>
      <c r="M121" s="5">
        <f>SUMPRODUCT('03_Сеть'!M35:M46,CapacityYear2)*МножительДетей+'03_Сеть'!M47*CapacityAge25*МножительДетей</f>
        <v/>
      </c>
      <c r="N121" s="5">
        <f>SUMPRODUCT('03_Сеть'!N35:N46,CapacityYear2)*МножительДетей+'03_Сеть'!N47*CapacityAge25*МножительДетей</f>
        <v/>
      </c>
      <c r="O121" s="5">
        <f>SUMPRODUCT('03_Сеть'!O35:O46,CapacityYear2)*МножительДетей+'03_Сеть'!O47*CapacityAge25*МножительДетей</f>
        <v/>
      </c>
      <c r="P121" s="5">
        <f>SUMPRODUCT('03_Сеть'!P35:P46,CapacityYear2)*МножительДетей+'03_Сеть'!P47*CapacityAge25*МножительДетей</f>
        <v/>
      </c>
      <c r="Q121" s="5">
        <f>SUMPRODUCT('03_Сеть'!Q35:Q46,CapacityYear2)*МножительДетей+'03_Сеть'!Q47*CapacityAge25*МножительДетей</f>
        <v/>
      </c>
      <c r="R121" s="5">
        <f>SUMPRODUCT('03_Сеть'!R35:R46,CapacityYear2)*МножительДетей+'03_Сеть'!R47*CapacityAge25*МножительДетей</f>
        <v/>
      </c>
      <c r="S121" s="5">
        <f>SUMPRODUCT('03_Сеть'!S35:S46,CapacityYear2)*МножительДетей+'03_Сеть'!S47*CapacityAge25*МножительДетей</f>
        <v/>
      </c>
      <c r="T121" s="5">
        <f>SUMPRODUCT('03_Сеть'!T35:T46,CapacityYear2)*МножительДетей+'03_Сеть'!T47*CapacityAge25*МножительДетей</f>
        <v/>
      </c>
      <c r="U121" s="5">
        <f>SUMPRODUCT('03_Сеть'!U35:U46,CapacityYear2)*МножительДетей+'03_Сеть'!U47*CapacityAge25*МножительДетей</f>
        <v/>
      </c>
      <c r="V121" s="5">
        <f>SUMPRODUCT('03_Сеть'!V35:V46,CapacityYear2)*МножительДетей+'03_Сеть'!V47*CapacityAge25*МножительДетей</f>
        <v/>
      </c>
      <c r="W121" s="5">
        <f>SUMPRODUCT('03_Сеть'!W35:W46,CapacityYear2)*МножительДетей+'03_Сеть'!W47*CapacityAge25*МножительДетей</f>
        <v/>
      </c>
      <c r="X121" s="5">
        <f>SUMPRODUCT('03_Сеть'!X35:X46,CapacityYear2)*МножительДетей+'03_Сеть'!X47*CapacityAge25*МножительДетей</f>
        <v/>
      </c>
      <c r="Y121" s="5">
        <f>SUMPRODUCT('03_Сеть'!Y35:Y46,CapacityYear2)*МножительДетей+'03_Сеть'!Y47*CapacityAge25*МножительДетей</f>
        <v/>
      </c>
      <c r="Z121" s="5">
        <f>SUMPRODUCT('03_Сеть'!Z35:Z46,CapacityYear2)*МножительДетей+'03_Сеть'!Z47*CapacityAge25*МножительДетей</f>
        <v/>
      </c>
      <c r="AA121" s="5">
        <f>SUMPRODUCT('03_Сеть'!AA35:AA46,CapacityYear2)*МножительДетей+'03_Сеть'!AA47*CapacityAge25*МножительДетей</f>
        <v/>
      </c>
      <c r="AB121" s="5">
        <f>SUMPRODUCT('03_Сеть'!AB35:AB46,CapacityYear2)*МножительДетей+'03_Сеть'!AB47*CapacityAge25*МножительДетей</f>
        <v/>
      </c>
      <c r="AC121" s="5">
        <f>SUMPRODUCT('03_Сеть'!AC35:AC46,CapacityYear2)*МножительДетей+'03_Сеть'!AC47*CapacityAge25*МножительДетей</f>
        <v/>
      </c>
      <c r="AD121" s="5">
        <f>SUMPRODUCT('03_Сеть'!AD35:AD46,CapacityYear2)*МножительДетей+'03_Сеть'!AD47*CapacityAge25*МножительДетей</f>
        <v/>
      </c>
      <c r="AE121" s="5">
        <f>SUMPRODUCT('03_Сеть'!AE35:AE46,CapacityYear2)*МножительДетей+'03_Сеть'!AE47*CapacityAge25*МножительДетей</f>
        <v/>
      </c>
      <c r="AF121" s="5">
        <f>SUMPRODUCT('03_Сеть'!AF35:AF46,CapacityYear2)*МножительДетей+'03_Сеть'!AF47*CapacityAge25*МножительДетей</f>
        <v/>
      </c>
      <c r="AG121" s="5">
        <f>SUMPRODUCT('03_Сеть'!AG35:AG46,CapacityYear2)*МножительДетей+'03_Сеть'!AG47*CapacityAge25*МножительДетей</f>
        <v/>
      </c>
      <c r="AH121" s="5">
        <f>SUMPRODUCT('03_Сеть'!AH35:AH46,CapacityYear2)*МножительДетей+'03_Сеть'!AH47*CapacityAge25*МножительДетей</f>
        <v/>
      </c>
      <c r="AI121" s="5">
        <f>SUMPRODUCT('03_Сеть'!AI35:AI46,CapacityYear2)*МножительДетей+'03_Сеть'!AI47*CapacityAge25*МножительДетей</f>
        <v/>
      </c>
      <c r="AJ121" s="5">
        <f>SUMPRODUCT('03_Сеть'!AJ35:AJ46,CapacityYear2)*МножительДетей+'03_Сеть'!AJ47*CapacityAge25*МножительДетей</f>
        <v/>
      </c>
      <c r="AK121" s="5">
        <f>SUMPRODUCT('03_Сеть'!AK35:AK46,CapacityYear2)*МножительДетей+'03_Сеть'!AK47*CapacityAge25*МножительДетей</f>
        <v/>
      </c>
      <c r="AL121" s="5">
        <f>SUMPRODUCT('03_Сеть'!AL35:AL46,CapacityYear2)*МножительДетей+'03_Сеть'!AL47*CapacityAge25*МножительДетей</f>
        <v/>
      </c>
      <c r="AM121" s="5">
        <f>SUMPRODUCT('03_Сеть'!AM35:AM46,CapacityYear2)*МножительДетей+'03_Сеть'!AM47*CapacityAge25*МножительДетей</f>
        <v/>
      </c>
      <c r="AN121" s="5">
        <f>SUMPRODUCT('03_Сеть'!AN35:AN46,CapacityYear2)*МножительДетей+'03_Сеть'!AN47*CapacityAge25*МножительДетей</f>
        <v/>
      </c>
      <c r="AO121" s="5">
        <f>SUMPRODUCT('03_Сеть'!AO35:AO46,CapacityYear2)*МножительДетей+'03_Сеть'!AO47*CapacityAge25*МножительДетей</f>
        <v/>
      </c>
      <c r="AP121" s="5">
        <f>SUMPRODUCT('03_Сеть'!AP35:AP46,CapacityYear2)*МножительДетей+'03_Сеть'!AP47*CapacityAge25*МножительДетей</f>
        <v/>
      </c>
      <c r="AQ121" s="5">
        <f>SUMPRODUCT('03_Сеть'!AQ35:AQ46,CapacityYear2)*МножительДетей+'03_Сеть'!AQ47*CapacityAge25*МножительДетей</f>
        <v/>
      </c>
      <c r="AR121" s="5">
        <f>SUMPRODUCT('03_Сеть'!AR35:AR46,CapacityYear2)*МножительДетей+'03_Сеть'!AR47*CapacityAge25*МножительДетей</f>
        <v/>
      </c>
      <c r="AS121" s="5">
        <f>SUMPRODUCT('03_Сеть'!AS35:AS46,CapacityYear2)*МножительДетей+'03_Сеть'!AS47*CapacityAge25*МножительДетей</f>
        <v/>
      </c>
      <c r="AT121" s="5">
        <f>SUMPRODUCT('03_Сеть'!AT35:AT46,CapacityYear2)*МножительДетей+'03_Сеть'!AT47*CapacityAge25*МножительДетей</f>
        <v/>
      </c>
      <c r="AU121" s="5">
        <f>SUMPRODUCT('03_Сеть'!AU35:AU46,CapacityYear2)*МножительДетей+'03_Сеть'!AU47*CapacityAge25*МножительДетей</f>
        <v/>
      </c>
      <c r="AV121" s="5">
        <f>SUMPRODUCT('03_Сеть'!AV35:AV46,CapacityYear2)*МножительДетей+'03_Сеть'!AV47*CapacityAge25*МножительДетей</f>
        <v/>
      </c>
      <c r="AW121" s="5">
        <f>SUMPRODUCT('03_Сеть'!AW35:AW46,CapacityYear2)*МножительДетей+'03_Сеть'!AW47*CapacityAge25*МножительДетей</f>
        <v/>
      </c>
      <c r="AX121" s="5">
        <f>SUMPRODUCT('03_Сеть'!AX35:AX46,CapacityYear2)*МножительДетей+'03_Сеть'!AX47*CapacityAge25*МножительДетей</f>
        <v/>
      </c>
      <c r="AY121" s="5">
        <f>SUMPRODUCT('03_Сеть'!AY35:AY46,CapacityYear2)*МножительДетей+'03_Сеть'!AY47*CapacityAge25*МножительДетей</f>
        <v/>
      </c>
      <c r="AZ121" s="5">
        <f>SUMPRODUCT('03_Сеть'!AZ35:AZ46,CapacityYear2)*МножительДетей+'03_Сеть'!AZ47*CapacityAge25*МножительДетей</f>
        <v/>
      </c>
      <c r="BA121" s="5">
        <f>SUMPRODUCT('03_Сеть'!BA35:BA46,CapacityYear2)*МножительДетей+'03_Сеть'!BA47*CapacityAge25*МножительДетей</f>
        <v/>
      </c>
      <c r="BB121" s="5">
        <f>SUMPRODUCT('03_Сеть'!BB35:BB46,CapacityYear2)*МножительДетей+'03_Сеть'!BB47*CapacityAge25*МножительДетей</f>
        <v/>
      </c>
      <c r="BC121" s="5">
        <f>SUMPRODUCT('03_Сеть'!BC35:BC46,CapacityYear2)*МножительДетей+'03_Сеть'!BC47*CapacityAge25*МножительДетей</f>
        <v/>
      </c>
      <c r="BD121" s="5">
        <f>SUMPRODUCT('03_Сеть'!BD35:BD46,CapacityYear2)*МножительДетей+'03_Сеть'!BD47*CapacityAge25*МножительДетей</f>
        <v/>
      </c>
      <c r="BE121" s="5">
        <f>SUMPRODUCT('03_Сеть'!BE35:BE46,CapacityYear2)*МножительДетей+'03_Сеть'!BE47*CapacityAge25*МножительДетей</f>
        <v/>
      </c>
      <c r="BF121" s="5">
        <f>SUMPRODUCT('03_Сеть'!BF35:BF46,CapacityYear2)*МножительДетей+'03_Сеть'!BF47*CapacityAge25*МножительДетей</f>
        <v/>
      </c>
      <c r="BG121" s="5">
        <f>SUMPRODUCT('03_Сеть'!BG35:BG46,CapacityYear2)*МножительДетей+'03_Сеть'!BG47*CapacityAge25*МножительДетей</f>
        <v/>
      </c>
      <c r="BH121" s="5">
        <f>SUMPRODUCT('03_Сеть'!BH35:BH46,CapacityYear2)*МножительДетей+'03_Сеть'!BH47*CapacityAge25*МножительДетей</f>
        <v/>
      </c>
      <c r="BI121" s="5">
        <f>SUMPRODUCT('03_Сеть'!BI35:BI46,CapacityYear2)*МножительДетей+'03_Сеть'!BI47*CapacityAge25*МножительДетей</f>
        <v/>
      </c>
      <c r="BJ121" s="5">
        <f>SUMPRODUCT('03_Сеть'!BJ35:BJ46,CapacityYear2)*МножительДетей+'03_Сеть'!BJ47*CapacityAge25*МножительДетей</f>
        <v/>
      </c>
      <c r="BK121" s="5">
        <f>SUMPRODUCT('03_Сеть'!BK35:BK46,CapacityYear2)*МножительДетей+'03_Сеть'!BK47*CapacityAge25*МножительДетей</f>
        <v/>
      </c>
      <c r="BL121" s="5">
        <f>SUMPRODUCT('03_Сеть'!BL35:BL46,CapacityYear2)*МножительДетей+'03_Сеть'!BL47*CapacityAge25*МножительДетей</f>
        <v/>
      </c>
      <c r="BM121" s="5">
        <f>SUMPRODUCT('03_Сеть'!BM35:BM46,CapacityYear2)*МножительДетей+'03_Сеть'!BM47*CapacityAge25*МножительДетей</f>
        <v/>
      </c>
      <c r="BN121" s="5">
        <f>SUMPRODUCT('03_Сеть'!BN35:BN46,CapacityYear2)*МножительДетей+'03_Сеть'!BN47*CapacityAge25*МножительДетей</f>
        <v/>
      </c>
      <c r="BO121" s="5">
        <f>SUMPRODUCT('03_Сеть'!BO35:BO46,CapacityYear2)*МножительДетей+'03_Сеть'!BO47*CapacityAge25*МножительДетей</f>
        <v/>
      </c>
      <c r="BP121" s="5">
        <f>SUMPRODUCT('03_Сеть'!BP35:BP46,CapacityYear2)*МножительДетей+'03_Сеть'!BP47*CapacityAge25*МножительДетей</f>
        <v/>
      </c>
      <c r="BQ121" s="5">
        <f>SUMPRODUCT('03_Сеть'!BQ35:BQ46,CapacityYear2)*МножительДетей+'03_Сеть'!BQ47*CapacityAge25*МножительДетей</f>
        <v/>
      </c>
      <c r="BR121" s="5">
        <f>SUMPRODUCT('03_Сеть'!BR35:BR46,CapacityYear2)*МножительДетей+'03_Сеть'!BR47*CapacityAge25*МножительДетей</f>
        <v/>
      </c>
      <c r="BS121" s="5">
        <f>SUMPRODUCT('03_Сеть'!BS35:BS46,CapacityYear2)*МножительДетей+'03_Сеть'!BS47*CapacityAge25*МножительДетей</f>
        <v/>
      </c>
      <c r="BT121" s="5">
        <f>SUMPRODUCT('03_Сеть'!BT35:BT46,CapacityYear2)*МножительДетей+'03_Сеть'!BT47*CapacityAge25*МножительДетей</f>
        <v/>
      </c>
      <c r="BU121" s="5">
        <f>SUMPRODUCT('03_Сеть'!BU35:BU46,CapacityYear2)*МножительДетей+'03_Сеть'!BU47*CapacityAge25*МножительДетей</f>
        <v/>
      </c>
      <c r="BV121" s="5">
        <f>SUMPRODUCT('03_Сеть'!BV35:BV46,CapacityYear2)*МножительДетей+'03_Сеть'!BV47*CapacityAge25*МножительДетей</f>
        <v/>
      </c>
      <c r="BW121" s="5">
        <f>SUMPRODUCT('03_Сеть'!BW35:BW46,CapacityYear2)*МножительДетей+'03_Сеть'!BW47*CapacityAge25*МножительДетей</f>
        <v/>
      </c>
      <c r="BX121" s="5">
        <f>SUMPRODUCT('03_Сеть'!BX35:BX46,CapacityYear2)*МножительДетей+'03_Сеть'!BX47*CapacityAge25*МножительДетей</f>
        <v/>
      </c>
      <c r="BY121" s="5">
        <f>SUMPRODUCT('03_Сеть'!BY35:BY46,CapacityYear2)*МножительДетей+'03_Сеть'!BY47*CapacityAge25*МножительДетей</f>
        <v/>
      </c>
    </row>
    <row r="122">
      <c r="B122" t="inlineStr">
        <is>
          <t>Дети для повторной формы — всего</t>
        </is>
      </c>
      <c r="C122" t="inlineStr">
        <is>
          <t>чел.</t>
        </is>
      </c>
      <c r="D122" s="127" t="inlineStr">
        <is>
          <t>В колонках лет — значение на конец года, в «Итого» — на конец пятого года. Это остаток, а не сумма.</t>
        </is>
      </c>
      <c r="E122" s="129">
        <f>W122</f>
        <v/>
      </c>
      <c r="F122" s="129">
        <f>AI122</f>
        <v/>
      </c>
      <c r="G122" s="129">
        <f>AU122</f>
        <v/>
      </c>
      <c r="H122" s="129">
        <f>BG122</f>
        <v/>
      </c>
      <c r="I122" s="129">
        <f>BS122</f>
        <v/>
      </c>
      <c r="J122" s="6">
        <f>BS122</f>
        <v/>
      </c>
      <c r="L122" s="5">
        <f>SUM(L109:L120)+L121</f>
        <v/>
      </c>
      <c r="M122" s="5">
        <f>SUM(M109:M120)+M121</f>
        <v/>
      </c>
      <c r="N122" s="5">
        <f>SUM(N109:N120)+N121</f>
        <v/>
      </c>
      <c r="O122" s="5">
        <f>SUM(O109:O120)+O121</f>
        <v/>
      </c>
      <c r="P122" s="5">
        <f>SUM(P109:P120)+P121</f>
        <v/>
      </c>
      <c r="Q122" s="5">
        <f>SUM(Q109:Q120)+Q121</f>
        <v/>
      </c>
      <c r="R122" s="5">
        <f>SUM(R109:R120)+R121</f>
        <v/>
      </c>
      <c r="S122" s="5">
        <f>SUM(S109:S120)+S121</f>
        <v/>
      </c>
      <c r="T122" s="5">
        <f>SUM(T109:T120)+T121</f>
        <v/>
      </c>
      <c r="U122" s="5">
        <f>SUM(U109:U120)+U121</f>
        <v/>
      </c>
      <c r="V122" s="5">
        <f>SUM(V109:V120)+V121</f>
        <v/>
      </c>
      <c r="W122" s="5">
        <f>SUM(W109:W120)+W121</f>
        <v/>
      </c>
      <c r="X122" s="5">
        <f>SUM(X109:X120)+X121</f>
        <v/>
      </c>
      <c r="Y122" s="5">
        <f>SUM(Y109:Y120)+Y121</f>
        <v/>
      </c>
      <c r="Z122" s="5">
        <f>SUM(Z109:Z120)+Z121</f>
        <v/>
      </c>
      <c r="AA122" s="5">
        <f>SUM(AA109:AA120)+AA121</f>
        <v/>
      </c>
      <c r="AB122" s="5">
        <f>SUM(AB109:AB120)+AB121</f>
        <v/>
      </c>
      <c r="AC122" s="5">
        <f>SUM(AC109:AC120)+AC121</f>
        <v/>
      </c>
      <c r="AD122" s="5">
        <f>SUM(AD109:AD120)+AD121</f>
        <v/>
      </c>
      <c r="AE122" s="5">
        <f>SUM(AE109:AE120)+AE121</f>
        <v/>
      </c>
      <c r="AF122" s="5">
        <f>SUM(AF109:AF120)+AF121</f>
        <v/>
      </c>
      <c r="AG122" s="5">
        <f>SUM(AG109:AG120)+AG121</f>
        <v/>
      </c>
      <c r="AH122" s="5">
        <f>SUM(AH109:AH120)+AH121</f>
        <v/>
      </c>
      <c r="AI122" s="5">
        <f>SUM(AI109:AI120)+AI121</f>
        <v/>
      </c>
      <c r="AJ122" s="5">
        <f>SUM(AJ109:AJ120)+AJ121</f>
        <v/>
      </c>
      <c r="AK122" s="5">
        <f>SUM(AK109:AK120)+AK121</f>
        <v/>
      </c>
      <c r="AL122" s="5">
        <f>SUM(AL109:AL120)+AL121</f>
        <v/>
      </c>
      <c r="AM122" s="5">
        <f>SUM(AM109:AM120)+AM121</f>
        <v/>
      </c>
      <c r="AN122" s="5">
        <f>SUM(AN109:AN120)+AN121</f>
        <v/>
      </c>
      <c r="AO122" s="5">
        <f>SUM(AO109:AO120)+AO121</f>
        <v/>
      </c>
      <c r="AP122" s="5">
        <f>SUM(AP109:AP120)+AP121</f>
        <v/>
      </c>
      <c r="AQ122" s="5">
        <f>SUM(AQ109:AQ120)+AQ121</f>
        <v/>
      </c>
      <c r="AR122" s="5">
        <f>SUM(AR109:AR120)+AR121</f>
        <v/>
      </c>
      <c r="AS122" s="5">
        <f>SUM(AS109:AS120)+AS121</f>
        <v/>
      </c>
      <c r="AT122" s="5">
        <f>SUM(AT109:AT120)+AT121</f>
        <v/>
      </c>
      <c r="AU122" s="5">
        <f>SUM(AU109:AU120)+AU121</f>
        <v/>
      </c>
      <c r="AV122" s="5">
        <f>SUM(AV109:AV120)+AV121</f>
        <v/>
      </c>
      <c r="AW122" s="5">
        <f>SUM(AW109:AW120)+AW121</f>
        <v/>
      </c>
      <c r="AX122" s="5">
        <f>SUM(AX109:AX120)+AX121</f>
        <v/>
      </c>
      <c r="AY122" s="5">
        <f>SUM(AY109:AY120)+AY121</f>
        <v/>
      </c>
      <c r="AZ122" s="5">
        <f>SUM(AZ109:AZ120)+AZ121</f>
        <v/>
      </c>
      <c r="BA122" s="5">
        <f>SUM(BA109:BA120)+BA121</f>
        <v/>
      </c>
      <c r="BB122" s="5">
        <f>SUM(BB109:BB120)+BB121</f>
        <v/>
      </c>
      <c r="BC122" s="5">
        <f>SUM(BC109:BC120)+BC121</f>
        <v/>
      </c>
      <c r="BD122" s="5">
        <f>SUM(BD109:BD120)+BD121</f>
        <v/>
      </c>
      <c r="BE122" s="5">
        <f>SUM(BE109:BE120)+BE121</f>
        <v/>
      </c>
      <c r="BF122" s="5">
        <f>SUM(BF109:BF120)+BF121</f>
        <v/>
      </c>
      <c r="BG122" s="5">
        <f>SUM(BG109:BG120)+BG121</f>
        <v/>
      </c>
      <c r="BH122" s="5">
        <f>SUM(BH109:BH120)+BH121</f>
        <v/>
      </c>
      <c r="BI122" s="5">
        <f>SUM(BI109:BI120)+BI121</f>
        <v/>
      </c>
      <c r="BJ122" s="5">
        <f>SUM(BJ109:BJ120)+BJ121</f>
        <v/>
      </c>
      <c r="BK122" s="5">
        <f>SUM(BK109:BK120)+BK121</f>
        <v/>
      </c>
      <c r="BL122" s="5">
        <f>SUM(BL109:BL120)+BL121</f>
        <v/>
      </c>
      <c r="BM122" s="5">
        <f>SUM(BM109:BM120)+BM121</f>
        <v/>
      </c>
      <c r="BN122" s="5">
        <f>SUM(BN109:BN120)+BN121</f>
        <v/>
      </c>
      <c r="BO122" s="5">
        <f>SUM(BO109:BO120)+BO121</f>
        <v/>
      </c>
      <c r="BP122" s="5">
        <f>SUM(BP109:BP120)+BP121</f>
        <v/>
      </c>
      <c r="BQ122" s="5">
        <f>SUM(BQ109:BQ120)+BQ121</f>
        <v/>
      </c>
      <c r="BR122" s="5">
        <f>SUM(BR109:BR120)+BR121</f>
        <v/>
      </c>
      <c r="BS122" s="5">
        <f>SUM(BS109:BS120)+BS121</f>
        <v/>
      </c>
      <c r="BT122" s="5">
        <f>SUM(BT109:BT120)+BT121</f>
        <v/>
      </c>
      <c r="BU122" s="5">
        <f>SUM(BU109:BU120)+BU121</f>
        <v/>
      </c>
      <c r="BV122" s="5">
        <f>SUM(BV109:BV120)+BV121</f>
        <v/>
      </c>
      <c r="BW122" s="5">
        <f>SUM(BW109:BW120)+BW121</f>
        <v/>
      </c>
      <c r="BX122" s="5">
        <f>SUM(BX109:BX120)+BX121</f>
        <v/>
      </c>
      <c r="BY122" s="5">
        <f>SUM(BY109:BY120)+BY121</f>
        <v/>
      </c>
    </row>
    <row r="123">
      <c r="B123" t="inlineStr">
        <is>
          <t>Первичная закупка новых школ, комплекты</t>
        </is>
      </c>
      <c r="C123" t="inlineStr">
        <is>
          <t>шт.</t>
        </is>
      </c>
      <c r="D123" s="127" t="inlineStr">
        <is>
          <t>Комплекты для только что открывшихся школ: закупка растянута на три месяца после открытия</t>
        </is>
      </c>
      <c r="E123" s="128">
        <f>SUM(L123:W123)</f>
        <v/>
      </c>
      <c r="F123" s="128">
        <f>SUM(X123:AI123)</f>
        <v/>
      </c>
      <c r="G123" s="128">
        <f>SUM(AJ123:AU123)</f>
        <v/>
      </c>
      <c r="H123" s="128">
        <f>SUM(AV123:BG123)</f>
        <v/>
      </c>
      <c r="I123" s="128">
        <f>SUM(BH123:BS123)</f>
        <v/>
      </c>
      <c r="J123" s="13">
        <f>SUM(L123:BS123)</f>
        <v/>
      </c>
      <c r="L123" s="12">
        <f>0</f>
        <v/>
      </c>
      <c r="M123" s="12">
        <f>('03_Сеть'!L14*ПервичнаяМес1*КоэффСохранения)*ДетиК12Мес*КоэффМерча</f>
        <v/>
      </c>
      <c r="N123" s="12">
        <f>('03_Сеть'!M14*ПервичнаяМес1*КоэффСохранения+'03_Сеть'!L14*ПервичнаяМес2*КоэффСохранения^2)*ДетиК12Мес*КоэффМерча</f>
        <v/>
      </c>
      <c r="O123" s="12">
        <f>('03_Сеть'!N14*ПервичнаяМес1*КоэффСохранения+'03_Сеть'!M14*ПервичнаяМес2*КоэффСохранения^2+'03_Сеть'!L14*ПервичнаяМес3*КоэффСохранения^3)*ДетиК12Мес*КоэффМерча</f>
        <v/>
      </c>
      <c r="P123" s="12">
        <f>('03_Сеть'!O14*ПервичнаяМес1*КоэффСохранения+'03_Сеть'!N14*ПервичнаяМес2*КоэффСохранения^2+'03_Сеть'!M14*ПервичнаяМес3*КоэффСохранения^3)*ДетиК12Мес*КоэффМерча</f>
        <v/>
      </c>
      <c r="Q123" s="12">
        <f>('03_Сеть'!P14*ПервичнаяМес1*КоэффСохранения+'03_Сеть'!O14*ПервичнаяМес2*КоэффСохранения^2+'03_Сеть'!N14*ПервичнаяМес3*КоэффСохранения^3)*ДетиК12Мес*КоэффМерча</f>
        <v/>
      </c>
      <c r="R123" s="12">
        <f>('03_Сеть'!Q14*ПервичнаяМес1*КоэффСохранения+'03_Сеть'!P14*ПервичнаяМес2*КоэффСохранения^2+'03_Сеть'!O14*ПервичнаяМес3*КоэффСохранения^3)*ДетиК12Мес*КоэффМерча</f>
        <v/>
      </c>
      <c r="S123" s="12">
        <f>('03_Сеть'!R14*ПервичнаяМес1*КоэффСохранения+'03_Сеть'!Q14*ПервичнаяМес2*КоэффСохранения^2+'03_Сеть'!P14*ПервичнаяМес3*КоэффСохранения^3)*ДетиК12Мес*КоэффМерча</f>
        <v/>
      </c>
      <c r="T123" s="12">
        <f>('03_Сеть'!S14*ПервичнаяМес1*КоэффСохранения+'03_Сеть'!R14*ПервичнаяМес2*КоэффСохранения^2+'03_Сеть'!Q14*ПервичнаяМес3*КоэффСохранения^3)*ДетиК12Мес*КоэффМерча</f>
        <v/>
      </c>
      <c r="U123" s="12">
        <f>('03_Сеть'!T14*ПервичнаяМес1*КоэффСохранения+'03_Сеть'!S14*ПервичнаяМес2*КоэффСохранения^2+'03_Сеть'!R14*ПервичнаяМес3*КоэффСохранения^3)*ДетиК12Мес*КоэффМерча</f>
        <v/>
      </c>
      <c r="V123" s="12">
        <f>('03_Сеть'!U14*ПервичнаяМес1*КоэффСохранения+'03_Сеть'!T14*ПервичнаяМес2*КоэффСохранения^2+'03_Сеть'!S14*ПервичнаяМес3*КоэффСохранения^3)*ДетиК12Мес*КоэффМерча</f>
        <v/>
      </c>
      <c r="W123" s="12">
        <f>('03_Сеть'!V14*ПервичнаяМес1*КоэффСохранения+'03_Сеть'!U14*ПервичнаяМес2*КоэффСохранения^2+'03_Сеть'!T14*ПервичнаяМес3*КоэффСохранения^3)*ДетиК12Мес*КоэффМерча</f>
        <v/>
      </c>
      <c r="X123" s="12">
        <f>('03_Сеть'!W14*ПервичнаяМес1*КоэффСохранения+'03_Сеть'!V14*ПервичнаяМес2*КоэффСохранения^2+'03_Сеть'!U14*ПервичнаяМес3*КоэффСохранения^3)*ДетиК12Мес*КоэффМерча</f>
        <v/>
      </c>
      <c r="Y123" s="12">
        <f>('03_Сеть'!X14*ПервичнаяМес1*КоэффСохранения+'03_Сеть'!W14*ПервичнаяМес2*КоэффСохранения^2+'03_Сеть'!V14*ПервичнаяМес3*КоэффСохранения^3)*ДетиК12Мес*КоэффМерча</f>
        <v/>
      </c>
      <c r="Z123" s="12">
        <f>('03_Сеть'!Y14*ПервичнаяМес1*КоэффСохранения+'03_Сеть'!X14*ПервичнаяМес2*КоэффСохранения^2+'03_Сеть'!W14*ПервичнаяМес3*КоэффСохранения^3)*ДетиК12Мес*КоэффМерча</f>
        <v/>
      </c>
      <c r="AA123" s="12">
        <f>('03_Сеть'!Z14*ПервичнаяМес1*КоэффСохранения+'03_Сеть'!Y14*ПервичнаяМес2*КоэффСохранения^2+'03_Сеть'!X14*ПервичнаяМес3*КоэффСохранения^3)*ДетиК12Мес*КоэффМерча</f>
        <v/>
      </c>
      <c r="AB123" s="12">
        <f>('03_Сеть'!AA14*ПервичнаяМес1*КоэффСохранения+'03_Сеть'!Z14*ПервичнаяМес2*КоэффСохранения^2+'03_Сеть'!Y14*ПервичнаяМес3*КоэффСохранения^3)*ДетиК12Мес*КоэффМерча</f>
        <v/>
      </c>
      <c r="AC123" s="12">
        <f>('03_Сеть'!AB14*ПервичнаяМес1*КоэффСохранения+'03_Сеть'!AA14*ПервичнаяМес2*КоэффСохранения^2+'03_Сеть'!Z14*ПервичнаяМес3*КоэффСохранения^3)*ДетиК12Мес*КоэффМерча</f>
        <v/>
      </c>
      <c r="AD123" s="12">
        <f>('03_Сеть'!AC14*ПервичнаяМес1*КоэффСохранения+'03_Сеть'!AB14*ПервичнаяМес2*КоэффСохранения^2+'03_Сеть'!AA14*ПервичнаяМес3*КоэффСохранения^3)*ДетиК12Мес*КоэффМерча</f>
        <v/>
      </c>
      <c r="AE123" s="12">
        <f>('03_Сеть'!AD14*ПервичнаяМес1*КоэффСохранения+'03_Сеть'!AC14*ПервичнаяМес2*КоэффСохранения^2+'03_Сеть'!AB14*ПервичнаяМес3*КоэффСохранения^3)*ДетиК12Мес*КоэффМерча</f>
        <v/>
      </c>
      <c r="AF123" s="12">
        <f>('03_Сеть'!AE14*ПервичнаяМес1*КоэффСохранения+'03_Сеть'!AD14*ПервичнаяМес2*КоэффСохранения^2+'03_Сеть'!AC14*ПервичнаяМес3*КоэффСохранения^3)*ДетиК12Мес*КоэффМерча</f>
        <v/>
      </c>
      <c r="AG123" s="12">
        <f>('03_Сеть'!AF14*ПервичнаяМес1*КоэффСохранения+'03_Сеть'!AE14*ПервичнаяМес2*КоэффСохранения^2+'03_Сеть'!AD14*ПервичнаяМес3*КоэффСохранения^3)*ДетиК12Мес*КоэффМерча</f>
        <v/>
      </c>
      <c r="AH123" s="12">
        <f>('03_Сеть'!AG14*ПервичнаяМес1*КоэффСохранения+'03_Сеть'!AF14*ПервичнаяМес2*КоэффСохранения^2+'03_Сеть'!AE14*ПервичнаяМес3*КоэффСохранения^3)*ДетиК12Мес*КоэффМерча</f>
        <v/>
      </c>
      <c r="AI123" s="12">
        <f>('03_Сеть'!AH14*ПервичнаяМес1*КоэффСохранения+'03_Сеть'!AG14*ПервичнаяМес2*КоэффСохранения^2+'03_Сеть'!AF14*ПервичнаяМес3*КоэффСохранения^3)*ДетиК12Мес*КоэффМерча</f>
        <v/>
      </c>
      <c r="AJ123" s="12">
        <f>('03_Сеть'!AI14*ПервичнаяМес1*КоэффСохранения+'03_Сеть'!AH14*ПервичнаяМес2*КоэффСохранения^2+'03_Сеть'!AG14*ПервичнаяМес3*КоэффСохранения^3)*ДетиК12Мес*КоэффМерча</f>
        <v/>
      </c>
      <c r="AK123" s="12">
        <f>('03_Сеть'!AJ14*ПервичнаяМес1*КоэффСохранения+'03_Сеть'!AI14*ПервичнаяМес2*КоэффСохранения^2+'03_Сеть'!AH14*ПервичнаяМес3*КоэффСохранения^3)*ДетиК12Мес*КоэффМерча</f>
        <v/>
      </c>
      <c r="AL123" s="12">
        <f>('03_Сеть'!AK14*ПервичнаяМес1*КоэффСохранения+'03_Сеть'!AJ14*ПервичнаяМес2*КоэффСохранения^2+'03_Сеть'!AI14*ПервичнаяМес3*КоэффСохранения^3)*ДетиК12Мес*КоэффМерча</f>
        <v/>
      </c>
      <c r="AM123" s="12">
        <f>('03_Сеть'!AL14*ПервичнаяМес1*КоэффСохранения+'03_Сеть'!AK14*ПервичнаяМес2*КоэффСохранения^2+'03_Сеть'!AJ14*ПервичнаяМес3*КоэффСохранения^3)*ДетиК12Мес*КоэффМерча</f>
        <v/>
      </c>
      <c r="AN123" s="12">
        <f>('03_Сеть'!AM14*ПервичнаяМес1*КоэффСохранения+'03_Сеть'!AL14*ПервичнаяМес2*КоэффСохранения^2+'03_Сеть'!AK14*ПервичнаяМес3*КоэффСохранения^3)*ДетиК12Мес*КоэффМерча</f>
        <v/>
      </c>
      <c r="AO123" s="12">
        <f>('03_Сеть'!AN14*ПервичнаяМес1*КоэффСохранения+'03_Сеть'!AM14*ПервичнаяМес2*КоэффСохранения^2+'03_Сеть'!AL14*ПервичнаяМес3*КоэффСохранения^3)*ДетиК12Мес*КоэффМерча</f>
        <v/>
      </c>
      <c r="AP123" s="12">
        <f>('03_Сеть'!AO14*ПервичнаяМес1*КоэффСохранения+'03_Сеть'!AN14*ПервичнаяМес2*КоэффСохранения^2+'03_Сеть'!AM14*ПервичнаяМес3*КоэффСохранения^3)*ДетиК12Мес*КоэффМерча</f>
        <v/>
      </c>
      <c r="AQ123" s="12">
        <f>('03_Сеть'!AP14*ПервичнаяМес1*КоэффСохранения+'03_Сеть'!AO14*ПервичнаяМес2*КоэффСохранения^2+'03_Сеть'!AN14*ПервичнаяМес3*КоэффСохранения^3)*ДетиК12Мес*КоэффМерча</f>
        <v/>
      </c>
      <c r="AR123" s="12">
        <f>('03_Сеть'!AQ14*ПервичнаяМес1*КоэффСохранения+'03_Сеть'!AP14*ПервичнаяМес2*КоэффСохранения^2+'03_Сеть'!AO14*ПервичнаяМес3*КоэффСохранения^3)*ДетиК12Мес*КоэффМерча</f>
        <v/>
      </c>
      <c r="AS123" s="12">
        <f>('03_Сеть'!AR14*ПервичнаяМес1*КоэффСохранения+'03_Сеть'!AQ14*ПервичнаяМес2*КоэффСохранения^2+'03_Сеть'!AP14*ПервичнаяМес3*КоэффСохранения^3)*ДетиК12Мес*КоэффМерча</f>
        <v/>
      </c>
      <c r="AT123" s="12">
        <f>('03_Сеть'!AS14*ПервичнаяМес1*КоэффСохранения+'03_Сеть'!AR14*ПервичнаяМес2*КоэффСохранения^2+'03_Сеть'!AQ14*ПервичнаяМес3*КоэффСохранения^3)*ДетиК12Мес*КоэффМерча</f>
        <v/>
      </c>
      <c r="AU123" s="12">
        <f>('03_Сеть'!AT14*ПервичнаяМес1*КоэффСохранения+'03_Сеть'!AS14*ПервичнаяМес2*КоэффСохранения^2+'03_Сеть'!AR14*ПервичнаяМес3*КоэффСохранения^3)*ДетиК12Мес*КоэффМерча</f>
        <v/>
      </c>
      <c r="AV123" s="12">
        <f>('03_Сеть'!AU14*ПервичнаяМес1*КоэффСохранения+'03_Сеть'!AT14*ПервичнаяМес2*КоэффСохранения^2+'03_Сеть'!AS14*ПервичнаяМес3*КоэффСохранения^3)*ДетиК12Мес*КоэффМерча</f>
        <v/>
      </c>
      <c r="AW123" s="12">
        <f>('03_Сеть'!AV14*ПервичнаяМес1*КоэффСохранения+'03_Сеть'!AU14*ПервичнаяМес2*КоэффСохранения^2+'03_Сеть'!AT14*ПервичнаяМес3*КоэффСохранения^3)*ДетиК12Мес*КоэффМерча</f>
        <v/>
      </c>
      <c r="AX123" s="12">
        <f>('03_Сеть'!AW14*ПервичнаяМес1*КоэффСохранения+'03_Сеть'!AV14*ПервичнаяМес2*КоэффСохранения^2+'03_Сеть'!AU14*ПервичнаяМес3*КоэффСохранения^3)*ДетиК12Мес*КоэффМерча</f>
        <v/>
      </c>
      <c r="AY123" s="12">
        <f>('03_Сеть'!AX14*ПервичнаяМес1*КоэффСохранения+'03_Сеть'!AW14*ПервичнаяМес2*КоэффСохранения^2+'03_Сеть'!AV14*ПервичнаяМес3*КоэффСохранения^3)*ДетиК12Мес*КоэффМерча</f>
        <v/>
      </c>
      <c r="AZ123" s="12">
        <f>('03_Сеть'!AY14*ПервичнаяМес1*КоэффСохранения+'03_Сеть'!AX14*ПервичнаяМес2*КоэффСохранения^2+'03_Сеть'!AW14*ПервичнаяМес3*КоэффСохранения^3)*ДетиК12Мес*КоэффМерча</f>
        <v/>
      </c>
      <c r="BA123" s="12">
        <f>('03_Сеть'!AZ14*ПервичнаяМес1*КоэффСохранения+'03_Сеть'!AY14*ПервичнаяМес2*КоэффСохранения^2+'03_Сеть'!AX14*ПервичнаяМес3*КоэффСохранения^3)*ДетиК12Мес*КоэффМерча</f>
        <v/>
      </c>
      <c r="BB123" s="12">
        <f>('03_Сеть'!BA14*ПервичнаяМес1*КоэффСохранения+'03_Сеть'!AZ14*ПервичнаяМес2*КоэффСохранения^2+'03_Сеть'!AY14*ПервичнаяМес3*КоэффСохранения^3)*ДетиК12Мес*КоэффМерча</f>
        <v/>
      </c>
      <c r="BC123" s="12">
        <f>('03_Сеть'!BB14*ПервичнаяМес1*КоэффСохранения+'03_Сеть'!BA14*ПервичнаяМес2*КоэффСохранения^2+'03_Сеть'!AZ14*ПервичнаяМес3*КоэффСохранения^3)*ДетиК12Мес*КоэффМерча</f>
        <v/>
      </c>
      <c r="BD123" s="12">
        <f>('03_Сеть'!BC14*ПервичнаяМес1*КоэффСохранения+'03_Сеть'!BB14*ПервичнаяМес2*КоэффСохранения^2+'03_Сеть'!BA14*ПервичнаяМес3*КоэффСохранения^3)*ДетиК12Мес*КоэффМерча</f>
        <v/>
      </c>
      <c r="BE123" s="12">
        <f>('03_Сеть'!BD14*ПервичнаяМес1*КоэффСохранения+'03_Сеть'!BC14*ПервичнаяМес2*КоэффСохранения^2+'03_Сеть'!BB14*ПервичнаяМес3*КоэффСохранения^3)*ДетиК12Мес*КоэффМерча</f>
        <v/>
      </c>
      <c r="BF123" s="12">
        <f>('03_Сеть'!BE14*ПервичнаяМес1*КоэффСохранения+'03_Сеть'!BD14*ПервичнаяМес2*КоэффСохранения^2+'03_Сеть'!BC14*ПервичнаяМес3*КоэффСохранения^3)*ДетиК12Мес*КоэффМерча</f>
        <v/>
      </c>
      <c r="BG123" s="12">
        <f>('03_Сеть'!BF14*ПервичнаяМес1*КоэффСохранения+'03_Сеть'!BE14*ПервичнаяМес2*КоэффСохранения^2+'03_Сеть'!BD14*ПервичнаяМес3*КоэффСохранения^3)*ДетиК12Мес*КоэффМерча</f>
        <v/>
      </c>
      <c r="BH123" s="12">
        <f>('03_Сеть'!BG14*ПервичнаяМес1*КоэффСохранения+'03_Сеть'!BF14*ПервичнаяМес2*КоэффСохранения^2+'03_Сеть'!BE14*ПервичнаяМес3*КоэффСохранения^3)*ДетиК12Мес*КоэффМерча</f>
        <v/>
      </c>
      <c r="BI123" s="12">
        <f>('03_Сеть'!BH14*ПервичнаяМес1*КоэффСохранения+'03_Сеть'!BG14*ПервичнаяМес2*КоэффСохранения^2+'03_Сеть'!BF14*ПервичнаяМес3*КоэффСохранения^3)*ДетиК12Мес*КоэффМерча</f>
        <v/>
      </c>
      <c r="BJ123" s="12">
        <f>('03_Сеть'!BI14*ПервичнаяМес1*КоэффСохранения+'03_Сеть'!BH14*ПервичнаяМес2*КоэффСохранения^2+'03_Сеть'!BG14*ПервичнаяМес3*КоэффСохранения^3)*ДетиК12Мес*КоэффМерча</f>
        <v/>
      </c>
      <c r="BK123" s="12">
        <f>('03_Сеть'!BJ14*ПервичнаяМес1*КоэффСохранения+'03_Сеть'!BI14*ПервичнаяМес2*КоэффСохранения^2+'03_Сеть'!BH14*ПервичнаяМес3*КоэффСохранения^3)*ДетиК12Мес*КоэффМерча</f>
        <v/>
      </c>
      <c r="BL123" s="12">
        <f>('03_Сеть'!BK14*ПервичнаяМес1*КоэффСохранения+'03_Сеть'!BJ14*ПервичнаяМес2*КоэффСохранения^2+'03_Сеть'!BI14*ПервичнаяМес3*КоэффСохранения^3)*ДетиК12Мес*КоэффМерча</f>
        <v/>
      </c>
      <c r="BM123" s="12">
        <f>('03_Сеть'!BL14*ПервичнаяМес1*КоэффСохранения+'03_Сеть'!BK14*ПервичнаяМес2*КоэффСохранения^2+'03_Сеть'!BJ14*ПервичнаяМес3*КоэффСохранения^3)*ДетиК12Мес*КоэффМерча</f>
        <v/>
      </c>
      <c r="BN123" s="12">
        <f>('03_Сеть'!BM14*ПервичнаяМес1*КоэффСохранения+'03_Сеть'!BL14*ПервичнаяМес2*КоэффСохранения^2+'03_Сеть'!BK14*ПервичнаяМес3*КоэффСохранения^3)*ДетиК12Мес*КоэффМерча</f>
        <v/>
      </c>
      <c r="BO123" s="12">
        <f>('03_Сеть'!BN14*ПервичнаяМес1*КоэффСохранения+'03_Сеть'!BM14*ПервичнаяМес2*КоэффСохранения^2+'03_Сеть'!BL14*ПервичнаяМес3*КоэффСохранения^3)*ДетиК12Мес*КоэффМерча</f>
        <v/>
      </c>
      <c r="BP123" s="12">
        <f>('03_Сеть'!BO14*ПервичнаяМес1*КоэффСохранения+'03_Сеть'!BN14*ПервичнаяМес2*КоэффСохранения^2+'03_Сеть'!BM14*ПервичнаяМес3*КоэффСохранения^3)*ДетиК12Мес*КоэффМерча</f>
        <v/>
      </c>
      <c r="BQ123" s="12">
        <f>('03_Сеть'!BP14*ПервичнаяМес1*КоэффСохранения+'03_Сеть'!BO14*ПервичнаяМес2*КоэффСохранения^2+'03_Сеть'!BN14*ПервичнаяМес3*КоэффСохранения^3)*ДетиК12Мес*КоэффМерча</f>
        <v/>
      </c>
      <c r="BR123" s="12">
        <f>('03_Сеть'!BQ14*ПервичнаяМес1*КоэффСохранения+'03_Сеть'!BP14*ПервичнаяМес2*КоэффСохранения^2+'03_Сеть'!BO14*ПервичнаяМес3*КоэффСохранения^3)*ДетиК12Мес*КоэффМерча</f>
        <v/>
      </c>
      <c r="BS123" s="12">
        <f>('03_Сеть'!BR14*ПервичнаяМес1*КоэффСохранения+'03_Сеть'!BQ14*ПервичнаяМес2*КоэффСохранения^2+'03_Сеть'!BP14*ПервичнаяМес3*КоэффСохранения^3)*ДетиК12Мес*КоэффМерча</f>
        <v/>
      </c>
      <c r="BT123" s="12">
        <f>('03_Сеть'!BS14*ПервичнаяМес1*КоэффСохранения+'03_Сеть'!BR14*ПервичнаяМес2*КоэффСохранения^2+'03_Сеть'!BQ14*ПервичнаяМес3*КоэффСохранения^3)*ДетиК12Мес*КоэффМерча</f>
        <v/>
      </c>
      <c r="BU123" s="12">
        <f>('03_Сеть'!BT14*ПервичнаяМес1*КоэффСохранения+'03_Сеть'!BS14*ПервичнаяМес2*КоэффСохранения^2+'03_Сеть'!BR14*ПервичнаяМес3*КоэффСохранения^3)*ДетиК12Мес*КоэффМерча</f>
        <v/>
      </c>
      <c r="BV123" s="12">
        <f>('03_Сеть'!BU14*ПервичнаяМес1*КоэффСохранения+'03_Сеть'!BT14*ПервичнаяМес2*КоэффСохранения^2+'03_Сеть'!BS14*ПервичнаяМес3*КоэффСохранения^3)*ДетиК12Мес*КоэффМерча</f>
        <v/>
      </c>
      <c r="BW123" s="12">
        <f>('03_Сеть'!BV14*ПервичнаяМес1*КоэффСохранения+'03_Сеть'!BU14*ПервичнаяМес2*КоэффСохранения^2+'03_Сеть'!BT14*ПервичнаяМес3*КоэффСохранения^3)*ДетиК12Мес*КоэффМерча</f>
        <v/>
      </c>
      <c r="BX123" s="12">
        <f>('03_Сеть'!BW14*ПервичнаяМес1*КоэффСохранения+'03_Сеть'!BV14*ПервичнаяМес2*КоэффСохранения^2+'03_Сеть'!BU14*ПервичнаяМес3*КоэффСохранения^3)*ДетиК12Мес*КоэффМерча</f>
        <v/>
      </c>
      <c r="BY123" s="12">
        <f>('03_Сеть'!BX14*ПервичнаяМес1*КоэффСохранения+'03_Сеть'!BW14*ПервичнаяМес2*КоэффСохранения^2+'03_Сеть'!BV14*ПервичнаяМес3*КоэффСохранения^3)*ДетиК12Мес*КоэффМерча</f>
        <v/>
      </c>
    </row>
    <row r="124">
      <c r="B124" t="inlineStr">
        <is>
          <t>Повторная закупка новых школ, комплекты</t>
        </is>
      </c>
      <c r="C124" t="inlineStr">
        <is>
          <t>шт.</t>
        </is>
      </c>
      <c r="D124" s="127" t="inlineStr"/>
      <c r="E124" s="128">
        <f>SUM(L124:W124)</f>
        <v/>
      </c>
      <c r="F124" s="128">
        <f>SUM(X124:AI124)</f>
        <v/>
      </c>
      <c r="G124" s="128">
        <f>SUM(AJ124:AU124)</f>
        <v/>
      </c>
      <c r="H124" s="128">
        <f>SUM(AV124:BG124)</f>
        <v/>
      </c>
      <c r="I124" s="128">
        <f>SUM(BH124:BS124)</f>
        <v/>
      </c>
      <c r="J124" s="13">
        <f>SUM(L124:BS124)</f>
        <v/>
      </c>
      <c r="L124" s="12">
        <f>L122*КоэффМерча*L106</f>
        <v/>
      </c>
      <c r="M124" s="12">
        <f>M122*КоэффМерча*M106</f>
        <v/>
      </c>
      <c r="N124" s="12">
        <f>N122*КоэффМерча*N106</f>
        <v/>
      </c>
      <c r="O124" s="12">
        <f>O122*КоэффМерча*O106</f>
        <v/>
      </c>
      <c r="P124" s="12">
        <f>P122*КоэффМерча*P106</f>
        <v/>
      </c>
      <c r="Q124" s="12">
        <f>Q122*КоэффМерча*Q106</f>
        <v/>
      </c>
      <c r="R124" s="12">
        <f>R122*КоэффМерча*R106</f>
        <v/>
      </c>
      <c r="S124" s="12">
        <f>S122*КоэффМерча*S106</f>
        <v/>
      </c>
      <c r="T124" s="12">
        <f>T122*КоэффМерча*T106</f>
        <v/>
      </c>
      <c r="U124" s="12">
        <f>U122*КоэффМерча*U106</f>
        <v/>
      </c>
      <c r="V124" s="12">
        <f>V122*КоэффМерча*V106</f>
        <v/>
      </c>
      <c r="W124" s="12">
        <f>W122*КоэффМерча*W106</f>
        <v/>
      </c>
      <c r="X124" s="12">
        <f>X122*КоэффМерча*X106</f>
        <v/>
      </c>
      <c r="Y124" s="12">
        <f>Y122*КоэффМерча*Y106</f>
        <v/>
      </c>
      <c r="Z124" s="12">
        <f>Z122*КоэффМерча*Z106</f>
        <v/>
      </c>
      <c r="AA124" s="12">
        <f>AA122*КоэффМерча*AA106</f>
        <v/>
      </c>
      <c r="AB124" s="12">
        <f>AB122*КоэффМерча*AB106</f>
        <v/>
      </c>
      <c r="AC124" s="12">
        <f>AC122*КоэффМерча*AC106</f>
        <v/>
      </c>
      <c r="AD124" s="12">
        <f>AD122*КоэффМерча*AD106</f>
        <v/>
      </c>
      <c r="AE124" s="12">
        <f>AE122*КоэффМерча*AE106</f>
        <v/>
      </c>
      <c r="AF124" s="12">
        <f>AF122*КоэффМерча*AF106</f>
        <v/>
      </c>
      <c r="AG124" s="12">
        <f>AG122*КоэффМерча*AG106</f>
        <v/>
      </c>
      <c r="AH124" s="12">
        <f>AH122*КоэффМерча*AH106</f>
        <v/>
      </c>
      <c r="AI124" s="12">
        <f>AI122*КоэффМерча*AI106</f>
        <v/>
      </c>
      <c r="AJ124" s="12">
        <f>AJ122*КоэффМерча*AJ106</f>
        <v/>
      </c>
      <c r="AK124" s="12">
        <f>AK122*КоэффМерча*AK106</f>
        <v/>
      </c>
      <c r="AL124" s="12">
        <f>AL122*КоэффМерча*AL106</f>
        <v/>
      </c>
      <c r="AM124" s="12">
        <f>AM122*КоэффМерча*AM106</f>
        <v/>
      </c>
      <c r="AN124" s="12">
        <f>AN122*КоэффМерча*AN106</f>
        <v/>
      </c>
      <c r="AO124" s="12">
        <f>AO122*КоэффМерча*AO106</f>
        <v/>
      </c>
      <c r="AP124" s="12">
        <f>AP122*КоэффМерча*AP106</f>
        <v/>
      </c>
      <c r="AQ124" s="12">
        <f>AQ122*КоэффМерча*AQ106</f>
        <v/>
      </c>
      <c r="AR124" s="12">
        <f>AR122*КоэффМерча*AR106</f>
        <v/>
      </c>
      <c r="AS124" s="12">
        <f>AS122*КоэффМерча*AS106</f>
        <v/>
      </c>
      <c r="AT124" s="12">
        <f>AT122*КоэффМерча*AT106</f>
        <v/>
      </c>
      <c r="AU124" s="12">
        <f>AU122*КоэффМерча*AU106</f>
        <v/>
      </c>
      <c r="AV124" s="12">
        <f>AV122*КоэффМерча*AV106</f>
        <v/>
      </c>
      <c r="AW124" s="12">
        <f>AW122*КоэффМерча*AW106</f>
        <v/>
      </c>
      <c r="AX124" s="12">
        <f>AX122*КоэффМерча*AX106</f>
        <v/>
      </c>
      <c r="AY124" s="12">
        <f>AY122*КоэффМерча*AY106</f>
        <v/>
      </c>
      <c r="AZ124" s="12">
        <f>AZ122*КоэффМерча*AZ106</f>
        <v/>
      </c>
      <c r="BA124" s="12">
        <f>BA122*КоэффМерча*BA106</f>
        <v/>
      </c>
      <c r="BB124" s="12">
        <f>BB122*КоэффМерча*BB106</f>
        <v/>
      </c>
      <c r="BC124" s="12">
        <f>BC122*КоэффМерча*BC106</f>
        <v/>
      </c>
      <c r="BD124" s="12">
        <f>BD122*КоэффМерча*BD106</f>
        <v/>
      </c>
      <c r="BE124" s="12">
        <f>BE122*КоэффМерча*BE106</f>
        <v/>
      </c>
      <c r="BF124" s="12">
        <f>BF122*КоэффМерча*BF106</f>
        <v/>
      </c>
      <c r="BG124" s="12">
        <f>BG122*КоэффМерча*BG106</f>
        <v/>
      </c>
      <c r="BH124" s="12">
        <f>BH122*КоэффМерча*BH106</f>
        <v/>
      </c>
      <c r="BI124" s="12">
        <f>BI122*КоэффМерча*BI106</f>
        <v/>
      </c>
      <c r="BJ124" s="12">
        <f>BJ122*КоэффМерча*BJ106</f>
        <v/>
      </c>
      <c r="BK124" s="12">
        <f>BK122*КоэффМерча*BK106</f>
        <v/>
      </c>
      <c r="BL124" s="12">
        <f>BL122*КоэффМерча*BL106</f>
        <v/>
      </c>
      <c r="BM124" s="12">
        <f>BM122*КоэффМерча*BM106</f>
        <v/>
      </c>
      <c r="BN124" s="12">
        <f>BN122*КоэффМерча*BN106</f>
        <v/>
      </c>
      <c r="BO124" s="12">
        <f>BO122*КоэффМерча*BO106</f>
        <v/>
      </c>
      <c r="BP124" s="12">
        <f>BP122*КоэффМерча*BP106</f>
        <v/>
      </c>
      <c r="BQ124" s="12">
        <f>BQ122*КоэффМерча*BQ106</f>
        <v/>
      </c>
      <c r="BR124" s="12">
        <f>BR122*КоэффМерча*BR106</f>
        <v/>
      </c>
      <c r="BS124" s="12">
        <f>BS122*КоэффМерча*BS106</f>
        <v/>
      </c>
      <c r="BT124" s="12">
        <f>BT122*КоэффМерча*BT106</f>
        <v/>
      </c>
      <c r="BU124" s="12">
        <f>BU122*КоэффМерча*BU106</f>
        <v/>
      </c>
      <c r="BV124" s="12">
        <f>BV122*КоэффМерча*BV106</f>
        <v/>
      </c>
      <c r="BW124" s="12">
        <f>BW122*КоэффМерча*BW106</f>
        <v/>
      </c>
      <c r="BX124" s="12">
        <f>BX122*КоэффМерча*BX106</f>
        <v/>
      </c>
      <c r="BY124" s="12">
        <f>BY122*КоэффМерча*BY106</f>
        <v/>
      </c>
    </row>
    <row r="125"/>
    <row r="126">
      <c r="B126" s="125" t="inlineStr">
        <is>
          <t>Мерч: деньги</t>
        </is>
      </c>
      <c r="C126" s="126" t="n"/>
      <c r="D126" s="126" t="n"/>
      <c r="E126" s="126" t="n"/>
      <c r="F126" s="126" t="n"/>
      <c r="G126" s="126" t="n"/>
      <c r="H126" s="126" t="n"/>
      <c r="I126" s="126" t="n"/>
      <c r="J126" s="126" t="n"/>
      <c r="K126" s="126" t="n"/>
      <c r="L126" s="126" t="n"/>
      <c r="M126" s="126" t="n"/>
      <c r="N126" s="126" t="n"/>
      <c r="O126" s="126" t="n"/>
      <c r="P126" s="126" t="n"/>
      <c r="Q126" s="126" t="n"/>
      <c r="R126" s="126" t="n"/>
      <c r="S126" s="126" t="n"/>
      <c r="T126" s="126" t="n"/>
      <c r="U126" s="126" t="n"/>
      <c r="V126" s="126" t="n"/>
      <c r="W126" s="126" t="n"/>
      <c r="X126" s="126" t="n"/>
      <c r="Y126" s="126" t="n"/>
      <c r="Z126" s="126" t="n"/>
      <c r="AA126" s="126" t="n"/>
      <c r="AB126" s="126" t="n"/>
      <c r="AC126" s="126" t="n"/>
      <c r="AD126" s="126" t="n"/>
      <c r="AE126" s="126" t="n"/>
      <c r="AF126" s="126" t="n"/>
      <c r="AG126" s="126" t="n"/>
      <c r="AH126" s="126" t="n"/>
      <c r="AI126" s="126" t="n"/>
      <c r="AJ126" s="126" t="n"/>
      <c r="AK126" s="126" t="n"/>
      <c r="AL126" s="126" t="n"/>
      <c r="AM126" s="126" t="n"/>
      <c r="AN126" s="126" t="n"/>
      <c r="AO126" s="126" t="n"/>
      <c r="AP126" s="126" t="n"/>
      <c r="AQ126" s="126" t="n"/>
      <c r="AR126" s="126" t="n"/>
      <c r="AS126" s="126" t="n"/>
      <c r="AT126" s="126" t="n"/>
      <c r="AU126" s="126" t="n"/>
      <c r="AV126" s="126" t="n"/>
      <c r="AW126" s="126" t="n"/>
      <c r="AX126" s="126" t="n"/>
      <c r="AY126" s="126" t="n"/>
      <c r="AZ126" s="126" t="n"/>
      <c r="BA126" s="126" t="n"/>
      <c r="BB126" s="126" t="n"/>
      <c r="BC126" s="126" t="n"/>
      <c r="BD126" s="126" t="n"/>
      <c r="BE126" s="126" t="n"/>
      <c r="BF126" s="126" t="n"/>
      <c r="BG126" s="126" t="n"/>
      <c r="BH126" s="126" t="n"/>
      <c r="BI126" s="126" t="n"/>
      <c r="BJ126" s="126" t="n"/>
      <c r="BK126" s="126" t="n"/>
      <c r="BL126" s="126" t="n"/>
      <c r="BM126" s="126" t="n"/>
      <c r="BN126" s="126" t="n"/>
      <c r="BO126" s="126" t="n"/>
      <c r="BP126" s="126" t="n"/>
      <c r="BQ126" s="126" t="n"/>
      <c r="BR126" s="126" t="n"/>
      <c r="BS126" s="126" t="n"/>
      <c r="BT126" s="126" t="n"/>
      <c r="BU126" s="126" t="n"/>
      <c r="BV126" s="126" t="n"/>
      <c r="BW126" s="126" t="n"/>
      <c r="BX126" s="126" t="n"/>
      <c r="BY126" s="126" t="n"/>
    </row>
    <row r="127">
      <c r="B127" t="inlineStr">
        <is>
          <t>Новые школы — выручка с НДС</t>
        </is>
      </c>
      <c r="C127" t="inlineStr">
        <is>
          <t>₽</t>
        </is>
      </c>
      <c r="D127" s="127" t="inlineStr"/>
      <c r="E127" s="129">
        <f>SUM(L127:W127)</f>
        <v/>
      </c>
      <c r="F127" s="129">
        <f>SUM(X127:AI127)</f>
        <v/>
      </c>
      <c r="G127" s="129">
        <f>SUM(AJ127:AU127)</f>
        <v/>
      </c>
      <c r="H127" s="129">
        <f>SUM(AV127:BG127)</f>
        <v/>
      </c>
      <c r="I127" s="129">
        <f>SUM(BH127:BS127)</f>
        <v/>
      </c>
      <c r="J127" s="6">
        <f>SUM(L127:BS127)</f>
        <v/>
      </c>
      <c r="L127" s="5">
        <f>(L123+L124)*'07_Тарифы'!B$10</f>
        <v/>
      </c>
      <c r="M127" s="5">
        <f>(M123+M124)*'07_Тарифы'!C$10</f>
        <v/>
      </c>
      <c r="N127" s="5">
        <f>(N123+N124)*'07_Тарифы'!D$10</f>
        <v/>
      </c>
      <c r="O127" s="5">
        <f>(O123+O124)*'07_Тарифы'!E$10</f>
        <v/>
      </c>
      <c r="P127" s="5">
        <f>(P123+P124)*'07_Тарифы'!F$10</f>
        <v/>
      </c>
      <c r="Q127" s="5">
        <f>(Q123+Q124)*'07_Тарифы'!G$10</f>
        <v/>
      </c>
      <c r="R127" s="5">
        <f>(R123+R124)*'07_Тарифы'!H$10</f>
        <v/>
      </c>
      <c r="S127" s="5">
        <f>(S123+S124)*'07_Тарифы'!I$10</f>
        <v/>
      </c>
      <c r="T127" s="5">
        <f>(T123+T124)*'07_Тарифы'!J$10</f>
        <v/>
      </c>
      <c r="U127" s="5">
        <f>(U123+U124)*'07_Тарифы'!K$10</f>
        <v/>
      </c>
      <c r="V127" s="5">
        <f>(V123+V124)*'07_Тарифы'!L$10</f>
        <v/>
      </c>
      <c r="W127" s="5">
        <f>(W123+W124)*'07_Тарифы'!M$10</f>
        <v/>
      </c>
      <c r="X127" s="5">
        <f>(X123+X124)*'07_Тарифы'!N$10</f>
        <v/>
      </c>
      <c r="Y127" s="5">
        <f>(Y123+Y124)*'07_Тарифы'!O$10</f>
        <v/>
      </c>
      <c r="Z127" s="5">
        <f>(Z123+Z124)*'07_Тарифы'!P$10</f>
        <v/>
      </c>
      <c r="AA127" s="5">
        <f>(AA123+AA124)*'07_Тарифы'!Q$10</f>
        <v/>
      </c>
      <c r="AB127" s="5">
        <f>(AB123+AB124)*'07_Тарифы'!R$10</f>
        <v/>
      </c>
      <c r="AC127" s="5">
        <f>(AC123+AC124)*'07_Тарифы'!S$10</f>
        <v/>
      </c>
      <c r="AD127" s="5">
        <f>(AD123+AD124)*'07_Тарифы'!T$10</f>
        <v/>
      </c>
      <c r="AE127" s="5">
        <f>(AE123+AE124)*'07_Тарифы'!U$10</f>
        <v/>
      </c>
      <c r="AF127" s="5">
        <f>(AF123+AF124)*'07_Тарифы'!V$10</f>
        <v/>
      </c>
      <c r="AG127" s="5">
        <f>(AG123+AG124)*'07_Тарифы'!W$10</f>
        <v/>
      </c>
      <c r="AH127" s="5">
        <f>(AH123+AH124)*'07_Тарифы'!X$10</f>
        <v/>
      </c>
      <c r="AI127" s="5">
        <f>(AI123+AI124)*'07_Тарифы'!Y$10</f>
        <v/>
      </c>
      <c r="AJ127" s="5">
        <f>(AJ123+AJ124)*'07_Тарифы'!Z$10</f>
        <v/>
      </c>
      <c r="AK127" s="5">
        <f>(AK123+AK124)*'07_Тарифы'!AA$10</f>
        <v/>
      </c>
      <c r="AL127" s="5">
        <f>(AL123+AL124)*'07_Тарифы'!AB$10</f>
        <v/>
      </c>
      <c r="AM127" s="5">
        <f>(AM123+AM124)*'07_Тарифы'!AC$10</f>
        <v/>
      </c>
      <c r="AN127" s="5">
        <f>(AN123+AN124)*'07_Тарифы'!AD$10</f>
        <v/>
      </c>
      <c r="AO127" s="5">
        <f>(AO123+AO124)*'07_Тарифы'!AE$10</f>
        <v/>
      </c>
      <c r="AP127" s="5">
        <f>(AP123+AP124)*'07_Тарифы'!AF$10</f>
        <v/>
      </c>
      <c r="AQ127" s="5">
        <f>(AQ123+AQ124)*'07_Тарифы'!AG$10</f>
        <v/>
      </c>
      <c r="AR127" s="5">
        <f>(AR123+AR124)*'07_Тарифы'!AH$10</f>
        <v/>
      </c>
      <c r="AS127" s="5">
        <f>(AS123+AS124)*'07_Тарифы'!AI$10</f>
        <v/>
      </c>
      <c r="AT127" s="5">
        <f>(AT123+AT124)*'07_Тарифы'!AJ$10</f>
        <v/>
      </c>
      <c r="AU127" s="5">
        <f>(AU123+AU124)*'07_Тарифы'!AK$10</f>
        <v/>
      </c>
      <c r="AV127" s="5">
        <f>(AV123+AV124)*'07_Тарифы'!AL$10</f>
        <v/>
      </c>
      <c r="AW127" s="5">
        <f>(AW123+AW124)*'07_Тарифы'!AM$10</f>
        <v/>
      </c>
      <c r="AX127" s="5">
        <f>(AX123+AX124)*'07_Тарифы'!AN$10</f>
        <v/>
      </c>
      <c r="AY127" s="5">
        <f>(AY123+AY124)*'07_Тарифы'!AO$10</f>
        <v/>
      </c>
      <c r="AZ127" s="5">
        <f>(AZ123+AZ124)*'07_Тарифы'!AP$10</f>
        <v/>
      </c>
      <c r="BA127" s="5">
        <f>(BA123+BA124)*'07_Тарифы'!AQ$10</f>
        <v/>
      </c>
      <c r="BB127" s="5">
        <f>(BB123+BB124)*'07_Тарифы'!AR$10</f>
        <v/>
      </c>
      <c r="BC127" s="5">
        <f>(BC123+BC124)*'07_Тарифы'!AS$10</f>
        <v/>
      </c>
      <c r="BD127" s="5">
        <f>(BD123+BD124)*'07_Тарифы'!AT$10</f>
        <v/>
      </c>
      <c r="BE127" s="5">
        <f>(BE123+BE124)*'07_Тарифы'!AU$10</f>
        <v/>
      </c>
      <c r="BF127" s="5">
        <f>(BF123+BF124)*'07_Тарифы'!AV$10</f>
        <v/>
      </c>
      <c r="BG127" s="5">
        <f>(BG123+BG124)*'07_Тарифы'!AW$10</f>
        <v/>
      </c>
      <c r="BH127" s="5">
        <f>(BH123+BH124)*'07_Тарифы'!AX$10</f>
        <v/>
      </c>
      <c r="BI127" s="5">
        <f>(BI123+BI124)*'07_Тарифы'!AY$10</f>
        <v/>
      </c>
      <c r="BJ127" s="5">
        <f>(BJ123+BJ124)*'07_Тарифы'!AZ$10</f>
        <v/>
      </c>
      <c r="BK127" s="5">
        <f>(BK123+BK124)*'07_Тарифы'!BA$10</f>
        <v/>
      </c>
      <c r="BL127" s="5">
        <f>(BL123+BL124)*'07_Тарифы'!BB$10</f>
        <v/>
      </c>
      <c r="BM127" s="5">
        <f>(BM123+BM124)*'07_Тарифы'!BC$10</f>
        <v/>
      </c>
      <c r="BN127" s="5">
        <f>(BN123+BN124)*'07_Тарифы'!BD$10</f>
        <v/>
      </c>
      <c r="BO127" s="5">
        <f>(BO123+BO124)*'07_Тарифы'!BE$10</f>
        <v/>
      </c>
      <c r="BP127" s="5">
        <f>(BP123+BP124)*'07_Тарифы'!BF$10</f>
        <v/>
      </c>
      <c r="BQ127" s="5">
        <f>(BQ123+BQ124)*'07_Тарифы'!BG$10</f>
        <v/>
      </c>
      <c r="BR127" s="5">
        <f>(BR123+BR124)*'07_Тарифы'!BH$10</f>
        <v/>
      </c>
      <c r="BS127" s="5">
        <f>(BS123+BS124)*'07_Тарифы'!BI$10</f>
        <v/>
      </c>
      <c r="BT127" s="5">
        <f>(BT123+BT124)*'07_Тарифы'!BJ$10</f>
        <v/>
      </c>
      <c r="BU127" s="5">
        <f>(BU123+BU124)*'07_Тарифы'!BK$10</f>
        <v/>
      </c>
      <c r="BV127" s="5">
        <f>(BV123+BV124)*'07_Тарифы'!BL$10</f>
        <v/>
      </c>
      <c r="BW127" s="5">
        <f>(BW123+BW124)*'07_Тарифы'!BM$10</f>
        <v/>
      </c>
      <c r="BX127" s="5">
        <f>(BX123+BX124)*'07_Тарифы'!BN$10</f>
        <v/>
      </c>
      <c r="BY127" s="5">
        <f>(BY123+BY124)*'07_Тарифы'!BO$10</f>
        <v/>
      </c>
    </row>
    <row r="128">
      <c r="B128" t="inlineStr">
        <is>
          <t>Новые школы — COGS</t>
        </is>
      </c>
      <c r="C128" t="inlineStr">
        <is>
          <t>₽</t>
        </is>
      </c>
      <c r="D128" s="127" t="inlineStr"/>
      <c r="E128" s="129">
        <f>SUM(L128:W128)</f>
        <v/>
      </c>
      <c r="F128" s="129">
        <f>SUM(X128:AI128)</f>
        <v/>
      </c>
      <c r="G128" s="129">
        <f>SUM(AJ128:AU128)</f>
        <v/>
      </c>
      <c r="H128" s="129">
        <f>SUM(AV128:BG128)</f>
        <v/>
      </c>
      <c r="I128" s="129">
        <f>SUM(BH128:BS128)</f>
        <v/>
      </c>
      <c r="J128" s="6">
        <f>SUM(L128:BS128)</f>
        <v/>
      </c>
      <c r="L128" s="5">
        <f>(L123+L124)*'07_Тарифы'!B$9</f>
        <v/>
      </c>
      <c r="M128" s="5">
        <f>(M123+M124)*'07_Тарифы'!C$9</f>
        <v/>
      </c>
      <c r="N128" s="5">
        <f>(N123+N124)*'07_Тарифы'!D$9</f>
        <v/>
      </c>
      <c r="O128" s="5">
        <f>(O123+O124)*'07_Тарифы'!E$9</f>
        <v/>
      </c>
      <c r="P128" s="5">
        <f>(P123+P124)*'07_Тарифы'!F$9</f>
        <v/>
      </c>
      <c r="Q128" s="5">
        <f>(Q123+Q124)*'07_Тарифы'!G$9</f>
        <v/>
      </c>
      <c r="R128" s="5">
        <f>(R123+R124)*'07_Тарифы'!H$9</f>
        <v/>
      </c>
      <c r="S128" s="5">
        <f>(S123+S124)*'07_Тарифы'!I$9</f>
        <v/>
      </c>
      <c r="T128" s="5">
        <f>(T123+T124)*'07_Тарифы'!J$9</f>
        <v/>
      </c>
      <c r="U128" s="5">
        <f>(U123+U124)*'07_Тарифы'!K$9</f>
        <v/>
      </c>
      <c r="V128" s="5">
        <f>(V123+V124)*'07_Тарифы'!L$9</f>
        <v/>
      </c>
      <c r="W128" s="5">
        <f>(W123+W124)*'07_Тарифы'!M$9</f>
        <v/>
      </c>
      <c r="X128" s="5">
        <f>(X123+X124)*'07_Тарифы'!N$9</f>
        <v/>
      </c>
      <c r="Y128" s="5">
        <f>(Y123+Y124)*'07_Тарифы'!O$9</f>
        <v/>
      </c>
      <c r="Z128" s="5">
        <f>(Z123+Z124)*'07_Тарифы'!P$9</f>
        <v/>
      </c>
      <c r="AA128" s="5">
        <f>(AA123+AA124)*'07_Тарифы'!Q$9</f>
        <v/>
      </c>
      <c r="AB128" s="5">
        <f>(AB123+AB124)*'07_Тарифы'!R$9</f>
        <v/>
      </c>
      <c r="AC128" s="5">
        <f>(AC123+AC124)*'07_Тарифы'!S$9</f>
        <v/>
      </c>
      <c r="AD128" s="5">
        <f>(AD123+AD124)*'07_Тарифы'!T$9</f>
        <v/>
      </c>
      <c r="AE128" s="5">
        <f>(AE123+AE124)*'07_Тарифы'!U$9</f>
        <v/>
      </c>
      <c r="AF128" s="5">
        <f>(AF123+AF124)*'07_Тарифы'!V$9</f>
        <v/>
      </c>
      <c r="AG128" s="5">
        <f>(AG123+AG124)*'07_Тарифы'!W$9</f>
        <v/>
      </c>
      <c r="AH128" s="5">
        <f>(AH123+AH124)*'07_Тарифы'!X$9</f>
        <v/>
      </c>
      <c r="AI128" s="5">
        <f>(AI123+AI124)*'07_Тарифы'!Y$9</f>
        <v/>
      </c>
      <c r="AJ128" s="5">
        <f>(AJ123+AJ124)*'07_Тарифы'!Z$9</f>
        <v/>
      </c>
      <c r="AK128" s="5">
        <f>(AK123+AK124)*'07_Тарифы'!AA$9</f>
        <v/>
      </c>
      <c r="AL128" s="5">
        <f>(AL123+AL124)*'07_Тарифы'!AB$9</f>
        <v/>
      </c>
      <c r="AM128" s="5">
        <f>(AM123+AM124)*'07_Тарифы'!AC$9</f>
        <v/>
      </c>
      <c r="AN128" s="5">
        <f>(AN123+AN124)*'07_Тарифы'!AD$9</f>
        <v/>
      </c>
      <c r="AO128" s="5">
        <f>(AO123+AO124)*'07_Тарифы'!AE$9</f>
        <v/>
      </c>
      <c r="AP128" s="5">
        <f>(AP123+AP124)*'07_Тарифы'!AF$9</f>
        <v/>
      </c>
      <c r="AQ128" s="5">
        <f>(AQ123+AQ124)*'07_Тарифы'!AG$9</f>
        <v/>
      </c>
      <c r="AR128" s="5">
        <f>(AR123+AR124)*'07_Тарифы'!AH$9</f>
        <v/>
      </c>
      <c r="AS128" s="5">
        <f>(AS123+AS124)*'07_Тарифы'!AI$9</f>
        <v/>
      </c>
      <c r="AT128" s="5">
        <f>(AT123+AT124)*'07_Тарифы'!AJ$9</f>
        <v/>
      </c>
      <c r="AU128" s="5">
        <f>(AU123+AU124)*'07_Тарифы'!AK$9</f>
        <v/>
      </c>
      <c r="AV128" s="5">
        <f>(AV123+AV124)*'07_Тарифы'!AL$9</f>
        <v/>
      </c>
      <c r="AW128" s="5">
        <f>(AW123+AW124)*'07_Тарифы'!AM$9</f>
        <v/>
      </c>
      <c r="AX128" s="5">
        <f>(AX123+AX124)*'07_Тарифы'!AN$9</f>
        <v/>
      </c>
      <c r="AY128" s="5">
        <f>(AY123+AY124)*'07_Тарифы'!AO$9</f>
        <v/>
      </c>
      <c r="AZ128" s="5">
        <f>(AZ123+AZ124)*'07_Тарифы'!AP$9</f>
        <v/>
      </c>
      <c r="BA128" s="5">
        <f>(BA123+BA124)*'07_Тарифы'!AQ$9</f>
        <v/>
      </c>
      <c r="BB128" s="5">
        <f>(BB123+BB124)*'07_Тарифы'!AR$9</f>
        <v/>
      </c>
      <c r="BC128" s="5">
        <f>(BC123+BC124)*'07_Тарифы'!AS$9</f>
        <v/>
      </c>
      <c r="BD128" s="5">
        <f>(BD123+BD124)*'07_Тарифы'!AT$9</f>
        <v/>
      </c>
      <c r="BE128" s="5">
        <f>(BE123+BE124)*'07_Тарифы'!AU$9</f>
        <v/>
      </c>
      <c r="BF128" s="5">
        <f>(BF123+BF124)*'07_Тарифы'!AV$9</f>
        <v/>
      </c>
      <c r="BG128" s="5">
        <f>(BG123+BG124)*'07_Тарифы'!AW$9</f>
        <v/>
      </c>
      <c r="BH128" s="5">
        <f>(BH123+BH124)*'07_Тарифы'!AX$9</f>
        <v/>
      </c>
      <c r="BI128" s="5">
        <f>(BI123+BI124)*'07_Тарифы'!AY$9</f>
        <v/>
      </c>
      <c r="BJ128" s="5">
        <f>(BJ123+BJ124)*'07_Тарифы'!AZ$9</f>
        <v/>
      </c>
      <c r="BK128" s="5">
        <f>(BK123+BK124)*'07_Тарифы'!BA$9</f>
        <v/>
      </c>
      <c r="BL128" s="5">
        <f>(BL123+BL124)*'07_Тарифы'!BB$9</f>
        <v/>
      </c>
      <c r="BM128" s="5">
        <f>(BM123+BM124)*'07_Тарифы'!BC$9</f>
        <v/>
      </c>
      <c r="BN128" s="5">
        <f>(BN123+BN124)*'07_Тарифы'!BD$9</f>
        <v/>
      </c>
      <c r="BO128" s="5">
        <f>(BO123+BO124)*'07_Тарифы'!BE$9</f>
        <v/>
      </c>
      <c r="BP128" s="5">
        <f>(BP123+BP124)*'07_Тарифы'!BF$9</f>
        <v/>
      </c>
      <c r="BQ128" s="5">
        <f>(BQ123+BQ124)*'07_Тарифы'!BG$9</f>
        <v/>
      </c>
      <c r="BR128" s="5">
        <f>(BR123+BR124)*'07_Тарифы'!BH$9</f>
        <v/>
      </c>
      <c r="BS128" s="5">
        <f>(BS123+BS124)*'07_Тарифы'!BI$9</f>
        <v/>
      </c>
      <c r="BT128" s="5">
        <f>(BT123+BT124)*'07_Тарифы'!BJ$9</f>
        <v/>
      </c>
      <c r="BU128" s="5">
        <f>(BU123+BU124)*'07_Тарифы'!BK$9</f>
        <v/>
      </c>
      <c r="BV128" s="5">
        <f>(BV123+BV124)*'07_Тарифы'!BL$9</f>
        <v/>
      </c>
      <c r="BW128" s="5">
        <f>(BW123+BW124)*'07_Тарифы'!BM$9</f>
        <v/>
      </c>
      <c r="BX128" s="5">
        <f>(BX123+BX124)*'07_Тарифы'!BN$9</f>
        <v/>
      </c>
      <c r="BY128" s="5">
        <f>(BY123+BY124)*'07_Тарифы'!BO$9</f>
        <v/>
      </c>
    </row>
    <row r="129">
      <c r="B129" t="inlineStr">
        <is>
          <t>Действующая сеть — выручка с НДС</t>
        </is>
      </c>
      <c r="C129" t="inlineStr">
        <is>
          <t>₽</t>
        </is>
      </c>
      <c r="D129" s="127" t="inlineStr">
        <is>
          <t>Сентябрь–декабрь 2026 — согласованный факт</t>
        </is>
      </c>
      <c r="E129" s="129">
        <f>SUM(L129:W129)</f>
        <v/>
      </c>
      <c r="F129" s="129">
        <f>SUM(X129:AI129)</f>
        <v/>
      </c>
      <c r="G129" s="129">
        <f>SUM(AJ129:AU129)</f>
        <v/>
      </c>
      <c r="H129" s="129">
        <f>SUM(AV129:BG129)</f>
        <v/>
      </c>
      <c r="I129" s="129">
        <f>SUM(BH129:BS129)</f>
        <v/>
      </c>
      <c r="J129" s="6">
        <f>SUM(L129:BS129)</f>
        <v/>
      </c>
      <c r="L129" s="5">
        <f>IF(COUNTIF('01_Вводные'!$B$98:$E$98,'03_Сеть'!L7)&gt;0,SUMIF('01_Вводные'!$B$98:$E$98,'03_Сеть'!L7,'01_Вводные'!$B$100:$E$100),L107*'07_Тарифы'!B$10)</f>
        <v/>
      </c>
      <c r="M129" s="5">
        <f>IF(COUNTIF('01_Вводные'!$B$98:$E$98,'03_Сеть'!M7)&gt;0,SUMIF('01_Вводные'!$B$98:$E$98,'03_Сеть'!M7,'01_Вводные'!$B$100:$E$100),M107*'07_Тарифы'!C$10)</f>
        <v/>
      </c>
      <c r="N129" s="5">
        <f>IF(COUNTIF('01_Вводные'!$B$98:$E$98,'03_Сеть'!N7)&gt;0,SUMIF('01_Вводные'!$B$98:$E$98,'03_Сеть'!N7,'01_Вводные'!$B$100:$E$100),N107*'07_Тарифы'!D$10)</f>
        <v/>
      </c>
      <c r="O129" s="5">
        <f>IF(COUNTIF('01_Вводные'!$B$98:$E$98,'03_Сеть'!O7)&gt;0,SUMIF('01_Вводные'!$B$98:$E$98,'03_Сеть'!O7,'01_Вводные'!$B$100:$E$100),O107*'07_Тарифы'!E$10)</f>
        <v/>
      </c>
      <c r="P129" s="5">
        <f>IF(COUNTIF('01_Вводные'!$B$98:$E$98,'03_Сеть'!P7)&gt;0,SUMIF('01_Вводные'!$B$98:$E$98,'03_Сеть'!P7,'01_Вводные'!$B$100:$E$100),P107*'07_Тарифы'!F$10)</f>
        <v/>
      </c>
      <c r="Q129" s="5">
        <f>IF(COUNTIF('01_Вводные'!$B$98:$E$98,'03_Сеть'!Q7)&gt;0,SUMIF('01_Вводные'!$B$98:$E$98,'03_Сеть'!Q7,'01_Вводные'!$B$100:$E$100),Q107*'07_Тарифы'!G$10)</f>
        <v/>
      </c>
      <c r="R129" s="5">
        <f>IF(COUNTIF('01_Вводные'!$B$98:$E$98,'03_Сеть'!R7)&gt;0,SUMIF('01_Вводные'!$B$98:$E$98,'03_Сеть'!R7,'01_Вводные'!$B$100:$E$100),R107*'07_Тарифы'!H$10)</f>
        <v/>
      </c>
      <c r="S129" s="5">
        <f>IF(COUNTIF('01_Вводные'!$B$98:$E$98,'03_Сеть'!S7)&gt;0,SUMIF('01_Вводные'!$B$98:$E$98,'03_Сеть'!S7,'01_Вводные'!$B$100:$E$100),S107*'07_Тарифы'!I$10)</f>
        <v/>
      </c>
      <c r="T129" s="5">
        <f>IF(COUNTIF('01_Вводные'!$B$98:$E$98,'03_Сеть'!T7)&gt;0,SUMIF('01_Вводные'!$B$98:$E$98,'03_Сеть'!T7,'01_Вводные'!$B$100:$E$100),T107*'07_Тарифы'!J$10)</f>
        <v/>
      </c>
      <c r="U129" s="5">
        <f>IF(COUNTIF('01_Вводные'!$B$98:$E$98,'03_Сеть'!U7)&gt;0,SUMIF('01_Вводные'!$B$98:$E$98,'03_Сеть'!U7,'01_Вводные'!$B$100:$E$100),U107*'07_Тарифы'!K$10)</f>
        <v/>
      </c>
      <c r="V129" s="5">
        <f>IF(COUNTIF('01_Вводные'!$B$98:$E$98,'03_Сеть'!V7)&gt;0,SUMIF('01_Вводные'!$B$98:$E$98,'03_Сеть'!V7,'01_Вводные'!$B$100:$E$100),V107*'07_Тарифы'!L$10)</f>
        <v/>
      </c>
      <c r="W129" s="5">
        <f>IF(COUNTIF('01_Вводные'!$B$98:$E$98,'03_Сеть'!W7)&gt;0,SUMIF('01_Вводные'!$B$98:$E$98,'03_Сеть'!W7,'01_Вводные'!$B$100:$E$100),W107*'07_Тарифы'!M$10)</f>
        <v/>
      </c>
      <c r="X129" s="5">
        <f>IF(COUNTIF('01_Вводные'!$B$98:$E$98,'03_Сеть'!X7)&gt;0,SUMIF('01_Вводные'!$B$98:$E$98,'03_Сеть'!X7,'01_Вводные'!$B$100:$E$100),X107*'07_Тарифы'!N$10)</f>
        <v/>
      </c>
      <c r="Y129" s="5">
        <f>IF(COUNTIF('01_Вводные'!$B$98:$E$98,'03_Сеть'!Y7)&gt;0,SUMIF('01_Вводные'!$B$98:$E$98,'03_Сеть'!Y7,'01_Вводные'!$B$100:$E$100),Y107*'07_Тарифы'!O$10)</f>
        <v/>
      </c>
      <c r="Z129" s="5">
        <f>IF(COUNTIF('01_Вводные'!$B$98:$E$98,'03_Сеть'!Z7)&gt;0,SUMIF('01_Вводные'!$B$98:$E$98,'03_Сеть'!Z7,'01_Вводные'!$B$100:$E$100),Z107*'07_Тарифы'!P$10)</f>
        <v/>
      </c>
      <c r="AA129" s="5">
        <f>IF(COUNTIF('01_Вводные'!$B$98:$E$98,'03_Сеть'!AA7)&gt;0,SUMIF('01_Вводные'!$B$98:$E$98,'03_Сеть'!AA7,'01_Вводные'!$B$100:$E$100),AA107*'07_Тарифы'!Q$10)</f>
        <v/>
      </c>
      <c r="AB129" s="5">
        <f>IF(COUNTIF('01_Вводные'!$B$98:$E$98,'03_Сеть'!AB7)&gt;0,SUMIF('01_Вводные'!$B$98:$E$98,'03_Сеть'!AB7,'01_Вводные'!$B$100:$E$100),AB107*'07_Тарифы'!R$10)</f>
        <v/>
      </c>
      <c r="AC129" s="5">
        <f>IF(COUNTIF('01_Вводные'!$B$98:$E$98,'03_Сеть'!AC7)&gt;0,SUMIF('01_Вводные'!$B$98:$E$98,'03_Сеть'!AC7,'01_Вводные'!$B$100:$E$100),AC107*'07_Тарифы'!S$10)</f>
        <v/>
      </c>
      <c r="AD129" s="5">
        <f>IF(COUNTIF('01_Вводные'!$B$98:$E$98,'03_Сеть'!AD7)&gt;0,SUMIF('01_Вводные'!$B$98:$E$98,'03_Сеть'!AD7,'01_Вводные'!$B$100:$E$100),AD107*'07_Тарифы'!T$10)</f>
        <v/>
      </c>
      <c r="AE129" s="5">
        <f>IF(COUNTIF('01_Вводные'!$B$98:$E$98,'03_Сеть'!AE7)&gt;0,SUMIF('01_Вводные'!$B$98:$E$98,'03_Сеть'!AE7,'01_Вводные'!$B$100:$E$100),AE107*'07_Тарифы'!U$10)</f>
        <v/>
      </c>
      <c r="AF129" s="5">
        <f>IF(COUNTIF('01_Вводные'!$B$98:$E$98,'03_Сеть'!AF7)&gt;0,SUMIF('01_Вводные'!$B$98:$E$98,'03_Сеть'!AF7,'01_Вводные'!$B$100:$E$100),AF107*'07_Тарифы'!V$10)</f>
        <v/>
      </c>
      <c r="AG129" s="5">
        <f>IF(COUNTIF('01_Вводные'!$B$98:$E$98,'03_Сеть'!AG7)&gt;0,SUMIF('01_Вводные'!$B$98:$E$98,'03_Сеть'!AG7,'01_Вводные'!$B$100:$E$100),AG107*'07_Тарифы'!W$10)</f>
        <v/>
      </c>
      <c r="AH129" s="5">
        <f>IF(COUNTIF('01_Вводные'!$B$98:$E$98,'03_Сеть'!AH7)&gt;0,SUMIF('01_Вводные'!$B$98:$E$98,'03_Сеть'!AH7,'01_Вводные'!$B$100:$E$100),AH107*'07_Тарифы'!X$10)</f>
        <v/>
      </c>
      <c r="AI129" s="5">
        <f>IF(COUNTIF('01_Вводные'!$B$98:$E$98,'03_Сеть'!AI7)&gt;0,SUMIF('01_Вводные'!$B$98:$E$98,'03_Сеть'!AI7,'01_Вводные'!$B$100:$E$100),AI107*'07_Тарифы'!Y$10)</f>
        <v/>
      </c>
      <c r="AJ129" s="5">
        <f>IF(COUNTIF('01_Вводные'!$B$98:$E$98,'03_Сеть'!AJ7)&gt;0,SUMIF('01_Вводные'!$B$98:$E$98,'03_Сеть'!AJ7,'01_Вводные'!$B$100:$E$100),AJ107*'07_Тарифы'!Z$10)</f>
        <v/>
      </c>
      <c r="AK129" s="5">
        <f>IF(COUNTIF('01_Вводные'!$B$98:$E$98,'03_Сеть'!AK7)&gt;0,SUMIF('01_Вводные'!$B$98:$E$98,'03_Сеть'!AK7,'01_Вводные'!$B$100:$E$100),AK107*'07_Тарифы'!AA$10)</f>
        <v/>
      </c>
      <c r="AL129" s="5">
        <f>IF(COUNTIF('01_Вводные'!$B$98:$E$98,'03_Сеть'!AL7)&gt;0,SUMIF('01_Вводные'!$B$98:$E$98,'03_Сеть'!AL7,'01_Вводные'!$B$100:$E$100),AL107*'07_Тарифы'!AB$10)</f>
        <v/>
      </c>
      <c r="AM129" s="5">
        <f>IF(COUNTIF('01_Вводные'!$B$98:$E$98,'03_Сеть'!AM7)&gt;0,SUMIF('01_Вводные'!$B$98:$E$98,'03_Сеть'!AM7,'01_Вводные'!$B$100:$E$100),AM107*'07_Тарифы'!AC$10)</f>
        <v/>
      </c>
      <c r="AN129" s="5">
        <f>IF(COUNTIF('01_Вводные'!$B$98:$E$98,'03_Сеть'!AN7)&gt;0,SUMIF('01_Вводные'!$B$98:$E$98,'03_Сеть'!AN7,'01_Вводные'!$B$100:$E$100),AN107*'07_Тарифы'!AD$10)</f>
        <v/>
      </c>
      <c r="AO129" s="5">
        <f>IF(COUNTIF('01_Вводные'!$B$98:$E$98,'03_Сеть'!AO7)&gt;0,SUMIF('01_Вводные'!$B$98:$E$98,'03_Сеть'!AO7,'01_Вводные'!$B$100:$E$100),AO107*'07_Тарифы'!AE$10)</f>
        <v/>
      </c>
      <c r="AP129" s="5">
        <f>IF(COUNTIF('01_Вводные'!$B$98:$E$98,'03_Сеть'!AP7)&gt;0,SUMIF('01_Вводные'!$B$98:$E$98,'03_Сеть'!AP7,'01_Вводные'!$B$100:$E$100),AP107*'07_Тарифы'!AF$10)</f>
        <v/>
      </c>
      <c r="AQ129" s="5">
        <f>IF(COUNTIF('01_Вводные'!$B$98:$E$98,'03_Сеть'!AQ7)&gt;0,SUMIF('01_Вводные'!$B$98:$E$98,'03_Сеть'!AQ7,'01_Вводные'!$B$100:$E$100),AQ107*'07_Тарифы'!AG$10)</f>
        <v/>
      </c>
      <c r="AR129" s="5">
        <f>IF(COUNTIF('01_Вводные'!$B$98:$E$98,'03_Сеть'!AR7)&gt;0,SUMIF('01_Вводные'!$B$98:$E$98,'03_Сеть'!AR7,'01_Вводные'!$B$100:$E$100),AR107*'07_Тарифы'!AH$10)</f>
        <v/>
      </c>
      <c r="AS129" s="5">
        <f>IF(COUNTIF('01_Вводные'!$B$98:$E$98,'03_Сеть'!AS7)&gt;0,SUMIF('01_Вводные'!$B$98:$E$98,'03_Сеть'!AS7,'01_Вводные'!$B$100:$E$100),AS107*'07_Тарифы'!AI$10)</f>
        <v/>
      </c>
      <c r="AT129" s="5">
        <f>IF(COUNTIF('01_Вводные'!$B$98:$E$98,'03_Сеть'!AT7)&gt;0,SUMIF('01_Вводные'!$B$98:$E$98,'03_Сеть'!AT7,'01_Вводные'!$B$100:$E$100),AT107*'07_Тарифы'!AJ$10)</f>
        <v/>
      </c>
      <c r="AU129" s="5">
        <f>IF(COUNTIF('01_Вводные'!$B$98:$E$98,'03_Сеть'!AU7)&gt;0,SUMIF('01_Вводные'!$B$98:$E$98,'03_Сеть'!AU7,'01_Вводные'!$B$100:$E$100),AU107*'07_Тарифы'!AK$10)</f>
        <v/>
      </c>
      <c r="AV129" s="5">
        <f>IF(COUNTIF('01_Вводные'!$B$98:$E$98,'03_Сеть'!AV7)&gt;0,SUMIF('01_Вводные'!$B$98:$E$98,'03_Сеть'!AV7,'01_Вводные'!$B$100:$E$100),AV107*'07_Тарифы'!AL$10)</f>
        <v/>
      </c>
      <c r="AW129" s="5">
        <f>IF(COUNTIF('01_Вводные'!$B$98:$E$98,'03_Сеть'!AW7)&gt;0,SUMIF('01_Вводные'!$B$98:$E$98,'03_Сеть'!AW7,'01_Вводные'!$B$100:$E$100),AW107*'07_Тарифы'!AM$10)</f>
        <v/>
      </c>
      <c r="AX129" s="5">
        <f>IF(COUNTIF('01_Вводные'!$B$98:$E$98,'03_Сеть'!AX7)&gt;0,SUMIF('01_Вводные'!$B$98:$E$98,'03_Сеть'!AX7,'01_Вводные'!$B$100:$E$100),AX107*'07_Тарифы'!AN$10)</f>
        <v/>
      </c>
      <c r="AY129" s="5">
        <f>IF(COUNTIF('01_Вводные'!$B$98:$E$98,'03_Сеть'!AY7)&gt;0,SUMIF('01_Вводные'!$B$98:$E$98,'03_Сеть'!AY7,'01_Вводные'!$B$100:$E$100),AY107*'07_Тарифы'!AO$10)</f>
        <v/>
      </c>
      <c r="AZ129" s="5">
        <f>IF(COUNTIF('01_Вводные'!$B$98:$E$98,'03_Сеть'!AZ7)&gt;0,SUMIF('01_Вводные'!$B$98:$E$98,'03_Сеть'!AZ7,'01_Вводные'!$B$100:$E$100),AZ107*'07_Тарифы'!AP$10)</f>
        <v/>
      </c>
      <c r="BA129" s="5">
        <f>IF(COUNTIF('01_Вводные'!$B$98:$E$98,'03_Сеть'!BA7)&gt;0,SUMIF('01_Вводные'!$B$98:$E$98,'03_Сеть'!BA7,'01_Вводные'!$B$100:$E$100),BA107*'07_Тарифы'!AQ$10)</f>
        <v/>
      </c>
      <c r="BB129" s="5">
        <f>IF(COUNTIF('01_Вводные'!$B$98:$E$98,'03_Сеть'!BB7)&gt;0,SUMIF('01_Вводные'!$B$98:$E$98,'03_Сеть'!BB7,'01_Вводные'!$B$100:$E$100),BB107*'07_Тарифы'!AR$10)</f>
        <v/>
      </c>
      <c r="BC129" s="5">
        <f>IF(COUNTIF('01_Вводные'!$B$98:$E$98,'03_Сеть'!BC7)&gt;0,SUMIF('01_Вводные'!$B$98:$E$98,'03_Сеть'!BC7,'01_Вводные'!$B$100:$E$100),BC107*'07_Тарифы'!AS$10)</f>
        <v/>
      </c>
      <c r="BD129" s="5">
        <f>IF(COUNTIF('01_Вводные'!$B$98:$E$98,'03_Сеть'!BD7)&gt;0,SUMIF('01_Вводные'!$B$98:$E$98,'03_Сеть'!BD7,'01_Вводные'!$B$100:$E$100),BD107*'07_Тарифы'!AT$10)</f>
        <v/>
      </c>
      <c r="BE129" s="5">
        <f>IF(COUNTIF('01_Вводные'!$B$98:$E$98,'03_Сеть'!BE7)&gt;0,SUMIF('01_Вводные'!$B$98:$E$98,'03_Сеть'!BE7,'01_Вводные'!$B$100:$E$100),BE107*'07_Тарифы'!AU$10)</f>
        <v/>
      </c>
      <c r="BF129" s="5">
        <f>IF(COUNTIF('01_Вводные'!$B$98:$E$98,'03_Сеть'!BF7)&gt;0,SUMIF('01_Вводные'!$B$98:$E$98,'03_Сеть'!BF7,'01_Вводные'!$B$100:$E$100),BF107*'07_Тарифы'!AV$10)</f>
        <v/>
      </c>
      <c r="BG129" s="5">
        <f>IF(COUNTIF('01_Вводные'!$B$98:$E$98,'03_Сеть'!BG7)&gt;0,SUMIF('01_Вводные'!$B$98:$E$98,'03_Сеть'!BG7,'01_Вводные'!$B$100:$E$100),BG107*'07_Тарифы'!AW$10)</f>
        <v/>
      </c>
      <c r="BH129" s="5">
        <f>IF(COUNTIF('01_Вводные'!$B$98:$E$98,'03_Сеть'!BH7)&gt;0,SUMIF('01_Вводные'!$B$98:$E$98,'03_Сеть'!BH7,'01_Вводные'!$B$100:$E$100),BH107*'07_Тарифы'!AX$10)</f>
        <v/>
      </c>
      <c r="BI129" s="5">
        <f>IF(COUNTIF('01_Вводные'!$B$98:$E$98,'03_Сеть'!BI7)&gt;0,SUMIF('01_Вводные'!$B$98:$E$98,'03_Сеть'!BI7,'01_Вводные'!$B$100:$E$100),BI107*'07_Тарифы'!AY$10)</f>
        <v/>
      </c>
      <c r="BJ129" s="5">
        <f>IF(COUNTIF('01_Вводные'!$B$98:$E$98,'03_Сеть'!BJ7)&gt;0,SUMIF('01_Вводные'!$B$98:$E$98,'03_Сеть'!BJ7,'01_Вводные'!$B$100:$E$100),BJ107*'07_Тарифы'!AZ$10)</f>
        <v/>
      </c>
      <c r="BK129" s="5">
        <f>IF(COUNTIF('01_Вводные'!$B$98:$E$98,'03_Сеть'!BK7)&gt;0,SUMIF('01_Вводные'!$B$98:$E$98,'03_Сеть'!BK7,'01_Вводные'!$B$100:$E$100),BK107*'07_Тарифы'!BA$10)</f>
        <v/>
      </c>
      <c r="BL129" s="5">
        <f>IF(COUNTIF('01_Вводные'!$B$98:$E$98,'03_Сеть'!BL7)&gt;0,SUMIF('01_Вводные'!$B$98:$E$98,'03_Сеть'!BL7,'01_Вводные'!$B$100:$E$100),BL107*'07_Тарифы'!BB$10)</f>
        <v/>
      </c>
      <c r="BM129" s="5">
        <f>IF(COUNTIF('01_Вводные'!$B$98:$E$98,'03_Сеть'!BM7)&gt;0,SUMIF('01_Вводные'!$B$98:$E$98,'03_Сеть'!BM7,'01_Вводные'!$B$100:$E$100),BM107*'07_Тарифы'!BC$10)</f>
        <v/>
      </c>
      <c r="BN129" s="5">
        <f>IF(COUNTIF('01_Вводные'!$B$98:$E$98,'03_Сеть'!BN7)&gt;0,SUMIF('01_Вводные'!$B$98:$E$98,'03_Сеть'!BN7,'01_Вводные'!$B$100:$E$100),BN107*'07_Тарифы'!BD$10)</f>
        <v/>
      </c>
      <c r="BO129" s="5">
        <f>IF(COUNTIF('01_Вводные'!$B$98:$E$98,'03_Сеть'!BO7)&gt;0,SUMIF('01_Вводные'!$B$98:$E$98,'03_Сеть'!BO7,'01_Вводные'!$B$100:$E$100),BO107*'07_Тарифы'!BE$10)</f>
        <v/>
      </c>
      <c r="BP129" s="5">
        <f>IF(COUNTIF('01_Вводные'!$B$98:$E$98,'03_Сеть'!BP7)&gt;0,SUMIF('01_Вводные'!$B$98:$E$98,'03_Сеть'!BP7,'01_Вводные'!$B$100:$E$100),BP107*'07_Тарифы'!BF$10)</f>
        <v/>
      </c>
      <c r="BQ129" s="5">
        <f>IF(COUNTIF('01_Вводные'!$B$98:$E$98,'03_Сеть'!BQ7)&gt;0,SUMIF('01_Вводные'!$B$98:$E$98,'03_Сеть'!BQ7,'01_Вводные'!$B$100:$E$100),BQ107*'07_Тарифы'!BG$10)</f>
        <v/>
      </c>
      <c r="BR129" s="5">
        <f>IF(COUNTIF('01_Вводные'!$B$98:$E$98,'03_Сеть'!BR7)&gt;0,SUMIF('01_Вводные'!$B$98:$E$98,'03_Сеть'!BR7,'01_Вводные'!$B$100:$E$100),BR107*'07_Тарифы'!BH$10)</f>
        <v/>
      </c>
      <c r="BS129" s="5">
        <f>IF(COUNTIF('01_Вводные'!$B$98:$E$98,'03_Сеть'!BS7)&gt;0,SUMIF('01_Вводные'!$B$98:$E$98,'03_Сеть'!BS7,'01_Вводные'!$B$100:$E$100),BS107*'07_Тарифы'!BI$10)</f>
        <v/>
      </c>
      <c r="BT129" s="5">
        <f>IF(COUNTIF('01_Вводные'!$B$98:$E$98,'03_Сеть'!BT7)&gt;0,SUMIF('01_Вводные'!$B$98:$E$98,'03_Сеть'!BT7,'01_Вводные'!$B$100:$E$100),BT107*'07_Тарифы'!BJ$10)</f>
        <v/>
      </c>
      <c r="BU129" s="5">
        <f>IF(COUNTIF('01_Вводные'!$B$98:$E$98,'03_Сеть'!BU7)&gt;0,SUMIF('01_Вводные'!$B$98:$E$98,'03_Сеть'!BU7,'01_Вводные'!$B$100:$E$100),BU107*'07_Тарифы'!BK$10)</f>
        <v/>
      </c>
      <c r="BV129" s="5">
        <f>IF(COUNTIF('01_Вводные'!$B$98:$E$98,'03_Сеть'!BV7)&gt;0,SUMIF('01_Вводные'!$B$98:$E$98,'03_Сеть'!BV7,'01_Вводные'!$B$100:$E$100),BV107*'07_Тарифы'!BL$10)</f>
        <v/>
      </c>
      <c r="BW129" s="5">
        <f>IF(COUNTIF('01_Вводные'!$B$98:$E$98,'03_Сеть'!BW7)&gt;0,SUMIF('01_Вводные'!$B$98:$E$98,'03_Сеть'!BW7,'01_Вводные'!$B$100:$E$100),BW107*'07_Тарифы'!BM$10)</f>
        <v/>
      </c>
      <c r="BX129" s="5">
        <f>IF(COUNTIF('01_Вводные'!$B$98:$E$98,'03_Сеть'!BX7)&gt;0,SUMIF('01_Вводные'!$B$98:$E$98,'03_Сеть'!BX7,'01_Вводные'!$B$100:$E$100),BX107*'07_Тарифы'!BN$10)</f>
        <v/>
      </c>
      <c r="BY129" s="5">
        <f>IF(COUNTIF('01_Вводные'!$B$98:$E$98,'03_Сеть'!BY7)&gt;0,SUMIF('01_Вводные'!$B$98:$E$98,'03_Сеть'!BY7,'01_Вводные'!$B$100:$E$100),BY107*'07_Тарифы'!BO$10)</f>
        <v/>
      </c>
    </row>
    <row r="130">
      <c r="B130" t="inlineStr">
        <is>
          <t>Действующая сеть — COGS</t>
        </is>
      </c>
      <c r="C130" t="inlineStr">
        <is>
          <t>₽</t>
        </is>
      </c>
      <c r="D130" s="127" t="inlineStr">
        <is>
          <t>Сентябрь–декабрь 2026 — согласованный факт</t>
        </is>
      </c>
      <c r="E130" s="129">
        <f>SUM(L130:W130)</f>
        <v/>
      </c>
      <c r="F130" s="129">
        <f>SUM(X130:AI130)</f>
        <v/>
      </c>
      <c r="G130" s="129">
        <f>SUM(AJ130:AU130)</f>
        <v/>
      </c>
      <c r="H130" s="129">
        <f>SUM(AV130:BG130)</f>
        <v/>
      </c>
      <c r="I130" s="129">
        <f>SUM(BH130:BS130)</f>
        <v/>
      </c>
      <c r="J130" s="6">
        <f>SUM(L130:BS130)</f>
        <v/>
      </c>
      <c r="L130" s="5">
        <f>IF(COUNTIF('01_Вводные'!$B$98:$E$98,'03_Сеть'!L7)&gt;0,SUMIF('01_Вводные'!$B$98:$E$98,'03_Сеть'!L7,'01_Вводные'!$B$101:$E$101),L107*'07_Тарифы'!B$9)</f>
        <v/>
      </c>
      <c r="M130" s="5">
        <f>IF(COUNTIF('01_Вводные'!$B$98:$E$98,'03_Сеть'!M7)&gt;0,SUMIF('01_Вводные'!$B$98:$E$98,'03_Сеть'!M7,'01_Вводные'!$B$101:$E$101),M107*'07_Тарифы'!C$9)</f>
        <v/>
      </c>
      <c r="N130" s="5">
        <f>IF(COUNTIF('01_Вводные'!$B$98:$E$98,'03_Сеть'!N7)&gt;0,SUMIF('01_Вводные'!$B$98:$E$98,'03_Сеть'!N7,'01_Вводные'!$B$101:$E$101),N107*'07_Тарифы'!D$9)</f>
        <v/>
      </c>
      <c r="O130" s="5">
        <f>IF(COUNTIF('01_Вводные'!$B$98:$E$98,'03_Сеть'!O7)&gt;0,SUMIF('01_Вводные'!$B$98:$E$98,'03_Сеть'!O7,'01_Вводные'!$B$101:$E$101),O107*'07_Тарифы'!E$9)</f>
        <v/>
      </c>
      <c r="P130" s="5">
        <f>IF(COUNTIF('01_Вводные'!$B$98:$E$98,'03_Сеть'!P7)&gt;0,SUMIF('01_Вводные'!$B$98:$E$98,'03_Сеть'!P7,'01_Вводные'!$B$101:$E$101),P107*'07_Тарифы'!F$9)</f>
        <v/>
      </c>
      <c r="Q130" s="5">
        <f>IF(COUNTIF('01_Вводные'!$B$98:$E$98,'03_Сеть'!Q7)&gt;0,SUMIF('01_Вводные'!$B$98:$E$98,'03_Сеть'!Q7,'01_Вводные'!$B$101:$E$101),Q107*'07_Тарифы'!G$9)</f>
        <v/>
      </c>
      <c r="R130" s="5">
        <f>IF(COUNTIF('01_Вводные'!$B$98:$E$98,'03_Сеть'!R7)&gt;0,SUMIF('01_Вводные'!$B$98:$E$98,'03_Сеть'!R7,'01_Вводные'!$B$101:$E$101),R107*'07_Тарифы'!H$9)</f>
        <v/>
      </c>
      <c r="S130" s="5">
        <f>IF(COUNTIF('01_Вводные'!$B$98:$E$98,'03_Сеть'!S7)&gt;0,SUMIF('01_Вводные'!$B$98:$E$98,'03_Сеть'!S7,'01_Вводные'!$B$101:$E$101),S107*'07_Тарифы'!I$9)</f>
        <v/>
      </c>
      <c r="T130" s="5">
        <f>IF(COUNTIF('01_Вводные'!$B$98:$E$98,'03_Сеть'!T7)&gt;0,SUMIF('01_Вводные'!$B$98:$E$98,'03_Сеть'!T7,'01_Вводные'!$B$101:$E$101),T107*'07_Тарифы'!J$9)</f>
        <v/>
      </c>
      <c r="U130" s="5">
        <f>IF(COUNTIF('01_Вводные'!$B$98:$E$98,'03_Сеть'!U7)&gt;0,SUMIF('01_Вводные'!$B$98:$E$98,'03_Сеть'!U7,'01_Вводные'!$B$101:$E$101),U107*'07_Тарифы'!K$9)</f>
        <v/>
      </c>
      <c r="V130" s="5">
        <f>IF(COUNTIF('01_Вводные'!$B$98:$E$98,'03_Сеть'!V7)&gt;0,SUMIF('01_Вводные'!$B$98:$E$98,'03_Сеть'!V7,'01_Вводные'!$B$101:$E$101),V107*'07_Тарифы'!L$9)</f>
        <v/>
      </c>
      <c r="W130" s="5">
        <f>IF(COUNTIF('01_Вводные'!$B$98:$E$98,'03_Сеть'!W7)&gt;0,SUMIF('01_Вводные'!$B$98:$E$98,'03_Сеть'!W7,'01_Вводные'!$B$101:$E$101),W107*'07_Тарифы'!M$9)</f>
        <v/>
      </c>
      <c r="X130" s="5">
        <f>IF(COUNTIF('01_Вводные'!$B$98:$E$98,'03_Сеть'!X7)&gt;0,SUMIF('01_Вводные'!$B$98:$E$98,'03_Сеть'!X7,'01_Вводные'!$B$101:$E$101),X107*'07_Тарифы'!N$9)</f>
        <v/>
      </c>
      <c r="Y130" s="5">
        <f>IF(COUNTIF('01_Вводные'!$B$98:$E$98,'03_Сеть'!Y7)&gt;0,SUMIF('01_Вводные'!$B$98:$E$98,'03_Сеть'!Y7,'01_Вводные'!$B$101:$E$101),Y107*'07_Тарифы'!O$9)</f>
        <v/>
      </c>
      <c r="Z130" s="5">
        <f>IF(COUNTIF('01_Вводные'!$B$98:$E$98,'03_Сеть'!Z7)&gt;0,SUMIF('01_Вводные'!$B$98:$E$98,'03_Сеть'!Z7,'01_Вводные'!$B$101:$E$101),Z107*'07_Тарифы'!P$9)</f>
        <v/>
      </c>
      <c r="AA130" s="5">
        <f>IF(COUNTIF('01_Вводные'!$B$98:$E$98,'03_Сеть'!AA7)&gt;0,SUMIF('01_Вводные'!$B$98:$E$98,'03_Сеть'!AA7,'01_Вводные'!$B$101:$E$101),AA107*'07_Тарифы'!Q$9)</f>
        <v/>
      </c>
      <c r="AB130" s="5">
        <f>IF(COUNTIF('01_Вводные'!$B$98:$E$98,'03_Сеть'!AB7)&gt;0,SUMIF('01_Вводные'!$B$98:$E$98,'03_Сеть'!AB7,'01_Вводные'!$B$101:$E$101),AB107*'07_Тарифы'!R$9)</f>
        <v/>
      </c>
      <c r="AC130" s="5">
        <f>IF(COUNTIF('01_Вводные'!$B$98:$E$98,'03_Сеть'!AC7)&gt;0,SUMIF('01_Вводные'!$B$98:$E$98,'03_Сеть'!AC7,'01_Вводные'!$B$101:$E$101),AC107*'07_Тарифы'!S$9)</f>
        <v/>
      </c>
      <c r="AD130" s="5">
        <f>IF(COUNTIF('01_Вводные'!$B$98:$E$98,'03_Сеть'!AD7)&gt;0,SUMIF('01_Вводные'!$B$98:$E$98,'03_Сеть'!AD7,'01_Вводные'!$B$101:$E$101),AD107*'07_Тарифы'!T$9)</f>
        <v/>
      </c>
      <c r="AE130" s="5">
        <f>IF(COUNTIF('01_Вводные'!$B$98:$E$98,'03_Сеть'!AE7)&gt;0,SUMIF('01_Вводные'!$B$98:$E$98,'03_Сеть'!AE7,'01_Вводные'!$B$101:$E$101),AE107*'07_Тарифы'!U$9)</f>
        <v/>
      </c>
      <c r="AF130" s="5">
        <f>IF(COUNTIF('01_Вводные'!$B$98:$E$98,'03_Сеть'!AF7)&gt;0,SUMIF('01_Вводные'!$B$98:$E$98,'03_Сеть'!AF7,'01_Вводные'!$B$101:$E$101),AF107*'07_Тарифы'!V$9)</f>
        <v/>
      </c>
      <c r="AG130" s="5">
        <f>IF(COUNTIF('01_Вводные'!$B$98:$E$98,'03_Сеть'!AG7)&gt;0,SUMIF('01_Вводные'!$B$98:$E$98,'03_Сеть'!AG7,'01_Вводные'!$B$101:$E$101),AG107*'07_Тарифы'!W$9)</f>
        <v/>
      </c>
      <c r="AH130" s="5">
        <f>IF(COUNTIF('01_Вводные'!$B$98:$E$98,'03_Сеть'!AH7)&gt;0,SUMIF('01_Вводные'!$B$98:$E$98,'03_Сеть'!AH7,'01_Вводные'!$B$101:$E$101),AH107*'07_Тарифы'!X$9)</f>
        <v/>
      </c>
      <c r="AI130" s="5">
        <f>IF(COUNTIF('01_Вводные'!$B$98:$E$98,'03_Сеть'!AI7)&gt;0,SUMIF('01_Вводные'!$B$98:$E$98,'03_Сеть'!AI7,'01_Вводные'!$B$101:$E$101),AI107*'07_Тарифы'!Y$9)</f>
        <v/>
      </c>
      <c r="AJ130" s="5">
        <f>IF(COUNTIF('01_Вводные'!$B$98:$E$98,'03_Сеть'!AJ7)&gt;0,SUMIF('01_Вводные'!$B$98:$E$98,'03_Сеть'!AJ7,'01_Вводные'!$B$101:$E$101),AJ107*'07_Тарифы'!Z$9)</f>
        <v/>
      </c>
      <c r="AK130" s="5">
        <f>IF(COUNTIF('01_Вводные'!$B$98:$E$98,'03_Сеть'!AK7)&gt;0,SUMIF('01_Вводные'!$B$98:$E$98,'03_Сеть'!AK7,'01_Вводные'!$B$101:$E$101),AK107*'07_Тарифы'!AA$9)</f>
        <v/>
      </c>
      <c r="AL130" s="5">
        <f>IF(COUNTIF('01_Вводные'!$B$98:$E$98,'03_Сеть'!AL7)&gt;0,SUMIF('01_Вводные'!$B$98:$E$98,'03_Сеть'!AL7,'01_Вводные'!$B$101:$E$101),AL107*'07_Тарифы'!AB$9)</f>
        <v/>
      </c>
      <c r="AM130" s="5">
        <f>IF(COUNTIF('01_Вводные'!$B$98:$E$98,'03_Сеть'!AM7)&gt;0,SUMIF('01_Вводные'!$B$98:$E$98,'03_Сеть'!AM7,'01_Вводные'!$B$101:$E$101),AM107*'07_Тарифы'!AC$9)</f>
        <v/>
      </c>
      <c r="AN130" s="5">
        <f>IF(COUNTIF('01_Вводные'!$B$98:$E$98,'03_Сеть'!AN7)&gt;0,SUMIF('01_Вводные'!$B$98:$E$98,'03_Сеть'!AN7,'01_Вводные'!$B$101:$E$101),AN107*'07_Тарифы'!AD$9)</f>
        <v/>
      </c>
      <c r="AO130" s="5">
        <f>IF(COUNTIF('01_Вводные'!$B$98:$E$98,'03_Сеть'!AO7)&gt;0,SUMIF('01_Вводные'!$B$98:$E$98,'03_Сеть'!AO7,'01_Вводные'!$B$101:$E$101),AO107*'07_Тарифы'!AE$9)</f>
        <v/>
      </c>
      <c r="AP130" s="5">
        <f>IF(COUNTIF('01_Вводные'!$B$98:$E$98,'03_Сеть'!AP7)&gt;0,SUMIF('01_Вводные'!$B$98:$E$98,'03_Сеть'!AP7,'01_Вводные'!$B$101:$E$101),AP107*'07_Тарифы'!AF$9)</f>
        <v/>
      </c>
      <c r="AQ130" s="5">
        <f>IF(COUNTIF('01_Вводные'!$B$98:$E$98,'03_Сеть'!AQ7)&gt;0,SUMIF('01_Вводные'!$B$98:$E$98,'03_Сеть'!AQ7,'01_Вводные'!$B$101:$E$101),AQ107*'07_Тарифы'!AG$9)</f>
        <v/>
      </c>
      <c r="AR130" s="5">
        <f>IF(COUNTIF('01_Вводные'!$B$98:$E$98,'03_Сеть'!AR7)&gt;0,SUMIF('01_Вводные'!$B$98:$E$98,'03_Сеть'!AR7,'01_Вводные'!$B$101:$E$101),AR107*'07_Тарифы'!AH$9)</f>
        <v/>
      </c>
      <c r="AS130" s="5">
        <f>IF(COUNTIF('01_Вводные'!$B$98:$E$98,'03_Сеть'!AS7)&gt;0,SUMIF('01_Вводные'!$B$98:$E$98,'03_Сеть'!AS7,'01_Вводные'!$B$101:$E$101),AS107*'07_Тарифы'!AI$9)</f>
        <v/>
      </c>
      <c r="AT130" s="5">
        <f>IF(COUNTIF('01_Вводные'!$B$98:$E$98,'03_Сеть'!AT7)&gt;0,SUMIF('01_Вводные'!$B$98:$E$98,'03_Сеть'!AT7,'01_Вводные'!$B$101:$E$101),AT107*'07_Тарифы'!AJ$9)</f>
        <v/>
      </c>
      <c r="AU130" s="5">
        <f>IF(COUNTIF('01_Вводные'!$B$98:$E$98,'03_Сеть'!AU7)&gt;0,SUMIF('01_Вводные'!$B$98:$E$98,'03_Сеть'!AU7,'01_Вводные'!$B$101:$E$101),AU107*'07_Тарифы'!AK$9)</f>
        <v/>
      </c>
      <c r="AV130" s="5">
        <f>IF(COUNTIF('01_Вводные'!$B$98:$E$98,'03_Сеть'!AV7)&gt;0,SUMIF('01_Вводные'!$B$98:$E$98,'03_Сеть'!AV7,'01_Вводные'!$B$101:$E$101),AV107*'07_Тарифы'!AL$9)</f>
        <v/>
      </c>
      <c r="AW130" s="5">
        <f>IF(COUNTIF('01_Вводные'!$B$98:$E$98,'03_Сеть'!AW7)&gt;0,SUMIF('01_Вводные'!$B$98:$E$98,'03_Сеть'!AW7,'01_Вводные'!$B$101:$E$101),AW107*'07_Тарифы'!AM$9)</f>
        <v/>
      </c>
      <c r="AX130" s="5">
        <f>IF(COUNTIF('01_Вводные'!$B$98:$E$98,'03_Сеть'!AX7)&gt;0,SUMIF('01_Вводные'!$B$98:$E$98,'03_Сеть'!AX7,'01_Вводные'!$B$101:$E$101),AX107*'07_Тарифы'!AN$9)</f>
        <v/>
      </c>
      <c r="AY130" s="5">
        <f>IF(COUNTIF('01_Вводные'!$B$98:$E$98,'03_Сеть'!AY7)&gt;0,SUMIF('01_Вводные'!$B$98:$E$98,'03_Сеть'!AY7,'01_Вводные'!$B$101:$E$101),AY107*'07_Тарифы'!AO$9)</f>
        <v/>
      </c>
      <c r="AZ130" s="5">
        <f>IF(COUNTIF('01_Вводные'!$B$98:$E$98,'03_Сеть'!AZ7)&gt;0,SUMIF('01_Вводные'!$B$98:$E$98,'03_Сеть'!AZ7,'01_Вводные'!$B$101:$E$101),AZ107*'07_Тарифы'!AP$9)</f>
        <v/>
      </c>
      <c r="BA130" s="5">
        <f>IF(COUNTIF('01_Вводные'!$B$98:$E$98,'03_Сеть'!BA7)&gt;0,SUMIF('01_Вводные'!$B$98:$E$98,'03_Сеть'!BA7,'01_Вводные'!$B$101:$E$101),BA107*'07_Тарифы'!AQ$9)</f>
        <v/>
      </c>
      <c r="BB130" s="5">
        <f>IF(COUNTIF('01_Вводные'!$B$98:$E$98,'03_Сеть'!BB7)&gt;0,SUMIF('01_Вводные'!$B$98:$E$98,'03_Сеть'!BB7,'01_Вводные'!$B$101:$E$101),BB107*'07_Тарифы'!AR$9)</f>
        <v/>
      </c>
      <c r="BC130" s="5">
        <f>IF(COUNTIF('01_Вводные'!$B$98:$E$98,'03_Сеть'!BC7)&gt;0,SUMIF('01_Вводные'!$B$98:$E$98,'03_Сеть'!BC7,'01_Вводные'!$B$101:$E$101),BC107*'07_Тарифы'!AS$9)</f>
        <v/>
      </c>
      <c r="BD130" s="5">
        <f>IF(COUNTIF('01_Вводные'!$B$98:$E$98,'03_Сеть'!BD7)&gt;0,SUMIF('01_Вводные'!$B$98:$E$98,'03_Сеть'!BD7,'01_Вводные'!$B$101:$E$101),BD107*'07_Тарифы'!AT$9)</f>
        <v/>
      </c>
      <c r="BE130" s="5">
        <f>IF(COUNTIF('01_Вводные'!$B$98:$E$98,'03_Сеть'!BE7)&gt;0,SUMIF('01_Вводные'!$B$98:$E$98,'03_Сеть'!BE7,'01_Вводные'!$B$101:$E$101),BE107*'07_Тарифы'!AU$9)</f>
        <v/>
      </c>
      <c r="BF130" s="5">
        <f>IF(COUNTIF('01_Вводные'!$B$98:$E$98,'03_Сеть'!BF7)&gt;0,SUMIF('01_Вводные'!$B$98:$E$98,'03_Сеть'!BF7,'01_Вводные'!$B$101:$E$101),BF107*'07_Тарифы'!AV$9)</f>
        <v/>
      </c>
      <c r="BG130" s="5">
        <f>IF(COUNTIF('01_Вводные'!$B$98:$E$98,'03_Сеть'!BG7)&gt;0,SUMIF('01_Вводные'!$B$98:$E$98,'03_Сеть'!BG7,'01_Вводные'!$B$101:$E$101),BG107*'07_Тарифы'!AW$9)</f>
        <v/>
      </c>
      <c r="BH130" s="5">
        <f>IF(COUNTIF('01_Вводные'!$B$98:$E$98,'03_Сеть'!BH7)&gt;0,SUMIF('01_Вводные'!$B$98:$E$98,'03_Сеть'!BH7,'01_Вводные'!$B$101:$E$101),BH107*'07_Тарифы'!AX$9)</f>
        <v/>
      </c>
      <c r="BI130" s="5">
        <f>IF(COUNTIF('01_Вводные'!$B$98:$E$98,'03_Сеть'!BI7)&gt;0,SUMIF('01_Вводные'!$B$98:$E$98,'03_Сеть'!BI7,'01_Вводные'!$B$101:$E$101),BI107*'07_Тарифы'!AY$9)</f>
        <v/>
      </c>
      <c r="BJ130" s="5">
        <f>IF(COUNTIF('01_Вводные'!$B$98:$E$98,'03_Сеть'!BJ7)&gt;0,SUMIF('01_Вводные'!$B$98:$E$98,'03_Сеть'!BJ7,'01_Вводные'!$B$101:$E$101),BJ107*'07_Тарифы'!AZ$9)</f>
        <v/>
      </c>
      <c r="BK130" s="5">
        <f>IF(COUNTIF('01_Вводные'!$B$98:$E$98,'03_Сеть'!BK7)&gt;0,SUMIF('01_Вводные'!$B$98:$E$98,'03_Сеть'!BK7,'01_Вводные'!$B$101:$E$101),BK107*'07_Тарифы'!BA$9)</f>
        <v/>
      </c>
      <c r="BL130" s="5">
        <f>IF(COUNTIF('01_Вводные'!$B$98:$E$98,'03_Сеть'!BL7)&gt;0,SUMIF('01_Вводные'!$B$98:$E$98,'03_Сеть'!BL7,'01_Вводные'!$B$101:$E$101),BL107*'07_Тарифы'!BB$9)</f>
        <v/>
      </c>
      <c r="BM130" s="5">
        <f>IF(COUNTIF('01_Вводные'!$B$98:$E$98,'03_Сеть'!BM7)&gt;0,SUMIF('01_Вводные'!$B$98:$E$98,'03_Сеть'!BM7,'01_Вводные'!$B$101:$E$101),BM107*'07_Тарифы'!BC$9)</f>
        <v/>
      </c>
      <c r="BN130" s="5">
        <f>IF(COUNTIF('01_Вводные'!$B$98:$E$98,'03_Сеть'!BN7)&gt;0,SUMIF('01_Вводные'!$B$98:$E$98,'03_Сеть'!BN7,'01_Вводные'!$B$101:$E$101),BN107*'07_Тарифы'!BD$9)</f>
        <v/>
      </c>
      <c r="BO130" s="5">
        <f>IF(COUNTIF('01_Вводные'!$B$98:$E$98,'03_Сеть'!BO7)&gt;0,SUMIF('01_Вводные'!$B$98:$E$98,'03_Сеть'!BO7,'01_Вводные'!$B$101:$E$101),BO107*'07_Тарифы'!BE$9)</f>
        <v/>
      </c>
      <c r="BP130" s="5">
        <f>IF(COUNTIF('01_Вводные'!$B$98:$E$98,'03_Сеть'!BP7)&gt;0,SUMIF('01_Вводные'!$B$98:$E$98,'03_Сеть'!BP7,'01_Вводные'!$B$101:$E$101),BP107*'07_Тарифы'!BF$9)</f>
        <v/>
      </c>
      <c r="BQ130" s="5">
        <f>IF(COUNTIF('01_Вводные'!$B$98:$E$98,'03_Сеть'!BQ7)&gt;0,SUMIF('01_Вводные'!$B$98:$E$98,'03_Сеть'!BQ7,'01_Вводные'!$B$101:$E$101),BQ107*'07_Тарифы'!BG$9)</f>
        <v/>
      </c>
      <c r="BR130" s="5">
        <f>IF(COUNTIF('01_Вводные'!$B$98:$E$98,'03_Сеть'!BR7)&gt;0,SUMIF('01_Вводные'!$B$98:$E$98,'03_Сеть'!BR7,'01_Вводные'!$B$101:$E$101),BR107*'07_Тарифы'!BH$9)</f>
        <v/>
      </c>
      <c r="BS130" s="5">
        <f>IF(COUNTIF('01_Вводные'!$B$98:$E$98,'03_Сеть'!BS7)&gt;0,SUMIF('01_Вводные'!$B$98:$E$98,'03_Сеть'!BS7,'01_Вводные'!$B$101:$E$101),BS107*'07_Тарифы'!BI$9)</f>
        <v/>
      </c>
      <c r="BT130" s="5">
        <f>IF(COUNTIF('01_Вводные'!$B$98:$E$98,'03_Сеть'!BT7)&gt;0,SUMIF('01_Вводные'!$B$98:$E$98,'03_Сеть'!BT7,'01_Вводные'!$B$101:$E$101),BT107*'07_Тарифы'!BJ$9)</f>
        <v/>
      </c>
      <c r="BU130" s="5">
        <f>IF(COUNTIF('01_Вводные'!$B$98:$E$98,'03_Сеть'!BU7)&gt;0,SUMIF('01_Вводные'!$B$98:$E$98,'03_Сеть'!BU7,'01_Вводные'!$B$101:$E$101),BU107*'07_Тарифы'!BK$9)</f>
        <v/>
      </c>
      <c r="BV130" s="5">
        <f>IF(COUNTIF('01_Вводные'!$B$98:$E$98,'03_Сеть'!BV7)&gt;0,SUMIF('01_Вводные'!$B$98:$E$98,'03_Сеть'!BV7,'01_Вводные'!$B$101:$E$101),BV107*'07_Тарифы'!BL$9)</f>
        <v/>
      </c>
      <c r="BW130" s="5">
        <f>IF(COUNTIF('01_Вводные'!$B$98:$E$98,'03_Сеть'!BW7)&gt;0,SUMIF('01_Вводные'!$B$98:$E$98,'03_Сеть'!BW7,'01_Вводные'!$B$101:$E$101),BW107*'07_Тарифы'!BM$9)</f>
        <v/>
      </c>
      <c r="BX130" s="5">
        <f>IF(COUNTIF('01_Вводные'!$B$98:$E$98,'03_Сеть'!BX7)&gt;0,SUMIF('01_Вводные'!$B$98:$E$98,'03_Сеть'!BX7,'01_Вводные'!$B$101:$E$101),BX107*'07_Тарифы'!BN$9)</f>
        <v/>
      </c>
      <c r="BY130" s="5">
        <f>IF(COUNTIF('01_Вводные'!$B$98:$E$98,'03_Сеть'!BY7)&gt;0,SUMIF('01_Вводные'!$B$98:$E$98,'03_Сеть'!BY7,'01_Вводные'!$B$101:$E$101),BY107*'07_Тарифы'!BO$9)</f>
        <v/>
      </c>
    </row>
    <row r="131">
      <c r="B131" t="inlineStr">
        <is>
          <t>Выручка мерча, с НДС</t>
        </is>
      </c>
      <c r="C131" t="inlineStr">
        <is>
          <t>₽</t>
        </is>
      </c>
      <c r="D131" s="127" t="inlineStr"/>
      <c r="E131" s="129">
        <f>SUM(L131:W131)</f>
        <v/>
      </c>
      <c r="F131" s="129">
        <f>SUM(X131:AI131)</f>
        <v/>
      </c>
      <c r="G131" s="129">
        <f>SUM(AJ131:AU131)</f>
        <v/>
      </c>
      <c r="H131" s="129">
        <f>SUM(AV131:BG131)</f>
        <v/>
      </c>
      <c r="I131" s="129">
        <f>SUM(BH131:BS131)</f>
        <v/>
      </c>
      <c r="J131" s="6">
        <f>SUM(L131:BS131)</f>
        <v/>
      </c>
      <c r="L131" s="5">
        <f>L129+L127</f>
        <v/>
      </c>
      <c r="M131" s="5">
        <f>M129+M127</f>
        <v/>
      </c>
      <c r="N131" s="5">
        <f>N129+N127</f>
        <v/>
      </c>
      <c r="O131" s="5">
        <f>O129+O127</f>
        <v/>
      </c>
      <c r="P131" s="5">
        <f>P129+P127</f>
        <v/>
      </c>
      <c r="Q131" s="5">
        <f>Q129+Q127</f>
        <v/>
      </c>
      <c r="R131" s="5">
        <f>R129+R127</f>
        <v/>
      </c>
      <c r="S131" s="5">
        <f>S129+S127</f>
        <v/>
      </c>
      <c r="T131" s="5">
        <f>T129+T127</f>
        <v/>
      </c>
      <c r="U131" s="5">
        <f>U129+U127</f>
        <v/>
      </c>
      <c r="V131" s="5">
        <f>V129+V127</f>
        <v/>
      </c>
      <c r="W131" s="5">
        <f>W129+W127</f>
        <v/>
      </c>
      <c r="X131" s="5">
        <f>X129+X127</f>
        <v/>
      </c>
      <c r="Y131" s="5">
        <f>Y129+Y127</f>
        <v/>
      </c>
      <c r="Z131" s="5">
        <f>Z129+Z127</f>
        <v/>
      </c>
      <c r="AA131" s="5">
        <f>AA129+AA127</f>
        <v/>
      </c>
      <c r="AB131" s="5">
        <f>AB129+AB127</f>
        <v/>
      </c>
      <c r="AC131" s="5">
        <f>AC129+AC127</f>
        <v/>
      </c>
      <c r="AD131" s="5">
        <f>AD129+AD127</f>
        <v/>
      </c>
      <c r="AE131" s="5">
        <f>AE129+AE127</f>
        <v/>
      </c>
      <c r="AF131" s="5">
        <f>AF129+AF127</f>
        <v/>
      </c>
      <c r="AG131" s="5">
        <f>AG129+AG127</f>
        <v/>
      </c>
      <c r="AH131" s="5">
        <f>AH129+AH127</f>
        <v/>
      </c>
      <c r="AI131" s="5">
        <f>AI129+AI127</f>
        <v/>
      </c>
      <c r="AJ131" s="5">
        <f>AJ129+AJ127</f>
        <v/>
      </c>
      <c r="AK131" s="5">
        <f>AK129+AK127</f>
        <v/>
      </c>
      <c r="AL131" s="5">
        <f>AL129+AL127</f>
        <v/>
      </c>
      <c r="AM131" s="5">
        <f>AM129+AM127</f>
        <v/>
      </c>
      <c r="AN131" s="5">
        <f>AN129+AN127</f>
        <v/>
      </c>
      <c r="AO131" s="5">
        <f>AO129+AO127</f>
        <v/>
      </c>
      <c r="AP131" s="5">
        <f>AP129+AP127</f>
        <v/>
      </c>
      <c r="AQ131" s="5">
        <f>AQ129+AQ127</f>
        <v/>
      </c>
      <c r="AR131" s="5">
        <f>AR129+AR127</f>
        <v/>
      </c>
      <c r="AS131" s="5">
        <f>AS129+AS127</f>
        <v/>
      </c>
      <c r="AT131" s="5">
        <f>AT129+AT127</f>
        <v/>
      </c>
      <c r="AU131" s="5">
        <f>AU129+AU127</f>
        <v/>
      </c>
      <c r="AV131" s="5">
        <f>AV129+AV127</f>
        <v/>
      </c>
      <c r="AW131" s="5">
        <f>AW129+AW127</f>
        <v/>
      </c>
      <c r="AX131" s="5">
        <f>AX129+AX127</f>
        <v/>
      </c>
      <c r="AY131" s="5">
        <f>AY129+AY127</f>
        <v/>
      </c>
      <c r="AZ131" s="5">
        <f>AZ129+AZ127</f>
        <v/>
      </c>
      <c r="BA131" s="5">
        <f>BA129+BA127</f>
        <v/>
      </c>
      <c r="BB131" s="5">
        <f>BB129+BB127</f>
        <v/>
      </c>
      <c r="BC131" s="5">
        <f>BC129+BC127</f>
        <v/>
      </c>
      <c r="BD131" s="5">
        <f>BD129+BD127</f>
        <v/>
      </c>
      <c r="BE131" s="5">
        <f>BE129+BE127</f>
        <v/>
      </c>
      <c r="BF131" s="5">
        <f>BF129+BF127</f>
        <v/>
      </c>
      <c r="BG131" s="5">
        <f>BG129+BG127</f>
        <v/>
      </c>
      <c r="BH131" s="5">
        <f>BH129+BH127</f>
        <v/>
      </c>
      <c r="BI131" s="5">
        <f>BI129+BI127</f>
        <v/>
      </c>
      <c r="BJ131" s="5">
        <f>BJ129+BJ127</f>
        <v/>
      </c>
      <c r="BK131" s="5">
        <f>BK129+BK127</f>
        <v/>
      </c>
      <c r="BL131" s="5">
        <f>BL129+BL127</f>
        <v/>
      </c>
      <c r="BM131" s="5">
        <f>BM129+BM127</f>
        <v/>
      </c>
      <c r="BN131" s="5">
        <f>BN129+BN127</f>
        <v/>
      </c>
      <c r="BO131" s="5">
        <f>BO129+BO127</f>
        <v/>
      </c>
      <c r="BP131" s="5">
        <f>BP129+BP127</f>
        <v/>
      </c>
      <c r="BQ131" s="5">
        <f>BQ129+BQ127</f>
        <v/>
      </c>
      <c r="BR131" s="5">
        <f>BR129+BR127</f>
        <v/>
      </c>
      <c r="BS131" s="5">
        <f>BS129+BS127</f>
        <v/>
      </c>
      <c r="BT131" s="5">
        <f>BT129+BT127</f>
        <v/>
      </c>
      <c r="BU131" s="5">
        <f>BU129+BU127</f>
        <v/>
      </c>
      <c r="BV131" s="5">
        <f>BV129+BV127</f>
        <v/>
      </c>
      <c r="BW131" s="5">
        <f>BW129+BW127</f>
        <v/>
      </c>
      <c r="BX131" s="5">
        <f>BX129+BX127</f>
        <v/>
      </c>
      <c r="BY131" s="5">
        <f>BY129+BY127</f>
        <v/>
      </c>
    </row>
    <row r="132">
      <c r="B132" s="7" t="inlineStr">
        <is>
          <t>Выручка мерча, без НДС</t>
        </is>
      </c>
      <c r="C132" s="7" t="inlineStr">
        <is>
          <t>₽</t>
        </is>
      </c>
      <c r="D132" s="130" t="inlineStr"/>
      <c r="E132" s="131">
        <f>SUM(L132:W132)</f>
        <v/>
      </c>
      <c r="F132" s="131">
        <f>SUM(X132:AI132)</f>
        <v/>
      </c>
      <c r="G132" s="131">
        <f>SUM(AJ132:AU132)</f>
        <v/>
      </c>
      <c r="H132" s="131">
        <f>SUM(AV132:BG132)</f>
        <v/>
      </c>
      <c r="I132" s="131">
        <f>SUM(BH132:BS132)</f>
        <v/>
      </c>
      <c r="J132" s="10">
        <f>SUM(L132:BS132)</f>
        <v/>
      </c>
      <c r="L132" s="9">
        <f>L131/(1+НДС)</f>
        <v/>
      </c>
      <c r="M132" s="9">
        <f>M131/(1+НДС)</f>
        <v/>
      </c>
      <c r="N132" s="9">
        <f>N131/(1+НДС)</f>
        <v/>
      </c>
      <c r="O132" s="9">
        <f>O131/(1+НДС)</f>
        <v/>
      </c>
      <c r="P132" s="9">
        <f>P131/(1+НДС)</f>
        <v/>
      </c>
      <c r="Q132" s="9">
        <f>Q131/(1+НДС)</f>
        <v/>
      </c>
      <c r="R132" s="9">
        <f>R131/(1+НДС)</f>
        <v/>
      </c>
      <c r="S132" s="9">
        <f>S131/(1+НДС)</f>
        <v/>
      </c>
      <c r="T132" s="9">
        <f>T131/(1+НДС)</f>
        <v/>
      </c>
      <c r="U132" s="9">
        <f>U131/(1+НДС)</f>
        <v/>
      </c>
      <c r="V132" s="9">
        <f>V131/(1+НДС)</f>
        <v/>
      </c>
      <c r="W132" s="9">
        <f>W131/(1+НДС)</f>
        <v/>
      </c>
      <c r="X132" s="9">
        <f>X131/(1+НДС)</f>
        <v/>
      </c>
      <c r="Y132" s="9">
        <f>Y131/(1+НДС)</f>
        <v/>
      </c>
      <c r="Z132" s="9">
        <f>Z131/(1+НДС)</f>
        <v/>
      </c>
      <c r="AA132" s="9">
        <f>AA131/(1+НДС)</f>
        <v/>
      </c>
      <c r="AB132" s="9">
        <f>AB131/(1+НДС)</f>
        <v/>
      </c>
      <c r="AC132" s="9">
        <f>AC131/(1+НДС)</f>
        <v/>
      </c>
      <c r="AD132" s="9">
        <f>AD131/(1+НДС)</f>
        <v/>
      </c>
      <c r="AE132" s="9">
        <f>AE131/(1+НДС)</f>
        <v/>
      </c>
      <c r="AF132" s="9">
        <f>AF131/(1+НДС)</f>
        <v/>
      </c>
      <c r="AG132" s="9">
        <f>AG131/(1+НДС)</f>
        <v/>
      </c>
      <c r="AH132" s="9">
        <f>AH131/(1+НДС)</f>
        <v/>
      </c>
      <c r="AI132" s="9">
        <f>AI131/(1+НДС)</f>
        <v/>
      </c>
      <c r="AJ132" s="9">
        <f>AJ131/(1+НДС)</f>
        <v/>
      </c>
      <c r="AK132" s="9">
        <f>AK131/(1+НДС)</f>
        <v/>
      </c>
      <c r="AL132" s="9">
        <f>AL131/(1+НДС)</f>
        <v/>
      </c>
      <c r="AM132" s="9">
        <f>AM131/(1+НДС)</f>
        <v/>
      </c>
      <c r="AN132" s="9">
        <f>AN131/(1+НДС)</f>
        <v/>
      </c>
      <c r="AO132" s="9">
        <f>AO131/(1+НДС)</f>
        <v/>
      </c>
      <c r="AP132" s="9">
        <f>AP131/(1+НДС)</f>
        <v/>
      </c>
      <c r="AQ132" s="9">
        <f>AQ131/(1+НДС)</f>
        <v/>
      </c>
      <c r="AR132" s="9">
        <f>AR131/(1+НДС)</f>
        <v/>
      </c>
      <c r="AS132" s="9">
        <f>AS131/(1+НДС)</f>
        <v/>
      </c>
      <c r="AT132" s="9">
        <f>AT131/(1+НДС)</f>
        <v/>
      </c>
      <c r="AU132" s="9">
        <f>AU131/(1+НДС)</f>
        <v/>
      </c>
      <c r="AV132" s="9">
        <f>AV131/(1+НДС)</f>
        <v/>
      </c>
      <c r="AW132" s="9">
        <f>AW131/(1+НДС)</f>
        <v/>
      </c>
      <c r="AX132" s="9">
        <f>AX131/(1+НДС)</f>
        <v/>
      </c>
      <c r="AY132" s="9">
        <f>AY131/(1+НДС)</f>
        <v/>
      </c>
      <c r="AZ132" s="9">
        <f>AZ131/(1+НДС)</f>
        <v/>
      </c>
      <c r="BA132" s="9">
        <f>BA131/(1+НДС)</f>
        <v/>
      </c>
      <c r="BB132" s="9">
        <f>BB131/(1+НДС)</f>
        <v/>
      </c>
      <c r="BC132" s="9">
        <f>BC131/(1+НДС)</f>
        <v/>
      </c>
      <c r="BD132" s="9">
        <f>BD131/(1+НДС)</f>
        <v/>
      </c>
      <c r="BE132" s="9">
        <f>BE131/(1+НДС)</f>
        <v/>
      </c>
      <c r="BF132" s="9">
        <f>BF131/(1+НДС)</f>
        <v/>
      </c>
      <c r="BG132" s="9">
        <f>BG131/(1+НДС)</f>
        <v/>
      </c>
      <c r="BH132" s="9">
        <f>BH131/(1+НДС)</f>
        <v/>
      </c>
      <c r="BI132" s="9">
        <f>BI131/(1+НДС)</f>
        <v/>
      </c>
      <c r="BJ132" s="9">
        <f>BJ131/(1+НДС)</f>
        <v/>
      </c>
      <c r="BK132" s="9">
        <f>BK131/(1+НДС)</f>
        <v/>
      </c>
      <c r="BL132" s="9">
        <f>BL131/(1+НДС)</f>
        <v/>
      </c>
      <c r="BM132" s="9">
        <f>BM131/(1+НДС)</f>
        <v/>
      </c>
      <c r="BN132" s="9">
        <f>BN131/(1+НДС)</f>
        <v/>
      </c>
      <c r="BO132" s="9">
        <f>BO131/(1+НДС)</f>
        <v/>
      </c>
      <c r="BP132" s="9">
        <f>BP131/(1+НДС)</f>
        <v/>
      </c>
      <c r="BQ132" s="9">
        <f>BQ131/(1+НДС)</f>
        <v/>
      </c>
      <c r="BR132" s="9">
        <f>BR131/(1+НДС)</f>
        <v/>
      </c>
      <c r="BS132" s="9">
        <f>BS131/(1+НДС)</f>
        <v/>
      </c>
      <c r="BT132" s="9">
        <f>BT131/(1+НДС)</f>
        <v/>
      </c>
      <c r="BU132" s="9">
        <f>BU131/(1+НДС)</f>
        <v/>
      </c>
      <c r="BV132" s="9">
        <f>BV131/(1+НДС)</f>
        <v/>
      </c>
      <c r="BW132" s="9">
        <f>BW131/(1+НДС)</f>
        <v/>
      </c>
      <c r="BX132" s="9">
        <f>BX131/(1+НДС)</f>
        <v/>
      </c>
      <c r="BY132" s="9">
        <f>BY131/(1+НДС)</f>
        <v/>
      </c>
    </row>
    <row r="133">
      <c r="B133" t="inlineStr">
        <is>
          <t>COGS мерча</t>
        </is>
      </c>
      <c r="C133" t="inlineStr">
        <is>
          <t>₽</t>
        </is>
      </c>
      <c r="D133" s="127" t="inlineStr"/>
      <c r="E133" s="129">
        <f>SUM(L133:W133)</f>
        <v/>
      </c>
      <c r="F133" s="129">
        <f>SUM(X133:AI133)</f>
        <v/>
      </c>
      <c r="G133" s="129">
        <f>SUM(AJ133:AU133)</f>
        <v/>
      </c>
      <c r="H133" s="129">
        <f>SUM(AV133:BG133)</f>
        <v/>
      </c>
      <c r="I133" s="129">
        <f>SUM(BH133:BS133)</f>
        <v/>
      </c>
      <c r="J133" s="6">
        <f>SUM(L133:BS133)</f>
        <v/>
      </c>
      <c r="L133" s="5">
        <f>L130+L128</f>
        <v/>
      </c>
      <c r="M133" s="5">
        <f>M130+M128</f>
        <v/>
      </c>
      <c r="N133" s="5">
        <f>N130+N128</f>
        <v/>
      </c>
      <c r="O133" s="5">
        <f>O130+O128</f>
        <v/>
      </c>
      <c r="P133" s="5">
        <f>P130+P128</f>
        <v/>
      </c>
      <c r="Q133" s="5">
        <f>Q130+Q128</f>
        <v/>
      </c>
      <c r="R133" s="5">
        <f>R130+R128</f>
        <v/>
      </c>
      <c r="S133" s="5">
        <f>S130+S128</f>
        <v/>
      </c>
      <c r="T133" s="5">
        <f>T130+T128</f>
        <v/>
      </c>
      <c r="U133" s="5">
        <f>U130+U128</f>
        <v/>
      </c>
      <c r="V133" s="5">
        <f>V130+V128</f>
        <v/>
      </c>
      <c r="W133" s="5">
        <f>W130+W128</f>
        <v/>
      </c>
      <c r="X133" s="5">
        <f>X130+X128</f>
        <v/>
      </c>
      <c r="Y133" s="5">
        <f>Y130+Y128</f>
        <v/>
      </c>
      <c r="Z133" s="5">
        <f>Z130+Z128</f>
        <v/>
      </c>
      <c r="AA133" s="5">
        <f>AA130+AA128</f>
        <v/>
      </c>
      <c r="AB133" s="5">
        <f>AB130+AB128</f>
        <v/>
      </c>
      <c r="AC133" s="5">
        <f>AC130+AC128</f>
        <v/>
      </c>
      <c r="AD133" s="5">
        <f>AD130+AD128</f>
        <v/>
      </c>
      <c r="AE133" s="5">
        <f>AE130+AE128</f>
        <v/>
      </c>
      <c r="AF133" s="5">
        <f>AF130+AF128</f>
        <v/>
      </c>
      <c r="AG133" s="5">
        <f>AG130+AG128</f>
        <v/>
      </c>
      <c r="AH133" s="5">
        <f>AH130+AH128</f>
        <v/>
      </c>
      <c r="AI133" s="5">
        <f>AI130+AI128</f>
        <v/>
      </c>
      <c r="AJ133" s="5">
        <f>AJ130+AJ128</f>
        <v/>
      </c>
      <c r="AK133" s="5">
        <f>AK130+AK128</f>
        <v/>
      </c>
      <c r="AL133" s="5">
        <f>AL130+AL128</f>
        <v/>
      </c>
      <c r="AM133" s="5">
        <f>AM130+AM128</f>
        <v/>
      </c>
      <c r="AN133" s="5">
        <f>AN130+AN128</f>
        <v/>
      </c>
      <c r="AO133" s="5">
        <f>AO130+AO128</f>
        <v/>
      </c>
      <c r="AP133" s="5">
        <f>AP130+AP128</f>
        <v/>
      </c>
      <c r="AQ133" s="5">
        <f>AQ130+AQ128</f>
        <v/>
      </c>
      <c r="AR133" s="5">
        <f>AR130+AR128</f>
        <v/>
      </c>
      <c r="AS133" s="5">
        <f>AS130+AS128</f>
        <v/>
      </c>
      <c r="AT133" s="5">
        <f>AT130+AT128</f>
        <v/>
      </c>
      <c r="AU133" s="5">
        <f>AU130+AU128</f>
        <v/>
      </c>
      <c r="AV133" s="5">
        <f>AV130+AV128</f>
        <v/>
      </c>
      <c r="AW133" s="5">
        <f>AW130+AW128</f>
        <v/>
      </c>
      <c r="AX133" s="5">
        <f>AX130+AX128</f>
        <v/>
      </c>
      <c r="AY133" s="5">
        <f>AY130+AY128</f>
        <v/>
      </c>
      <c r="AZ133" s="5">
        <f>AZ130+AZ128</f>
        <v/>
      </c>
      <c r="BA133" s="5">
        <f>BA130+BA128</f>
        <v/>
      </c>
      <c r="BB133" s="5">
        <f>BB130+BB128</f>
        <v/>
      </c>
      <c r="BC133" s="5">
        <f>BC130+BC128</f>
        <v/>
      </c>
      <c r="BD133" s="5">
        <f>BD130+BD128</f>
        <v/>
      </c>
      <c r="BE133" s="5">
        <f>BE130+BE128</f>
        <v/>
      </c>
      <c r="BF133" s="5">
        <f>BF130+BF128</f>
        <v/>
      </c>
      <c r="BG133" s="5">
        <f>BG130+BG128</f>
        <v/>
      </c>
      <c r="BH133" s="5">
        <f>BH130+BH128</f>
        <v/>
      </c>
      <c r="BI133" s="5">
        <f>BI130+BI128</f>
        <v/>
      </c>
      <c r="BJ133" s="5">
        <f>BJ130+BJ128</f>
        <v/>
      </c>
      <c r="BK133" s="5">
        <f>BK130+BK128</f>
        <v/>
      </c>
      <c r="BL133" s="5">
        <f>BL130+BL128</f>
        <v/>
      </c>
      <c r="BM133" s="5">
        <f>BM130+BM128</f>
        <v/>
      </c>
      <c r="BN133" s="5">
        <f>BN130+BN128</f>
        <v/>
      </c>
      <c r="BO133" s="5">
        <f>BO130+BO128</f>
        <v/>
      </c>
      <c r="BP133" s="5">
        <f>BP130+BP128</f>
        <v/>
      </c>
      <c r="BQ133" s="5">
        <f>BQ130+BQ128</f>
        <v/>
      </c>
      <c r="BR133" s="5">
        <f>BR130+BR128</f>
        <v/>
      </c>
      <c r="BS133" s="5">
        <f>BS130+BS128</f>
        <v/>
      </c>
      <c r="BT133" s="5">
        <f>BT130+BT128</f>
        <v/>
      </c>
      <c r="BU133" s="5">
        <f>BU130+BU128</f>
        <v/>
      </c>
      <c r="BV133" s="5">
        <f>BV130+BV128</f>
        <v/>
      </c>
      <c r="BW133" s="5">
        <f>BW130+BW128</f>
        <v/>
      </c>
      <c r="BX133" s="5">
        <f>BX130+BX128</f>
        <v/>
      </c>
      <c r="BY133" s="5">
        <f>BY130+BY128</f>
        <v/>
      </c>
    </row>
    <row r="134">
      <c r="B134" t="inlineStr">
        <is>
          <t>Логистика, возвраты, брак</t>
        </is>
      </c>
      <c r="C134" t="inlineStr">
        <is>
          <t>₽</t>
        </is>
      </c>
      <c r="D134" s="127" t="inlineStr"/>
      <c r="E134" s="129">
        <f>SUM(L134:W134)</f>
        <v/>
      </c>
      <c r="F134" s="129">
        <f>SUM(X134:AI134)</f>
        <v/>
      </c>
      <c r="G134" s="129">
        <f>SUM(AJ134:AU134)</f>
        <v/>
      </c>
      <c r="H134" s="129">
        <f>SUM(AV134:BG134)</f>
        <v/>
      </c>
      <c r="I134" s="129">
        <f>SUM(BH134:BS134)</f>
        <v/>
      </c>
      <c r="J134" s="6">
        <f>SUM(L134:BS134)</f>
        <v/>
      </c>
      <c r="L134" s="5">
        <f>L132*ЛогистикаМерча</f>
        <v/>
      </c>
      <c r="M134" s="5">
        <f>M132*ЛогистикаМерча</f>
        <v/>
      </c>
      <c r="N134" s="5">
        <f>N132*ЛогистикаМерча</f>
        <v/>
      </c>
      <c r="O134" s="5">
        <f>O132*ЛогистикаМерча</f>
        <v/>
      </c>
      <c r="P134" s="5">
        <f>P132*ЛогистикаМерча</f>
        <v/>
      </c>
      <c r="Q134" s="5">
        <f>Q132*ЛогистикаМерча</f>
        <v/>
      </c>
      <c r="R134" s="5">
        <f>R132*ЛогистикаМерча</f>
        <v/>
      </c>
      <c r="S134" s="5">
        <f>S132*ЛогистикаМерча</f>
        <v/>
      </c>
      <c r="T134" s="5">
        <f>T132*ЛогистикаМерча</f>
        <v/>
      </c>
      <c r="U134" s="5">
        <f>U132*ЛогистикаМерча</f>
        <v/>
      </c>
      <c r="V134" s="5">
        <f>V132*ЛогистикаМерча</f>
        <v/>
      </c>
      <c r="W134" s="5">
        <f>W132*ЛогистикаМерча</f>
        <v/>
      </c>
      <c r="X134" s="5">
        <f>X132*ЛогистикаМерча</f>
        <v/>
      </c>
      <c r="Y134" s="5">
        <f>Y132*ЛогистикаМерча</f>
        <v/>
      </c>
      <c r="Z134" s="5">
        <f>Z132*ЛогистикаМерча</f>
        <v/>
      </c>
      <c r="AA134" s="5">
        <f>AA132*ЛогистикаМерча</f>
        <v/>
      </c>
      <c r="AB134" s="5">
        <f>AB132*ЛогистикаМерча</f>
        <v/>
      </c>
      <c r="AC134" s="5">
        <f>AC132*ЛогистикаМерча</f>
        <v/>
      </c>
      <c r="AD134" s="5">
        <f>AD132*ЛогистикаМерча</f>
        <v/>
      </c>
      <c r="AE134" s="5">
        <f>AE132*ЛогистикаМерча</f>
        <v/>
      </c>
      <c r="AF134" s="5">
        <f>AF132*ЛогистикаМерча</f>
        <v/>
      </c>
      <c r="AG134" s="5">
        <f>AG132*ЛогистикаМерча</f>
        <v/>
      </c>
      <c r="AH134" s="5">
        <f>AH132*ЛогистикаМерча</f>
        <v/>
      </c>
      <c r="AI134" s="5">
        <f>AI132*ЛогистикаМерча</f>
        <v/>
      </c>
      <c r="AJ134" s="5">
        <f>AJ132*ЛогистикаМерча</f>
        <v/>
      </c>
      <c r="AK134" s="5">
        <f>AK132*ЛогистикаМерча</f>
        <v/>
      </c>
      <c r="AL134" s="5">
        <f>AL132*ЛогистикаМерча</f>
        <v/>
      </c>
      <c r="AM134" s="5">
        <f>AM132*ЛогистикаМерча</f>
        <v/>
      </c>
      <c r="AN134" s="5">
        <f>AN132*ЛогистикаМерча</f>
        <v/>
      </c>
      <c r="AO134" s="5">
        <f>AO132*ЛогистикаМерча</f>
        <v/>
      </c>
      <c r="AP134" s="5">
        <f>AP132*ЛогистикаМерча</f>
        <v/>
      </c>
      <c r="AQ134" s="5">
        <f>AQ132*ЛогистикаМерча</f>
        <v/>
      </c>
      <c r="AR134" s="5">
        <f>AR132*ЛогистикаМерча</f>
        <v/>
      </c>
      <c r="AS134" s="5">
        <f>AS132*ЛогистикаМерча</f>
        <v/>
      </c>
      <c r="AT134" s="5">
        <f>AT132*ЛогистикаМерча</f>
        <v/>
      </c>
      <c r="AU134" s="5">
        <f>AU132*ЛогистикаМерча</f>
        <v/>
      </c>
      <c r="AV134" s="5">
        <f>AV132*ЛогистикаМерча</f>
        <v/>
      </c>
      <c r="AW134" s="5">
        <f>AW132*ЛогистикаМерча</f>
        <v/>
      </c>
      <c r="AX134" s="5">
        <f>AX132*ЛогистикаМерча</f>
        <v/>
      </c>
      <c r="AY134" s="5">
        <f>AY132*ЛогистикаМерча</f>
        <v/>
      </c>
      <c r="AZ134" s="5">
        <f>AZ132*ЛогистикаМерча</f>
        <v/>
      </c>
      <c r="BA134" s="5">
        <f>BA132*ЛогистикаМерча</f>
        <v/>
      </c>
      <c r="BB134" s="5">
        <f>BB132*ЛогистикаМерча</f>
        <v/>
      </c>
      <c r="BC134" s="5">
        <f>BC132*ЛогистикаМерча</f>
        <v/>
      </c>
      <c r="BD134" s="5">
        <f>BD132*ЛогистикаМерча</f>
        <v/>
      </c>
      <c r="BE134" s="5">
        <f>BE132*ЛогистикаМерча</f>
        <v/>
      </c>
      <c r="BF134" s="5">
        <f>BF132*ЛогистикаМерча</f>
        <v/>
      </c>
      <c r="BG134" s="5">
        <f>BG132*ЛогистикаМерча</f>
        <v/>
      </c>
      <c r="BH134" s="5">
        <f>BH132*ЛогистикаМерча</f>
        <v/>
      </c>
      <c r="BI134" s="5">
        <f>BI132*ЛогистикаМерча</f>
        <v/>
      </c>
      <c r="BJ134" s="5">
        <f>BJ132*ЛогистикаМерча</f>
        <v/>
      </c>
      <c r="BK134" s="5">
        <f>BK132*ЛогистикаМерча</f>
        <v/>
      </c>
      <c r="BL134" s="5">
        <f>BL132*ЛогистикаМерча</f>
        <v/>
      </c>
      <c r="BM134" s="5">
        <f>BM132*ЛогистикаМерча</f>
        <v/>
      </c>
      <c r="BN134" s="5">
        <f>BN132*ЛогистикаМерча</f>
        <v/>
      </c>
      <c r="BO134" s="5">
        <f>BO132*ЛогистикаМерча</f>
        <v/>
      </c>
      <c r="BP134" s="5">
        <f>BP132*ЛогистикаМерча</f>
        <v/>
      </c>
      <c r="BQ134" s="5">
        <f>BQ132*ЛогистикаМерча</f>
        <v/>
      </c>
      <c r="BR134" s="5">
        <f>BR132*ЛогистикаМерча</f>
        <v/>
      </c>
      <c r="BS134" s="5">
        <f>BS132*ЛогистикаМерча</f>
        <v/>
      </c>
      <c r="BT134" s="5">
        <f>BT132*ЛогистикаМерча</f>
        <v/>
      </c>
      <c r="BU134" s="5">
        <f>BU132*ЛогистикаМерча</f>
        <v/>
      </c>
      <c r="BV134" s="5">
        <f>BV132*ЛогистикаМерча</f>
        <v/>
      </c>
      <c r="BW134" s="5">
        <f>BW132*ЛогистикаМерча</f>
        <v/>
      </c>
      <c r="BX134" s="5">
        <f>BX132*ЛогистикаМерча</f>
        <v/>
      </c>
      <c r="BY134" s="5">
        <f>BY132*ЛогистикаМерча</f>
        <v/>
      </c>
    </row>
    <row r="135">
      <c r="B135" s="7" t="inlineStr">
        <is>
          <t>Прибыль мерча до доли ФК</t>
        </is>
      </c>
      <c r="C135" s="7" t="inlineStr">
        <is>
          <t>₽</t>
        </is>
      </c>
      <c r="D135" s="130" t="inlineStr">
        <is>
          <t>Ниже нуля не опускается: делить убыток с клубом нечем</t>
        </is>
      </c>
      <c r="E135" s="131">
        <f>SUM(L135:W135)</f>
        <v/>
      </c>
      <c r="F135" s="131">
        <f>SUM(X135:AI135)</f>
        <v/>
      </c>
      <c r="G135" s="131">
        <f>SUM(AJ135:AU135)</f>
        <v/>
      </c>
      <c r="H135" s="131">
        <f>SUM(AV135:BG135)</f>
        <v/>
      </c>
      <c r="I135" s="131">
        <f>SUM(BH135:BS135)</f>
        <v/>
      </c>
      <c r="J135" s="10">
        <f>SUM(L135:BS135)</f>
        <v/>
      </c>
      <c r="L135" s="9">
        <f>MAX(0,L132-L133-L134)</f>
        <v/>
      </c>
      <c r="M135" s="9">
        <f>MAX(0,M132-M133-M134)</f>
        <v/>
      </c>
      <c r="N135" s="9">
        <f>MAX(0,N132-N133-N134)</f>
        <v/>
      </c>
      <c r="O135" s="9">
        <f>MAX(0,O132-O133-O134)</f>
        <v/>
      </c>
      <c r="P135" s="9">
        <f>MAX(0,P132-P133-P134)</f>
        <v/>
      </c>
      <c r="Q135" s="9">
        <f>MAX(0,Q132-Q133-Q134)</f>
        <v/>
      </c>
      <c r="R135" s="9">
        <f>MAX(0,R132-R133-R134)</f>
        <v/>
      </c>
      <c r="S135" s="9">
        <f>MAX(0,S132-S133-S134)</f>
        <v/>
      </c>
      <c r="T135" s="9">
        <f>MAX(0,T132-T133-T134)</f>
        <v/>
      </c>
      <c r="U135" s="9">
        <f>MAX(0,U132-U133-U134)</f>
        <v/>
      </c>
      <c r="V135" s="9">
        <f>MAX(0,V132-V133-V134)</f>
        <v/>
      </c>
      <c r="W135" s="9">
        <f>MAX(0,W132-W133-W134)</f>
        <v/>
      </c>
      <c r="X135" s="9">
        <f>MAX(0,X132-X133-X134)</f>
        <v/>
      </c>
      <c r="Y135" s="9">
        <f>MAX(0,Y132-Y133-Y134)</f>
        <v/>
      </c>
      <c r="Z135" s="9">
        <f>MAX(0,Z132-Z133-Z134)</f>
        <v/>
      </c>
      <c r="AA135" s="9">
        <f>MAX(0,AA132-AA133-AA134)</f>
        <v/>
      </c>
      <c r="AB135" s="9">
        <f>MAX(0,AB132-AB133-AB134)</f>
        <v/>
      </c>
      <c r="AC135" s="9">
        <f>MAX(0,AC132-AC133-AC134)</f>
        <v/>
      </c>
      <c r="AD135" s="9">
        <f>MAX(0,AD132-AD133-AD134)</f>
        <v/>
      </c>
      <c r="AE135" s="9">
        <f>MAX(0,AE132-AE133-AE134)</f>
        <v/>
      </c>
      <c r="AF135" s="9">
        <f>MAX(0,AF132-AF133-AF134)</f>
        <v/>
      </c>
      <c r="AG135" s="9">
        <f>MAX(0,AG132-AG133-AG134)</f>
        <v/>
      </c>
      <c r="AH135" s="9">
        <f>MAX(0,AH132-AH133-AH134)</f>
        <v/>
      </c>
      <c r="AI135" s="9">
        <f>MAX(0,AI132-AI133-AI134)</f>
        <v/>
      </c>
      <c r="AJ135" s="9">
        <f>MAX(0,AJ132-AJ133-AJ134)</f>
        <v/>
      </c>
      <c r="AK135" s="9">
        <f>MAX(0,AK132-AK133-AK134)</f>
        <v/>
      </c>
      <c r="AL135" s="9">
        <f>MAX(0,AL132-AL133-AL134)</f>
        <v/>
      </c>
      <c r="AM135" s="9">
        <f>MAX(0,AM132-AM133-AM134)</f>
        <v/>
      </c>
      <c r="AN135" s="9">
        <f>MAX(0,AN132-AN133-AN134)</f>
        <v/>
      </c>
      <c r="AO135" s="9">
        <f>MAX(0,AO132-AO133-AO134)</f>
        <v/>
      </c>
      <c r="AP135" s="9">
        <f>MAX(0,AP132-AP133-AP134)</f>
        <v/>
      </c>
      <c r="AQ135" s="9">
        <f>MAX(0,AQ132-AQ133-AQ134)</f>
        <v/>
      </c>
      <c r="AR135" s="9">
        <f>MAX(0,AR132-AR133-AR134)</f>
        <v/>
      </c>
      <c r="AS135" s="9">
        <f>MAX(0,AS132-AS133-AS134)</f>
        <v/>
      </c>
      <c r="AT135" s="9">
        <f>MAX(0,AT132-AT133-AT134)</f>
        <v/>
      </c>
      <c r="AU135" s="9">
        <f>MAX(0,AU132-AU133-AU134)</f>
        <v/>
      </c>
      <c r="AV135" s="9">
        <f>MAX(0,AV132-AV133-AV134)</f>
        <v/>
      </c>
      <c r="AW135" s="9">
        <f>MAX(0,AW132-AW133-AW134)</f>
        <v/>
      </c>
      <c r="AX135" s="9">
        <f>MAX(0,AX132-AX133-AX134)</f>
        <v/>
      </c>
      <c r="AY135" s="9">
        <f>MAX(0,AY132-AY133-AY134)</f>
        <v/>
      </c>
      <c r="AZ135" s="9">
        <f>MAX(0,AZ132-AZ133-AZ134)</f>
        <v/>
      </c>
      <c r="BA135" s="9">
        <f>MAX(0,BA132-BA133-BA134)</f>
        <v/>
      </c>
      <c r="BB135" s="9">
        <f>MAX(0,BB132-BB133-BB134)</f>
        <v/>
      </c>
      <c r="BC135" s="9">
        <f>MAX(0,BC132-BC133-BC134)</f>
        <v/>
      </c>
      <c r="BD135" s="9">
        <f>MAX(0,BD132-BD133-BD134)</f>
        <v/>
      </c>
      <c r="BE135" s="9">
        <f>MAX(0,BE132-BE133-BE134)</f>
        <v/>
      </c>
      <c r="BF135" s="9">
        <f>MAX(0,BF132-BF133-BF134)</f>
        <v/>
      </c>
      <c r="BG135" s="9">
        <f>MAX(0,BG132-BG133-BG134)</f>
        <v/>
      </c>
      <c r="BH135" s="9">
        <f>MAX(0,BH132-BH133-BH134)</f>
        <v/>
      </c>
      <c r="BI135" s="9">
        <f>MAX(0,BI132-BI133-BI134)</f>
        <v/>
      </c>
      <c r="BJ135" s="9">
        <f>MAX(0,BJ132-BJ133-BJ134)</f>
        <v/>
      </c>
      <c r="BK135" s="9">
        <f>MAX(0,BK132-BK133-BK134)</f>
        <v/>
      </c>
      <c r="BL135" s="9">
        <f>MAX(0,BL132-BL133-BL134)</f>
        <v/>
      </c>
      <c r="BM135" s="9">
        <f>MAX(0,BM132-BM133-BM134)</f>
        <v/>
      </c>
      <c r="BN135" s="9">
        <f>MAX(0,BN132-BN133-BN134)</f>
        <v/>
      </c>
      <c r="BO135" s="9">
        <f>MAX(0,BO132-BO133-BO134)</f>
        <v/>
      </c>
      <c r="BP135" s="9">
        <f>MAX(0,BP132-BP133-BP134)</f>
        <v/>
      </c>
      <c r="BQ135" s="9">
        <f>MAX(0,BQ132-BQ133-BQ134)</f>
        <v/>
      </c>
      <c r="BR135" s="9">
        <f>MAX(0,BR132-BR133-BR134)</f>
        <v/>
      </c>
      <c r="BS135" s="9">
        <f>MAX(0,BS132-BS133-BS134)</f>
        <v/>
      </c>
      <c r="BT135" s="9">
        <f>MAX(0,BT132-BT133-BT134)</f>
        <v/>
      </c>
      <c r="BU135" s="9">
        <f>MAX(0,BU132-BU133-BU134)</f>
        <v/>
      </c>
      <c r="BV135" s="9">
        <f>MAX(0,BV132-BV133-BV134)</f>
        <v/>
      </c>
      <c r="BW135" s="9">
        <f>MAX(0,BW132-BW133-BW134)</f>
        <v/>
      </c>
      <c r="BX135" s="9">
        <f>MAX(0,BX132-BX133-BX134)</f>
        <v/>
      </c>
      <c r="BY135" s="9">
        <f>MAX(0,BY132-BY133-BY134)</f>
        <v/>
      </c>
    </row>
  </sheetData>
  <mergeCells count="9">
    <mergeCell ref="B4:B5"/>
    <mergeCell ref="C4:C5"/>
    <mergeCell ref="F4:F5"/>
    <mergeCell ref="E4:E5"/>
    <mergeCell ref="D4:D5"/>
    <mergeCell ref="G4:G5"/>
    <mergeCell ref="H4:H5"/>
    <mergeCell ref="I4:I5"/>
    <mergeCell ref="J4:J5"/>
  </mergeCells>
  <printOptions horizontalCentered="0"/>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B1:BY50"/>
  <sheetViews>
    <sheetView showGridLines="0" workbookViewId="0">
      <pane xSplit="11" ySplit="5" topLeftCell="L6"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22" t="inlineStr">
        <is>
          <t>Расходы: ФОТ, операционные, выплаты клубу</t>
        </is>
      </c>
    </row>
    <row r="2">
      <c r="B2" s="2" t="inlineStr">
        <is>
          <t>Расшифровка к «Результату». Оклады индексируются раз в год, премии привязаны к продажам и числу партнёров.</t>
        </is>
      </c>
    </row>
    <row r="4" ht="26" customHeight="1">
      <c r="B4" s="123" t="inlineStr">
        <is>
          <t>Показатель</t>
        </is>
      </c>
      <c r="C4" s="123" t="inlineStr">
        <is>
          <t>Ед.</t>
        </is>
      </c>
      <c r="D4" s="123" t="inlineStr">
        <is>
          <t>Как считается</t>
        </is>
      </c>
      <c r="E4" s="123" t="inlineStr">
        <is>
          <t>Год 1</t>
        </is>
      </c>
      <c r="F4" s="123" t="inlineStr">
        <is>
          <t>Год 2</t>
        </is>
      </c>
      <c r="G4" s="123" t="inlineStr">
        <is>
          <t>Год 3</t>
        </is>
      </c>
      <c r="H4" s="123" t="inlineStr">
        <is>
          <t>Год 4</t>
        </is>
      </c>
      <c r="I4" s="123" t="inlineStr">
        <is>
          <t>Год 5</t>
        </is>
      </c>
      <c r="J4" s="123" t="inlineStr">
        <is>
          <t>Итого 5 лет</t>
        </is>
      </c>
      <c r="K4" s="123" t="n"/>
      <c r="L4" s="123" t="inlineStr">
        <is>
          <t>М1</t>
        </is>
      </c>
      <c r="M4" s="123" t="inlineStr">
        <is>
          <t>М2</t>
        </is>
      </c>
      <c r="N4" s="123" t="inlineStr">
        <is>
          <t>М3</t>
        </is>
      </c>
      <c r="O4" s="123" t="inlineStr">
        <is>
          <t>М4</t>
        </is>
      </c>
      <c r="P4" s="123" t="inlineStr">
        <is>
          <t>М5</t>
        </is>
      </c>
      <c r="Q4" s="123" t="inlineStr">
        <is>
          <t>М6</t>
        </is>
      </c>
      <c r="R4" s="123" t="inlineStr">
        <is>
          <t>М7</t>
        </is>
      </c>
      <c r="S4" s="123" t="inlineStr">
        <is>
          <t>М8</t>
        </is>
      </c>
      <c r="T4" s="123" t="inlineStr">
        <is>
          <t>М9</t>
        </is>
      </c>
      <c r="U4" s="123" t="inlineStr">
        <is>
          <t>М10</t>
        </is>
      </c>
      <c r="V4" s="123" t="inlineStr">
        <is>
          <t>М11</t>
        </is>
      </c>
      <c r="W4" s="123" t="inlineStr">
        <is>
          <t>М12</t>
        </is>
      </c>
      <c r="X4" s="123" t="inlineStr">
        <is>
          <t>М13</t>
        </is>
      </c>
      <c r="Y4" s="123" t="inlineStr">
        <is>
          <t>М14</t>
        </is>
      </c>
      <c r="Z4" s="123" t="inlineStr">
        <is>
          <t>М15</t>
        </is>
      </c>
      <c r="AA4" s="123" t="inlineStr">
        <is>
          <t>М16</t>
        </is>
      </c>
      <c r="AB4" s="123" t="inlineStr">
        <is>
          <t>М17</t>
        </is>
      </c>
      <c r="AC4" s="123" t="inlineStr">
        <is>
          <t>М18</t>
        </is>
      </c>
      <c r="AD4" s="123" t="inlineStr">
        <is>
          <t>М19</t>
        </is>
      </c>
      <c r="AE4" s="123" t="inlineStr">
        <is>
          <t>М20</t>
        </is>
      </c>
      <c r="AF4" s="123" t="inlineStr">
        <is>
          <t>М21</t>
        </is>
      </c>
      <c r="AG4" s="123" t="inlineStr">
        <is>
          <t>М22</t>
        </is>
      </c>
      <c r="AH4" s="123" t="inlineStr">
        <is>
          <t>М23</t>
        </is>
      </c>
      <c r="AI4" s="123" t="inlineStr">
        <is>
          <t>М24</t>
        </is>
      </c>
      <c r="AJ4" s="123" t="inlineStr">
        <is>
          <t>М25</t>
        </is>
      </c>
      <c r="AK4" s="123" t="inlineStr">
        <is>
          <t>М26</t>
        </is>
      </c>
      <c r="AL4" s="123" t="inlineStr">
        <is>
          <t>М27</t>
        </is>
      </c>
      <c r="AM4" s="123" t="inlineStr">
        <is>
          <t>М28</t>
        </is>
      </c>
      <c r="AN4" s="123" t="inlineStr">
        <is>
          <t>М29</t>
        </is>
      </c>
      <c r="AO4" s="123" t="inlineStr">
        <is>
          <t>М30</t>
        </is>
      </c>
      <c r="AP4" s="123" t="inlineStr">
        <is>
          <t>М31</t>
        </is>
      </c>
      <c r="AQ4" s="123" t="inlineStr">
        <is>
          <t>М32</t>
        </is>
      </c>
      <c r="AR4" s="123" t="inlineStr">
        <is>
          <t>М33</t>
        </is>
      </c>
      <c r="AS4" s="123" t="inlineStr">
        <is>
          <t>М34</t>
        </is>
      </c>
      <c r="AT4" s="123" t="inlineStr">
        <is>
          <t>М35</t>
        </is>
      </c>
      <c r="AU4" s="123" t="inlineStr">
        <is>
          <t>М36</t>
        </is>
      </c>
      <c r="AV4" s="123" t="inlineStr">
        <is>
          <t>М37</t>
        </is>
      </c>
      <c r="AW4" s="123" t="inlineStr">
        <is>
          <t>М38</t>
        </is>
      </c>
      <c r="AX4" s="123" t="inlineStr">
        <is>
          <t>М39</t>
        </is>
      </c>
      <c r="AY4" s="123" t="inlineStr">
        <is>
          <t>М40</t>
        </is>
      </c>
      <c r="AZ4" s="123" t="inlineStr">
        <is>
          <t>М41</t>
        </is>
      </c>
      <c r="BA4" s="123" t="inlineStr">
        <is>
          <t>М42</t>
        </is>
      </c>
      <c r="BB4" s="123" t="inlineStr">
        <is>
          <t>М43</t>
        </is>
      </c>
      <c r="BC4" s="123" t="inlineStr">
        <is>
          <t>М44</t>
        </is>
      </c>
      <c r="BD4" s="123" t="inlineStr">
        <is>
          <t>М45</t>
        </is>
      </c>
      <c r="BE4" s="123" t="inlineStr">
        <is>
          <t>М46</t>
        </is>
      </c>
      <c r="BF4" s="123" t="inlineStr">
        <is>
          <t>М47</t>
        </is>
      </c>
      <c r="BG4" s="123" t="inlineStr">
        <is>
          <t>М48</t>
        </is>
      </c>
      <c r="BH4" s="123" t="inlineStr">
        <is>
          <t>М49</t>
        </is>
      </c>
      <c r="BI4" s="123" t="inlineStr">
        <is>
          <t>М50</t>
        </is>
      </c>
      <c r="BJ4" s="123" t="inlineStr">
        <is>
          <t>М51</t>
        </is>
      </c>
      <c r="BK4" s="123" t="inlineStr">
        <is>
          <t>М52</t>
        </is>
      </c>
      <c r="BL4" s="123" t="inlineStr">
        <is>
          <t>М53</t>
        </is>
      </c>
      <c r="BM4" s="123" t="inlineStr">
        <is>
          <t>М54</t>
        </is>
      </c>
      <c r="BN4" s="123" t="inlineStr">
        <is>
          <t>М55</t>
        </is>
      </c>
      <c r="BO4" s="123" t="inlineStr">
        <is>
          <t>М56</t>
        </is>
      </c>
      <c r="BP4" s="123" t="inlineStr">
        <is>
          <t>М57</t>
        </is>
      </c>
      <c r="BQ4" s="123" t="inlineStr">
        <is>
          <t>М58</t>
        </is>
      </c>
      <c r="BR4" s="123" t="inlineStr">
        <is>
          <t>М59</t>
        </is>
      </c>
      <c r="BS4" s="123" t="inlineStr">
        <is>
          <t>М60</t>
        </is>
      </c>
      <c r="BT4" s="123" t="inlineStr">
        <is>
          <t>тех. 1</t>
        </is>
      </c>
      <c r="BU4" s="123" t="inlineStr">
        <is>
          <t>тех. 2</t>
        </is>
      </c>
      <c r="BV4" s="123" t="inlineStr">
        <is>
          <t>тех. 3</t>
        </is>
      </c>
      <c r="BW4" s="123" t="inlineStr">
        <is>
          <t>тех. 4</t>
        </is>
      </c>
      <c r="BX4" s="123" t="inlineStr">
        <is>
          <t>тех. 5</t>
        </is>
      </c>
      <c r="BY4" s="123" t="inlineStr">
        <is>
          <t>тех. 6</t>
        </is>
      </c>
    </row>
    <row r="5" ht="16" customHeight="1">
      <c r="B5" s="123" t="n"/>
      <c r="C5" s="123" t="n"/>
      <c r="D5" s="123" t="n"/>
      <c r="E5" s="123" t="n"/>
      <c r="F5" s="123" t="n"/>
      <c r="G5" s="123" t="n"/>
      <c r="H5" s="123" t="n"/>
      <c r="I5" s="123" t="n"/>
      <c r="J5" s="123" t="n"/>
      <c r="K5" s="123" t="n"/>
      <c r="L5" s="124">
        <f>DATE(YEAR(СтартМодели),MONTH(СтартМодели)+1-1,1)</f>
        <v/>
      </c>
      <c r="M5" s="124">
        <f>DATE(YEAR(СтартМодели),MONTH(СтартМодели)+2-1,1)</f>
        <v/>
      </c>
      <c r="N5" s="124">
        <f>DATE(YEAR(СтартМодели),MONTH(СтартМодели)+3-1,1)</f>
        <v/>
      </c>
      <c r="O5" s="124">
        <f>DATE(YEAR(СтартМодели),MONTH(СтартМодели)+4-1,1)</f>
        <v/>
      </c>
      <c r="P5" s="124">
        <f>DATE(YEAR(СтартМодели),MONTH(СтартМодели)+5-1,1)</f>
        <v/>
      </c>
      <c r="Q5" s="124">
        <f>DATE(YEAR(СтартМодели),MONTH(СтартМодели)+6-1,1)</f>
        <v/>
      </c>
      <c r="R5" s="124">
        <f>DATE(YEAR(СтартМодели),MONTH(СтартМодели)+7-1,1)</f>
        <v/>
      </c>
      <c r="S5" s="124">
        <f>DATE(YEAR(СтартМодели),MONTH(СтартМодели)+8-1,1)</f>
        <v/>
      </c>
      <c r="T5" s="124">
        <f>DATE(YEAR(СтартМодели),MONTH(СтартМодели)+9-1,1)</f>
        <v/>
      </c>
      <c r="U5" s="124">
        <f>DATE(YEAR(СтартМодели),MONTH(СтартМодели)+10-1,1)</f>
        <v/>
      </c>
      <c r="V5" s="124">
        <f>DATE(YEAR(СтартМодели),MONTH(СтартМодели)+11-1,1)</f>
        <v/>
      </c>
      <c r="W5" s="124">
        <f>DATE(YEAR(СтартМодели),MONTH(СтартМодели)+12-1,1)</f>
        <v/>
      </c>
      <c r="X5" s="124">
        <f>DATE(YEAR(СтартМодели),MONTH(СтартМодели)+13-1,1)</f>
        <v/>
      </c>
      <c r="Y5" s="124">
        <f>DATE(YEAR(СтартМодели),MONTH(СтартМодели)+14-1,1)</f>
        <v/>
      </c>
      <c r="Z5" s="124">
        <f>DATE(YEAR(СтартМодели),MONTH(СтартМодели)+15-1,1)</f>
        <v/>
      </c>
      <c r="AA5" s="124">
        <f>DATE(YEAR(СтартМодели),MONTH(СтартМодели)+16-1,1)</f>
        <v/>
      </c>
      <c r="AB5" s="124">
        <f>DATE(YEAR(СтартМодели),MONTH(СтартМодели)+17-1,1)</f>
        <v/>
      </c>
      <c r="AC5" s="124">
        <f>DATE(YEAR(СтартМодели),MONTH(СтартМодели)+18-1,1)</f>
        <v/>
      </c>
      <c r="AD5" s="124">
        <f>DATE(YEAR(СтартМодели),MONTH(СтартМодели)+19-1,1)</f>
        <v/>
      </c>
      <c r="AE5" s="124">
        <f>DATE(YEAR(СтартМодели),MONTH(СтартМодели)+20-1,1)</f>
        <v/>
      </c>
      <c r="AF5" s="124">
        <f>DATE(YEAR(СтартМодели),MONTH(СтартМодели)+21-1,1)</f>
        <v/>
      </c>
      <c r="AG5" s="124">
        <f>DATE(YEAR(СтартМодели),MONTH(СтартМодели)+22-1,1)</f>
        <v/>
      </c>
      <c r="AH5" s="124">
        <f>DATE(YEAR(СтартМодели),MONTH(СтартМодели)+23-1,1)</f>
        <v/>
      </c>
      <c r="AI5" s="124">
        <f>DATE(YEAR(СтартМодели),MONTH(СтартМодели)+24-1,1)</f>
        <v/>
      </c>
      <c r="AJ5" s="124">
        <f>DATE(YEAR(СтартМодели),MONTH(СтартМодели)+25-1,1)</f>
        <v/>
      </c>
      <c r="AK5" s="124">
        <f>DATE(YEAR(СтартМодели),MONTH(СтартМодели)+26-1,1)</f>
        <v/>
      </c>
      <c r="AL5" s="124">
        <f>DATE(YEAR(СтартМодели),MONTH(СтартМодели)+27-1,1)</f>
        <v/>
      </c>
      <c r="AM5" s="124">
        <f>DATE(YEAR(СтартМодели),MONTH(СтартМодели)+28-1,1)</f>
        <v/>
      </c>
      <c r="AN5" s="124">
        <f>DATE(YEAR(СтартМодели),MONTH(СтартМодели)+29-1,1)</f>
        <v/>
      </c>
      <c r="AO5" s="124">
        <f>DATE(YEAR(СтартМодели),MONTH(СтартМодели)+30-1,1)</f>
        <v/>
      </c>
      <c r="AP5" s="124">
        <f>DATE(YEAR(СтартМодели),MONTH(СтартМодели)+31-1,1)</f>
        <v/>
      </c>
      <c r="AQ5" s="124">
        <f>DATE(YEAR(СтартМодели),MONTH(СтартМодели)+32-1,1)</f>
        <v/>
      </c>
      <c r="AR5" s="124">
        <f>DATE(YEAR(СтартМодели),MONTH(СтартМодели)+33-1,1)</f>
        <v/>
      </c>
      <c r="AS5" s="124">
        <f>DATE(YEAR(СтартМодели),MONTH(СтартМодели)+34-1,1)</f>
        <v/>
      </c>
      <c r="AT5" s="124">
        <f>DATE(YEAR(СтартМодели),MONTH(СтартМодели)+35-1,1)</f>
        <v/>
      </c>
      <c r="AU5" s="124">
        <f>DATE(YEAR(СтартМодели),MONTH(СтартМодели)+36-1,1)</f>
        <v/>
      </c>
      <c r="AV5" s="124">
        <f>DATE(YEAR(СтартМодели),MONTH(СтартМодели)+37-1,1)</f>
        <v/>
      </c>
      <c r="AW5" s="124">
        <f>DATE(YEAR(СтартМодели),MONTH(СтартМодели)+38-1,1)</f>
        <v/>
      </c>
      <c r="AX5" s="124">
        <f>DATE(YEAR(СтартМодели),MONTH(СтартМодели)+39-1,1)</f>
        <v/>
      </c>
      <c r="AY5" s="124">
        <f>DATE(YEAR(СтартМодели),MONTH(СтартМодели)+40-1,1)</f>
        <v/>
      </c>
      <c r="AZ5" s="124">
        <f>DATE(YEAR(СтартМодели),MONTH(СтартМодели)+41-1,1)</f>
        <v/>
      </c>
      <c r="BA5" s="124">
        <f>DATE(YEAR(СтартМодели),MONTH(СтартМодели)+42-1,1)</f>
        <v/>
      </c>
      <c r="BB5" s="124">
        <f>DATE(YEAR(СтартМодели),MONTH(СтартМодели)+43-1,1)</f>
        <v/>
      </c>
      <c r="BC5" s="124">
        <f>DATE(YEAR(СтартМодели),MONTH(СтартМодели)+44-1,1)</f>
        <v/>
      </c>
      <c r="BD5" s="124">
        <f>DATE(YEAR(СтартМодели),MONTH(СтартМодели)+45-1,1)</f>
        <v/>
      </c>
      <c r="BE5" s="124">
        <f>DATE(YEAR(СтартМодели),MONTH(СтартМодели)+46-1,1)</f>
        <v/>
      </c>
      <c r="BF5" s="124">
        <f>DATE(YEAR(СтартМодели),MONTH(СтартМодели)+47-1,1)</f>
        <v/>
      </c>
      <c r="BG5" s="124">
        <f>DATE(YEAR(СтартМодели),MONTH(СтартМодели)+48-1,1)</f>
        <v/>
      </c>
      <c r="BH5" s="124">
        <f>DATE(YEAR(СтартМодели),MONTH(СтартМодели)+49-1,1)</f>
        <v/>
      </c>
      <c r="BI5" s="124">
        <f>DATE(YEAR(СтартМодели),MONTH(СтартМодели)+50-1,1)</f>
        <v/>
      </c>
      <c r="BJ5" s="124">
        <f>DATE(YEAR(СтартМодели),MONTH(СтартМодели)+51-1,1)</f>
        <v/>
      </c>
      <c r="BK5" s="124">
        <f>DATE(YEAR(СтартМодели),MONTH(СтартМодели)+52-1,1)</f>
        <v/>
      </c>
      <c r="BL5" s="124">
        <f>DATE(YEAR(СтартМодели),MONTH(СтартМодели)+53-1,1)</f>
        <v/>
      </c>
      <c r="BM5" s="124">
        <f>DATE(YEAR(СтартМодели),MONTH(СтартМодели)+54-1,1)</f>
        <v/>
      </c>
      <c r="BN5" s="124">
        <f>DATE(YEAR(СтартМодели),MONTH(СтартМодели)+55-1,1)</f>
        <v/>
      </c>
      <c r="BO5" s="124">
        <f>DATE(YEAR(СтартМодели),MONTH(СтартМодели)+56-1,1)</f>
        <v/>
      </c>
      <c r="BP5" s="124">
        <f>DATE(YEAR(СтартМодели),MONTH(СтартМодели)+57-1,1)</f>
        <v/>
      </c>
      <c r="BQ5" s="124">
        <f>DATE(YEAR(СтартМодели),MONTH(СтартМодели)+58-1,1)</f>
        <v/>
      </c>
      <c r="BR5" s="124">
        <f>DATE(YEAR(СтартМодели),MONTH(СтартМодели)+59-1,1)</f>
        <v/>
      </c>
      <c r="BS5" s="124">
        <f>DATE(YEAR(СтартМодели),MONTH(СтартМодели)+60-1,1)</f>
        <v/>
      </c>
      <c r="BT5" s="124">
        <f>DATE(YEAR(СтартМодели),MONTH(СтартМодели)+61-1,1)</f>
        <v/>
      </c>
      <c r="BU5" s="124">
        <f>DATE(YEAR(СтартМодели),MONTH(СтартМодели)+62-1,1)</f>
        <v/>
      </c>
      <c r="BV5" s="124">
        <f>DATE(YEAR(СтартМодели),MONTH(СтартМодели)+63-1,1)</f>
        <v/>
      </c>
      <c r="BW5" s="124">
        <f>DATE(YEAR(СтартМодели),MONTH(СтартМодели)+64-1,1)</f>
        <v/>
      </c>
      <c r="BX5" s="124">
        <f>DATE(YEAR(СтартМодели),MONTH(СтартМодели)+65-1,1)</f>
        <v/>
      </c>
      <c r="BY5" s="124">
        <f>DATE(YEAR(СтартМодели),MONTH(СтартМодели)+66-1,1)</f>
        <v/>
      </c>
    </row>
    <row r="6">
      <c r="B6" s="125" t="inlineStr">
        <is>
          <t>Оклады</t>
        </is>
      </c>
      <c r="C6" s="126" t="n"/>
      <c r="D6" s="126" t="n"/>
      <c r="E6" s="126" t="n"/>
      <c r="F6" s="126" t="n"/>
      <c r="G6" s="126" t="n"/>
      <c r="H6" s="126" t="n"/>
      <c r="I6" s="126" t="n"/>
      <c r="J6" s="126" t="n"/>
      <c r="K6" s="126" t="n"/>
      <c r="L6" s="126" t="n"/>
      <c r="M6" s="126" t="n"/>
      <c r="N6" s="126" t="n"/>
      <c r="O6" s="126" t="n"/>
      <c r="P6" s="126" t="n"/>
      <c r="Q6" s="126" t="n"/>
      <c r="R6" s="126" t="n"/>
      <c r="S6" s="126" t="n"/>
      <c r="T6" s="126" t="n"/>
      <c r="U6" s="126" t="n"/>
      <c r="V6" s="126" t="n"/>
      <c r="W6" s="126" t="n"/>
      <c r="X6" s="126" t="n"/>
      <c r="Y6" s="126" t="n"/>
      <c r="Z6" s="126" t="n"/>
      <c r="AA6" s="126" t="n"/>
      <c r="AB6" s="126" t="n"/>
      <c r="AC6" s="126" t="n"/>
      <c r="AD6" s="126" t="n"/>
      <c r="AE6" s="126" t="n"/>
      <c r="AF6" s="126" t="n"/>
      <c r="AG6" s="126" t="n"/>
      <c r="AH6" s="126" t="n"/>
      <c r="AI6" s="126" t="n"/>
      <c r="AJ6" s="126" t="n"/>
      <c r="AK6" s="126" t="n"/>
      <c r="AL6" s="126" t="n"/>
      <c r="AM6" s="126" t="n"/>
      <c r="AN6" s="126" t="n"/>
      <c r="AO6" s="126" t="n"/>
      <c r="AP6" s="126" t="n"/>
      <c r="AQ6" s="126" t="n"/>
      <c r="AR6" s="126" t="n"/>
      <c r="AS6" s="126" t="n"/>
      <c r="AT6" s="126" t="n"/>
      <c r="AU6" s="126" t="n"/>
      <c r="AV6" s="126" t="n"/>
      <c r="AW6" s="126" t="n"/>
      <c r="AX6" s="126" t="n"/>
      <c r="AY6" s="126" t="n"/>
      <c r="AZ6" s="126" t="n"/>
      <c r="BA6" s="126" t="n"/>
      <c r="BB6" s="126" t="n"/>
      <c r="BC6" s="126" t="n"/>
      <c r="BD6" s="126" t="n"/>
      <c r="BE6" s="126" t="n"/>
      <c r="BF6" s="126" t="n"/>
      <c r="BG6" s="126" t="n"/>
      <c r="BH6" s="126" t="n"/>
      <c r="BI6" s="126" t="n"/>
      <c r="BJ6" s="126" t="n"/>
      <c r="BK6" s="126" t="n"/>
      <c r="BL6" s="126" t="n"/>
      <c r="BM6" s="126" t="n"/>
      <c r="BN6" s="126" t="n"/>
      <c r="BO6" s="126" t="n"/>
      <c r="BP6" s="126" t="n"/>
      <c r="BQ6" s="126" t="n"/>
      <c r="BR6" s="126" t="n"/>
      <c r="BS6" s="126" t="n"/>
      <c r="BT6" s="126" t="n"/>
      <c r="BU6" s="126" t="n"/>
      <c r="BV6" s="126" t="n"/>
      <c r="BW6" s="126" t="n"/>
      <c r="BX6" s="126" t="n"/>
      <c r="BY6" s="126" t="n"/>
    </row>
    <row r="7">
      <c r="B7" t="inlineStr">
        <is>
          <t>Индекс окладов</t>
        </is>
      </c>
      <c r="C7" t="inlineStr">
        <is>
          <t>коэфф.</t>
        </is>
      </c>
      <c r="D7" s="127" t="inlineStr">
        <is>
          <t>Оклады индексируются каждое 1 сентября В колонках лет — значение на конец года, в «Итого» — на конец пятого года. Это остаток, а не сумма.</t>
        </is>
      </c>
      <c r="E7" s="144">
        <f>W7</f>
        <v/>
      </c>
      <c r="F7" s="144">
        <f>AI7</f>
        <v/>
      </c>
      <c r="G7" s="144">
        <f>AU7</f>
        <v/>
      </c>
      <c r="H7" s="144">
        <f>BG7</f>
        <v/>
      </c>
      <c r="I7" s="144">
        <f>BS7</f>
        <v/>
      </c>
      <c r="J7" s="145">
        <f>BS7</f>
        <v/>
      </c>
      <c r="L7" s="146">
        <f>(1+ИнфляцияЗарплат)^MAX(0,YEAR('03_Сеть'!L7)-YEAR(ДатаИндексацииЗП)+IF(MONTH('03_Сеть'!L7)&gt;=MONTH(ДатаИндексацииЗП),1,0))</f>
        <v/>
      </c>
      <c r="M7" s="146">
        <f>(1+ИнфляцияЗарплат)^MAX(0,YEAR('03_Сеть'!M7)-YEAR(ДатаИндексацииЗП)+IF(MONTH('03_Сеть'!M7)&gt;=MONTH(ДатаИндексацииЗП),1,0))</f>
        <v/>
      </c>
      <c r="N7" s="146">
        <f>(1+ИнфляцияЗарплат)^MAX(0,YEAR('03_Сеть'!N7)-YEAR(ДатаИндексацииЗП)+IF(MONTH('03_Сеть'!N7)&gt;=MONTH(ДатаИндексацииЗП),1,0))</f>
        <v/>
      </c>
      <c r="O7" s="146">
        <f>(1+ИнфляцияЗарплат)^MAX(0,YEAR('03_Сеть'!O7)-YEAR(ДатаИндексацииЗП)+IF(MONTH('03_Сеть'!O7)&gt;=MONTH(ДатаИндексацииЗП),1,0))</f>
        <v/>
      </c>
      <c r="P7" s="146">
        <f>(1+ИнфляцияЗарплат)^MAX(0,YEAR('03_Сеть'!P7)-YEAR(ДатаИндексацииЗП)+IF(MONTH('03_Сеть'!P7)&gt;=MONTH(ДатаИндексацииЗП),1,0))</f>
        <v/>
      </c>
      <c r="Q7" s="146">
        <f>(1+ИнфляцияЗарплат)^MAX(0,YEAR('03_Сеть'!Q7)-YEAR(ДатаИндексацииЗП)+IF(MONTH('03_Сеть'!Q7)&gt;=MONTH(ДатаИндексацииЗП),1,0))</f>
        <v/>
      </c>
      <c r="R7" s="146">
        <f>(1+ИнфляцияЗарплат)^MAX(0,YEAR('03_Сеть'!R7)-YEAR(ДатаИндексацииЗП)+IF(MONTH('03_Сеть'!R7)&gt;=MONTH(ДатаИндексацииЗП),1,0))</f>
        <v/>
      </c>
      <c r="S7" s="146">
        <f>(1+ИнфляцияЗарплат)^MAX(0,YEAR('03_Сеть'!S7)-YEAR(ДатаИндексацииЗП)+IF(MONTH('03_Сеть'!S7)&gt;=MONTH(ДатаИндексацииЗП),1,0))</f>
        <v/>
      </c>
      <c r="T7" s="146">
        <f>(1+ИнфляцияЗарплат)^MAX(0,YEAR('03_Сеть'!T7)-YEAR(ДатаИндексацииЗП)+IF(MONTH('03_Сеть'!T7)&gt;=MONTH(ДатаИндексацииЗП),1,0))</f>
        <v/>
      </c>
      <c r="U7" s="146">
        <f>(1+ИнфляцияЗарплат)^MAX(0,YEAR('03_Сеть'!U7)-YEAR(ДатаИндексацииЗП)+IF(MONTH('03_Сеть'!U7)&gt;=MONTH(ДатаИндексацииЗП),1,0))</f>
        <v/>
      </c>
      <c r="V7" s="146">
        <f>(1+ИнфляцияЗарплат)^MAX(0,YEAR('03_Сеть'!V7)-YEAR(ДатаИндексацииЗП)+IF(MONTH('03_Сеть'!V7)&gt;=MONTH(ДатаИндексацииЗП),1,0))</f>
        <v/>
      </c>
      <c r="W7" s="146">
        <f>(1+ИнфляцияЗарплат)^MAX(0,YEAR('03_Сеть'!W7)-YEAR(ДатаИндексацииЗП)+IF(MONTH('03_Сеть'!W7)&gt;=MONTH(ДатаИндексацииЗП),1,0))</f>
        <v/>
      </c>
      <c r="X7" s="146">
        <f>(1+ИнфляцияЗарплат)^MAX(0,YEAR('03_Сеть'!X7)-YEAR(ДатаИндексацииЗП)+IF(MONTH('03_Сеть'!X7)&gt;=MONTH(ДатаИндексацииЗП),1,0))</f>
        <v/>
      </c>
      <c r="Y7" s="146">
        <f>(1+ИнфляцияЗарплат)^MAX(0,YEAR('03_Сеть'!Y7)-YEAR(ДатаИндексацииЗП)+IF(MONTH('03_Сеть'!Y7)&gt;=MONTH(ДатаИндексацииЗП),1,0))</f>
        <v/>
      </c>
      <c r="Z7" s="146">
        <f>(1+ИнфляцияЗарплат)^MAX(0,YEAR('03_Сеть'!Z7)-YEAR(ДатаИндексацииЗП)+IF(MONTH('03_Сеть'!Z7)&gt;=MONTH(ДатаИндексацииЗП),1,0))</f>
        <v/>
      </c>
      <c r="AA7" s="146">
        <f>(1+ИнфляцияЗарплат)^MAX(0,YEAR('03_Сеть'!AA7)-YEAR(ДатаИндексацииЗП)+IF(MONTH('03_Сеть'!AA7)&gt;=MONTH(ДатаИндексацииЗП),1,0))</f>
        <v/>
      </c>
      <c r="AB7" s="146">
        <f>(1+ИнфляцияЗарплат)^MAX(0,YEAR('03_Сеть'!AB7)-YEAR(ДатаИндексацииЗП)+IF(MONTH('03_Сеть'!AB7)&gt;=MONTH(ДатаИндексацииЗП),1,0))</f>
        <v/>
      </c>
      <c r="AC7" s="146">
        <f>(1+ИнфляцияЗарплат)^MAX(0,YEAR('03_Сеть'!AC7)-YEAR(ДатаИндексацииЗП)+IF(MONTH('03_Сеть'!AC7)&gt;=MONTH(ДатаИндексацииЗП),1,0))</f>
        <v/>
      </c>
      <c r="AD7" s="146">
        <f>(1+ИнфляцияЗарплат)^MAX(0,YEAR('03_Сеть'!AD7)-YEAR(ДатаИндексацииЗП)+IF(MONTH('03_Сеть'!AD7)&gt;=MONTH(ДатаИндексацииЗП),1,0))</f>
        <v/>
      </c>
      <c r="AE7" s="146">
        <f>(1+ИнфляцияЗарплат)^MAX(0,YEAR('03_Сеть'!AE7)-YEAR(ДатаИндексацииЗП)+IF(MONTH('03_Сеть'!AE7)&gt;=MONTH(ДатаИндексацииЗП),1,0))</f>
        <v/>
      </c>
      <c r="AF7" s="146">
        <f>(1+ИнфляцияЗарплат)^MAX(0,YEAR('03_Сеть'!AF7)-YEAR(ДатаИндексацииЗП)+IF(MONTH('03_Сеть'!AF7)&gt;=MONTH(ДатаИндексацииЗП),1,0))</f>
        <v/>
      </c>
      <c r="AG7" s="146">
        <f>(1+ИнфляцияЗарплат)^MAX(0,YEAR('03_Сеть'!AG7)-YEAR(ДатаИндексацииЗП)+IF(MONTH('03_Сеть'!AG7)&gt;=MONTH(ДатаИндексацииЗП),1,0))</f>
        <v/>
      </c>
      <c r="AH7" s="146">
        <f>(1+ИнфляцияЗарплат)^MAX(0,YEAR('03_Сеть'!AH7)-YEAR(ДатаИндексацииЗП)+IF(MONTH('03_Сеть'!AH7)&gt;=MONTH(ДатаИндексацииЗП),1,0))</f>
        <v/>
      </c>
      <c r="AI7" s="146">
        <f>(1+ИнфляцияЗарплат)^MAX(0,YEAR('03_Сеть'!AI7)-YEAR(ДатаИндексацииЗП)+IF(MONTH('03_Сеть'!AI7)&gt;=MONTH(ДатаИндексацииЗП),1,0))</f>
        <v/>
      </c>
      <c r="AJ7" s="146">
        <f>(1+ИнфляцияЗарплат)^MAX(0,YEAR('03_Сеть'!AJ7)-YEAR(ДатаИндексацииЗП)+IF(MONTH('03_Сеть'!AJ7)&gt;=MONTH(ДатаИндексацииЗП),1,0))</f>
        <v/>
      </c>
      <c r="AK7" s="146">
        <f>(1+ИнфляцияЗарплат)^MAX(0,YEAR('03_Сеть'!AK7)-YEAR(ДатаИндексацииЗП)+IF(MONTH('03_Сеть'!AK7)&gt;=MONTH(ДатаИндексацииЗП),1,0))</f>
        <v/>
      </c>
      <c r="AL7" s="146">
        <f>(1+ИнфляцияЗарплат)^MAX(0,YEAR('03_Сеть'!AL7)-YEAR(ДатаИндексацииЗП)+IF(MONTH('03_Сеть'!AL7)&gt;=MONTH(ДатаИндексацииЗП),1,0))</f>
        <v/>
      </c>
      <c r="AM7" s="146">
        <f>(1+ИнфляцияЗарплат)^MAX(0,YEAR('03_Сеть'!AM7)-YEAR(ДатаИндексацииЗП)+IF(MONTH('03_Сеть'!AM7)&gt;=MONTH(ДатаИндексацииЗП),1,0))</f>
        <v/>
      </c>
      <c r="AN7" s="146">
        <f>(1+ИнфляцияЗарплат)^MAX(0,YEAR('03_Сеть'!AN7)-YEAR(ДатаИндексацииЗП)+IF(MONTH('03_Сеть'!AN7)&gt;=MONTH(ДатаИндексацииЗП),1,0))</f>
        <v/>
      </c>
      <c r="AO7" s="146">
        <f>(1+ИнфляцияЗарплат)^MAX(0,YEAR('03_Сеть'!AO7)-YEAR(ДатаИндексацииЗП)+IF(MONTH('03_Сеть'!AO7)&gt;=MONTH(ДатаИндексацииЗП),1,0))</f>
        <v/>
      </c>
      <c r="AP7" s="146">
        <f>(1+ИнфляцияЗарплат)^MAX(0,YEAR('03_Сеть'!AP7)-YEAR(ДатаИндексацииЗП)+IF(MONTH('03_Сеть'!AP7)&gt;=MONTH(ДатаИндексацииЗП),1,0))</f>
        <v/>
      </c>
      <c r="AQ7" s="146">
        <f>(1+ИнфляцияЗарплат)^MAX(0,YEAR('03_Сеть'!AQ7)-YEAR(ДатаИндексацииЗП)+IF(MONTH('03_Сеть'!AQ7)&gt;=MONTH(ДатаИндексацииЗП),1,0))</f>
        <v/>
      </c>
      <c r="AR7" s="146">
        <f>(1+ИнфляцияЗарплат)^MAX(0,YEAR('03_Сеть'!AR7)-YEAR(ДатаИндексацииЗП)+IF(MONTH('03_Сеть'!AR7)&gt;=MONTH(ДатаИндексацииЗП),1,0))</f>
        <v/>
      </c>
      <c r="AS7" s="146">
        <f>(1+ИнфляцияЗарплат)^MAX(0,YEAR('03_Сеть'!AS7)-YEAR(ДатаИндексацииЗП)+IF(MONTH('03_Сеть'!AS7)&gt;=MONTH(ДатаИндексацииЗП),1,0))</f>
        <v/>
      </c>
      <c r="AT7" s="146">
        <f>(1+ИнфляцияЗарплат)^MAX(0,YEAR('03_Сеть'!AT7)-YEAR(ДатаИндексацииЗП)+IF(MONTH('03_Сеть'!AT7)&gt;=MONTH(ДатаИндексацииЗП),1,0))</f>
        <v/>
      </c>
      <c r="AU7" s="146">
        <f>(1+ИнфляцияЗарплат)^MAX(0,YEAR('03_Сеть'!AU7)-YEAR(ДатаИндексацииЗП)+IF(MONTH('03_Сеть'!AU7)&gt;=MONTH(ДатаИндексацииЗП),1,0))</f>
        <v/>
      </c>
      <c r="AV7" s="146">
        <f>(1+ИнфляцияЗарплат)^MAX(0,YEAR('03_Сеть'!AV7)-YEAR(ДатаИндексацииЗП)+IF(MONTH('03_Сеть'!AV7)&gt;=MONTH(ДатаИндексацииЗП),1,0))</f>
        <v/>
      </c>
      <c r="AW7" s="146">
        <f>(1+ИнфляцияЗарплат)^MAX(0,YEAR('03_Сеть'!AW7)-YEAR(ДатаИндексацииЗП)+IF(MONTH('03_Сеть'!AW7)&gt;=MONTH(ДатаИндексацииЗП),1,0))</f>
        <v/>
      </c>
      <c r="AX7" s="146">
        <f>(1+ИнфляцияЗарплат)^MAX(0,YEAR('03_Сеть'!AX7)-YEAR(ДатаИндексацииЗП)+IF(MONTH('03_Сеть'!AX7)&gt;=MONTH(ДатаИндексацииЗП),1,0))</f>
        <v/>
      </c>
      <c r="AY7" s="146">
        <f>(1+ИнфляцияЗарплат)^MAX(0,YEAR('03_Сеть'!AY7)-YEAR(ДатаИндексацииЗП)+IF(MONTH('03_Сеть'!AY7)&gt;=MONTH(ДатаИндексацииЗП),1,0))</f>
        <v/>
      </c>
      <c r="AZ7" s="146">
        <f>(1+ИнфляцияЗарплат)^MAX(0,YEAR('03_Сеть'!AZ7)-YEAR(ДатаИндексацииЗП)+IF(MONTH('03_Сеть'!AZ7)&gt;=MONTH(ДатаИндексацииЗП),1,0))</f>
        <v/>
      </c>
      <c r="BA7" s="146">
        <f>(1+ИнфляцияЗарплат)^MAX(0,YEAR('03_Сеть'!BA7)-YEAR(ДатаИндексацииЗП)+IF(MONTH('03_Сеть'!BA7)&gt;=MONTH(ДатаИндексацииЗП),1,0))</f>
        <v/>
      </c>
      <c r="BB7" s="146">
        <f>(1+ИнфляцияЗарплат)^MAX(0,YEAR('03_Сеть'!BB7)-YEAR(ДатаИндексацииЗП)+IF(MONTH('03_Сеть'!BB7)&gt;=MONTH(ДатаИндексацииЗП),1,0))</f>
        <v/>
      </c>
      <c r="BC7" s="146">
        <f>(1+ИнфляцияЗарплат)^MAX(0,YEAR('03_Сеть'!BC7)-YEAR(ДатаИндексацииЗП)+IF(MONTH('03_Сеть'!BC7)&gt;=MONTH(ДатаИндексацииЗП),1,0))</f>
        <v/>
      </c>
      <c r="BD7" s="146">
        <f>(1+ИнфляцияЗарплат)^MAX(0,YEAR('03_Сеть'!BD7)-YEAR(ДатаИндексацииЗП)+IF(MONTH('03_Сеть'!BD7)&gt;=MONTH(ДатаИндексацииЗП),1,0))</f>
        <v/>
      </c>
      <c r="BE7" s="146">
        <f>(1+ИнфляцияЗарплат)^MAX(0,YEAR('03_Сеть'!BE7)-YEAR(ДатаИндексацииЗП)+IF(MONTH('03_Сеть'!BE7)&gt;=MONTH(ДатаИндексацииЗП),1,0))</f>
        <v/>
      </c>
      <c r="BF7" s="146">
        <f>(1+ИнфляцияЗарплат)^MAX(0,YEAR('03_Сеть'!BF7)-YEAR(ДатаИндексацииЗП)+IF(MONTH('03_Сеть'!BF7)&gt;=MONTH(ДатаИндексацииЗП),1,0))</f>
        <v/>
      </c>
      <c r="BG7" s="146">
        <f>(1+ИнфляцияЗарплат)^MAX(0,YEAR('03_Сеть'!BG7)-YEAR(ДатаИндексацииЗП)+IF(MONTH('03_Сеть'!BG7)&gt;=MONTH(ДатаИндексацииЗП),1,0))</f>
        <v/>
      </c>
      <c r="BH7" s="146">
        <f>(1+ИнфляцияЗарплат)^MAX(0,YEAR('03_Сеть'!BH7)-YEAR(ДатаИндексацииЗП)+IF(MONTH('03_Сеть'!BH7)&gt;=MONTH(ДатаИндексацииЗП),1,0))</f>
        <v/>
      </c>
      <c r="BI7" s="146">
        <f>(1+ИнфляцияЗарплат)^MAX(0,YEAR('03_Сеть'!BI7)-YEAR(ДатаИндексацииЗП)+IF(MONTH('03_Сеть'!BI7)&gt;=MONTH(ДатаИндексацииЗП),1,0))</f>
        <v/>
      </c>
      <c r="BJ7" s="146">
        <f>(1+ИнфляцияЗарплат)^MAX(0,YEAR('03_Сеть'!BJ7)-YEAR(ДатаИндексацииЗП)+IF(MONTH('03_Сеть'!BJ7)&gt;=MONTH(ДатаИндексацииЗП),1,0))</f>
        <v/>
      </c>
      <c r="BK7" s="146">
        <f>(1+ИнфляцияЗарплат)^MAX(0,YEAR('03_Сеть'!BK7)-YEAR(ДатаИндексацииЗП)+IF(MONTH('03_Сеть'!BK7)&gt;=MONTH(ДатаИндексацииЗП),1,0))</f>
        <v/>
      </c>
      <c r="BL7" s="146">
        <f>(1+ИнфляцияЗарплат)^MAX(0,YEAR('03_Сеть'!BL7)-YEAR(ДатаИндексацииЗП)+IF(MONTH('03_Сеть'!BL7)&gt;=MONTH(ДатаИндексацииЗП),1,0))</f>
        <v/>
      </c>
      <c r="BM7" s="146">
        <f>(1+ИнфляцияЗарплат)^MAX(0,YEAR('03_Сеть'!BM7)-YEAR(ДатаИндексацииЗП)+IF(MONTH('03_Сеть'!BM7)&gt;=MONTH(ДатаИндексацииЗП),1,0))</f>
        <v/>
      </c>
      <c r="BN7" s="146">
        <f>(1+ИнфляцияЗарплат)^MAX(0,YEAR('03_Сеть'!BN7)-YEAR(ДатаИндексацииЗП)+IF(MONTH('03_Сеть'!BN7)&gt;=MONTH(ДатаИндексацииЗП),1,0))</f>
        <v/>
      </c>
      <c r="BO7" s="146">
        <f>(1+ИнфляцияЗарплат)^MAX(0,YEAR('03_Сеть'!BO7)-YEAR(ДатаИндексацииЗП)+IF(MONTH('03_Сеть'!BO7)&gt;=MONTH(ДатаИндексацииЗП),1,0))</f>
        <v/>
      </c>
      <c r="BP7" s="146">
        <f>(1+ИнфляцияЗарплат)^MAX(0,YEAR('03_Сеть'!BP7)-YEAR(ДатаИндексацииЗП)+IF(MONTH('03_Сеть'!BP7)&gt;=MONTH(ДатаИндексацииЗП),1,0))</f>
        <v/>
      </c>
      <c r="BQ7" s="146">
        <f>(1+ИнфляцияЗарплат)^MAX(0,YEAR('03_Сеть'!BQ7)-YEAR(ДатаИндексацииЗП)+IF(MONTH('03_Сеть'!BQ7)&gt;=MONTH(ДатаИндексацииЗП),1,0))</f>
        <v/>
      </c>
      <c r="BR7" s="146">
        <f>(1+ИнфляцияЗарплат)^MAX(0,YEAR('03_Сеть'!BR7)-YEAR(ДатаИндексацииЗП)+IF(MONTH('03_Сеть'!BR7)&gt;=MONTH(ДатаИндексацииЗП),1,0))</f>
        <v/>
      </c>
      <c r="BS7" s="146">
        <f>(1+ИнфляцияЗарплат)^MAX(0,YEAR('03_Сеть'!BS7)-YEAR(ДатаИндексацииЗП)+IF(MONTH('03_Сеть'!BS7)&gt;=MONTH(ДатаИндексацииЗП),1,0))</f>
        <v/>
      </c>
      <c r="BT7" s="146">
        <f>(1+ИнфляцияЗарплат)^MAX(0,YEAR('03_Сеть'!BT7)-YEAR(ДатаИндексацииЗП)+IF(MONTH('03_Сеть'!BT7)&gt;=MONTH(ДатаИндексацииЗП),1,0))</f>
        <v/>
      </c>
      <c r="BU7" s="146">
        <f>(1+ИнфляцияЗарплат)^MAX(0,YEAR('03_Сеть'!BU7)-YEAR(ДатаИндексацииЗП)+IF(MONTH('03_Сеть'!BU7)&gt;=MONTH(ДатаИндексацииЗП),1,0))</f>
        <v/>
      </c>
      <c r="BV7" s="146">
        <f>(1+ИнфляцияЗарплат)^MAX(0,YEAR('03_Сеть'!BV7)-YEAR(ДатаИндексацииЗП)+IF(MONTH('03_Сеть'!BV7)&gt;=MONTH(ДатаИндексацииЗП),1,0))</f>
        <v/>
      </c>
      <c r="BW7" s="146">
        <f>(1+ИнфляцияЗарплат)^MAX(0,YEAR('03_Сеть'!BW7)-YEAR(ДатаИндексацииЗП)+IF(MONTH('03_Сеть'!BW7)&gt;=MONTH(ДатаИндексацииЗП),1,0))</f>
        <v/>
      </c>
      <c r="BX7" s="146">
        <f>(1+ИнфляцияЗарплат)^MAX(0,YEAR('03_Сеть'!BX7)-YEAR(ДатаИндексацииЗП)+IF(MONTH('03_Сеть'!BX7)&gt;=MONTH(ДатаИндексацииЗП),1,0))</f>
        <v/>
      </c>
      <c r="BY7" s="146">
        <f>(1+ИнфляцияЗарплат)^MAX(0,YEAR('03_Сеть'!BY7)-YEAR(ДатаИндексацииЗП)+IF(MONTH('03_Сеть'!BY7)&gt;=MONTH(ДатаИндексацииЗП),1,0))</f>
        <v/>
      </c>
    </row>
    <row r="8">
      <c r="B8" t="inlineStr">
        <is>
          <t>Повышение оклада ГД</t>
        </is>
      </c>
      <c r="C8" t="inlineStr">
        <is>
          <t>₽</t>
        </is>
      </c>
      <c r="D8" s="127" t="inlineStr">
        <is>
          <t>Прибавка генеральному директору с назначенной даты</t>
        </is>
      </c>
      <c r="E8" s="129">
        <f>SUM(L8:W8)</f>
        <v/>
      </c>
      <c r="F8" s="129">
        <f>SUM(X8:AI8)</f>
        <v/>
      </c>
      <c r="G8" s="129">
        <f>SUM(AJ8:AU8)</f>
        <v/>
      </c>
      <c r="H8" s="129">
        <f>SUM(AV8:BG8)</f>
        <v/>
      </c>
      <c r="I8" s="129">
        <f>SUM(BH8:BS8)</f>
        <v/>
      </c>
      <c r="J8" s="6">
        <f>SUM(L8:BS8)</f>
        <v/>
      </c>
      <c r="L8" s="5">
        <f>IF('03_Сеть'!L7&gt;=ДатаПовышенияГД,ПовышениеГД/NetGross*(1+ИнфляцияЗарплат)^MAX(0,YEAR('03_Сеть'!L7)-YEAR(ДатаПовышенияГД)+IF(MONTH('03_Сеть'!L7)&gt;=9,1,0)-IF(MONTH(ДатаПовышенияГД)&gt;=9,1,0)),0)</f>
        <v/>
      </c>
      <c r="M8" s="5">
        <f>IF('03_Сеть'!M7&gt;=ДатаПовышенияГД,ПовышениеГД/NetGross*(1+ИнфляцияЗарплат)^MAX(0,YEAR('03_Сеть'!M7)-YEAR(ДатаПовышенияГД)+IF(MONTH('03_Сеть'!M7)&gt;=9,1,0)-IF(MONTH(ДатаПовышенияГД)&gt;=9,1,0)),0)</f>
        <v/>
      </c>
      <c r="N8" s="5">
        <f>IF('03_Сеть'!N7&gt;=ДатаПовышенияГД,ПовышениеГД/NetGross*(1+ИнфляцияЗарплат)^MAX(0,YEAR('03_Сеть'!N7)-YEAR(ДатаПовышенияГД)+IF(MONTH('03_Сеть'!N7)&gt;=9,1,0)-IF(MONTH(ДатаПовышенияГД)&gt;=9,1,0)),0)</f>
        <v/>
      </c>
      <c r="O8" s="5">
        <f>IF('03_Сеть'!O7&gt;=ДатаПовышенияГД,ПовышениеГД/NetGross*(1+ИнфляцияЗарплат)^MAX(0,YEAR('03_Сеть'!O7)-YEAR(ДатаПовышенияГД)+IF(MONTH('03_Сеть'!O7)&gt;=9,1,0)-IF(MONTH(ДатаПовышенияГД)&gt;=9,1,0)),0)</f>
        <v/>
      </c>
      <c r="P8" s="5">
        <f>IF('03_Сеть'!P7&gt;=ДатаПовышенияГД,ПовышениеГД/NetGross*(1+ИнфляцияЗарплат)^MAX(0,YEAR('03_Сеть'!P7)-YEAR(ДатаПовышенияГД)+IF(MONTH('03_Сеть'!P7)&gt;=9,1,0)-IF(MONTH(ДатаПовышенияГД)&gt;=9,1,0)),0)</f>
        <v/>
      </c>
      <c r="Q8" s="5">
        <f>IF('03_Сеть'!Q7&gt;=ДатаПовышенияГД,ПовышениеГД/NetGross*(1+ИнфляцияЗарплат)^MAX(0,YEAR('03_Сеть'!Q7)-YEAR(ДатаПовышенияГД)+IF(MONTH('03_Сеть'!Q7)&gt;=9,1,0)-IF(MONTH(ДатаПовышенияГД)&gt;=9,1,0)),0)</f>
        <v/>
      </c>
      <c r="R8" s="5">
        <f>IF('03_Сеть'!R7&gt;=ДатаПовышенияГД,ПовышениеГД/NetGross*(1+ИнфляцияЗарплат)^MAX(0,YEAR('03_Сеть'!R7)-YEAR(ДатаПовышенияГД)+IF(MONTH('03_Сеть'!R7)&gt;=9,1,0)-IF(MONTH(ДатаПовышенияГД)&gt;=9,1,0)),0)</f>
        <v/>
      </c>
      <c r="S8" s="5">
        <f>IF('03_Сеть'!S7&gt;=ДатаПовышенияГД,ПовышениеГД/NetGross*(1+ИнфляцияЗарплат)^MAX(0,YEAR('03_Сеть'!S7)-YEAR(ДатаПовышенияГД)+IF(MONTH('03_Сеть'!S7)&gt;=9,1,0)-IF(MONTH(ДатаПовышенияГД)&gt;=9,1,0)),0)</f>
        <v/>
      </c>
      <c r="T8" s="5">
        <f>IF('03_Сеть'!T7&gt;=ДатаПовышенияГД,ПовышениеГД/NetGross*(1+ИнфляцияЗарплат)^MAX(0,YEAR('03_Сеть'!T7)-YEAR(ДатаПовышенияГД)+IF(MONTH('03_Сеть'!T7)&gt;=9,1,0)-IF(MONTH(ДатаПовышенияГД)&gt;=9,1,0)),0)</f>
        <v/>
      </c>
      <c r="U8" s="5">
        <f>IF('03_Сеть'!U7&gt;=ДатаПовышенияГД,ПовышениеГД/NetGross*(1+ИнфляцияЗарплат)^MAX(0,YEAR('03_Сеть'!U7)-YEAR(ДатаПовышенияГД)+IF(MONTH('03_Сеть'!U7)&gt;=9,1,0)-IF(MONTH(ДатаПовышенияГД)&gt;=9,1,0)),0)</f>
        <v/>
      </c>
      <c r="V8" s="5">
        <f>IF('03_Сеть'!V7&gt;=ДатаПовышенияГД,ПовышениеГД/NetGross*(1+ИнфляцияЗарплат)^MAX(0,YEAR('03_Сеть'!V7)-YEAR(ДатаПовышенияГД)+IF(MONTH('03_Сеть'!V7)&gt;=9,1,0)-IF(MONTH(ДатаПовышенияГД)&gt;=9,1,0)),0)</f>
        <v/>
      </c>
      <c r="W8" s="5">
        <f>IF('03_Сеть'!W7&gt;=ДатаПовышенияГД,ПовышениеГД/NetGross*(1+ИнфляцияЗарплат)^MAX(0,YEAR('03_Сеть'!W7)-YEAR(ДатаПовышенияГД)+IF(MONTH('03_Сеть'!W7)&gt;=9,1,0)-IF(MONTH(ДатаПовышенияГД)&gt;=9,1,0)),0)</f>
        <v/>
      </c>
      <c r="X8" s="5">
        <f>IF('03_Сеть'!X7&gt;=ДатаПовышенияГД,ПовышениеГД/NetGross*(1+ИнфляцияЗарплат)^MAX(0,YEAR('03_Сеть'!X7)-YEAR(ДатаПовышенияГД)+IF(MONTH('03_Сеть'!X7)&gt;=9,1,0)-IF(MONTH(ДатаПовышенияГД)&gt;=9,1,0)),0)</f>
        <v/>
      </c>
      <c r="Y8" s="5">
        <f>IF('03_Сеть'!Y7&gt;=ДатаПовышенияГД,ПовышениеГД/NetGross*(1+ИнфляцияЗарплат)^MAX(0,YEAR('03_Сеть'!Y7)-YEAR(ДатаПовышенияГД)+IF(MONTH('03_Сеть'!Y7)&gt;=9,1,0)-IF(MONTH(ДатаПовышенияГД)&gt;=9,1,0)),0)</f>
        <v/>
      </c>
      <c r="Z8" s="5">
        <f>IF('03_Сеть'!Z7&gt;=ДатаПовышенияГД,ПовышениеГД/NetGross*(1+ИнфляцияЗарплат)^MAX(0,YEAR('03_Сеть'!Z7)-YEAR(ДатаПовышенияГД)+IF(MONTH('03_Сеть'!Z7)&gt;=9,1,0)-IF(MONTH(ДатаПовышенияГД)&gt;=9,1,0)),0)</f>
        <v/>
      </c>
      <c r="AA8" s="5">
        <f>IF('03_Сеть'!AA7&gt;=ДатаПовышенияГД,ПовышениеГД/NetGross*(1+ИнфляцияЗарплат)^MAX(0,YEAR('03_Сеть'!AA7)-YEAR(ДатаПовышенияГД)+IF(MONTH('03_Сеть'!AA7)&gt;=9,1,0)-IF(MONTH(ДатаПовышенияГД)&gt;=9,1,0)),0)</f>
        <v/>
      </c>
      <c r="AB8" s="5">
        <f>IF('03_Сеть'!AB7&gt;=ДатаПовышенияГД,ПовышениеГД/NetGross*(1+ИнфляцияЗарплат)^MAX(0,YEAR('03_Сеть'!AB7)-YEAR(ДатаПовышенияГД)+IF(MONTH('03_Сеть'!AB7)&gt;=9,1,0)-IF(MONTH(ДатаПовышенияГД)&gt;=9,1,0)),0)</f>
        <v/>
      </c>
      <c r="AC8" s="5">
        <f>IF('03_Сеть'!AC7&gt;=ДатаПовышенияГД,ПовышениеГД/NetGross*(1+ИнфляцияЗарплат)^MAX(0,YEAR('03_Сеть'!AC7)-YEAR(ДатаПовышенияГД)+IF(MONTH('03_Сеть'!AC7)&gt;=9,1,0)-IF(MONTH(ДатаПовышенияГД)&gt;=9,1,0)),0)</f>
        <v/>
      </c>
      <c r="AD8" s="5">
        <f>IF('03_Сеть'!AD7&gt;=ДатаПовышенияГД,ПовышениеГД/NetGross*(1+ИнфляцияЗарплат)^MAX(0,YEAR('03_Сеть'!AD7)-YEAR(ДатаПовышенияГД)+IF(MONTH('03_Сеть'!AD7)&gt;=9,1,0)-IF(MONTH(ДатаПовышенияГД)&gt;=9,1,0)),0)</f>
        <v/>
      </c>
      <c r="AE8" s="5">
        <f>IF('03_Сеть'!AE7&gt;=ДатаПовышенияГД,ПовышениеГД/NetGross*(1+ИнфляцияЗарплат)^MAX(0,YEAR('03_Сеть'!AE7)-YEAR(ДатаПовышенияГД)+IF(MONTH('03_Сеть'!AE7)&gt;=9,1,0)-IF(MONTH(ДатаПовышенияГД)&gt;=9,1,0)),0)</f>
        <v/>
      </c>
      <c r="AF8" s="5">
        <f>IF('03_Сеть'!AF7&gt;=ДатаПовышенияГД,ПовышениеГД/NetGross*(1+ИнфляцияЗарплат)^MAX(0,YEAR('03_Сеть'!AF7)-YEAR(ДатаПовышенияГД)+IF(MONTH('03_Сеть'!AF7)&gt;=9,1,0)-IF(MONTH(ДатаПовышенияГД)&gt;=9,1,0)),0)</f>
        <v/>
      </c>
      <c r="AG8" s="5">
        <f>IF('03_Сеть'!AG7&gt;=ДатаПовышенияГД,ПовышениеГД/NetGross*(1+ИнфляцияЗарплат)^MAX(0,YEAR('03_Сеть'!AG7)-YEAR(ДатаПовышенияГД)+IF(MONTH('03_Сеть'!AG7)&gt;=9,1,0)-IF(MONTH(ДатаПовышенияГД)&gt;=9,1,0)),0)</f>
        <v/>
      </c>
      <c r="AH8" s="5">
        <f>IF('03_Сеть'!AH7&gt;=ДатаПовышенияГД,ПовышениеГД/NetGross*(1+ИнфляцияЗарплат)^MAX(0,YEAR('03_Сеть'!AH7)-YEAR(ДатаПовышенияГД)+IF(MONTH('03_Сеть'!AH7)&gt;=9,1,0)-IF(MONTH(ДатаПовышенияГД)&gt;=9,1,0)),0)</f>
        <v/>
      </c>
      <c r="AI8" s="5">
        <f>IF('03_Сеть'!AI7&gt;=ДатаПовышенияГД,ПовышениеГД/NetGross*(1+ИнфляцияЗарплат)^MAX(0,YEAR('03_Сеть'!AI7)-YEAR(ДатаПовышенияГД)+IF(MONTH('03_Сеть'!AI7)&gt;=9,1,0)-IF(MONTH(ДатаПовышенияГД)&gt;=9,1,0)),0)</f>
        <v/>
      </c>
      <c r="AJ8" s="5">
        <f>IF('03_Сеть'!AJ7&gt;=ДатаПовышенияГД,ПовышениеГД/NetGross*(1+ИнфляцияЗарплат)^MAX(0,YEAR('03_Сеть'!AJ7)-YEAR(ДатаПовышенияГД)+IF(MONTH('03_Сеть'!AJ7)&gt;=9,1,0)-IF(MONTH(ДатаПовышенияГД)&gt;=9,1,0)),0)</f>
        <v/>
      </c>
      <c r="AK8" s="5">
        <f>IF('03_Сеть'!AK7&gt;=ДатаПовышенияГД,ПовышениеГД/NetGross*(1+ИнфляцияЗарплат)^MAX(0,YEAR('03_Сеть'!AK7)-YEAR(ДатаПовышенияГД)+IF(MONTH('03_Сеть'!AK7)&gt;=9,1,0)-IF(MONTH(ДатаПовышенияГД)&gt;=9,1,0)),0)</f>
        <v/>
      </c>
      <c r="AL8" s="5">
        <f>IF('03_Сеть'!AL7&gt;=ДатаПовышенияГД,ПовышениеГД/NetGross*(1+ИнфляцияЗарплат)^MAX(0,YEAR('03_Сеть'!AL7)-YEAR(ДатаПовышенияГД)+IF(MONTH('03_Сеть'!AL7)&gt;=9,1,0)-IF(MONTH(ДатаПовышенияГД)&gt;=9,1,0)),0)</f>
        <v/>
      </c>
      <c r="AM8" s="5">
        <f>IF('03_Сеть'!AM7&gt;=ДатаПовышенияГД,ПовышениеГД/NetGross*(1+ИнфляцияЗарплат)^MAX(0,YEAR('03_Сеть'!AM7)-YEAR(ДатаПовышенияГД)+IF(MONTH('03_Сеть'!AM7)&gt;=9,1,0)-IF(MONTH(ДатаПовышенияГД)&gt;=9,1,0)),0)</f>
        <v/>
      </c>
      <c r="AN8" s="5">
        <f>IF('03_Сеть'!AN7&gt;=ДатаПовышенияГД,ПовышениеГД/NetGross*(1+ИнфляцияЗарплат)^MAX(0,YEAR('03_Сеть'!AN7)-YEAR(ДатаПовышенияГД)+IF(MONTH('03_Сеть'!AN7)&gt;=9,1,0)-IF(MONTH(ДатаПовышенияГД)&gt;=9,1,0)),0)</f>
        <v/>
      </c>
      <c r="AO8" s="5">
        <f>IF('03_Сеть'!AO7&gt;=ДатаПовышенияГД,ПовышениеГД/NetGross*(1+ИнфляцияЗарплат)^MAX(0,YEAR('03_Сеть'!AO7)-YEAR(ДатаПовышенияГД)+IF(MONTH('03_Сеть'!AO7)&gt;=9,1,0)-IF(MONTH(ДатаПовышенияГД)&gt;=9,1,0)),0)</f>
        <v/>
      </c>
      <c r="AP8" s="5">
        <f>IF('03_Сеть'!AP7&gt;=ДатаПовышенияГД,ПовышениеГД/NetGross*(1+ИнфляцияЗарплат)^MAX(0,YEAR('03_Сеть'!AP7)-YEAR(ДатаПовышенияГД)+IF(MONTH('03_Сеть'!AP7)&gt;=9,1,0)-IF(MONTH(ДатаПовышенияГД)&gt;=9,1,0)),0)</f>
        <v/>
      </c>
      <c r="AQ8" s="5">
        <f>IF('03_Сеть'!AQ7&gt;=ДатаПовышенияГД,ПовышениеГД/NetGross*(1+ИнфляцияЗарплат)^MAX(0,YEAR('03_Сеть'!AQ7)-YEAR(ДатаПовышенияГД)+IF(MONTH('03_Сеть'!AQ7)&gt;=9,1,0)-IF(MONTH(ДатаПовышенияГД)&gt;=9,1,0)),0)</f>
        <v/>
      </c>
      <c r="AR8" s="5">
        <f>IF('03_Сеть'!AR7&gt;=ДатаПовышенияГД,ПовышениеГД/NetGross*(1+ИнфляцияЗарплат)^MAX(0,YEAR('03_Сеть'!AR7)-YEAR(ДатаПовышенияГД)+IF(MONTH('03_Сеть'!AR7)&gt;=9,1,0)-IF(MONTH(ДатаПовышенияГД)&gt;=9,1,0)),0)</f>
        <v/>
      </c>
      <c r="AS8" s="5">
        <f>IF('03_Сеть'!AS7&gt;=ДатаПовышенияГД,ПовышениеГД/NetGross*(1+ИнфляцияЗарплат)^MAX(0,YEAR('03_Сеть'!AS7)-YEAR(ДатаПовышенияГД)+IF(MONTH('03_Сеть'!AS7)&gt;=9,1,0)-IF(MONTH(ДатаПовышенияГД)&gt;=9,1,0)),0)</f>
        <v/>
      </c>
      <c r="AT8" s="5">
        <f>IF('03_Сеть'!AT7&gt;=ДатаПовышенияГД,ПовышениеГД/NetGross*(1+ИнфляцияЗарплат)^MAX(0,YEAR('03_Сеть'!AT7)-YEAR(ДатаПовышенияГД)+IF(MONTH('03_Сеть'!AT7)&gt;=9,1,0)-IF(MONTH(ДатаПовышенияГД)&gt;=9,1,0)),0)</f>
        <v/>
      </c>
      <c r="AU8" s="5">
        <f>IF('03_Сеть'!AU7&gt;=ДатаПовышенияГД,ПовышениеГД/NetGross*(1+ИнфляцияЗарплат)^MAX(0,YEAR('03_Сеть'!AU7)-YEAR(ДатаПовышенияГД)+IF(MONTH('03_Сеть'!AU7)&gt;=9,1,0)-IF(MONTH(ДатаПовышенияГД)&gt;=9,1,0)),0)</f>
        <v/>
      </c>
      <c r="AV8" s="5">
        <f>IF('03_Сеть'!AV7&gt;=ДатаПовышенияГД,ПовышениеГД/NetGross*(1+ИнфляцияЗарплат)^MAX(0,YEAR('03_Сеть'!AV7)-YEAR(ДатаПовышенияГД)+IF(MONTH('03_Сеть'!AV7)&gt;=9,1,0)-IF(MONTH(ДатаПовышенияГД)&gt;=9,1,0)),0)</f>
        <v/>
      </c>
      <c r="AW8" s="5">
        <f>IF('03_Сеть'!AW7&gt;=ДатаПовышенияГД,ПовышениеГД/NetGross*(1+ИнфляцияЗарплат)^MAX(0,YEAR('03_Сеть'!AW7)-YEAR(ДатаПовышенияГД)+IF(MONTH('03_Сеть'!AW7)&gt;=9,1,0)-IF(MONTH(ДатаПовышенияГД)&gt;=9,1,0)),0)</f>
        <v/>
      </c>
      <c r="AX8" s="5">
        <f>IF('03_Сеть'!AX7&gt;=ДатаПовышенияГД,ПовышениеГД/NetGross*(1+ИнфляцияЗарплат)^MAX(0,YEAR('03_Сеть'!AX7)-YEAR(ДатаПовышенияГД)+IF(MONTH('03_Сеть'!AX7)&gt;=9,1,0)-IF(MONTH(ДатаПовышенияГД)&gt;=9,1,0)),0)</f>
        <v/>
      </c>
      <c r="AY8" s="5">
        <f>IF('03_Сеть'!AY7&gt;=ДатаПовышенияГД,ПовышениеГД/NetGross*(1+ИнфляцияЗарплат)^MAX(0,YEAR('03_Сеть'!AY7)-YEAR(ДатаПовышенияГД)+IF(MONTH('03_Сеть'!AY7)&gt;=9,1,0)-IF(MONTH(ДатаПовышенияГД)&gt;=9,1,0)),0)</f>
        <v/>
      </c>
      <c r="AZ8" s="5">
        <f>IF('03_Сеть'!AZ7&gt;=ДатаПовышенияГД,ПовышениеГД/NetGross*(1+ИнфляцияЗарплат)^MAX(0,YEAR('03_Сеть'!AZ7)-YEAR(ДатаПовышенияГД)+IF(MONTH('03_Сеть'!AZ7)&gt;=9,1,0)-IF(MONTH(ДатаПовышенияГД)&gt;=9,1,0)),0)</f>
        <v/>
      </c>
      <c r="BA8" s="5">
        <f>IF('03_Сеть'!BA7&gt;=ДатаПовышенияГД,ПовышениеГД/NetGross*(1+ИнфляцияЗарплат)^MAX(0,YEAR('03_Сеть'!BA7)-YEAR(ДатаПовышенияГД)+IF(MONTH('03_Сеть'!BA7)&gt;=9,1,0)-IF(MONTH(ДатаПовышенияГД)&gt;=9,1,0)),0)</f>
        <v/>
      </c>
      <c r="BB8" s="5">
        <f>IF('03_Сеть'!BB7&gt;=ДатаПовышенияГД,ПовышениеГД/NetGross*(1+ИнфляцияЗарплат)^MAX(0,YEAR('03_Сеть'!BB7)-YEAR(ДатаПовышенияГД)+IF(MONTH('03_Сеть'!BB7)&gt;=9,1,0)-IF(MONTH(ДатаПовышенияГД)&gt;=9,1,0)),0)</f>
        <v/>
      </c>
      <c r="BC8" s="5">
        <f>IF('03_Сеть'!BC7&gt;=ДатаПовышенияГД,ПовышениеГД/NetGross*(1+ИнфляцияЗарплат)^MAX(0,YEAR('03_Сеть'!BC7)-YEAR(ДатаПовышенияГД)+IF(MONTH('03_Сеть'!BC7)&gt;=9,1,0)-IF(MONTH(ДатаПовышенияГД)&gt;=9,1,0)),0)</f>
        <v/>
      </c>
      <c r="BD8" s="5">
        <f>IF('03_Сеть'!BD7&gt;=ДатаПовышенияГД,ПовышениеГД/NetGross*(1+ИнфляцияЗарплат)^MAX(0,YEAR('03_Сеть'!BD7)-YEAR(ДатаПовышенияГД)+IF(MONTH('03_Сеть'!BD7)&gt;=9,1,0)-IF(MONTH(ДатаПовышенияГД)&gt;=9,1,0)),0)</f>
        <v/>
      </c>
      <c r="BE8" s="5">
        <f>IF('03_Сеть'!BE7&gt;=ДатаПовышенияГД,ПовышениеГД/NetGross*(1+ИнфляцияЗарплат)^MAX(0,YEAR('03_Сеть'!BE7)-YEAR(ДатаПовышенияГД)+IF(MONTH('03_Сеть'!BE7)&gt;=9,1,0)-IF(MONTH(ДатаПовышенияГД)&gt;=9,1,0)),0)</f>
        <v/>
      </c>
      <c r="BF8" s="5">
        <f>IF('03_Сеть'!BF7&gt;=ДатаПовышенияГД,ПовышениеГД/NetGross*(1+ИнфляцияЗарплат)^MAX(0,YEAR('03_Сеть'!BF7)-YEAR(ДатаПовышенияГД)+IF(MONTH('03_Сеть'!BF7)&gt;=9,1,0)-IF(MONTH(ДатаПовышенияГД)&gt;=9,1,0)),0)</f>
        <v/>
      </c>
      <c r="BG8" s="5">
        <f>IF('03_Сеть'!BG7&gt;=ДатаПовышенияГД,ПовышениеГД/NetGross*(1+ИнфляцияЗарплат)^MAX(0,YEAR('03_Сеть'!BG7)-YEAR(ДатаПовышенияГД)+IF(MONTH('03_Сеть'!BG7)&gt;=9,1,0)-IF(MONTH(ДатаПовышенияГД)&gt;=9,1,0)),0)</f>
        <v/>
      </c>
      <c r="BH8" s="5">
        <f>IF('03_Сеть'!BH7&gt;=ДатаПовышенияГД,ПовышениеГД/NetGross*(1+ИнфляцияЗарплат)^MAX(0,YEAR('03_Сеть'!BH7)-YEAR(ДатаПовышенияГД)+IF(MONTH('03_Сеть'!BH7)&gt;=9,1,0)-IF(MONTH(ДатаПовышенияГД)&gt;=9,1,0)),0)</f>
        <v/>
      </c>
      <c r="BI8" s="5">
        <f>IF('03_Сеть'!BI7&gt;=ДатаПовышенияГД,ПовышениеГД/NetGross*(1+ИнфляцияЗарплат)^MAX(0,YEAR('03_Сеть'!BI7)-YEAR(ДатаПовышенияГД)+IF(MONTH('03_Сеть'!BI7)&gt;=9,1,0)-IF(MONTH(ДатаПовышенияГД)&gt;=9,1,0)),0)</f>
        <v/>
      </c>
      <c r="BJ8" s="5">
        <f>IF('03_Сеть'!BJ7&gt;=ДатаПовышенияГД,ПовышениеГД/NetGross*(1+ИнфляцияЗарплат)^MAX(0,YEAR('03_Сеть'!BJ7)-YEAR(ДатаПовышенияГД)+IF(MONTH('03_Сеть'!BJ7)&gt;=9,1,0)-IF(MONTH(ДатаПовышенияГД)&gt;=9,1,0)),0)</f>
        <v/>
      </c>
      <c r="BK8" s="5">
        <f>IF('03_Сеть'!BK7&gt;=ДатаПовышенияГД,ПовышениеГД/NetGross*(1+ИнфляцияЗарплат)^MAX(0,YEAR('03_Сеть'!BK7)-YEAR(ДатаПовышенияГД)+IF(MONTH('03_Сеть'!BK7)&gt;=9,1,0)-IF(MONTH(ДатаПовышенияГД)&gt;=9,1,0)),0)</f>
        <v/>
      </c>
      <c r="BL8" s="5">
        <f>IF('03_Сеть'!BL7&gt;=ДатаПовышенияГД,ПовышениеГД/NetGross*(1+ИнфляцияЗарплат)^MAX(0,YEAR('03_Сеть'!BL7)-YEAR(ДатаПовышенияГД)+IF(MONTH('03_Сеть'!BL7)&gt;=9,1,0)-IF(MONTH(ДатаПовышенияГД)&gt;=9,1,0)),0)</f>
        <v/>
      </c>
      <c r="BM8" s="5">
        <f>IF('03_Сеть'!BM7&gt;=ДатаПовышенияГД,ПовышениеГД/NetGross*(1+ИнфляцияЗарплат)^MAX(0,YEAR('03_Сеть'!BM7)-YEAR(ДатаПовышенияГД)+IF(MONTH('03_Сеть'!BM7)&gt;=9,1,0)-IF(MONTH(ДатаПовышенияГД)&gt;=9,1,0)),0)</f>
        <v/>
      </c>
      <c r="BN8" s="5">
        <f>IF('03_Сеть'!BN7&gt;=ДатаПовышенияГД,ПовышениеГД/NetGross*(1+ИнфляцияЗарплат)^MAX(0,YEAR('03_Сеть'!BN7)-YEAR(ДатаПовышенияГД)+IF(MONTH('03_Сеть'!BN7)&gt;=9,1,0)-IF(MONTH(ДатаПовышенияГД)&gt;=9,1,0)),0)</f>
        <v/>
      </c>
      <c r="BO8" s="5">
        <f>IF('03_Сеть'!BO7&gt;=ДатаПовышенияГД,ПовышениеГД/NetGross*(1+ИнфляцияЗарплат)^MAX(0,YEAR('03_Сеть'!BO7)-YEAR(ДатаПовышенияГД)+IF(MONTH('03_Сеть'!BO7)&gt;=9,1,0)-IF(MONTH(ДатаПовышенияГД)&gt;=9,1,0)),0)</f>
        <v/>
      </c>
      <c r="BP8" s="5">
        <f>IF('03_Сеть'!BP7&gt;=ДатаПовышенияГД,ПовышениеГД/NetGross*(1+ИнфляцияЗарплат)^MAX(0,YEAR('03_Сеть'!BP7)-YEAR(ДатаПовышенияГД)+IF(MONTH('03_Сеть'!BP7)&gt;=9,1,0)-IF(MONTH(ДатаПовышенияГД)&gt;=9,1,0)),0)</f>
        <v/>
      </c>
      <c r="BQ8" s="5">
        <f>IF('03_Сеть'!BQ7&gt;=ДатаПовышенияГД,ПовышениеГД/NetGross*(1+ИнфляцияЗарплат)^MAX(0,YEAR('03_Сеть'!BQ7)-YEAR(ДатаПовышенияГД)+IF(MONTH('03_Сеть'!BQ7)&gt;=9,1,0)-IF(MONTH(ДатаПовышенияГД)&gt;=9,1,0)),0)</f>
        <v/>
      </c>
      <c r="BR8" s="5">
        <f>IF('03_Сеть'!BR7&gt;=ДатаПовышенияГД,ПовышениеГД/NetGross*(1+ИнфляцияЗарплат)^MAX(0,YEAR('03_Сеть'!BR7)-YEAR(ДатаПовышенияГД)+IF(MONTH('03_Сеть'!BR7)&gt;=9,1,0)-IF(MONTH(ДатаПовышенияГД)&gt;=9,1,0)),0)</f>
        <v/>
      </c>
      <c r="BS8" s="5">
        <f>IF('03_Сеть'!BS7&gt;=ДатаПовышенияГД,ПовышениеГД/NetGross*(1+ИнфляцияЗарплат)^MAX(0,YEAR('03_Сеть'!BS7)-YEAR(ДатаПовышенияГД)+IF(MONTH('03_Сеть'!BS7)&gt;=9,1,0)-IF(MONTH(ДатаПовышенияГД)&gt;=9,1,0)),0)</f>
        <v/>
      </c>
      <c r="BT8" s="5">
        <f>IF('03_Сеть'!BT7&gt;=ДатаПовышенияГД,ПовышениеГД/NetGross*(1+ИнфляцияЗарплат)^MAX(0,YEAR('03_Сеть'!BT7)-YEAR(ДатаПовышенияГД)+IF(MONTH('03_Сеть'!BT7)&gt;=9,1,0)-IF(MONTH(ДатаПовышенияГД)&gt;=9,1,0)),0)</f>
        <v/>
      </c>
      <c r="BU8" s="5">
        <f>IF('03_Сеть'!BU7&gt;=ДатаПовышенияГД,ПовышениеГД/NetGross*(1+ИнфляцияЗарплат)^MAX(0,YEAR('03_Сеть'!BU7)-YEAR(ДатаПовышенияГД)+IF(MONTH('03_Сеть'!BU7)&gt;=9,1,0)-IF(MONTH(ДатаПовышенияГД)&gt;=9,1,0)),0)</f>
        <v/>
      </c>
      <c r="BV8" s="5">
        <f>IF('03_Сеть'!BV7&gt;=ДатаПовышенияГД,ПовышениеГД/NetGross*(1+ИнфляцияЗарплат)^MAX(0,YEAR('03_Сеть'!BV7)-YEAR(ДатаПовышенияГД)+IF(MONTH('03_Сеть'!BV7)&gt;=9,1,0)-IF(MONTH(ДатаПовышенияГД)&gt;=9,1,0)),0)</f>
        <v/>
      </c>
      <c r="BW8" s="5">
        <f>IF('03_Сеть'!BW7&gt;=ДатаПовышенияГД,ПовышениеГД/NetGross*(1+ИнфляцияЗарплат)^MAX(0,YEAR('03_Сеть'!BW7)-YEAR(ДатаПовышенияГД)+IF(MONTH('03_Сеть'!BW7)&gt;=9,1,0)-IF(MONTH(ДатаПовышенияГД)&gt;=9,1,0)),0)</f>
        <v/>
      </c>
      <c r="BX8" s="5">
        <f>IF('03_Сеть'!BX7&gt;=ДатаПовышенияГД,ПовышениеГД/NetGross*(1+ИнфляцияЗарплат)^MAX(0,YEAR('03_Сеть'!BX7)-YEAR(ДатаПовышенияГД)+IF(MONTH('03_Сеть'!BX7)&gt;=9,1,0)-IF(MONTH(ДатаПовышенияГД)&gt;=9,1,0)),0)</f>
        <v/>
      </c>
      <c r="BY8" s="5">
        <f>IF('03_Сеть'!BY7&gt;=ДатаПовышенияГД,ПовышениеГД/NetGross*(1+ИнфляцияЗарплат)^MAX(0,YEAR('03_Сеть'!BY7)-YEAR(ДатаПовышенияГД)+IF(MONTH('03_Сеть'!BY7)&gt;=9,1,0)-IF(MONTH(ДатаПовышенияГД)&gt;=9,1,0)),0)</f>
        <v/>
      </c>
    </row>
    <row r="9">
      <c r="B9" t="inlineStr">
        <is>
          <t>ФОТ ядра, gross</t>
        </is>
      </c>
      <c r="C9" t="inlineStr">
        <is>
          <t>₽</t>
        </is>
      </c>
      <c r="D9" s="127" t="inlineStr">
        <is>
          <t>Действующие сотрудники с индексацией</t>
        </is>
      </c>
      <c r="E9" s="129">
        <f>SUM(L9:W9)</f>
        <v/>
      </c>
      <c r="F9" s="129">
        <f>SUM(X9:AI9)</f>
        <v/>
      </c>
      <c r="G9" s="129">
        <f>SUM(AJ9:AU9)</f>
        <v/>
      </c>
      <c r="H9" s="129">
        <f>SUM(AV9:BG9)</f>
        <v/>
      </c>
      <c r="I9" s="129">
        <f>SUM(BH9:BS9)</f>
        <v/>
      </c>
      <c r="J9" s="6">
        <f>SUM(L9:BS9)</f>
        <v/>
      </c>
      <c r="L9" s="5">
        <f>ФОТЯдра*L7+L8</f>
        <v/>
      </c>
      <c r="M9" s="5">
        <f>ФОТЯдра*M7+M8</f>
        <v/>
      </c>
      <c r="N9" s="5">
        <f>ФОТЯдра*N7+N8</f>
        <v/>
      </c>
      <c r="O9" s="5">
        <f>ФОТЯдра*O7+O8</f>
        <v/>
      </c>
      <c r="P9" s="5">
        <f>ФОТЯдра*P7+P8</f>
        <v/>
      </c>
      <c r="Q9" s="5">
        <f>ФОТЯдра*Q7+Q8</f>
        <v/>
      </c>
      <c r="R9" s="5">
        <f>ФОТЯдра*R7+R8</f>
        <v/>
      </c>
      <c r="S9" s="5">
        <f>ФОТЯдра*S7+S8</f>
        <v/>
      </c>
      <c r="T9" s="5">
        <f>ФОТЯдра*T7+T8</f>
        <v/>
      </c>
      <c r="U9" s="5">
        <f>ФОТЯдра*U7+U8</f>
        <v/>
      </c>
      <c r="V9" s="5">
        <f>ФОТЯдра*V7+V8</f>
        <v/>
      </c>
      <c r="W9" s="5">
        <f>ФОТЯдра*W7+W8</f>
        <v/>
      </c>
      <c r="X9" s="5">
        <f>ФОТЯдра*X7+X8</f>
        <v/>
      </c>
      <c r="Y9" s="5">
        <f>ФОТЯдра*Y7+Y8</f>
        <v/>
      </c>
      <c r="Z9" s="5">
        <f>ФОТЯдра*Z7+Z8</f>
        <v/>
      </c>
      <c r="AA9" s="5">
        <f>ФОТЯдра*AA7+AA8</f>
        <v/>
      </c>
      <c r="AB9" s="5">
        <f>ФОТЯдра*AB7+AB8</f>
        <v/>
      </c>
      <c r="AC9" s="5">
        <f>ФОТЯдра*AC7+AC8</f>
        <v/>
      </c>
      <c r="AD9" s="5">
        <f>ФОТЯдра*AD7+AD8</f>
        <v/>
      </c>
      <c r="AE9" s="5">
        <f>ФОТЯдра*AE7+AE8</f>
        <v/>
      </c>
      <c r="AF9" s="5">
        <f>ФОТЯдра*AF7+AF8</f>
        <v/>
      </c>
      <c r="AG9" s="5">
        <f>ФОТЯдра*AG7+AG8</f>
        <v/>
      </c>
      <c r="AH9" s="5">
        <f>ФОТЯдра*AH7+AH8</f>
        <v/>
      </c>
      <c r="AI9" s="5">
        <f>ФОТЯдра*AI7+AI8</f>
        <v/>
      </c>
      <c r="AJ9" s="5">
        <f>ФОТЯдра*AJ7+AJ8</f>
        <v/>
      </c>
      <c r="AK9" s="5">
        <f>ФОТЯдра*AK7+AK8</f>
        <v/>
      </c>
      <c r="AL9" s="5">
        <f>ФОТЯдра*AL7+AL8</f>
        <v/>
      </c>
      <c r="AM9" s="5">
        <f>ФОТЯдра*AM7+AM8</f>
        <v/>
      </c>
      <c r="AN9" s="5">
        <f>ФОТЯдра*AN7+AN8</f>
        <v/>
      </c>
      <c r="AO9" s="5">
        <f>ФОТЯдра*AO7+AO8</f>
        <v/>
      </c>
      <c r="AP9" s="5">
        <f>ФОТЯдра*AP7+AP8</f>
        <v/>
      </c>
      <c r="AQ9" s="5">
        <f>ФОТЯдра*AQ7+AQ8</f>
        <v/>
      </c>
      <c r="AR9" s="5">
        <f>ФОТЯдра*AR7+AR8</f>
        <v/>
      </c>
      <c r="AS9" s="5">
        <f>ФОТЯдра*AS7+AS8</f>
        <v/>
      </c>
      <c r="AT9" s="5">
        <f>ФОТЯдра*AT7+AT8</f>
        <v/>
      </c>
      <c r="AU9" s="5">
        <f>ФОТЯдра*AU7+AU8</f>
        <v/>
      </c>
      <c r="AV9" s="5">
        <f>ФОТЯдра*AV7+AV8</f>
        <v/>
      </c>
      <c r="AW9" s="5">
        <f>ФОТЯдра*AW7+AW8</f>
        <v/>
      </c>
      <c r="AX9" s="5">
        <f>ФОТЯдра*AX7+AX8</f>
        <v/>
      </c>
      <c r="AY9" s="5">
        <f>ФОТЯдра*AY7+AY8</f>
        <v/>
      </c>
      <c r="AZ9" s="5">
        <f>ФОТЯдра*AZ7+AZ8</f>
        <v/>
      </c>
      <c r="BA9" s="5">
        <f>ФОТЯдра*BA7+BA8</f>
        <v/>
      </c>
      <c r="BB9" s="5">
        <f>ФОТЯдра*BB7+BB8</f>
        <v/>
      </c>
      <c r="BC9" s="5">
        <f>ФОТЯдра*BC7+BC8</f>
        <v/>
      </c>
      <c r="BD9" s="5">
        <f>ФОТЯдра*BD7+BD8</f>
        <v/>
      </c>
      <c r="BE9" s="5">
        <f>ФОТЯдра*BE7+BE8</f>
        <v/>
      </c>
      <c r="BF9" s="5">
        <f>ФОТЯдра*BF7+BF8</f>
        <v/>
      </c>
      <c r="BG9" s="5">
        <f>ФОТЯдра*BG7+BG8</f>
        <v/>
      </c>
      <c r="BH9" s="5">
        <f>ФОТЯдра*BH7+BH8</f>
        <v/>
      </c>
      <c r="BI9" s="5">
        <f>ФОТЯдра*BI7+BI8</f>
        <v/>
      </c>
      <c r="BJ9" s="5">
        <f>ФОТЯдра*BJ7+BJ8</f>
        <v/>
      </c>
      <c r="BK9" s="5">
        <f>ФОТЯдра*BK7+BK8</f>
        <v/>
      </c>
      <c r="BL9" s="5">
        <f>ФОТЯдра*BL7+BL8</f>
        <v/>
      </c>
      <c r="BM9" s="5">
        <f>ФОТЯдра*BM7+BM8</f>
        <v/>
      </c>
      <c r="BN9" s="5">
        <f>ФОТЯдра*BN7+BN8</f>
        <v/>
      </c>
      <c r="BO9" s="5">
        <f>ФОТЯдра*BO7+BO8</f>
        <v/>
      </c>
      <c r="BP9" s="5">
        <f>ФОТЯдра*BP7+BP8</f>
        <v/>
      </c>
      <c r="BQ9" s="5">
        <f>ФОТЯдра*BQ7+BQ8</f>
        <v/>
      </c>
      <c r="BR9" s="5">
        <f>ФОТЯдра*BR7+BR8</f>
        <v/>
      </c>
      <c r="BS9" s="5">
        <f>ФОТЯдра*BS7+BS8</f>
        <v/>
      </c>
      <c r="BT9" s="5">
        <f>ФОТЯдра*BT7+BT8</f>
        <v/>
      </c>
      <c r="BU9" s="5">
        <f>ФОТЯдра*BU7+BU8</f>
        <v/>
      </c>
      <c r="BV9" s="5">
        <f>ФОТЯдра*BV7+BV8</f>
        <v/>
      </c>
      <c r="BW9" s="5">
        <f>ФОТЯдра*BW7+BW8</f>
        <v/>
      </c>
      <c r="BX9" s="5">
        <f>ФОТЯдра*BX7+BX8</f>
        <v/>
      </c>
      <c r="BY9" s="5">
        <f>ФОТЯдра*BY7+BY8</f>
        <v/>
      </c>
    </row>
    <row r="10">
      <c r="B10" t="inlineStr">
        <is>
          <t>Офис-менеджер, gross</t>
        </is>
      </c>
      <c r="C10" t="inlineStr">
        <is>
          <t>₽</t>
        </is>
      </c>
      <c r="D10" s="127" t="inlineStr">
        <is>
          <t>Выходит с назначенной даты</t>
        </is>
      </c>
      <c r="E10" s="129">
        <f>SUM(L10:W10)</f>
        <v/>
      </c>
      <c r="F10" s="129">
        <f>SUM(X10:AI10)</f>
        <v/>
      </c>
      <c r="G10" s="129">
        <f>SUM(AJ10:AU10)</f>
        <v/>
      </c>
      <c r="H10" s="129">
        <f>SUM(AV10:BG10)</f>
        <v/>
      </c>
      <c r="I10" s="129">
        <f>SUM(BH10:BS10)</f>
        <v/>
      </c>
      <c r="J10" s="6">
        <f>SUM(L10:BS10)</f>
        <v/>
      </c>
      <c r="L10" s="5">
        <f>IF('03_Сеть'!L7&gt;=ДатаОфисМенеджера,ОфисМенеджерNet/NetGross*L7,0)</f>
        <v/>
      </c>
      <c r="M10" s="5">
        <f>IF('03_Сеть'!M7&gt;=ДатаОфисМенеджера,ОфисМенеджерNet/NetGross*M7,0)</f>
        <v/>
      </c>
      <c r="N10" s="5">
        <f>IF('03_Сеть'!N7&gt;=ДатаОфисМенеджера,ОфисМенеджерNet/NetGross*N7,0)</f>
        <v/>
      </c>
      <c r="O10" s="5">
        <f>IF('03_Сеть'!O7&gt;=ДатаОфисМенеджера,ОфисМенеджерNet/NetGross*O7,0)</f>
        <v/>
      </c>
      <c r="P10" s="5">
        <f>IF('03_Сеть'!P7&gt;=ДатаОфисМенеджера,ОфисМенеджерNet/NetGross*P7,0)</f>
        <v/>
      </c>
      <c r="Q10" s="5">
        <f>IF('03_Сеть'!Q7&gt;=ДатаОфисМенеджера,ОфисМенеджерNet/NetGross*Q7,0)</f>
        <v/>
      </c>
      <c r="R10" s="5">
        <f>IF('03_Сеть'!R7&gt;=ДатаОфисМенеджера,ОфисМенеджерNet/NetGross*R7,0)</f>
        <v/>
      </c>
      <c r="S10" s="5">
        <f>IF('03_Сеть'!S7&gt;=ДатаОфисМенеджера,ОфисМенеджерNet/NetGross*S7,0)</f>
        <v/>
      </c>
      <c r="T10" s="5">
        <f>IF('03_Сеть'!T7&gt;=ДатаОфисМенеджера,ОфисМенеджерNet/NetGross*T7,0)</f>
        <v/>
      </c>
      <c r="U10" s="5">
        <f>IF('03_Сеть'!U7&gt;=ДатаОфисМенеджера,ОфисМенеджерNet/NetGross*U7,0)</f>
        <v/>
      </c>
      <c r="V10" s="5">
        <f>IF('03_Сеть'!V7&gt;=ДатаОфисМенеджера,ОфисМенеджерNet/NetGross*V7,0)</f>
        <v/>
      </c>
      <c r="W10" s="5">
        <f>IF('03_Сеть'!W7&gt;=ДатаОфисМенеджера,ОфисМенеджерNet/NetGross*W7,0)</f>
        <v/>
      </c>
      <c r="X10" s="5">
        <f>IF('03_Сеть'!X7&gt;=ДатаОфисМенеджера,ОфисМенеджерNet/NetGross*X7,0)</f>
        <v/>
      </c>
      <c r="Y10" s="5">
        <f>IF('03_Сеть'!Y7&gt;=ДатаОфисМенеджера,ОфисМенеджерNet/NetGross*Y7,0)</f>
        <v/>
      </c>
      <c r="Z10" s="5">
        <f>IF('03_Сеть'!Z7&gt;=ДатаОфисМенеджера,ОфисМенеджерNet/NetGross*Z7,0)</f>
        <v/>
      </c>
      <c r="AA10" s="5">
        <f>IF('03_Сеть'!AA7&gt;=ДатаОфисМенеджера,ОфисМенеджерNet/NetGross*AA7,0)</f>
        <v/>
      </c>
      <c r="AB10" s="5">
        <f>IF('03_Сеть'!AB7&gt;=ДатаОфисМенеджера,ОфисМенеджерNet/NetGross*AB7,0)</f>
        <v/>
      </c>
      <c r="AC10" s="5">
        <f>IF('03_Сеть'!AC7&gt;=ДатаОфисМенеджера,ОфисМенеджерNet/NetGross*AC7,0)</f>
        <v/>
      </c>
      <c r="AD10" s="5">
        <f>IF('03_Сеть'!AD7&gt;=ДатаОфисМенеджера,ОфисМенеджерNet/NetGross*AD7,0)</f>
        <v/>
      </c>
      <c r="AE10" s="5">
        <f>IF('03_Сеть'!AE7&gt;=ДатаОфисМенеджера,ОфисМенеджерNet/NetGross*AE7,0)</f>
        <v/>
      </c>
      <c r="AF10" s="5">
        <f>IF('03_Сеть'!AF7&gt;=ДатаОфисМенеджера,ОфисМенеджерNet/NetGross*AF7,0)</f>
        <v/>
      </c>
      <c r="AG10" s="5">
        <f>IF('03_Сеть'!AG7&gt;=ДатаОфисМенеджера,ОфисМенеджерNet/NetGross*AG7,0)</f>
        <v/>
      </c>
      <c r="AH10" s="5">
        <f>IF('03_Сеть'!AH7&gt;=ДатаОфисМенеджера,ОфисМенеджерNet/NetGross*AH7,0)</f>
        <v/>
      </c>
      <c r="AI10" s="5">
        <f>IF('03_Сеть'!AI7&gt;=ДатаОфисМенеджера,ОфисМенеджерNet/NetGross*AI7,0)</f>
        <v/>
      </c>
      <c r="AJ10" s="5">
        <f>IF('03_Сеть'!AJ7&gt;=ДатаОфисМенеджера,ОфисМенеджерNet/NetGross*AJ7,0)</f>
        <v/>
      </c>
      <c r="AK10" s="5">
        <f>IF('03_Сеть'!AK7&gt;=ДатаОфисМенеджера,ОфисМенеджерNet/NetGross*AK7,0)</f>
        <v/>
      </c>
      <c r="AL10" s="5">
        <f>IF('03_Сеть'!AL7&gt;=ДатаОфисМенеджера,ОфисМенеджерNet/NetGross*AL7,0)</f>
        <v/>
      </c>
      <c r="AM10" s="5">
        <f>IF('03_Сеть'!AM7&gt;=ДатаОфисМенеджера,ОфисМенеджерNet/NetGross*AM7,0)</f>
        <v/>
      </c>
      <c r="AN10" s="5">
        <f>IF('03_Сеть'!AN7&gt;=ДатаОфисМенеджера,ОфисМенеджерNet/NetGross*AN7,0)</f>
        <v/>
      </c>
      <c r="AO10" s="5">
        <f>IF('03_Сеть'!AO7&gt;=ДатаОфисМенеджера,ОфисМенеджерNet/NetGross*AO7,0)</f>
        <v/>
      </c>
      <c r="AP10" s="5">
        <f>IF('03_Сеть'!AP7&gt;=ДатаОфисМенеджера,ОфисМенеджерNet/NetGross*AP7,0)</f>
        <v/>
      </c>
      <c r="AQ10" s="5">
        <f>IF('03_Сеть'!AQ7&gt;=ДатаОфисМенеджера,ОфисМенеджерNet/NetGross*AQ7,0)</f>
        <v/>
      </c>
      <c r="AR10" s="5">
        <f>IF('03_Сеть'!AR7&gt;=ДатаОфисМенеджера,ОфисМенеджерNet/NetGross*AR7,0)</f>
        <v/>
      </c>
      <c r="AS10" s="5">
        <f>IF('03_Сеть'!AS7&gt;=ДатаОфисМенеджера,ОфисМенеджерNet/NetGross*AS7,0)</f>
        <v/>
      </c>
      <c r="AT10" s="5">
        <f>IF('03_Сеть'!AT7&gt;=ДатаОфисМенеджера,ОфисМенеджерNet/NetGross*AT7,0)</f>
        <v/>
      </c>
      <c r="AU10" s="5">
        <f>IF('03_Сеть'!AU7&gt;=ДатаОфисМенеджера,ОфисМенеджерNet/NetGross*AU7,0)</f>
        <v/>
      </c>
      <c r="AV10" s="5">
        <f>IF('03_Сеть'!AV7&gt;=ДатаОфисМенеджера,ОфисМенеджерNet/NetGross*AV7,0)</f>
        <v/>
      </c>
      <c r="AW10" s="5">
        <f>IF('03_Сеть'!AW7&gt;=ДатаОфисМенеджера,ОфисМенеджерNet/NetGross*AW7,0)</f>
        <v/>
      </c>
      <c r="AX10" s="5">
        <f>IF('03_Сеть'!AX7&gt;=ДатаОфисМенеджера,ОфисМенеджерNet/NetGross*AX7,0)</f>
        <v/>
      </c>
      <c r="AY10" s="5">
        <f>IF('03_Сеть'!AY7&gt;=ДатаОфисМенеджера,ОфисМенеджерNet/NetGross*AY7,0)</f>
        <v/>
      </c>
      <c r="AZ10" s="5">
        <f>IF('03_Сеть'!AZ7&gt;=ДатаОфисМенеджера,ОфисМенеджерNet/NetGross*AZ7,0)</f>
        <v/>
      </c>
      <c r="BA10" s="5">
        <f>IF('03_Сеть'!BA7&gt;=ДатаОфисМенеджера,ОфисМенеджерNet/NetGross*BA7,0)</f>
        <v/>
      </c>
      <c r="BB10" s="5">
        <f>IF('03_Сеть'!BB7&gt;=ДатаОфисМенеджера,ОфисМенеджерNet/NetGross*BB7,0)</f>
        <v/>
      </c>
      <c r="BC10" s="5">
        <f>IF('03_Сеть'!BC7&gt;=ДатаОфисМенеджера,ОфисМенеджерNet/NetGross*BC7,0)</f>
        <v/>
      </c>
      <c r="BD10" s="5">
        <f>IF('03_Сеть'!BD7&gt;=ДатаОфисМенеджера,ОфисМенеджерNet/NetGross*BD7,0)</f>
        <v/>
      </c>
      <c r="BE10" s="5">
        <f>IF('03_Сеть'!BE7&gt;=ДатаОфисМенеджера,ОфисМенеджерNet/NetGross*BE7,0)</f>
        <v/>
      </c>
      <c r="BF10" s="5">
        <f>IF('03_Сеть'!BF7&gt;=ДатаОфисМенеджера,ОфисМенеджерNet/NetGross*BF7,0)</f>
        <v/>
      </c>
      <c r="BG10" s="5">
        <f>IF('03_Сеть'!BG7&gt;=ДатаОфисМенеджера,ОфисМенеджерNet/NetGross*BG7,0)</f>
        <v/>
      </c>
      <c r="BH10" s="5">
        <f>IF('03_Сеть'!BH7&gt;=ДатаОфисМенеджера,ОфисМенеджерNet/NetGross*BH7,0)</f>
        <v/>
      </c>
      <c r="BI10" s="5">
        <f>IF('03_Сеть'!BI7&gt;=ДатаОфисМенеджера,ОфисМенеджерNet/NetGross*BI7,0)</f>
        <v/>
      </c>
      <c r="BJ10" s="5">
        <f>IF('03_Сеть'!BJ7&gt;=ДатаОфисМенеджера,ОфисМенеджерNet/NetGross*BJ7,0)</f>
        <v/>
      </c>
      <c r="BK10" s="5">
        <f>IF('03_Сеть'!BK7&gt;=ДатаОфисМенеджера,ОфисМенеджерNet/NetGross*BK7,0)</f>
        <v/>
      </c>
      <c r="BL10" s="5">
        <f>IF('03_Сеть'!BL7&gt;=ДатаОфисМенеджера,ОфисМенеджерNet/NetGross*BL7,0)</f>
        <v/>
      </c>
      <c r="BM10" s="5">
        <f>IF('03_Сеть'!BM7&gt;=ДатаОфисМенеджера,ОфисМенеджерNet/NetGross*BM7,0)</f>
        <v/>
      </c>
      <c r="BN10" s="5">
        <f>IF('03_Сеть'!BN7&gt;=ДатаОфисМенеджера,ОфисМенеджерNet/NetGross*BN7,0)</f>
        <v/>
      </c>
      <c r="BO10" s="5">
        <f>IF('03_Сеть'!BO7&gt;=ДатаОфисМенеджера,ОфисМенеджерNet/NetGross*BO7,0)</f>
        <v/>
      </c>
      <c r="BP10" s="5">
        <f>IF('03_Сеть'!BP7&gt;=ДатаОфисМенеджера,ОфисМенеджерNet/NetGross*BP7,0)</f>
        <v/>
      </c>
      <c r="BQ10" s="5">
        <f>IF('03_Сеть'!BQ7&gt;=ДатаОфисМенеджера,ОфисМенеджерNet/NetGross*BQ7,0)</f>
        <v/>
      </c>
      <c r="BR10" s="5">
        <f>IF('03_Сеть'!BR7&gt;=ДатаОфисМенеджера,ОфисМенеджерNet/NetGross*BR7,0)</f>
        <v/>
      </c>
      <c r="BS10" s="5">
        <f>IF('03_Сеть'!BS7&gt;=ДатаОфисМенеджера,ОфисМенеджерNet/NetGross*BS7,0)</f>
        <v/>
      </c>
      <c r="BT10" s="5">
        <f>IF('03_Сеть'!BT7&gt;=ДатаОфисМенеджера,ОфисМенеджерNet/NetGross*BT7,0)</f>
        <v/>
      </c>
      <c r="BU10" s="5">
        <f>IF('03_Сеть'!BU7&gt;=ДатаОфисМенеджера,ОфисМенеджерNet/NetGross*BU7,0)</f>
        <v/>
      </c>
      <c r="BV10" s="5">
        <f>IF('03_Сеть'!BV7&gt;=ДатаОфисМенеджера,ОфисМенеджерNet/NetGross*BV7,0)</f>
        <v/>
      </c>
      <c r="BW10" s="5">
        <f>IF('03_Сеть'!BW7&gt;=ДатаОфисМенеджера,ОфисМенеджерNet/NetGross*BW7,0)</f>
        <v/>
      </c>
      <c r="BX10" s="5">
        <f>IF('03_Сеть'!BX7&gt;=ДатаОфисМенеджера,ОфисМенеджерNet/NetGross*BX7,0)</f>
        <v/>
      </c>
      <c r="BY10" s="5">
        <f>IF('03_Сеть'!BY7&gt;=ДатаОфисМенеджера,ОфисМенеджерNet/NetGross*BY7,0)</f>
        <v/>
      </c>
    </row>
    <row r="11">
      <c r="B11" t="inlineStr">
        <is>
          <t>SMM-специалист, gross</t>
        </is>
      </c>
      <c r="C11" t="inlineStr">
        <is>
          <t>₽</t>
        </is>
      </c>
      <c r="D11" s="127" t="inlineStr"/>
      <c r="E11" s="129">
        <f>SUM(L11:W11)</f>
        <v/>
      </c>
      <c r="F11" s="129">
        <f>SUM(X11:AI11)</f>
        <v/>
      </c>
      <c r="G11" s="129">
        <f>SUM(AJ11:AU11)</f>
        <v/>
      </c>
      <c r="H11" s="129">
        <f>SUM(AV11:BG11)</f>
        <v/>
      </c>
      <c r="I11" s="129">
        <f>SUM(BH11:BS11)</f>
        <v/>
      </c>
      <c r="J11" s="6">
        <f>SUM(L11:BS11)</f>
        <v/>
      </c>
      <c r="L11" s="5">
        <f>IF('03_Сеть'!L7&gt;=ДатаSMM,SMMNet/NetGross*(1+ИнфляцияЗарплат)^MAX(0,YEAR('03_Сеть'!L7)-YEAR(ДатаSMM)+IF(MONTH('03_Сеть'!L7)&gt;=9,1,0)-IF(MONTH(ДатаSMM)&gt;=9,1,0)),0)</f>
        <v/>
      </c>
      <c r="M11" s="5">
        <f>IF('03_Сеть'!M7&gt;=ДатаSMM,SMMNet/NetGross*(1+ИнфляцияЗарплат)^MAX(0,YEAR('03_Сеть'!M7)-YEAR(ДатаSMM)+IF(MONTH('03_Сеть'!M7)&gt;=9,1,0)-IF(MONTH(ДатаSMM)&gt;=9,1,0)),0)</f>
        <v/>
      </c>
      <c r="N11" s="5">
        <f>IF('03_Сеть'!N7&gt;=ДатаSMM,SMMNet/NetGross*(1+ИнфляцияЗарплат)^MAX(0,YEAR('03_Сеть'!N7)-YEAR(ДатаSMM)+IF(MONTH('03_Сеть'!N7)&gt;=9,1,0)-IF(MONTH(ДатаSMM)&gt;=9,1,0)),0)</f>
        <v/>
      </c>
      <c r="O11" s="5">
        <f>IF('03_Сеть'!O7&gt;=ДатаSMM,SMMNet/NetGross*(1+ИнфляцияЗарплат)^MAX(0,YEAR('03_Сеть'!O7)-YEAR(ДатаSMM)+IF(MONTH('03_Сеть'!O7)&gt;=9,1,0)-IF(MONTH(ДатаSMM)&gt;=9,1,0)),0)</f>
        <v/>
      </c>
      <c r="P11" s="5">
        <f>IF('03_Сеть'!P7&gt;=ДатаSMM,SMMNet/NetGross*(1+ИнфляцияЗарплат)^MAX(0,YEAR('03_Сеть'!P7)-YEAR(ДатаSMM)+IF(MONTH('03_Сеть'!P7)&gt;=9,1,0)-IF(MONTH(ДатаSMM)&gt;=9,1,0)),0)</f>
        <v/>
      </c>
      <c r="Q11" s="5">
        <f>IF('03_Сеть'!Q7&gt;=ДатаSMM,SMMNet/NetGross*(1+ИнфляцияЗарплат)^MAX(0,YEAR('03_Сеть'!Q7)-YEAR(ДатаSMM)+IF(MONTH('03_Сеть'!Q7)&gt;=9,1,0)-IF(MONTH(ДатаSMM)&gt;=9,1,0)),0)</f>
        <v/>
      </c>
      <c r="R11" s="5">
        <f>IF('03_Сеть'!R7&gt;=ДатаSMM,SMMNet/NetGross*(1+ИнфляцияЗарплат)^MAX(0,YEAR('03_Сеть'!R7)-YEAR(ДатаSMM)+IF(MONTH('03_Сеть'!R7)&gt;=9,1,0)-IF(MONTH(ДатаSMM)&gt;=9,1,0)),0)</f>
        <v/>
      </c>
      <c r="S11" s="5">
        <f>IF('03_Сеть'!S7&gt;=ДатаSMM,SMMNet/NetGross*(1+ИнфляцияЗарплат)^MAX(0,YEAR('03_Сеть'!S7)-YEAR(ДатаSMM)+IF(MONTH('03_Сеть'!S7)&gt;=9,1,0)-IF(MONTH(ДатаSMM)&gt;=9,1,0)),0)</f>
        <v/>
      </c>
      <c r="T11" s="5">
        <f>IF('03_Сеть'!T7&gt;=ДатаSMM,SMMNet/NetGross*(1+ИнфляцияЗарплат)^MAX(0,YEAR('03_Сеть'!T7)-YEAR(ДатаSMM)+IF(MONTH('03_Сеть'!T7)&gt;=9,1,0)-IF(MONTH(ДатаSMM)&gt;=9,1,0)),0)</f>
        <v/>
      </c>
      <c r="U11" s="5">
        <f>IF('03_Сеть'!U7&gt;=ДатаSMM,SMMNet/NetGross*(1+ИнфляцияЗарплат)^MAX(0,YEAR('03_Сеть'!U7)-YEAR(ДатаSMM)+IF(MONTH('03_Сеть'!U7)&gt;=9,1,0)-IF(MONTH(ДатаSMM)&gt;=9,1,0)),0)</f>
        <v/>
      </c>
      <c r="V11" s="5">
        <f>IF('03_Сеть'!V7&gt;=ДатаSMM,SMMNet/NetGross*(1+ИнфляцияЗарплат)^MAX(0,YEAR('03_Сеть'!V7)-YEAR(ДатаSMM)+IF(MONTH('03_Сеть'!V7)&gt;=9,1,0)-IF(MONTH(ДатаSMM)&gt;=9,1,0)),0)</f>
        <v/>
      </c>
      <c r="W11" s="5">
        <f>IF('03_Сеть'!W7&gt;=ДатаSMM,SMMNet/NetGross*(1+ИнфляцияЗарплат)^MAX(0,YEAR('03_Сеть'!W7)-YEAR(ДатаSMM)+IF(MONTH('03_Сеть'!W7)&gt;=9,1,0)-IF(MONTH(ДатаSMM)&gt;=9,1,0)),0)</f>
        <v/>
      </c>
      <c r="X11" s="5">
        <f>IF('03_Сеть'!X7&gt;=ДатаSMM,SMMNet/NetGross*(1+ИнфляцияЗарплат)^MAX(0,YEAR('03_Сеть'!X7)-YEAR(ДатаSMM)+IF(MONTH('03_Сеть'!X7)&gt;=9,1,0)-IF(MONTH(ДатаSMM)&gt;=9,1,0)),0)</f>
        <v/>
      </c>
      <c r="Y11" s="5">
        <f>IF('03_Сеть'!Y7&gt;=ДатаSMM,SMMNet/NetGross*(1+ИнфляцияЗарплат)^MAX(0,YEAR('03_Сеть'!Y7)-YEAR(ДатаSMM)+IF(MONTH('03_Сеть'!Y7)&gt;=9,1,0)-IF(MONTH(ДатаSMM)&gt;=9,1,0)),0)</f>
        <v/>
      </c>
      <c r="Z11" s="5">
        <f>IF('03_Сеть'!Z7&gt;=ДатаSMM,SMMNet/NetGross*(1+ИнфляцияЗарплат)^MAX(0,YEAR('03_Сеть'!Z7)-YEAR(ДатаSMM)+IF(MONTH('03_Сеть'!Z7)&gt;=9,1,0)-IF(MONTH(ДатаSMM)&gt;=9,1,0)),0)</f>
        <v/>
      </c>
      <c r="AA11" s="5">
        <f>IF('03_Сеть'!AA7&gt;=ДатаSMM,SMMNet/NetGross*(1+ИнфляцияЗарплат)^MAX(0,YEAR('03_Сеть'!AA7)-YEAR(ДатаSMM)+IF(MONTH('03_Сеть'!AA7)&gt;=9,1,0)-IF(MONTH(ДатаSMM)&gt;=9,1,0)),0)</f>
        <v/>
      </c>
      <c r="AB11" s="5">
        <f>IF('03_Сеть'!AB7&gt;=ДатаSMM,SMMNet/NetGross*(1+ИнфляцияЗарплат)^MAX(0,YEAR('03_Сеть'!AB7)-YEAR(ДатаSMM)+IF(MONTH('03_Сеть'!AB7)&gt;=9,1,0)-IF(MONTH(ДатаSMM)&gt;=9,1,0)),0)</f>
        <v/>
      </c>
      <c r="AC11" s="5">
        <f>IF('03_Сеть'!AC7&gt;=ДатаSMM,SMMNet/NetGross*(1+ИнфляцияЗарплат)^MAX(0,YEAR('03_Сеть'!AC7)-YEAR(ДатаSMM)+IF(MONTH('03_Сеть'!AC7)&gt;=9,1,0)-IF(MONTH(ДатаSMM)&gt;=9,1,0)),0)</f>
        <v/>
      </c>
      <c r="AD11" s="5">
        <f>IF('03_Сеть'!AD7&gt;=ДатаSMM,SMMNet/NetGross*(1+ИнфляцияЗарплат)^MAX(0,YEAR('03_Сеть'!AD7)-YEAR(ДатаSMM)+IF(MONTH('03_Сеть'!AD7)&gt;=9,1,0)-IF(MONTH(ДатаSMM)&gt;=9,1,0)),0)</f>
        <v/>
      </c>
      <c r="AE11" s="5">
        <f>IF('03_Сеть'!AE7&gt;=ДатаSMM,SMMNet/NetGross*(1+ИнфляцияЗарплат)^MAX(0,YEAR('03_Сеть'!AE7)-YEAR(ДатаSMM)+IF(MONTH('03_Сеть'!AE7)&gt;=9,1,0)-IF(MONTH(ДатаSMM)&gt;=9,1,0)),0)</f>
        <v/>
      </c>
      <c r="AF11" s="5">
        <f>IF('03_Сеть'!AF7&gt;=ДатаSMM,SMMNet/NetGross*(1+ИнфляцияЗарплат)^MAX(0,YEAR('03_Сеть'!AF7)-YEAR(ДатаSMM)+IF(MONTH('03_Сеть'!AF7)&gt;=9,1,0)-IF(MONTH(ДатаSMM)&gt;=9,1,0)),0)</f>
        <v/>
      </c>
      <c r="AG11" s="5">
        <f>IF('03_Сеть'!AG7&gt;=ДатаSMM,SMMNet/NetGross*(1+ИнфляцияЗарплат)^MAX(0,YEAR('03_Сеть'!AG7)-YEAR(ДатаSMM)+IF(MONTH('03_Сеть'!AG7)&gt;=9,1,0)-IF(MONTH(ДатаSMM)&gt;=9,1,0)),0)</f>
        <v/>
      </c>
      <c r="AH11" s="5">
        <f>IF('03_Сеть'!AH7&gt;=ДатаSMM,SMMNet/NetGross*(1+ИнфляцияЗарплат)^MAX(0,YEAR('03_Сеть'!AH7)-YEAR(ДатаSMM)+IF(MONTH('03_Сеть'!AH7)&gt;=9,1,0)-IF(MONTH(ДатаSMM)&gt;=9,1,0)),0)</f>
        <v/>
      </c>
      <c r="AI11" s="5">
        <f>IF('03_Сеть'!AI7&gt;=ДатаSMM,SMMNet/NetGross*(1+ИнфляцияЗарплат)^MAX(0,YEAR('03_Сеть'!AI7)-YEAR(ДатаSMM)+IF(MONTH('03_Сеть'!AI7)&gt;=9,1,0)-IF(MONTH(ДатаSMM)&gt;=9,1,0)),0)</f>
        <v/>
      </c>
      <c r="AJ11" s="5">
        <f>IF('03_Сеть'!AJ7&gt;=ДатаSMM,SMMNet/NetGross*(1+ИнфляцияЗарплат)^MAX(0,YEAR('03_Сеть'!AJ7)-YEAR(ДатаSMM)+IF(MONTH('03_Сеть'!AJ7)&gt;=9,1,0)-IF(MONTH(ДатаSMM)&gt;=9,1,0)),0)</f>
        <v/>
      </c>
      <c r="AK11" s="5">
        <f>IF('03_Сеть'!AK7&gt;=ДатаSMM,SMMNet/NetGross*(1+ИнфляцияЗарплат)^MAX(0,YEAR('03_Сеть'!AK7)-YEAR(ДатаSMM)+IF(MONTH('03_Сеть'!AK7)&gt;=9,1,0)-IF(MONTH(ДатаSMM)&gt;=9,1,0)),0)</f>
        <v/>
      </c>
      <c r="AL11" s="5">
        <f>IF('03_Сеть'!AL7&gt;=ДатаSMM,SMMNet/NetGross*(1+ИнфляцияЗарплат)^MAX(0,YEAR('03_Сеть'!AL7)-YEAR(ДатаSMM)+IF(MONTH('03_Сеть'!AL7)&gt;=9,1,0)-IF(MONTH(ДатаSMM)&gt;=9,1,0)),0)</f>
        <v/>
      </c>
      <c r="AM11" s="5">
        <f>IF('03_Сеть'!AM7&gt;=ДатаSMM,SMMNet/NetGross*(1+ИнфляцияЗарплат)^MAX(0,YEAR('03_Сеть'!AM7)-YEAR(ДатаSMM)+IF(MONTH('03_Сеть'!AM7)&gt;=9,1,0)-IF(MONTH(ДатаSMM)&gt;=9,1,0)),0)</f>
        <v/>
      </c>
      <c r="AN11" s="5">
        <f>IF('03_Сеть'!AN7&gt;=ДатаSMM,SMMNet/NetGross*(1+ИнфляцияЗарплат)^MAX(0,YEAR('03_Сеть'!AN7)-YEAR(ДатаSMM)+IF(MONTH('03_Сеть'!AN7)&gt;=9,1,0)-IF(MONTH(ДатаSMM)&gt;=9,1,0)),0)</f>
        <v/>
      </c>
      <c r="AO11" s="5">
        <f>IF('03_Сеть'!AO7&gt;=ДатаSMM,SMMNet/NetGross*(1+ИнфляцияЗарплат)^MAX(0,YEAR('03_Сеть'!AO7)-YEAR(ДатаSMM)+IF(MONTH('03_Сеть'!AO7)&gt;=9,1,0)-IF(MONTH(ДатаSMM)&gt;=9,1,0)),0)</f>
        <v/>
      </c>
      <c r="AP11" s="5">
        <f>IF('03_Сеть'!AP7&gt;=ДатаSMM,SMMNet/NetGross*(1+ИнфляцияЗарплат)^MAX(0,YEAR('03_Сеть'!AP7)-YEAR(ДатаSMM)+IF(MONTH('03_Сеть'!AP7)&gt;=9,1,0)-IF(MONTH(ДатаSMM)&gt;=9,1,0)),0)</f>
        <v/>
      </c>
      <c r="AQ11" s="5">
        <f>IF('03_Сеть'!AQ7&gt;=ДатаSMM,SMMNet/NetGross*(1+ИнфляцияЗарплат)^MAX(0,YEAR('03_Сеть'!AQ7)-YEAR(ДатаSMM)+IF(MONTH('03_Сеть'!AQ7)&gt;=9,1,0)-IF(MONTH(ДатаSMM)&gt;=9,1,0)),0)</f>
        <v/>
      </c>
      <c r="AR11" s="5">
        <f>IF('03_Сеть'!AR7&gt;=ДатаSMM,SMMNet/NetGross*(1+ИнфляцияЗарплат)^MAX(0,YEAR('03_Сеть'!AR7)-YEAR(ДатаSMM)+IF(MONTH('03_Сеть'!AR7)&gt;=9,1,0)-IF(MONTH(ДатаSMM)&gt;=9,1,0)),0)</f>
        <v/>
      </c>
      <c r="AS11" s="5">
        <f>IF('03_Сеть'!AS7&gt;=ДатаSMM,SMMNet/NetGross*(1+ИнфляцияЗарплат)^MAX(0,YEAR('03_Сеть'!AS7)-YEAR(ДатаSMM)+IF(MONTH('03_Сеть'!AS7)&gt;=9,1,0)-IF(MONTH(ДатаSMM)&gt;=9,1,0)),0)</f>
        <v/>
      </c>
      <c r="AT11" s="5">
        <f>IF('03_Сеть'!AT7&gt;=ДатаSMM,SMMNet/NetGross*(1+ИнфляцияЗарплат)^MAX(0,YEAR('03_Сеть'!AT7)-YEAR(ДатаSMM)+IF(MONTH('03_Сеть'!AT7)&gt;=9,1,0)-IF(MONTH(ДатаSMM)&gt;=9,1,0)),0)</f>
        <v/>
      </c>
      <c r="AU11" s="5">
        <f>IF('03_Сеть'!AU7&gt;=ДатаSMM,SMMNet/NetGross*(1+ИнфляцияЗарплат)^MAX(0,YEAR('03_Сеть'!AU7)-YEAR(ДатаSMM)+IF(MONTH('03_Сеть'!AU7)&gt;=9,1,0)-IF(MONTH(ДатаSMM)&gt;=9,1,0)),0)</f>
        <v/>
      </c>
      <c r="AV11" s="5">
        <f>IF('03_Сеть'!AV7&gt;=ДатаSMM,SMMNet/NetGross*(1+ИнфляцияЗарплат)^MAX(0,YEAR('03_Сеть'!AV7)-YEAR(ДатаSMM)+IF(MONTH('03_Сеть'!AV7)&gt;=9,1,0)-IF(MONTH(ДатаSMM)&gt;=9,1,0)),0)</f>
        <v/>
      </c>
      <c r="AW11" s="5">
        <f>IF('03_Сеть'!AW7&gt;=ДатаSMM,SMMNet/NetGross*(1+ИнфляцияЗарплат)^MAX(0,YEAR('03_Сеть'!AW7)-YEAR(ДатаSMM)+IF(MONTH('03_Сеть'!AW7)&gt;=9,1,0)-IF(MONTH(ДатаSMM)&gt;=9,1,0)),0)</f>
        <v/>
      </c>
      <c r="AX11" s="5">
        <f>IF('03_Сеть'!AX7&gt;=ДатаSMM,SMMNet/NetGross*(1+ИнфляцияЗарплат)^MAX(0,YEAR('03_Сеть'!AX7)-YEAR(ДатаSMM)+IF(MONTH('03_Сеть'!AX7)&gt;=9,1,0)-IF(MONTH(ДатаSMM)&gt;=9,1,0)),0)</f>
        <v/>
      </c>
      <c r="AY11" s="5">
        <f>IF('03_Сеть'!AY7&gt;=ДатаSMM,SMMNet/NetGross*(1+ИнфляцияЗарплат)^MAX(0,YEAR('03_Сеть'!AY7)-YEAR(ДатаSMM)+IF(MONTH('03_Сеть'!AY7)&gt;=9,1,0)-IF(MONTH(ДатаSMM)&gt;=9,1,0)),0)</f>
        <v/>
      </c>
      <c r="AZ11" s="5">
        <f>IF('03_Сеть'!AZ7&gt;=ДатаSMM,SMMNet/NetGross*(1+ИнфляцияЗарплат)^MAX(0,YEAR('03_Сеть'!AZ7)-YEAR(ДатаSMM)+IF(MONTH('03_Сеть'!AZ7)&gt;=9,1,0)-IF(MONTH(ДатаSMM)&gt;=9,1,0)),0)</f>
        <v/>
      </c>
      <c r="BA11" s="5">
        <f>IF('03_Сеть'!BA7&gt;=ДатаSMM,SMMNet/NetGross*(1+ИнфляцияЗарплат)^MAX(0,YEAR('03_Сеть'!BA7)-YEAR(ДатаSMM)+IF(MONTH('03_Сеть'!BA7)&gt;=9,1,0)-IF(MONTH(ДатаSMM)&gt;=9,1,0)),0)</f>
        <v/>
      </c>
      <c r="BB11" s="5">
        <f>IF('03_Сеть'!BB7&gt;=ДатаSMM,SMMNet/NetGross*(1+ИнфляцияЗарплат)^MAX(0,YEAR('03_Сеть'!BB7)-YEAR(ДатаSMM)+IF(MONTH('03_Сеть'!BB7)&gt;=9,1,0)-IF(MONTH(ДатаSMM)&gt;=9,1,0)),0)</f>
        <v/>
      </c>
      <c r="BC11" s="5">
        <f>IF('03_Сеть'!BC7&gt;=ДатаSMM,SMMNet/NetGross*(1+ИнфляцияЗарплат)^MAX(0,YEAR('03_Сеть'!BC7)-YEAR(ДатаSMM)+IF(MONTH('03_Сеть'!BC7)&gt;=9,1,0)-IF(MONTH(ДатаSMM)&gt;=9,1,0)),0)</f>
        <v/>
      </c>
      <c r="BD11" s="5">
        <f>IF('03_Сеть'!BD7&gt;=ДатаSMM,SMMNet/NetGross*(1+ИнфляцияЗарплат)^MAX(0,YEAR('03_Сеть'!BD7)-YEAR(ДатаSMM)+IF(MONTH('03_Сеть'!BD7)&gt;=9,1,0)-IF(MONTH(ДатаSMM)&gt;=9,1,0)),0)</f>
        <v/>
      </c>
      <c r="BE11" s="5">
        <f>IF('03_Сеть'!BE7&gt;=ДатаSMM,SMMNet/NetGross*(1+ИнфляцияЗарплат)^MAX(0,YEAR('03_Сеть'!BE7)-YEAR(ДатаSMM)+IF(MONTH('03_Сеть'!BE7)&gt;=9,1,0)-IF(MONTH(ДатаSMM)&gt;=9,1,0)),0)</f>
        <v/>
      </c>
      <c r="BF11" s="5">
        <f>IF('03_Сеть'!BF7&gt;=ДатаSMM,SMMNet/NetGross*(1+ИнфляцияЗарплат)^MAX(0,YEAR('03_Сеть'!BF7)-YEAR(ДатаSMM)+IF(MONTH('03_Сеть'!BF7)&gt;=9,1,0)-IF(MONTH(ДатаSMM)&gt;=9,1,0)),0)</f>
        <v/>
      </c>
      <c r="BG11" s="5">
        <f>IF('03_Сеть'!BG7&gt;=ДатаSMM,SMMNet/NetGross*(1+ИнфляцияЗарплат)^MAX(0,YEAR('03_Сеть'!BG7)-YEAR(ДатаSMM)+IF(MONTH('03_Сеть'!BG7)&gt;=9,1,0)-IF(MONTH(ДатаSMM)&gt;=9,1,0)),0)</f>
        <v/>
      </c>
      <c r="BH11" s="5">
        <f>IF('03_Сеть'!BH7&gt;=ДатаSMM,SMMNet/NetGross*(1+ИнфляцияЗарплат)^MAX(0,YEAR('03_Сеть'!BH7)-YEAR(ДатаSMM)+IF(MONTH('03_Сеть'!BH7)&gt;=9,1,0)-IF(MONTH(ДатаSMM)&gt;=9,1,0)),0)</f>
        <v/>
      </c>
      <c r="BI11" s="5">
        <f>IF('03_Сеть'!BI7&gt;=ДатаSMM,SMMNet/NetGross*(1+ИнфляцияЗарплат)^MAX(0,YEAR('03_Сеть'!BI7)-YEAR(ДатаSMM)+IF(MONTH('03_Сеть'!BI7)&gt;=9,1,0)-IF(MONTH(ДатаSMM)&gt;=9,1,0)),0)</f>
        <v/>
      </c>
      <c r="BJ11" s="5">
        <f>IF('03_Сеть'!BJ7&gt;=ДатаSMM,SMMNet/NetGross*(1+ИнфляцияЗарплат)^MAX(0,YEAR('03_Сеть'!BJ7)-YEAR(ДатаSMM)+IF(MONTH('03_Сеть'!BJ7)&gt;=9,1,0)-IF(MONTH(ДатаSMM)&gt;=9,1,0)),0)</f>
        <v/>
      </c>
      <c r="BK11" s="5">
        <f>IF('03_Сеть'!BK7&gt;=ДатаSMM,SMMNet/NetGross*(1+ИнфляцияЗарплат)^MAX(0,YEAR('03_Сеть'!BK7)-YEAR(ДатаSMM)+IF(MONTH('03_Сеть'!BK7)&gt;=9,1,0)-IF(MONTH(ДатаSMM)&gt;=9,1,0)),0)</f>
        <v/>
      </c>
      <c r="BL11" s="5">
        <f>IF('03_Сеть'!BL7&gt;=ДатаSMM,SMMNet/NetGross*(1+ИнфляцияЗарплат)^MAX(0,YEAR('03_Сеть'!BL7)-YEAR(ДатаSMM)+IF(MONTH('03_Сеть'!BL7)&gt;=9,1,0)-IF(MONTH(ДатаSMM)&gt;=9,1,0)),0)</f>
        <v/>
      </c>
      <c r="BM11" s="5">
        <f>IF('03_Сеть'!BM7&gt;=ДатаSMM,SMMNet/NetGross*(1+ИнфляцияЗарплат)^MAX(0,YEAR('03_Сеть'!BM7)-YEAR(ДатаSMM)+IF(MONTH('03_Сеть'!BM7)&gt;=9,1,0)-IF(MONTH(ДатаSMM)&gt;=9,1,0)),0)</f>
        <v/>
      </c>
      <c r="BN11" s="5">
        <f>IF('03_Сеть'!BN7&gt;=ДатаSMM,SMMNet/NetGross*(1+ИнфляцияЗарплат)^MAX(0,YEAR('03_Сеть'!BN7)-YEAR(ДатаSMM)+IF(MONTH('03_Сеть'!BN7)&gt;=9,1,0)-IF(MONTH(ДатаSMM)&gt;=9,1,0)),0)</f>
        <v/>
      </c>
      <c r="BO11" s="5">
        <f>IF('03_Сеть'!BO7&gt;=ДатаSMM,SMMNet/NetGross*(1+ИнфляцияЗарплат)^MAX(0,YEAR('03_Сеть'!BO7)-YEAR(ДатаSMM)+IF(MONTH('03_Сеть'!BO7)&gt;=9,1,0)-IF(MONTH(ДатаSMM)&gt;=9,1,0)),0)</f>
        <v/>
      </c>
      <c r="BP11" s="5">
        <f>IF('03_Сеть'!BP7&gt;=ДатаSMM,SMMNet/NetGross*(1+ИнфляцияЗарплат)^MAX(0,YEAR('03_Сеть'!BP7)-YEAR(ДатаSMM)+IF(MONTH('03_Сеть'!BP7)&gt;=9,1,0)-IF(MONTH(ДатаSMM)&gt;=9,1,0)),0)</f>
        <v/>
      </c>
      <c r="BQ11" s="5">
        <f>IF('03_Сеть'!BQ7&gt;=ДатаSMM,SMMNet/NetGross*(1+ИнфляцияЗарплат)^MAX(0,YEAR('03_Сеть'!BQ7)-YEAR(ДатаSMM)+IF(MONTH('03_Сеть'!BQ7)&gt;=9,1,0)-IF(MONTH(ДатаSMM)&gt;=9,1,0)),0)</f>
        <v/>
      </c>
      <c r="BR11" s="5">
        <f>IF('03_Сеть'!BR7&gt;=ДатаSMM,SMMNet/NetGross*(1+ИнфляцияЗарплат)^MAX(0,YEAR('03_Сеть'!BR7)-YEAR(ДатаSMM)+IF(MONTH('03_Сеть'!BR7)&gt;=9,1,0)-IF(MONTH(ДатаSMM)&gt;=9,1,0)),0)</f>
        <v/>
      </c>
      <c r="BS11" s="5">
        <f>IF('03_Сеть'!BS7&gt;=ДатаSMM,SMMNet/NetGross*(1+ИнфляцияЗарплат)^MAX(0,YEAR('03_Сеть'!BS7)-YEAR(ДатаSMM)+IF(MONTH('03_Сеть'!BS7)&gt;=9,1,0)-IF(MONTH(ДатаSMM)&gt;=9,1,0)),0)</f>
        <v/>
      </c>
      <c r="BT11" s="5">
        <f>IF('03_Сеть'!BT7&gt;=ДатаSMM,SMMNet/NetGross*(1+ИнфляцияЗарплат)^MAX(0,YEAR('03_Сеть'!BT7)-YEAR(ДатаSMM)+IF(MONTH('03_Сеть'!BT7)&gt;=9,1,0)-IF(MONTH(ДатаSMM)&gt;=9,1,0)),0)</f>
        <v/>
      </c>
      <c r="BU11" s="5">
        <f>IF('03_Сеть'!BU7&gt;=ДатаSMM,SMMNet/NetGross*(1+ИнфляцияЗарплат)^MAX(0,YEAR('03_Сеть'!BU7)-YEAR(ДатаSMM)+IF(MONTH('03_Сеть'!BU7)&gt;=9,1,0)-IF(MONTH(ДатаSMM)&gt;=9,1,0)),0)</f>
        <v/>
      </c>
      <c r="BV11" s="5">
        <f>IF('03_Сеть'!BV7&gt;=ДатаSMM,SMMNet/NetGross*(1+ИнфляцияЗарплат)^MAX(0,YEAR('03_Сеть'!BV7)-YEAR(ДатаSMM)+IF(MONTH('03_Сеть'!BV7)&gt;=9,1,0)-IF(MONTH(ДатаSMM)&gt;=9,1,0)),0)</f>
        <v/>
      </c>
      <c r="BW11" s="5">
        <f>IF('03_Сеть'!BW7&gt;=ДатаSMM,SMMNet/NetGross*(1+ИнфляцияЗарплат)^MAX(0,YEAR('03_Сеть'!BW7)-YEAR(ДатаSMM)+IF(MONTH('03_Сеть'!BW7)&gt;=9,1,0)-IF(MONTH(ДатаSMM)&gt;=9,1,0)),0)</f>
        <v/>
      </c>
      <c r="BX11" s="5">
        <f>IF('03_Сеть'!BX7&gt;=ДатаSMM,SMMNet/NetGross*(1+ИнфляцияЗарплат)^MAX(0,YEAR('03_Сеть'!BX7)-YEAR(ДатаSMM)+IF(MONTH('03_Сеть'!BX7)&gt;=9,1,0)-IF(MONTH(ДатаSMM)&gt;=9,1,0)),0)</f>
        <v/>
      </c>
      <c r="BY11" s="5">
        <f>IF('03_Сеть'!BY7&gt;=ДатаSMM,SMMNet/NetGross*(1+ИнфляцияЗарплат)^MAX(0,YEAR('03_Сеть'!BY7)-YEAR(ДатаSMM)+IF(MONTH('03_Сеть'!BY7)&gt;=9,1,0)-IF(MONTH(ДатаSMM)&gt;=9,1,0)),0)</f>
        <v/>
      </c>
    </row>
    <row r="12">
      <c r="B12" t="inlineStr">
        <is>
          <t>Доп. менеджеры развития</t>
        </is>
      </c>
      <c r="C12" t="inlineStr">
        <is>
          <t>чел.</t>
        </is>
      </c>
      <c r="D12" s="127" t="inlineStr">
        <is>
          <t>Новый менеджер на каждые 35 партнёров В колонках лет — значение на конец года, в «Итого» — на конец пятого года. Это остаток, а не сумма.</t>
        </is>
      </c>
      <c r="E12" s="129">
        <f>W12</f>
        <v/>
      </c>
      <c r="F12" s="129">
        <f>AI12</f>
        <v/>
      </c>
      <c r="G12" s="129">
        <f>AU12</f>
        <v/>
      </c>
      <c r="H12" s="129">
        <f>BG12</f>
        <v/>
      </c>
      <c r="I12" s="129">
        <f>BS12</f>
        <v/>
      </c>
      <c r="J12" s="6">
        <f>BS12</f>
        <v/>
      </c>
      <c r="L12" s="5">
        <f>MAX(0,MAX(БазовыхМенеджеров,INT('03_Сеть'!L61/ЮрлицНаМенеджера)+1)-БазовыхМенеджеров)</f>
        <v/>
      </c>
      <c r="M12" s="5">
        <f>MAX(0,MAX(БазовыхМенеджеров,INT('03_Сеть'!M61/ЮрлицНаМенеджера)+1)-БазовыхМенеджеров)</f>
        <v/>
      </c>
      <c r="N12" s="5">
        <f>MAX(0,MAX(БазовыхМенеджеров,INT('03_Сеть'!N61/ЮрлицНаМенеджера)+1)-БазовыхМенеджеров)</f>
        <v/>
      </c>
      <c r="O12" s="5">
        <f>MAX(0,MAX(БазовыхМенеджеров,INT('03_Сеть'!O61/ЮрлицНаМенеджера)+1)-БазовыхМенеджеров)</f>
        <v/>
      </c>
      <c r="P12" s="5">
        <f>MAX(0,MAX(БазовыхМенеджеров,INT('03_Сеть'!P61/ЮрлицНаМенеджера)+1)-БазовыхМенеджеров)</f>
        <v/>
      </c>
      <c r="Q12" s="5">
        <f>MAX(0,MAX(БазовыхМенеджеров,INT('03_Сеть'!Q61/ЮрлицНаМенеджера)+1)-БазовыхМенеджеров)</f>
        <v/>
      </c>
      <c r="R12" s="5">
        <f>MAX(0,MAX(БазовыхМенеджеров,INT('03_Сеть'!R61/ЮрлицНаМенеджера)+1)-БазовыхМенеджеров)</f>
        <v/>
      </c>
      <c r="S12" s="5">
        <f>MAX(0,MAX(БазовыхМенеджеров,INT('03_Сеть'!S61/ЮрлицНаМенеджера)+1)-БазовыхМенеджеров)</f>
        <v/>
      </c>
      <c r="T12" s="5">
        <f>MAX(0,MAX(БазовыхМенеджеров,INT('03_Сеть'!T61/ЮрлицНаМенеджера)+1)-БазовыхМенеджеров)</f>
        <v/>
      </c>
      <c r="U12" s="5">
        <f>MAX(0,MAX(БазовыхМенеджеров,INT('03_Сеть'!U61/ЮрлицНаМенеджера)+1)-БазовыхМенеджеров)</f>
        <v/>
      </c>
      <c r="V12" s="5">
        <f>MAX(0,MAX(БазовыхМенеджеров,INT('03_Сеть'!V61/ЮрлицНаМенеджера)+1)-БазовыхМенеджеров)</f>
        <v/>
      </c>
      <c r="W12" s="5">
        <f>MAX(0,MAX(БазовыхМенеджеров,INT('03_Сеть'!W61/ЮрлицНаМенеджера)+1)-БазовыхМенеджеров)</f>
        <v/>
      </c>
      <c r="X12" s="5">
        <f>MAX(0,MAX(БазовыхМенеджеров,INT('03_Сеть'!X61/ЮрлицНаМенеджера)+1)-БазовыхМенеджеров)</f>
        <v/>
      </c>
      <c r="Y12" s="5">
        <f>MAX(0,MAX(БазовыхМенеджеров,INT('03_Сеть'!Y61/ЮрлицНаМенеджера)+1)-БазовыхМенеджеров)</f>
        <v/>
      </c>
      <c r="Z12" s="5">
        <f>MAX(0,MAX(БазовыхМенеджеров,INT('03_Сеть'!Z61/ЮрлицНаМенеджера)+1)-БазовыхМенеджеров)</f>
        <v/>
      </c>
      <c r="AA12" s="5">
        <f>MAX(0,MAX(БазовыхМенеджеров,INT('03_Сеть'!AA61/ЮрлицНаМенеджера)+1)-БазовыхМенеджеров)</f>
        <v/>
      </c>
      <c r="AB12" s="5">
        <f>MAX(0,MAX(БазовыхМенеджеров,INT('03_Сеть'!AB61/ЮрлицНаМенеджера)+1)-БазовыхМенеджеров)</f>
        <v/>
      </c>
      <c r="AC12" s="5">
        <f>MAX(0,MAX(БазовыхМенеджеров,INT('03_Сеть'!AC61/ЮрлицНаМенеджера)+1)-БазовыхМенеджеров)</f>
        <v/>
      </c>
      <c r="AD12" s="5">
        <f>MAX(0,MAX(БазовыхМенеджеров,INT('03_Сеть'!AD61/ЮрлицНаМенеджера)+1)-БазовыхМенеджеров)</f>
        <v/>
      </c>
      <c r="AE12" s="5">
        <f>MAX(0,MAX(БазовыхМенеджеров,INT('03_Сеть'!AE61/ЮрлицНаМенеджера)+1)-БазовыхМенеджеров)</f>
        <v/>
      </c>
      <c r="AF12" s="5">
        <f>MAX(0,MAX(БазовыхМенеджеров,INT('03_Сеть'!AF61/ЮрлицНаМенеджера)+1)-БазовыхМенеджеров)</f>
        <v/>
      </c>
      <c r="AG12" s="5">
        <f>MAX(0,MAX(БазовыхМенеджеров,INT('03_Сеть'!AG61/ЮрлицНаМенеджера)+1)-БазовыхМенеджеров)</f>
        <v/>
      </c>
      <c r="AH12" s="5">
        <f>MAX(0,MAX(БазовыхМенеджеров,INT('03_Сеть'!AH61/ЮрлицНаМенеджера)+1)-БазовыхМенеджеров)</f>
        <v/>
      </c>
      <c r="AI12" s="5">
        <f>MAX(0,MAX(БазовыхМенеджеров,INT('03_Сеть'!AI61/ЮрлицНаМенеджера)+1)-БазовыхМенеджеров)</f>
        <v/>
      </c>
      <c r="AJ12" s="5">
        <f>MAX(0,MAX(БазовыхМенеджеров,INT('03_Сеть'!AJ61/ЮрлицНаМенеджера)+1)-БазовыхМенеджеров)</f>
        <v/>
      </c>
      <c r="AK12" s="5">
        <f>MAX(0,MAX(БазовыхМенеджеров,INT('03_Сеть'!AK61/ЮрлицНаМенеджера)+1)-БазовыхМенеджеров)</f>
        <v/>
      </c>
      <c r="AL12" s="5">
        <f>MAX(0,MAX(БазовыхМенеджеров,INT('03_Сеть'!AL61/ЮрлицНаМенеджера)+1)-БазовыхМенеджеров)</f>
        <v/>
      </c>
      <c r="AM12" s="5">
        <f>MAX(0,MAX(БазовыхМенеджеров,INT('03_Сеть'!AM61/ЮрлицНаМенеджера)+1)-БазовыхМенеджеров)</f>
        <v/>
      </c>
      <c r="AN12" s="5">
        <f>MAX(0,MAX(БазовыхМенеджеров,INT('03_Сеть'!AN61/ЮрлицНаМенеджера)+1)-БазовыхМенеджеров)</f>
        <v/>
      </c>
      <c r="AO12" s="5">
        <f>MAX(0,MAX(БазовыхМенеджеров,INT('03_Сеть'!AO61/ЮрлицНаМенеджера)+1)-БазовыхМенеджеров)</f>
        <v/>
      </c>
      <c r="AP12" s="5">
        <f>MAX(0,MAX(БазовыхМенеджеров,INT('03_Сеть'!AP61/ЮрлицНаМенеджера)+1)-БазовыхМенеджеров)</f>
        <v/>
      </c>
      <c r="AQ12" s="5">
        <f>MAX(0,MAX(БазовыхМенеджеров,INT('03_Сеть'!AQ61/ЮрлицНаМенеджера)+1)-БазовыхМенеджеров)</f>
        <v/>
      </c>
      <c r="AR12" s="5">
        <f>MAX(0,MAX(БазовыхМенеджеров,INT('03_Сеть'!AR61/ЮрлицНаМенеджера)+1)-БазовыхМенеджеров)</f>
        <v/>
      </c>
      <c r="AS12" s="5">
        <f>MAX(0,MAX(БазовыхМенеджеров,INT('03_Сеть'!AS61/ЮрлицНаМенеджера)+1)-БазовыхМенеджеров)</f>
        <v/>
      </c>
      <c r="AT12" s="5">
        <f>MAX(0,MAX(БазовыхМенеджеров,INT('03_Сеть'!AT61/ЮрлицНаМенеджера)+1)-БазовыхМенеджеров)</f>
        <v/>
      </c>
      <c r="AU12" s="5">
        <f>MAX(0,MAX(БазовыхМенеджеров,INT('03_Сеть'!AU61/ЮрлицНаМенеджера)+1)-БазовыхМенеджеров)</f>
        <v/>
      </c>
      <c r="AV12" s="5">
        <f>MAX(0,MAX(БазовыхМенеджеров,INT('03_Сеть'!AV61/ЮрлицНаМенеджера)+1)-БазовыхМенеджеров)</f>
        <v/>
      </c>
      <c r="AW12" s="5">
        <f>MAX(0,MAX(БазовыхМенеджеров,INT('03_Сеть'!AW61/ЮрлицНаМенеджера)+1)-БазовыхМенеджеров)</f>
        <v/>
      </c>
      <c r="AX12" s="5">
        <f>MAX(0,MAX(БазовыхМенеджеров,INT('03_Сеть'!AX61/ЮрлицНаМенеджера)+1)-БазовыхМенеджеров)</f>
        <v/>
      </c>
      <c r="AY12" s="5">
        <f>MAX(0,MAX(БазовыхМенеджеров,INT('03_Сеть'!AY61/ЮрлицНаМенеджера)+1)-БазовыхМенеджеров)</f>
        <v/>
      </c>
      <c r="AZ12" s="5">
        <f>MAX(0,MAX(БазовыхМенеджеров,INT('03_Сеть'!AZ61/ЮрлицНаМенеджера)+1)-БазовыхМенеджеров)</f>
        <v/>
      </c>
      <c r="BA12" s="5">
        <f>MAX(0,MAX(БазовыхМенеджеров,INT('03_Сеть'!BA61/ЮрлицНаМенеджера)+1)-БазовыхМенеджеров)</f>
        <v/>
      </c>
      <c r="BB12" s="5">
        <f>MAX(0,MAX(БазовыхМенеджеров,INT('03_Сеть'!BB61/ЮрлицНаМенеджера)+1)-БазовыхМенеджеров)</f>
        <v/>
      </c>
      <c r="BC12" s="5">
        <f>MAX(0,MAX(БазовыхМенеджеров,INT('03_Сеть'!BC61/ЮрлицНаМенеджера)+1)-БазовыхМенеджеров)</f>
        <v/>
      </c>
      <c r="BD12" s="5">
        <f>MAX(0,MAX(БазовыхМенеджеров,INT('03_Сеть'!BD61/ЮрлицНаМенеджера)+1)-БазовыхМенеджеров)</f>
        <v/>
      </c>
      <c r="BE12" s="5">
        <f>MAX(0,MAX(БазовыхМенеджеров,INT('03_Сеть'!BE61/ЮрлицНаМенеджера)+1)-БазовыхМенеджеров)</f>
        <v/>
      </c>
      <c r="BF12" s="5">
        <f>MAX(0,MAX(БазовыхМенеджеров,INT('03_Сеть'!BF61/ЮрлицНаМенеджера)+1)-БазовыхМенеджеров)</f>
        <v/>
      </c>
      <c r="BG12" s="5">
        <f>MAX(0,MAX(БазовыхМенеджеров,INT('03_Сеть'!BG61/ЮрлицНаМенеджера)+1)-БазовыхМенеджеров)</f>
        <v/>
      </c>
      <c r="BH12" s="5">
        <f>MAX(0,MAX(БазовыхМенеджеров,INT('03_Сеть'!BH61/ЮрлицНаМенеджера)+1)-БазовыхМенеджеров)</f>
        <v/>
      </c>
      <c r="BI12" s="5">
        <f>MAX(0,MAX(БазовыхМенеджеров,INT('03_Сеть'!BI61/ЮрлицНаМенеджера)+1)-БазовыхМенеджеров)</f>
        <v/>
      </c>
      <c r="BJ12" s="5">
        <f>MAX(0,MAX(БазовыхМенеджеров,INT('03_Сеть'!BJ61/ЮрлицНаМенеджера)+1)-БазовыхМенеджеров)</f>
        <v/>
      </c>
      <c r="BK12" s="5">
        <f>MAX(0,MAX(БазовыхМенеджеров,INT('03_Сеть'!BK61/ЮрлицНаМенеджера)+1)-БазовыхМенеджеров)</f>
        <v/>
      </c>
      <c r="BL12" s="5">
        <f>MAX(0,MAX(БазовыхМенеджеров,INT('03_Сеть'!BL61/ЮрлицНаМенеджера)+1)-БазовыхМенеджеров)</f>
        <v/>
      </c>
      <c r="BM12" s="5">
        <f>MAX(0,MAX(БазовыхМенеджеров,INT('03_Сеть'!BM61/ЮрлицНаМенеджера)+1)-БазовыхМенеджеров)</f>
        <v/>
      </c>
      <c r="BN12" s="5">
        <f>MAX(0,MAX(БазовыхМенеджеров,INT('03_Сеть'!BN61/ЮрлицНаМенеджера)+1)-БазовыхМенеджеров)</f>
        <v/>
      </c>
      <c r="BO12" s="5">
        <f>MAX(0,MAX(БазовыхМенеджеров,INT('03_Сеть'!BO61/ЮрлицНаМенеджера)+1)-БазовыхМенеджеров)</f>
        <v/>
      </c>
      <c r="BP12" s="5">
        <f>MAX(0,MAX(БазовыхМенеджеров,INT('03_Сеть'!BP61/ЮрлицНаМенеджера)+1)-БазовыхМенеджеров)</f>
        <v/>
      </c>
      <c r="BQ12" s="5">
        <f>MAX(0,MAX(БазовыхМенеджеров,INT('03_Сеть'!BQ61/ЮрлицНаМенеджера)+1)-БазовыхМенеджеров)</f>
        <v/>
      </c>
      <c r="BR12" s="5">
        <f>MAX(0,MAX(БазовыхМенеджеров,INT('03_Сеть'!BR61/ЮрлицНаМенеджера)+1)-БазовыхМенеджеров)</f>
        <v/>
      </c>
      <c r="BS12" s="5">
        <f>MAX(0,MAX(БазовыхМенеджеров,INT('03_Сеть'!BS61/ЮрлицНаМенеджера)+1)-БазовыхМенеджеров)</f>
        <v/>
      </c>
      <c r="BT12" s="5">
        <f>MAX(0,MAX(БазовыхМенеджеров,INT('03_Сеть'!BT61/ЮрлицНаМенеджера)+1)-БазовыхМенеджеров)</f>
        <v/>
      </c>
      <c r="BU12" s="5">
        <f>MAX(0,MAX(БазовыхМенеджеров,INT('03_Сеть'!BU61/ЮрлицНаМенеджера)+1)-БазовыхМенеджеров)</f>
        <v/>
      </c>
      <c r="BV12" s="5">
        <f>MAX(0,MAX(БазовыхМенеджеров,INT('03_Сеть'!BV61/ЮрлицНаМенеджера)+1)-БазовыхМенеджеров)</f>
        <v/>
      </c>
      <c r="BW12" s="5">
        <f>MAX(0,MAX(БазовыхМенеджеров,INT('03_Сеть'!BW61/ЮрлицНаМенеджера)+1)-БазовыхМенеджеров)</f>
        <v/>
      </c>
      <c r="BX12" s="5">
        <f>MAX(0,MAX(БазовыхМенеджеров,INT('03_Сеть'!BX61/ЮрлицНаМенеджера)+1)-БазовыхМенеджеров)</f>
        <v/>
      </c>
      <c r="BY12" s="5">
        <f>MAX(0,MAX(БазовыхМенеджеров,INT('03_Сеть'!BY61/ЮрлицНаМенеджера)+1)-БазовыхМенеджеров)</f>
        <v/>
      </c>
    </row>
    <row r="13">
      <c r="B13" t="inlineStr">
        <is>
          <t>Доп. менеджеры, gross</t>
        </is>
      </c>
      <c r="C13" t="inlineStr">
        <is>
          <t>₽</t>
        </is>
      </c>
      <c r="D13" s="127" t="inlineStr"/>
      <c r="E13" s="129">
        <f>SUM(L13:W13)</f>
        <v/>
      </c>
      <c r="F13" s="129">
        <f>SUM(X13:AI13)</f>
        <v/>
      </c>
      <c r="G13" s="129">
        <f>SUM(AJ13:AU13)</f>
        <v/>
      </c>
      <c r="H13" s="129">
        <f>SUM(AV13:BG13)</f>
        <v/>
      </c>
      <c r="I13" s="129">
        <f>SUM(BH13:BS13)</f>
        <v/>
      </c>
      <c r="J13" s="6">
        <f>SUM(L13:BS13)</f>
        <v/>
      </c>
      <c r="L13" s="5">
        <f>L12*ОкладМенеджера*L7</f>
        <v/>
      </c>
      <c r="M13" s="5">
        <f>M12*ОкладМенеджера*M7</f>
        <v/>
      </c>
      <c r="N13" s="5">
        <f>N12*ОкладМенеджера*N7</f>
        <v/>
      </c>
      <c r="O13" s="5">
        <f>O12*ОкладМенеджера*O7</f>
        <v/>
      </c>
      <c r="P13" s="5">
        <f>P12*ОкладМенеджера*P7</f>
        <v/>
      </c>
      <c r="Q13" s="5">
        <f>Q12*ОкладМенеджера*Q7</f>
        <v/>
      </c>
      <c r="R13" s="5">
        <f>R12*ОкладМенеджера*R7</f>
        <v/>
      </c>
      <c r="S13" s="5">
        <f>S12*ОкладМенеджера*S7</f>
        <v/>
      </c>
      <c r="T13" s="5">
        <f>T12*ОкладМенеджера*T7</f>
        <v/>
      </c>
      <c r="U13" s="5">
        <f>U12*ОкладМенеджера*U7</f>
        <v/>
      </c>
      <c r="V13" s="5">
        <f>V12*ОкладМенеджера*V7</f>
        <v/>
      </c>
      <c r="W13" s="5">
        <f>W12*ОкладМенеджера*W7</f>
        <v/>
      </c>
      <c r="X13" s="5">
        <f>X12*ОкладМенеджера*X7</f>
        <v/>
      </c>
      <c r="Y13" s="5">
        <f>Y12*ОкладМенеджера*Y7</f>
        <v/>
      </c>
      <c r="Z13" s="5">
        <f>Z12*ОкладМенеджера*Z7</f>
        <v/>
      </c>
      <c r="AA13" s="5">
        <f>AA12*ОкладМенеджера*AA7</f>
        <v/>
      </c>
      <c r="AB13" s="5">
        <f>AB12*ОкладМенеджера*AB7</f>
        <v/>
      </c>
      <c r="AC13" s="5">
        <f>AC12*ОкладМенеджера*AC7</f>
        <v/>
      </c>
      <c r="AD13" s="5">
        <f>AD12*ОкладМенеджера*AD7</f>
        <v/>
      </c>
      <c r="AE13" s="5">
        <f>AE12*ОкладМенеджера*AE7</f>
        <v/>
      </c>
      <c r="AF13" s="5">
        <f>AF12*ОкладМенеджера*AF7</f>
        <v/>
      </c>
      <c r="AG13" s="5">
        <f>AG12*ОкладМенеджера*AG7</f>
        <v/>
      </c>
      <c r="AH13" s="5">
        <f>AH12*ОкладМенеджера*AH7</f>
        <v/>
      </c>
      <c r="AI13" s="5">
        <f>AI12*ОкладМенеджера*AI7</f>
        <v/>
      </c>
      <c r="AJ13" s="5">
        <f>AJ12*ОкладМенеджера*AJ7</f>
        <v/>
      </c>
      <c r="AK13" s="5">
        <f>AK12*ОкладМенеджера*AK7</f>
        <v/>
      </c>
      <c r="AL13" s="5">
        <f>AL12*ОкладМенеджера*AL7</f>
        <v/>
      </c>
      <c r="AM13" s="5">
        <f>AM12*ОкладМенеджера*AM7</f>
        <v/>
      </c>
      <c r="AN13" s="5">
        <f>AN12*ОкладМенеджера*AN7</f>
        <v/>
      </c>
      <c r="AO13" s="5">
        <f>AO12*ОкладМенеджера*AO7</f>
        <v/>
      </c>
      <c r="AP13" s="5">
        <f>AP12*ОкладМенеджера*AP7</f>
        <v/>
      </c>
      <c r="AQ13" s="5">
        <f>AQ12*ОкладМенеджера*AQ7</f>
        <v/>
      </c>
      <c r="AR13" s="5">
        <f>AR12*ОкладМенеджера*AR7</f>
        <v/>
      </c>
      <c r="AS13" s="5">
        <f>AS12*ОкладМенеджера*AS7</f>
        <v/>
      </c>
      <c r="AT13" s="5">
        <f>AT12*ОкладМенеджера*AT7</f>
        <v/>
      </c>
      <c r="AU13" s="5">
        <f>AU12*ОкладМенеджера*AU7</f>
        <v/>
      </c>
      <c r="AV13" s="5">
        <f>AV12*ОкладМенеджера*AV7</f>
        <v/>
      </c>
      <c r="AW13" s="5">
        <f>AW12*ОкладМенеджера*AW7</f>
        <v/>
      </c>
      <c r="AX13" s="5">
        <f>AX12*ОкладМенеджера*AX7</f>
        <v/>
      </c>
      <c r="AY13" s="5">
        <f>AY12*ОкладМенеджера*AY7</f>
        <v/>
      </c>
      <c r="AZ13" s="5">
        <f>AZ12*ОкладМенеджера*AZ7</f>
        <v/>
      </c>
      <c r="BA13" s="5">
        <f>BA12*ОкладМенеджера*BA7</f>
        <v/>
      </c>
      <c r="BB13" s="5">
        <f>BB12*ОкладМенеджера*BB7</f>
        <v/>
      </c>
      <c r="BC13" s="5">
        <f>BC12*ОкладМенеджера*BC7</f>
        <v/>
      </c>
      <c r="BD13" s="5">
        <f>BD12*ОкладМенеджера*BD7</f>
        <v/>
      </c>
      <c r="BE13" s="5">
        <f>BE12*ОкладМенеджера*BE7</f>
        <v/>
      </c>
      <c r="BF13" s="5">
        <f>BF12*ОкладМенеджера*BF7</f>
        <v/>
      </c>
      <c r="BG13" s="5">
        <f>BG12*ОкладМенеджера*BG7</f>
        <v/>
      </c>
      <c r="BH13" s="5">
        <f>BH12*ОкладМенеджера*BH7</f>
        <v/>
      </c>
      <c r="BI13" s="5">
        <f>BI12*ОкладМенеджера*BI7</f>
        <v/>
      </c>
      <c r="BJ13" s="5">
        <f>BJ12*ОкладМенеджера*BJ7</f>
        <v/>
      </c>
      <c r="BK13" s="5">
        <f>BK12*ОкладМенеджера*BK7</f>
        <v/>
      </c>
      <c r="BL13" s="5">
        <f>BL12*ОкладМенеджера*BL7</f>
        <v/>
      </c>
      <c r="BM13" s="5">
        <f>BM12*ОкладМенеджера*BM7</f>
        <v/>
      </c>
      <c r="BN13" s="5">
        <f>BN12*ОкладМенеджера*BN7</f>
        <v/>
      </c>
      <c r="BO13" s="5">
        <f>BO12*ОкладМенеджера*BO7</f>
        <v/>
      </c>
      <c r="BP13" s="5">
        <f>BP12*ОкладМенеджера*BP7</f>
        <v/>
      </c>
      <c r="BQ13" s="5">
        <f>BQ12*ОкладМенеджера*BQ7</f>
        <v/>
      </c>
      <c r="BR13" s="5">
        <f>BR12*ОкладМенеджера*BR7</f>
        <v/>
      </c>
      <c r="BS13" s="5">
        <f>BS12*ОкладМенеджера*BS7</f>
        <v/>
      </c>
      <c r="BT13" s="5">
        <f>BT12*ОкладМенеджера*BT7</f>
        <v/>
      </c>
      <c r="BU13" s="5">
        <f>BU12*ОкладМенеджера*BU7</f>
        <v/>
      </c>
      <c r="BV13" s="5">
        <f>BV12*ОкладМенеджера*BV7</f>
        <v/>
      </c>
      <c r="BW13" s="5">
        <f>BW12*ОкладМенеджера*BW7</f>
        <v/>
      </c>
      <c r="BX13" s="5">
        <f>BX12*ОкладМенеджера*BX7</f>
        <v/>
      </c>
      <c r="BY13" s="5">
        <f>BY12*ОкладМенеджера*BY7</f>
        <v/>
      </c>
    </row>
    <row r="14">
      <c r="B14" s="7" t="inlineStr">
        <is>
          <t>Все оклады, gross</t>
        </is>
      </c>
      <c r="C14" s="7" t="inlineStr">
        <is>
          <t>₽</t>
        </is>
      </c>
      <c r="D14" s="130" t="inlineStr"/>
      <c r="E14" s="131">
        <f>SUM(L14:W14)</f>
        <v/>
      </c>
      <c r="F14" s="131">
        <f>SUM(X14:AI14)</f>
        <v/>
      </c>
      <c r="G14" s="131">
        <f>SUM(AJ14:AU14)</f>
        <v/>
      </c>
      <c r="H14" s="131">
        <f>SUM(AV14:BG14)</f>
        <v/>
      </c>
      <c r="I14" s="131">
        <f>SUM(BH14:BS14)</f>
        <v/>
      </c>
      <c r="J14" s="10">
        <f>SUM(L14:BS14)</f>
        <v/>
      </c>
      <c r="L14" s="9">
        <f>L9+L10+L11+L13</f>
        <v/>
      </c>
      <c r="M14" s="9">
        <f>M9+M10+M11+M13</f>
        <v/>
      </c>
      <c r="N14" s="9">
        <f>N9+N10+N11+N13</f>
        <v/>
      </c>
      <c r="O14" s="9">
        <f>O9+O10+O11+O13</f>
        <v/>
      </c>
      <c r="P14" s="9">
        <f>P9+P10+P11+P13</f>
        <v/>
      </c>
      <c r="Q14" s="9">
        <f>Q9+Q10+Q11+Q13</f>
        <v/>
      </c>
      <c r="R14" s="9">
        <f>R9+R10+R11+R13</f>
        <v/>
      </c>
      <c r="S14" s="9">
        <f>S9+S10+S11+S13</f>
        <v/>
      </c>
      <c r="T14" s="9">
        <f>T9+T10+T11+T13</f>
        <v/>
      </c>
      <c r="U14" s="9">
        <f>U9+U10+U11+U13</f>
        <v/>
      </c>
      <c r="V14" s="9">
        <f>V9+V10+V11+V13</f>
        <v/>
      </c>
      <c r="W14" s="9">
        <f>W9+W10+W11+W13</f>
        <v/>
      </c>
      <c r="X14" s="9">
        <f>X9+X10+X11+X13</f>
        <v/>
      </c>
      <c r="Y14" s="9">
        <f>Y9+Y10+Y11+Y13</f>
        <v/>
      </c>
      <c r="Z14" s="9">
        <f>Z9+Z10+Z11+Z13</f>
        <v/>
      </c>
      <c r="AA14" s="9">
        <f>AA9+AA10+AA11+AA13</f>
        <v/>
      </c>
      <c r="AB14" s="9">
        <f>AB9+AB10+AB11+AB13</f>
        <v/>
      </c>
      <c r="AC14" s="9">
        <f>AC9+AC10+AC11+AC13</f>
        <v/>
      </c>
      <c r="AD14" s="9">
        <f>AD9+AD10+AD11+AD13</f>
        <v/>
      </c>
      <c r="AE14" s="9">
        <f>AE9+AE10+AE11+AE13</f>
        <v/>
      </c>
      <c r="AF14" s="9">
        <f>AF9+AF10+AF11+AF13</f>
        <v/>
      </c>
      <c r="AG14" s="9">
        <f>AG9+AG10+AG11+AG13</f>
        <v/>
      </c>
      <c r="AH14" s="9">
        <f>AH9+AH10+AH11+AH13</f>
        <v/>
      </c>
      <c r="AI14" s="9">
        <f>AI9+AI10+AI11+AI13</f>
        <v/>
      </c>
      <c r="AJ14" s="9">
        <f>AJ9+AJ10+AJ11+AJ13</f>
        <v/>
      </c>
      <c r="AK14" s="9">
        <f>AK9+AK10+AK11+AK13</f>
        <v/>
      </c>
      <c r="AL14" s="9">
        <f>AL9+AL10+AL11+AL13</f>
        <v/>
      </c>
      <c r="AM14" s="9">
        <f>AM9+AM10+AM11+AM13</f>
        <v/>
      </c>
      <c r="AN14" s="9">
        <f>AN9+AN10+AN11+AN13</f>
        <v/>
      </c>
      <c r="AO14" s="9">
        <f>AO9+AO10+AO11+AO13</f>
        <v/>
      </c>
      <c r="AP14" s="9">
        <f>AP9+AP10+AP11+AP13</f>
        <v/>
      </c>
      <c r="AQ14" s="9">
        <f>AQ9+AQ10+AQ11+AQ13</f>
        <v/>
      </c>
      <c r="AR14" s="9">
        <f>AR9+AR10+AR11+AR13</f>
        <v/>
      </c>
      <c r="AS14" s="9">
        <f>AS9+AS10+AS11+AS13</f>
        <v/>
      </c>
      <c r="AT14" s="9">
        <f>AT9+AT10+AT11+AT13</f>
        <v/>
      </c>
      <c r="AU14" s="9">
        <f>AU9+AU10+AU11+AU13</f>
        <v/>
      </c>
      <c r="AV14" s="9">
        <f>AV9+AV10+AV11+AV13</f>
        <v/>
      </c>
      <c r="AW14" s="9">
        <f>AW9+AW10+AW11+AW13</f>
        <v/>
      </c>
      <c r="AX14" s="9">
        <f>AX9+AX10+AX11+AX13</f>
        <v/>
      </c>
      <c r="AY14" s="9">
        <f>AY9+AY10+AY11+AY13</f>
        <v/>
      </c>
      <c r="AZ14" s="9">
        <f>AZ9+AZ10+AZ11+AZ13</f>
        <v/>
      </c>
      <c r="BA14" s="9">
        <f>BA9+BA10+BA11+BA13</f>
        <v/>
      </c>
      <c r="BB14" s="9">
        <f>BB9+BB10+BB11+BB13</f>
        <v/>
      </c>
      <c r="BC14" s="9">
        <f>BC9+BC10+BC11+BC13</f>
        <v/>
      </c>
      <c r="BD14" s="9">
        <f>BD9+BD10+BD11+BD13</f>
        <v/>
      </c>
      <c r="BE14" s="9">
        <f>BE9+BE10+BE11+BE13</f>
        <v/>
      </c>
      <c r="BF14" s="9">
        <f>BF9+BF10+BF11+BF13</f>
        <v/>
      </c>
      <c r="BG14" s="9">
        <f>BG9+BG10+BG11+BG13</f>
        <v/>
      </c>
      <c r="BH14" s="9">
        <f>BH9+BH10+BH11+BH13</f>
        <v/>
      </c>
      <c r="BI14" s="9">
        <f>BI9+BI10+BI11+BI13</f>
        <v/>
      </c>
      <c r="BJ14" s="9">
        <f>BJ9+BJ10+BJ11+BJ13</f>
        <v/>
      </c>
      <c r="BK14" s="9">
        <f>BK9+BK10+BK11+BK13</f>
        <v/>
      </c>
      <c r="BL14" s="9">
        <f>BL9+BL10+BL11+BL13</f>
        <v/>
      </c>
      <c r="BM14" s="9">
        <f>BM9+BM10+BM11+BM13</f>
        <v/>
      </c>
      <c r="BN14" s="9">
        <f>BN9+BN10+BN11+BN13</f>
        <v/>
      </c>
      <c r="BO14" s="9">
        <f>BO9+BO10+BO11+BO13</f>
        <v/>
      </c>
      <c r="BP14" s="9">
        <f>BP9+BP10+BP11+BP13</f>
        <v/>
      </c>
      <c r="BQ14" s="9">
        <f>BQ9+BQ10+BQ11+BQ13</f>
        <v/>
      </c>
      <c r="BR14" s="9">
        <f>BR9+BR10+BR11+BR13</f>
        <v/>
      </c>
      <c r="BS14" s="9">
        <f>BS9+BS10+BS11+BS13</f>
        <v/>
      </c>
      <c r="BT14" s="9">
        <f>BT9+BT10+BT11+BT13</f>
        <v/>
      </c>
      <c r="BU14" s="9">
        <f>BU9+BU10+BU11+BU13</f>
        <v/>
      </c>
      <c r="BV14" s="9">
        <f>BV9+BV10+BV11+BV13</f>
        <v/>
      </c>
      <c r="BW14" s="9">
        <f>BW9+BW10+BW11+BW13</f>
        <v/>
      </c>
      <c r="BX14" s="9">
        <f>BX9+BX10+BX11+BX13</f>
        <v/>
      </c>
      <c r="BY14" s="9">
        <f>BY9+BY10+BY11+BY13</f>
        <v/>
      </c>
    </row>
    <row r="15">
      <c r="B15" t="inlineStr">
        <is>
          <t>Страховые взносы на оклады</t>
        </is>
      </c>
      <c r="C15" t="inlineStr">
        <is>
          <t>₽</t>
        </is>
      </c>
      <c r="D15" s="127" t="inlineStr"/>
      <c r="E15" s="129">
        <f>SUM(L15:W15)</f>
        <v/>
      </c>
      <c r="F15" s="129">
        <f>SUM(X15:AI15)</f>
        <v/>
      </c>
      <c r="G15" s="129">
        <f>SUM(AJ15:AU15)</f>
        <v/>
      </c>
      <c r="H15" s="129">
        <f>SUM(AV15:BG15)</f>
        <v/>
      </c>
      <c r="I15" s="129">
        <f>SUM(BH15:BS15)</f>
        <v/>
      </c>
      <c r="J15" s="6">
        <f>SUM(L15:BS15)</f>
        <v/>
      </c>
      <c r="L15" s="5">
        <f>L14*СтраховыеВзносы</f>
        <v/>
      </c>
      <c r="M15" s="5">
        <f>M14*СтраховыеВзносы</f>
        <v/>
      </c>
      <c r="N15" s="5">
        <f>N14*СтраховыеВзносы</f>
        <v/>
      </c>
      <c r="O15" s="5">
        <f>O14*СтраховыеВзносы</f>
        <v/>
      </c>
      <c r="P15" s="5">
        <f>P14*СтраховыеВзносы</f>
        <v/>
      </c>
      <c r="Q15" s="5">
        <f>Q14*СтраховыеВзносы</f>
        <v/>
      </c>
      <c r="R15" s="5">
        <f>R14*СтраховыеВзносы</f>
        <v/>
      </c>
      <c r="S15" s="5">
        <f>S14*СтраховыеВзносы</f>
        <v/>
      </c>
      <c r="T15" s="5">
        <f>T14*СтраховыеВзносы</f>
        <v/>
      </c>
      <c r="U15" s="5">
        <f>U14*СтраховыеВзносы</f>
        <v/>
      </c>
      <c r="V15" s="5">
        <f>V14*СтраховыеВзносы</f>
        <v/>
      </c>
      <c r="W15" s="5">
        <f>W14*СтраховыеВзносы</f>
        <v/>
      </c>
      <c r="X15" s="5">
        <f>X14*СтраховыеВзносы</f>
        <v/>
      </c>
      <c r="Y15" s="5">
        <f>Y14*СтраховыеВзносы</f>
        <v/>
      </c>
      <c r="Z15" s="5">
        <f>Z14*СтраховыеВзносы</f>
        <v/>
      </c>
      <c r="AA15" s="5">
        <f>AA14*СтраховыеВзносы</f>
        <v/>
      </c>
      <c r="AB15" s="5">
        <f>AB14*СтраховыеВзносы</f>
        <v/>
      </c>
      <c r="AC15" s="5">
        <f>AC14*СтраховыеВзносы</f>
        <v/>
      </c>
      <c r="AD15" s="5">
        <f>AD14*СтраховыеВзносы</f>
        <v/>
      </c>
      <c r="AE15" s="5">
        <f>AE14*СтраховыеВзносы</f>
        <v/>
      </c>
      <c r="AF15" s="5">
        <f>AF14*СтраховыеВзносы</f>
        <v/>
      </c>
      <c r="AG15" s="5">
        <f>AG14*СтраховыеВзносы</f>
        <v/>
      </c>
      <c r="AH15" s="5">
        <f>AH14*СтраховыеВзносы</f>
        <v/>
      </c>
      <c r="AI15" s="5">
        <f>AI14*СтраховыеВзносы</f>
        <v/>
      </c>
      <c r="AJ15" s="5">
        <f>AJ14*СтраховыеВзносы</f>
        <v/>
      </c>
      <c r="AK15" s="5">
        <f>AK14*СтраховыеВзносы</f>
        <v/>
      </c>
      <c r="AL15" s="5">
        <f>AL14*СтраховыеВзносы</f>
        <v/>
      </c>
      <c r="AM15" s="5">
        <f>AM14*СтраховыеВзносы</f>
        <v/>
      </c>
      <c r="AN15" s="5">
        <f>AN14*СтраховыеВзносы</f>
        <v/>
      </c>
      <c r="AO15" s="5">
        <f>AO14*СтраховыеВзносы</f>
        <v/>
      </c>
      <c r="AP15" s="5">
        <f>AP14*СтраховыеВзносы</f>
        <v/>
      </c>
      <c r="AQ15" s="5">
        <f>AQ14*СтраховыеВзносы</f>
        <v/>
      </c>
      <c r="AR15" s="5">
        <f>AR14*СтраховыеВзносы</f>
        <v/>
      </c>
      <c r="AS15" s="5">
        <f>AS14*СтраховыеВзносы</f>
        <v/>
      </c>
      <c r="AT15" s="5">
        <f>AT14*СтраховыеВзносы</f>
        <v/>
      </c>
      <c r="AU15" s="5">
        <f>AU14*СтраховыеВзносы</f>
        <v/>
      </c>
      <c r="AV15" s="5">
        <f>AV14*СтраховыеВзносы</f>
        <v/>
      </c>
      <c r="AW15" s="5">
        <f>AW14*СтраховыеВзносы</f>
        <v/>
      </c>
      <c r="AX15" s="5">
        <f>AX14*СтраховыеВзносы</f>
        <v/>
      </c>
      <c r="AY15" s="5">
        <f>AY14*СтраховыеВзносы</f>
        <v/>
      </c>
      <c r="AZ15" s="5">
        <f>AZ14*СтраховыеВзносы</f>
        <v/>
      </c>
      <c r="BA15" s="5">
        <f>BA14*СтраховыеВзносы</f>
        <v/>
      </c>
      <c r="BB15" s="5">
        <f>BB14*СтраховыеВзносы</f>
        <v/>
      </c>
      <c r="BC15" s="5">
        <f>BC14*СтраховыеВзносы</f>
        <v/>
      </c>
      <c r="BD15" s="5">
        <f>BD14*СтраховыеВзносы</f>
        <v/>
      </c>
      <c r="BE15" s="5">
        <f>BE14*СтраховыеВзносы</f>
        <v/>
      </c>
      <c r="BF15" s="5">
        <f>BF14*СтраховыеВзносы</f>
        <v/>
      </c>
      <c r="BG15" s="5">
        <f>BG14*СтраховыеВзносы</f>
        <v/>
      </c>
      <c r="BH15" s="5">
        <f>BH14*СтраховыеВзносы</f>
        <v/>
      </c>
      <c r="BI15" s="5">
        <f>BI14*СтраховыеВзносы</f>
        <v/>
      </c>
      <c r="BJ15" s="5">
        <f>BJ14*СтраховыеВзносы</f>
        <v/>
      </c>
      <c r="BK15" s="5">
        <f>BK14*СтраховыеВзносы</f>
        <v/>
      </c>
      <c r="BL15" s="5">
        <f>BL14*СтраховыеВзносы</f>
        <v/>
      </c>
      <c r="BM15" s="5">
        <f>BM14*СтраховыеВзносы</f>
        <v/>
      </c>
      <c r="BN15" s="5">
        <f>BN14*СтраховыеВзносы</f>
        <v/>
      </c>
      <c r="BO15" s="5">
        <f>BO14*СтраховыеВзносы</f>
        <v/>
      </c>
      <c r="BP15" s="5">
        <f>BP14*СтраховыеВзносы</f>
        <v/>
      </c>
      <c r="BQ15" s="5">
        <f>BQ14*СтраховыеВзносы</f>
        <v/>
      </c>
      <c r="BR15" s="5">
        <f>BR14*СтраховыеВзносы</f>
        <v/>
      </c>
      <c r="BS15" s="5">
        <f>BS14*СтраховыеВзносы</f>
        <v/>
      </c>
      <c r="BT15" s="5">
        <f>BT14*СтраховыеВзносы</f>
        <v/>
      </c>
      <c r="BU15" s="5">
        <f>BU14*СтраховыеВзносы</f>
        <v/>
      </c>
      <c r="BV15" s="5">
        <f>BV14*СтраховыеВзносы</f>
        <v/>
      </c>
      <c r="BW15" s="5">
        <f>BW14*СтраховыеВзносы</f>
        <v/>
      </c>
      <c r="BX15" s="5">
        <f>BX14*СтраховыеВзносы</f>
        <v/>
      </c>
      <c r="BY15" s="5">
        <f>BY14*СтраховыеВзносы</f>
        <v/>
      </c>
    </row>
    <row r="17">
      <c r="B17" s="125" t="inlineStr">
        <is>
          <t>Премии</t>
        </is>
      </c>
      <c r="C17" s="126" t="n"/>
      <c r="D17" s="126" t="n"/>
      <c r="E17" s="126" t="n"/>
      <c r="F17" s="126" t="n"/>
      <c r="G17" s="126" t="n"/>
      <c r="H17" s="126" t="n"/>
      <c r="I17" s="126" t="n"/>
      <c r="J17" s="126" t="n"/>
      <c r="K17" s="126" t="n"/>
      <c r="L17" s="126" t="n"/>
      <c r="M17" s="126" t="n"/>
      <c r="N17" s="126" t="n"/>
      <c r="O17" s="126" t="n"/>
      <c r="P17" s="126" t="n"/>
      <c r="Q17" s="126" t="n"/>
      <c r="R17" s="126" t="n"/>
      <c r="S17" s="126" t="n"/>
      <c r="T17" s="126" t="n"/>
      <c r="U17" s="126" t="n"/>
      <c r="V17" s="126" t="n"/>
      <c r="W17" s="126" t="n"/>
      <c r="X17" s="126" t="n"/>
      <c r="Y17" s="126" t="n"/>
      <c r="Z17" s="126" t="n"/>
      <c r="AA17" s="126" t="n"/>
      <c r="AB17" s="126" t="n"/>
      <c r="AC17" s="126" t="n"/>
      <c r="AD17" s="126" t="n"/>
      <c r="AE17" s="126" t="n"/>
      <c r="AF17" s="126" t="n"/>
      <c r="AG17" s="126" t="n"/>
      <c r="AH17" s="126" t="n"/>
      <c r="AI17" s="126" t="n"/>
      <c r="AJ17" s="126" t="n"/>
      <c r="AK17" s="126" t="n"/>
      <c r="AL17" s="126" t="n"/>
      <c r="AM17" s="126" t="n"/>
      <c r="AN17" s="126" t="n"/>
      <c r="AO17" s="126" t="n"/>
      <c r="AP17" s="126" t="n"/>
      <c r="AQ17" s="126" t="n"/>
      <c r="AR17" s="126" t="n"/>
      <c r="AS17" s="126" t="n"/>
      <c r="AT17" s="126" t="n"/>
      <c r="AU17" s="126" t="n"/>
      <c r="AV17" s="126" t="n"/>
      <c r="AW17" s="126" t="n"/>
      <c r="AX17" s="126" t="n"/>
      <c r="AY17" s="126" t="n"/>
      <c r="AZ17" s="126" t="n"/>
      <c r="BA17" s="126" t="n"/>
      <c r="BB17" s="126" t="n"/>
      <c r="BC17" s="126" t="n"/>
      <c r="BD17" s="126" t="n"/>
      <c r="BE17" s="126" t="n"/>
      <c r="BF17" s="126" t="n"/>
      <c r="BG17" s="126" t="n"/>
      <c r="BH17" s="126" t="n"/>
      <c r="BI17" s="126" t="n"/>
      <c r="BJ17" s="126" t="n"/>
      <c r="BK17" s="126" t="n"/>
      <c r="BL17" s="126" t="n"/>
      <c r="BM17" s="126" t="n"/>
      <c r="BN17" s="126" t="n"/>
      <c r="BO17" s="126" t="n"/>
      <c r="BP17" s="126" t="n"/>
      <c r="BQ17" s="126" t="n"/>
      <c r="BR17" s="126" t="n"/>
      <c r="BS17" s="126" t="n"/>
      <c r="BT17" s="126" t="n"/>
      <c r="BU17" s="126" t="n"/>
      <c r="BV17" s="126" t="n"/>
      <c r="BW17" s="126" t="n"/>
      <c r="BX17" s="126" t="n"/>
      <c r="BY17" s="126" t="n"/>
    </row>
    <row r="18">
      <c r="B18" t="inlineStr">
        <is>
          <t>Премия развития, gross</t>
        </is>
      </c>
      <c r="C18" t="inlineStr">
        <is>
          <t>₽</t>
        </is>
      </c>
      <c r="D18" s="127" t="inlineStr">
        <is>
          <t>Всем менеджерам развития и проектному менеджеру</t>
        </is>
      </c>
      <c r="E18" s="129">
        <f>SUM(L18:W18)</f>
        <v/>
      </c>
      <c r="F18" s="129">
        <f>SUM(X18:AI18)</f>
        <v/>
      </c>
      <c r="G18" s="129">
        <f>SUM(AJ18:AU18)</f>
        <v/>
      </c>
      <c r="H18" s="129">
        <f>SUM(AV18:BG18)</f>
        <v/>
      </c>
      <c r="I18" s="129">
        <f>SUM(BH18:BS18)</f>
        <v/>
      </c>
      <c r="J18" s="6">
        <f>SUM(L18:BS18)</f>
        <v/>
      </c>
      <c r="L18" s="5">
        <f>(БазовыхМенеджеров+L12+1)*IF('03_Сеть'!L7&lt;ДатаПремииРазвития,ПремияРазвитияДо,ПремияРазвитияС)/NetGross</f>
        <v/>
      </c>
      <c r="M18" s="5">
        <f>(БазовыхМенеджеров+M12+1)*IF('03_Сеть'!M7&lt;ДатаПремииРазвития,ПремияРазвитияДо,ПремияРазвитияС)/NetGross</f>
        <v/>
      </c>
      <c r="N18" s="5">
        <f>(БазовыхМенеджеров+N12+1)*IF('03_Сеть'!N7&lt;ДатаПремииРазвития,ПремияРазвитияДо,ПремияРазвитияС)/NetGross</f>
        <v/>
      </c>
      <c r="O18" s="5">
        <f>(БазовыхМенеджеров+O12+1)*IF('03_Сеть'!O7&lt;ДатаПремииРазвития,ПремияРазвитияДо,ПремияРазвитияС)/NetGross</f>
        <v/>
      </c>
      <c r="P18" s="5">
        <f>(БазовыхМенеджеров+P12+1)*IF('03_Сеть'!P7&lt;ДатаПремииРазвития,ПремияРазвитияДо,ПремияРазвитияС)/NetGross</f>
        <v/>
      </c>
      <c r="Q18" s="5">
        <f>(БазовыхМенеджеров+Q12+1)*IF('03_Сеть'!Q7&lt;ДатаПремииРазвития,ПремияРазвитияДо,ПремияРазвитияС)/NetGross</f>
        <v/>
      </c>
      <c r="R18" s="5">
        <f>(БазовыхМенеджеров+R12+1)*IF('03_Сеть'!R7&lt;ДатаПремииРазвития,ПремияРазвитияДо,ПремияРазвитияС)/NetGross</f>
        <v/>
      </c>
      <c r="S18" s="5">
        <f>(БазовыхМенеджеров+S12+1)*IF('03_Сеть'!S7&lt;ДатаПремииРазвития,ПремияРазвитияДо,ПремияРазвитияС)/NetGross</f>
        <v/>
      </c>
      <c r="T18" s="5">
        <f>(БазовыхМенеджеров+T12+1)*IF('03_Сеть'!T7&lt;ДатаПремииРазвития,ПремияРазвитияДо,ПремияРазвитияС)/NetGross</f>
        <v/>
      </c>
      <c r="U18" s="5">
        <f>(БазовыхМенеджеров+U12+1)*IF('03_Сеть'!U7&lt;ДатаПремииРазвития,ПремияРазвитияДо,ПремияРазвитияС)/NetGross</f>
        <v/>
      </c>
      <c r="V18" s="5">
        <f>(БазовыхМенеджеров+V12+1)*IF('03_Сеть'!V7&lt;ДатаПремииРазвития,ПремияРазвитияДо,ПремияРазвитияС)/NetGross</f>
        <v/>
      </c>
      <c r="W18" s="5">
        <f>(БазовыхМенеджеров+W12+1)*IF('03_Сеть'!W7&lt;ДатаПремииРазвития,ПремияРазвитияДо,ПремияРазвитияС)/NetGross</f>
        <v/>
      </c>
      <c r="X18" s="5">
        <f>(БазовыхМенеджеров+X12+1)*IF('03_Сеть'!X7&lt;ДатаПремииРазвития,ПремияРазвитияДо,ПремияРазвитияС)/NetGross</f>
        <v/>
      </c>
      <c r="Y18" s="5">
        <f>(БазовыхМенеджеров+Y12+1)*IF('03_Сеть'!Y7&lt;ДатаПремииРазвития,ПремияРазвитияДо,ПремияРазвитияС)/NetGross</f>
        <v/>
      </c>
      <c r="Z18" s="5">
        <f>(БазовыхМенеджеров+Z12+1)*IF('03_Сеть'!Z7&lt;ДатаПремииРазвития,ПремияРазвитияДо,ПремияРазвитияС)/NetGross</f>
        <v/>
      </c>
      <c r="AA18" s="5">
        <f>(БазовыхМенеджеров+AA12+1)*IF('03_Сеть'!AA7&lt;ДатаПремииРазвития,ПремияРазвитияДо,ПремияРазвитияС)/NetGross</f>
        <v/>
      </c>
      <c r="AB18" s="5">
        <f>(БазовыхМенеджеров+AB12+1)*IF('03_Сеть'!AB7&lt;ДатаПремииРазвития,ПремияРазвитияДо,ПремияРазвитияС)/NetGross</f>
        <v/>
      </c>
      <c r="AC18" s="5">
        <f>(БазовыхМенеджеров+AC12+1)*IF('03_Сеть'!AC7&lt;ДатаПремииРазвития,ПремияРазвитияДо,ПремияРазвитияС)/NetGross</f>
        <v/>
      </c>
      <c r="AD18" s="5">
        <f>(БазовыхМенеджеров+AD12+1)*IF('03_Сеть'!AD7&lt;ДатаПремииРазвития,ПремияРазвитияДо,ПремияРазвитияС)/NetGross</f>
        <v/>
      </c>
      <c r="AE18" s="5">
        <f>(БазовыхМенеджеров+AE12+1)*IF('03_Сеть'!AE7&lt;ДатаПремииРазвития,ПремияРазвитияДо,ПремияРазвитияС)/NetGross</f>
        <v/>
      </c>
      <c r="AF18" s="5">
        <f>(БазовыхМенеджеров+AF12+1)*IF('03_Сеть'!AF7&lt;ДатаПремииРазвития,ПремияРазвитияДо,ПремияРазвитияС)/NetGross</f>
        <v/>
      </c>
      <c r="AG18" s="5">
        <f>(БазовыхМенеджеров+AG12+1)*IF('03_Сеть'!AG7&lt;ДатаПремииРазвития,ПремияРазвитияДо,ПремияРазвитияС)/NetGross</f>
        <v/>
      </c>
      <c r="AH18" s="5">
        <f>(БазовыхМенеджеров+AH12+1)*IF('03_Сеть'!AH7&lt;ДатаПремииРазвития,ПремияРазвитияДо,ПремияРазвитияС)/NetGross</f>
        <v/>
      </c>
      <c r="AI18" s="5">
        <f>(БазовыхМенеджеров+AI12+1)*IF('03_Сеть'!AI7&lt;ДатаПремииРазвития,ПремияРазвитияДо,ПремияРазвитияС)/NetGross</f>
        <v/>
      </c>
      <c r="AJ18" s="5">
        <f>(БазовыхМенеджеров+AJ12+1)*IF('03_Сеть'!AJ7&lt;ДатаПремииРазвития,ПремияРазвитияДо,ПремияРазвитияС)/NetGross</f>
        <v/>
      </c>
      <c r="AK18" s="5">
        <f>(БазовыхМенеджеров+AK12+1)*IF('03_Сеть'!AK7&lt;ДатаПремииРазвития,ПремияРазвитияДо,ПремияРазвитияС)/NetGross</f>
        <v/>
      </c>
      <c r="AL18" s="5">
        <f>(БазовыхМенеджеров+AL12+1)*IF('03_Сеть'!AL7&lt;ДатаПремииРазвития,ПремияРазвитияДо,ПремияРазвитияС)/NetGross</f>
        <v/>
      </c>
      <c r="AM18" s="5">
        <f>(БазовыхМенеджеров+AM12+1)*IF('03_Сеть'!AM7&lt;ДатаПремииРазвития,ПремияРазвитияДо,ПремияРазвитияС)/NetGross</f>
        <v/>
      </c>
      <c r="AN18" s="5">
        <f>(БазовыхМенеджеров+AN12+1)*IF('03_Сеть'!AN7&lt;ДатаПремииРазвития,ПремияРазвитияДо,ПремияРазвитияС)/NetGross</f>
        <v/>
      </c>
      <c r="AO18" s="5">
        <f>(БазовыхМенеджеров+AO12+1)*IF('03_Сеть'!AO7&lt;ДатаПремииРазвития,ПремияРазвитияДо,ПремияРазвитияС)/NetGross</f>
        <v/>
      </c>
      <c r="AP18" s="5">
        <f>(БазовыхМенеджеров+AP12+1)*IF('03_Сеть'!AP7&lt;ДатаПремииРазвития,ПремияРазвитияДо,ПремияРазвитияС)/NetGross</f>
        <v/>
      </c>
      <c r="AQ18" s="5">
        <f>(БазовыхМенеджеров+AQ12+1)*IF('03_Сеть'!AQ7&lt;ДатаПремииРазвития,ПремияРазвитияДо,ПремияРазвитияС)/NetGross</f>
        <v/>
      </c>
      <c r="AR18" s="5">
        <f>(БазовыхМенеджеров+AR12+1)*IF('03_Сеть'!AR7&lt;ДатаПремииРазвития,ПремияРазвитияДо,ПремияРазвитияС)/NetGross</f>
        <v/>
      </c>
      <c r="AS18" s="5">
        <f>(БазовыхМенеджеров+AS12+1)*IF('03_Сеть'!AS7&lt;ДатаПремииРазвития,ПремияРазвитияДо,ПремияРазвитияС)/NetGross</f>
        <v/>
      </c>
      <c r="AT18" s="5">
        <f>(БазовыхМенеджеров+AT12+1)*IF('03_Сеть'!AT7&lt;ДатаПремииРазвития,ПремияРазвитияДо,ПремияРазвитияС)/NetGross</f>
        <v/>
      </c>
      <c r="AU18" s="5">
        <f>(БазовыхМенеджеров+AU12+1)*IF('03_Сеть'!AU7&lt;ДатаПремииРазвития,ПремияРазвитияДо,ПремияРазвитияС)/NetGross</f>
        <v/>
      </c>
      <c r="AV18" s="5">
        <f>(БазовыхМенеджеров+AV12+1)*IF('03_Сеть'!AV7&lt;ДатаПремииРазвития,ПремияРазвитияДо,ПремияРазвитияС)/NetGross</f>
        <v/>
      </c>
      <c r="AW18" s="5">
        <f>(БазовыхМенеджеров+AW12+1)*IF('03_Сеть'!AW7&lt;ДатаПремииРазвития,ПремияРазвитияДо,ПремияРазвитияС)/NetGross</f>
        <v/>
      </c>
      <c r="AX18" s="5">
        <f>(БазовыхМенеджеров+AX12+1)*IF('03_Сеть'!AX7&lt;ДатаПремииРазвития,ПремияРазвитияДо,ПремияРазвитияС)/NetGross</f>
        <v/>
      </c>
      <c r="AY18" s="5">
        <f>(БазовыхМенеджеров+AY12+1)*IF('03_Сеть'!AY7&lt;ДатаПремииРазвития,ПремияРазвитияДо,ПремияРазвитияС)/NetGross</f>
        <v/>
      </c>
      <c r="AZ18" s="5">
        <f>(БазовыхМенеджеров+AZ12+1)*IF('03_Сеть'!AZ7&lt;ДатаПремииРазвития,ПремияРазвитияДо,ПремияРазвитияС)/NetGross</f>
        <v/>
      </c>
      <c r="BA18" s="5">
        <f>(БазовыхМенеджеров+BA12+1)*IF('03_Сеть'!BA7&lt;ДатаПремииРазвития,ПремияРазвитияДо,ПремияРазвитияС)/NetGross</f>
        <v/>
      </c>
      <c r="BB18" s="5">
        <f>(БазовыхМенеджеров+BB12+1)*IF('03_Сеть'!BB7&lt;ДатаПремииРазвития,ПремияРазвитияДо,ПремияРазвитияС)/NetGross</f>
        <v/>
      </c>
      <c r="BC18" s="5">
        <f>(БазовыхМенеджеров+BC12+1)*IF('03_Сеть'!BC7&lt;ДатаПремииРазвития,ПремияРазвитияДо,ПремияРазвитияС)/NetGross</f>
        <v/>
      </c>
      <c r="BD18" s="5">
        <f>(БазовыхМенеджеров+BD12+1)*IF('03_Сеть'!BD7&lt;ДатаПремииРазвития,ПремияРазвитияДо,ПремияРазвитияС)/NetGross</f>
        <v/>
      </c>
      <c r="BE18" s="5">
        <f>(БазовыхМенеджеров+BE12+1)*IF('03_Сеть'!BE7&lt;ДатаПремииРазвития,ПремияРазвитияДо,ПремияРазвитияС)/NetGross</f>
        <v/>
      </c>
      <c r="BF18" s="5">
        <f>(БазовыхМенеджеров+BF12+1)*IF('03_Сеть'!BF7&lt;ДатаПремииРазвития,ПремияРазвитияДо,ПремияРазвитияС)/NetGross</f>
        <v/>
      </c>
      <c r="BG18" s="5">
        <f>(БазовыхМенеджеров+BG12+1)*IF('03_Сеть'!BG7&lt;ДатаПремииРазвития,ПремияРазвитияДо,ПремияРазвитияС)/NetGross</f>
        <v/>
      </c>
      <c r="BH18" s="5">
        <f>(БазовыхМенеджеров+BH12+1)*IF('03_Сеть'!BH7&lt;ДатаПремииРазвития,ПремияРазвитияДо,ПремияРазвитияС)/NetGross</f>
        <v/>
      </c>
      <c r="BI18" s="5">
        <f>(БазовыхМенеджеров+BI12+1)*IF('03_Сеть'!BI7&lt;ДатаПремииРазвития,ПремияРазвитияДо,ПремияРазвитияС)/NetGross</f>
        <v/>
      </c>
      <c r="BJ18" s="5">
        <f>(БазовыхМенеджеров+BJ12+1)*IF('03_Сеть'!BJ7&lt;ДатаПремииРазвития,ПремияРазвитияДо,ПремияРазвитияС)/NetGross</f>
        <v/>
      </c>
      <c r="BK18" s="5">
        <f>(БазовыхМенеджеров+BK12+1)*IF('03_Сеть'!BK7&lt;ДатаПремииРазвития,ПремияРазвитияДо,ПремияРазвитияС)/NetGross</f>
        <v/>
      </c>
      <c r="BL18" s="5">
        <f>(БазовыхМенеджеров+BL12+1)*IF('03_Сеть'!BL7&lt;ДатаПремииРазвития,ПремияРазвитияДо,ПремияРазвитияС)/NetGross</f>
        <v/>
      </c>
      <c r="BM18" s="5">
        <f>(БазовыхМенеджеров+BM12+1)*IF('03_Сеть'!BM7&lt;ДатаПремииРазвития,ПремияРазвитияДо,ПремияРазвитияС)/NetGross</f>
        <v/>
      </c>
      <c r="BN18" s="5">
        <f>(БазовыхМенеджеров+BN12+1)*IF('03_Сеть'!BN7&lt;ДатаПремииРазвития,ПремияРазвитияДо,ПремияРазвитияС)/NetGross</f>
        <v/>
      </c>
      <c r="BO18" s="5">
        <f>(БазовыхМенеджеров+BO12+1)*IF('03_Сеть'!BO7&lt;ДатаПремииРазвития,ПремияРазвитияДо,ПремияРазвитияС)/NetGross</f>
        <v/>
      </c>
      <c r="BP18" s="5">
        <f>(БазовыхМенеджеров+BP12+1)*IF('03_Сеть'!BP7&lt;ДатаПремииРазвития,ПремияРазвитияДо,ПремияРазвитияС)/NetGross</f>
        <v/>
      </c>
      <c r="BQ18" s="5">
        <f>(БазовыхМенеджеров+BQ12+1)*IF('03_Сеть'!BQ7&lt;ДатаПремииРазвития,ПремияРазвитияДо,ПремияРазвитияС)/NetGross</f>
        <v/>
      </c>
      <c r="BR18" s="5">
        <f>(БазовыхМенеджеров+BR12+1)*IF('03_Сеть'!BR7&lt;ДатаПремииРазвития,ПремияРазвитияДо,ПремияРазвитияС)/NetGross</f>
        <v/>
      </c>
      <c r="BS18" s="5">
        <f>(БазовыхМенеджеров+BS12+1)*IF('03_Сеть'!BS7&lt;ДатаПремииРазвития,ПремияРазвитияДо,ПремияРазвитияС)/NetGross</f>
        <v/>
      </c>
      <c r="BT18" s="5">
        <f>(БазовыхМенеджеров+BT12+1)*IF('03_Сеть'!BT7&lt;ДатаПремииРазвития,ПремияРазвитияДо,ПремияРазвитияС)/NetGross</f>
        <v/>
      </c>
      <c r="BU18" s="5">
        <f>(БазовыхМенеджеров+BU12+1)*IF('03_Сеть'!BU7&lt;ДатаПремииРазвития,ПремияРазвитияДо,ПремияРазвитияС)/NetGross</f>
        <v/>
      </c>
      <c r="BV18" s="5">
        <f>(БазовыхМенеджеров+BV12+1)*IF('03_Сеть'!BV7&lt;ДатаПремииРазвития,ПремияРазвитияДо,ПремияРазвитияС)/NetGross</f>
        <v/>
      </c>
      <c r="BW18" s="5">
        <f>(БазовыхМенеджеров+BW12+1)*IF('03_Сеть'!BW7&lt;ДатаПремииРазвития,ПремияРазвитияДо,ПремияРазвитияС)/NetGross</f>
        <v/>
      </c>
      <c r="BX18" s="5">
        <f>(БазовыхМенеджеров+BX12+1)*IF('03_Сеть'!BX7&lt;ДатаПремииРазвития,ПремияРазвитияДо,ПремияРазвитияС)/NetGross</f>
        <v/>
      </c>
      <c r="BY18" s="5">
        <f>(БазовыхМенеджеров+BY12+1)*IF('03_Сеть'!BY7&lt;ДатаПремииРазвития,ПремияРазвитияДо,ПремияРазвитияС)/NetGross</f>
        <v/>
      </c>
    </row>
    <row r="19">
      <c r="B19" t="inlineStr">
        <is>
          <t>Взносы на премию развития</t>
        </is>
      </c>
      <c r="C19" t="inlineStr">
        <is>
          <t>₽</t>
        </is>
      </c>
      <c r="D19" s="127" t="inlineStr"/>
      <c r="E19" s="129">
        <f>SUM(L19:W19)</f>
        <v/>
      </c>
      <c r="F19" s="129">
        <f>SUM(X19:AI19)</f>
        <v/>
      </c>
      <c r="G19" s="129">
        <f>SUM(AJ19:AU19)</f>
        <v/>
      </c>
      <c r="H19" s="129">
        <f>SUM(AV19:BG19)</f>
        <v/>
      </c>
      <c r="I19" s="129">
        <f>SUM(BH19:BS19)</f>
        <v/>
      </c>
      <c r="J19" s="6">
        <f>SUM(L19:BS19)</f>
        <v/>
      </c>
      <c r="L19" s="5">
        <f>L18*СтраховыеВзносы</f>
        <v/>
      </c>
      <c r="M19" s="5">
        <f>M18*СтраховыеВзносы</f>
        <v/>
      </c>
      <c r="N19" s="5">
        <f>N18*СтраховыеВзносы</f>
        <v/>
      </c>
      <c r="O19" s="5">
        <f>O18*СтраховыеВзносы</f>
        <v/>
      </c>
      <c r="P19" s="5">
        <f>P18*СтраховыеВзносы</f>
        <v/>
      </c>
      <c r="Q19" s="5">
        <f>Q18*СтраховыеВзносы</f>
        <v/>
      </c>
      <c r="R19" s="5">
        <f>R18*СтраховыеВзносы</f>
        <v/>
      </c>
      <c r="S19" s="5">
        <f>S18*СтраховыеВзносы</f>
        <v/>
      </c>
      <c r="T19" s="5">
        <f>T18*СтраховыеВзносы</f>
        <v/>
      </c>
      <c r="U19" s="5">
        <f>U18*СтраховыеВзносы</f>
        <v/>
      </c>
      <c r="V19" s="5">
        <f>V18*СтраховыеВзносы</f>
        <v/>
      </c>
      <c r="W19" s="5">
        <f>W18*СтраховыеВзносы</f>
        <v/>
      </c>
      <c r="X19" s="5">
        <f>X18*СтраховыеВзносы</f>
        <v/>
      </c>
      <c r="Y19" s="5">
        <f>Y18*СтраховыеВзносы</f>
        <v/>
      </c>
      <c r="Z19" s="5">
        <f>Z18*СтраховыеВзносы</f>
        <v/>
      </c>
      <c r="AA19" s="5">
        <f>AA18*СтраховыеВзносы</f>
        <v/>
      </c>
      <c r="AB19" s="5">
        <f>AB18*СтраховыеВзносы</f>
        <v/>
      </c>
      <c r="AC19" s="5">
        <f>AC18*СтраховыеВзносы</f>
        <v/>
      </c>
      <c r="AD19" s="5">
        <f>AD18*СтраховыеВзносы</f>
        <v/>
      </c>
      <c r="AE19" s="5">
        <f>AE18*СтраховыеВзносы</f>
        <v/>
      </c>
      <c r="AF19" s="5">
        <f>AF18*СтраховыеВзносы</f>
        <v/>
      </c>
      <c r="AG19" s="5">
        <f>AG18*СтраховыеВзносы</f>
        <v/>
      </c>
      <c r="AH19" s="5">
        <f>AH18*СтраховыеВзносы</f>
        <v/>
      </c>
      <c r="AI19" s="5">
        <f>AI18*СтраховыеВзносы</f>
        <v/>
      </c>
      <c r="AJ19" s="5">
        <f>AJ18*СтраховыеВзносы</f>
        <v/>
      </c>
      <c r="AK19" s="5">
        <f>AK18*СтраховыеВзносы</f>
        <v/>
      </c>
      <c r="AL19" s="5">
        <f>AL18*СтраховыеВзносы</f>
        <v/>
      </c>
      <c r="AM19" s="5">
        <f>AM18*СтраховыеВзносы</f>
        <v/>
      </c>
      <c r="AN19" s="5">
        <f>AN18*СтраховыеВзносы</f>
        <v/>
      </c>
      <c r="AO19" s="5">
        <f>AO18*СтраховыеВзносы</f>
        <v/>
      </c>
      <c r="AP19" s="5">
        <f>AP18*СтраховыеВзносы</f>
        <v/>
      </c>
      <c r="AQ19" s="5">
        <f>AQ18*СтраховыеВзносы</f>
        <v/>
      </c>
      <c r="AR19" s="5">
        <f>AR18*СтраховыеВзносы</f>
        <v/>
      </c>
      <c r="AS19" s="5">
        <f>AS18*СтраховыеВзносы</f>
        <v/>
      </c>
      <c r="AT19" s="5">
        <f>AT18*СтраховыеВзносы</f>
        <v/>
      </c>
      <c r="AU19" s="5">
        <f>AU18*СтраховыеВзносы</f>
        <v/>
      </c>
      <c r="AV19" s="5">
        <f>AV18*СтраховыеВзносы</f>
        <v/>
      </c>
      <c r="AW19" s="5">
        <f>AW18*СтраховыеВзносы</f>
        <v/>
      </c>
      <c r="AX19" s="5">
        <f>AX18*СтраховыеВзносы</f>
        <v/>
      </c>
      <c r="AY19" s="5">
        <f>AY18*СтраховыеВзносы</f>
        <v/>
      </c>
      <c r="AZ19" s="5">
        <f>AZ18*СтраховыеВзносы</f>
        <v/>
      </c>
      <c r="BA19" s="5">
        <f>BA18*СтраховыеВзносы</f>
        <v/>
      </c>
      <c r="BB19" s="5">
        <f>BB18*СтраховыеВзносы</f>
        <v/>
      </c>
      <c r="BC19" s="5">
        <f>BC18*СтраховыеВзносы</f>
        <v/>
      </c>
      <c r="BD19" s="5">
        <f>BD18*СтраховыеВзносы</f>
        <v/>
      </c>
      <c r="BE19" s="5">
        <f>BE18*СтраховыеВзносы</f>
        <v/>
      </c>
      <c r="BF19" s="5">
        <f>BF18*СтраховыеВзносы</f>
        <v/>
      </c>
      <c r="BG19" s="5">
        <f>BG18*СтраховыеВзносы</f>
        <v/>
      </c>
      <c r="BH19" s="5">
        <f>BH18*СтраховыеВзносы</f>
        <v/>
      </c>
      <c r="BI19" s="5">
        <f>BI18*СтраховыеВзносы</f>
        <v/>
      </c>
      <c r="BJ19" s="5">
        <f>BJ18*СтраховыеВзносы</f>
        <v/>
      </c>
      <c r="BK19" s="5">
        <f>BK18*СтраховыеВзносы</f>
        <v/>
      </c>
      <c r="BL19" s="5">
        <f>BL18*СтраховыеВзносы</f>
        <v/>
      </c>
      <c r="BM19" s="5">
        <f>BM18*СтраховыеВзносы</f>
        <v/>
      </c>
      <c r="BN19" s="5">
        <f>BN18*СтраховыеВзносы</f>
        <v/>
      </c>
      <c r="BO19" s="5">
        <f>BO18*СтраховыеВзносы</f>
        <v/>
      </c>
      <c r="BP19" s="5">
        <f>BP18*СтраховыеВзносы</f>
        <v/>
      </c>
      <c r="BQ19" s="5">
        <f>BQ18*СтраховыеВзносы</f>
        <v/>
      </c>
      <c r="BR19" s="5">
        <f>BR18*СтраховыеВзносы</f>
        <v/>
      </c>
      <c r="BS19" s="5">
        <f>BS18*СтраховыеВзносы</f>
        <v/>
      </c>
      <c r="BT19" s="5">
        <f>BT18*СтраховыеВзносы</f>
        <v/>
      </c>
      <c r="BU19" s="5">
        <f>BU18*СтраховыеВзносы</f>
        <v/>
      </c>
      <c r="BV19" s="5">
        <f>BV18*СтраховыеВзносы</f>
        <v/>
      </c>
      <c r="BW19" s="5">
        <f>BW18*СтраховыеВзносы</f>
        <v/>
      </c>
      <c r="BX19" s="5">
        <f>BX18*СтраховыеВзносы</f>
        <v/>
      </c>
      <c r="BY19" s="5">
        <f>BY18*СтраховыеВзносы</f>
        <v/>
      </c>
    </row>
    <row r="20">
      <c r="B20" t="inlineStr">
        <is>
          <t>Премия Евгения, gross</t>
        </is>
      </c>
      <c r="C20" t="inlineStr">
        <is>
          <t>₽</t>
        </is>
      </c>
      <c r="D20" s="127" t="inlineStr">
        <is>
          <t>4% от паушальных — это вся стоимость премии для компании, поэтому взносы уже внутри: gross получается делением на 1,3</t>
        </is>
      </c>
      <c r="E20" s="129">
        <f>SUM(L20:W20)</f>
        <v/>
      </c>
      <c r="F20" s="129">
        <f>SUM(X20:AI20)</f>
        <v/>
      </c>
      <c r="G20" s="129">
        <f>SUM(AJ20:AU20)</f>
        <v/>
      </c>
      <c r="H20" s="129">
        <f>SUM(AV20:BG20)</f>
        <v/>
      </c>
      <c r="I20" s="129">
        <f>SUM(BH20:BS20)</f>
        <v/>
      </c>
      <c r="J20" s="6">
        <f>SUM(L20:BS20)</f>
        <v/>
      </c>
      <c r="L20" s="5">
        <f>IF('03_Сеть'!L13&gt;=2,'04_Доходы'!L14*ПремияЕвгения/(1+СтраховыеВзносы),0)</f>
        <v/>
      </c>
      <c r="M20" s="5">
        <f>IF('03_Сеть'!M13&gt;=2,'04_Доходы'!M14*ПремияЕвгения/(1+СтраховыеВзносы),0)</f>
        <v/>
      </c>
      <c r="N20" s="5">
        <f>IF('03_Сеть'!N13&gt;=2,'04_Доходы'!N14*ПремияЕвгения/(1+СтраховыеВзносы),0)</f>
        <v/>
      </c>
      <c r="O20" s="5">
        <f>IF('03_Сеть'!O13&gt;=2,'04_Доходы'!O14*ПремияЕвгения/(1+СтраховыеВзносы),0)</f>
        <v/>
      </c>
      <c r="P20" s="5">
        <f>IF('03_Сеть'!P13&gt;=2,'04_Доходы'!P14*ПремияЕвгения/(1+СтраховыеВзносы),0)</f>
        <v/>
      </c>
      <c r="Q20" s="5">
        <f>IF('03_Сеть'!Q13&gt;=2,'04_Доходы'!Q14*ПремияЕвгения/(1+СтраховыеВзносы),0)</f>
        <v/>
      </c>
      <c r="R20" s="5">
        <f>IF('03_Сеть'!R13&gt;=2,'04_Доходы'!R14*ПремияЕвгения/(1+СтраховыеВзносы),0)</f>
        <v/>
      </c>
      <c r="S20" s="5">
        <f>IF('03_Сеть'!S13&gt;=2,'04_Доходы'!S14*ПремияЕвгения/(1+СтраховыеВзносы),0)</f>
        <v/>
      </c>
      <c r="T20" s="5">
        <f>IF('03_Сеть'!T13&gt;=2,'04_Доходы'!T14*ПремияЕвгения/(1+СтраховыеВзносы),0)</f>
        <v/>
      </c>
      <c r="U20" s="5">
        <f>IF('03_Сеть'!U13&gt;=2,'04_Доходы'!U14*ПремияЕвгения/(1+СтраховыеВзносы),0)</f>
        <v/>
      </c>
      <c r="V20" s="5">
        <f>IF('03_Сеть'!V13&gt;=2,'04_Доходы'!V14*ПремияЕвгения/(1+СтраховыеВзносы),0)</f>
        <v/>
      </c>
      <c r="W20" s="5">
        <f>IF('03_Сеть'!W13&gt;=2,'04_Доходы'!W14*ПремияЕвгения/(1+СтраховыеВзносы),0)</f>
        <v/>
      </c>
      <c r="X20" s="5">
        <f>IF('03_Сеть'!X13&gt;=2,'04_Доходы'!X14*ПремияЕвгения/(1+СтраховыеВзносы),0)</f>
        <v/>
      </c>
      <c r="Y20" s="5">
        <f>IF('03_Сеть'!Y13&gt;=2,'04_Доходы'!Y14*ПремияЕвгения/(1+СтраховыеВзносы),0)</f>
        <v/>
      </c>
      <c r="Z20" s="5">
        <f>IF('03_Сеть'!Z13&gt;=2,'04_Доходы'!Z14*ПремияЕвгения/(1+СтраховыеВзносы),0)</f>
        <v/>
      </c>
      <c r="AA20" s="5">
        <f>IF('03_Сеть'!AA13&gt;=2,'04_Доходы'!AA14*ПремияЕвгения/(1+СтраховыеВзносы),0)</f>
        <v/>
      </c>
      <c r="AB20" s="5">
        <f>IF('03_Сеть'!AB13&gt;=2,'04_Доходы'!AB14*ПремияЕвгения/(1+СтраховыеВзносы),0)</f>
        <v/>
      </c>
      <c r="AC20" s="5">
        <f>IF('03_Сеть'!AC13&gt;=2,'04_Доходы'!AC14*ПремияЕвгения/(1+СтраховыеВзносы),0)</f>
        <v/>
      </c>
      <c r="AD20" s="5">
        <f>IF('03_Сеть'!AD13&gt;=2,'04_Доходы'!AD14*ПремияЕвгения/(1+СтраховыеВзносы),0)</f>
        <v/>
      </c>
      <c r="AE20" s="5">
        <f>IF('03_Сеть'!AE13&gt;=2,'04_Доходы'!AE14*ПремияЕвгения/(1+СтраховыеВзносы),0)</f>
        <v/>
      </c>
      <c r="AF20" s="5">
        <f>IF('03_Сеть'!AF13&gt;=2,'04_Доходы'!AF14*ПремияЕвгения/(1+СтраховыеВзносы),0)</f>
        <v/>
      </c>
      <c r="AG20" s="5">
        <f>IF('03_Сеть'!AG13&gt;=2,'04_Доходы'!AG14*ПремияЕвгения/(1+СтраховыеВзносы),0)</f>
        <v/>
      </c>
      <c r="AH20" s="5">
        <f>IF('03_Сеть'!AH13&gt;=2,'04_Доходы'!AH14*ПремияЕвгения/(1+СтраховыеВзносы),0)</f>
        <v/>
      </c>
      <c r="AI20" s="5">
        <f>IF('03_Сеть'!AI13&gt;=2,'04_Доходы'!AI14*ПремияЕвгения/(1+СтраховыеВзносы),0)</f>
        <v/>
      </c>
      <c r="AJ20" s="5">
        <f>IF('03_Сеть'!AJ13&gt;=2,'04_Доходы'!AJ14*ПремияЕвгения/(1+СтраховыеВзносы),0)</f>
        <v/>
      </c>
      <c r="AK20" s="5">
        <f>IF('03_Сеть'!AK13&gt;=2,'04_Доходы'!AK14*ПремияЕвгения/(1+СтраховыеВзносы),0)</f>
        <v/>
      </c>
      <c r="AL20" s="5">
        <f>IF('03_Сеть'!AL13&gt;=2,'04_Доходы'!AL14*ПремияЕвгения/(1+СтраховыеВзносы),0)</f>
        <v/>
      </c>
      <c r="AM20" s="5">
        <f>IF('03_Сеть'!AM13&gt;=2,'04_Доходы'!AM14*ПремияЕвгения/(1+СтраховыеВзносы),0)</f>
        <v/>
      </c>
      <c r="AN20" s="5">
        <f>IF('03_Сеть'!AN13&gt;=2,'04_Доходы'!AN14*ПремияЕвгения/(1+СтраховыеВзносы),0)</f>
        <v/>
      </c>
      <c r="AO20" s="5">
        <f>IF('03_Сеть'!AO13&gt;=2,'04_Доходы'!AO14*ПремияЕвгения/(1+СтраховыеВзносы),0)</f>
        <v/>
      </c>
      <c r="AP20" s="5">
        <f>IF('03_Сеть'!AP13&gt;=2,'04_Доходы'!AP14*ПремияЕвгения/(1+СтраховыеВзносы),0)</f>
        <v/>
      </c>
      <c r="AQ20" s="5">
        <f>IF('03_Сеть'!AQ13&gt;=2,'04_Доходы'!AQ14*ПремияЕвгения/(1+СтраховыеВзносы),0)</f>
        <v/>
      </c>
      <c r="AR20" s="5">
        <f>IF('03_Сеть'!AR13&gt;=2,'04_Доходы'!AR14*ПремияЕвгения/(1+СтраховыеВзносы),0)</f>
        <v/>
      </c>
      <c r="AS20" s="5">
        <f>IF('03_Сеть'!AS13&gt;=2,'04_Доходы'!AS14*ПремияЕвгения/(1+СтраховыеВзносы),0)</f>
        <v/>
      </c>
      <c r="AT20" s="5">
        <f>IF('03_Сеть'!AT13&gt;=2,'04_Доходы'!AT14*ПремияЕвгения/(1+СтраховыеВзносы),0)</f>
        <v/>
      </c>
      <c r="AU20" s="5">
        <f>IF('03_Сеть'!AU13&gt;=2,'04_Доходы'!AU14*ПремияЕвгения/(1+СтраховыеВзносы),0)</f>
        <v/>
      </c>
      <c r="AV20" s="5">
        <f>IF('03_Сеть'!AV13&gt;=2,'04_Доходы'!AV14*ПремияЕвгения/(1+СтраховыеВзносы),0)</f>
        <v/>
      </c>
      <c r="AW20" s="5">
        <f>IF('03_Сеть'!AW13&gt;=2,'04_Доходы'!AW14*ПремияЕвгения/(1+СтраховыеВзносы),0)</f>
        <v/>
      </c>
      <c r="AX20" s="5">
        <f>IF('03_Сеть'!AX13&gt;=2,'04_Доходы'!AX14*ПремияЕвгения/(1+СтраховыеВзносы),0)</f>
        <v/>
      </c>
      <c r="AY20" s="5">
        <f>IF('03_Сеть'!AY13&gt;=2,'04_Доходы'!AY14*ПремияЕвгения/(1+СтраховыеВзносы),0)</f>
        <v/>
      </c>
      <c r="AZ20" s="5">
        <f>IF('03_Сеть'!AZ13&gt;=2,'04_Доходы'!AZ14*ПремияЕвгения/(1+СтраховыеВзносы),0)</f>
        <v/>
      </c>
      <c r="BA20" s="5">
        <f>IF('03_Сеть'!BA13&gt;=2,'04_Доходы'!BA14*ПремияЕвгения/(1+СтраховыеВзносы),0)</f>
        <v/>
      </c>
      <c r="BB20" s="5">
        <f>IF('03_Сеть'!BB13&gt;=2,'04_Доходы'!BB14*ПремияЕвгения/(1+СтраховыеВзносы),0)</f>
        <v/>
      </c>
      <c r="BC20" s="5">
        <f>IF('03_Сеть'!BC13&gt;=2,'04_Доходы'!BC14*ПремияЕвгения/(1+СтраховыеВзносы),0)</f>
        <v/>
      </c>
      <c r="BD20" s="5">
        <f>IF('03_Сеть'!BD13&gt;=2,'04_Доходы'!BD14*ПремияЕвгения/(1+СтраховыеВзносы),0)</f>
        <v/>
      </c>
      <c r="BE20" s="5">
        <f>IF('03_Сеть'!BE13&gt;=2,'04_Доходы'!BE14*ПремияЕвгения/(1+СтраховыеВзносы),0)</f>
        <v/>
      </c>
      <c r="BF20" s="5">
        <f>IF('03_Сеть'!BF13&gt;=2,'04_Доходы'!BF14*ПремияЕвгения/(1+СтраховыеВзносы),0)</f>
        <v/>
      </c>
      <c r="BG20" s="5">
        <f>IF('03_Сеть'!BG13&gt;=2,'04_Доходы'!BG14*ПремияЕвгения/(1+СтраховыеВзносы),0)</f>
        <v/>
      </c>
      <c r="BH20" s="5">
        <f>IF('03_Сеть'!BH13&gt;=2,'04_Доходы'!BH14*ПремияЕвгения/(1+СтраховыеВзносы),0)</f>
        <v/>
      </c>
      <c r="BI20" s="5">
        <f>IF('03_Сеть'!BI13&gt;=2,'04_Доходы'!BI14*ПремияЕвгения/(1+СтраховыеВзносы),0)</f>
        <v/>
      </c>
      <c r="BJ20" s="5">
        <f>IF('03_Сеть'!BJ13&gt;=2,'04_Доходы'!BJ14*ПремияЕвгения/(1+СтраховыеВзносы),0)</f>
        <v/>
      </c>
      <c r="BK20" s="5">
        <f>IF('03_Сеть'!BK13&gt;=2,'04_Доходы'!BK14*ПремияЕвгения/(1+СтраховыеВзносы),0)</f>
        <v/>
      </c>
      <c r="BL20" s="5">
        <f>IF('03_Сеть'!BL13&gt;=2,'04_Доходы'!BL14*ПремияЕвгения/(1+СтраховыеВзносы),0)</f>
        <v/>
      </c>
      <c r="BM20" s="5">
        <f>IF('03_Сеть'!BM13&gt;=2,'04_Доходы'!BM14*ПремияЕвгения/(1+СтраховыеВзносы),0)</f>
        <v/>
      </c>
      <c r="BN20" s="5">
        <f>IF('03_Сеть'!BN13&gt;=2,'04_Доходы'!BN14*ПремияЕвгения/(1+СтраховыеВзносы),0)</f>
        <v/>
      </c>
      <c r="BO20" s="5">
        <f>IF('03_Сеть'!BO13&gt;=2,'04_Доходы'!BO14*ПремияЕвгения/(1+СтраховыеВзносы),0)</f>
        <v/>
      </c>
      <c r="BP20" s="5">
        <f>IF('03_Сеть'!BP13&gt;=2,'04_Доходы'!BP14*ПремияЕвгения/(1+СтраховыеВзносы),0)</f>
        <v/>
      </c>
      <c r="BQ20" s="5">
        <f>IF('03_Сеть'!BQ13&gt;=2,'04_Доходы'!BQ14*ПремияЕвгения/(1+СтраховыеВзносы),0)</f>
        <v/>
      </c>
      <c r="BR20" s="5">
        <f>IF('03_Сеть'!BR13&gt;=2,'04_Доходы'!BR14*ПремияЕвгения/(1+СтраховыеВзносы),0)</f>
        <v/>
      </c>
      <c r="BS20" s="5">
        <f>IF('03_Сеть'!BS13&gt;=2,'04_Доходы'!BS14*ПремияЕвгения/(1+СтраховыеВзносы),0)</f>
        <v/>
      </c>
      <c r="BT20" s="5">
        <f>IF('03_Сеть'!BT13&gt;=2,'04_Доходы'!BT14*ПремияЕвгения/(1+СтраховыеВзносы),0)</f>
        <v/>
      </c>
      <c r="BU20" s="5">
        <f>IF('03_Сеть'!BU13&gt;=2,'04_Доходы'!BU14*ПремияЕвгения/(1+СтраховыеВзносы),0)</f>
        <v/>
      </c>
      <c r="BV20" s="5">
        <f>IF('03_Сеть'!BV13&gt;=2,'04_Доходы'!BV14*ПремияЕвгения/(1+СтраховыеВзносы),0)</f>
        <v/>
      </c>
      <c r="BW20" s="5">
        <f>IF('03_Сеть'!BW13&gt;=2,'04_Доходы'!BW14*ПремияЕвгения/(1+СтраховыеВзносы),0)</f>
        <v/>
      </c>
      <c r="BX20" s="5">
        <f>IF('03_Сеть'!BX13&gt;=2,'04_Доходы'!BX14*ПремияЕвгения/(1+СтраховыеВзносы),0)</f>
        <v/>
      </c>
      <c r="BY20" s="5">
        <f>IF('03_Сеть'!BY13&gt;=2,'04_Доходы'!BY14*ПремияЕвгения/(1+СтраховыеВзносы),0)</f>
        <v/>
      </c>
    </row>
    <row r="21">
      <c r="B21" t="inlineStr">
        <is>
          <t>Взносы на премию Евгения</t>
        </is>
      </c>
      <c r="C21" t="inlineStr">
        <is>
          <t>₽</t>
        </is>
      </c>
      <c r="D21" s="127" t="inlineStr"/>
      <c r="E21" s="129">
        <f>SUM(L21:W21)</f>
        <v/>
      </c>
      <c r="F21" s="129">
        <f>SUM(X21:AI21)</f>
        <v/>
      </c>
      <c r="G21" s="129">
        <f>SUM(AJ21:AU21)</f>
        <v/>
      </c>
      <c r="H21" s="129">
        <f>SUM(AV21:BG21)</f>
        <v/>
      </c>
      <c r="I21" s="129">
        <f>SUM(BH21:BS21)</f>
        <v/>
      </c>
      <c r="J21" s="6">
        <f>SUM(L21:BS21)</f>
        <v/>
      </c>
      <c r="L21" s="5">
        <f>L20*СтраховыеВзносы</f>
        <v/>
      </c>
      <c r="M21" s="5">
        <f>M20*СтраховыеВзносы</f>
        <v/>
      </c>
      <c r="N21" s="5">
        <f>N20*СтраховыеВзносы</f>
        <v/>
      </c>
      <c r="O21" s="5">
        <f>O20*СтраховыеВзносы</f>
        <v/>
      </c>
      <c r="P21" s="5">
        <f>P20*СтраховыеВзносы</f>
        <v/>
      </c>
      <c r="Q21" s="5">
        <f>Q20*СтраховыеВзносы</f>
        <v/>
      </c>
      <c r="R21" s="5">
        <f>R20*СтраховыеВзносы</f>
        <v/>
      </c>
      <c r="S21" s="5">
        <f>S20*СтраховыеВзносы</f>
        <v/>
      </c>
      <c r="T21" s="5">
        <f>T20*СтраховыеВзносы</f>
        <v/>
      </c>
      <c r="U21" s="5">
        <f>U20*СтраховыеВзносы</f>
        <v/>
      </c>
      <c r="V21" s="5">
        <f>V20*СтраховыеВзносы</f>
        <v/>
      </c>
      <c r="W21" s="5">
        <f>W20*СтраховыеВзносы</f>
        <v/>
      </c>
      <c r="X21" s="5">
        <f>X20*СтраховыеВзносы</f>
        <v/>
      </c>
      <c r="Y21" s="5">
        <f>Y20*СтраховыеВзносы</f>
        <v/>
      </c>
      <c r="Z21" s="5">
        <f>Z20*СтраховыеВзносы</f>
        <v/>
      </c>
      <c r="AA21" s="5">
        <f>AA20*СтраховыеВзносы</f>
        <v/>
      </c>
      <c r="AB21" s="5">
        <f>AB20*СтраховыеВзносы</f>
        <v/>
      </c>
      <c r="AC21" s="5">
        <f>AC20*СтраховыеВзносы</f>
        <v/>
      </c>
      <c r="AD21" s="5">
        <f>AD20*СтраховыеВзносы</f>
        <v/>
      </c>
      <c r="AE21" s="5">
        <f>AE20*СтраховыеВзносы</f>
        <v/>
      </c>
      <c r="AF21" s="5">
        <f>AF20*СтраховыеВзносы</f>
        <v/>
      </c>
      <c r="AG21" s="5">
        <f>AG20*СтраховыеВзносы</f>
        <v/>
      </c>
      <c r="AH21" s="5">
        <f>AH20*СтраховыеВзносы</f>
        <v/>
      </c>
      <c r="AI21" s="5">
        <f>AI20*СтраховыеВзносы</f>
        <v/>
      </c>
      <c r="AJ21" s="5">
        <f>AJ20*СтраховыеВзносы</f>
        <v/>
      </c>
      <c r="AK21" s="5">
        <f>AK20*СтраховыеВзносы</f>
        <v/>
      </c>
      <c r="AL21" s="5">
        <f>AL20*СтраховыеВзносы</f>
        <v/>
      </c>
      <c r="AM21" s="5">
        <f>AM20*СтраховыеВзносы</f>
        <v/>
      </c>
      <c r="AN21" s="5">
        <f>AN20*СтраховыеВзносы</f>
        <v/>
      </c>
      <c r="AO21" s="5">
        <f>AO20*СтраховыеВзносы</f>
        <v/>
      </c>
      <c r="AP21" s="5">
        <f>AP20*СтраховыеВзносы</f>
        <v/>
      </c>
      <c r="AQ21" s="5">
        <f>AQ20*СтраховыеВзносы</f>
        <v/>
      </c>
      <c r="AR21" s="5">
        <f>AR20*СтраховыеВзносы</f>
        <v/>
      </c>
      <c r="AS21" s="5">
        <f>AS20*СтраховыеВзносы</f>
        <v/>
      </c>
      <c r="AT21" s="5">
        <f>AT20*СтраховыеВзносы</f>
        <v/>
      </c>
      <c r="AU21" s="5">
        <f>AU20*СтраховыеВзносы</f>
        <v/>
      </c>
      <c r="AV21" s="5">
        <f>AV20*СтраховыеВзносы</f>
        <v/>
      </c>
      <c r="AW21" s="5">
        <f>AW20*СтраховыеВзносы</f>
        <v/>
      </c>
      <c r="AX21" s="5">
        <f>AX20*СтраховыеВзносы</f>
        <v/>
      </c>
      <c r="AY21" s="5">
        <f>AY20*СтраховыеВзносы</f>
        <v/>
      </c>
      <c r="AZ21" s="5">
        <f>AZ20*СтраховыеВзносы</f>
        <v/>
      </c>
      <c r="BA21" s="5">
        <f>BA20*СтраховыеВзносы</f>
        <v/>
      </c>
      <c r="BB21" s="5">
        <f>BB20*СтраховыеВзносы</f>
        <v/>
      </c>
      <c r="BC21" s="5">
        <f>BC20*СтраховыеВзносы</f>
        <v/>
      </c>
      <c r="BD21" s="5">
        <f>BD20*СтраховыеВзносы</f>
        <v/>
      </c>
      <c r="BE21" s="5">
        <f>BE20*СтраховыеВзносы</f>
        <v/>
      </c>
      <c r="BF21" s="5">
        <f>BF20*СтраховыеВзносы</f>
        <v/>
      </c>
      <c r="BG21" s="5">
        <f>BG20*СтраховыеВзносы</f>
        <v/>
      </c>
      <c r="BH21" s="5">
        <f>BH20*СтраховыеВзносы</f>
        <v/>
      </c>
      <c r="BI21" s="5">
        <f>BI20*СтраховыеВзносы</f>
        <v/>
      </c>
      <c r="BJ21" s="5">
        <f>BJ20*СтраховыеВзносы</f>
        <v/>
      </c>
      <c r="BK21" s="5">
        <f>BK20*СтраховыеВзносы</f>
        <v/>
      </c>
      <c r="BL21" s="5">
        <f>BL20*СтраховыеВзносы</f>
        <v/>
      </c>
      <c r="BM21" s="5">
        <f>BM20*СтраховыеВзносы</f>
        <v/>
      </c>
      <c r="BN21" s="5">
        <f>BN20*СтраховыеВзносы</f>
        <v/>
      </c>
      <c r="BO21" s="5">
        <f>BO20*СтраховыеВзносы</f>
        <v/>
      </c>
      <c r="BP21" s="5">
        <f>BP20*СтраховыеВзносы</f>
        <v/>
      </c>
      <c r="BQ21" s="5">
        <f>BQ20*СтраховыеВзносы</f>
        <v/>
      </c>
      <c r="BR21" s="5">
        <f>BR20*СтраховыеВзносы</f>
        <v/>
      </c>
      <c r="BS21" s="5">
        <f>BS20*СтраховыеВзносы</f>
        <v/>
      </c>
      <c r="BT21" s="5">
        <f>BT20*СтраховыеВзносы</f>
        <v/>
      </c>
      <c r="BU21" s="5">
        <f>BU20*СтраховыеВзносы</f>
        <v/>
      </c>
      <c r="BV21" s="5">
        <f>BV20*СтраховыеВзносы</f>
        <v/>
      </c>
      <c r="BW21" s="5">
        <f>BW20*СтраховыеВзносы</f>
        <v/>
      </c>
      <c r="BX21" s="5">
        <f>BX20*СтраховыеВзносы</f>
        <v/>
      </c>
      <c r="BY21" s="5">
        <f>BY20*СтраховыеВзносы</f>
        <v/>
      </c>
    </row>
    <row r="22">
      <c r="B22" t="inlineStr">
        <is>
          <t>Временный продавец</t>
        </is>
      </c>
      <c r="C22" t="inlineStr">
        <is>
          <t>₽</t>
        </is>
      </c>
      <c r="D22" s="127" t="inlineStr">
        <is>
          <t>Подключается при пяти продажах за месяц</t>
        </is>
      </c>
      <c r="E22" s="129">
        <f>SUM(L22:W22)</f>
        <v/>
      </c>
      <c r="F22" s="129">
        <f>SUM(X22:AI22)</f>
        <v/>
      </c>
      <c r="G22" s="129">
        <f>SUM(AJ22:AU22)</f>
        <v/>
      </c>
      <c r="H22" s="129">
        <f>SUM(AV22:BG22)</f>
        <v/>
      </c>
      <c r="I22" s="129">
        <f>SUM(BH22:BS22)</f>
        <v/>
      </c>
      <c r="J22" s="6">
        <f>SUM(L22:BS22)</f>
        <v/>
      </c>
      <c r="L22" s="5">
        <f>IF('03_Сеть'!L13&gt;=ТриггерПродавца,IF(СтатусПродавца="ИП",ПродавецФикс+'04_Доходы'!L14*ПродавецБонус,(ПродавецФикс/NetGross+'04_Доходы'!L14*ПродавецБонус)*(1+СтраховыеВзносы)),0)</f>
        <v/>
      </c>
      <c r="M22" s="5">
        <f>IF('03_Сеть'!M13&gt;=ТриггерПродавца,IF(СтатусПродавца="ИП",ПродавецФикс+'04_Доходы'!M14*ПродавецБонус,(ПродавецФикс/NetGross+'04_Доходы'!M14*ПродавецБонус)*(1+СтраховыеВзносы)),0)</f>
        <v/>
      </c>
      <c r="N22" s="5">
        <f>IF('03_Сеть'!N13&gt;=ТриггерПродавца,IF(СтатусПродавца="ИП",ПродавецФикс+'04_Доходы'!N14*ПродавецБонус,(ПродавецФикс/NetGross+'04_Доходы'!N14*ПродавецБонус)*(1+СтраховыеВзносы)),0)</f>
        <v/>
      </c>
      <c r="O22" s="5">
        <f>IF('03_Сеть'!O13&gt;=ТриггерПродавца,IF(СтатусПродавца="ИП",ПродавецФикс+'04_Доходы'!O14*ПродавецБонус,(ПродавецФикс/NetGross+'04_Доходы'!O14*ПродавецБонус)*(1+СтраховыеВзносы)),0)</f>
        <v/>
      </c>
      <c r="P22" s="5">
        <f>IF('03_Сеть'!P13&gt;=ТриггерПродавца,IF(СтатусПродавца="ИП",ПродавецФикс+'04_Доходы'!P14*ПродавецБонус,(ПродавецФикс/NetGross+'04_Доходы'!P14*ПродавецБонус)*(1+СтраховыеВзносы)),0)</f>
        <v/>
      </c>
      <c r="Q22" s="5">
        <f>IF('03_Сеть'!Q13&gt;=ТриггерПродавца,IF(СтатусПродавца="ИП",ПродавецФикс+'04_Доходы'!Q14*ПродавецБонус,(ПродавецФикс/NetGross+'04_Доходы'!Q14*ПродавецБонус)*(1+СтраховыеВзносы)),0)</f>
        <v/>
      </c>
      <c r="R22" s="5">
        <f>IF('03_Сеть'!R13&gt;=ТриггерПродавца,IF(СтатусПродавца="ИП",ПродавецФикс+'04_Доходы'!R14*ПродавецБонус,(ПродавецФикс/NetGross+'04_Доходы'!R14*ПродавецБонус)*(1+СтраховыеВзносы)),0)</f>
        <v/>
      </c>
      <c r="S22" s="5">
        <f>IF('03_Сеть'!S13&gt;=ТриггерПродавца,IF(СтатусПродавца="ИП",ПродавецФикс+'04_Доходы'!S14*ПродавецБонус,(ПродавецФикс/NetGross+'04_Доходы'!S14*ПродавецБонус)*(1+СтраховыеВзносы)),0)</f>
        <v/>
      </c>
      <c r="T22" s="5">
        <f>IF('03_Сеть'!T13&gt;=ТриггерПродавца,IF(СтатусПродавца="ИП",ПродавецФикс+'04_Доходы'!T14*ПродавецБонус,(ПродавецФикс/NetGross+'04_Доходы'!T14*ПродавецБонус)*(1+СтраховыеВзносы)),0)</f>
        <v/>
      </c>
      <c r="U22" s="5">
        <f>IF('03_Сеть'!U13&gt;=ТриггерПродавца,IF(СтатусПродавца="ИП",ПродавецФикс+'04_Доходы'!U14*ПродавецБонус,(ПродавецФикс/NetGross+'04_Доходы'!U14*ПродавецБонус)*(1+СтраховыеВзносы)),0)</f>
        <v/>
      </c>
      <c r="V22" s="5">
        <f>IF('03_Сеть'!V13&gt;=ТриггерПродавца,IF(СтатусПродавца="ИП",ПродавецФикс+'04_Доходы'!V14*ПродавецБонус,(ПродавецФикс/NetGross+'04_Доходы'!V14*ПродавецБонус)*(1+СтраховыеВзносы)),0)</f>
        <v/>
      </c>
      <c r="W22" s="5">
        <f>IF('03_Сеть'!W13&gt;=ТриггерПродавца,IF(СтатусПродавца="ИП",ПродавецФикс+'04_Доходы'!W14*ПродавецБонус,(ПродавецФикс/NetGross+'04_Доходы'!W14*ПродавецБонус)*(1+СтраховыеВзносы)),0)</f>
        <v/>
      </c>
      <c r="X22" s="5">
        <f>IF('03_Сеть'!X13&gt;=ТриггерПродавца,IF(СтатусПродавца="ИП",ПродавецФикс+'04_Доходы'!X14*ПродавецБонус,(ПродавецФикс/NetGross+'04_Доходы'!X14*ПродавецБонус)*(1+СтраховыеВзносы)),0)</f>
        <v/>
      </c>
      <c r="Y22" s="5">
        <f>IF('03_Сеть'!Y13&gt;=ТриггерПродавца,IF(СтатусПродавца="ИП",ПродавецФикс+'04_Доходы'!Y14*ПродавецБонус,(ПродавецФикс/NetGross+'04_Доходы'!Y14*ПродавецБонус)*(1+СтраховыеВзносы)),0)</f>
        <v/>
      </c>
      <c r="Z22" s="5">
        <f>IF('03_Сеть'!Z13&gt;=ТриггерПродавца,IF(СтатусПродавца="ИП",ПродавецФикс+'04_Доходы'!Z14*ПродавецБонус,(ПродавецФикс/NetGross+'04_Доходы'!Z14*ПродавецБонус)*(1+СтраховыеВзносы)),0)</f>
        <v/>
      </c>
      <c r="AA22" s="5">
        <f>IF('03_Сеть'!AA13&gt;=ТриггерПродавца,IF(СтатусПродавца="ИП",ПродавецФикс+'04_Доходы'!AA14*ПродавецБонус,(ПродавецФикс/NetGross+'04_Доходы'!AA14*ПродавецБонус)*(1+СтраховыеВзносы)),0)</f>
        <v/>
      </c>
      <c r="AB22" s="5">
        <f>IF('03_Сеть'!AB13&gt;=ТриггерПродавца,IF(СтатусПродавца="ИП",ПродавецФикс+'04_Доходы'!AB14*ПродавецБонус,(ПродавецФикс/NetGross+'04_Доходы'!AB14*ПродавецБонус)*(1+СтраховыеВзносы)),0)</f>
        <v/>
      </c>
      <c r="AC22" s="5">
        <f>IF('03_Сеть'!AC13&gt;=ТриггерПродавца,IF(СтатусПродавца="ИП",ПродавецФикс+'04_Доходы'!AC14*ПродавецБонус,(ПродавецФикс/NetGross+'04_Доходы'!AC14*ПродавецБонус)*(1+СтраховыеВзносы)),0)</f>
        <v/>
      </c>
      <c r="AD22" s="5">
        <f>IF('03_Сеть'!AD13&gt;=ТриггерПродавца,IF(СтатусПродавца="ИП",ПродавецФикс+'04_Доходы'!AD14*ПродавецБонус,(ПродавецФикс/NetGross+'04_Доходы'!AD14*ПродавецБонус)*(1+СтраховыеВзносы)),0)</f>
        <v/>
      </c>
      <c r="AE22" s="5">
        <f>IF('03_Сеть'!AE13&gt;=ТриггерПродавца,IF(СтатусПродавца="ИП",ПродавецФикс+'04_Доходы'!AE14*ПродавецБонус,(ПродавецФикс/NetGross+'04_Доходы'!AE14*ПродавецБонус)*(1+СтраховыеВзносы)),0)</f>
        <v/>
      </c>
      <c r="AF22" s="5">
        <f>IF('03_Сеть'!AF13&gt;=ТриггерПродавца,IF(СтатусПродавца="ИП",ПродавецФикс+'04_Доходы'!AF14*ПродавецБонус,(ПродавецФикс/NetGross+'04_Доходы'!AF14*ПродавецБонус)*(1+СтраховыеВзносы)),0)</f>
        <v/>
      </c>
      <c r="AG22" s="5">
        <f>IF('03_Сеть'!AG13&gt;=ТриггерПродавца,IF(СтатусПродавца="ИП",ПродавецФикс+'04_Доходы'!AG14*ПродавецБонус,(ПродавецФикс/NetGross+'04_Доходы'!AG14*ПродавецБонус)*(1+СтраховыеВзносы)),0)</f>
        <v/>
      </c>
      <c r="AH22" s="5">
        <f>IF('03_Сеть'!AH13&gt;=ТриггерПродавца,IF(СтатусПродавца="ИП",ПродавецФикс+'04_Доходы'!AH14*ПродавецБонус,(ПродавецФикс/NetGross+'04_Доходы'!AH14*ПродавецБонус)*(1+СтраховыеВзносы)),0)</f>
        <v/>
      </c>
      <c r="AI22" s="5">
        <f>IF('03_Сеть'!AI13&gt;=ТриггерПродавца,IF(СтатусПродавца="ИП",ПродавецФикс+'04_Доходы'!AI14*ПродавецБонус,(ПродавецФикс/NetGross+'04_Доходы'!AI14*ПродавецБонус)*(1+СтраховыеВзносы)),0)</f>
        <v/>
      </c>
      <c r="AJ22" s="5">
        <f>IF('03_Сеть'!AJ13&gt;=ТриггерПродавца,IF(СтатусПродавца="ИП",ПродавецФикс+'04_Доходы'!AJ14*ПродавецБонус,(ПродавецФикс/NetGross+'04_Доходы'!AJ14*ПродавецБонус)*(1+СтраховыеВзносы)),0)</f>
        <v/>
      </c>
      <c r="AK22" s="5">
        <f>IF('03_Сеть'!AK13&gt;=ТриггерПродавца,IF(СтатусПродавца="ИП",ПродавецФикс+'04_Доходы'!AK14*ПродавецБонус,(ПродавецФикс/NetGross+'04_Доходы'!AK14*ПродавецБонус)*(1+СтраховыеВзносы)),0)</f>
        <v/>
      </c>
      <c r="AL22" s="5">
        <f>IF('03_Сеть'!AL13&gt;=ТриггерПродавца,IF(СтатусПродавца="ИП",ПродавецФикс+'04_Доходы'!AL14*ПродавецБонус,(ПродавецФикс/NetGross+'04_Доходы'!AL14*ПродавецБонус)*(1+СтраховыеВзносы)),0)</f>
        <v/>
      </c>
      <c r="AM22" s="5">
        <f>IF('03_Сеть'!AM13&gt;=ТриггерПродавца,IF(СтатусПродавца="ИП",ПродавецФикс+'04_Доходы'!AM14*ПродавецБонус,(ПродавецФикс/NetGross+'04_Доходы'!AM14*ПродавецБонус)*(1+СтраховыеВзносы)),0)</f>
        <v/>
      </c>
      <c r="AN22" s="5">
        <f>IF('03_Сеть'!AN13&gt;=ТриггерПродавца,IF(СтатусПродавца="ИП",ПродавецФикс+'04_Доходы'!AN14*ПродавецБонус,(ПродавецФикс/NetGross+'04_Доходы'!AN14*ПродавецБонус)*(1+СтраховыеВзносы)),0)</f>
        <v/>
      </c>
      <c r="AO22" s="5">
        <f>IF('03_Сеть'!AO13&gt;=ТриггерПродавца,IF(СтатусПродавца="ИП",ПродавецФикс+'04_Доходы'!AO14*ПродавецБонус,(ПродавецФикс/NetGross+'04_Доходы'!AO14*ПродавецБонус)*(1+СтраховыеВзносы)),0)</f>
        <v/>
      </c>
      <c r="AP22" s="5">
        <f>IF('03_Сеть'!AP13&gt;=ТриггерПродавца,IF(СтатусПродавца="ИП",ПродавецФикс+'04_Доходы'!AP14*ПродавецБонус,(ПродавецФикс/NetGross+'04_Доходы'!AP14*ПродавецБонус)*(1+СтраховыеВзносы)),0)</f>
        <v/>
      </c>
      <c r="AQ22" s="5">
        <f>IF('03_Сеть'!AQ13&gt;=ТриггерПродавца,IF(СтатусПродавца="ИП",ПродавецФикс+'04_Доходы'!AQ14*ПродавецБонус,(ПродавецФикс/NetGross+'04_Доходы'!AQ14*ПродавецБонус)*(1+СтраховыеВзносы)),0)</f>
        <v/>
      </c>
      <c r="AR22" s="5">
        <f>IF('03_Сеть'!AR13&gt;=ТриггерПродавца,IF(СтатусПродавца="ИП",ПродавецФикс+'04_Доходы'!AR14*ПродавецБонус,(ПродавецФикс/NetGross+'04_Доходы'!AR14*ПродавецБонус)*(1+СтраховыеВзносы)),0)</f>
        <v/>
      </c>
      <c r="AS22" s="5">
        <f>IF('03_Сеть'!AS13&gt;=ТриггерПродавца,IF(СтатусПродавца="ИП",ПродавецФикс+'04_Доходы'!AS14*ПродавецБонус,(ПродавецФикс/NetGross+'04_Доходы'!AS14*ПродавецБонус)*(1+СтраховыеВзносы)),0)</f>
        <v/>
      </c>
      <c r="AT22" s="5">
        <f>IF('03_Сеть'!AT13&gt;=ТриггерПродавца,IF(СтатусПродавца="ИП",ПродавецФикс+'04_Доходы'!AT14*ПродавецБонус,(ПродавецФикс/NetGross+'04_Доходы'!AT14*ПродавецБонус)*(1+СтраховыеВзносы)),0)</f>
        <v/>
      </c>
      <c r="AU22" s="5">
        <f>IF('03_Сеть'!AU13&gt;=ТриггерПродавца,IF(СтатусПродавца="ИП",ПродавецФикс+'04_Доходы'!AU14*ПродавецБонус,(ПродавецФикс/NetGross+'04_Доходы'!AU14*ПродавецБонус)*(1+СтраховыеВзносы)),0)</f>
        <v/>
      </c>
      <c r="AV22" s="5">
        <f>IF('03_Сеть'!AV13&gt;=ТриггерПродавца,IF(СтатусПродавца="ИП",ПродавецФикс+'04_Доходы'!AV14*ПродавецБонус,(ПродавецФикс/NetGross+'04_Доходы'!AV14*ПродавецБонус)*(1+СтраховыеВзносы)),0)</f>
        <v/>
      </c>
      <c r="AW22" s="5">
        <f>IF('03_Сеть'!AW13&gt;=ТриггерПродавца,IF(СтатусПродавца="ИП",ПродавецФикс+'04_Доходы'!AW14*ПродавецБонус,(ПродавецФикс/NetGross+'04_Доходы'!AW14*ПродавецБонус)*(1+СтраховыеВзносы)),0)</f>
        <v/>
      </c>
      <c r="AX22" s="5">
        <f>IF('03_Сеть'!AX13&gt;=ТриггерПродавца,IF(СтатусПродавца="ИП",ПродавецФикс+'04_Доходы'!AX14*ПродавецБонус,(ПродавецФикс/NetGross+'04_Доходы'!AX14*ПродавецБонус)*(1+СтраховыеВзносы)),0)</f>
        <v/>
      </c>
      <c r="AY22" s="5">
        <f>IF('03_Сеть'!AY13&gt;=ТриггерПродавца,IF(СтатусПродавца="ИП",ПродавецФикс+'04_Доходы'!AY14*ПродавецБонус,(ПродавецФикс/NetGross+'04_Доходы'!AY14*ПродавецБонус)*(1+СтраховыеВзносы)),0)</f>
        <v/>
      </c>
      <c r="AZ22" s="5">
        <f>IF('03_Сеть'!AZ13&gt;=ТриггерПродавца,IF(СтатусПродавца="ИП",ПродавецФикс+'04_Доходы'!AZ14*ПродавецБонус,(ПродавецФикс/NetGross+'04_Доходы'!AZ14*ПродавецБонус)*(1+СтраховыеВзносы)),0)</f>
        <v/>
      </c>
      <c r="BA22" s="5">
        <f>IF('03_Сеть'!BA13&gt;=ТриггерПродавца,IF(СтатусПродавца="ИП",ПродавецФикс+'04_Доходы'!BA14*ПродавецБонус,(ПродавецФикс/NetGross+'04_Доходы'!BA14*ПродавецБонус)*(1+СтраховыеВзносы)),0)</f>
        <v/>
      </c>
      <c r="BB22" s="5">
        <f>IF('03_Сеть'!BB13&gt;=ТриггерПродавца,IF(СтатусПродавца="ИП",ПродавецФикс+'04_Доходы'!BB14*ПродавецБонус,(ПродавецФикс/NetGross+'04_Доходы'!BB14*ПродавецБонус)*(1+СтраховыеВзносы)),0)</f>
        <v/>
      </c>
      <c r="BC22" s="5">
        <f>IF('03_Сеть'!BC13&gt;=ТриггерПродавца,IF(СтатусПродавца="ИП",ПродавецФикс+'04_Доходы'!BC14*ПродавецБонус,(ПродавецФикс/NetGross+'04_Доходы'!BC14*ПродавецБонус)*(1+СтраховыеВзносы)),0)</f>
        <v/>
      </c>
      <c r="BD22" s="5">
        <f>IF('03_Сеть'!BD13&gt;=ТриггерПродавца,IF(СтатусПродавца="ИП",ПродавецФикс+'04_Доходы'!BD14*ПродавецБонус,(ПродавецФикс/NetGross+'04_Доходы'!BD14*ПродавецБонус)*(1+СтраховыеВзносы)),0)</f>
        <v/>
      </c>
      <c r="BE22" s="5">
        <f>IF('03_Сеть'!BE13&gt;=ТриггерПродавца,IF(СтатусПродавца="ИП",ПродавецФикс+'04_Доходы'!BE14*ПродавецБонус,(ПродавецФикс/NetGross+'04_Доходы'!BE14*ПродавецБонус)*(1+СтраховыеВзносы)),0)</f>
        <v/>
      </c>
      <c r="BF22" s="5">
        <f>IF('03_Сеть'!BF13&gt;=ТриггерПродавца,IF(СтатусПродавца="ИП",ПродавецФикс+'04_Доходы'!BF14*ПродавецБонус,(ПродавецФикс/NetGross+'04_Доходы'!BF14*ПродавецБонус)*(1+СтраховыеВзносы)),0)</f>
        <v/>
      </c>
      <c r="BG22" s="5">
        <f>IF('03_Сеть'!BG13&gt;=ТриггерПродавца,IF(СтатусПродавца="ИП",ПродавецФикс+'04_Доходы'!BG14*ПродавецБонус,(ПродавецФикс/NetGross+'04_Доходы'!BG14*ПродавецБонус)*(1+СтраховыеВзносы)),0)</f>
        <v/>
      </c>
      <c r="BH22" s="5">
        <f>IF('03_Сеть'!BH13&gt;=ТриггерПродавца,IF(СтатусПродавца="ИП",ПродавецФикс+'04_Доходы'!BH14*ПродавецБонус,(ПродавецФикс/NetGross+'04_Доходы'!BH14*ПродавецБонус)*(1+СтраховыеВзносы)),0)</f>
        <v/>
      </c>
      <c r="BI22" s="5">
        <f>IF('03_Сеть'!BI13&gt;=ТриггерПродавца,IF(СтатусПродавца="ИП",ПродавецФикс+'04_Доходы'!BI14*ПродавецБонус,(ПродавецФикс/NetGross+'04_Доходы'!BI14*ПродавецБонус)*(1+СтраховыеВзносы)),0)</f>
        <v/>
      </c>
      <c r="BJ22" s="5">
        <f>IF('03_Сеть'!BJ13&gt;=ТриггерПродавца,IF(СтатусПродавца="ИП",ПродавецФикс+'04_Доходы'!BJ14*ПродавецБонус,(ПродавецФикс/NetGross+'04_Доходы'!BJ14*ПродавецБонус)*(1+СтраховыеВзносы)),0)</f>
        <v/>
      </c>
      <c r="BK22" s="5">
        <f>IF('03_Сеть'!BK13&gt;=ТриггерПродавца,IF(СтатусПродавца="ИП",ПродавецФикс+'04_Доходы'!BK14*ПродавецБонус,(ПродавецФикс/NetGross+'04_Доходы'!BK14*ПродавецБонус)*(1+СтраховыеВзносы)),0)</f>
        <v/>
      </c>
      <c r="BL22" s="5">
        <f>IF('03_Сеть'!BL13&gt;=ТриггерПродавца,IF(СтатусПродавца="ИП",ПродавецФикс+'04_Доходы'!BL14*ПродавецБонус,(ПродавецФикс/NetGross+'04_Доходы'!BL14*ПродавецБонус)*(1+СтраховыеВзносы)),0)</f>
        <v/>
      </c>
      <c r="BM22" s="5">
        <f>IF('03_Сеть'!BM13&gt;=ТриггерПродавца,IF(СтатусПродавца="ИП",ПродавецФикс+'04_Доходы'!BM14*ПродавецБонус,(ПродавецФикс/NetGross+'04_Доходы'!BM14*ПродавецБонус)*(1+СтраховыеВзносы)),0)</f>
        <v/>
      </c>
      <c r="BN22" s="5">
        <f>IF('03_Сеть'!BN13&gt;=ТриггерПродавца,IF(СтатусПродавца="ИП",ПродавецФикс+'04_Доходы'!BN14*ПродавецБонус,(ПродавецФикс/NetGross+'04_Доходы'!BN14*ПродавецБонус)*(1+СтраховыеВзносы)),0)</f>
        <v/>
      </c>
      <c r="BO22" s="5">
        <f>IF('03_Сеть'!BO13&gt;=ТриггерПродавца,IF(СтатусПродавца="ИП",ПродавецФикс+'04_Доходы'!BO14*ПродавецБонус,(ПродавецФикс/NetGross+'04_Доходы'!BO14*ПродавецБонус)*(1+СтраховыеВзносы)),0)</f>
        <v/>
      </c>
      <c r="BP22" s="5">
        <f>IF('03_Сеть'!BP13&gt;=ТриггерПродавца,IF(СтатусПродавца="ИП",ПродавецФикс+'04_Доходы'!BP14*ПродавецБонус,(ПродавецФикс/NetGross+'04_Доходы'!BP14*ПродавецБонус)*(1+СтраховыеВзносы)),0)</f>
        <v/>
      </c>
      <c r="BQ22" s="5">
        <f>IF('03_Сеть'!BQ13&gt;=ТриггерПродавца,IF(СтатусПродавца="ИП",ПродавецФикс+'04_Доходы'!BQ14*ПродавецБонус,(ПродавецФикс/NetGross+'04_Доходы'!BQ14*ПродавецБонус)*(1+СтраховыеВзносы)),0)</f>
        <v/>
      </c>
      <c r="BR22" s="5">
        <f>IF('03_Сеть'!BR13&gt;=ТриггерПродавца,IF(СтатусПродавца="ИП",ПродавецФикс+'04_Доходы'!BR14*ПродавецБонус,(ПродавецФикс/NetGross+'04_Доходы'!BR14*ПродавецБонус)*(1+СтраховыеВзносы)),0)</f>
        <v/>
      </c>
      <c r="BS22" s="5">
        <f>IF('03_Сеть'!BS13&gt;=ТриггерПродавца,IF(СтатусПродавца="ИП",ПродавецФикс+'04_Доходы'!BS14*ПродавецБонус,(ПродавецФикс/NetGross+'04_Доходы'!BS14*ПродавецБонус)*(1+СтраховыеВзносы)),0)</f>
        <v/>
      </c>
      <c r="BT22" s="5">
        <f>IF('03_Сеть'!BT13&gt;=ТриггерПродавца,IF(СтатусПродавца="ИП",ПродавецФикс+'04_Доходы'!BT14*ПродавецБонус,(ПродавецФикс/NetGross+'04_Доходы'!BT14*ПродавецБонус)*(1+СтраховыеВзносы)),0)</f>
        <v/>
      </c>
      <c r="BU22" s="5">
        <f>IF('03_Сеть'!BU13&gt;=ТриггерПродавца,IF(СтатусПродавца="ИП",ПродавецФикс+'04_Доходы'!BU14*ПродавецБонус,(ПродавецФикс/NetGross+'04_Доходы'!BU14*ПродавецБонус)*(1+СтраховыеВзносы)),0)</f>
        <v/>
      </c>
      <c r="BV22" s="5">
        <f>IF('03_Сеть'!BV13&gt;=ТриггерПродавца,IF(СтатусПродавца="ИП",ПродавецФикс+'04_Доходы'!BV14*ПродавецБонус,(ПродавецФикс/NetGross+'04_Доходы'!BV14*ПродавецБонус)*(1+СтраховыеВзносы)),0)</f>
        <v/>
      </c>
      <c r="BW22" s="5">
        <f>IF('03_Сеть'!BW13&gt;=ТриггерПродавца,IF(СтатусПродавца="ИП",ПродавецФикс+'04_Доходы'!BW14*ПродавецБонус,(ПродавецФикс/NetGross+'04_Доходы'!BW14*ПродавецБонус)*(1+СтраховыеВзносы)),0)</f>
        <v/>
      </c>
      <c r="BX22" s="5">
        <f>IF('03_Сеть'!BX13&gt;=ТриггерПродавца,IF(СтатусПродавца="ИП",ПродавецФикс+'04_Доходы'!BX14*ПродавецБонус,(ПродавецФикс/NetGross+'04_Доходы'!BX14*ПродавецБонус)*(1+СтраховыеВзносы)),0)</f>
        <v/>
      </c>
      <c r="BY22" s="5">
        <f>IF('03_Сеть'!BY13&gt;=ТриггерПродавца,IF(СтатусПродавца="ИП",ПродавецФикс+'04_Доходы'!BY14*ПродавецБонус,(ПродавецФикс/NetGross+'04_Доходы'!BY14*ПродавецБонус)*(1+СтраховыеВзносы)),0)</f>
        <v/>
      </c>
    </row>
    <row r="23">
      <c r="B23" t="inlineStr">
        <is>
          <t>Квартальная премия, gross</t>
        </is>
      </c>
      <c r="C23" t="inlineStr">
        <is>
          <t>₽</t>
        </is>
      </c>
      <c r="D23" s="127" t="inlineStr">
        <is>
          <t>Раз в квартал, 60% месячного оклада</t>
        </is>
      </c>
      <c r="E23" s="129">
        <f>SUM(L23:W23)</f>
        <v/>
      </c>
      <c r="F23" s="129">
        <f>SUM(X23:AI23)</f>
        <v/>
      </c>
      <c r="G23" s="129">
        <f>SUM(AJ23:AU23)</f>
        <v/>
      </c>
      <c r="H23" s="129">
        <f>SUM(AV23:BG23)</f>
        <v/>
      </c>
      <c r="I23" s="129">
        <f>SUM(BH23:BS23)</f>
        <v/>
      </c>
      <c r="J23" s="6">
        <f>SUM(L23:BS23)</f>
        <v/>
      </c>
      <c r="L23" s="5">
        <f>IF(AND('03_Сеть'!L7&gt;=ДатаКвартальных,MOD(MONTH('03_Сеть'!L7),3)=0),(БазаКвартальной*L7+IF(ПремияГДвБазе="Да",L8,0)+L10+L11)*КвартальнаяПремия,0)</f>
        <v/>
      </c>
      <c r="M23" s="5">
        <f>IF(AND('03_Сеть'!M7&gt;=ДатаКвартальных,MOD(MONTH('03_Сеть'!M7),3)=0),(БазаКвартальной*M7+IF(ПремияГДвБазе="Да",M8,0)+M10+M11)*КвартальнаяПремия,0)</f>
        <v/>
      </c>
      <c r="N23" s="5">
        <f>IF(AND('03_Сеть'!N7&gt;=ДатаКвартальных,MOD(MONTH('03_Сеть'!N7),3)=0),(БазаКвартальной*N7+IF(ПремияГДвБазе="Да",N8,0)+N10+N11)*КвартальнаяПремия,0)</f>
        <v/>
      </c>
      <c r="O23" s="5">
        <f>IF(AND('03_Сеть'!O7&gt;=ДатаКвартальных,MOD(MONTH('03_Сеть'!O7),3)=0),(БазаКвартальной*O7+IF(ПремияГДвБазе="Да",O8,0)+O10+O11)*КвартальнаяПремия,0)</f>
        <v/>
      </c>
      <c r="P23" s="5">
        <f>IF(AND('03_Сеть'!P7&gt;=ДатаКвартальных,MOD(MONTH('03_Сеть'!P7),3)=0),(БазаКвартальной*P7+IF(ПремияГДвБазе="Да",P8,0)+P10+P11)*КвартальнаяПремия,0)</f>
        <v/>
      </c>
      <c r="Q23" s="5">
        <f>IF(AND('03_Сеть'!Q7&gt;=ДатаКвартальных,MOD(MONTH('03_Сеть'!Q7),3)=0),(БазаКвартальной*Q7+IF(ПремияГДвБазе="Да",Q8,0)+Q10+Q11)*КвартальнаяПремия,0)</f>
        <v/>
      </c>
      <c r="R23" s="5">
        <f>IF(AND('03_Сеть'!R7&gt;=ДатаКвартальных,MOD(MONTH('03_Сеть'!R7),3)=0),(БазаКвартальной*R7+IF(ПремияГДвБазе="Да",R8,0)+R10+R11)*КвартальнаяПремия,0)</f>
        <v/>
      </c>
      <c r="S23" s="5">
        <f>IF(AND('03_Сеть'!S7&gt;=ДатаКвартальных,MOD(MONTH('03_Сеть'!S7),3)=0),(БазаКвартальной*S7+IF(ПремияГДвБазе="Да",S8,0)+S10+S11)*КвартальнаяПремия,0)</f>
        <v/>
      </c>
      <c r="T23" s="5">
        <f>IF(AND('03_Сеть'!T7&gt;=ДатаКвартальных,MOD(MONTH('03_Сеть'!T7),3)=0),(БазаКвартальной*T7+IF(ПремияГДвБазе="Да",T8,0)+T10+T11)*КвартальнаяПремия,0)</f>
        <v/>
      </c>
      <c r="U23" s="5">
        <f>IF(AND('03_Сеть'!U7&gt;=ДатаКвартальных,MOD(MONTH('03_Сеть'!U7),3)=0),(БазаКвартальной*U7+IF(ПремияГДвБазе="Да",U8,0)+U10+U11)*КвартальнаяПремия,0)</f>
        <v/>
      </c>
      <c r="V23" s="5">
        <f>IF(AND('03_Сеть'!V7&gt;=ДатаКвартальных,MOD(MONTH('03_Сеть'!V7),3)=0),(БазаКвартальной*V7+IF(ПремияГДвБазе="Да",V8,0)+V10+V11)*КвартальнаяПремия,0)</f>
        <v/>
      </c>
      <c r="W23" s="5">
        <f>IF(AND('03_Сеть'!W7&gt;=ДатаКвартальных,MOD(MONTH('03_Сеть'!W7),3)=0),(БазаКвартальной*W7+IF(ПремияГДвБазе="Да",W8,0)+W10+W11)*КвартальнаяПремия,0)</f>
        <v/>
      </c>
      <c r="X23" s="5">
        <f>IF(AND('03_Сеть'!X7&gt;=ДатаКвартальных,MOD(MONTH('03_Сеть'!X7),3)=0),(БазаКвартальной*X7+IF(ПремияГДвБазе="Да",X8,0)+X10+X11)*КвартальнаяПремия,0)</f>
        <v/>
      </c>
      <c r="Y23" s="5">
        <f>IF(AND('03_Сеть'!Y7&gt;=ДатаКвартальных,MOD(MONTH('03_Сеть'!Y7),3)=0),(БазаКвартальной*Y7+IF(ПремияГДвБазе="Да",Y8,0)+Y10+Y11)*КвартальнаяПремия,0)</f>
        <v/>
      </c>
      <c r="Z23" s="5">
        <f>IF(AND('03_Сеть'!Z7&gt;=ДатаКвартальных,MOD(MONTH('03_Сеть'!Z7),3)=0),(БазаКвартальной*Z7+IF(ПремияГДвБазе="Да",Z8,0)+Z10+Z11)*КвартальнаяПремия,0)</f>
        <v/>
      </c>
      <c r="AA23" s="5">
        <f>IF(AND('03_Сеть'!AA7&gt;=ДатаКвартальных,MOD(MONTH('03_Сеть'!AA7),3)=0),(БазаКвартальной*AA7+IF(ПремияГДвБазе="Да",AA8,0)+AA10+AA11)*КвартальнаяПремия,0)</f>
        <v/>
      </c>
      <c r="AB23" s="5">
        <f>IF(AND('03_Сеть'!AB7&gt;=ДатаКвартальных,MOD(MONTH('03_Сеть'!AB7),3)=0),(БазаКвартальной*AB7+IF(ПремияГДвБазе="Да",AB8,0)+AB10+AB11)*КвартальнаяПремия,0)</f>
        <v/>
      </c>
      <c r="AC23" s="5">
        <f>IF(AND('03_Сеть'!AC7&gt;=ДатаКвартальных,MOD(MONTH('03_Сеть'!AC7),3)=0),(БазаКвартальной*AC7+IF(ПремияГДвБазе="Да",AC8,0)+AC10+AC11)*КвартальнаяПремия,0)</f>
        <v/>
      </c>
      <c r="AD23" s="5">
        <f>IF(AND('03_Сеть'!AD7&gt;=ДатаКвартальных,MOD(MONTH('03_Сеть'!AD7),3)=0),(БазаКвартальной*AD7+IF(ПремияГДвБазе="Да",AD8,0)+AD10+AD11)*КвартальнаяПремия,0)</f>
        <v/>
      </c>
      <c r="AE23" s="5">
        <f>IF(AND('03_Сеть'!AE7&gt;=ДатаКвартальных,MOD(MONTH('03_Сеть'!AE7),3)=0),(БазаКвартальной*AE7+IF(ПремияГДвБазе="Да",AE8,0)+AE10+AE11)*КвартальнаяПремия,0)</f>
        <v/>
      </c>
      <c r="AF23" s="5">
        <f>IF(AND('03_Сеть'!AF7&gt;=ДатаКвартальных,MOD(MONTH('03_Сеть'!AF7),3)=0),(БазаКвартальной*AF7+IF(ПремияГДвБазе="Да",AF8,0)+AF10+AF11)*КвартальнаяПремия,0)</f>
        <v/>
      </c>
      <c r="AG23" s="5">
        <f>IF(AND('03_Сеть'!AG7&gt;=ДатаКвартальных,MOD(MONTH('03_Сеть'!AG7),3)=0),(БазаКвартальной*AG7+IF(ПремияГДвБазе="Да",AG8,0)+AG10+AG11)*КвартальнаяПремия,0)</f>
        <v/>
      </c>
      <c r="AH23" s="5">
        <f>IF(AND('03_Сеть'!AH7&gt;=ДатаКвартальных,MOD(MONTH('03_Сеть'!AH7),3)=0),(БазаКвартальной*AH7+IF(ПремияГДвБазе="Да",AH8,0)+AH10+AH11)*КвартальнаяПремия,0)</f>
        <v/>
      </c>
      <c r="AI23" s="5">
        <f>IF(AND('03_Сеть'!AI7&gt;=ДатаКвартальных,MOD(MONTH('03_Сеть'!AI7),3)=0),(БазаКвартальной*AI7+IF(ПремияГДвБазе="Да",AI8,0)+AI10+AI11)*КвартальнаяПремия,0)</f>
        <v/>
      </c>
      <c r="AJ23" s="5">
        <f>IF(AND('03_Сеть'!AJ7&gt;=ДатаКвартальных,MOD(MONTH('03_Сеть'!AJ7),3)=0),(БазаКвартальной*AJ7+IF(ПремияГДвБазе="Да",AJ8,0)+AJ10+AJ11)*КвартальнаяПремия,0)</f>
        <v/>
      </c>
      <c r="AK23" s="5">
        <f>IF(AND('03_Сеть'!AK7&gt;=ДатаКвартальных,MOD(MONTH('03_Сеть'!AK7),3)=0),(БазаКвартальной*AK7+IF(ПремияГДвБазе="Да",AK8,0)+AK10+AK11)*КвартальнаяПремия,0)</f>
        <v/>
      </c>
      <c r="AL23" s="5">
        <f>IF(AND('03_Сеть'!AL7&gt;=ДатаКвартальных,MOD(MONTH('03_Сеть'!AL7),3)=0),(БазаКвартальной*AL7+IF(ПремияГДвБазе="Да",AL8,0)+AL10+AL11)*КвартальнаяПремия,0)</f>
        <v/>
      </c>
      <c r="AM23" s="5">
        <f>IF(AND('03_Сеть'!AM7&gt;=ДатаКвартальных,MOD(MONTH('03_Сеть'!AM7),3)=0),(БазаКвартальной*AM7+IF(ПремияГДвБазе="Да",AM8,0)+AM10+AM11)*КвартальнаяПремия,0)</f>
        <v/>
      </c>
      <c r="AN23" s="5">
        <f>IF(AND('03_Сеть'!AN7&gt;=ДатаКвартальных,MOD(MONTH('03_Сеть'!AN7),3)=0),(БазаКвартальной*AN7+IF(ПремияГДвБазе="Да",AN8,0)+AN10+AN11)*КвартальнаяПремия,0)</f>
        <v/>
      </c>
      <c r="AO23" s="5">
        <f>IF(AND('03_Сеть'!AO7&gt;=ДатаКвартальных,MOD(MONTH('03_Сеть'!AO7),3)=0),(БазаКвартальной*AO7+IF(ПремияГДвБазе="Да",AO8,0)+AO10+AO11)*КвартальнаяПремия,0)</f>
        <v/>
      </c>
      <c r="AP23" s="5">
        <f>IF(AND('03_Сеть'!AP7&gt;=ДатаКвартальных,MOD(MONTH('03_Сеть'!AP7),3)=0),(БазаКвартальной*AP7+IF(ПремияГДвБазе="Да",AP8,0)+AP10+AP11)*КвартальнаяПремия,0)</f>
        <v/>
      </c>
      <c r="AQ23" s="5">
        <f>IF(AND('03_Сеть'!AQ7&gt;=ДатаКвартальных,MOD(MONTH('03_Сеть'!AQ7),3)=0),(БазаКвартальной*AQ7+IF(ПремияГДвБазе="Да",AQ8,0)+AQ10+AQ11)*КвартальнаяПремия,0)</f>
        <v/>
      </c>
      <c r="AR23" s="5">
        <f>IF(AND('03_Сеть'!AR7&gt;=ДатаКвартальных,MOD(MONTH('03_Сеть'!AR7),3)=0),(БазаКвартальной*AR7+IF(ПремияГДвБазе="Да",AR8,0)+AR10+AR11)*КвартальнаяПремия,0)</f>
        <v/>
      </c>
      <c r="AS23" s="5">
        <f>IF(AND('03_Сеть'!AS7&gt;=ДатаКвартальных,MOD(MONTH('03_Сеть'!AS7),3)=0),(БазаКвартальной*AS7+IF(ПремияГДвБазе="Да",AS8,0)+AS10+AS11)*КвартальнаяПремия,0)</f>
        <v/>
      </c>
      <c r="AT23" s="5">
        <f>IF(AND('03_Сеть'!AT7&gt;=ДатаКвартальных,MOD(MONTH('03_Сеть'!AT7),3)=0),(БазаКвартальной*AT7+IF(ПремияГДвБазе="Да",AT8,0)+AT10+AT11)*КвартальнаяПремия,0)</f>
        <v/>
      </c>
      <c r="AU23" s="5">
        <f>IF(AND('03_Сеть'!AU7&gt;=ДатаКвартальных,MOD(MONTH('03_Сеть'!AU7),3)=0),(БазаКвартальной*AU7+IF(ПремияГДвБазе="Да",AU8,0)+AU10+AU11)*КвартальнаяПремия,0)</f>
        <v/>
      </c>
      <c r="AV23" s="5">
        <f>IF(AND('03_Сеть'!AV7&gt;=ДатаКвартальных,MOD(MONTH('03_Сеть'!AV7),3)=0),(БазаКвартальной*AV7+IF(ПремияГДвБазе="Да",AV8,0)+AV10+AV11)*КвартальнаяПремия,0)</f>
        <v/>
      </c>
      <c r="AW23" s="5">
        <f>IF(AND('03_Сеть'!AW7&gt;=ДатаКвартальных,MOD(MONTH('03_Сеть'!AW7),3)=0),(БазаКвартальной*AW7+IF(ПремияГДвБазе="Да",AW8,0)+AW10+AW11)*КвартальнаяПремия,0)</f>
        <v/>
      </c>
      <c r="AX23" s="5">
        <f>IF(AND('03_Сеть'!AX7&gt;=ДатаКвартальных,MOD(MONTH('03_Сеть'!AX7),3)=0),(БазаКвартальной*AX7+IF(ПремияГДвБазе="Да",AX8,0)+AX10+AX11)*КвартальнаяПремия,0)</f>
        <v/>
      </c>
      <c r="AY23" s="5">
        <f>IF(AND('03_Сеть'!AY7&gt;=ДатаКвартальных,MOD(MONTH('03_Сеть'!AY7),3)=0),(БазаКвартальной*AY7+IF(ПремияГДвБазе="Да",AY8,0)+AY10+AY11)*КвартальнаяПремия,0)</f>
        <v/>
      </c>
      <c r="AZ23" s="5">
        <f>IF(AND('03_Сеть'!AZ7&gt;=ДатаКвартальных,MOD(MONTH('03_Сеть'!AZ7),3)=0),(БазаКвартальной*AZ7+IF(ПремияГДвБазе="Да",AZ8,0)+AZ10+AZ11)*КвартальнаяПремия,0)</f>
        <v/>
      </c>
      <c r="BA23" s="5">
        <f>IF(AND('03_Сеть'!BA7&gt;=ДатаКвартальных,MOD(MONTH('03_Сеть'!BA7),3)=0),(БазаКвартальной*BA7+IF(ПремияГДвБазе="Да",BA8,0)+BA10+BA11)*КвартальнаяПремия,0)</f>
        <v/>
      </c>
      <c r="BB23" s="5">
        <f>IF(AND('03_Сеть'!BB7&gt;=ДатаКвартальных,MOD(MONTH('03_Сеть'!BB7),3)=0),(БазаКвартальной*BB7+IF(ПремияГДвБазе="Да",BB8,0)+BB10+BB11)*КвартальнаяПремия,0)</f>
        <v/>
      </c>
      <c r="BC23" s="5">
        <f>IF(AND('03_Сеть'!BC7&gt;=ДатаКвартальных,MOD(MONTH('03_Сеть'!BC7),3)=0),(БазаКвартальной*BC7+IF(ПремияГДвБазе="Да",BC8,0)+BC10+BC11)*КвартальнаяПремия,0)</f>
        <v/>
      </c>
      <c r="BD23" s="5">
        <f>IF(AND('03_Сеть'!BD7&gt;=ДатаКвартальных,MOD(MONTH('03_Сеть'!BD7),3)=0),(БазаКвартальной*BD7+IF(ПремияГДвБазе="Да",BD8,0)+BD10+BD11)*КвартальнаяПремия,0)</f>
        <v/>
      </c>
      <c r="BE23" s="5">
        <f>IF(AND('03_Сеть'!BE7&gt;=ДатаКвартальных,MOD(MONTH('03_Сеть'!BE7),3)=0),(БазаКвартальной*BE7+IF(ПремияГДвБазе="Да",BE8,0)+BE10+BE11)*КвартальнаяПремия,0)</f>
        <v/>
      </c>
      <c r="BF23" s="5">
        <f>IF(AND('03_Сеть'!BF7&gt;=ДатаКвартальных,MOD(MONTH('03_Сеть'!BF7),3)=0),(БазаКвартальной*BF7+IF(ПремияГДвБазе="Да",BF8,0)+BF10+BF11)*КвартальнаяПремия,0)</f>
        <v/>
      </c>
      <c r="BG23" s="5">
        <f>IF(AND('03_Сеть'!BG7&gt;=ДатаКвартальных,MOD(MONTH('03_Сеть'!BG7),3)=0),(БазаКвартальной*BG7+IF(ПремияГДвБазе="Да",BG8,0)+BG10+BG11)*КвартальнаяПремия,0)</f>
        <v/>
      </c>
      <c r="BH23" s="5">
        <f>IF(AND('03_Сеть'!BH7&gt;=ДатаКвартальных,MOD(MONTH('03_Сеть'!BH7),3)=0),(БазаКвартальной*BH7+IF(ПремияГДвБазе="Да",BH8,0)+BH10+BH11)*КвартальнаяПремия,0)</f>
        <v/>
      </c>
      <c r="BI23" s="5">
        <f>IF(AND('03_Сеть'!BI7&gt;=ДатаКвартальных,MOD(MONTH('03_Сеть'!BI7),3)=0),(БазаКвартальной*BI7+IF(ПремияГДвБазе="Да",BI8,0)+BI10+BI11)*КвартальнаяПремия,0)</f>
        <v/>
      </c>
      <c r="BJ23" s="5">
        <f>IF(AND('03_Сеть'!BJ7&gt;=ДатаКвартальных,MOD(MONTH('03_Сеть'!BJ7),3)=0),(БазаКвартальной*BJ7+IF(ПремияГДвБазе="Да",BJ8,0)+BJ10+BJ11)*КвартальнаяПремия,0)</f>
        <v/>
      </c>
      <c r="BK23" s="5">
        <f>IF(AND('03_Сеть'!BK7&gt;=ДатаКвартальных,MOD(MONTH('03_Сеть'!BK7),3)=0),(БазаКвартальной*BK7+IF(ПремияГДвБазе="Да",BK8,0)+BK10+BK11)*КвартальнаяПремия,0)</f>
        <v/>
      </c>
      <c r="BL23" s="5">
        <f>IF(AND('03_Сеть'!BL7&gt;=ДатаКвартальных,MOD(MONTH('03_Сеть'!BL7),3)=0),(БазаКвартальной*BL7+IF(ПремияГДвБазе="Да",BL8,0)+BL10+BL11)*КвартальнаяПремия,0)</f>
        <v/>
      </c>
      <c r="BM23" s="5">
        <f>IF(AND('03_Сеть'!BM7&gt;=ДатаКвартальных,MOD(MONTH('03_Сеть'!BM7),3)=0),(БазаКвартальной*BM7+IF(ПремияГДвБазе="Да",BM8,0)+BM10+BM11)*КвартальнаяПремия,0)</f>
        <v/>
      </c>
      <c r="BN23" s="5">
        <f>IF(AND('03_Сеть'!BN7&gt;=ДатаКвартальных,MOD(MONTH('03_Сеть'!BN7),3)=0),(БазаКвартальной*BN7+IF(ПремияГДвБазе="Да",BN8,0)+BN10+BN11)*КвартальнаяПремия,0)</f>
        <v/>
      </c>
      <c r="BO23" s="5">
        <f>IF(AND('03_Сеть'!BO7&gt;=ДатаКвартальных,MOD(MONTH('03_Сеть'!BO7),3)=0),(БазаКвартальной*BO7+IF(ПремияГДвБазе="Да",BO8,0)+BO10+BO11)*КвартальнаяПремия,0)</f>
        <v/>
      </c>
      <c r="BP23" s="5">
        <f>IF(AND('03_Сеть'!BP7&gt;=ДатаКвартальных,MOD(MONTH('03_Сеть'!BP7),3)=0),(БазаКвартальной*BP7+IF(ПремияГДвБазе="Да",BP8,0)+BP10+BP11)*КвартальнаяПремия,0)</f>
        <v/>
      </c>
      <c r="BQ23" s="5">
        <f>IF(AND('03_Сеть'!BQ7&gt;=ДатаКвартальных,MOD(MONTH('03_Сеть'!BQ7),3)=0),(БазаКвартальной*BQ7+IF(ПремияГДвБазе="Да",BQ8,0)+BQ10+BQ11)*КвартальнаяПремия,0)</f>
        <v/>
      </c>
      <c r="BR23" s="5">
        <f>IF(AND('03_Сеть'!BR7&gt;=ДатаКвартальных,MOD(MONTH('03_Сеть'!BR7),3)=0),(БазаКвартальной*BR7+IF(ПремияГДвБазе="Да",BR8,0)+BR10+BR11)*КвартальнаяПремия,0)</f>
        <v/>
      </c>
      <c r="BS23" s="5">
        <f>IF(AND('03_Сеть'!BS7&gt;=ДатаКвартальных,MOD(MONTH('03_Сеть'!BS7),3)=0),(БазаКвартальной*BS7+IF(ПремияГДвБазе="Да",BS8,0)+BS10+BS11)*КвартальнаяПремия,0)</f>
        <v/>
      </c>
      <c r="BT23" s="5">
        <f>IF(AND('03_Сеть'!BT7&gt;=ДатаКвартальных,MOD(MONTH('03_Сеть'!BT7),3)=0),(БазаКвартальной*BT7+IF(ПремияГДвБазе="Да",BT8,0)+BT10+BT11)*КвартальнаяПремия,0)</f>
        <v/>
      </c>
      <c r="BU23" s="5">
        <f>IF(AND('03_Сеть'!BU7&gt;=ДатаКвартальных,MOD(MONTH('03_Сеть'!BU7),3)=0),(БазаКвартальной*BU7+IF(ПремияГДвБазе="Да",BU8,0)+BU10+BU11)*КвартальнаяПремия,0)</f>
        <v/>
      </c>
      <c r="BV23" s="5">
        <f>IF(AND('03_Сеть'!BV7&gt;=ДатаКвартальных,MOD(MONTH('03_Сеть'!BV7),3)=0),(БазаКвартальной*BV7+IF(ПремияГДвБазе="Да",BV8,0)+BV10+BV11)*КвартальнаяПремия,0)</f>
        <v/>
      </c>
      <c r="BW23" s="5">
        <f>IF(AND('03_Сеть'!BW7&gt;=ДатаКвартальных,MOD(MONTH('03_Сеть'!BW7),3)=0),(БазаКвартальной*BW7+IF(ПремияГДвБазе="Да",BW8,0)+BW10+BW11)*КвартальнаяПремия,0)</f>
        <v/>
      </c>
      <c r="BX23" s="5">
        <f>IF(AND('03_Сеть'!BX7&gt;=ДатаКвартальных,MOD(MONTH('03_Сеть'!BX7),3)=0),(БазаКвартальной*BX7+IF(ПремияГДвБазе="Да",BX8,0)+BX10+BX11)*КвартальнаяПремия,0)</f>
        <v/>
      </c>
      <c r="BY23" s="5">
        <f>IF(AND('03_Сеть'!BY7&gt;=ДатаКвартальных,MOD(MONTH('03_Сеть'!BY7),3)=0),(БазаКвартальной*BY7+IF(ПремияГДвБазе="Да",BY8,0)+BY10+BY11)*КвартальнаяПремия,0)</f>
        <v/>
      </c>
    </row>
    <row r="24">
      <c r="B24" t="inlineStr">
        <is>
          <t>Взносы на квартальную премию</t>
        </is>
      </c>
      <c r="C24" t="inlineStr">
        <is>
          <t>₽</t>
        </is>
      </c>
      <c r="D24" s="127" t="inlineStr"/>
      <c r="E24" s="129">
        <f>SUM(L24:W24)</f>
        <v/>
      </c>
      <c r="F24" s="129">
        <f>SUM(X24:AI24)</f>
        <v/>
      </c>
      <c r="G24" s="129">
        <f>SUM(AJ24:AU24)</f>
        <v/>
      </c>
      <c r="H24" s="129">
        <f>SUM(AV24:BG24)</f>
        <v/>
      </c>
      <c r="I24" s="129">
        <f>SUM(BH24:BS24)</f>
        <v/>
      </c>
      <c r="J24" s="6">
        <f>SUM(L24:BS24)</f>
        <v/>
      </c>
      <c r="L24" s="5">
        <f>L23*СтраховыеВзносы</f>
        <v/>
      </c>
      <c r="M24" s="5">
        <f>M23*СтраховыеВзносы</f>
        <v/>
      </c>
      <c r="N24" s="5">
        <f>N23*СтраховыеВзносы</f>
        <v/>
      </c>
      <c r="O24" s="5">
        <f>O23*СтраховыеВзносы</f>
        <v/>
      </c>
      <c r="P24" s="5">
        <f>P23*СтраховыеВзносы</f>
        <v/>
      </c>
      <c r="Q24" s="5">
        <f>Q23*СтраховыеВзносы</f>
        <v/>
      </c>
      <c r="R24" s="5">
        <f>R23*СтраховыеВзносы</f>
        <v/>
      </c>
      <c r="S24" s="5">
        <f>S23*СтраховыеВзносы</f>
        <v/>
      </c>
      <c r="T24" s="5">
        <f>T23*СтраховыеВзносы</f>
        <v/>
      </c>
      <c r="U24" s="5">
        <f>U23*СтраховыеВзносы</f>
        <v/>
      </c>
      <c r="V24" s="5">
        <f>V23*СтраховыеВзносы</f>
        <v/>
      </c>
      <c r="W24" s="5">
        <f>W23*СтраховыеВзносы</f>
        <v/>
      </c>
      <c r="X24" s="5">
        <f>X23*СтраховыеВзносы</f>
        <v/>
      </c>
      <c r="Y24" s="5">
        <f>Y23*СтраховыеВзносы</f>
        <v/>
      </c>
      <c r="Z24" s="5">
        <f>Z23*СтраховыеВзносы</f>
        <v/>
      </c>
      <c r="AA24" s="5">
        <f>AA23*СтраховыеВзносы</f>
        <v/>
      </c>
      <c r="AB24" s="5">
        <f>AB23*СтраховыеВзносы</f>
        <v/>
      </c>
      <c r="AC24" s="5">
        <f>AC23*СтраховыеВзносы</f>
        <v/>
      </c>
      <c r="AD24" s="5">
        <f>AD23*СтраховыеВзносы</f>
        <v/>
      </c>
      <c r="AE24" s="5">
        <f>AE23*СтраховыеВзносы</f>
        <v/>
      </c>
      <c r="AF24" s="5">
        <f>AF23*СтраховыеВзносы</f>
        <v/>
      </c>
      <c r="AG24" s="5">
        <f>AG23*СтраховыеВзносы</f>
        <v/>
      </c>
      <c r="AH24" s="5">
        <f>AH23*СтраховыеВзносы</f>
        <v/>
      </c>
      <c r="AI24" s="5">
        <f>AI23*СтраховыеВзносы</f>
        <v/>
      </c>
      <c r="AJ24" s="5">
        <f>AJ23*СтраховыеВзносы</f>
        <v/>
      </c>
      <c r="AK24" s="5">
        <f>AK23*СтраховыеВзносы</f>
        <v/>
      </c>
      <c r="AL24" s="5">
        <f>AL23*СтраховыеВзносы</f>
        <v/>
      </c>
      <c r="AM24" s="5">
        <f>AM23*СтраховыеВзносы</f>
        <v/>
      </c>
      <c r="AN24" s="5">
        <f>AN23*СтраховыеВзносы</f>
        <v/>
      </c>
      <c r="AO24" s="5">
        <f>AO23*СтраховыеВзносы</f>
        <v/>
      </c>
      <c r="AP24" s="5">
        <f>AP23*СтраховыеВзносы</f>
        <v/>
      </c>
      <c r="AQ24" s="5">
        <f>AQ23*СтраховыеВзносы</f>
        <v/>
      </c>
      <c r="AR24" s="5">
        <f>AR23*СтраховыеВзносы</f>
        <v/>
      </c>
      <c r="AS24" s="5">
        <f>AS23*СтраховыеВзносы</f>
        <v/>
      </c>
      <c r="AT24" s="5">
        <f>AT23*СтраховыеВзносы</f>
        <v/>
      </c>
      <c r="AU24" s="5">
        <f>AU23*СтраховыеВзносы</f>
        <v/>
      </c>
      <c r="AV24" s="5">
        <f>AV23*СтраховыеВзносы</f>
        <v/>
      </c>
      <c r="AW24" s="5">
        <f>AW23*СтраховыеВзносы</f>
        <v/>
      </c>
      <c r="AX24" s="5">
        <f>AX23*СтраховыеВзносы</f>
        <v/>
      </c>
      <c r="AY24" s="5">
        <f>AY23*СтраховыеВзносы</f>
        <v/>
      </c>
      <c r="AZ24" s="5">
        <f>AZ23*СтраховыеВзносы</f>
        <v/>
      </c>
      <c r="BA24" s="5">
        <f>BA23*СтраховыеВзносы</f>
        <v/>
      </c>
      <c r="BB24" s="5">
        <f>BB23*СтраховыеВзносы</f>
        <v/>
      </c>
      <c r="BC24" s="5">
        <f>BC23*СтраховыеВзносы</f>
        <v/>
      </c>
      <c r="BD24" s="5">
        <f>BD23*СтраховыеВзносы</f>
        <v/>
      </c>
      <c r="BE24" s="5">
        <f>BE23*СтраховыеВзносы</f>
        <v/>
      </c>
      <c r="BF24" s="5">
        <f>BF23*СтраховыеВзносы</f>
        <v/>
      </c>
      <c r="BG24" s="5">
        <f>BG23*СтраховыеВзносы</f>
        <v/>
      </c>
      <c r="BH24" s="5">
        <f>BH23*СтраховыеВзносы</f>
        <v/>
      </c>
      <c r="BI24" s="5">
        <f>BI23*СтраховыеВзносы</f>
        <v/>
      </c>
      <c r="BJ24" s="5">
        <f>BJ23*СтраховыеВзносы</f>
        <v/>
      </c>
      <c r="BK24" s="5">
        <f>BK23*СтраховыеВзносы</f>
        <v/>
      </c>
      <c r="BL24" s="5">
        <f>BL23*СтраховыеВзносы</f>
        <v/>
      </c>
      <c r="BM24" s="5">
        <f>BM23*СтраховыеВзносы</f>
        <v/>
      </c>
      <c r="BN24" s="5">
        <f>BN23*СтраховыеВзносы</f>
        <v/>
      </c>
      <c r="BO24" s="5">
        <f>BO23*СтраховыеВзносы</f>
        <v/>
      </c>
      <c r="BP24" s="5">
        <f>BP23*СтраховыеВзносы</f>
        <v/>
      </c>
      <c r="BQ24" s="5">
        <f>BQ23*СтраховыеВзносы</f>
        <v/>
      </c>
      <c r="BR24" s="5">
        <f>BR23*СтраховыеВзносы</f>
        <v/>
      </c>
      <c r="BS24" s="5">
        <f>BS23*СтраховыеВзносы</f>
        <v/>
      </c>
      <c r="BT24" s="5">
        <f>BT23*СтраховыеВзносы</f>
        <v/>
      </c>
      <c r="BU24" s="5">
        <f>BU23*СтраховыеВзносы</f>
        <v/>
      </c>
      <c r="BV24" s="5">
        <f>BV23*СтраховыеВзносы</f>
        <v/>
      </c>
      <c r="BW24" s="5">
        <f>BW23*СтраховыеВзносы</f>
        <v/>
      </c>
      <c r="BX24" s="5">
        <f>BX23*СтраховыеВзносы</f>
        <v/>
      </c>
      <c r="BY24" s="5">
        <f>BY23*СтраховыеВзносы</f>
        <v/>
      </c>
    </row>
    <row r="26">
      <c r="B26" s="125" t="inlineStr">
        <is>
          <t>Разовые кадровые расходы</t>
        </is>
      </c>
      <c r="C26" s="126" t="n"/>
      <c r="D26" s="126" t="n"/>
      <c r="E26" s="126" t="n"/>
      <c r="F26" s="126" t="n"/>
      <c r="G26" s="126" t="n"/>
      <c r="H26" s="126" t="n"/>
      <c r="I26" s="126" t="n"/>
      <c r="J26" s="126" t="n"/>
      <c r="K26" s="126" t="n"/>
      <c r="L26" s="126" t="n"/>
      <c r="M26" s="126" t="n"/>
      <c r="N26" s="126" t="n"/>
      <c r="O26" s="126" t="n"/>
      <c r="P26" s="126" t="n"/>
      <c r="Q26" s="126" t="n"/>
      <c r="R26" s="126" t="n"/>
      <c r="S26" s="126" t="n"/>
      <c r="T26" s="126" t="n"/>
      <c r="U26" s="126" t="n"/>
      <c r="V26" s="126" t="n"/>
      <c r="W26" s="126" t="n"/>
      <c r="X26" s="126" t="n"/>
      <c r="Y26" s="126" t="n"/>
      <c r="Z26" s="126" t="n"/>
      <c r="AA26" s="126" t="n"/>
      <c r="AB26" s="126" t="n"/>
      <c r="AC26" s="126" t="n"/>
      <c r="AD26" s="126" t="n"/>
      <c r="AE26" s="126" t="n"/>
      <c r="AF26" s="126" t="n"/>
      <c r="AG26" s="126" t="n"/>
      <c r="AH26" s="126" t="n"/>
      <c r="AI26" s="126" t="n"/>
      <c r="AJ26" s="126" t="n"/>
      <c r="AK26" s="126" t="n"/>
      <c r="AL26" s="126" t="n"/>
      <c r="AM26" s="126" t="n"/>
      <c r="AN26" s="126" t="n"/>
      <c r="AO26" s="126" t="n"/>
      <c r="AP26" s="126" t="n"/>
      <c r="AQ26" s="126" t="n"/>
      <c r="AR26" s="126" t="n"/>
      <c r="AS26" s="126" t="n"/>
      <c r="AT26" s="126" t="n"/>
      <c r="AU26" s="126" t="n"/>
      <c r="AV26" s="126" t="n"/>
      <c r="AW26" s="126" t="n"/>
      <c r="AX26" s="126" t="n"/>
      <c r="AY26" s="126" t="n"/>
      <c r="AZ26" s="126" t="n"/>
      <c r="BA26" s="126" t="n"/>
      <c r="BB26" s="126" t="n"/>
      <c r="BC26" s="126" t="n"/>
      <c r="BD26" s="126" t="n"/>
      <c r="BE26" s="126" t="n"/>
      <c r="BF26" s="126" t="n"/>
      <c r="BG26" s="126" t="n"/>
      <c r="BH26" s="126" t="n"/>
      <c r="BI26" s="126" t="n"/>
      <c r="BJ26" s="126" t="n"/>
      <c r="BK26" s="126" t="n"/>
      <c r="BL26" s="126" t="n"/>
      <c r="BM26" s="126" t="n"/>
      <c r="BN26" s="126" t="n"/>
      <c r="BO26" s="126" t="n"/>
      <c r="BP26" s="126" t="n"/>
      <c r="BQ26" s="126" t="n"/>
      <c r="BR26" s="126" t="n"/>
      <c r="BS26" s="126" t="n"/>
      <c r="BT26" s="126" t="n"/>
      <c r="BU26" s="126" t="n"/>
      <c r="BV26" s="126" t="n"/>
      <c r="BW26" s="126" t="n"/>
      <c r="BX26" s="126" t="n"/>
      <c r="BY26" s="126" t="n"/>
    </row>
    <row r="27">
      <c r="B27" t="inlineStr">
        <is>
          <t>Комиссия кадрового агентства</t>
        </is>
      </c>
      <c r="C27" t="inlineStr">
        <is>
          <t>₽</t>
        </is>
      </c>
      <c r="D27" s="127" t="inlineStr">
        <is>
          <t>Один оклад за каждую новую штатную единицу</t>
        </is>
      </c>
      <c r="E27" s="129">
        <f>SUM(L27:W27)</f>
        <v/>
      </c>
      <c r="F27" s="129">
        <f>SUM(X27:AI27)</f>
        <v/>
      </c>
      <c r="G27" s="129">
        <f>SUM(AJ27:AU27)</f>
        <v/>
      </c>
      <c r="H27" s="129">
        <f>SUM(AV27:BG27)</f>
        <v/>
      </c>
      <c r="I27" s="129">
        <f>SUM(BH27:BS27)</f>
        <v/>
      </c>
      <c r="J27" s="6">
        <f>SUM(L27:BS27)</f>
        <v/>
      </c>
      <c r="L27" s="5">
        <f>(MAX(0,$L12)*ОкладМенеджера*$L7+IF('03_Сеть'!L7=ДатаОфисМенеджера,ОфисМенеджерNet/NetGross,0)+IF('03_Сеть'!L7=ДатаSMM,SMMNet/NetGross,0))*КомиссияАгентства</f>
        <v/>
      </c>
      <c r="M27" s="5">
        <f>(MAX(0,M12-L12)*ОкладМенеджера*M7+IF('03_Сеть'!M7=ДатаОфисМенеджера,ОфисМенеджерNet/NetGross,0)+IF('03_Сеть'!M7=ДатаSMM,SMMNet/NetGross,0))*КомиссияАгентства</f>
        <v/>
      </c>
      <c r="N27" s="5">
        <f>(MAX(0,N12-M12)*ОкладМенеджера*N7+IF('03_Сеть'!N7=ДатаОфисМенеджера,ОфисМенеджерNet/NetGross,0)+IF('03_Сеть'!N7=ДатаSMM,SMMNet/NetGross,0))*КомиссияАгентства</f>
        <v/>
      </c>
      <c r="O27" s="5">
        <f>(MAX(0,O12-N12)*ОкладМенеджера*O7+IF('03_Сеть'!O7=ДатаОфисМенеджера,ОфисМенеджерNet/NetGross,0)+IF('03_Сеть'!O7=ДатаSMM,SMMNet/NetGross,0))*КомиссияАгентства</f>
        <v/>
      </c>
      <c r="P27" s="5">
        <f>(MAX(0,P12-O12)*ОкладМенеджера*P7+IF('03_Сеть'!P7=ДатаОфисМенеджера,ОфисМенеджерNet/NetGross,0)+IF('03_Сеть'!P7=ДатаSMM,SMMNet/NetGross,0))*КомиссияАгентства</f>
        <v/>
      </c>
      <c r="Q27" s="5">
        <f>(MAX(0,Q12-P12)*ОкладМенеджера*Q7+IF('03_Сеть'!Q7=ДатаОфисМенеджера,ОфисМенеджерNet/NetGross,0)+IF('03_Сеть'!Q7=ДатаSMM,SMMNet/NetGross,0))*КомиссияАгентства</f>
        <v/>
      </c>
      <c r="R27" s="5">
        <f>(MAX(0,R12-Q12)*ОкладМенеджера*R7+IF('03_Сеть'!R7=ДатаОфисМенеджера,ОфисМенеджерNet/NetGross,0)+IF('03_Сеть'!R7=ДатаSMM,SMMNet/NetGross,0))*КомиссияАгентства</f>
        <v/>
      </c>
      <c r="S27" s="5">
        <f>(MAX(0,S12-R12)*ОкладМенеджера*S7+IF('03_Сеть'!S7=ДатаОфисМенеджера,ОфисМенеджерNet/NetGross,0)+IF('03_Сеть'!S7=ДатаSMM,SMMNet/NetGross,0))*КомиссияАгентства</f>
        <v/>
      </c>
      <c r="T27" s="5">
        <f>(MAX(0,T12-S12)*ОкладМенеджера*T7+IF('03_Сеть'!T7=ДатаОфисМенеджера,ОфисМенеджерNet/NetGross,0)+IF('03_Сеть'!T7=ДатаSMM,SMMNet/NetGross,0))*КомиссияАгентства</f>
        <v/>
      </c>
      <c r="U27" s="5">
        <f>(MAX(0,U12-T12)*ОкладМенеджера*U7+IF('03_Сеть'!U7=ДатаОфисМенеджера,ОфисМенеджерNet/NetGross,0)+IF('03_Сеть'!U7=ДатаSMM,SMMNet/NetGross,0))*КомиссияАгентства</f>
        <v/>
      </c>
      <c r="V27" s="5">
        <f>(MAX(0,V12-U12)*ОкладМенеджера*V7+IF('03_Сеть'!V7=ДатаОфисМенеджера,ОфисМенеджерNet/NetGross,0)+IF('03_Сеть'!V7=ДатаSMM,SMMNet/NetGross,0))*КомиссияАгентства</f>
        <v/>
      </c>
      <c r="W27" s="5">
        <f>(MAX(0,W12-V12)*ОкладМенеджера*W7+IF('03_Сеть'!W7=ДатаОфисМенеджера,ОфисМенеджерNet/NetGross,0)+IF('03_Сеть'!W7=ДатаSMM,SMMNet/NetGross,0))*КомиссияАгентства</f>
        <v/>
      </c>
      <c r="X27" s="5">
        <f>(MAX(0,X12-W12)*ОкладМенеджера*X7+IF('03_Сеть'!X7=ДатаОфисМенеджера,ОфисМенеджерNet/NetGross,0)+IF('03_Сеть'!X7=ДатаSMM,SMMNet/NetGross,0))*КомиссияАгентства</f>
        <v/>
      </c>
      <c r="Y27" s="5">
        <f>(MAX(0,Y12-X12)*ОкладМенеджера*Y7+IF('03_Сеть'!Y7=ДатаОфисМенеджера,ОфисМенеджерNet/NetGross,0)+IF('03_Сеть'!Y7=ДатаSMM,SMMNet/NetGross,0))*КомиссияАгентства</f>
        <v/>
      </c>
      <c r="Z27" s="5">
        <f>(MAX(0,Z12-Y12)*ОкладМенеджера*Z7+IF('03_Сеть'!Z7=ДатаОфисМенеджера,ОфисМенеджерNet/NetGross,0)+IF('03_Сеть'!Z7=ДатаSMM,SMMNet/NetGross,0))*КомиссияАгентства</f>
        <v/>
      </c>
      <c r="AA27" s="5">
        <f>(MAX(0,AA12-Z12)*ОкладМенеджера*AA7+IF('03_Сеть'!AA7=ДатаОфисМенеджера,ОфисМенеджерNet/NetGross,0)+IF('03_Сеть'!AA7=ДатаSMM,SMMNet/NetGross,0))*КомиссияАгентства</f>
        <v/>
      </c>
      <c r="AB27" s="5">
        <f>(MAX(0,AB12-AA12)*ОкладМенеджера*AB7+IF('03_Сеть'!AB7=ДатаОфисМенеджера,ОфисМенеджерNet/NetGross,0)+IF('03_Сеть'!AB7=ДатаSMM,SMMNet/NetGross,0))*КомиссияАгентства</f>
        <v/>
      </c>
      <c r="AC27" s="5">
        <f>(MAX(0,AC12-AB12)*ОкладМенеджера*AC7+IF('03_Сеть'!AC7=ДатаОфисМенеджера,ОфисМенеджерNet/NetGross,0)+IF('03_Сеть'!AC7=ДатаSMM,SMMNet/NetGross,0))*КомиссияАгентства</f>
        <v/>
      </c>
      <c r="AD27" s="5">
        <f>(MAX(0,AD12-AC12)*ОкладМенеджера*AD7+IF('03_Сеть'!AD7=ДатаОфисМенеджера,ОфисМенеджерNet/NetGross,0)+IF('03_Сеть'!AD7=ДатаSMM,SMMNet/NetGross,0))*КомиссияАгентства</f>
        <v/>
      </c>
      <c r="AE27" s="5">
        <f>(MAX(0,AE12-AD12)*ОкладМенеджера*AE7+IF('03_Сеть'!AE7=ДатаОфисМенеджера,ОфисМенеджерNet/NetGross,0)+IF('03_Сеть'!AE7=ДатаSMM,SMMNet/NetGross,0))*КомиссияАгентства</f>
        <v/>
      </c>
      <c r="AF27" s="5">
        <f>(MAX(0,AF12-AE12)*ОкладМенеджера*AF7+IF('03_Сеть'!AF7=ДатаОфисМенеджера,ОфисМенеджерNet/NetGross,0)+IF('03_Сеть'!AF7=ДатаSMM,SMMNet/NetGross,0))*КомиссияАгентства</f>
        <v/>
      </c>
      <c r="AG27" s="5">
        <f>(MAX(0,AG12-AF12)*ОкладМенеджера*AG7+IF('03_Сеть'!AG7=ДатаОфисМенеджера,ОфисМенеджерNet/NetGross,0)+IF('03_Сеть'!AG7=ДатаSMM,SMMNet/NetGross,0))*КомиссияАгентства</f>
        <v/>
      </c>
      <c r="AH27" s="5">
        <f>(MAX(0,AH12-AG12)*ОкладМенеджера*AH7+IF('03_Сеть'!AH7=ДатаОфисМенеджера,ОфисМенеджерNet/NetGross,0)+IF('03_Сеть'!AH7=ДатаSMM,SMMNet/NetGross,0))*КомиссияАгентства</f>
        <v/>
      </c>
      <c r="AI27" s="5">
        <f>(MAX(0,AI12-AH12)*ОкладМенеджера*AI7+IF('03_Сеть'!AI7=ДатаОфисМенеджера,ОфисМенеджерNet/NetGross,0)+IF('03_Сеть'!AI7=ДатаSMM,SMMNet/NetGross,0))*КомиссияАгентства</f>
        <v/>
      </c>
      <c r="AJ27" s="5">
        <f>(MAX(0,AJ12-AI12)*ОкладМенеджера*AJ7+IF('03_Сеть'!AJ7=ДатаОфисМенеджера,ОфисМенеджерNet/NetGross,0)+IF('03_Сеть'!AJ7=ДатаSMM,SMMNet/NetGross,0))*КомиссияАгентства</f>
        <v/>
      </c>
      <c r="AK27" s="5">
        <f>(MAX(0,AK12-AJ12)*ОкладМенеджера*AK7+IF('03_Сеть'!AK7=ДатаОфисМенеджера,ОфисМенеджерNet/NetGross,0)+IF('03_Сеть'!AK7=ДатаSMM,SMMNet/NetGross,0))*КомиссияАгентства</f>
        <v/>
      </c>
      <c r="AL27" s="5">
        <f>(MAX(0,AL12-AK12)*ОкладМенеджера*AL7+IF('03_Сеть'!AL7=ДатаОфисМенеджера,ОфисМенеджерNet/NetGross,0)+IF('03_Сеть'!AL7=ДатаSMM,SMMNet/NetGross,0))*КомиссияАгентства</f>
        <v/>
      </c>
      <c r="AM27" s="5">
        <f>(MAX(0,AM12-AL12)*ОкладМенеджера*AM7+IF('03_Сеть'!AM7=ДатаОфисМенеджера,ОфисМенеджерNet/NetGross,0)+IF('03_Сеть'!AM7=ДатаSMM,SMMNet/NetGross,0))*КомиссияАгентства</f>
        <v/>
      </c>
      <c r="AN27" s="5">
        <f>(MAX(0,AN12-AM12)*ОкладМенеджера*AN7+IF('03_Сеть'!AN7=ДатаОфисМенеджера,ОфисМенеджерNet/NetGross,0)+IF('03_Сеть'!AN7=ДатаSMM,SMMNet/NetGross,0))*КомиссияАгентства</f>
        <v/>
      </c>
      <c r="AO27" s="5">
        <f>(MAX(0,AO12-AN12)*ОкладМенеджера*AO7+IF('03_Сеть'!AO7=ДатаОфисМенеджера,ОфисМенеджерNet/NetGross,0)+IF('03_Сеть'!AO7=ДатаSMM,SMMNet/NetGross,0))*КомиссияАгентства</f>
        <v/>
      </c>
      <c r="AP27" s="5">
        <f>(MAX(0,AP12-AO12)*ОкладМенеджера*AP7+IF('03_Сеть'!AP7=ДатаОфисМенеджера,ОфисМенеджерNet/NetGross,0)+IF('03_Сеть'!AP7=ДатаSMM,SMMNet/NetGross,0))*КомиссияАгентства</f>
        <v/>
      </c>
      <c r="AQ27" s="5">
        <f>(MAX(0,AQ12-AP12)*ОкладМенеджера*AQ7+IF('03_Сеть'!AQ7=ДатаОфисМенеджера,ОфисМенеджерNet/NetGross,0)+IF('03_Сеть'!AQ7=ДатаSMM,SMMNet/NetGross,0))*КомиссияАгентства</f>
        <v/>
      </c>
      <c r="AR27" s="5">
        <f>(MAX(0,AR12-AQ12)*ОкладМенеджера*AR7+IF('03_Сеть'!AR7=ДатаОфисМенеджера,ОфисМенеджерNet/NetGross,0)+IF('03_Сеть'!AR7=ДатаSMM,SMMNet/NetGross,0))*КомиссияАгентства</f>
        <v/>
      </c>
      <c r="AS27" s="5">
        <f>(MAX(0,AS12-AR12)*ОкладМенеджера*AS7+IF('03_Сеть'!AS7=ДатаОфисМенеджера,ОфисМенеджерNet/NetGross,0)+IF('03_Сеть'!AS7=ДатаSMM,SMMNet/NetGross,0))*КомиссияАгентства</f>
        <v/>
      </c>
      <c r="AT27" s="5">
        <f>(MAX(0,AT12-AS12)*ОкладМенеджера*AT7+IF('03_Сеть'!AT7=ДатаОфисМенеджера,ОфисМенеджерNet/NetGross,0)+IF('03_Сеть'!AT7=ДатаSMM,SMMNet/NetGross,0))*КомиссияАгентства</f>
        <v/>
      </c>
      <c r="AU27" s="5">
        <f>(MAX(0,AU12-AT12)*ОкладМенеджера*AU7+IF('03_Сеть'!AU7=ДатаОфисМенеджера,ОфисМенеджерNet/NetGross,0)+IF('03_Сеть'!AU7=ДатаSMM,SMMNet/NetGross,0))*КомиссияАгентства</f>
        <v/>
      </c>
      <c r="AV27" s="5">
        <f>(MAX(0,AV12-AU12)*ОкладМенеджера*AV7+IF('03_Сеть'!AV7=ДатаОфисМенеджера,ОфисМенеджерNet/NetGross,0)+IF('03_Сеть'!AV7=ДатаSMM,SMMNet/NetGross,0))*КомиссияАгентства</f>
        <v/>
      </c>
      <c r="AW27" s="5">
        <f>(MAX(0,AW12-AV12)*ОкладМенеджера*AW7+IF('03_Сеть'!AW7=ДатаОфисМенеджера,ОфисМенеджерNet/NetGross,0)+IF('03_Сеть'!AW7=ДатаSMM,SMMNet/NetGross,0))*КомиссияАгентства</f>
        <v/>
      </c>
      <c r="AX27" s="5">
        <f>(MAX(0,AX12-AW12)*ОкладМенеджера*AX7+IF('03_Сеть'!AX7=ДатаОфисМенеджера,ОфисМенеджерNet/NetGross,0)+IF('03_Сеть'!AX7=ДатаSMM,SMMNet/NetGross,0))*КомиссияАгентства</f>
        <v/>
      </c>
      <c r="AY27" s="5">
        <f>(MAX(0,AY12-AX12)*ОкладМенеджера*AY7+IF('03_Сеть'!AY7=ДатаОфисМенеджера,ОфисМенеджерNet/NetGross,0)+IF('03_Сеть'!AY7=ДатаSMM,SMMNet/NetGross,0))*КомиссияАгентства</f>
        <v/>
      </c>
      <c r="AZ27" s="5">
        <f>(MAX(0,AZ12-AY12)*ОкладМенеджера*AZ7+IF('03_Сеть'!AZ7=ДатаОфисМенеджера,ОфисМенеджерNet/NetGross,0)+IF('03_Сеть'!AZ7=ДатаSMM,SMMNet/NetGross,0))*КомиссияАгентства</f>
        <v/>
      </c>
      <c r="BA27" s="5">
        <f>(MAX(0,BA12-AZ12)*ОкладМенеджера*BA7+IF('03_Сеть'!BA7=ДатаОфисМенеджера,ОфисМенеджерNet/NetGross,0)+IF('03_Сеть'!BA7=ДатаSMM,SMMNet/NetGross,0))*КомиссияАгентства</f>
        <v/>
      </c>
      <c r="BB27" s="5">
        <f>(MAX(0,BB12-BA12)*ОкладМенеджера*BB7+IF('03_Сеть'!BB7=ДатаОфисМенеджера,ОфисМенеджерNet/NetGross,0)+IF('03_Сеть'!BB7=ДатаSMM,SMMNet/NetGross,0))*КомиссияАгентства</f>
        <v/>
      </c>
      <c r="BC27" s="5">
        <f>(MAX(0,BC12-BB12)*ОкладМенеджера*BC7+IF('03_Сеть'!BC7=ДатаОфисМенеджера,ОфисМенеджерNet/NetGross,0)+IF('03_Сеть'!BC7=ДатаSMM,SMMNet/NetGross,0))*КомиссияАгентства</f>
        <v/>
      </c>
      <c r="BD27" s="5">
        <f>(MAX(0,BD12-BC12)*ОкладМенеджера*BD7+IF('03_Сеть'!BD7=ДатаОфисМенеджера,ОфисМенеджерNet/NetGross,0)+IF('03_Сеть'!BD7=ДатаSMM,SMMNet/NetGross,0))*КомиссияАгентства</f>
        <v/>
      </c>
      <c r="BE27" s="5">
        <f>(MAX(0,BE12-BD12)*ОкладМенеджера*BE7+IF('03_Сеть'!BE7=ДатаОфисМенеджера,ОфисМенеджерNet/NetGross,0)+IF('03_Сеть'!BE7=ДатаSMM,SMMNet/NetGross,0))*КомиссияАгентства</f>
        <v/>
      </c>
      <c r="BF27" s="5">
        <f>(MAX(0,BF12-BE12)*ОкладМенеджера*BF7+IF('03_Сеть'!BF7=ДатаОфисМенеджера,ОфисМенеджерNet/NetGross,0)+IF('03_Сеть'!BF7=ДатаSMM,SMMNet/NetGross,0))*КомиссияАгентства</f>
        <v/>
      </c>
      <c r="BG27" s="5">
        <f>(MAX(0,BG12-BF12)*ОкладМенеджера*BG7+IF('03_Сеть'!BG7=ДатаОфисМенеджера,ОфисМенеджерNet/NetGross,0)+IF('03_Сеть'!BG7=ДатаSMM,SMMNet/NetGross,0))*КомиссияАгентства</f>
        <v/>
      </c>
      <c r="BH27" s="5">
        <f>(MAX(0,BH12-BG12)*ОкладМенеджера*BH7+IF('03_Сеть'!BH7=ДатаОфисМенеджера,ОфисМенеджерNet/NetGross,0)+IF('03_Сеть'!BH7=ДатаSMM,SMMNet/NetGross,0))*КомиссияАгентства</f>
        <v/>
      </c>
      <c r="BI27" s="5">
        <f>(MAX(0,BI12-BH12)*ОкладМенеджера*BI7+IF('03_Сеть'!BI7=ДатаОфисМенеджера,ОфисМенеджерNet/NetGross,0)+IF('03_Сеть'!BI7=ДатаSMM,SMMNet/NetGross,0))*КомиссияАгентства</f>
        <v/>
      </c>
      <c r="BJ27" s="5">
        <f>(MAX(0,BJ12-BI12)*ОкладМенеджера*BJ7+IF('03_Сеть'!BJ7=ДатаОфисМенеджера,ОфисМенеджерNet/NetGross,0)+IF('03_Сеть'!BJ7=ДатаSMM,SMMNet/NetGross,0))*КомиссияАгентства</f>
        <v/>
      </c>
      <c r="BK27" s="5">
        <f>(MAX(0,BK12-BJ12)*ОкладМенеджера*BK7+IF('03_Сеть'!BK7=ДатаОфисМенеджера,ОфисМенеджерNet/NetGross,0)+IF('03_Сеть'!BK7=ДатаSMM,SMMNet/NetGross,0))*КомиссияАгентства</f>
        <v/>
      </c>
      <c r="BL27" s="5">
        <f>(MAX(0,BL12-BK12)*ОкладМенеджера*BL7+IF('03_Сеть'!BL7=ДатаОфисМенеджера,ОфисМенеджерNet/NetGross,0)+IF('03_Сеть'!BL7=ДатаSMM,SMMNet/NetGross,0))*КомиссияАгентства</f>
        <v/>
      </c>
      <c r="BM27" s="5">
        <f>(MAX(0,BM12-BL12)*ОкладМенеджера*BM7+IF('03_Сеть'!BM7=ДатаОфисМенеджера,ОфисМенеджерNet/NetGross,0)+IF('03_Сеть'!BM7=ДатаSMM,SMMNet/NetGross,0))*КомиссияАгентства</f>
        <v/>
      </c>
      <c r="BN27" s="5">
        <f>(MAX(0,BN12-BM12)*ОкладМенеджера*BN7+IF('03_Сеть'!BN7=ДатаОфисМенеджера,ОфисМенеджерNet/NetGross,0)+IF('03_Сеть'!BN7=ДатаSMM,SMMNet/NetGross,0))*КомиссияАгентства</f>
        <v/>
      </c>
      <c r="BO27" s="5">
        <f>(MAX(0,BO12-BN12)*ОкладМенеджера*BO7+IF('03_Сеть'!BO7=ДатаОфисМенеджера,ОфисМенеджерNet/NetGross,0)+IF('03_Сеть'!BO7=ДатаSMM,SMMNet/NetGross,0))*КомиссияАгентства</f>
        <v/>
      </c>
      <c r="BP27" s="5">
        <f>(MAX(0,BP12-BO12)*ОкладМенеджера*BP7+IF('03_Сеть'!BP7=ДатаОфисМенеджера,ОфисМенеджерNet/NetGross,0)+IF('03_Сеть'!BP7=ДатаSMM,SMMNet/NetGross,0))*КомиссияАгентства</f>
        <v/>
      </c>
      <c r="BQ27" s="5">
        <f>(MAX(0,BQ12-BP12)*ОкладМенеджера*BQ7+IF('03_Сеть'!BQ7=ДатаОфисМенеджера,ОфисМенеджерNet/NetGross,0)+IF('03_Сеть'!BQ7=ДатаSMM,SMMNet/NetGross,0))*КомиссияАгентства</f>
        <v/>
      </c>
      <c r="BR27" s="5">
        <f>(MAX(0,BR12-BQ12)*ОкладМенеджера*BR7+IF('03_Сеть'!BR7=ДатаОфисМенеджера,ОфисМенеджерNet/NetGross,0)+IF('03_Сеть'!BR7=ДатаSMM,SMMNet/NetGross,0))*КомиссияАгентства</f>
        <v/>
      </c>
      <c r="BS27" s="5">
        <f>(MAX(0,BS12-BR12)*ОкладМенеджера*BS7+IF('03_Сеть'!BS7=ДатаОфисМенеджера,ОфисМенеджерNet/NetGross,0)+IF('03_Сеть'!BS7=ДатаSMM,SMMNet/NetGross,0))*КомиссияАгентства</f>
        <v/>
      </c>
      <c r="BT27" s="5">
        <f>(MAX(0,BT12-BS12)*ОкладМенеджера*BT7+IF('03_Сеть'!BT7=ДатаОфисМенеджера,ОфисМенеджерNet/NetGross,0)+IF('03_Сеть'!BT7=ДатаSMM,SMMNet/NetGross,0))*КомиссияАгентства</f>
        <v/>
      </c>
      <c r="BU27" s="5">
        <f>(MAX(0,BU12-BT12)*ОкладМенеджера*BU7+IF('03_Сеть'!BU7=ДатаОфисМенеджера,ОфисМенеджерNet/NetGross,0)+IF('03_Сеть'!BU7=ДатаSMM,SMMNet/NetGross,0))*КомиссияАгентства</f>
        <v/>
      </c>
      <c r="BV27" s="5">
        <f>(MAX(0,BV12-BU12)*ОкладМенеджера*BV7+IF('03_Сеть'!BV7=ДатаОфисМенеджера,ОфисМенеджерNet/NetGross,0)+IF('03_Сеть'!BV7=ДатаSMM,SMMNet/NetGross,0))*КомиссияАгентства</f>
        <v/>
      </c>
      <c r="BW27" s="5">
        <f>(MAX(0,BW12-BV12)*ОкладМенеджера*BW7+IF('03_Сеть'!BW7=ДатаОфисМенеджера,ОфисМенеджерNet/NetGross,0)+IF('03_Сеть'!BW7=ДатаSMM,SMMNet/NetGross,0))*КомиссияАгентства</f>
        <v/>
      </c>
      <c r="BX27" s="5">
        <f>(MAX(0,BX12-BW12)*ОкладМенеджера*BX7+IF('03_Сеть'!BX7=ДатаОфисМенеджера,ОфисМенеджерNet/NetGross,0)+IF('03_Сеть'!BX7=ДатаSMM,SMMNet/NetGross,0))*КомиссияАгентства</f>
        <v/>
      </c>
      <c r="BY27" s="5">
        <f>(MAX(0,BY12-BX12)*ОкладМенеджера*BY7+IF('03_Сеть'!BY7=ДатаОфисМенеджера,ОфисМенеджерNet/NetGross,0)+IF('03_Сеть'!BY7=ДатаSMM,SMMNet/NetGross,0))*КомиссияАгентства</f>
        <v/>
      </c>
    </row>
    <row r="28">
      <c r="B28" t="inlineStr">
        <is>
          <t>Замена директора маркетинга</t>
        </is>
      </c>
      <c r="C28" t="inlineStr">
        <is>
          <t>₽</t>
        </is>
      </c>
      <c r="D28" s="127" t="inlineStr"/>
      <c r="E28" s="129">
        <f>SUM(L28:W28)</f>
        <v/>
      </c>
      <c r="F28" s="129">
        <f>SUM(X28:AI28)</f>
        <v/>
      </c>
      <c r="G28" s="129">
        <f>SUM(AJ28:AU28)</f>
        <v/>
      </c>
      <c r="H28" s="129">
        <f>SUM(AV28:BG28)</f>
        <v/>
      </c>
      <c r="I28" s="129">
        <f>SUM(BH28:BS28)</f>
        <v/>
      </c>
      <c r="J28" s="6">
        <f>SUM(L28:BS28)</f>
        <v/>
      </c>
      <c r="L28" s="5">
        <f>IF('03_Сеть'!L7=ДатаЗаменыДиректора,ЗаменаДиректора,0)</f>
        <v/>
      </c>
      <c r="M28" s="5">
        <f>IF('03_Сеть'!M7=ДатаЗаменыДиректора,ЗаменаДиректора,0)</f>
        <v/>
      </c>
      <c r="N28" s="5">
        <f>IF('03_Сеть'!N7=ДатаЗаменыДиректора,ЗаменаДиректора,0)</f>
        <v/>
      </c>
      <c r="O28" s="5">
        <f>IF('03_Сеть'!O7=ДатаЗаменыДиректора,ЗаменаДиректора,0)</f>
        <v/>
      </c>
      <c r="P28" s="5">
        <f>IF('03_Сеть'!P7=ДатаЗаменыДиректора,ЗаменаДиректора,0)</f>
        <v/>
      </c>
      <c r="Q28" s="5">
        <f>IF('03_Сеть'!Q7=ДатаЗаменыДиректора,ЗаменаДиректора,0)</f>
        <v/>
      </c>
      <c r="R28" s="5">
        <f>IF('03_Сеть'!R7=ДатаЗаменыДиректора,ЗаменаДиректора,0)</f>
        <v/>
      </c>
      <c r="S28" s="5">
        <f>IF('03_Сеть'!S7=ДатаЗаменыДиректора,ЗаменаДиректора,0)</f>
        <v/>
      </c>
      <c r="T28" s="5">
        <f>IF('03_Сеть'!T7=ДатаЗаменыДиректора,ЗаменаДиректора,0)</f>
        <v/>
      </c>
      <c r="U28" s="5">
        <f>IF('03_Сеть'!U7=ДатаЗаменыДиректора,ЗаменаДиректора,0)</f>
        <v/>
      </c>
      <c r="V28" s="5">
        <f>IF('03_Сеть'!V7=ДатаЗаменыДиректора,ЗаменаДиректора,0)</f>
        <v/>
      </c>
      <c r="W28" s="5">
        <f>IF('03_Сеть'!W7=ДатаЗаменыДиректора,ЗаменаДиректора,0)</f>
        <v/>
      </c>
      <c r="X28" s="5">
        <f>IF('03_Сеть'!X7=ДатаЗаменыДиректора,ЗаменаДиректора,0)</f>
        <v/>
      </c>
      <c r="Y28" s="5">
        <f>IF('03_Сеть'!Y7=ДатаЗаменыДиректора,ЗаменаДиректора,0)</f>
        <v/>
      </c>
      <c r="Z28" s="5">
        <f>IF('03_Сеть'!Z7=ДатаЗаменыДиректора,ЗаменаДиректора,0)</f>
        <v/>
      </c>
      <c r="AA28" s="5">
        <f>IF('03_Сеть'!AA7=ДатаЗаменыДиректора,ЗаменаДиректора,0)</f>
        <v/>
      </c>
      <c r="AB28" s="5">
        <f>IF('03_Сеть'!AB7=ДатаЗаменыДиректора,ЗаменаДиректора,0)</f>
        <v/>
      </c>
      <c r="AC28" s="5">
        <f>IF('03_Сеть'!AC7=ДатаЗаменыДиректора,ЗаменаДиректора,0)</f>
        <v/>
      </c>
      <c r="AD28" s="5">
        <f>IF('03_Сеть'!AD7=ДатаЗаменыДиректора,ЗаменаДиректора,0)</f>
        <v/>
      </c>
      <c r="AE28" s="5">
        <f>IF('03_Сеть'!AE7=ДатаЗаменыДиректора,ЗаменаДиректора,0)</f>
        <v/>
      </c>
      <c r="AF28" s="5">
        <f>IF('03_Сеть'!AF7=ДатаЗаменыДиректора,ЗаменаДиректора,0)</f>
        <v/>
      </c>
      <c r="AG28" s="5">
        <f>IF('03_Сеть'!AG7=ДатаЗаменыДиректора,ЗаменаДиректора,0)</f>
        <v/>
      </c>
      <c r="AH28" s="5">
        <f>IF('03_Сеть'!AH7=ДатаЗаменыДиректора,ЗаменаДиректора,0)</f>
        <v/>
      </c>
      <c r="AI28" s="5">
        <f>IF('03_Сеть'!AI7=ДатаЗаменыДиректора,ЗаменаДиректора,0)</f>
        <v/>
      </c>
      <c r="AJ28" s="5">
        <f>IF('03_Сеть'!AJ7=ДатаЗаменыДиректора,ЗаменаДиректора,0)</f>
        <v/>
      </c>
      <c r="AK28" s="5">
        <f>IF('03_Сеть'!AK7=ДатаЗаменыДиректора,ЗаменаДиректора,0)</f>
        <v/>
      </c>
      <c r="AL28" s="5">
        <f>IF('03_Сеть'!AL7=ДатаЗаменыДиректора,ЗаменаДиректора,0)</f>
        <v/>
      </c>
      <c r="AM28" s="5">
        <f>IF('03_Сеть'!AM7=ДатаЗаменыДиректора,ЗаменаДиректора,0)</f>
        <v/>
      </c>
      <c r="AN28" s="5">
        <f>IF('03_Сеть'!AN7=ДатаЗаменыДиректора,ЗаменаДиректора,0)</f>
        <v/>
      </c>
      <c r="AO28" s="5">
        <f>IF('03_Сеть'!AO7=ДатаЗаменыДиректора,ЗаменаДиректора,0)</f>
        <v/>
      </c>
      <c r="AP28" s="5">
        <f>IF('03_Сеть'!AP7=ДатаЗаменыДиректора,ЗаменаДиректора,0)</f>
        <v/>
      </c>
      <c r="AQ28" s="5">
        <f>IF('03_Сеть'!AQ7=ДатаЗаменыДиректора,ЗаменаДиректора,0)</f>
        <v/>
      </c>
      <c r="AR28" s="5">
        <f>IF('03_Сеть'!AR7=ДатаЗаменыДиректора,ЗаменаДиректора,0)</f>
        <v/>
      </c>
      <c r="AS28" s="5">
        <f>IF('03_Сеть'!AS7=ДатаЗаменыДиректора,ЗаменаДиректора,0)</f>
        <v/>
      </c>
      <c r="AT28" s="5">
        <f>IF('03_Сеть'!AT7=ДатаЗаменыДиректора,ЗаменаДиректора,0)</f>
        <v/>
      </c>
      <c r="AU28" s="5">
        <f>IF('03_Сеть'!AU7=ДатаЗаменыДиректора,ЗаменаДиректора,0)</f>
        <v/>
      </c>
      <c r="AV28" s="5">
        <f>IF('03_Сеть'!AV7=ДатаЗаменыДиректора,ЗаменаДиректора,0)</f>
        <v/>
      </c>
      <c r="AW28" s="5">
        <f>IF('03_Сеть'!AW7=ДатаЗаменыДиректора,ЗаменаДиректора,0)</f>
        <v/>
      </c>
      <c r="AX28" s="5">
        <f>IF('03_Сеть'!AX7=ДатаЗаменыДиректора,ЗаменаДиректора,0)</f>
        <v/>
      </c>
      <c r="AY28" s="5">
        <f>IF('03_Сеть'!AY7=ДатаЗаменыДиректора,ЗаменаДиректора,0)</f>
        <v/>
      </c>
      <c r="AZ28" s="5">
        <f>IF('03_Сеть'!AZ7=ДатаЗаменыДиректора,ЗаменаДиректора,0)</f>
        <v/>
      </c>
      <c r="BA28" s="5">
        <f>IF('03_Сеть'!BA7=ДатаЗаменыДиректора,ЗаменаДиректора,0)</f>
        <v/>
      </c>
      <c r="BB28" s="5">
        <f>IF('03_Сеть'!BB7=ДатаЗаменыДиректора,ЗаменаДиректора,0)</f>
        <v/>
      </c>
      <c r="BC28" s="5">
        <f>IF('03_Сеть'!BC7=ДатаЗаменыДиректора,ЗаменаДиректора,0)</f>
        <v/>
      </c>
      <c r="BD28" s="5">
        <f>IF('03_Сеть'!BD7=ДатаЗаменыДиректора,ЗаменаДиректора,0)</f>
        <v/>
      </c>
      <c r="BE28" s="5">
        <f>IF('03_Сеть'!BE7=ДатаЗаменыДиректора,ЗаменаДиректора,0)</f>
        <v/>
      </c>
      <c r="BF28" s="5">
        <f>IF('03_Сеть'!BF7=ДатаЗаменыДиректора,ЗаменаДиректора,0)</f>
        <v/>
      </c>
      <c r="BG28" s="5">
        <f>IF('03_Сеть'!BG7=ДатаЗаменыДиректора,ЗаменаДиректора,0)</f>
        <v/>
      </c>
      <c r="BH28" s="5">
        <f>IF('03_Сеть'!BH7=ДатаЗаменыДиректора,ЗаменаДиректора,0)</f>
        <v/>
      </c>
      <c r="BI28" s="5">
        <f>IF('03_Сеть'!BI7=ДатаЗаменыДиректора,ЗаменаДиректора,0)</f>
        <v/>
      </c>
      <c r="BJ28" s="5">
        <f>IF('03_Сеть'!BJ7=ДатаЗаменыДиректора,ЗаменаДиректора,0)</f>
        <v/>
      </c>
      <c r="BK28" s="5">
        <f>IF('03_Сеть'!BK7=ДатаЗаменыДиректора,ЗаменаДиректора,0)</f>
        <v/>
      </c>
      <c r="BL28" s="5">
        <f>IF('03_Сеть'!BL7=ДатаЗаменыДиректора,ЗаменаДиректора,0)</f>
        <v/>
      </c>
      <c r="BM28" s="5">
        <f>IF('03_Сеть'!BM7=ДатаЗаменыДиректора,ЗаменаДиректора,0)</f>
        <v/>
      </c>
      <c r="BN28" s="5">
        <f>IF('03_Сеть'!BN7=ДатаЗаменыДиректора,ЗаменаДиректора,0)</f>
        <v/>
      </c>
      <c r="BO28" s="5">
        <f>IF('03_Сеть'!BO7=ДатаЗаменыДиректора,ЗаменаДиректора,0)</f>
        <v/>
      </c>
      <c r="BP28" s="5">
        <f>IF('03_Сеть'!BP7=ДатаЗаменыДиректора,ЗаменаДиректора,0)</f>
        <v/>
      </c>
      <c r="BQ28" s="5">
        <f>IF('03_Сеть'!BQ7=ДатаЗаменыДиректора,ЗаменаДиректора,0)</f>
        <v/>
      </c>
      <c r="BR28" s="5">
        <f>IF('03_Сеть'!BR7=ДатаЗаменыДиректора,ЗаменаДиректора,0)</f>
        <v/>
      </c>
      <c r="BS28" s="5">
        <f>IF('03_Сеть'!BS7=ДатаЗаменыДиректора,ЗаменаДиректора,0)</f>
        <v/>
      </c>
      <c r="BT28" s="5">
        <f>IF('03_Сеть'!BT7=ДатаЗаменыДиректора,ЗаменаДиректора,0)</f>
        <v/>
      </c>
      <c r="BU28" s="5">
        <f>IF('03_Сеть'!BU7=ДатаЗаменыДиректора,ЗаменаДиректора,0)</f>
        <v/>
      </c>
      <c r="BV28" s="5">
        <f>IF('03_Сеть'!BV7=ДатаЗаменыДиректора,ЗаменаДиректора,0)</f>
        <v/>
      </c>
      <c r="BW28" s="5">
        <f>IF('03_Сеть'!BW7=ДатаЗаменыДиректора,ЗаменаДиректора,0)</f>
        <v/>
      </c>
      <c r="BX28" s="5">
        <f>IF('03_Сеть'!BX7=ДатаЗаменыДиректора,ЗаменаДиректора,0)</f>
        <v/>
      </c>
      <c r="BY28" s="5">
        <f>IF('03_Сеть'!BY7=ДатаЗаменыДиректора,ЗаменаДиректора,0)</f>
        <v/>
      </c>
    </row>
    <row r="29">
      <c r="B29" t="inlineStr">
        <is>
          <t>Резерв на ротацию кадров</t>
        </is>
      </c>
      <c r="C29" t="inlineStr">
        <is>
          <t>₽</t>
        </is>
      </c>
      <c r="D29" s="127" t="inlineStr">
        <is>
          <t>Раз в год</t>
        </is>
      </c>
      <c r="E29" s="129">
        <f>SUM(L29:W29)</f>
        <v/>
      </c>
      <c r="F29" s="129">
        <f>SUM(X29:AI29)</f>
        <v/>
      </c>
      <c r="G29" s="129">
        <f>SUM(AJ29:AU29)</f>
        <v/>
      </c>
      <c r="H29" s="129">
        <f>SUM(AV29:BG29)</f>
        <v/>
      </c>
      <c r="I29" s="129">
        <f>SUM(BH29:BS29)</f>
        <v/>
      </c>
      <c r="J29" s="6">
        <f>SUM(L29:BS29)</f>
        <v/>
      </c>
      <c r="L29" s="5">
        <f>IF(MONTH('03_Сеть'!L7)=МесяцРезерва,'07_Тарифы'!B$14,0)</f>
        <v/>
      </c>
      <c r="M29" s="5">
        <f>IF(MONTH('03_Сеть'!M7)=МесяцРезерва,'07_Тарифы'!C$14,0)</f>
        <v/>
      </c>
      <c r="N29" s="5">
        <f>IF(MONTH('03_Сеть'!N7)=МесяцРезерва,'07_Тарифы'!D$14,0)</f>
        <v/>
      </c>
      <c r="O29" s="5">
        <f>IF(MONTH('03_Сеть'!O7)=МесяцРезерва,'07_Тарифы'!E$14,0)</f>
        <v/>
      </c>
      <c r="P29" s="5">
        <f>IF(MONTH('03_Сеть'!P7)=МесяцРезерва,'07_Тарифы'!F$14,0)</f>
        <v/>
      </c>
      <c r="Q29" s="5">
        <f>IF(MONTH('03_Сеть'!Q7)=МесяцРезерва,'07_Тарифы'!G$14,0)</f>
        <v/>
      </c>
      <c r="R29" s="5">
        <f>IF(MONTH('03_Сеть'!R7)=МесяцРезерва,'07_Тарифы'!H$14,0)</f>
        <v/>
      </c>
      <c r="S29" s="5">
        <f>IF(MONTH('03_Сеть'!S7)=МесяцРезерва,'07_Тарифы'!I$14,0)</f>
        <v/>
      </c>
      <c r="T29" s="5">
        <f>IF(MONTH('03_Сеть'!T7)=МесяцРезерва,'07_Тарифы'!J$14,0)</f>
        <v/>
      </c>
      <c r="U29" s="5">
        <f>IF(MONTH('03_Сеть'!U7)=МесяцРезерва,'07_Тарифы'!K$14,0)</f>
        <v/>
      </c>
      <c r="V29" s="5">
        <f>IF(MONTH('03_Сеть'!V7)=МесяцРезерва,'07_Тарифы'!L$14,0)</f>
        <v/>
      </c>
      <c r="W29" s="5">
        <f>IF(MONTH('03_Сеть'!W7)=МесяцРезерва,'07_Тарифы'!M$14,0)</f>
        <v/>
      </c>
      <c r="X29" s="5">
        <f>IF(MONTH('03_Сеть'!X7)=МесяцРезерва,'07_Тарифы'!N$14,0)</f>
        <v/>
      </c>
      <c r="Y29" s="5">
        <f>IF(MONTH('03_Сеть'!Y7)=МесяцРезерва,'07_Тарифы'!O$14,0)</f>
        <v/>
      </c>
      <c r="Z29" s="5">
        <f>IF(MONTH('03_Сеть'!Z7)=МесяцРезерва,'07_Тарифы'!P$14,0)</f>
        <v/>
      </c>
      <c r="AA29" s="5">
        <f>IF(MONTH('03_Сеть'!AA7)=МесяцРезерва,'07_Тарифы'!Q$14,0)</f>
        <v/>
      </c>
      <c r="AB29" s="5">
        <f>IF(MONTH('03_Сеть'!AB7)=МесяцРезерва,'07_Тарифы'!R$14,0)</f>
        <v/>
      </c>
      <c r="AC29" s="5">
        <f>IF(MONTH('03_Сеть'!AC7)=МесяцРезерва,'07_Тарифы'!S$14,0)</f>
        <v/>
      </c>
      <c r="AD29" s="5">
        <f>IF(MONTH('03_Сеть'!AD7)=МесяцРезерва,'07_Тарифы'!T$14,0)</f>
        <v/>
      </c>
      <c r="AE29" s="5">
        <f>IF(MONTH('03_Сеть'!AE7)=МесяцРезерва,'07_Тарифы'!U$14,0)</f>
        <v/>
      </c>
      <c r="AF29" s="5">
        <f>IF(MONTH('03_Сеть'!AF7)=МесяцРезерва,'07_Тарифы'!V$14,0)</f>
        <v/>
      </c>
      <c r="AG29" s="5">
        <f>IF(MONTH('03_Сеть'!AG7)=МесяцРезерва,'07_Тарифы'!W$14,0)</f>
        <v/>
      </c>
      <c r="AH29" s="5">
        <f>IF(MONTH('03_Сеть'!AH7)=МесяцРезерва,'07_Тарифы'!X$14,0)</f>
        <v/>
      </c>
      <c r="AI29" s="5">
        <f>IF(MONTH('03_Сеть'!AI7)=МесяцРезерва,'07_Тарифы'!Y$14,0)</f>
        <v/>
      </c>
      <c r="AJ29" s="5">
        <f>IF(MONTH('03_Сеть'!AJ7)=МесяцРезерва,'07_Тарифы'!Z$14,0)</f>
        <v/>
      </c>
      <c r="AK29" s="5">
        <f>IF(MONTH('03_Сеть'!AK7)=МесяцРезерва,'07_Тарифы'!AA$14,0)</f>
        <v/>
      </c>
      <c r="AL29" s="5">
        <f>IF(MONTH('03_Сеть'!AL7)=МесяцРезерва,'07_Тарифы'!AB$14,0)</f>
        <v/>
      </c>
      <c r="AM29" s="5">
        <f>IF(MONTH('03_Сеть'!AM7)=МесяцРезерва,'07_Тарифы'!AC$14,0)</f>
        <v/>
      </c>
      <c r="AN29" s="5">
        <f>IF(MONTH('03_Сеть'!AN7)=МесяцРезерва,'07_Тарифы'!AD$14,0)</f>
        <v/>
      </c>
      <c r="AO29" s="5">
        <f>IF(MONTH('03_Сеть'!AO7)=МесяцРезерва,'07_Тарифы'!AE$14,0)</f>
        <v/>
      </c>
      <c r="AP29" s="5">
        <f>IF(MONTH('03_Сеть'!AP7)=МесяцРезерва,'07_Тарифы'!AF$14,0)</f>
        <v/>
      </c>
      <c r="AQ29" s="5">
        <f>IF(MONTH('03_Сеть'!AQ7)=МесяцРезерва,'07_Тарифы'!AG$14,0)</f>
        <v/>
      </c>
      <c r="AR29" s="5">
        <f>IF(MONTH('03_Сеть'!AR7)=МесяцРезерва,'07_Тарифы'!AH$14,0)</f>
        <v/>
      </c>
      <c r="AS29" s="5">
        <f>IF(MONTH('03_Сеть'!AS7)=МесяцРезерва,'07_Тарифы'!AI$14,0)</f>
        <v/>
      </c>
      <c r="AT29" s="5">
        <f>IF(MONTH('03_Сеть'!AT7)=МесяцРезерва,'07_Тарифы'!AJ$14,0)</f>
        <v/>
      </c>
      <c r="AU29" s="5">
        <f>IF(MONTH('03_Сеть'!AU7)=МесяцРезерва,'07_Тарифы'!AK$14,0)</f>
        <v/>
      </c>
      <c r="AV29" s="5">
        <f>IF(MONTH('03_Сеть'!AV7)=МесяцРезерва,'07_Тарифы'!AL$14,0)</f>
        <v/>
      </c>
      <c r="AW29" s="5">
        <f>IF(MONTH('03_Сеть'!AW7)=МесяцРезерва,'07_Тарифы'!AM$14,0)</f>
        <v/>
      </c>
      <c r="AX29" s="5">
        <f>IF(MONTH('03_Сеть'!AX7)=МесяцРезерва,'07_Тарифы'!AN$14,0)</f>
        <v/>
      </c>
      <c r="AY29" s="5">
        <f>IF(MONTH('03_Сеть'!AY7)=МесяцРезерва,'07_Тарифы'!AO$14,0)</f>
        <v/>
      </c>
      <c r="AZ29" s="5">
        <f>IF(MONTH('03_Сеть'!AZ7)=МесяцРезерва,'07_Тарифы'!AP$14,0)</f>
        <v/>
      </c>
      <c r="BA29" s="5">
        <f>IF(MONTH('03_Сеть'!BA7)=МесяцРезерва,'07_Тарифы'!AQ$14,0)</f>
        <v/>
      </c>
      <c r="BB29" s="5">
        <f>IF(MONTH('03_Сеть'!BB7)=МесяцРезерва,'07_Тарифы'!AR$14,0)</f>
        <v/>
      </c>
      <c r="BC29" s="5">
        <f>IF(MONTH('03_Сеть'!BC7)=МесяцРезерва,'07_Тарифы'!AS$14,0)</f>
        <v/>
      </c>
      <c r="BD29" s="5">
        <f>IF(MONTH('03_Сеть'!BD7)=МесяцРезерва,'07_Тарифы'!AT$14,0)</f>
        <v/>
      </c>
      <c r="BE29" s="5">
        <f>IF(MONTH('03_Сеть'!BE7)=МесяцРезерва,'07_Тарифы'!AU$14,0)</f>
        <v/>
      </c>
      <c r="BF29" s="5">
        <f>IF(MONTH('03_Сеть'!BF7)=МесяцРезерва,'07_Тарифы'!AV$14,0)</f>
        <v/>
      </c>
      <c r="BG29" s="5">
        <f>IF(MONTH('03_Сеть'!BG7)=МесяцРезерва,'07_Тарифы'!AW$14,0)</f>
        <v/>
      </c>
      <c r="BH29" s="5">
        <f>IF(MONTH('03_Сеть'!BH7)=МесяцРезерва,'07_Тарифы'!AX$14,0)</f>
        <v/>
      </c>
      <c r="BI29" s="5">
        <f>IF(MONTH('03_Сеть'!BI7)=МесяцРезерва,'07_Тарифы'!AY$14,0)</f>
        <v/>
      </c>
      <c r="BJ29" s="5">
        <f>IF(MONTH('03_Сеть'!BJ7)=МесяцРезерва,'07_Тарифы'!AZ$14,0)</f>
        <v/>
      </c>
      <c r="BK29" s="5">
        <f>IF(MONTH('03_Сеть'!BK7)=МесяцРезерва,'07_Тарифы'!BA$14,0)</f>
        <v/>
      </c>
      <c r="BL29" s="5">
        <f>IF(MONTH('03_Сеть'!BL7)=МесяцРезерва,'07_Тарифы'!BB$14,0)</f>
        <v/>
      </c>
      <c r="BM29" s="5">
        <f>IF(MONTH('03_Сеть'!BM7)=МесяцРезерва,'07_Тарифы'!BC$14,0)</f>
        <v/>
      </c>
      <c r="BN29" s="5">
        <f>IF(MONTH('03_Сеть'!BN7)=МесяцРезерва,'07_Тарифы'!BD$14,0)</f>
        <v/>
      </c>
      <c r="BO29" s="5">
        <f>IF(MONTH('03_Сеть'!BO7)=МесяцРезерва,'07_Тарифы'!BE$14,0)</f>
        <v/>
      </c>
      <c r="BP29" s="5">
        <f>IF(MONTH('03_Сеть'!BP7)=МесяцРезерва,'07_Тарифы'!BF$14,0)</f>
        <v/>
      </c>
      <c r="BQ29" s="5">
        <f>IF(MONTH('03_Сеть'!BQ7)=МесяцРезерва,'07_Тарифы'!BG$14,0)</f>
        <v/>
      </c>
      <c r="BR29" s="5">
        <f>IF(MONTH('03_Сеть'!BR7)=МесяцРезерва,'07_Тарифы'!BH$14,0)</f>
        <v/>
      </c>
      <c r="BS29" s="5">
        <f>IF(MONTH('03_Сеть'!BS7)=МесяцРезерва,'07_Тарифы'!BI$14,0)</f>
        <v/>
      </c>
      <c r="BT29" s="5">
        <f>IF(MONTH('03_Сеть'!BT7)=МесяцРезерва,'07_Тарифы'!BJ$14,0)</f>
        <v/>
      </c>
      <c r="BU29" s="5">
        <f>IF(MONTH('03_Сеть'!BU7)=МесяцРезерва,'07_Тарифы'!BK$14,0)</f>
        <v/>
      </c>
      <c r="BV29" s="5">
        <f>IF(MONTH('03_Сеть'!BV7)=МесяцРезерва,'07_Тарифы'!BL$14,0)</f>
        <v/>
      </c>
      <c r="BW29" s="5">
        <f>IF(MONTH('03_Сеть'!BW7)=МесяцРезерва,'07_Тарифы'!BM$14,0)</f>
        <v/>
      </c>
      <c r="BX29" s="5">
        <f>IF(MONTH('03_Сеть'!BX7)=МесяцРезерва,'07_Тарифы'!BN$14,0)</f>
        <v/>
      </c>
      <c r="BY29" s="5">
        <f>IF(MONTH('03_Сеть'!BY7)=МесяцРезерва,'07_Тарифы'!BO$14,0)</f>
        <v/>
      </c>
    </row>
    <row r="30">
      <c r="B30" s="7" t="inlineStr">
        <is>
          <t>ФОТ и кадровые расходы — всего</t>
        </is>
      </c>
      <c r="C30" s="7" t="inlineStr">
        <is>
          <t>₽</t>
        </is>
      </c>
      <c r="D30" s="130" t="inlineStr"/>
      <c r="E30" s="131">
        <f>SUM(L30:W30)</f>
        <v/>
      </c>
      <c r="F30" s="131">
        <f>SUM(X30:AI30)</f>
        <v/>
      </c>
      <c r="G30" s="131">
        <f>SUM(AJ30:AU30)</f>
        <v/>
      </c>
      <c r="H30" s="131">
        <f>SUM(AV30:BG30)</f>
        <v/>
      </c>
      <c r="I30" s="131">
        <f>SUM(BH30:BS30)</f>
        <v/>
      </c>
      <c r="J30" s="10">
        <f>SUM(L30:BS30)</f>
        <v/>
      </c>
      <c r="L30" s="9">
        <f>SUM(L14,L15,L18,L19,L20,L21,L22,L23,L24,L27,L28,L29)</f>
        <v/>
      </c>
      <c r="M30" s="9">
        <f>SUM(M14,M15,M18,M19,M20,M21,M22,M23,M24,M27,M28,M29)</f>
        <v/>
      </c>
      <c r="N30" s="9">
        <f>SUM(N14,N15,N18,N19,N20,N21,N22,N23,N24,N27,N28,N29)</f>
        <v/>
      </c>
      <c r="O30" s="9">
        <f>SUM(O14,O15,O18,O19,O20,O21,O22,O23,O24,O27,O28,O29)</f>
        <v/>
      </c>
      <c r="P30" s="9">
        <f>SUM(P14,P15,P18,P19,P20,P21,P22,P23,P24,P27,P28,P29)</f>
        <v/>
      </c>
      <c r="Q30" s="9">
        <f>SUM(Q14,Q15,Q18,Q19,Q20,Q21,Q22,Q23,Q24,Q27,Q28,Q29)</f>
        <v/>
      </c>
      <c r="R30" s="9">
        <f>SUM(R14,R15,R18,R19,R20,R21,R22,R23,R24,R27,R28,R29)</f>
        <v/>
      </c>
      <c r="S30" s="9">
        <f>SUM(S14,S15,S18,S19,S20,S21,S22,S23,S24,S27,S28,S29)</f>
        <v/>
      </c>
      <c r="T30" s="9">
        <f>SUM(T14,T15,T18,T19,T20,T21,T22,T23,T24,T27,T28,T29)</f>
        <v/>
      </c>
      <c r="U30" s="9">
        <f>SUM(U14,U15,U18,U19,U20,U21,U22,U23,U24,U27,U28,U29)</f>
        <v/>
      </c>
      <c r="V30" s="9">
        <f>SUM(V14,V15,V18,V19,V20,V21,V22,V23,V24,V27,V28,V29)</f>
        <v/>
      </c>
      <c r="W30" s="9">
        <f>SUM(W14,W15,W18,W19,W20,W21,W22,W23,W24,W27,W28,W29)</f>
        <v/>
      </c>
      <c r="X30" s="9">
        <f>SUM(X14,X15,X18,X19,X20,X21,X22,X23,X24,X27,X28,X29)</f>
        <v/>
      </c>
      <c r="Y30" s="9">
        <f>SUM(Y14,Y15,Y18,Y19,Y20,Y21,Y22,Y23,Y24,Y27,Y28,Y29)</f>
        <v/>
      </c>
      <c r="Z30" s="9">
        <f>SUM(Z14,Z15,Z18,Z19,Z20,Z21,Z22,Z23,Z24,Z27,Z28,Z29)</f>
        <v/>
      </c>
      <c r="AA30" s="9">
        <f>SUM(AA14,AA15,AA18,AA19,AA20,AA21,AA22,AA23,AA24,AA27,AA28,AA29)</f>
        <v/>
      </c>
      <c r="AB30" s="9">
        <f>SUM(AB14,AB15,AB18,AB19,AB20,AB21,AB22,AB23,AB24,AB27,AB28,AB29)</f>
        <v/>
      </c>
      <c r="AC30" s="9">
        <f>SUM(AC14,AC15,AC18,AC19,AC20,AC21,AC22,AC23,AC24,AC27,AC28,AC29)</f>
        <v/>
      </c>
      <c r="AD30" s="9">
        <f>SUM(AD14,AD15,AD18,AD19,AD20,AD21,AD22,AD23,AD24,AD27,AD28,AD29)</f>
        <v/>
      </c>
      <c r="AE30" s="9">
        <f>SUM(AE14,AE15,AE18,AE19,AE20,AE21,AE22,AE23,AE24,AE27,AE28,AE29)</f>
        <v/>
      </c>
      <c r="AF30" s="9">
        <f>SUM(AF14,AF15,AF18,AF19,AF20,AF21,AF22,AF23,AF24,AF27,AF28,AF29)</f>
        <v/>
      </c>
      <c r="AG30" s="9">
        <f>SUM(AG14,AG15,AG18,AG19,AG20,AG21,AG22,AG23,AG24,AG27,AG28,AG29)</f>
        <v/>
      </c>
      <c r="AH30" s="9">
        <f>SUM(AH14,AH15,AH18,AH19,AH20,AH21,AH22,AH23,AH24,AH27,AH28,AH29)</f>
        <v/>
      </c>
      <c r="AI30" s="9">
        <f>SUM(AI14,AI15,AI18,AI19,AI20,AI21,AI22,AI23,AI24,AI27,AI28,AI29)</f>
        <v/>
      </c>
      <c r="AJ30" s="9">
        <f>SUM(AJ14,AJ15,AJ18,AJ19,AJ20,AJ21,AJ22,AJ23,AJ24,AJ27,AJ28,AJ29)</f>
        <v/>
      </c>
      <c r="AK30" s="9">
        <f>SUM(AK14,AK15,AK18,AK19,AK20,AK21,AK22,AK23,AK24,AK27,AK28,AK29)</f>
        <v/>
      </c>
      <c r="AL30" s="9">
        <f>SUM(AL14,AL15,AL18,AL19,AL20,AL21,AL22,AL23,AL24,AL27,AL28,AL29)</f>
        <v/>
      </c>
      <c r="AM30" s="9">
        <f>SUM(AM14,AM15,AM18,AM19,AM20,AM21,AM22,AM23,AM24,AM27,AM28,AM29)</f>
        <v/>
      </c>
      <c r="AN30" s="9">
        <f>SUM(AN14,AN15,AN18,AN19,AN20,AN21,AN22,AN23,AN24,AN27,AN28,AN29)</f>
        <v/>
      </c>
      <c r="AO30" s="9">
        <f>SUM(AO14,AO15,AO18,AO19,AO20,AO21,AO22,AO23,AO24,AO27,AO28,AO29)</f>
        <v/>
      </c>
      <c r="AP30" s="9">
        <f>SUM(AP14,AP15,AP18,AP19,AP20,AP21,AP22,AP23,AP24,AP27,AP28,AP29)</f>
        <v/>
      </c>
      <c r="AQ30" s="9">
        <f>SUM(AQ14,AQ15,AQ18,AQ19,AQ20,AQ21,AQ22,AQ23,AQ24,AQ27,AQ28,AQ29)</f>
        <v/>
      </c>
      <c r="AR30" s="9">
        <f>SUM(AR14,AR15,AR18,AR19,AR20,AR21,AR22,AR23,AR24,AR27,AR28,AR29)</f>
        <v/>
      </c>
      <c r="AS30" s="9">
        <f>SUM(AS14,AS15,AS18,AS19,AS20,AS21,AS22,AS23,AS24,AS27,AS28,AS29)</f>
        <v/>
      </c>
      <c r="AT30" s="9">
        <f>SUM(AT14,AT15,AT18,AT19,AT20,AT21,AT22,AT23,AT24,AT27,AT28,AT29)</f>
        <v/>
      </c>
      <c r="AU30" s="9">
        <f>SUM(AU14,AU15,AU18,AU19,AU20,AU21,AU22,AU23,AU24,AU27,AU28,AU29)</f>
        <v/>
      </c>
      <c r="AV30" s="9">
        <f>SUM(AV14,AV15,AV18,AV19,AV20,AV21,AV22,AV23,AV24,AV27,AV28,AV29)</f>
        <v/>
      </c>
      <c r="AW30" s="9">
        <f>SUM(AW14,AW15,AW18,AW19,AW20,AW21,AW22,AW23,AW24,AW27,AW28,AW29)</f>
        <v/>
      </c>
      <c r="AX30" s="9">
        <f>SUM(AX14,AX15,AX18,AX19,AX20,AX21,AX22,AX23,AX24,AX27,AX28,AX29)</f>
        <v/>
      </c>
      <c r="AY30" s="9">
        <f>SUM(AY14,AY15,AY18,AY19,AY20,AY21,AY22,AY23,AY24,AY27,AY28,AY29)</f>
        <v/>
      </c>
      <c r="AZ30" s="9">
        <f>SUM(AZ14,AZ15,AZ18,AZ19,AZ20,AZ21,AZ22,AZ23,AZ24,AZ27,AZ28,AZ29)</f>
        <v/>
      </c>
      <c r="BA30" s="9">
        <f>SUM(BA14,BA15,BA18,BA19,BA20,BA21,BA22,BA23,BA24,BA27,BA28,BA29)</f>
        <v/>
      </c>
      <c r="BB30" s="9">
        <f>SUM(BB14,BB15,BB18,BB19,BB20,BB21,BB22,BB23,BB24,BB27,BB28,BB29)</f>
        <v/>
      </c>
      <c r="BC30" s="9">
        <f>SUM(BC14,BC15,BC18,BC19,BC20,BC21,BC22,BC23,BC24,BC27,BC28,BC29)</f>
        <v/>
      </c>
      <c r="BD30" s="9">
        <f>SUM(BD14,BD15,BD18,BD19,BD20,BD21,BD22,BD23,BD24,BD27,BD28,BD29)</f>
        <v/>
      </c>
      <c r="BE30" s="9">
        <f>SUM(BE14,BE15,BE18,BE19,BE20,BE21,BE22,BE23,BE24,BE27,BE28,BE29)</f>
        <v/>
      </c>
      <c r="BF30" s="9">
        <f>SUM(BF14,BF15,BF18,BF19,BF20,BF21,BF22,BF23,BF24,BF27,BF28,BF29)</f>
        <v/>
      </c>
      <c r="BG30" s="9">
        <f>SUM(BG14,BG15,BG18,BG19,BG20,BG21,BG22,BG23,BG24,BG27,BG28,BG29)</f>
        <v/>
      </c>
      <c r="BH30" s="9">
        <f>SUM(BH14,BH15,BH18,BH19,BH20,BH21,BH22,BH23,BH24,BH27,BH28,BH29)</f>
        <v/>
      </c>
      <c r="BI30" s="9">
        <f>SUM(BI14,BI15,BI18,BI19,BI20,BI21,BI22,BI23,BI24,BI27,BI28,BI29)</f>
        <v/>
      </c>
      <c r="BJ30" s="9">
        <f>SUM(BJ14,BJ15,BJ18,BJ19,BJ20,BJ21,BJ22,BJ23,BJ24,BJ27,BJ28,BJ29)</f>
        <v/>
      </c>
      <c r="BK30" s="9">
        <f>SUM(BK14,BK15,BK18,BK19,BK20,BK21,BK22,BK23,BK24,BK27,BK28,BK29)</f>
        <v/>
      </c>
      <c r="BL30" s="9">
        <f>SUM(BL14,BL15,BL18,BL19,BL20,BL21,BL22,BL23,BL24,BL27,BL28,BL29)</f>
        <v/>
      </c>
      <c r="BM30" s="9">
        <f>SUM(BM14,BM15,BM18,BM19,BM20,BM21,BM22,BM23,BM24,BM27,BM28,BM29)</f>
        <v/>
      </c>
      <c r="BN30" s="9">
        <f>SUM(BN14,BN15,BN18,BN19,BN20,BN21,BN22,BN23,BN24,BN27,BN28,BN29)</f>
        <v/>
      </c>
      <c r="BO30" s="9">
        <f>SUM(BO14,BO15,BO18,BO19,BO20,BO21,BO22,BO23,BO24,BO27,BO28,BO29)</f>
        <v/>
      </c>
      <c r="BP30" s="9">
        <f>SUM(BP14,BP15,BP18,BP19,BP20,BP21,BP22,BP23,BP24,BP27,BP28,BP29)</f>
        <v/>
      </c>
      <c r="BQ30" s="9">
        <f>SUM(BQ14,BQ15,BQ18,BQ19,BQ20,BQ21,BQ22,BQ23,BQ24,BQ27,BQ28,BQ29)</f>
        <v/>
      </c>
      <c r="BR30" s="9">
        <f>SUM(BR14,BR15,BR18,BR19,BR20,BR21,BR22,BR23,BR24,BR27,BR28,BR29)</f>
        <v/>
      </c>
      <c r="BS30" s="9">
        <f>SUM(BS14,BS15,BS18,BS19,BS20,BS21,BS22,BS23,BS24,BS27,BS28,BS29)</f>
        <v/>
      </c>
      <c r="BT30" s="9">
        <f>SUM(BT14,BT15,BT18,BT19,BT20,BT21,BT22,BT23,BT24,BT27,BT28,BT29)</f>
        <v/>
      </c>
      <c r="BU30" s="9">
        <f>SUM(BU14,BU15,BU18,BU19,BU20,BU21,BU22,BU23,BU24,BU27,BU28,BU29)</f>
        <v/>
      </c>
      <c r="BV30" s="9">
        <f>SUM(BV14,BV15,BV18,BV19,BV20,BV21,BV22,BV23,BV24,BV27,BV28,BV29)</f>
        <v/>
      </c>
      <c r="BW30" s="9">
        <f>SUM(BW14,BW15,BW18,BW19,BW20,BW21,BW22,BW23,BW24,BW27,BW28,BW29)</f>
        <v/>
      </c>
      <c r="BX30" s="9">
        <f>SUM(BX14,BX15,BX18,BX19,BX20,BX21,BX22,BX23,BX24,BX27,BX28,BX29)</f>
        <v/>
      </c>
      <c r="BY30" s="9">
        <f>SUM(BY14,BY15,BY18,BY19,BY20,BY21,BY22,BY23,BY24,BY27,BY28,BY29)</f>
        <v/>
      </c>
    </row>
    <row r="32">
      <c r="B32" s="125" t="inlineStr">
        <is>
          <t>Операционные расходы</t>
        </is>
      </c>
      <c r="C32" s="126" t="n"/>
      <c r="D32" s="126" t="n"/>
      <c r="E32" s="126" t="n"/>
      <c r="F32" s="126" t="n"/>
      <c r="G32" s="126" t="n"/>
      <c r="H32" s="126" t="n"/>
      <c r="I32" s="126" t="n"/>
      <c r="J32" s="126" t="n"/>
      <c r="K32" s="126" t="n"/>
      <c r="L32" s="126" t="n"/>
      <c r="M32" s="126" t="n"/>
      <c r="N32" s="126" t="n"/>
      <c r="O32" s="126" t="n"/>
      <c r="P32" s="126" t="n"/>
      <c r="Q32" s="126" t="n"/>
      <c r="R32" s="126" t="n"/>
      <c r="S32" s="126" t="n"/>
      <c r="T32" s="126" t="n"/>
      <c r="U32" s="126" t="n"/>
      <c r="V32" s="126" t="n"/>
      <c r="W32" s="126" t="n"/>
      <c r="X32" s="126" t="n"/>
      <c r="Y32" s="126" t="n"/>
      <c r="Z32" s="126" t="n"/>
      <c r="AA32" s="126" t="n"/>
      <c r="AB32" s="126" t="n"/>
      <c r="AC32" s="126" t="n"/>
      <c r="AD32" s="126" t="n"/>
      <c r="AE32" s="126" t="n"/>
      <c r="AF32" s="126" t="n"/>
      <c r="AG32" s="126" t="n"/>
      <c r="AH32" s="126" t="n"/>
      <c r="AI32" s="126" t="n"/>
      <c r="AJ32" s="126" t="n"/>
      <c r="AK32" s="126" t="n"/>
      <c r="AL32" s="126" t="n"/>
      <c r="AM32" s="126" t="n"/>
      <c r="AN32" s="126" t="n"/>
      <c r="AO32" s="126" t="n"/>
      <c r="AP32" s="126" t="n"/>
      <c r="AQ32" s="126" t="n"/>
      <c r="AR32" s="126" t="n"/>
      <c r="AS32" s="126" t="n"/>
      <c r="AT32" s="126" t="n"/>
      <c r="AU32" s="126" t="n"/>
      <c r="AV32" s="126" t="n"/>
      <c r="AW32" s="126" t="n"/>
      <c r="AX32" s="126" t="n"/>
      <c r="AY32" s="126" t="n"/>
      <c r="AZ32" s="126" t="n"/>
      <c r="BA32" s="126" t="n"/>
      <c r="BB32" s="126" t="n"/>
      <c r="BC32" s="126" t="n"/>
      <c r="BD32" s="126" t="n"/>
      <c r="BE32" s="126" t="n"/>
      <c r="BF32" s="126" t="n"/>
      <c r="BG32" s="126" t="n"/>
      <c r="BH32" s="126" t="n"/>
      <c r="BI32" s="126" t="n"/>
      <c r="BJ32" s="126" t="n"/>
      <c r="BK32" s="126" t="n"/>
      <c r="BL32" s="126" t="n"/>
      <c r="BM32" s="126" t="n"/>
      <c r="BN32" s="126" t="n"/>
      <c r="BO32" s="126" t="n"/>
      <c r="BP32" s="126" t="n"/>
      <c r="BQ32" s="126" t="n"/>
      <c r="BR32" s="126" t="n"/>
      <c r="BS32" s="126" t="n"/>
      <c r="BT32" s="126" t="n"/>
      <c r="BU32" s="126" t="n"/>
      <c r="BV32" s="126" t="n"/>
      <c r="BW32" s="126" t="n"/>
      <c r="BX32" s="126" t="n"/>
      <c r="BY32" s="126" t="n"/>
    </row>
    <row r="33">
      <c r="B33" t="inlineStr">
        <is>
          <t>Подключения школ к ERP</t>
        </is>
      </c>
      <c r="C33" t="inlineStr">
        <is>
          <t>шт.</t>
        </is>
      </c>
      <c r="D33" s="127" t="inlineStr">
        <is>
          <t>Подключение — отдельное событие после открытия</t>
        </is>
      </c>
      <c r="E33" s="128">
        <f>SUM(L33:W33)</f>
        <v/>
      </c>
      <c r="F33" s="128">
        <f>SUM(X33:AI33)</f>
        <v/>
      </c>
      <c r="G33" s="128">
        <f>SUM(AJ33:AU33)</f>
        <v/>
      </c>
      <c r="H33" s="128">
        <f>SUM(AV33:BG33)</f>
        <v/>
      </c>
      <c r="I33" s="128">
        <f>SUM(BH33:BS33)</f>
        <v/>
      </c>
      <c r="J33" s="13">
        <f>SUM(L33:BS33)</f>
        <v/>
      </c>
      <c r="L33" s="12">
        <f>IF(1-ЛагERP&lt;1,0,INDEX('03_Сеть'!$L14:$BY14,1,1-ЛагERP)*КоэффСохранения^ЛагERP)</f>
        <v/>
      </c>
      <c r="M33" s="12">
        <f>IF(2-ЛагERP&lt;1,0,INDEX('03_Сеть'!$L14:$BY14,1,2-ЛагERP)*КоэффСохранения^ЛагERP)</f>
        <v/>
      </c>
      <c r="N33" s="12">
        <f>IF(3-ЛагERP&lt;1,0,INDEX('03_Сеть'!$L14:$BY14,1,3-ЛагERP)*КоэффСохранения^ЛагERP)</f>
        <v/>
      </c>
      <c r="O33" s="12">
        <f>IF(4-ЛагERP&lt;1,0,INDEX('03_Сеть'!$L14:$BY14,1,4-ЛагERP)*КоэффСохранения^ЛагERP)</f>
        <v/>
      </c>
      <c r="P33" s="12">
        <f>IF(5-ЛагERP&lt;1,0,INDEX('03_Сеть'!$L14:$BY14,1,5-ЛагERP)*КоэффСохранения^ЛагERP)</f>
        <v/>
      </c>
      <c r="Q33" s="12">
        <f>IF(6-ЛагERP&lt;1,0,INDEX('03_Сеть'!$L14:$BY14,1,6-ЛагERP)*КоэффСохранения^ЛагERP)</f>
        <v/>
      </c>
      <c r="R33" s="12">
        <f>IF(7-ЛагERP&lt;1,0,INDEX('03_Сеть'!$L14:$BY14,1,7-ЛагERP)*КоэффСохранения^ЛагERP)</f>
        <v/>
      </c>
      <c r="S33" s="12">
        <f>IF(8-ЛагERP&lt;1,0,INDEX('03_Сеть'!$L14:$BY14,1,8-ЛагERP)*КоэффСохранения^ЛагERP)</f>
        <v/>
      </c>
      <c r="T33" s="12">
        <f>IF(9-ЛагERP&lt;1,0,INDEX('03_Сеть'!$L14:$BY14,1,9-ЛагERP)*КоэффСохранения^ЛагERP)</f>
        <v/>
      </c>
      <c r="U33" s="12">
        <f>IF(10-ЛагERP&lt;1,0,INDEX('03_Сеть'!$L14:$BY14,1,10-ЛагERP)*КоэффСохранения^ЛагERP)</f>
        <v/>
      </c>
      <c r="V33" s="12">
        <f>IF(11-ЛагERP&lt;1,0,INDEX('03_Сеть'!$L14:$BY14,1,11-ЛагERP)*КоэффСохранения^ЛагERP)</f>
        <v/>
      </c>
      <c r="W33" s="12">
        <f>IF(12-ЛагERP&lt;1,0,INDEX('03_Сеть'!$L14:$BY14,1,12-ЛагERP)*КоэффСохранения^ЛагERP)</f>
        <v/>
      </c>
      <c r="X33" s="12">
        <f>IF(13-ЛагERP&lt;1,0,INDEX('03_Сеть'!$L14:$BY14,1,13-ЛагERP)*КоэффСохранения^ЛагERP)</f>
        <v/>
      </c>
      <c r="Y33" s="12">
        <f>IF(14-ЛагERP&lt;1,0,INDEX('03_Сеть'!$L14:$BY14,1,14-ЛагERP)*КоэффСохранения^ЛагERP)</f>
        <v/>
      </c>
      <c r="Z33" s="12">
        <f>IF(15-ЛагERP&lt;1,0,INDEX('03_Сеть'!$L14:$BY14,1,15-ЛагERP)*КоэффСохранения^ЛагERP)</f>
        <v/>
      </c>
      <c r="AA33" s="12">
        <f>IF(16-ЛагERP&lt;1,0,INDEX('03_Сеть'!$L14:$BY14,1,16-ЛагERP)*КоэффСохранения^ЛагERP)</f>
        <v/>
      </c>
      <c r="AB33" s="12">
        <f>IF(17-ЛагERP&lt;1,0,INDEX('03_Сеть'!$L14:$BY14,1,17-ЛагERP)*КоэффСохранения^ЛагERP)</f>
        <v/>
      </c>
      <c r="AC33" s="12">
        <f>IF(18-ЛагERP&lt;1,0,INDEX('03_Сеть'!$L14:$BY14,1,18-ЛагERP)*КоэффСохранения^ЛагERP)</f>
        <v/>
      </c>
      <c r="AD33" s="12">
        <f>IF(19-ЛагERP&lt;1,0,INDEX('03_Сеть'!$L14:$BY14,1,19-ЛагERP)*КоэффСохранения^ЛагERP)</f>
        <v/>
      </c>
      <c r="AE33" s="12">
        <f>IF(20-ЛагERP&lt;1,0,INDEX('03_Сеть'!$L14:$BY14,1,20-ЛагERP)*КоэффСохранения^ЛагERP)</f>
        <v/>
      </c>
      <c r="AF33" s="12">
        <f>IF(21-ЛагERP&lt;1,0,INDEX('03_Сеть'!$L14:$BY14,1,21-ЛагERP)*КоэффСохранения^ЛагERP)</f>
        <v/>
      </c>
      <c r="AG33" s="12">
        <f>IF(22-ЛагERP&lt;1,0,INDEX('03_Сеть'!$L14:$BY14,1,22-ЛагERP)*КоэффСохранения^ЛагERP)</f>
        <v/>
      </c>
      <c r="AH33" s="12">
        <f>IF(23-ЛагERP&lt;1,0,INDEX('03_Сеть'!$L14:$BY14,1,23-ЛагERP)*КоэффСохранения^ЛагERP)</f>
        <v/>
      </c>
      <c r="AI33" s="12">
        <f>IF(24-ЛагERP&lt;1,0,INDEX('03_Сеть'!$L14:$BY14,1,24-ЛагERP)*КоэффСохранения^ЛагERP)</f>
        <v/>
      </c>
      <c r="AJ33" s="12">
        <f>IF(25-ЛагERP&lt;1,0,INDEX('03_Сеть'!$L14:$BY14,1,25-ЛагERP)*КоэффСохранения^ЛагERP)</f>
        <v/>
      </c>
      <c r="AK33" s="12">
        <f>IF(26-ЛагERP&lt;1,0,INDEX('03_Сеть'!$L14:$BY14,1,26-ЛагERP)*КоэффСохранения^ЛагERP)</f>
        <v/>
      </c>
      <c r="AL33" s="12">
        <f>IF(27-ЛагERP&lt;1,0,INDEX('03_Сеть'!$L14:$BY14,1,27-ЛагERP)*КоэффСохранения^ЛагERP)</f>
        <v/>
      </c>
      <c r="AM33" s="12">
        <f>IF(28-ЛагERP&lt;1,0,INDEX('03_Сеть'!$L14:$BY14,1,28-ЛагERP)*КоэффСохранения^ЛагERP)</f>
        <v/>
      </c>
      <c r="AN33" s="12">
        <f>IF(29-ЛагERP&lt;1,0,INDEX('03_Сеть'!$L14:$BY14,1,29-ЛагERP)*КоэффСохранения^ЛагERP)</f>
        <v/>
      </c>
      <c r="AO33" s="12">
        <f>IF(30-ЛагERP&lt;1,0,INDEX('03_Сеть'!$L14:$BY14,1,30-ЛагERP)*КоэффСохранения^ЛагERP)</f>
        <v/>
      </c>
      <c r="AP33" s="12">
        <f>IF(31-ЛагERP&lt;1,0,INDEX('03_Сеть'!$L14:$BY14,1,31-ЛагERP)*КоэффСохранения^ЛагERP)</f>
        <v/>
      </c>
      <c r="AQ33" s="12">
        <f>IF(32-ЛагERP&lt;1,0,INDEX('03_Сеть'!$L14:$BY14,1,32-ЛагERP)*КоэффСохранения^ЛагERP)</f>
        <v/>
      </c>
      <c r="AR33" s="12">
        <f>IF(33-ЛагERP&lt;1,0,INDEX('03_Сеть'!$L14:$BY14,1,33-ЛагERP)*КоэффСохранения^ЛагERP)</f>
        <v/>
      </c>
      <c r="AS33" s="12">
        <f>IF(34-ЛагERP&lt;1,0,INDEX('03_Сеть'!$L14:$BY14,1,34-ЛагERP)*КоэффСохранения^ЛагERP)</f>
        <v/>
      </c>
      <c r="AT33" s="12">
        <f>IF(35-ЛагERP&lt;1,0,INDEX('03_Сеть'!$L14:$BY14,1,35-ЛагERP)*КоэффСохранения^ЛагERP)</f>
        <v/>
      </c>
      <c r="AU33" s="12">
        <f>IF(36-ЛагERP&lt;1,0,INDEX('03_Сеть'!$L14:$BY14,1,36-ЛагERP)*КоэффСохранения^ЛагERP)</f>
        <v/>
      </c>
      <c r="AV33" s="12">
        <f>IF(37-ЛагERP&lt;1,0,INDEX('03_Сеть'!$L14:$BY14,1,37-ЛагERP)*КоэффСохранения^ЛагERP)</f>
        <v/>
      </c>
      <c r="AW33" s="12">
        <f>IF(38-ЛагERP&lt;1,0,INDEX('03_Сеть'!$L14:$BY14,1,38-ЛагERP)*КоэффСохранения^ЛагERP)</f>
        <v/>
      </c>
      <c r="AX33" s="12">
        <f>IF(39-ЛагERP&lt;1,0,INDEX('03_Сеть'!$L14:$BY14,1,39-ЛагERP)*КоэффСохранения^ЛагERP)</f>
        <v/>
      </c>
      <c r="AY33" s="12">
        <f>IF(40-ЛагERP&lt;1,0,INDEX('03_Сеть'!$L14:$BY14,1,40-ЛагERP)*КоэффСохранения^ЛагERP)</f>
        <v/>
      </c>
      <c r="AZ33" s="12">
        <f>IF(41-ЛагERP&lt;1,0,INDEX('03_Сеть'!$L14:$BY14,1,41-ЛагERP)*КоэффСохранения^ЛагERP)</f>
        <v/>
      </c>
      <c r="BA33" s="12">
        <f>IF(42-ЛагERP&lt;1,0,INDEX('03_Сеть'!$L14:$BY14,1,42-ЛагERP)*КоэффСохранения^ЛагERP)</f>
        <v/>
      </c>
      <c r="BB33" s="12">
        <f>IF(43-ЛагERP&lt;1,0,INDEX('03_Сеть'!$L14:$BY14,1,43-ЛагERP)*КоэффСохранения^ЛагERP)</f>
        <v/>
      </c>
      <c r="BC33" s="12">
        <f>IF(44-ЛагERP&lt;1,0,INDEX('03_Сеть'!$L14:$BY14,1,44-ЛагERP)*КоэффСохранения^ЛагERP)</f>
        <v/>
      </c>
      <c r="BD33" s="12">
        <f>IF(45-ЛагERP&lt;1,0,INDEX('03_Сеть'!$L14:$BY14,1,45-ЛагERP)*КоэффСохранения^ЛагERP)</f>
        <v/>
      </c>
      <c r="BE33" s="12">
        <f>IF(46-ЛагERP&lt;1,0,INDEX('03_Сеть'!$L14:$BY14,1,46-ЛагERP)*КоэффСохранения^ЛагERP)</f>
        <v/>
      </c>
      <c r="BF33" s="12">
        <f>IF(47-ЛагERP&lt;1,0,INDEX('03_Сеть'!$L14:$BY14,1,47-ЛагERP)*КоэффСохранения^ЛагERP)</f>
        <v/>
      </c>
      <c r="BG33" s="12">
        <f>IF(48-ЛагERP&lt;1,0,INDEX('03_Сеть'!$L14:$BY14,1,48-ЛагERP)*КоэффСохранения^ЛагERP)</f>
        <v/>
      </c>
      <c r="BH33" s="12">
        <f>IF(49-ЛагERP&lt;1,0,INDEX('03_Сеть'!$L14:$BY14,1,49-ЛагERP)*КоэффСохранения^ЛагERP)</f>
        <v/>
      </c>
      <c r="BI33" s="12">
        <f>IF(50-ЛагERP&lt;1,0,INDEX('03_Сеть'!$L14:$BY14,1,50-ЛагERP)*КоэффСохранения^ЛагERP)</f>
        <v/>
      </c>
      <c r="BJ33" s="12">
        <f>IF(51-ЛагERP&lt;1,0,INDEX('03_Сеть'!$L14:$BY14,1,51-ЛагERP)*КоэффСохранения^ЛагERP)</f>
        <v/>
      </c>
      <c r="BK33" s="12">
        <f>IF(52-ЛагERP&lt;1,0,INDEX('03_Сеть'!$L14:$BY14,1,52-ЛагERP)*КоэффСохранения^ЛагERP)</f>
        <v/>
      </c>
      <c r="BL33" s="12">
        <f>IF(53-ЛагERP&lt;1,0,INDEX('03_Сеть'!$L14:$BY14,1,53-ЛагERP)*КоэффСохранения^ЛагERP)</f>
        <v/>
      </c>
      <c r="BM33" s="12">
        <f>IF(54-ЛагERP&lt;1,0,INDEX('03_Сеть'!$L14:$BY14,1,54-ЛагERP)*КоэффСохранения^ЛагERP)</f>
        <v/>
      </c>
      <c r="BN33" s="12">
        <f>IF(55-ЛагERP&lt;1,0,INDEX('03_Сеть'!$L14:$BY14,1,55-ЛагERP)*КоэффСохранения^ЛагERP)</f>
        <v/>
      </c>
      <c r="BO33" s="12">
        <f>IF(56-ЛагERP&lt;1,0,INDEX('03_Сеть'!$L14:$BY14,1,56-ЛагERP)*КоэффСохранения^ЛагERP)</f>
        <v/>
      </c>
      <c r="BP33" s="12">
        <f>IF(57-ЛагERP&lt;1,0,INDEX('03_Сеть'!$L14:$BY14,1,57-ЛагERP)*КоэффСохранения^ЛагERP)</f>
        <v/>
      </c>
      <c r="BQ33" s="12">
        <f>IF(58-ЛагERP&lt;1,0,INDEX('03_Сеть'!$L14:$BY14,1,58-ЛагERP)*КоэффСохранения^ЛагERP)</f>
        <v/>
      </c>
      <c r="BR33" s="12">
        <f>IF(59-ЛагERP&lt;1,0,INDEX('03_Сеть'!$L14:$BY14,1,59-ЛагERP)*КоэффСохранения^ЛагERP)</f>
        <v/>
      </c>
      <c r="BS33" s="12">
        <f>IF(60-ЛагERP&lt;1,0,INDEX('03_Сеть'!$L14:$BY14,1,60-ЛагERP)*КоэффСохранения^ЛагERP)</f>
        <v/>
      </c>
      <c r="BT33" s="12">
        <f>IF(61-ЛагERP&lt;1,0,INDEX('03_Сеть'!$L14:$BY14,1,61-ЛагERP)*КоэффСохранения^ЛагERP)</f>
        <v/>
      </c>
      <c r="BU33" s="12">
        <f>IF(62-ЛагERP&lt;1,0,INDEX('03_Сеть'!$L14:$BY14,1,62-ЛагERP)*КоэффСохранения^ЛагERP)</f>
        <v/>
      </c>
      <c r="BV33" s="12">
        <f>IF(63-ЛагERP&lt;1,0,INDEX('03_Сеть'!$L14:$BY14,1,63-ЛагERP)*КоэффСохранения^ЛагERP)</f>
        <v/>
      </c>
      <c r="BW33" s="12">
        <f>IF(64-ЛагERP&lt;1,0,INDEX('03_Сеть'!$L14:$BY14,1,64-ЛагERP)*КоэффСохранения^ЛагERP)</f>
        <v/>
      </c>
      <c r="BX33" s="12">
        <f>IF(65-ЛагERP&lt;1,0,INDEX('03_Сеть'!$L14:$BY14,1,65-ЛагERP)*КоэффСохранения^ЛагERP)</f>
        <v/>
      </c>
      <c r="BY33" s="12">
        <f>IF(66-ЛагERP&lt;1,0,INDEX('03_Сеть'!$L14:$BY14,1,66-ЛагERP)*КоэффСохранения^ЛагERP)</f>
        <v/>
      </c>
    </row>
    <row r="34">
      <c r="B34" t="inlineStr">
        <is>
          <t>Новых школ в ERP</t>
        </is>
      </c>
      <c r="C34" t="inlineStr">
        <is>
          <t>шт.</t>
        </is>
      </c>
      <c r="D34" s="127" t="inlineStr">
        <is>
          <t>В колонках лет — значение на конец года, в «Итого» — на конец пятого года. Это остаток, а не сумма.</t>
        </is>
      </c>
      <c r="E34" s="128">
        <f>W34</f>
        <v/>
      </c>
      <c r="F34" s="128">
        <f>AI34</f>
        <v/>
      </c>
      <c r="G34" s="128">
        <f>AU34</f>
        <v/>
      </c>
      <c r="H34" s="128">
        <f>BG34</f>
        <v/>
      </c>
      <c r="I34" s="128">
        <f>BS34</f>
        <v/>
      </c>
      <c r="J34" s="13">
        <f>BS34</f>
        <v/>
      </c>
      <c r="L34" s="12">
        <f>$L33</f>
        <v/>
      </c>
      <c r="M34" s="12">
        <f>L34*КоэффСохранения+M33</f>
        <v/>
      </c>
      <c r="N34" s="12">
        <f>M34*КоэффСохранения+N33</f>
        <v/>
      </c>
      <c r="O34" s="12">
        <f>N34*КоэффСохранения+O33</f>
        <v/>
      </c>
      <c r="P34" s="12">
        <f>O34*КоэффСохранения+P33</f>
        <v/>
      </c>
      <c r="Q34" s="12">
        <f>P34*КоэффСохранения+Q33</f>
        <v/>
      </c>
      <c r="R34" s="12">
        <f>Q34*КоэффСохранения+R33</f>
        <v/>
      </c>
      <c r="S34" s="12">
        <f>R34*КоэффСохранения+S33</f>
        <v/>
      </c>
      <c r="T34" s="12">
        <f>S34*КоэффСохранения+T33</f>
        <v/>
      </c>
      <c r="U34" s="12">
        <f>T34*КоэффСохранения+U33</f>
        <v/>
      </c>
      <c r="V34" s="12">
        <f>U34*КоэффСохранения+V33</f>
        <v/>
      </c>
      <c r="W34" s="12">
        <f>V34*КоэффСохранения+W33</f>
        <v/>
      </c>
      <c r="X34" s="12">
        <f>W34*КоэффСохранения+X33</f>
        <v/>
      </c>
      <c r="Y34" s="12">
        <f>X34*КоэффСохранения+Y33</f>
        <v/>
      </c>
      <c r="Z34" s="12">
        <f>Y34*КоэффСохранения+Z33</f>
        <v/>
      </c>
      <c r="AA34" s="12">
        <f>Z34*КоэффСохранения+AA33</f>
        <v/>
      </c>
      <c r="AB34" s="12">
        <f>AA34*КоэффСохранения+AB33</f>
        <v/>
      </c>
      <c r="AC34" s="12">
        <f>AB34*КоэффСохранения+AC33</f>
        <v/>
      </c>
      <c r="AD34" s="12">
        <f>AC34*КоэффСохранения+AD33</f>
        <v/>
      </c>
      <c r="AE34" s="12">
        <f>AD34*КоэффСохранения+AE33</f>
        <v/>
      </c>
      <c r="AF34" s="12">
        <f>AE34*КоэффСохранения+AF33</f>
        <v/>
      </c>
      <c r="AG34" s="12">
        <f>AF34*КоэффСохранения+AG33</f>
        <v/>
      </c>
      <c r="AH34" s="12">
        <f>AG34*КоэффСохранения+AH33</f>
        <v/>
      </c>
      <c r="AI34" s="12">
        <f>AH34*КоэффСохранения+AI33</f>
        <v/>
      </c>
      <c r="AJ34" s="12">
        <f>AI34*КоэффСохранения+AJ33</f>
        <v/>
      </c>
      <c r="AK34" s="12">
        <f>AJ34*КоэффСохранения+AK33</f>
        <v/>
      </c>
      <c r="AL34" s="12">
        <f>AK34*КоэффСохранения+AL33</f>
        <v/>
      </c>
      <c r="AM34" s="12">
        <f>AL34*КоэффСохранения+AM33</f>
        <v/>
      </c>
      <c r="AN34" s="12">
        <f>AM34*КоэффСохранения+AN33</f>
        <v/>
      </c>
      <c r="AO34" s="12">
        <f>AN34*КоэффСохранения+AO33</f>
        <v/>
      </c>
      <c r="AP34" s="12">
        <f>AO34*КоэффСохранения+AP33</f>
        <v/>
      </c>
      <c r="AQ34" s="12">
        <f>AP34*КоэффСохранения+AQ33</f>
        <v/>
      </c>
      <c r="AR34" s="12">
        <f>AQ34*КоэффСохранения+AR33</f>
        <v/>
      </c>
      <c r="AS34" s="12">
        <f>AR34*КоэффСохранения+AS33</f>
        <v/>
      </c>
      <c r="AT34" s="12">
        <f>AS34*КоэффСохранения+AT33</f>
        <v/>
      </c>
      <c r="AU34" s="12">
        <f>AT34*КоэффСохранения+AU33</f>
        <v/>
      </c>
      <c r="AV34" s="12">
        <f>AU34*КоэффСохранения+AV33</f>
        <v/>
      </c>
      <c r="AW34" s="12">
        <f>AV34*КоэффСохранения+AW33</f>
        <v/>
      </c>
      <c r="AX34" s="12">
        <f>AW34*КоэффСохранения+AX33</f>
        <v/>
      </c>
      <c r="AY34" s="12">
        <f>AX34*КоэффСохранения+AY33</f>
        <v/>
      </c>
      <c r="AZ34" s="12">
        <f>AY34*КоэффСохранения+AZ33</f>
        <v/>
      </c>
      <c r="BA34" s="12">
        <f>AZ34*КоэффСохранения+BA33</f>
        <v/>
      </c>
      <c r="BB34" s="12">
        <f>BA34*КоэффСохранения+BB33</f>
        <v/>
      </c>
      <c r="BC34" s="12">
        <f>BB34*КоэффСохранения+BC33</f>
        <v/>
      </c>
      <c r="BD34" s="12">
        <f>BC34*КоэффСохранения+BD33</f>
        <v/>
      </c>
      <c r="BE34" s="12">
        <f>BD34*КоэффСохранения+BE33</f>
        <v/>
      </c>
      <c r="BF34" s="12">
        <f>BE34*КоэффСохранения+BF33</f>
        <v/>
      </c>
      <c r="BG34" s="12">
        <f>BF34*КоэффСохранения+BG33</f>
        <v/>
      </c>
      <c r="BH34" s="12">
        <f>BG34*КоэффСохранения+BH33</f>
        <v/>
      </c>
      <c r="BI34" s="12">
        <f>BH34*КоэффСохранения+BI33</f>
        <v/>
      </c>
      <c r="BJ34" s="12">
        <f>BI34*КоэффСохранения+BJ33</f>
        <v/>
      </c>
      <c r="BK34" s="12">
        <f>BJ34*КоэффСохранения+BK33</f>
        <v/>
      </c>
      <c r="BL34" s="12">
        <f>BK34*КоэффСохранения+BL33</f>
        <v/>
      </c>
      <c r="BM34" s="12">
        <f>BL34*КоэффСохранения+BM33</f>
        <v/>
      </c>
      <c r="BN34" s="12">
        <f>BM34*КоэффСохранения+BN33</f>
        <v/>
      </c>
      <c r="BO34" s="12">
        <f>BN34*КоэффСохранения+BO33</f>
        <v/>
      </c>
      <c r="BP34" s="12">
        <f>BO34*КоэффСохранения+BP33</f>
        <v/>
      </c>
      <c r="BQ34" s="12">
        <f>BP34*КоэффСохранения+BQ33</f>
        <v/>
      </c>
      <c r="BR34" s="12">
        <f>BQ34*КоэффСохранения+BR33</f>
        <v/>
      </c>
      <c r="BS34" s="12">
        <f>BR34*КоэффСохранения+BS33</f>
        <v/>
      </c>
      <c r="BT34" s="12">
        <f>BS34*КоэффСохранения+BT33</f>
        <v/>
      </c>
      <c r="BU34" s="12">
        <f>BT34*КоэффСохранения+BU33</f>
        <v/>
      </c>
      <c r="BV34" s="12">
        <f>BU34*КоэффСохранения+BV33</f>
        <v/>
      </c>
      <c r="BW34" s="12">
        <f>BV34*КоэффСохранения+BW33</f>
        <v/>
      </c>
      <c r="BX34" s="12">
        <f>BW34*КоэффСохранения+BX33</f>
        <v/>
      </c>
      <c r="BY34" s="12">
        <f>BX34*КоэффСохранения+BY33</f>
        <v/>
      </c>
    </row>
    <row r="35">
      <c r="B35" t="inlineStr">
        <is>
          <t>ERP</t>
        </is>
      </c>
      <c r="C35" t="inlineStr">
        <is>
          <t>₽</t>
        </is>
      </c>
      <c r="D35" s="127" t="inlineStr">
        <is>
          <t>База плюс по 3 тыс. за каждую школу сверх базы</t>
        </is>
      </c>
      <c r="E35" s="129">
        <f>SUM(L35:W35)</f>
        <v/>
      </c>
      <c r="F35" s="129">
        <f>SUM(X35:AI35)</f>
        <v/>
      </c>
      <c r="G35" s="129">
        <f>SUM(AJ35:AU35)</f>
        <v/>
      </c>
      <c r="H35" s="129">
        <f>SUM(AV35:BG35)</f>
        <v/>
      </c>
      <c r="I35" s="129">
        <f>SUM(BH35:BS35)</f>
        <v/>
      </c>
      <c r="J35" s="6">
        <f>SUM(L35:BS35)</f>
        <v/>
      </c>
      <c r="L35" s="5">
        <f>(ERPБаза+(MAX(0,'03_Сеть'!L18-ERPШколВБазе)+L34)*ERPНаШколу)*'04_Доходы'!L7</f>
        <v/>
      </c>
      <c r="M35" s="5">
        <f>(ERPБаза+(MAX(0,'03_Сеть'!M18-ERPШколВБазе)+M34)*ERPНаШколу)*'04_Доходы'!M7</f>
        <v/>
      </c>
      <c r="N35" s="5">
        <f>(ERPБаза+(MAX(0,'03_Сеть'!N18-ERPШколВБазе)+N34)*ERPНаШколу)*'04_Доходы'!N7</f>
        <v/>
      </c>
      <c r="O35" s="5">
        <f>(ERPБаза+(MAX(0,'03_Сеть'!O18-ERPШколВБазе)+O34)*ERPНаШколу)*'04_Доходы'!O7</f>
        <v/>
      </c>
      <c r="P35" s="5">
        <f>(ERPБаза+(MAX(0,'03_Сеть'!P18-ERPШколВБазе)+P34)*ERPНаШколу)*'04_Доходы'!P7</f>
        <v/>
      </c>
      <c r="Q35" s="5">
        <f>(ERPБаза+(MAX(0,'03_Сеть'!Q18-ERPШколВБазе)+Q34)*ERPНаШколу)*'04_Доходы'!Q7</f>
        <v/>
      </c>
      <c r="R35" s="5">
        <f>(ERPБаза+(MAX(0,'03_Сеть'!R18-ERPШколВБазе)+R34)*ERPНаШколу)*'04_Доходы'!R7</f>
        <v/>
      </c>
      <c r="S35" s="5">
        <f>(ERPБаза+(MAX(0,'03_Сеть'!S18-ERPШколВБазе)+S34)*ERPНаШколу)*'04_Доходы'!S7</f>
        <v/>
      </c>
      <c r="T35" s="5">
        <f>(ERPБаза+(MAX(0,'03_Сеть'!T18-ERPШколВБазе)+T34)*ERPНаШколу)*'04_Доходы'!T7</f>
        <v/>
      </c>
      <c r="U35" s="5">
        <f>(ERPБаза+(MAX(0,'03_Сеть'!U18-ERPШколВБазе)+U34)*ERPНаШколу)*'04_Доходы'!U7</f>
        <v/>
      </c>
      <c r="V35" s="5">
        <f>(ERPБаза+(MAX(0,'03_Сеть'!V18-ERPШколВБазе)+V34)*ERPНаШколу)*'04_Доходы'!V7</f>
        <v/>
      </c>
      <c r="W35" s="5">
        <f>(ERPБаза+(MAX(0,'03_Сеть'!W18-ERPШколВБазе)+W34)*ERPНаШколу)*'04_Доходы'!W7</f>
        <v/>
      </c>
      <c r="X35" s="5">
        <f>(ERPБаза+(MAX(0,'03_Сеть'!X18-ERPШколВБазе)+X34)*ERPНаШколу)*'04_Доходы'!X7</f>
        <v/>
      </c>
      <c r="Y35" s="5">
        <f>(ERPБаза+(MAX(0,'03_Сеть'!Y18-ERPШколВБазе)+Y34)*ERPНаШколу)*'04_Доходы'!Y7</f>
        <v/>
      </c>
      <c r="Z35" s="5">
        <f>(ERPБаза+(MAX(0,'03_Сеть'!Z18-ERPШколВБазе)+Z34)*ERPНаШколу)*'04_Доходы'!Z7</f>
        <v/>
      </c>
      <c r="AA35" s="5">
        <f>(ERPБаза+(MAX(0,'03_Сеть'!AA18-ERPШколВБазе)+AA34)*ERPНаШколу)*'04_Доходы'!AA7</f>
        <v/>
      </c>
      <c r="AB35" s="5">
        <f>(ERPБаза+(MAX(0,'03_Сеть'!AB18-ERPШколВБазе)+AB34)*ERPНаШколу)*'04_Доходы'!AB7</f>
        <v/>
      </c>
      <c r="AC35" s="5">
        <f>(ERPБаза+(MAX(0,'03_Сеть'!AC18-ERPШколВБазе)+AC34)*ERPНаШколу)*'04_Доходы'!AC7</f>
        <v/>
      </c>
      <c r="AD35" s="5">
        <f>(ERPБаза+(MAX(0,'03_Сеть'!AD18-ERPШколВБазе)+AD34)*ERPНаШколу)*'04_Доходы'!AD7</f>
        <v/>
      </c>
      <c r="AE35" s="5">
        <f>(ERPБаза+(MAX(0,'03_Сеть'!AE18-ERPШколВБазе)+AE34)*ERPНаШколу)*'04_Доходы'!AE7</f>
        <v/>
      </c>
      <c r="AF35" s="5">
        <f>(ERPБаза+(MAX(0,'03_Сеть'!AF18-ERPШколВБазе)+AF34)*ERPНаШколу)*'04_Доходы'!AF7</f>
        <v/>
      </c>
      <c r="AG35" s="5">
        <f>(ERPБаза+(MAX(0,'03_Сеть'!AG18-ERPШколВБазе)+AG34)*ERPНаШколу)*'04_Доходы'!AG7</f>
        <v/>
      </c>
      <c r="AH35" s="5">
        <f>(ERPБаза+(MAX(0,'03_Сеть'!AH18-ERPШколВБазе)+AH34)*ERPНаШколу)*'04_Доходы'!AH7</f>
        <v/>
      </c>
      <c r="AI35" s="5">
        <f>(ERPБаза+(MAX(0,'03_Сеть'!AI18-ERPШколВБазе)+AI34)*ERPНаШколу)*'04_Доходы'!AI7</f>
        <v/>
      </c>
      <c r="AJ35" s="5">
        <f>(ERPБаза+(MAX(0,'03_Сеть'!AJ18-ERPШколВБазе)+AJ34)*ERPНаШколу)*'04_Доходы'!AJ7</f>
        <v/>
      </c>
      <c r="AK35" s="5">
        <f>(ERPБаза+(MAX(0,'03_Сеть'!AK18-ERPШколВБазе)+AK34)*ERPНаШколу)*'04_Доходы'!AK7</f>
        <v/>
      </c>
      <c r="AL35" s="5">
        <f>(ERPБаза+(MAX(0,'03_Сеть'!AL18-ERPШколВБазе)+AL34)*ERPНаШколу)*'04_Доходы'!AL7</f>
        <v/>
      </c>
      <c r="AM35" s="5">
        <f>(ERPБаза+(MAX(0,'03_Сеть'!AM18-ERPШколВБазе)+AM34)*ERPНаШколу)*'04_Доходы'!AM7</f>
        <v/>
      </c>
      <c r="AN35" s="5">
        <f>(ERPБаза+(MAX(0,'03_Сеть'!AN18-ERPШколВБазе)+AN34)*ERPНаШколу)*'04_Доходы'!AN7</f>
        <v/>
      </c>
      <c r="AO35" s="5">
        <f>(ERPБаза+(MAX(0,'03_Сеть'!AO18-ERPШколВБазе)+AO34)*ERPНаШколу)*'04_Доходы'!AO7</f>
        <v/>
      </c>
      <c r="AP35" s="5">
        <f>(ERPБаза+(MAX(0,'03_Сеть'!AP18-ERPШколВБазе)+AP34)*ERPНаШколу)*'04_Доходы'!AP7</f>
        <v/>
      </c>
      <c r="AQ35" s="5">
        <f>(ERPБаза+(MAX(0,'03_Сеть'!AQ18-ERPШколВБазе)+AQ34)*ERPНаШколу)*'04_Доходы'!AQ7</f>
        <v/>
      </c>
      <c r="AR35" s="5">
        <f>(ERPБаза+(MAX(0,'03_Сеть'!AR18-ERPШколВБазе)+AR34)*ERPНаШколу)*'04_Доходы'!AR7</f>
        <v/>
      </c>
      <c r="AS35" s="5">
        <f>(ERPБаза+(MAX(0,'03_Сеть'!AS18-ERPШколВБазе)+AS34)*ERPНаШколу)*'04_Доходы'!AS7</f>
        <v/>
      </c>
      <c r="AT35" s="5">
        <f>(ERPБаза+(MAX(0,'03_Сеть'!AT18-ERPШколВБазе)+AT34)*ERPНаШколу)*'04_Доходы'!AT7</f>
        <v/>
      </c>
      <c r="AU35" s="5">
        <f>(ERPБаза+(MAX(0,'03_Сеть'!AU18-ERPШколВБазе)+AU34)*ERPНаШколу)*'04_Доходы'!AU7</f>
        <v/>
      </c>
      <c r="AV35" s="5">
        <f>(ERPБаза+(MAX(0,'03_Сеть'!AV18-ERPШколВБазе)+AV34)*ERPНаШколу)*'04_Доходы'!AV7</f>
        <v/>
      </c>
      <c r="AW35" s="5">
        <f>(ERPБаза+(MAX(0,'03_Сеть'!AW18-ERPШколВБазе)+AW34)*ERPНаШколу)*'04_Доходы'!AW7</f>
        <v/>
      </c>
      <c r="AX35" s="5">
        <f>(ERPБаза+(MAX(0,'03_Сеть'!AX18-ERPШколВБазе)+AX34)*ERPНаШколу)*'04_Доходы'!AX7</f>
        <v/>
      </c>
      <c r="AY35" s="5">
        <f>(ERPБаза+(MAX(0,'03_Сеть'!AY18-ERPШколВБазе)+AY34)*ERPНаШколу)*'04_Доходы'!AY7</f>
        <v/>
      </c>
      <c r="AZ35" s="5">
        <f>(ERPБаза+(MAX(0,'03_Сеть'!AZ18-ERPШколВБазе)+AZ34)*ERPНаШколу)*'04_Доходы'!AZ7</f>
        <v/>
      </c>
      <c r="BA35" s="5">
        <f>(ERPБаза+(MAX(0,'03_Сеть'!BA18-ERPШколВБазе)+BA34)*ERPНаШколу)*'04_Доходы'!BA7</f>
        <v/>
      </c>
      <c r="BB35" s="5">
        <f>(ERPБаза+(MAX(0,'03_Сеть'!BB18-ERPШколВБазе)+BB34)*ERPНаШколу)*'04_Доходы'!BB7</f>
        <v/>
      </c>
      <c r="BC35" s="5">
        <f>(ERPБаза+(MAX(0,'03_Сеть'!BC18-ERPШколВБазе)+BC34)*ERPНаШколу)*'04_Доходы'!BC7</f>
        <v/>
      </c>
      <c r="BD35" s="5">
        <f>(ERPБаза+(MAX(0,'03_Сеть'!BD18-ERPШколВБазе)+BD34)*ERPНаШколу)*'04_Доходы'!BD7</f>
        <v/>
      </c>
      <c r="BE35" s="5">
        <f>(ERPБаза+(MAX(0,'03_Сеть'!BE18-ERPШколВБазе)+BE34)*ERPНаШколу)*'04_Доходы'!BE7</f>
        <v/>
      </c>
      <c r="BF35" s="5">
        <f>(ERPБаза+(MAX(0,'03_Сеть'!BF18-ERPШколВБазе)+BF34)*ERPНаШколу)*'04_Доходы'!BF7</f>
        <v/>
      </c>
      <c r="BG35" s="5">
        <f>(ERPБаза+(MAX(0,'03_Сеть'!BG18-ERPШколВБазе)+BG34)*ERPНаШколу)*'04_Доходы'!BG7</f>
        <v/>
      </c>
      <c r="BH35" s="5">
        <f>(ERPБаза+(MAX(0,'03_Сеть'!BH18-ERPШколВБазе)+BH34)*ERPНаШколу)*'04_Доходы'!BH7</f>
        <v/>
      </c>
      <c r="BI35" s="5">
        <f>(ERPБаза+(MAX(0,'03_Сеть'!BI18-ERPШколВБазе)+BI34)*ERPНаШколу)*'04_Доходы'!BI7</f>
        <v/>
      </c>
      <c r="BJ35" s="5">
        <f>(ERPБаза+(MAX(0,'03_Сеть'!BJ18-ERPШколВБазе)+BJ34)*ERPНаШколу)*'04_Доходы'!BJ7</f>
        <v/>
      </c>
      <c r="BK35" s="5">
        <f>(ERPБаза+(MAX(0,'03_Сеть'!BK18-ERPШколВБазе)+BK34)*ERPНаШколу)*'04_Доходы'!BK7</f>
        <v/>
      </c>
      <c r="BL35" s="5">
        <f>(ERPБаза+(MAX(0,'03_Сеть'!BL18-ERPШколВБазе)+BL34)*ERPНаШколу)*'04_Доходы'!BL7</f>
        <v/>
      </c>
      <c r="BM35" s="5">
        <f>(ERPБаза+(MAX(0,'03_Сеть'!BM18-ERPШколВБазе)+BM34)*ERPНаШколу)*'04_Доходы'!BM7</f>
        <v/>
      </c>
      <c r="BN35" s="5">
        <f>(ERPБаза+(MAX(0,'03_Сеть'!BN18-ERPШколВБазе)+BN34)*ERPНаШколу)*'04_Доходы'!BN7</f>
        <v/>
      </c>
      <c r="BO35" s="5">
        <f>(ERPБаза+(MAX(0,'03_Сеть'!BO18-ERPШколВБазе)+BO34)*ERPНаШколу)*'04_Доходы'!BO7</f>
        <v/>
      </c>
      <c r="BP35" s="5">
        <f>(ERPБаза+(MAX(0,'03_Сеть'!BP18-ERPШколВБазе)+BP34)*ERPНаШколу)*'04_Доходы'!BP7</f>
        <v/>
      </c>
      <c r="BQ35" s="5">
        <f>(ERPБаза+(MAX(0,'03_Сеть'!BQ18-ERPШколВБазе)+BQ34)*ERPНаШколу)*'04_Доходы'!BQ7</f>
        <v/>
      </c>
      <c r="BR35" s="5">
        <f>(ERPБаза+(MAX(0,'03_Сеть'!BR18-ERPШколВБазе)+BR34)*ERPНаШколу)*'04_Доходы'!BR7</f>
        <v/>
      </c>
      <c r="BS35" s="5">
        <f>(ERPБаза+(MAX(0,'03_Сеть'!BS18-ERPШколВБазе)+BS34)*ERPНаШколу)*'04_Доходы'!BS7</f>
        <v/>
      </c>
      <c r="BT35" s="5">
        <f>(ERPБаза+(MAX(0,'03_Сеть'!BT18-ERPШколВБазе)+BT34)*ERPНаШколу)*'04_Доходы'!BT7</f>
        <v/>
      </c>
      <c r="BU35" s="5">
        <f>(ERPБаза+(MAX(0,'03_Сеть'!BU18-ERPШколВБазе)+BU34)*ERPНаШколу)*'04_Доходы'!BU7</f>
        <v/>
      </c>
      <c r="BV35" s="5">
        <f>(ERPБаза+(MAX(0,'03_Сеть'!BV18-ERPШколВБазе)+BV34)*ERPНаШколу)*'04_Доходы'!BV7</f>
        <v/>
      </c>
      <c r="BW35" s="5">
        <f>(ERPБаза+(MAX(0,'03_Сеть'!BW18-ERPШколВБазе)+BW34)*ERPНаШколу)*'04_Доходы'!BW7</f>
        <v/>
      </c>
      <c r="BX35" s="5">
        <f>(ERPБаза+(MAX(0,'03_Сеть'!BX18-ERPШколВБазе)+BX34)*ERPНаШколу)*'04_Доходы'!BX7</f>
        <v/>
      </c>
      <c r="BY35" s="5">
        <f>(ERPБаза+(MAX(0,'03_Сеть'!BY18-ERPШколВБазе)+BY34)*ERPНаШколу)*'04_Доходы'!BY7</f>
        <v/>
      </c>
    </row>
    <row r="36">
      <c r="B36" t="inlineStr">
        <is>
          <t>Офис, аренда, уборка, парковка</t>
        </is>
      </c>
      <c r="C36" t="inlineStr">
        <is>
          <t>₽</t>
        </is>
      </c>
      <c r="D36" s="127" t="inlineStr">
        <is>
          <t>До фактического переезда не меняется</t>
        </is>
      </c>
      <c r="E36" s="129">
        <f>SUM(L36:W36)</f>
        <v/>
      </c>
      <c r="F36" s="129">
        <f>SUM(X36:AI36)</f>
        <v/>
      </c>
      <c r="G36" s="129">
        <f>SUM(AJ36:AU36)</f>
        <v/>
      </c>
      <c r="H36" s="129">
        <f>SUM(AV36:BG36)</f>
        <v/>
      </c>
      <c r="I36" s="129">
        <f>SUM(BH36:BS36)</f>
        <v/>
      </c>
      <c r="J36" s="6">
        <f>SUM(L36:BS36)</f>
        <v/>
      </c>
      <c r="L36" s="5">
        <f>Офис</f>
        <v/>
      </c>
      <c r="M36" s="5">
        <f>Офис</f>
        <v/>
      </c>
      <c r="N36" s="5">
        <f>Офис</f>
        <v/>
      </c>
      <c r="O36" s="5">
        <f>Офис</f>
        <v/>
      </c>
      <c r="P36" s="5">
        <f>Офис</f>
        <v/>
      </c>
      <c r="Q36" s="5">
        <f>Офис</f>
        <v/>
      </c>
      <c r="R36" s="5">
        <f>Офис</f>
        <v/>
      </c>
      <c r="S36" s="5">
        <f>Офис</f>
        <v/>
      </c>
      <c r="T36" s="5">
        <f>Офис</f>
        <v/>
      </c>
      <c r="U36" s="5">
        <f>Офис</f>
        <v/>
      </c>
      <c r="V36" s="5">
        <f>Офис</f>
        <v/>
      </c>
      <c r="W36" s="5">
        <f>Офис</f>
        <v/>
      </c>
      <c r="X36" s="5">
        <f>Офис</f>
        <v/>
      </c>
      <c r="Y36" s="5">
        <f>Офис</f>
        <v/>
      </c>
      <c r="Z36" s="5">
        <f>Офис</f>
        <v/>
      </c>
      <c r="AA36" s="5">
        <f>Офис</f>
        <v/>
      </c>
      <c r="AB36" s="5">
        <f>Офис</f>
        <v/>
      </c>
      <c r="AC36" s="5">
        <f>Офис</f>
        <v/>
      </c>
      <c r="AD36" s="5">
        <f>Офис</f>
        <v/>
      </c>
      <c r="AE36" s="5">
        <f>Офис</f>
        <v/>
      </c>
      <c r="AF36" s="5">
        <f>Офис</f>
        <v/>
      </c>
      <c r="AG36" s="5">
        <f>Офис</f>
        <v/>
      </c>
      <c r="AH36" s="5">
        <f>Офис</f>
        <v/>
      </c>
      <c r="AI36" s="5">
        <f>Офис</f>
        <v/>
      </c>
      <c r="AJ36" s="5">
        <f>Офис</f>
        <v/>
      </c>
      <c r="AK36" s="5">
        <f>Офис</f>
        <v/>
      </c>
      <c r="AL36" s="5">
        <f>Офис</f>
        <v/>
      </c>
      <c r="AM36" s="5">
        <f>Офис</f>
        <v/>
      </c>
      <c r="AN36" s="5">
        <f>Офис</f>
        <v/>
      </c>
      <c r="AO36" s="5">
        <f>Офис</f>
        <v/>
      </c>
      <c r="AP36" s="5">
        <f>Офис</f>
        <v/>
      </c>
      <c r="AQ36" s="5">
        <f>Офис</f>
        <v/>
      </c>
      <c r="AR36" s="5">
        <f>Офис</f>
        <v/>
      </c>
      <c r="AS36" s="5">
        <f>Офис</f>
        <v/>
      </c>
      <c r="AT36" s="5">
        <f>Офис</f>
        <v/>
      </c>
      <c r="AU36" s="5">
        <f>Офис</f>
        <v/>
      </c>
      <c r="AV36" s="5">
        <f>Офис</f>
        <v/>
      </c>
      <c r="AW36" s="5">
        <f>Офис</f>
        <v/>
      </c>
      <c r="AX36" s="5">
        <f>Офис</f>
        <v/>
      </c>
      <c r="AY36" s="5">
        <f>Офис</f>
        <v/>
      </c>
      <c r="AZ36" s="5">
        <f>Офис</f>
        <v/>
      </c>
      <c r="BA36" s="5">
        <f>Офис</f>
        <v/>
      </c>
      <c r="BB36" s="5">
        <f>Офис</f>
        <v/>
      </c>
      <c r="BC36" s="5">
        <f>Офис</f>
        <v/>
      </c>
      <c r="BD36" s="5">
        <f>Офис</f>
        <v/>
      </c>
      <c r="BE36" s="5">
        <f>Офис</f>
        <v/>
      </c>
      <c r="BF36" s="5">
        <f>Офис</f>
        <v/>
      </c>
      <c r="BG36" s="5">
        <f>Офис</f>
        <v/>
      </c>
      <c r="BH36" s="5">
        <f>Офис</f>
        <v/>
      </c>
      <c r="BI36" s="5">
        <f>Офис</f>
        <v/>
      </c>
      <c r="BJ36" s="5">
        <f>Офис</f>
        <v/>
      </c>
      <c r="BK36" s="5">
        <f>Офис</f>
        <v/>
      </c>
      <c r="BL36" s="5">
        <f>Офис</f>
        <v/>
      </c>
      <c r="BM36" s="5">
        <f>Офис</f>
        <v/>
      </c>
      <c r="BN36" s="5">
        <f>Офис</f>
        <v/>
      </c>
      <c r="BO36" s="5">
        <f>Офис</f>
        <v/>
      </c>
      <c r="BP36" s="5">
        <f>Офис</f>
        <v/>
      </c>
      <c r="BQ36" s="5">
        <f>Офис</f>
        <v/>
      </c>
      <c r="BR36" s="5">
        <f>Офис</f>
        <v/>
      </c>
      <c r="BS36" s="5">
        <f>Офис</f>
        <v/>
      </c>
      <c r="BT36" s="5">
        <f>Офис</f>
        <v/>
      </c>
      <c r="BU36" s="5">
        <f>Офис</f>
        <v/>
      </c>
      <c r="BV36" s="5">
        <f>Офис</f>
        <v/>
      </c>
      <c r="BW36" s="5">
        <f>Офис</f>
        <v/>
      </c>
      <c r="BX36" s="5">
        <f>Офис</f>
        <v/>
      </c>
      <c r="BY36" s="5">
        <f>Офис</f>
        <v/>
      </c>
    </row>
    <row r="37">
      <c r="B37" t="inlineStr">
        <is>
          <t>Юристы, аудит, бухгалтерия</t>
        </is>
      </c>
      <c r="C37" t="inlineStr">
        <is>
          <t>₽</t>
        </is>
      </c>
      <c r="D37" s="127" t="inlineStr"/>
      <c r="E37" s="129">
        <f>SUM(L37:W37)</f>
        <v/>
      </c>
      <c r="F37" s="129">
        <f>SUM(X37:AI37)</f>
        <v/>
      </c>
      <c r="G37" s="129">
        <f>SUM(AJ37:AU37)</f>
        <v/>
      </c>
      <c r="H37" s="129">
        <f>SUM(AV37:BG37)</f>
        <v/>
      </c>
      <c r="I37" s="129">
        <f>SUM(BH37:BS37)</f>
        <v/>
      </c>
      <c r="J37" s="6">
        <f>SUM(L37:BS37)</f>
        <v/>
      </c>
      <c r="L37" s="5">
        <f>Юристы*'04_Доходы'!L7</f>
        <v/>
      </c>
      <c r="M37" s="5">
        <f>Юристы*'04_Доходы'!M7</f>
        <v/>
      </c>
      <c r="N37" s="5">
        <f>Юристы*'04_Доходы'!N7</f>
        <v/>
      </c>
      <c r="O37" s="5">
        <f>Юристы*'04_Доходы'!O7</f>
        <v/>
      </c>
      <c r="P37" s="5">
        <f>Юристы*'04_Доходы'!P7</f>
        <v/>
      </c>
      <c r="Q37" s="5">
        <f>Юристы*'04_Доходы'!Q7</f>
        <v/>
      </c>
      <c r="R37" s="5">
        <f>Юристы*'04_Доходы'!R7</f>
        <v/>
      </c>
      <c r="S37" s="5">
        <f>Юристы*'04_Доходы'!S7</f>
        <v/>
      </c>
      <c r="T37" s="5">
        <f>Юристы*'04_Доходы'!T7</f>
        <v/>
      </c>
      <c r="U37" s="5">
        <f>Юристы*'04_Доходы'!U7</f>
        <v/>
      </c>
      <c r="V37" s="5">
        <f>Юристы*'04_Доходы'!V7</f>
        <v/>
      </c>
      <c r="W37" s="5">
        <f>Юристы*'04_Доходы'!W7</f>
        <v/>
      </c>
      <c r="X37" s="5">
        <f>Юристы*'04_Доходы'!X7</f>
        <v/>
      </c>
      <c r="Y37" s="5">
        <f>Юристы*'04_Доходы'!Y7</f>
        <v/>
      </c>
      <c r="Z37" s="5">
        <f>Юристы*'04_Доходы'!Z7</f>
        <v/>
      </c>
      <c r="AA37" s="5">
        <f>Юристы*'04_Доходы'!AA7</f>
        <v/>
      </c>
      <c r="AB37" s="5">
        <f>Юристы*'04_Доходы'!AB7</f>
        <v/>
      </c>
      <c r="AC37" s="5">
        <f>Юристы*'04_Доходы'!AC7</f>
        <v/>
      </c>
      <c r="AD37" s="5">
        <f>Юристы*'04_Доходы'!AD7</f>
        <v/>
      </c>
      <c r="AE37" s="5">
        <f>Юристы*'04_Доходы'!AE7</f>
        <v/>
      </c>
      <c r="AF37" s="5">
        <f>Юристы*'04_Доходы'!AF7</f>
        <v/>
      </c>
      <c r="AG37" s="5">
        <f>Юристы*'04_Доходы'!AG7</f>
        <v/>
      </c>
      <c r="AH37" s="5">
        <f>Юристы*'04_Доходы'!AH7</f>
        <v/>
      </c>
      <c r="AI37" s="5">
        <f>Юристы*'04_Доходы'!AI7</f>
        <v/>
      </c>
      <c r="AJ37" s="5">
        <f>Юристы*'04_Доходы'!AJ7</f>
        <v/>
      </c>
      <c r="AK37" s="5">
        <f>Юристы*'04_Доходы'!AK7</f>
        <v/>
      </c>
      <c r="AL37" s="5">
        <f>Юристы*'04_Доходы'!AL7</f>
        <v/>
      </c>
      <c r="AM37" s="5">
        <f>Юристы*'04_Доходы'!AM7</f>
        <v/>
      </c>
      <c r="AN37" s="5">
        <f>Юристы*'04_Доходы'!AN7</f>
        <v/>
      </c>
      <c r="AO37" s="5">
        <f>Юристы*'04_Доходы'!AO7</f>
        <v/>
      </c>
      <c r="AP37" s="5">
        <f>Юристы*'04_Доходы'!AP7</f>
        <v/>
      </c>
      <c r="AQ37" s="5">
        <f>Юристы*'04_Доходы'!AQ7</f>
        <v/>
      </c>
      <c r="AR37" s="5">
        <f>Юристы*'04_Доходы'!AR7</f>
        <v/>
      </c>
      <c r="AS37" s="5">
        <f>Юристы*'04_Доходы'!AS7</f>
        <v/>
      </c>
      <c r="AT37" s="5">
        <f>Юристы*'04_Доходы'!AT7</f>
        <v/>
      </c>
      <c r="AU37" s="5">
        <f>Юристы*'04_Доходы'!AU7</f>
        <v/>
      </c>
      <c r="AV37" s="5">
        <f>Юристы*'04_Доходы'!AV7</f>
        <v/>
      </c>
      <c r="AW37" s="5">
        <f>Юристы*'04_Доходы'!AW7</f>
        <v/>
      </c>
      <c r="AX37" s="5">
        <f>Юристы*'04_Доходы'!AX7</f>
        <v/>
      </c>
      <c r="AY37" s="5">
        <f>Юристы*'04_Доходы'!AY7</f>
        <v/>
      </c>
      <c r="AZ37" s="5">
        <f>Юристы*'04_Доходы'!AZ7</f>
        <v/>
      </c>
      <c r="BA37" s="5">
        <f>Юристы*'04_Доходы'!BA7</f>
        <v/>
      </c>
      <c r="BB37" s="5">
        <f>Юристы*'04_Доходы'!BB7</f>
        <v/>
      </c>
      <c r="BC37" s="5">
        <f>Юристы*'04_Доходы'!BC7</f>
        <v/>
      </c>
      <c r="BD37" s="5">
        <f>Юристы*'04_Доходы'!BD7</f>
        <v/>
      </c>
      <c r="BE37" s="5">
        <f>Юристы*'04_Доходы'!BE7</f>
        <v/>
      </c>
      <c r="BF37" s="5">
        <f>Юристы*'04_Доходы'!BF7</f>
        <v/>
      </c>
      <c r="BG37" s="5">
        <f>Юристы*'04_Доходы'!BG7</f>
        <v/>
      </c>
      <c r="BH37" s="5">
        <f>Юристы*'04_Доходы'!BH7</f>
        <v/>
      </c>
      <c r="BI37" s="5">
        <f>Юристы*'04_Доходы'!BI7</f>
        <v/>
      </c>
      <c r="BJ37" s="5">
        <f>Юристы*'04_Доходы'!BJ7</f>
        <v/>
      </c>
      <c r="BK37" s="5">
        <f>Юристы*'04_Доходы'!BK7</f>
        <v/>
      </c>
      <c r="BL37" s="5">
        <f>Юристы*'04_Доходы'!BL7</f>
        <v/>
      </c>
      <c r="BM37" s="5">
        <f>Юристы*'04_Доходы'!BM7</f>
        <v/>
      </c>
      <c r="BN37" s="5">
        <f>Юристы*'04_Доходы'!BN7</f>
        <v/>
      </c>
      <c r="BO37" s="5">
        <f>Юристы*'04_Доходы'!BO7</f>
        <v/>
      </c>
      <c r="BP37" s="5">
        <f>Юристы*'04_Доходы'!BP7</f>
        <v/>
      </c>
      <c r="BQ37" s="5">
        <f>Юристы*'04_Доходы'!BQ7</f>
        <v/>
      </c>
      <c r="BR37" s="5">
        <f>Юристы*'04_Доходы'!BR7</f>
        <v/>
      </c>
      <c r="BS37" s="5">
        <f>Юристы*'04_Доходы'!BS7</f>
        <v/>
      </c>
      <c r="BT37" s="5">
        <f>Юристы*'04_Доходы'!BT7</f>
        <v/>
      </c>
      <c r="BU37" s="5">
        <f>Юристы*'04_Доходы'!BU7</f>
        <v/>
      </c>
      <c r="BV37" s="5">
        <f>Юристы*'04_Доходы'!BV7</f>
        <v/>
      </c>
      <c r="BW37" s="5">
        <f>Юристы*'04_Доходы'!BW7</f>
        <v/>
      </c>
      <c r="BX37" s="5">
        <f>Юристы*'04_Доходы'!BX7</f>
        <v/>
      </c>
      <c r="BY37" s="5">
        <f>Юристы*'04_Доходы'!BY7</f>
        <v/>
      </c>
    </row>
    <row r="38">
      <c r="B38" t="inlineStr">
        <is>
          <t>Прочие IT</t>
        </is>
      </c>
      <c r="C38" t="inlineStr">
        <is>
          <t>₽</t>
        </is>
      </c>
      <c r="D38" s="127" t="inlineStr"/>
      <c r="E38" s="129">
        <f>SUM(L38:W38)</f>
        <v/>
      </c>
      <c r="F38" s="129">
        <f>SUM(X38:AI38)</f>
        <v/>
      </c>
      <c r="G38" s="129">
        <f>SUM(AJ38:AU38)</f>
        <v/>
      </c>
      <c r="H38" s="129">
        <f>SUM(AV38:BG38)</f>
        <v/>
      </c>
      <c r="I38" s="129">
        <f>SUM(BH38:BS38)</f>
        <v/>
      </c>
      <c r="J38" s="6">
        <f>SUM(L38:BS38)</f>
        <v/>
      </c>
      <c r="L38" s="5">
        <f>ПрочиеIT*'04_Доходы'!L7</f>
        <v/>
      </c>
      <c r="M38" s="5">
        <f>ПрочиеIT*'04_Доходы'!M7</f>
        <v/>
      </c>
      <c r="N38" s="5">
        <f>ПрочиеIT*'04_Доходы'!N7</f>
        <v/>
      </c>
      <c r="O38" s="5">
        <f>ПрочиеIT*'04_Доходы'!O7</f>
        <v/>
      </c>
      <c r="P38" s="5">
        <f>ПрочиеIT*'04_Доходы'!P7</f>
        <v/>
      </c>
      <c r="Q38" s="5">
        <f>ПрочиеIT*'04_Доходы'!Q7</f>
        <v/>
      </c>
      <c r="R38" s="5">
        <f>ПрочиеIT*'04_Доходы'!R7</f>
        <v/>
      </c>
      <c r="S38" s="5">
        <f>ПрочиеIT*'04_Доходы'!S7</f>
        <v/>
      </c>
      <c r="T38" s="5">
        <f>ПрочиеIT*'04_Доходы'!T7</f>
        <v/>
      </c>
      <c r="U38" s="5">
        <f>ПрочиеIT*'04_Доходы'!U7</f>
        <v/>
      </c>
      <c r="V38" s="5">
        <f>ПрочиеIT*'04_Доходы'!V7</f>
        <v/>
      </c>
      <c r="W38" s="5">
        <f>ПрочиеIT*'04_Доходы'!W7</f>
        <v/>
      </c>
      <c r="X38" s="5">
        <f>ПрочиеIT*'04_Доходы'!X7</f>
        <v/>
      </c>
      <c r="Y38" s="5">
        <f>ПрочиеIT*'04_Доходы'!Y7</f>
        <v/>
      </c>
      <c r="Z38" s="5">
        <f>ПрочиеIT*'04_Доходы'!Z7</f>
        <v/>
      </c>
      <c r="AA38" s="5">
        <f>ПрочиеIT*'04_Доходы'!AA7</f>
        <v/>
      </c>
      <c r="AB38" s="5">
        <f>ПрочиеIT*'04_Доходы'!AB7</f>
        <v/>
      </c>
      <c r="AC38" s="5">
        <f>ПрочиеIT*'04_Доходы'!AC7</f>
        <v/>
      </c>
      <c r="AD38" s="5">
        <f>ПрочиеIT*'04_Доходы'!AD7</f>
        <v/>
      </c>
      <c r="AE38" s="5">
        <f>ПрочиеIT*'04_Доходы'!AE7</f>
        <v/>
      </c>
      <c r="AF38" s="5">
        <f>ПрочиеIT*'04_Доходы'!AF7</f>
        <v/>
      </c>
      <c r="AG38" s="5">
        <f>ПрочиеIT*'04_Доходы'!AG7</f>
        <v/>
      </c>
      <c r="AH38" s="5">
        <f>ПрочиеIT*'04_Доходы'!AH7</f>
        <v/>
      </c>
      <c r="AI38" s="5">
        <f>ПрочиеIT*'04_Доходы'!AI7</f>
        <v/>
      </c>
      <c r="AJ38" s="5">
        <f>ПрочиеIT*'04_Доходы'!AJ7</f>
        <v/>
      </c>
      <c r="AK38" s="5">
        <f>ПрочиеIT*'04_Доходы'!AK7</f>
        <v/>
      </c>
      <c r="AL38" s="5">
        <f>ПрочиеIT*'04_Доходы'!AL7</f>
        <v/>
      </c>
      <c r="AM38" s="5">
        <f>ПрочиеIT*'04_Доходы'!AM7</f>
        <v/>
      </c>
      <c r="AN38" s="5">
        <f>ПрочиеIT*'04_Доходы'!AN7</f>
        <v/>
      </c>
      <c r="AO38" s="5">
        <f>ПрочиеIT*'04_Доходы'!AO7</f>
        <v/>
      </c>
      <c r="AP38" s="5">
        <f>ПрочиеIT*'04_Доходы'!AP7</f>
        <v/>
      </c>
      <c r="AQ38" s="5">
        <f>ПрочиеIT*'04_Доходы'!AQ7</f>
        <v/>
      </c>
      <c r="AR38" s="5">
        <f>ПрочиеIT*'04_Доходы'!AR7</f>
        <v/>
      </c>
      <c r="AS38" s="5">
        <f>ПрочиеIT*'04_Доходы'!AS7</f>
        <v/>
      </c>
      <c r="AT38" s="5">
        <f>ПрочиеIT*'04_Доходы'!AT7</f>
        <v/>
      </c>
      <c r="AU38" s="5">
        <f>ПрочиеIT*'04_Доходы'!AU7</f>
        <v/>
      </c>
      <c r="AV38" s="5">
        <f>ПрочиеIT*'04_Доходы'!AV7</f>
        <v/>
      </c>
      <c r="AW38" s="5">
        <f>ПрочиеIT*'04_Доходы'!AW7</f>
        <v/>
      </c>
      <c r="AX38" s="5">
        <f>ПрочиеIT*'04_Доходы'!AX7</f>
        <v/>
      </c>
      <c r="AY38" s="5">
        <f>ПрочиеIT*'04_Доходы'!AY7</f>
        <v/>
      </c>
      <c r="AZ38" s="5">
        <f>ПрочиеIT*'04_Доходы'!AZ7</f>
        <v/>
      </c>
      <c r="BA38" s="5">
        <f>ПрочиеIT*'04_Доходы'!BA7</f>
        <v/>
      </c>
      <c r="BB38" s="5">
        <f>ПрочиеIT*'04_Доходы'!BB7</f>
        <v/>
      </c>
      <c r="BC38" s="5">
        <f>ПрочиеIT*'04_Доходы'!BC7</f>
        <v/>
      </c>
      <c r="BD38" s="5">
        <f>ПрочиеIT*'04_Доходы'!BD7</f>
        <v/>
      </c>
      <c r="BE38" s="5">
        <f>ПрочиеIT*'04_Доходы'!BE7</f>
        <v/>
      </c>
      <c r="BF38" s="5">
        <f>ПрочиеIT*'04_Доходы'!BF7</f>
        <v/>
      </c>
      <c r="BG38" s="5">
        <f>ПрочиеIT*'04_Доходы'!BG7</f>
        <v/>
      </c>
      <c r="BH38" s="5">
        <f>ПрочиеIT*'04_Доходы'!BH7</f>
        <v/>
      </c>
      <c r="BI38" s="5">
        <f>ПрочиеIT*'04_Доходы'!BI7</f>
        <v/>
      </c>
      <c r="BJ38" s="5">
        <f>ПрочиеIT*'04_Доходы'!BJ7</f>
        <v/>
      </c>
      <c r="BK38" s="5">
        <f>ПрочиеIT*'04_Доходы'!BK7</f>
        <v/>
      </c>
      <c r="BL38" s="5">
        <f>ПрочиеIT*'04_Доходы'!BL7</f>
        <v/>
      </c>
      <c r="BM38" s="5">
        <f>ПрочиеIT*'04_Доходы'!BM7</f>
        <v/>
      </c>
      <c r="BN38" s="5">
        <f>ПрочиеIT*'04_Доходы'!BN7</f>
        <v/>
      </c>
      <c r="BO38" s="5">
        <f>ПрочиеIT*'04_Доходы'!BO7</f>
        <v/>
      </c>
      <c r="BP38" s="5">
        <f>ПрочиеIT*'04_Доходы'!BP7</f>
        <v/>
      </c>
      <c r="BQ38" s="5">
        <f>ПрочиеIT*'04_Доходы'!BQ7</f>
        <v/>
      </c>
      <c r="BR38" s="5">
        <f>ПрочиеIT*'04_Доходы'!BR7</f>
        <v/>
      </c>
      <c r="BS38" s="5">
        <f>ПрочиеIT*'04_Доходы'!BS7</f>
        <v/>
      </c>
      <c r="BT38" s="5">
        <f>ПрочиеIT*'04_Доходы'!BT7</f>
        <v/>
      </c>
      <c r="BU38" s="5">
        <f>ПрочиеIT*'04_Доходы'!BU7</f>
        <v/>
      </c>
      <c r="BV38" s="5">
        <f>ПрочиеIT*'04_Доходы'!BV7</f>
        <v/>
      </c>
      <c r="BW38" s="5">
        <f>ПрочиеIT*'04_Доходы'!BW7</f>
        <v/>
      </c>
      <c r="BX38" s="5">
        <f>ПрочиеIT*'04_Доходы'!BX7</f>
        <v/>
      </c>
      <c r="BY38" s="5">
        <f>ПрочиеIT*'04_Доходы'!BY7</f>
        <v/>
      </c>
    </row>
    <row r="39">
      <c r="B39" t="inlineStr">
        <is>
          <t>SMM и подрядчики</t>
        </is>
      </c>
      <c r="C39" t="inlineStr">
        <is>
          <t>₽</t>
        </is>
      </c>
      <c r="D39" s="127" t="inlineStr">
        <is>
          <t>После выхода штатного SMM тариф подрядчиков меняется</t>
        </is>
      </c>
      <c r="E39" s="129">
        <f>SUM(L39:W39)</f>
        <v/>
      </c>
      <c r="F39" s="129">
        <f>SUM(X39:AI39)</f>
        <v/>
      </c>
      <c r="G39" s="129">
        <f>SUM(AJ39:AU39)</f>
        <v/>
      </c>
      <c r="H39" s="129">
        <f>SUM(AV39:BG39)</f>
        <v/>
      </c>
      <c r="I39" s="129">
        <f>SUM(BH39:BS39)</f>
        <v/>
      </c>
      <c r="J39" s="6">
        <f>SUM(L39:BS39)</f>
        <v/>
      </c>
      <c r="L39" s="5">
        <f>'07_Тарифы'!B$13</f>
        <v/>
      </c>
      <c r="M39" s="5">
        <f>'07_Тарифы'!C$13</f>
        <v/>
      </c>
      <c r="N39" s="5">
        <f>'07_Тарифы'!D$13</f>
        <v/>
      </c>
      <c r="O39" s="5">
        <f>'07_Тарифы'!E$13</f>
        <v/>
      </c>
      <c r="P39" s="5">
        <f>'07_Тарифы'!F$13</f>
        <v/>
      </c>
      <c r="Q39" s="5">
        <f>'07_Тарифы'!G$13</f>
        <v/>
      </c>
      <c r="R39" s="5">
        <f>'07_Тарифы'!H$13</f>
        <v/>
      </c>
      <c r="S39" s="5">
        <f>'07_Тарифы'!I$13</f>
        <v/>
      </c>
      <c r="T39" s="5">
        <f>'07_Тарифы'!J$13</f>
        <v/>
      </c>
      <c r="U39" s="5">
        <f>'07_Тарифы'!K$13</f>
        <v/>
      </c>
      <c r="V39" s="5">
        <f>'07_Тарифы'!L$13</f>
        <v/>
      </c>
      <c r="W39" s="5">
        <f>'07_Тарифы'!M$13</f>
        <v/>
      </c>
      <c r="X39" s="5">
        <f>'07_Тарифы'!N$13</f>
        <v/>
      </c>
      <c r="Y39" s="5">
        <f>'07_Тарифы'!O$13</f>
        <v/>
      </c>
      <c r="Z39" s="5">
        <f>'07_Тарифы'!P$13</f>
        <v/>
      </c>
      <c r="AA39" s="5">
        <f>'07_Тарифы'!Q$13</f>
        <v/>
      </c>
      <c r="AB39" s="5">
        <f>'07_Тарифы'!R$13</f>
        <v/>
      </c>
      <c r="AC39" s="5">
        <f>'07_Тарифы'!S$13</f>
        <v/>
      </c>
      <c r="AD39" s="5">
        <f>'07_Тарифы'!T$13</f>
        <v/>
      </c>
      <c r="AE39" s="5">
        <f>'07_Тарифы'!U$13</f>
        <v/>
      </c>
      <c r="AF39" s="5">
        <f>'07_Тарифы'!V$13</f>
        <v/>
      </c>
      <c r="AG39" s="5">
        <f>'07_Тарифы'!W$13</f>
        <v/>
      </c>
      <c r="AH39" s="5">
        <f>'07_Тарифы'!X$13</f>
        <v/>
      </c>
      <c r="AI39" s="5">
        <f>'07_Тарифы'!Y$13</f>
        <v/>
      </c>
      <c r="AJ39" s="5">
        <f>'07_Тарифы'!Z$13</f>
        <v/>
      </c>
      <c r="AK39" s="5">
        <f>'07_Тарифы'!AA$13</f>
        <v/>
      </c>
      <c r="AL39" s="5">
        <f>'07_Тарифы'!AB$13</f>
        <v/>
      </c>
      <c r="AM39" s="5">
        <f>'07_Тарифы'!AC$13</f>
        <v/>
      </c>
      <c r="AN39" s="5">
        <f>'07_Тарифы'!AD$13</f>
        <v/>
      </c>
      <c r="AO39" s="5">
        <f>'07_Тарифы'!AE$13</f>
        <v/>
      </c>
      <c r="AP39" s="5">
        <f>'07_Тарифы'!AF$13</f>
        <v/>
      </c>
      <c r="AQ39" s="5">
        <f>'07_Тарифы'!AG$13</f>
        <v/>
      </c>
      <c r="AR39" s="5">
        <f>'07_Тарифы'!AH$13</f>
        <v/>
      </c>
      <c r="AS39" s="5">
        <f>'07_Тарифы'!AI$13</f>
        <v/>
      </c>
      <c r="AT39" s="5">
        <f>'07_Тарифы'!AJ$13</f>
        <v/>
      </c>
      <c r="AU39" s="5">
        <f>'07_Тарифы'!AK$13</f>
        <v/>
      </c>
      <c r="AV39" s="5">
        <f>'07_Тарифы'!AL$13</f>
        <v/>
      </c>
      <c r="AW39" s="5">
        <f>'07_Тарифы'!AM$13</f>
        <v/>
      </c>
      <c r="AX39" s="5">
        <f>'07_Тарифы'!AN$13</f>
        <v/>
      </c>
      <c r="AY39" s="5">
        <f>'07_Тарифы'!AO$13</f>
        <v/>
      </c>
      <c r="AZ39" s="5">
        <f>'07_Тарифы'!AP$13</f>
        <v/>
      </c>
      <c r="BA39" s="5">
        <f>'07_Тарифы'!AQ$13</f>
        <v/>
      </c>
      <c r="BB39" s="5">
        <f>'07_Тарифы'!AR$13</f>
        <v/>
      </c>
      <c r="BC39" s="5">
        <f>'07_Тарифы'!AS$13</f>
        <v/>
      </c>
      <c r="BD39" s="5">
        <f>'07_Тарифы'!AT$13</f>
        <v/>
      </c>
      <c r="BE39" s="5">
        <f>'07_Тарифы'!AU$13</f>
        <v/>
      </c>
      <c r="BF39" s="5">
        <f>'07_Тарифы'!AV$13</f>
        <v/>
      </c>
      <c r="BG39" s="5">
        <f>'07_Тарифы'!AW$13</f>
        <v/>
      </c>
      <c r="BH39" s="5">
        <f>'07_Тарифы'!AX$13</f>
        <v/>
      </c>
      <c r="BI39" s="5">
        <f>'07_Тарифы'!AY$13</f>
        <v/>
      </c>
      <c r="BJ39" s="5">
        <f>'07_Тарифы'!AZ$13</f>
        <v/>
      </c>
      <c r="BK39" s="5">
        <f>'07_Тарифы'!BA$13</f>
        <v/>
      </c>
      <c r="BL39" s="5">
        <f>'07_Тарифы'!BB$13</f>
        <v/>
      </c>
      <c r="BM39" s="5">
        <f>'07_Тарифы'!BC$13</f>
        <v/>
      </c>
      <c r="BN39" s="5">
        <f>'07_Тарифы'!BD$13</f>
        <v/>
      </c>
      <c r="BO39" s="5">
        <f>'07_Тарифы'!BE$13</f>
        <v/>
      </c>
      <c r="BP39" s="5">
        <f>'07_Тарифы'!BF$13</f>
        <v/>
      </c>
      <c r="BQ39" s="5">
        <f>'07_Тарифы'!BG$13</f>
        <v/>
      </c>
      <c r="BR39" s="5">
        <f>'07_Тарифы'!BH$13</f>
        <v/>
      </c>
      <c r="BS39" s="5">
        <f>'07_Тарифы'!BI$13</f>
        <v/>
      </c>
      <c r="BT39" s="5">
        <f>'07_Тарифы'!BJ$13</f>
        <v/>
      </c>
      <c r="BU39" s="5">
        <f>'07_Тарифы'!BK$13</f>
        <v/>
      </c>
      <c r="BV39" s="5">
        <f>'07_Тарифы'!BL$13</f>
        <v/>
      </c>
      <c r="BW39" s="5">
        <f>'07_Тарифы'!BM$13</f>
        <v/>
      </c>
      <c r="BX39" s="5">
        <f>'07_Тарифы'!BN$13</f>
        <v/>
      </c>
      <c r="BY39" s="5">
        <f>'07_Тарифы'!BO$13</f>
        <v/>
      </c>
    </row>
    <row r="40">
      <c r="B40" t="inlineStr">
        <is>
          <t>Месяц оплаты рекламы за эти продажи</t>
        </is>
      </c>
      <c r="C40" t="inlineStr">
        <is>
          <t>дата</t>
        </is>
      </c>
      <c r="D40" s="127" t="inlineStr">
        <is>
          <t>Обычно за два месяца до продажи; для октября 2026 — за один В колонках лет — значение на конец года, в «Итого» — на конец пятого года. Это остаток, а не сумма.</t>
        </is>
      </c>
      <c r="E40" s="134">
        <f>W40</f>
        <v/>
      </c>
      <c r="F40" s="134">
        <f>AI40</f>
        <v/>
      </c>
      <c r="G40" s="134">
        <f>AU40</f>
        <v/>
      </c>
      <c r="H40" s="134">
        <f>BG40</f>
        <v/>
      </c>
      <c r="I40" s="134">
        <f>BS40</f>
        <v/>
      </c>
      <c r="J40" s="135">
        <f>BS40</f>
        <v/>
      </c>
      <c r="L40" s="136">
        <f>DATE(YEAR('03_Сеть'!L7),MONTH('03_Сеть'!L7)-IF('03_Сеть'!L7=ДатаОсобогоЛага,ОсобыйЛаг,ЛагТаргета),1)</f>
        <v/>
      </c>
      <c r="M40" s="136">
        <f>DATE(YEAR('03_Сеть'!M7),MONTH('03_Сеть'!M7)-IF('03_Сеть'!M7=ДатаОсобогоЛага,ОсобыйЛаг,ЛагТаргета),1)</f>
        <v/>
      </c>
      <c r="N40" s="136">
        <f>DATE(YEAR('03_Сеть'!N7),MONTH('03_Сеть'!N7)-IF('03_Сеть'!N7=ДатаОсобогоЛага,ОсобыйЛаг,ЛагТаргета),1)</f>
        <v/>
      </c>
      <c r="O40" s="136">
        <f>DATE(YEAR('03_Сеть'!O7),MONTH('03_Сеть'!O7)-IF('03_Сеть'!O7=ДатаОсобогоЛага,ОсобыйЛаг,ЛагТаргета),1)</f>
        <v/>
      </c>
      <c r="P40" s="136">
        <f>DATE(YEAR('03_Сеть'!P7),MONTH('03_Сеть'!P7)-IF('03_Сеть'!P7=ДатаОсобогоЛага,ОсобыйЛаг,ЛагТаргета),1)</f>
        <v/>
      </c>
      <c r="Q40" s="136">
        <f>DATE(YEAR('03_Сеть'!Q7),MONTH('03_Сеть'!Q7)-IF('03_Сеть'!Q7=ДатаОсобогоЛага,ОсобыйЛаг,ЛагТаргета),1)</f>
        <v/>
      </c>
      <c r="R40" s="136">
        <f>DATE(YEAR('03_Сеть'!R7),MONTH('03_Сеть'!R7)-IF('03_Сеть'!R7=ДатаОсобогоЛага,ОсобыйЛаг,ЛагТаргета),1)</f>
        <v/>
      </c>
      <c r="S40" s="136">
        <f>DATE(YEAR('03_Сеть'!S7),MONTH('03_Сеть'!S7)-IF('03_Сеть'!S7=ДатаОсобогоЛага,ОсобыйЛаг,ЛагТаргета),1)</f>
        <v/>
      </c>
      <c r="T40" s="136">
        <f>DATE(YEAR('03_Сеть'!T7),MONTH('03_Сеть'!T7)-IF('03_Сеть'!T7=ДатаОсобогоЛага,ОсобыйЛаг,ЛагТаргета),1)</f>
        <v/>
      </c>
      <c r="U40" s="136">
        <f>DATE(YEAR('03_Сеть'!U7),MONTH('03_Сеть'!U7)-IF('03_Сеть'!U7=ДатаОсобогоЛага,ОсобыйЛаг,ЛагТаргета),1)</f>
        <v/>
      </c>
      <c r="V40" s="136">
        <f>DATE(YEAR('03_Сеть'!V7),MONTH('03_Сеть'!V7)-IF('03_Сеть'!V7=ДатаОсобогоЛага,ОсобыйЛаг,ЛагТаргета),1)</f>
        <v/>
      </c>
      <c r="W40" s="136">
        <f>DATE(YEAR('03_Сеть'!W7),MONTH('03_Сеть'!W7)-IF('03_Сеть'!W7=ДатаОсобогоЛага,ОсобыйЛаг,ЛагТаргета),1)</f>
        <v/>
      </c>
      <c r="X40" s="136">
        <f>DATE(YEAR('03_Сеть'!X7),MONTH('03_Сеть'!X7)-IF('03_Сеть'!X7=ДатаОсобогоЛага,ОсобыйЛаг,ЛагТаргета),1)</f>
        <v/>
      </c>
      <c r="Y40" s="136">
        <f>DATE(YEAR('03_Сеть'!Y7),MONTH('03_Сеть'!Y7)-IF('03_Сеть'!Y7=ДатаОсобогоЛага,ОсобыйЛаг,ЛагТаргета),1)</f>
        <v/>
      </c>
      <c r="Z40" s="136">
        <f>DATE(YEAR('03_Сеть'!Z7),MONTH('03_Сеть'!Z7)-IF('03_Сеть'!Z7=ДатаОсобогоЛага,ОсобыйЛаг,ЛагТаргета),1)</f>
        <v/>
      </c>
      <c r="AA40" s="136">
        <f>DATE(YEAR('03_Сеть'!AA7),MONTH('03_Сеть'!AA7)-IF('03_Сеть'!AA7=ДатаОсобогоЛага,ОсобыйЛаг,ЛагТаргета),1)</f>
        <v/>
      </c>
      <c r="AB40" s="136">
        <f>DATE(YEAR('03_Сеть'!AB7),MONTH('03_Сеть'!AB7)-IF('03_Сеть'!AB7=ДатаОсобогоЛага,ОсобыйЛаг,ЛагТаргета),1)</f>
        <v/>
      </c>
      <c r="AC40" s="136">
        <f>DATE(YEAR('03_Сеть'!AC7),MONTH('03_Сеть'!AC7)-IF('03_Сеть'!AC7=ДатаОсобогоЛага,ОсобыйЛаг,ЛагТаргета),1)</f>
        <v/>
      </c>
      <c r="AD40" s="136">
        <f>DATE(YEAR('03_Сеть'!AD7),MONTH('03_Сеть'!AD7)-IF('03_Сеть'!AD7=ДатаОсобогоЛага,ОсобыйЛаг,ЛагТаргета),1)</f>
        <v/>
      </c>
      <c r="AE40" s="136">
        <f>DATE(YEAR('03_Сеть'!AE7),MONTH('03_Сеть'!AE7)-IF('03_Сеть'!AE7=ДатаОсобогоЛага,ОсобыйЛаг,ЛагТаргета),1)</f>
        <v/>
      </c>
      <c r="AF40" s="136">
        <f>DATE(YEAR('03_Сеть'!AF7),MONTH('03_Сеть'!AF7)-IF('03_Сеть'!AF7=ДатаОсобогоЛага,ОсобыйЛаг,ЛагТаргета),1)</f>
        <v/>
      </c>
      <c r="AG40" s="136">
        <f>DATE(YEAR('03_Сеть'!AG7),MONTH('03_Сеть'!AG7)-IF('03_Сеть'!AG7=ДатаОсобогоЛага,ОсобыйЛаг,ЛагТаргета),1)</f>
        <v/>
      </c>
      <c r="AH40" s="136">
        <f>DATE(YEAR('03_Сеть'!AH7),MONTH('03_Сеть'!AH7)-IF('03_Сеть'!AH7=ДатаОсобогоЛага,ОсобыйЛаг,ЛагТаргета),1)</f>
        <v/>
      </c>
      <c r="AI40" s="136">
        <f>DATE(YEAR('03_Сеть'!AI7),MONTH('03_Сеть'!AI7)-IF('03_Сеть'!AI7=ДатаОсобогоЛага,ОсобыйЛаг,ЛагТаргета),1)</f>
        <v/>
      </c>
      <c r="AJ40" s="136">
        <f>DATE(YEAR('03_Сеть'!AJ7),MONTH('03_Сеть'!AJ7)-IF('03_Сеть'!AJ7=ДатаОсобогоЛага,ОсобыйЛаг,ЛагТаргета),1)</f>
        <v/>
      </c>
      <c r="AK40" s="136">
        <f>DATE(YEAR('03_Сеть'!AK7),MONTH('03_Сеть'!AK7)-IF('03_Сеть'!AK7=ДатаОсобогоЛага,ОсобыйЛаг,ЛагТаргета),1)</f>
        <v/>
      </c>
      <c r="AL40" s="136">
        <f>DATE(YEAR('03_Сеть'!AL7),MONTH('03_Сеть'!AL7)-IF('03_Сеть'!AL7=ДатаОсобогоЛага,ОсобыйЛаг,ЛагТаргета),1)</f>
        <v/>
      </c>
      <c r="AM40" s="136">
        <f>DATE(YEAR('03_Сеть'!AM7),MONTH('03_Сеть'!AM7)-IF('03_Сеть'!AM7=ДатаОсобогоЛага,ОсобыйЛаг,ЛагТаргета),1)</f>
        <v/>
      </c>
      <c r="AN40" s="136">
        <f>DATE(YEAR('03_Сеть'!AN7),MONTH('03_Сеть'!AN7)-IF('03_Сеть'!AN7=ДатаОсобогоЛага,ОсобыйЛаг,ЛагТаргета),1)</f>
        <v/>
      </c>
      <c r="AO40" s="136">
        <f>DATE(YEAR('03_Сеть'!AO7),MONTH('03_Сеть'!AO7)-IF('03_Сеть'!AO7=ДатаОсобогоЛага,ОсобыйЛаг,ЛагТаргета),1)</f>
        <v/>
      </c>
      <c r="AP40" s="136">
        <f>DATE(YEAR('03_Сеть'!AP7),MONTH('03_Сеть'!AP7)-IF('03_Сеть'!AP7=ДатаОсобогоЛага,ОсобыйЛаг,ЛагТаргета),1)</f>
        <v/>
      </c>
      <c r="AQ40" s="136">
        <f>DATE(YEAR('03_Сеть'!AQ7),MONTH('03_Сеть'!AQ7)-IF('03_Сеть'!AQ7=ДатаОсобогоЛага,ОсобыйЛаг,ЛагТаргета),1)</f>
        <v/>
      </c>
      <c r="AR40" s="136">
        <f>DATE(YEAR('03_Сеть'!AR7),MONTH('03_Сеть'!AR7)-IF('03_Сеть'!AR7=ДатаОсобогоЛага,ОсобыйЛаг,ЛагТаргета),1)</f>
        <v/>
      </c>
      <c r="AS40" s="136">
        <f>DATE(YEAR('03_Сеть'!AS7),MONTH('03_Сеть'!AS7)-IF('03_Сеть'!AS7=ДатаОсобогоЛага,ОсобыйЛаг,ЛагТаргета),1)</f>
        <v/>
      </c>
      <c r="AT40" s="136">
        <f>DATE(YEAR('03_Сеть'!AT7),MONTH('03_Сеть'!AT7)-IF('03_Сеть'!AT7=ДатаОсобогоЛага,ОсобыйЛаг,ЛагТаргета),1)</f>
        <v/>
      </c>
      <c r="AU40" s="136">
        <f>DATE(YEAR('03_Сеть'!AU7),MONTH('03_Сеть'!AU7)-IF('03_Сеть'!AU7=ДатаОсобогоЛага,ОсобыйЛаг,ЛагТаргета),1)</f>
        <v/>
      </c>
      <c r="AV40" s="136">
        <f>DATE(YEAR('03_Сеть'!AV7),MONTH('03_Сеть'!AV7)-IF('03_Сеть'!AV7=ДатаОсобогоЛага,ОсобыйЛаг,ЛагТаргета),1)</f>
        <v/>
      </c>
      <c r="AW40" s="136">
        <f>DATE(YEAR('03_Сеть'!AW7),MONTH('03_Сеть'!AW7)-IF('03_Сеть'!AW7=ДатаОсобогоЛага,ОсобыйЛаг,ЛагТаргета),1)</f>
        <v/>
      </c>
      <c r="AX40" s="136">
        <f>DATE(YEAR('03_Сеть'!AX7),MONTH('03_Сеть'!AX7)-IF('03_Сеть'!AX7=ДатаОсобогоЛага,ОсобыйЛаг,ЛагТаргета),1)</f>
        <v/>
      </c>
      <c r="AY40" s="136">
        <f>DATE(YEAR('03_Сеть'!AY7),MONTH('03_Сеть'!AY7)-IF('03_Сеть'!AY7=ДатаОсобогоЛага,ОсобыйЛаг,ЛагТаргета),1)</f>
        <v/>
      </c>
      <c r="AZ40" s="136">
        <f>DATE(YEAR('03_Сеть'!AZ7),MONTH('03_Сеть'!AZ7)-IF('03_Сеть'!AZ7=ДатаОсобогоЛага,ОсобыйЛаг,ЛагТаргета),1)</f>
        <v/>
      </c>
      <c r="BA40" s="136">
        <f>DATE(YEAR('03_Сеть'!BA7),MONTH('03_Сеть'!BA7)-IF('03_Сеть'!BA7=ДатаОсобогоЛага,ОсобыйЛаг,ЛагТаргета),1)</f>
        <v/>
      </c>
      <c r="BB40" s="136">
        <f>DATE(YEAR('03_Сеть'!BB7),MONTH('03_Сеть'!BB7)-IF('03_Сеть'!BB7=ДатаОсобогоЛага,ОсобыйЛаг,ЛагТаргета),1)</f>
        <v/>
      </c>
      <c r="BC40" s="136">
        <f>DATE(YEAR('03_Сеть'!BC7),MONTH('03_Сеть'!BC7)-IF('03_Сеть'!BC7=ДатаОсобогоЛага,ОсобыйЛаг,ЛагТаргета),1)</f>
        <v/>
      </c>
      <c r="BD40" s="136">
        <f>DATE(YEAR('03_Сеть'!BD7),MONTH('03_Сеть'!BD7)-IF('03_Сеть'!BD7=ДатаОсобогоЛага,ОсобыйЛаг,ЛагТаргета),1)</f>
        <v/>
      </c>
      <c r="BE40" s="136">
        <f>DATE(YEAR('03_Сеть'!BE7),MONTH('03_Сеть'!BE7)-IF('03_Сеть'!BE7=ДатаОсобогоЛага,ОсобыйЛаг,ЛагТаргета),1)</f>
        <v/>
      </c>
      <c r="BF40" s="136">
        <f>DATE(YEAR('03_Сеть'!BF7),MONTH('03_Сеть'!BF7)-IF('03_Сеть'!BF7=ДатаОсобогоЛага,ОсобыйЛаг,ЛагТаргета),1)</f>
        <v/>
      </c>
      <c r="BG40" s="136">
        <f>DATE(YEAR('03_Сеть'!BG7),MONTH('03_Сеть'!BG7)-IF('03_Сеть'!BG7=ДатаОсобогоЛага,ОсобыйЛаг,ЛагТаргета),1)</f>
        <v/>
      </c>
      <c r="BH40" s="136">
        <f>DATE(YEAR('03_Сеть'!BH7),MONTH('03_Сеть'!BH7)-IF('03_Сеть'!BH7=ДатаОсобогоЛага,ОсобыйЛаг,ЛагТаргета),1)</f>
        <v/>
      </c>
      <c r="BI40" s="136">
        <f>DATE(YEAR('03_Сеть'!BI7),MONTH('03_Сеть'!BI7)-IF('03_Сеть'!BI7=ДатаОсобогоЛага,ОсобыйЛаг,ЛагТаргета),1)</f>
        <v/>
      </c>
      <c r="BJ40" s="136">
        <f>DATE(YEAR('03_Сеть'!BJ7),MONTH('03_Сеть'!BJ7)-IF('03_Сеть'!BJ7=ДатаОсобогоЛага,ОсобыйЛаг,ЛагТаргета),1)</f>
        <v/>
      </c>
      <c r="BK40" s="136">
        <f>DATE(YEAR('03_Сеть'!BK7),MONTH('03_Сеть'!BK7)-IF('03_Сеть'!BK7=ДатаОсобогоЛага,ОсобыйЛаг,ЛагТаргета),1)</f>
        <v/>
      </c>
      <c r="BL40" s="136">
        <f>DATE(YEAR('03_Сеть'!BL7),MONTH('03_Сеть'!BL7)-IF('03_Сеть'!BL7=ДатаОсобогоЛага,ОсобыйЛаг,ЛагТаргета),1)</f>
        <v/>
      </c>
      <c r="BM40" s="136">
        <f>DATE(YEAR('03_Сеть'!BM7),MONTH('03_Сеть'!BM7)-IF('03_Сеть'!BM7=ДатаОсобогоЛага,ОсобыйЛаг,ЛагТаргета),1)</f>
        <v/>
      </c>
      <c r="BN40" s="136">
        <f>DATE(YEAR('03_Сеть'!BN7),MONTH('03_Сеть'!BN7)-IF('03_Сеть'!BN7=ДатаОсобогоЛага,ОсобыйЛаг,ЛагТаргета),1)</f>
        <v/>
      </c>
      <c r="BO40" s="136">
        <f>DATE(YEAR('03_Сеть'!BO7),MONTH('03_Сеть'!BO7)-IF('03_Сеть'!BO7=ДатаОсобогоЛага,ОсобыйЛаг,ЛагТаргета),1)</f>
        <v/>
      </c>
      <c r="BP40" s="136">
        <f>DATE(YEAR('03_Сеть'!BP7),MONTH('03_Сеть'!BP7)-IF('03_Сеть'!BP7=ДатаОсобогоЛага,ОсобыйЛаг,ЛагТаргета),1)</f>
        <v/>
      </c>
      <c r="BQ40" s="136">
        <f>DATE(YEAR('03_Сеть'!BQ7),MONTH('03_Сеть'!BQ7)-IF('03_Сеть'!BQ7=ДатаОсобогоЛага,ОсобыйЛаг,ЛагТаргета),1)</f>
        <v/>
      </c>
      <c r="BR40" s="136">
        <f>DATE(YEAR('03_Сеть'!BR7),MONTH('03_Сеть'!BR7)-IF('03_Сеть'!BR7=ДатаОсобогоЛага,ОсобыйЛаг,ЛагТаргета),1)</f>
        <v/>
      </c>
      <c r="BS40" s="136">
        <f>DATE(YEAR('03_Сеть'!BS7),MONTH('03_Сеть'!BS7)-IF('03_Сеть'!BS7=ДатаОсобогоЛага,ОсобыйЛаг,ЛагТаргета),1)</f>
        <v/>
      </c>
      <c r="BT40" s="136">
        <f>DATE(YEAR('03_Сеть'!BT7),MONTH('03_Сеть'!BT7)-IF('03_Сеть'!BT7=ДатаОсобогоЛага,ОсобыйЛаг,ЛагТаргета),1)</f>
        <v/>
      </c>
      <c r="BU40" s="136">
        <f>DATE(YEAR('03_Сеть'!BU7),MONTH('03_Сеть'!BU7)-IF('03_Сеть'!BU7=ДатаОсобогоЛага,ОсобыйЛаг,ЛагТаргета),1)</f>
        <v/>
      </c>
      <c r="BV40" s="136">
        <f>DATE(YEAR('03_Сеть'!BV7),MONTH('03_Сеть'!BV7)-IF('03_Сеть'!BV7=ДатаОсобогоЛага,ОсобыйЛаг,ЛагТаргета),1)</f>
        <v/>
      </c>
      <c r="BW40" s="136">
        <f>DATE(YEAR('03_Сеть'!BW7),MONTH('03_Сеть'!BW7)-IF('03_Сеть'!BW7=ДатаОсобогоЛага,ОсобыйЛаг,ЛагТаргета),1)</f>
        <v/>
      </c>
      <c r="BX40" s="136">
        <f>DATE(YEAR('03_Сеть'!BX7),MONTH('03_Сеть'!BX7)-IF('03_Сеть'!BX7=ДатаОсобогоЛага,ОсобыйЛаг,ЛагТаргета),1)</f>
        <v/>
      </c>
      <c r="BY40" s="136">
        <f>DATE(YEAR('03_Сеть'!BY7),MONTH('03_Сеть'!BY7)-IF('03_Сеть'!BY7=ДатаОсобогоЛага,ОсобыйЛаг,ЛагТаргета),1)</f>
        <v/>
      </c>
    </row>
    <row r="41">
      <c r="B41" t="inlineStr">
        <is>
          <t>Таргет на будущие продажи</t>
        </is>
      </c>
      <c r="C41" t="inlineStr">
        <is>
          <t>₽</t>
        </is>
      </c>
      <c r="D41" s="127" t="inlineStr">
        <is>
          <t>Собираем все продажи, чью рекламу оплачиваем в этом месяце</t>
        </is>
      </c>
      <c r="E41" s="129">
        <f>SUM(L41:W41)</f>
        <v/>
      </c>
      <c r="F41" s="129">
        <f>SUM(X41:AI41)</f>
        <v/>
      </c>
      <c r="G41" s="129">
        <f>SUM(AJ41:AU41)</f>
        <v/>
      </c>
      <c r="H41" s="129">
        <f>SUM(AV41:BG41)</f>
        <v/>
      </c>
      <c r="I41" s="129">
        <f>SUM(BH41:BS41)</f>
        <v/>
      </c>
      <c r="J41" s="6">
        <f>SUM(L41:BS41)</f>
        <v/>
      </c>
      <c r="L41" s="5">
        <f>SUMIF($L40:$BY40,'03_Сеть'!L7,'03_Сеть'!$L13:$BY13)*'07_Тарифы'!B$11</f>
        <v/>
      </c>
      <c r="M41" s="5">
        <f>SUMIF($L40:$BY40,'03_Сеть'!M7,'03_Сеть'!$L13:$BY13)*'07_Тарифы'!C$11</f>
        <v/>
      </c>
      <c r="N41" s="5">
        <f>SUMIF($L40:$BY40,'03_Сеть'!N7,'03_Сеть'!$L13:$BY13)*'07_Тарифы'!D$11</f>
        <v/>
      </c>
      <c r="O41" s="5">
        <f>SUMIF($L40:$BY40,'03_Сеть'!O7,'03_Сеть'!$L13:$BY13)*'07_Тарифы'!E$11</f>
        <v/>
      </c>
      <c r="P41" s="5">
        <f>SUMIF($L40:$BY40,'03_Сеть'!P7,'03_Сеть'!$L13:$BY13)*'07_Тарифы'!F$11</f>
        <v/>
      </c>
      <c r="Q41" s="5">
        <f>SUMIF($L40:$BY40,'03_Сеть'!Q7,'03_Сеть'!$L13:$BY13)*'07_Тарифы'!G$11</f>
        <v/>
      </c>
      <c r="R41" s="5">
        <f>SUMIF($L40:$BY40,'03_Сеть'!R7,'03_Сеть'!$L13:$BY13)*'07_Тарифы'!H$11</f>
        <v/>
      </c>
      <c r="S41" s="5">
        <f>SUMIF($L40:$BY40,'03_Сеть'!S7,'03_Сеть'!$L13:$BY13)*'07_Тарифы'!I$11</f>
        <v/>
      </c>
      <c r="T41" s="5">
        <f>SUMIF($L40:$BY40,'03_Сеть'!T7,'03_Сеть'!$L13:$BY13)*'07_Тарифы'!J$11</f>
        <v/>
      </c>
      <c r="U41" s="5">
        <f>SUMIF($L40:$BY40,'03_Сеть'!U7,'03_Сеть'!$L13:$BY13)*'07_Тарифы'!K$11</f>
        <v/>
      </c>
      <c r="V41" s="5">
        <f>SUMIF($L40:$BY40,'03_Сеть'!V7,'03_Сеть'!$L13:$BY13)*'07_Тарифы'!L$11</f>
        <v/>
      </c>
      <c r="W41" s="5">
        <f>SUMIF($L40:$BY40,'03_Сеть'!W7,'03_Сеть'!$L13:$BY13)*'07_Тарифы'!M$11</f>
        <v/>
      </c>
      <c r="X41" s="5">
        <f>SUMIF($L40:$BY40,'03_Сеть'!X7,'03_Сеть'!$L13:$BY13)*'07_Тарифы'!N$11</f>
        <v/>
      </c>
      <c r="Y41" s="5">
        <f>SUMIF($L40:$BY40,'03_Сеть'!Y7,'03_Сеть'!$L13:$BY13)*'07_Тарифы'!O$11</f>
        <v/>
      </c>
      <c r="Z41" s="5">
        <f>SUMIF($L40:$BY40,'03_Сеть'!Z7,'03_Сеть'!$L13:$BY13)*'07_Тарифы'!P$11</f>
        <v/>
      </c>
      <c r="AA41" s="5">
        <f>SUMIF($L40:$BY40,'03_Сеть'!AA7,'03_Сеть'!$L13:$BY13)*'07_Тарифы'!Q$11</f>
        <v/>
      </c>
      <c r="AB41" s="5">
        <f>SUMIF($L40:$BY40,'03_Сеть'!AB7,'03_Сеть'!$L13:$BY13)*'07_Тарифы'!R$11</f>
        <v/>
      </c>
      <c r="AC41" s="5">
        <f>SUMIF($L40:$BY40,'03_Сеть'!AC7,'03_Сеть'!$L13:$BY13)*'07_Тарифы'!S$11</f>
        <v/>
      </c>
      <c r="AD41" s="5">
        <f>SUMIF($L40:$BY40,'03_Сеть'!AD7,'03_Сеть'!$L13:$BY13)*'07_Тарифы'!T$11</f>
        <v/>
      </c>
      <c r="AE41" s="5">
        <f>SUMIF($L40:$BY40,'03_Сеть'!AE7,'03_Сеть'!$L13:$BY13)*'07_Тарифы'!U$11</f>
        <v/>
      </c>
      <c r="AF41" s="5">
        <f>SUMIF($L40:$BY40,'03_Сеть'!AF7,'03_Сеть'!$L13:$BY13)*'07_Тарифы'!V$11</f>
        <v/>
      </c>
      <c r="AG41" s="5">
        <f>SUMIF($L40:$BY40,'03_Сеть'!AG7,'03_Сеть'!$L13:$BY13)*'07_Тарифы'!W$11</f>
        <v/>
      </c>
      <c r="AH41" s="5">
        <f>SUMIF($L40:$BY40,'03_Сеть'!AH7,'03_Сеть'!$L13:$BY13)*'07_Тарифы'!X$11</f>
        <v/>
      </c>
      <c r="AI41" s="5">
        <f>SUMIF($L40:$BY40,'03_Сеть'!AI7,'03_Сеть'!$L13:$BY13)*'07_Тарифы'!Y$11</f>
        <v/>
      </c>
      <c r="AJ41" s="5">
        <f>SUMIF($L40:$BY40,'03_Сеть'!AJ7,'03_Сеть'!$L13:$BY13)*'07_Тарифы'!Z$11</f>
        <v/>
      </c>
      <c r="AK41" s="5">
        <f>SUMIF($L40:$BY40,'03_Сеть'!AK7,'03_Сеть'!$L13:$BY13)*'07_Тарифы'!AA$11</f>
        <v/>
      </c>
      <c r="AL41" s="5">
        <f>SUMIF($L40:$BY40,'03_Сеть'!AL7,'03_Сеть'!$L13:$BY13)*'07_Тарифы'!AB$11</f>
        <v/>
      </c>
      <c r="AM41" s="5">
        <f>SUMIF($L40:$BY40,'03_Сеть'!AM7,'03_Сеть'!$L13:$BY13)*'07_Тарифы'!AC$11</f>
        <v/>
      </c>
      <c r="AN41" s="5">
        <f>SUMIF($L40:$BY40,'03_Сеть'!AN7,'03_Сеть'!$L13:$BY13)*'07_Тарифы'!AD$11</f>
        <v/>
      </c>
      <c r="AO41" s="5">
        <f>SUMIF($L40:$BY40,'03_Сеть'!AO7,'03_Сеть'!$L13:$BY13)*'07_Тарифы'!AE$11</f>
        <v/>
      </c>
      <c r="AP41" s="5">
        <f>SUMIF($L40:$BY40,'03_Сеть'!AP7,'03_Сеть'!$L13:$BY13)*'07_Тарифы'!AF$11</f>
        <v/>
      </c>
      <c r="AQ41" s="5">
        <f>SUMIF($L40:$BY40,'03_Сеть'!AQ7,'03_Сеть'!$L13:$BY13)*'07_Тарифы'!AG$11</f>
        <v/>
      </c>
      <c r="AR41" s="5">
        <f>SUMIF($L40:$BY40,'03_Сеть'!AR7,'03_Сеть'!$L13:$BY13)*'07_Тарифы'!AH$11</f>
        <v/>
      </c>
      <c r="AS41" s="5">
        <f>SUMIF($L40:$BY40,'03_Сеть'!AS7,'03_Сеть'!$L13:$BY13)*'07_Тарифы'!AI$11</f>
        <v/>
      </c>
      <c r="AT41" s="5">
        <f>SUMIF($L40:$BY40,'03_Сеть'!AT7,'03_Сеть'!$L13:$BY13)*'07_Тарифы'!AJ$11</f>
        <v/>
      </c>
      <c r="AU41" s="5">
        <f>SUMIF($L40:$BY40,'03_Сеть'!AU7,'03_Сеть'!$L13:$BY13)*'07_Тарифы'!AK$11</f>
        <v/>
      </c>
      <c r="AV41" s="5">
        <f>SUMIF($L40:$BY40,'03_Сеть'!AV7,'03_Сеть'!$L13:$BY13)*'07_Тарифы'!AL$11</f>
        <v/>
      </c>
      <c r="AW41" s="5">
        <f>SUMIF($L40:$BY40,'03_Сеть'!AW7,'03_Сеть'!$L13:$BY13)*'07_Тарифы'!AM$11</f>
        <v/>
      </c>
      <c r="AX41" s="5">
        <f>SUMIF($L40:$BY40,'03_Сеть'!AX7,'03_Сеть'!$L13:$BY13)*'07_Тарифы'!AN$11</f>
        <v/>
      </c>
      <c r="AY41" s="5">
        <f>SUMIF($L40:$BY40,'03_Сеть'!AY7,'03_Сеть'!$L13:$BY13)*'07_Тарифы'!AO$11</f>
        <v/>
      </c>
      <c r="AZ41" s="5">
        <f>SUMIF($L40:$BY40,'03_Сеть'!AZ7,'03_Сеть'!$L13:$BY13)*'07_Тарифы'!AP$11</f>
        <v/>
      </c>
      <c r="BA41" s="5">
        <f>SUMIF($L40:$BY40,'03_Сеть'!BA7,'03_Сеть'!$L13:$BY13)*'07_Тарифы'!AQ$11</f>
        <v/>
      </c>
      <c r="BB41" s="5">
        <f>SUMIF($L40:$BY40,'03_Сеть'!BB7,'03_Сеть'!$L13:$BY13)*'07_Тарифы'!AR$11</f>
        <v/>
      </c>
      <c r="BC41" s="5">
        <f>SUMIF($L40:$BY40,'03_Сеть'!BC7,'03_Сеть'!$L13:$BY13)*'07_Тарифы'!AS$11</f>
        <v/>
      </c>
      <c r="BD41" s="5">
        <f>SUMIF($L40:$BY40,'03_Сеть'!BD7,'03_Сеть'!$L13:$BY13)*'07_Тарифы'!AT$11</f>
        <v/>
      </c>
      <c r="BE41" s="5">
        <f>SUMIF($L40:$BY40,'03_Сеть'!BE7,'03_Сеть'!$L13:$BY13)*'07_Тарифы'!AU$11</f>
        <v/>
      </c>
      <c r="BF41" s="5">
        <f>SUMIF($L40:$BY40,'03_Сеть'!BF7,'03_Сеть'!$L13:$BY13)*'07_Тарифы'!AV$11</f>
        <v/>
      </c>
      <c r="BG41" s="5">
        <f>SUMIF($L40:$BY40,'03_Сеть'!BG7,'03_Сеть'!$L13:$BY13)*'07_Тарифы'!AW$11</f>
        <v/>
      </c>
      <c r="BH41" s="5">
        <f>SUMIF($L40:$BY40,'03_Сеть'!BH7,'03_Сеть'!$L13:$BY13)*'07_Тарифы'!AX$11</f>
        <v/>
      </c>
      <c r="BI41" s="5">
        <f>SUMIF($L40:$BY40,'03_Сеть'!BI7,'03_Сеть'!$L13:$BY13)*'07_Тарифы'!AY$11</f>
        <v/>
      </c>
      <c r="BJ41" s="5">
        <f>SUMIF($L40:$BY40,'03_Сеть'!BJ7,'03_Сеть'!$L13:$BY13)*'07_Тарифы'!AZ$11</f>
        <v/>
      </c>
      <c r="BK41" s="5">
        <f>SUMIF($L40:$BY40,'03_Сеть'!BK7,'03_Сеть'!$L13:$BY13)*'07_Тарифы'!BA$11</f>
        <v/>
      </c>
      <c r="BL41" s="5">
        <f>SUMIF($L40:$BY40,'03_Сеть'!BL7,'03_Сеть'!$L13:$BY13)*'07_Тарифы'!BB$11</f>
        <v/>
      </c>
      <c r="BM41" s="5">
        <f>SUMIF($L40:$BY40,'03_Сеть'!BM7,'03_Сеть'!$L13:$BY13)*'07_Тарифы'!BC$11</f>
        <v/>
      </c>
      <c r="BN41" s="5">
        <f>SUMIF($L40:$BY40,'03_Сеть'!BN7,'03_Сеть'!$L13:$BY13)*'07_Тарифы'!BD$11</f>
        <v/>
      </c>
      <c r="BO41" s="5">
        <f>SUMIF($L40:$BY40,'03_Сеть'!BO7,'03_Сеть'!$L13:$BY13)*'07_Тарифы'!BE$11</f>
        <v/>
      </c>
      <c r="BP41" s="5">
        <f>SUMIF($L40:$BY40,'03_Сеть'!BP7,'03_Сеть'!$L13:$BY13)*'07_Тарифы'!BF$11</f>
        <v/>
      </c>
      <c r="BQ41" s="5">
        <f>SUMIF($L40:$BY40,'03_Сеть'!BQ7,'03_Сеть'!$L13:$BY13)*'07_Тарифы'!BG$11</f>
        <v/>
      </c>
      <c r="BR41" s="5">
        <f>SUMIF($L40:$BY40,'03_Сеть'!BR7,'03_Сеть'!$L13:$BY13)*'07_Тарифы'!BH$11</f>
        <v/>
      </c>
      <c r="BS41" s="5">
        <f>SUMIF($L40:$BY40,'03_Сеть'!BS7,'03_Сеть'!$L13:$BY13)*'07_Тарифы'!BI$11</f>
        <v/>
      </c>
      <c r="BT41" s="5">
        <f>SUMIF($L40:$BY40,'03_Сеть'!BT7,'03_Сеть'!$L13:$BY13)*'07_Тарифы'!BJ$11</f>
        <v/>
      </c>
      <c r="BU41" s="5">
        <f>SUMIF($L40:$BY40,'03_Сеть'!BU7,'03_Сеть'!$L13:$BY13)*'07_Тарифы'!BK$11</f>
        <v/>
      </c>
      <c r="BV41" s="5">
        <f>SUMIF($L40:$BY40,'03_Сеть'!BV7,'03_Сеть'!$L13:$BY13)*'07_Тарифы'!BL$11</f>
        <v/>
      </c>
      <c r="BW41" s="5">
        <f>SUMIF($L40:$BY40,'03_Сеть'!BW7,'03_Сеть'!$L13:$BY13)*'07_Тарифы'!BM$11</f>
        <v/>
      </c>
      <c r="BX41" s="5">
        <f>SUMIF($L40:$BY40,'03_Сеть'!BX7,'03_Сеть'!$L13:$BY13)*'07_Тарифы'!BN$11</f>
        <v/>
      </c>
      <c r="BY41" s="5">
        <f>SUMIF($L40:$BY40,'03_Сеть'!BY7,'03_Сеть'!$L13:$BY13)*'07_Тарифы'!BO$11</f>
        <v/>
      </c>
    </row>
    <row r="42">
      <c r="B42" t="inlineStr">
        <is>
          <t>БИБОСС, TopFranchise, Forbes</t>
        </is>
      </c>
      <c r="C42" t="inlineStr">
        <is>
          <t>₽</t>
        </is>
      </c>
      <c r="D42" s="127" t="inlineStr">
        <is>
          <t>Ежегодные размещения</t>
        </is>
      </c>
      <c r="E42" s="129">
        <f>SUM(L42:W42)</f>
        <v/>
      </c>
      <c r="F42" s="129">
        <f>SUM(X42:AI42)</f>
        <v/>
      </c>
      <c r="G42" s="129">
        <f>SUM(AJ42:AU42)</f>
        <v/>
      </c>
      <c r="H42" s="129">
        <f>SUM(AV42:BG42)</f>
        <v/>
      </c>
      <c r="I42" s="129">
        <f>SUM(BH42:BS42)</f>
        <v/>
      </c>
      <c r="J42" s="6">
        <f>SUM(L42:BS42)</f>
        <v/>
      </c>
      <c r="L42" s="5">
        <f>(IF(MONTH('03_Сеть'!L7)=МесяцБИБОСС,СуммаБИБОСС,0)+IF(MONTH('03_Сеть'!L7)=МесяцTopFranchise,СуммаTopFranchise,0)+IF(MONTH('03_Сеть'!L7)=МесяцForbes,СуммаForbes,0))*'04_Доходы'!L7</f>
        <v/>
      </c>
      <c r="M42" s="5">
        <f>(IF(MONTH('03_Сеть'!M7)=МесяцБИБОСС,СуммаБИБОСС,0)+IF(MONTH('03_Сеть'!M7)=МесяцTopFranchise,СуммаTopFranchise,0)+IF(MONTH('03_Сеть'!M7)=МесяцForbes,СуммаForbes,0))*'04_Доходы'!M7</f>
        <v/>
      </c>
      <c r="N42" s="5">
        <f>(IF(MONTH('03_Сеть'!N7)=МесяцБИБОСС,СуммаБИБОСС,0)+IF(MONTH('03_Сеть'!N7)=МесяцTopFranchise,СуммаTopFranchise,0)+IF(MONTH('03_Сеть'!N7)=МесяцForbes,СуммаForbes,0))*'04_Доходы'!N7</f>
        <v/>
      </c>
      <c r="O42" s="5">
        <f>(IF(MONTH('03_Сеть'!O7)=МесяцБИБОСС,СуммаБИБОСС,0)+IF(MONTH('03_Сеть'!O7)=МесяцTopFranchise,СуммаTopFranchise,0)+IF(MONTH('03_Сеть'!O7)=МесяцForbes,СуммаForbes,0))*'04_Доходы'!O7</f>
        <v/>
      </c>
      <c r="P42" s="5">
        <f>(IF(MONTH('03_Сеть'!P7)=МесяцБИБОСС,СуммаБИБОСС,0)+IF(MONTH('03_Сеть'!P7)=МесяцTopFranchise,СуммаTopFranchise,0)+IF(MONTH('03_Сеть'!P7)=МесяцForbes,СуммаForbes,0))*'04_Доходы'!P7</f>
        <v/>
      </c>
      <c r="Q42" s="5">
        <f>(IF(MONTH('03_Сеть'!Q7)=МесяцБИБОСС,СуммаБИБОСС,0)+IF(MONTH('03_Сеть'!Q7)=МесяцTopFranchise,СуммаTopFranchise,0)+IF(MONTH('03_Сеть'!Q7)=МесяцForbes,СуммаForbes,0))*'04_Доходы'!Q7</f>
        <v/>
      </c>
      <c r="R42" s="5">
        <f>(IF(MONTH('03_Сеть'!R7)=МесяцБИБОСС,СуммаБИБОСС,0)+IF(MONTH('03_Сеть'!R7)=МесяцTopFranchise,СуммаTopFranchise,0)+IF(MONTH('03_Сеть'!R7)=МесяцForbes,СуммаForbes,0))*'04_Доходы'!R7</f>
        <v/>
      </c>
      <c r="S42" s="5">
        <f>(IF(MONTH('03_Сеть'!S7)=МесяцБИБОСС,СуммаБИБОСС,0)+IF(MONTH('03_Сеть'!S7)=МесяцTopFranchise,СуммаTopFranchise,0)+IF(MONTH('03_Сеть'!S7)=МесяцForbes,СуммаForbes,0))*'04_Доходы'!S7</f>
        <v/>
      </c>
      <c r="T42" s="5">
        <f>(IF(MONTH('03_Сеть'!T7)=МесяцБИБОСС,СуммаБИБОСС,0)+IF(MONTH('03_Сеть'!T7)=МесяцTopFranchise,СуммаTopFranchise,0)+IF(MONTH('03_Сеть'!T7)=МесяцForbes,СуммаForbes,0))*'04_Доходы'!T7</f>
        <v/>
      </c>
      <c r="U42" s="5">
        <f>(IF(MONTH('03_Сеть'!U7)=МесяцБИБОСС,СуммаБИБОСС,0)+IF(MONTH('03_Сеть'!U7)=МесяцTopFranchise,СуммаTopFranchise,0)+IF(MONTH('03_Сеть'!U7)=МесяцForbes,СуммаForbes,0))*'04_Доходы'!U7</f>
        <v/>
      </c>
      <c r="V42" s="5">
        <f>(IF(MONTH('03_Сеть'!V7)=МесяцБИБОСС,СуммаБИБОСС,0)+IF(MONTH('03_Сеть'!V7)=МесяцTopFranchise,СуммаTopFranchise,0)+IF(MONTH('03_Сеть'!V7)=МесяцForbes,СуммаForbes,0))*'04_Доходы'!V7</f>
        <v/>
      </c>
      <c r="W42" s="5">
        <f>(IF(MONTH('03_Сеть'!W7)=МесяцБИБОСС,СуммаБИБОСС,0)+IF(MONTH('03_Сеть'!W7)=МесяцTopFranchise,СуммаTopFranchise,0)+IF(MONTH('03_Сеть'!W7)=МесяцForbes,СуммаForbes,0))*'04_Доходы'!W7</f>
        <v/>
      </c>
      <c r="X42" s="5">
        <f>(IF(MONTH('03_Сеть'!X7)=МесяцБИБОСС,СуммаБИБОСС,0)+IF(MONTH('03_Сеть'!X7)=МесяцTopFranchise,СуммаTopFranchise,0)+IF(MONTH('03_Сеть'!X7)=МесяцForbes,СуммаForbes,0))*'04_Доходы'!X7</f>
        <v/>
      </c>
      <c r="Y42" s="5">
        <f>(IF(MONTH('03_Сеть'!Y7)=МесяцБИБОСС,СуммаБИБОСС,0)+IF(MONTH('03_Сеть'!Y7)=МесяцTopFranchise,СуммаTopFranchise,0)+IF(MONTH('03_Сеть'!Y7)=МесяцForbes,СуммаForbes,0))*'04_Доходы'!Y7</f>
        <v/>
      </c>
      <c r="Z42" s="5">
        <f>(IF(MONTH('03_Сеть'!Z7)=МесяцБИБОСС,СуммаБИБОСС,0)+IF(MONTH('03_Сеть'!Z7)=МесяцTopFranchise,СуммаTopFranchise,0)+IF(MONTH('03_Сеть'!Z7)=МесяцForbes,СуммаForbes,0))*'04_Доходы'!Z7</f>
        <v/>
      </c>
      <c r="AA42" s="5">
        <f>(IF(MONTH('03_Сеть'!AA7)=МесяцБИБОСС,СуммаБИБОСС,0)+IF(MONTH('03_Сеть'!AA7)=МесяцTopFranchise,СуммаTopFranchise,0)+IF(MONTH('03_Сеть'!AA7)=МесяцForbes,СуммаForbes,0))*'04_Доходы'!AA7</f>
        <v/>
      </c>
      <c r="AB42" s="5">
        <f>(IF(MONTH('03_Сеть'!AB7)=МесяцБИБОСС,СуммаБИБОСС,0)+IF(MONTH('03_Сеть'!AB7)=МесяцTopFranchise,СуммаTopFranchise,0)+IF(MONTH('03_Сеть'!AB7)=МесяцForbes,СуммаForbes,0))*'04_Доходы'!AB7</f>
        <v/>
      </c>
      <c r="AC42" s="5">
        <f>(IF(MONTH('03_Сеть'!AC7)=МесяцБИБОСС,СуммаБИБОСС,0)+IF(MONTH('03_Сеть'!AC7)=МесяцTopFranchise,СуммаTopFranchise,0)+IF(MONTH('03_Сеть'!AC7)=МесяцForbes,СуммаForbes,0))*'04_Доходы'!AC7</f>
        <v/>
      </c>
      <c r="AD42" s="5">
        <f>(IF(MONTH('03_Сеть'!AD7)=МесяцБИБОСС,СуммаБИБОСС,0)+IF(MONTH('03_Сеть'!AD7)=МесяцTopFranchise,СуммаTopFranchise,0)+IF(MONTH('03_Сеть'!AD7)=МесяцForbes,СуммаForbes,0))*'04_Доходы'!AD7</f>
        <v/>
      </c>
      <c r="AE42" s="5">
        <f>(IF(MONTH('03_Сеть'!AE7)=МесяцБИБОСС,СуммаБИБОСС,0)+IF(MONTH('03_Сеть'!AE7)=МесяцTopFranchise,СуммаTopFranchise,0)+IF(MONTH('03_Сеть'!AE7)=МесяцForbes,СуммаForbes,0))*'04_Доходы'!AE7</f>
        <v/>
      </c>
      <c r="AF42" s="5">
        <f>(IF(MONTH('03_Сеть'!AF7)=МесяцБИБОСС,СуммаБИБОСС,0)+IF(MONTH('03_Сеть'!AF7)=МесяцTopFranchise,СуммаTopFranchise,0)+IF(MONTH('03_Сеть'!AF7)=МесяцForbes,СуммаForbes,0))*'04_Доходы'!AF7</f>
        <v/>
      </c>
      <c r="AG42" s="5">
        <f>(IF(MONTH('03_Сеть'!AG7)=МесяцБИБОСС,СуммаБИБОСС,0)+IF(MONTH('03_Сеть'!AG7)=МесяцTopFranchise,СуммаTopFranchise,0)+IF(MONTH('03_Сеть'!AG7)=МесяцForbes,СуммаForbes,0))*'04_Доходы'!AG7</f>
        <v/>
      </c>
      <c r="AH42" s="5">
        <f>(IF(MONTH('03_Сеть'!AH7)=МесяцБИБОСС,СуммаБИБОСС,0)+IF(MONTH('03_Сеть'!AH7)=МесяцTopFranchise,СуммаTopFranchise,0)+IF(MONTH('03_Сеть'!AH7)=МесяцForbes,СуммаForbes,0))*'04_Доходы'!AH7</f>
        <v/>
      </c>
      <c r="AI42" s="5">
        <f>(IF(MONTH('03_Сеть'!AI7)=МесяцБИБОСС,СуммаБИБОСС,0)+IF(MONTH('03_Сеть'!AI7)=МесяцTopFranchise,СуммаTopFranchise,0)+IF(MONTH('03_Сеть'!AI7)=МесяцForbes,СуммаForbes,0))*'04_Доходы'!AI7</f>
        <v/>
      </c>
      <c r="AJ42" s="5">
        <f>(IF(MONTH('03_Сеть'!AJ7)=МесяцБИБОСС,СуммаБИБОСС,0)+IF(MONTH('03_Сеть'!AJ7)=МесяцTopFranchise,СуммаTopFranchise,0)+IF(MONTH('03_Сеть'!AJ7)=МесяцForbes,СуммаForbes,0))*'04_Доходы'!AJ7</f>
        <v/>
      </c>
      <c r="AK42" s="5">
        <f>(IF(MONTH('03_Сеть'!AK7)=МесяцБИБОСС,СуммаБИБОСС,0)+IF(MONTH('03_Сеть'!AK7)=МесяцTopFranchise,СуммаTopFranchise,0)+IF(MONTH('03_Сеть'!AK7)=МесяцForbes,СуммаForbes,0))*'04_Доходы'!AK7</f>
        <v/>
      </c>
      <c r="AL42" s="5">
        <f>(IF(MONTH('03_Сеть'!AL7)=МесяцБИБОСС,СуммаБИБОСС,0)+IF(MONTH('03_Сеть'!AL7)=МесяцTopFranchise,СуммаTopFranchise,0)+IF(MONTH('03_Сеть'!AL7)=МесяцForbes,СуммаForbes,0))*'04_Доходы'!AL7</f>
        <v/>
      </c>
      <c r="AM42" s="5">
        <f>(IF(MONTH('03_Сеть'!AM7)=МесяцБИБОСС,СуммаБИБОСС,0)+IF(MONTH('03_Сеть'!AM7)=МесяцTopFranchise,СуммаTopFranchise,0)+IF(MONTH('03_Сеть'!AM7)=МесяцForbes,СуммаForbes,0))*'04_Доходы'!AM7</f>
        <v/>
      </c>
      <c r="AN42" s="5">
        <f>(IF(MONTH('03_Сеть'!AN7)=МесяцБИБОСС,СуммаБИБОСС,0)+IF(MONTH('03_Сеть'!AN7)=МесяцTopFranchise,СуммаTopFranchise,0)+IF(MONTH('03_Сеть'!AN7)=МесяцForbes,СуммаForbes,0))*'04_Доходы'!AN7</f>
        <v/>
      </c>
      <c r="AO42" s="5">
        <f>(IF(MONTH('03_Сеть'!AO7)=МесяцБИБОСС,СуммаБИБОСС,0)+IF(MONTH('03_Сеть'!AO7)=МесяцTopFranchise,СуммаTopFranchise,0)+IF(MONTH('03_Сеть'!AO7)=МесяцForbes,СуммаForbes,0))*'04_Доходы'!AO7</f>
        <v/>
      </c>
      <c r="AP42" s="5">
        <f>(IF(MONTH('03_Сеть'!AP7)=МесяцБИБОСС,СуммаБИБОСС,0)+IF(MONTH('03_Сеть'!AP7)=МесяцTopFranchise,СуммаTopFranchise,0)+IF(MONTH('03_Сеть'!AP7)=МесяцForbes,СуммаForbes,0))*'04_Доходы'!AP7</f>
        <v/>
      </c>
      <c r="AQ42" s="5">
        <f>(IF(MONTH('03_Сеть'!AQ7)=МесяцБИБОСС,СуммаБИБОСС,0)+IF(MONTH('03_Сеть'!AQ7)=МесяцTopFranchise,СуммаTopFranchise,0)+IF(MONTH('03_Сеть'!AQ7)=МесяцForbes,СуммаForbes,0))*'04_Доходы'!AQ7</f>
        <v/>
      </c>
      <c r="AR42" s="5">
        <f>(IF(MONTH('03_Сеть'!AR7)=МесяцБИБОСС,СуммаБИБОСС,0)+IF(MONTH('03_Сеть'!AR7)=МесяцTopFranchise,СуммаTopFranchise,0)+IF(MONTH('03_Сеть'!AR7)=МесяцForbes,СуммаForbes,0))*'04_Доходы'!AR7</f>
        <v/>
      </c>
      <c r="AS42" s="5">
        <f>(IF(MONTH('03_Сеть'!AS7)=МесяцБИБОСС,СуммаБИБОСС,0)+IF(MONTH('03_Сеть'!AS7)=МесяцTopFranchise,СуммаTopFranchise,0)+IF(MONTH('03_Сеть'!AS7)=МесяцForbes,СуммаForbes,0))*'04_Доходы'!AS7</f>
        <v/>
      </c>
      <c r="AT42" s="5">
        <f>(IF(MONTH('03_Сеть'!AT7)=МесяцБИБОСС,СуммаБИБОСС,0)+IF(MONTH('03_Сеть'!AT7)=МесяцTopFranchise,СуммаTopFranchise,0)+IF(MONTH('03_Сеть'!AT7)=МесяцForbes,СуммаForbes,0))*'04_Доходы'!AT7</f>
        <v/>
      </c>
      <c r="AU42" s="5">
        <f>(IF(MONTH('03_Сеть'!AU7)=МесяцБИБОСС,СуммаБИБОСС,0)+IF(MONTH('03_Сеть'!AU7)=МесяцTopFranchise,СуммаTopFranchise,0)+IF(MONTH('03_Сеть'!AU7)=МесяцForbes,СуммаForbes,0))*'04_Доходы'!AU7</f>
        <v/>
      </c>
      <c r="AV42" s="5">
        <f>(IF(MONTH('03_Сеть'!AV7)=МесяцБИБОСС,СуммаБИБОСС,0)+IF(MONTH('03_Сеть'!AV7)=МесяцTopFranchise,СуммаTopFranchise,0)+IF(MONTH('03_Сеть'!AV7)=МесяцForbes,СуммаForbes,0))*'04_Доходы'!AV7</f>
        <v/>
      </c>
      <c r="AW42" s="5">
        <f>(IF(MONTH('03_Сеть'!AW7)=МесяцБИБОСС,СуммаБИБОСС,0)+IF(MONTH('03_Сеть'!AW7)=МесяцTopFranchise,СуммаTopFranchise,0)+IF(MONTH('03_Сеть'!AW7)=МесяцForbes,СуммаForbes,0))*'04_Доходы'!AW7</f>
        <v/>
      </c>
      <c r="AX42" s="5">
        <f>(IF(MONTH('03_Сеть'!AX7)=МесяцБИБОСС,СуммаБИБОСС,0)+IF(MONTH('03_Сеть'!AX7)=МесяцTopFranchise,СуммаTopFranchise,0)+IF(MONTH('03_Сеть'!AX7)=МесяцForbes,СуммаForbes,0))*'04_Доходы'!AX7</f>
        <v/>
      </c>
      <c r="AY42" s="5">
        <f>(IF(MONTH('03_Сеть'!AY7)=МесяцБИБОСС,СуммаБИБОСС,0)+IF(MONTH('03_Сеть'!AY7)=МесяцTopFranchise,СуммаTopFranchise,0)+IF(MONTH('03_Сеть'!AY7)=МесяцForbes,СуммаForbes,0))*'04_Доходы'!AY7</f>
        <v/>
      </c>
      <c r="AZ42" s="5">
        <f>(IF(MONTH('03_Сеть'!AZ7)=МесяцБИБОСС,СуммаБИБОСС,0)+IF(MONTH('03_Сеть'!AZ7)=МесяцTopFranchise,СуммаTopFranchise,0)+IF(MONTH('03_Сеть'!AZ7)=МесяцForbes,СуммаForbes,0))*'04_Доходы'!AZ7</f>
        <v/>
      </c>
      <c r="BA42" s="5">
        <f>(IF(MONTH('03_Сеть'!BA7)=МесяцБИБОСС,СуммаБИБОСС,0)+IF(MONTH('03_Сеть'!BA7)=МесяцTopFranchise,СуммаTopFranchise,0)+IF(MONTH('03_Сеть'!BA7)=МесяцForbes,СуммаForbes,0))*'04_Доходы'!BA7</f>
        <v/>
      </c>
      <c r="BB42" s="5">
        <f>(IF(MONTH('03_Сеть'!BB7)=МесяцБИБОСС,СуммаБИБОСС,0)+IF(MONTH('03_Сеть'!BB7)=МесяцTopFranchise,СуммаTopFranchise,0)+IF(MONTH('03_Сеть'!BB7)=МесяцForbes,СуммаForbes,0))*'04_Доходы'!BB7</f>
        <v/>
      </c>
      <c r="BC42" s="5">
        <f>(IF(MONTH('03_Сеть'!BC7)=МесяцБИБОСС,СуммаБИБОСС,0)+IF(MONTH('03_Сеть'!BC7)=МесяцTopFranchise,СуммаTopFranchise,0)+IF(MONTH('03_Сеть'!BC7)=МесяцForbes,СуммаForbes,0))*'04_Доходы'!BC7</f>
        <v/>
      </c>
      <c r="BD42" s="5">
        <f>(IF(MONTH('03_Сеть'!BD7)=МесяцБИБОСС,СуммаБИБОСС,0)+IF(MONTH('03_Сеть'!BD7)=МесяцTopFranchise,СуммаTopFranchise,0)+IF(MONTH('03_Сеть'!BD7)=МесяцForbes,СуммаForbes,0))*'04_Доходы'!BD7</f>
        <v/>
      </c>
      <c r="BE42" s="5">
        <f>(IF(MONTH('03_Сеть'!BE7)=МесяцБИБОСС,СуммаБИБОСС,0)+IF(MONTH('03_Сеть'!BE7)=МесяцTopFranchise,СуммаTopFranchise,0)+IF(MONTH('03_Сеть'!BE7)=МесяцForbes,СуммаForbes,0))*'04_Доходы'!BE7</f>
        <v/>
      </c>
      <c r="BF42" s="5">
        <f>(IF(MONTH('03_Сеть'!BF7)=МесяцБИБОСС,СуммаБИБОСС,0)+IF(MONTH('03_Сеть'!BF7)=МесяцTopFranchise,СуммаTopFranchise,0)+IF(MONTH('03_Сеть'!BF7)=МесяцForbes,СуммаForbes,0))*'04_Доходы'!BF7</f>
        <v/>
      </c>
      <c r="BG42" s="5">
        <f>(IF(MONTH('03_Сеть'!BG7)=МесяцБИБОСС,СуммаБИБОСС,0)+IF(MONTH('03_Сеть'!BG7)=МесяцTopFranchise,СуммаTopFranchise,0)+IF(MONTH('03_Сеть'!BG7)=МесяцForbes,СуммаForbes,0))*'04_Доходы'!BG7</f>
        <v/>
      </c>
      <c r="BH42" s="5">
        <f>(IF(MONTH('03_Сеть'!BH7)=МесяцБИБОСС,СуммаБИБОСС,0)+IF(MONTH('03_Сеть'!BH7)=МесяцTopFranchise,СуммаTopFranchise,0)+IF(MONTH('03_Сеть'!BH7)=МесяцForbes,СуммаForbes,0))*'04_Доходы'!BH7</f>
        <v/>
      </c>
      <c r="BI42" s="5">
        <f>(IF(MONTH('03_Сеть'!BI7)=МесяцБИБОСС,СуммаБИБОСС,0)+IF(MONTH('03_Сеть'!BI7)=МесяцTopFranchise,СуммаTopFranchise,0)+IF(MONTH('03_Сеть'!BI7)=МесяцForbes,СуммаForbes,0))*'04_Доходы'!BI7</f>
        <v/>
      </c>
      <c r="BJ42" s="5">
        <f>(IF(MONTH('03_Сеть'!BJ7)=МесяцБИБОСС,СуммаБИБОСС,0)+IF(MONTH('03_Сеть'!BJ7)=МесяцTopFranchise,СуммаTopFranchise,0)+IF(MONTH('03_Сеть'!BJ7)=МесяцForbes,СуммаForbes,0))*'04_Доходы'!BJ7</f>
        <v/>
      </c>
      <c r="BK42" s="5">
        <f>(IF(MONTH('03_Сеть'!BK7)=МесяцБИБОСС,СуммаБИБОСС,0)+IF(MONTH('03_Сеть'!BK7)=МесяцTopFranchise,СуммаTopFranchise,0)+IF(MONTH('03_Сеть'!BK7)=МесяцForbes,СуммаForbes,0))*'04_Доходы'!BK7</f>
        <v/>
      </c>
      <c r="BL42" s="5">
        <f>(IF(MONTH('03_Сеть'!BL7)=МесяцБИБОСС,СуммаБИБОСС,0)+IF(MONTH('03_Сеть'!BL7)=МесяцTopFranchise,СуммаTopFranchise,0)+IF(MONTH('03_Сеть'!BL7)=МесяцForbes,СуммаForbes,0))*'04_Доходы'!BL7</f>
        <v/>
      </c>
      <c r="BM42" s="5">
        <f>(IF(MONTH('03_Сеть'!BM7)=МесяцБИБОСС,СуммаБИБОСС,0)+IF(MONTH('03_Сеть'!BM7)=МесяцTopFranchise,СуммаTopFranchise,0)+IF(MONTH('03_Сеть'!BM7)=МесяцForbes,СуммаForbes,0))*'04_Доходы'!BM7</f>
        <v/>
      </c>
      <c r="BN42" s="5">
        <f>(IF(MONTH('03_Сеть'!BN7)=МесяцБИБОСС,СуммаБИБОСС,0)+IF(MONTH('03_Сеть'!BN7)=МесяцTopFranchise,СуммаTopFranchise,0)+IF(MONTH('03_Сеть'!BN7)=МесяцForbes,СуммаForbes,0))*'04_Доходы'!BN7</f>
        <v/>
      </c>
      <c r="BO42" s="5">
        <f>(IF(MONTH('03_Сеть'!BO7)=МесяцБИБОСС,СуммаБИБОСС,0)+IF(MONTH('03_Сеть'!BO7)=МесяцTopFranchise,СуммаTopFranchise,0)+IF(MONTH('03_Сеть'!BO7)=МесяцForbes,СуммаForbes,0))*'04_Доходы'!BO7</f>
        <v/>
      </c>
      <c r="BP42" s="5">
        <f>(IF(MONTH('03_Сеть'!BP7)=МесяцБИБОСС,СуммаБИБОСС,0)+IF(MONTH('03_Сеть'!BP7)=МесяцTopFranchise,СуммаTopFranchise,0)+IF(MONTH('03_Сеть'!BP7)=МесяцForbes,СуммаForbes,0))*'04_Доходы'!BP7</f>
        <v/>
      </c>
      <c r="BQ42" s="5">
        <f>(IF(MONTH('03_Сеть'!BQ7)=МесяцБИБОСС,СуммаБИБОСС,0)+IF(MONTH('03_Сеть'!BQ7)=МесяцTopFranchise,СуммаTopFranchise,0)+IF(MONTH('03_Сеть'!BQ7)=МесяцForbes,СуммаForbes,0))*'04_Доходы'!BQ7</f>
        <v/>
      </c>
      <c r="BR42" s="5">
        <f>(IF(MONTH('03_Сеть'!BR7)=МесяцБИБОСС,СуммаБИБОСС,0)+IF(MONTH('03_Сеть'!BR7)=МесяцTopFranchise,СуммаTopFranchise,0)+IF(MONTH('03_Сеть'!BR7)=МесяцForbes,СуммаForbes,0))*'04_Доходы'!BR7</f>
        <v/>
      </c>
      <c r="BS42" s="5">
        <f>(IF(MONTH('03_Сеть'!BS7)=МесяцБИБОСС,СуммаБИБОСС,0)+IF(MONTH('03_Сеть'!BS7)=МесяцTopFranchise,СуммаTopFranchise,0)+IF(MONTH('03_Сеть'!BS7)=МесяцForbes,СуммаForbes,0))*'04_Доходы'!BS7</f>
        <v/>
      </c>
      <c r="BT42" s="5">
        <f>(IF(MONTH('03_Сеть'!BT7)=МесяцБИБОСС,СуммаБИБОСС,0)+IF(MONTH('03_Сеть'!BT7)=МесяцTopFranchise,СуммаTopFranchise,0)+IF(MONTH('03_Сеть'!BT7)=МесяцForbes,СуммаForbes,0))*'04_Доходы'!BT7</f>
        <v/>
      </c>
      <c r="BU42" s="5">
        <f>(IF(MONTH('03_Сеть'!BU7)=МесяцБИБОСС,СуммаБИБОСС,0)+IF(MONTH('03_Сеть'!BU7)=МесяцTopFranchise,СуммаTopFranchise,0)+IF(MONTH('03_Сеть'!BU7)=МесяцForbes,СуммаForbes,0))*'04_Доходы'!BU7</f>
        <v/>
      </c>
      <c r="BV42" s="5">
        <f>(IF(MONTH('03_Сеть'!BV7)=МесяцБИБОСС,СуммаБИБОСС,0)+IF(MONTH('03_Сеть'!BV7)=МесяцTopFranchise,СуммаTopFranchise,0)+IF(MONTH('03_Сеть'!BV7)=МесяцForbes,СуммаForbes,0))*'04_Доходы'!BV7</f>
        <v/>
      </c>
      <c r="BW42" s="5">
        <f>(IF(MONTH('03_Сеть'!BW7)=МесяцБИБОСС,СуммаБИБОСС,0)+IF(MONTH('03_Сеть'!BW7)=МесяцTopFranchise,СуммаTopFranchise,0)+IF(MONTH('03_Сеть'!BW7)=МесяцForbes,СуммаForbes,0))*'04_Доходы'!BW7</f>
        <v/>
      </c>
      <c r="BX42" s="5">
        <f>(IF(MONTH('03_Сеть'!BX7)=МесяцБИБОСС,СуммаБИБОСС,0)+IF(MONTH('03_Сеть'!BX7)=МесяцTopFranchise,СуммаTopFranchise,0)+IF(MONTH('03_Сеть'!BX7)=МесяцForbes,СуммаForbes,0))*'04_Доходы'!BX7</f>
        <v/>
      </c>
      <c r="BY42" s="5">
        <f>(IF(MONTH('03_Сеть'!BY7)=МесяцБИБОСС,СуммаБИБОСС,0)+IF(MONTH('03_Сеть'!BY7)=МесяцTopFranchise,СуммаTopFranchise,0)+IF(MONTH('03_Сеть'!BY7)=МесяцForbes,СуммаForbes,0))*'04_Доходы'!BY7</f>
        <v/>
      </c>
    </row>
    <row r="43">
      <c r="B43" t="inlineStr">
        <is>
          <t>Маркетинг привлечения — всего</t>
        </is>
      </c>
      <c r="C43" t="inlineStr">
        <is>
          <t>₽</t>
        </is>
      </c>
      <c r="D43" s="127" t="inlineStr"/>
      <c r="E43" s="129">
        <f>SUM(L43:W43)</f>
        <v/>
      </c>
      <c r="F43" s="129">
        <f>SUM(X43:AI43)</f>
        <v/>
      </c>
      <c r="G43" s="129">
        <f>SUM(AJ43:AU43)</f>
        <v/>
      </c>
      <c r="H43" s="129">
        <f>SUM(AV43:BG43)</f>
        <v/>
      </c>
      <c r="I43" s="129">
        <f>SUM(BH43:BS43)</f>
        <v/>
      </c>
      <c r="J43" s="6">
        <f>SUM(L43:BS43)</f>
        <v/>
      </c>
      <c r="L43" s="5">
        <f>L41+L42</f>
        <v/>
      </c>
      <c r="M43" s="5">
        <f>M41+M42</f>
        <v/>
      </c>
      <c r="N43" s="5">
        <f>N41+N42</f>
        <v/>
      </c>
      <c r="O43" s="5">
        <f>O41+O42</f>
        <v/>
      </c>
      <c r="P43" s="5">
        <f>P41+P42</f>
        <v/>
      </c>
      <c r="Q43" s="5">
        <f>Q41+Q42</f>
        <v/>
      </c>
      <c r="R43" s="5">
        <f>R41+R42</f>
        <v/>
      </c>
      <c r="S43" s="5">
        <f>S41+S42</f>
        <v/>
      </c>
      <c r="T43" s="5">
        <f>T41+T42</f>
        <v/>
      </c>
      <c r="U43" s="5">
        <f>U41+U42</f>
        <v/>
      </c>
      <c r="V43" s="5">
        <f>V41+V42</f>
        <v/>
      </c>
      <c r="W43" s="5">
        <f>W41+W42</f>
        <v/>
      </c>
      <c r="X43" s="5">
        <f>X41+X42</f>
        <v/>
      </c>
      <c r="Y43" s="5">
        <f>Y41+Y42</f>
        <v/>
      </c>
      <c r="Z43" s="5">
        <f>Z41+Z42</f>
        <v/>
      </c>
      <c r="AA43" s="5">
        <f>AA41+AA42</f>
        <v/>
      </c>
      <c r="AB43" s="5">
        <f>AB41+AB42</f>
        <v/>
      </c>
      <c r="AC43" s="5">
        <f>AC41+AC42</f>
        <v/>
      </c>
      <c r="AD43" s="5">
        <f>AD41+AD42</f>
        <v/>
      </c>
      <c r="AE43" s="5">
        <f>AE41+AE42</f>
        <v/>
      </c>
      <c r="AF43" s="5">
        <f>AF41+AF42</f>
        <v/>
      </c>
      <c r="AG43" s="5">
        <f>AG41+AG42</f>
        <v/>
      </c>
      <c r="AH43" s="5">
        <f>AH41+AH42</f>
        <v/>
      </c>
      <c r="AI43" s="5">
        <f>AI41+AI42</f>
        <v/>
      </c>
      <c r="AJ43" s="5">
        <f>AJ41+AJ42</f>
        <v/>
      </c>
      <c r="AK43" s="5">
        <f>AK41+AK42</f>
        <v/>
      </c>
      <c r="AL43" s="5">
        <f>AL41+AL42</f>
        <v/>
      </c>
      <c r="AM43" s="5">
        <f>AM41+AM42</f>
        <v/>
      </c>
      <c r="AN43" s="5">
        <f>AN41+AN42</f>
        <v/>
      </c>
      <c r="AO43" s="5">
        <f>AO41+AO42</f>
        <v/>
      </c>
      <c r="AP43" s="5">
        <f>AP41+AP42</f>
        <v/>
      </c>
      <c r="AQ43" s="5">
        <f>AQ41+AQ42</f>
        <v/>
      </c>
      <c r="AR43" s="5">
        <f>AR41+AR42</f>
        <v/>
      </c>
      <c r="AS43" s="5">
        <f>AS41+AS42</f>
        <v/>
      </c>
      <c r="AT43" s="5">
        <f>AT41+AT42</f>
        <v/>
      </c>
      <c r="AU43" s="5">
        <f>AU41+AU42</f>
        <v/>
      </c>
      <c r="AV43" s="5">
        <f>AV41+AV42</f>
        <v/>
      </c>
      <c r="AW43" s="5">
        <f>AW41+AW42</f>
        <v/>
      </c>
      <c r="AX43" s="5">
        <f>AX41+AX42</f>
        <v/>
      </c>
      <c r="AY43" s="5">
        <f>AY41+AY42</f>
        <v/>
      </c>
      <c r="AZ43" s="5">
        <f>AZ41+AZ42</f>
        <v/>
      </c>
      <c r="BA43" s="5">
        <f>BA41+BA42</f>
        <v/>
      </c>
      <c r="BB43" s="5">
        <f>BB41+BB42</f>
        <v/>
      </c>
      <c r="BC43" s="5">
        <f>BC41+BC42</f>
        <v/>
      </c>
      <c r="BD43" s="5">
        <f>BD41+BD42</f>
        <v/>
      </c>
      <c r="BE43" s="5">
        <f>BE41+BE42</f>
        <v/>
      </c>
      <c r="BF43" s="5">
        <f>BF41+BF42</f>
        <v/>
      </c>
      <c r="BG43" s="5">
        <f>BG41+BG42</f>
        <v/>
      </c>
      <c r="BH43" s="5">
        <f>BH41+BH42</f>
        <v/>
      </c>
      <c r="BI43" s="5">
        <f>BI41+BI42</f>
        <v/>
      </c>
      <c r="BJ43" s="5">
        <f>BJ41+BJ42</f>
        <v/>
      </c>
      <c r="BK43" s="5">
        <f>BK41+BK42</f>
        <v/>
      </c>
      <c r="BL43" s="5">
        <f>BL41+BL42</f>
        <v/>
      </c>
      <c r="BM43" s="5">
        <f>BM41+BM42</f>
        <v/>
      </c>
      <c r="BN43" s="5">
        <f>BN41+BN42</f>
        <v/>
      </c>
      <c r="BO43" s="5">
        <f>BO41+BO42</f>
        <v/>
      </c>
      <c r="BP43" s="5">
        <f>BP41+BP42</f>
        <v/>
      </c>
      <c r="BQ43" s="5">
        <f>BQ41+BQ42</f>
        <v/>
      </c>
      <c r="BR43" s="5">
        <f>BR41+BR42</f>
        <v/>
      </c>
      <c r="BS43" s="5">
        <f>BS41+BS42</f>
        <v/>
      </c>
      <c r="BT43" s="5">
        <f>BT41+BT42</f>
        <v/>
      </c>
      <c r="BU43" s="5">
        <f>BU41+BU42</f>
        <v/>
      </c>
      <c r="BV43" s="5">
        <f>BV41+BV42</f>
        <v/>
      </c>
      <c r="BW43" s="5">
        <f>BW41+BW42</f>
        <v/>
      </c>
      <c r="BX43" s="5">
        <f>BX41+BX42</f>
        <v/>
      </c>
      <c r="BY43" s="5">
        <f>BY41+BY42</f>
        <v/>
      </c>
    </row>
    <row r="44">
      <c r="B44" s="7" t="inlineStr">
        <is>
          <t>OPEX — всего</t>
        </is>
      </c>
      <c r="C44" s="7" t="inlineStr">
        <is>
          <t>₽</t>
        </is>
      </c>
      <c r="D44" s="130" t="inlineStr"/>
      <c r="E44" s="131">
        <f>SUM(L44:W44)</f>
        <v/>
      </c>
      <c r="F44" s="131">
        <f>SUM(X44:AI44)</f>
        <v/>
      </c>
      <c r="G44" s="131">
        <f>SUM(AJ44:AU44)</f>
        <v/>
      </c>
      <c r="H44" s="131">
        <f>SUM(AV44:BG44)</f>
        <v/>
      </c>
      <c r="I44" s="131">
        <f>SUM(BH44:BS44)</f>
        <v/>
      </c>
      <c r="J44" s="10">
        <f>SUM(L44:BS44)</f>
        <v/>
      </c>
      <c r="L44" s="9">
        <f>L30+L35+L36+L37+L38+L39+L43</f>
        <v/>
      </c>
      <c r="M44" s="9">
        <f>M30+M35+M36+M37+M38+M39+M43</f>
        <v/>
      </c>
      <c r="N44" s="9">
        <f>N30+N35+N36+N37+N38+N39+N43</f>
        <v/>
      </c>
      <c r="O44" s="9">
        <f>O30+O35+O36+O37+O38+O39+O43</f>
        <v/>
      </c>
      <c r="P44" s="9">
        <f>P30+P35+P36+P37+P38+P39+P43</f>
        <v/>
      </c>
      <c r="Q44" s="9">
        <f>Q30+Q35+Q36+Q37+Q38+Q39+Q43</f>
        <v/>
      </c>
      <c r="R44" s="9">
        <f>R30+R35+R36+R37+R38+R39+R43</f>
        <v/>
      </c>
      <c r="S44" s="9">
        <f>S30+S35+S36+S37+S38+S39+S43</f>
        <v/>
      </c>
      <c r="T44" s="9">
        <f>T30+T35+T36+T37+T38+T39+T43</f>
        <v/>
      </c>
      <c r="U44" s="9">
        <f>U30+U35+U36+U37+U38+U39+U43</f>
        <v/>
      </c>
      <c r="V44" s="9">
        <f>V30+V35+V36+V37+V38+V39+V43</f>
        <v/>
      </c>
      <c r="W44" s="9">
        <f>W30+W35+W36+W37+W38+W39+W43</f>
        <v/>
      </c>
      <c r="X44" s="9">
        <f>X30+X35+X36+X37+X38+X39+X43</f>
        <v/>
      </c>
      <c r="Y44" s="9">
        <f>Y30+Y35+Y36+Y37+Y38+Y39+Y43</f>
        <v/>
      </c>
      <c r="Z44" s="9">
        <f>Z30+Z35+Z36+Z37+Z38+Z39+Z43</f>
        <v/>
      </c>
      <c r="AA44" s="9">
        <f>AA30+AA35+AA36+AA37+AA38+AA39+AA43</f>
        <v/>
      </c>
      <c r="AB44" s="9">
        <f>AB30+AB35+AB36+AB37+AB38+AB39+AB43</f>
        <v/>
      </c>
      <c r="AC44" s="9">
        <f>AC30+AC35+AC36+AC37+AC38+AC39+AC43</f>
        <v/>
      </c>
      <c r="AD44" s="9">
        <f>AD30+AD35+AD36+AD37+AD38+AD39+AD43</f>
        <v/>
      </c>
      <c r="AE44" s="9">
        <f>AE30+AE35+AE36+AE37+AE38+AE39+AE43</f>
        <v/>
      </c>
      <c r="AF44" s="9">
        <f>AF30+AF35+AF36+AF37+AF38+AF39+AF43</f>
        <v/>
      </c>
      <c r="AG44" s="9">
        <f>AG30+AG35+AG36+AG37+AG38+AG39+AG43</f>
        <v/>
      </c>
      <c r="AH44" s="9">
        <f>AH30+AH35+AH36+AH37+AH38+AH39+AH43</f>
        <v/>
      </c>
      <c r="AI44" s="9">
        <f>AI30+AI35+AI36+AI37+AI38+AI39+AI43</f>
        <v/>
      </c>
      <c r="AJ44" s="9">
        <f>AJ30+AJ35+AJ36+AJ37+AJ38+AJ39+AJ43</f>
        <v/>
      </c>
      <c r="AK44" s="9">
        <f>AK30+AK35+AK36+AK37+AK38+AK39+AK43</f>
        <v/>
      </c>
      <c r="AL44" s="9">
        <f>AL30+AL35+AL36+AL37+AL38+AL39+AL43</f>
        <v/>
      </c>
      <c r="AM44" s="9">
        <f>AM30+AM35+AM36+AM37+AM38+AM39+AM43</f>
        <v/>
      </c>
      <c r="AN44" s="9">
        <f>AN30+AN35+AN36+AN37+AN38+AN39+AN43</f>
        <v/>
      </c>
      <c r="AO44" s="9">
        <f>AO30+AO35+AO36+AO37+AO38+AO39+AO43</f>
        <v/>
      </c>
      <c r="AP44" s="9">
        <f>AP30+AP35+AP36+AP37+AP38+AP39+AP43</f>
        <v/>
      </c>
      <c r="AQ44" s="9">
        <f>AQ30+AQ35+AQ36+AQ37+AQ38+AQ39+AQ43</f>
        <v/>
      </c>
      <c r="AR44" s="9">
        <f>AR30+AR35+AR36+AR37+AR38+AR39+AR43</f>
        <v/>
      </c>
      <c r="AS44" s="9">
        <f>AS30+AS35+AS36+AS37+AS38+AS39+AS43</f>
        <v/>
      </c>
      <c r="AT44" s="9">
        <f>AT30+AT35+AT36+AT37+AT38+AT39+AT43</f>
        <v/>
      </c>
      <c r="AU44" s="9">
        <f>AU30+AU35+AU36+AU37+AU38+AU39+AU43</f>
        <v/>
      </c>
      <c r="AV44" s="9">
        <f>AV30+AV35+AV36+AV37+AV38+AV39+AV43</f>
        <v/>
      </c>
      <c r="AW44" s="9">
        <f>AW30+AW35+AW36+AW37+AW38+AW39+AW43</f>
        <v/>
      </c>
      <c r="AX44" s="9">
        <f>AX30+AX35+AX36+AX37+AX38+AX39+AX43</f>
        <v/>
      </c>
      <c r="AY44" s="9">
        <f>AY30+AY35+AY36+AY37+AY38+AY39+AY43</f>
        <v/>
      </c>
      <c r="AZ44" s="9">
        <f>AZ30+AZ35+AZ36+AZ37+AZ38+AZ39+AZ43</f>
        <v/>
      </c>
      <c r="BA44" s="9">
        <f>BA30+BA35+BA36+BA37+BA38+BA39+BA43</f>
        <v/>
      </c>
      <c r="BB44" s="9">
        <f>BB30+BB35+BB36+BB37+BB38+BB39+BB43</f>
        <v/>
      </c>
      <c r="BC44" s="9">
        <f>BC30+BC35+BC36+BC37+BC38+BC39+BC43</f>
        <v/>
      </c>
      <c r="BD44" s="9">
        <f>BD30+BD35+BD36+BD37+BD38+BD39+BD43</f>
        <v/>
      </c>
      <c r="BE44" s="9">
        <f>BE30+BE35+BE36+BE37+BE38+BE39+BE43</f>
        <v/>
      </c>
      <c r="BF44" s="9">
        <f>BF30+BF35+BF36+BF37+BF38+BF39+BF43</f>
        <v/>
      </c>
      <c r="BG44" s="9">
        <f>BG30+BG35+BG36+BG37+BG38+BG39+BG43</f>
        <v/>
      </c>
      <c r="BH44" s="9">
        <f>BH30+BH35+BH36+BH37+BH38+BH39+BH43</f>
        <v/>
      </c>
      <c r="BI44" s="9">
        <f>BI30+BI35+BI36+BI37+BI38+BI39+BI43</f>
        <v/>
      </c>
      <c r="BJ44" s="9">
        <f>BJ30+BJ35+BJ36+BJ37+BJ38+BJ39+BJ43</f>
        <v/>
      </c>
      <c r="BK44" s="9">
        <f>BK30+BK35+BK36+BK37+BK38+BK39+BK43</f>
        <v/>
      </c>
      <c r="BL44" s="9">
        <f>BL30+BL35+BL36+BL37+BL38+BL39+BL43</f>
        <v/>
      </c>
      <c r="BM44" s="9">
        <f>BM30+BM35+BM36+BM37+BM38+BM39+BM43</f>
        <v/>
      </c>
      <c r="BN44" s="9">
        <f>BN30+BN35+BN36+BN37+BN38+BN39+BN43</f>
        <v/>
      </c>
      <c r="BO44" s="9">
        <f>BO30+BO35+BO36+BO37+BO38+BO39+BO43</f>
        <v/>
      </c>
      <c r="BP44" s="9">
        <f>BP30+BP35+BP36+BP37+BP38+BP39+BP43</f>
        <v/>
      </c>
      <c r="BQ44" s="9">
        <f>BQ30+BQ35+BQ36+BQ37+BQ38+BQ39+BQ43</f>
        <v/>
      </c>
      <c r="BR44" s="9">
        <f>BR30+BR35+BR36+BR37+BR38+BR39+BR43</f>
        <v/>
      </c>
      <c r="BS44" s="9">
        <f>BS30+BS35+BS36+BS37+BS38+BS39+BS43</f>
        <v/>
      </c>
      <c r="BT44" s="9">
        <f>BT30+BT35+BT36+BT37+BT38+BT39+BT43</f>
        <v/>
      </c>
      <c r="BU44" s="9">
        <f>BU30+BU35+BU36+BU37+BU38+BU39+BU43</f>
        <v/>
      </c>
      <c r="BV44" s="9">
        <f>BV30+BV35+BV36+BV37+BV38+BV39+BV43</f>
        <v/>
      </c>
      <c r="BW44" s="9">
        <f>BW30+BW35+BW36+BW37+BW38+BW39+BW43</f>
        <v/>
      </c>
      <c r="BX44" s="9">
        <f>BX30+BX35+BX36+BX37+BX38+BX39+BX43</f>
        <v/>
      </c>
      <c r="BY44" s="9">
        <f>BY30+BY35+BY36+BY37+BY38+BY39+BY43</f>
        <v/>
      </c>
    </row>
    <row r="46">
      <c r="B46" s="125" t="inlineStr">
        <is>
          <t>Выплаты футбольному клубу</t>
        </is>
      </c>
      <c r="C46" s="126" t="n"/>
      <c r="D46" s="126" t="n"/>
      <c r="E46" s="126" t="n"/>
      <c r="F46" s="126" t="n"/>
      <c r="G46" s="126" t="n"/>
      <c r="H46" s="126" t="n"/>
      <c r="I46" s="126" t="n"/>
      <c r="J46" s="126" t="n"/>
      <c r="K46" s="126" t="n"/>
      <c r="L46" s="126" t="n"/>
      <c r="M46" s="126" t="n"/>
      <c r="N46" s="126" t="n"/>
      <c r="O46" s="126" t="n"/>
      <c r="P46" s="126" t="n"/>
      <c r="Q46" s="126" t="n"/>
      <c r="R46" s="126" t="n"/>
      <c r="S46" s="126" t="n"/>
      <c r="T46" s="126" t="n"/>
      <c r="U46" s="126" t="n"/>
      <c r="V46" s="126" t="n"/>
      <c r="W46" s="126" t="n"/>
      <c r="X46" s="126" t="n"/>
      <c r="Y46" s="126" t="n"/>
      <c r="Z46" s="126" t="n"/>
      <c r="AA46" s="126" t="n"/>
      <c r="AB46" s="126" t="n"/>
      <c r="AC46" s="126" t="n"/>
      <c r="AD46" s="126" t="n"/>
      <c r="AE46" s="126" t="n"/>
      <c r="AF46" s="126" t="n"/>
      <c r="AG46" s="126" t="n"/>
      <c r="AH46" s="126" t="n"/>
      <c r="AI46" s="126" t="n"/>
      <c r="AJ46" s="126" t="n"/>
      <c r="AK46" s="126" t="n"/>
      <c r="AL46" s="126" t="n"/>
      <c r="AM46" s="126" t="n"/>
      <c r="AN46" s="126" t="n"/>
      <c r="AO46" s="126" t="n"/>
      <c r="AP46" s="126" t="n"/>
      <c r="AQ46" s="126" t="n"/>
      <c r="AR46" s="126" t="n"/>
      <c r="AS46" s="126" t="n"/>
      <c r="AT46" s="126" t="n"/>
      <c r="AU46" s="126" t="n"/>
      <c r="AV46" s="126" t="n"/>
      <c r="AW46" s="126" t="n"/>
      <c r="AX46" s="126" t="n"/>
      <c r="AY46" s="126" t="n"/>
      <c r="AZ46" s="126" t="n"/>
      <c r="BA46" s="126" t="n"/>
      <c r="BB46" s="126" t="n"/>
      <c r="BC46" s="126" t="n"/>
      <c r="BD46" s="126" t="n"/>
      <c r="BE46" s="126" t="n"/>
      <c r="BF46" s="126" t="n"/>
      <c r="BG46" s="126" t="n"/>
      <c r="BH46" s="126" t="n"/>
      <c r="BI46" s="126" t="n"/>
      <c r="BJ46" s="126" t="n"/>
      <c r="BK46" s="126" t="n"/>
      <c r="BL46" s="126" t="n"/>
      <c r="BM46" s="126" t="n"/>
      <c r="BN46" s="126" t="n"/>
      <c r="BO46" s="126" t="n"/>
      <c r="BP46" s="126" t="n"/>
      <c r="BQ46" s="126" t="n"/>
      <c r="BR46" s="126" t="n"/>
      <c r="BS46" s="126" t="n"/>
      <c r="BT46" s="126" t="n"/>
      <c r="BU46" s="126" t="n"/>
      <c r="BV46" s="126" t="n"/>
      <c r="BW46" s="126" t="n"/>
      <c r="BX46" s="126" t="n"/>
      <c r="BY46" s="126" t="n"/>
    </row>
    <row r="47">
      <c r="B47" t="inlineStr">
        <is>
          <t>Начислено ФК: паушальные</t>
        </is>
      </c>
      <c r="C47" t="inlineStr">
        <is>
          <t>₽</t>
        </is>
      </c>
      <c r="D47" s="127" t="inlineStr"/>
      <c r="E47" s="129">
        <f>SUM(L47:W47)</f>
        <v/>
      </c>
      <c r="F47" s="129">
        <f>SUM(X47:AI47)</f>
        <v/>
      </c>
      <c r="G47" s="129">
        <f>SUM(AJ47:AU47)</f>
        <v/>
      </c>
      <c r="H47" s="129">
        <f>SUM(AV47:BG47)</f>
        <v/>
      </c>
      <c r="I47" s="129">
        <f>SUM(BH47:BS47)</f>
        <v/>
      </c>
      <c r="J47" s="6">
        <f>SUM(L47:BS47)</f>
        <v/>
      </c>
      <c r="L47" s="5">
        <f>'04_Доходы'!L14*ДоляФКПаушальные</f>
        <v/>
      </c>
      <c r="M47" s="5">
        <f>'04_Доходы'!M14*ДоляФКПаушальные</f>
        <v/>
      </c>
      <c r="N47" s="5">
        <f>'04_Доходы'!N14*ДоляФКПаушальные</f>
        <v/>
      </c>
      <c r="O47" s="5">
        <f>'04_Доходы'!O14*ДоляФКПаушальные</f>
        <v/>
      </c>
      <c r="P47" s="5">
        <f>'04_Доходы'!P14*ДоляФКПаушальные</f>
        <v/>
      </c>
      <c r="Q47" s="5">
        <f>'04_Доходы'!Q14*ДоляФКПаушальные</f>
        <v/>
      </c>
      <c r="R47" s="5">
        <f>'04_Доходы'!R14*ДоляФКПаушальные</f>
        <v/>
      </c>
      <c r="S47" s="5">
        <f>'04_Доходы'!S14*ДоляФКПаушальные</f>
        <v/>
      </c>
      <c r="T47" s="5">
        <f>'04_Доходы'!T14*ДоляФКПаушальные</f>
        <v/>
      </c>
      <c r="U47" s="5">
        <f>'04_Доходы'!U14*ДоляФКПаушальные</f>
        <v/>
      </c>
      <c r="V47" s="5">
        <f>'04_Доходы'!V14*ДоляФКПаушальные</f>
        <v/>
      </c>
      <c r="W47" s="5">
        <f>'04_Доходы'!W14*ДоляФКПаушальные</f>
        <v/>
      </c>
      <c r="X47" s="5">
        <f>'04_Доходы'!X14*ДоляФКПаушальные</f>
        <v/>
      </c>
      <c r="Y47" s="5">
        <f>'04_Доходы'!Y14*ДоляФКПаушальные</f>
        <v/>
      </c>
      <c r="Z47" s="5">
        <f>'04_Доходы'!Z14*ДоляФКПаушальные</f>
        <v/>
      </c>
      <c r="AA47" s="5">
        <f>'04_Доходы'!AA14*ДоляФКПаушальные</f>
        <v/>
      </c>
      <c r="AB47" s="5">
        <f>'04_Доходы'!AB14*ДоляФКПаушальные</f>
        <v/>
      </c>
      <c r="AC47" s="5">
        <f>'04_Доходы'!AC14*ДоляФКПаушальные</f>
        <v/>
      </c>
      <c r="AD47" s="5">
        <f>'04_Доходы'!AD14*ДоляФКПаушальные</f>
        <v/>
      </c>
      <c r="AE47" s="5">
        <f>'04_Доходы'!AE14*ДоляФКПаушальные</f>
        <v/>
      </c>
      <c r="AF47" s="5">
        <f>'04_Доходы'!AF14*ДоляФКПаушальные</f>
        <v/>
      </c>
      <c r="AG47" s="5">
        <f>'04_Доходы'!AG14*ДоляФКПаушальные</f>
        <v/>
      </c>
      <c r="AH47" s="5">
        <f>'04_Доходы'!AH14*ДоляФКПаушальные</f>
        <v/>
      </c>
      <c r="AI47" s="5">
        <f>'04_Доходы'!AI14*ДоляФКПаушальные</f>
        <v/>
      </c>
      <c r="AJ47" s="5">
        <f>'04_Доходы'!AJ14*ДоляФКПаушальные</f>
        <v/>
      </c>
      <c r="AK47" s="5">
        <f>'04_Доходы'!AK14*ДоляФКПаушальные</f>
        <v/>
      </c>
      <c r="AL47" s="5">
        <f>'04_Доходы'!AL14*ДоляФКПаушальные</f>
        <v/>
      </c>
      <c r="AM47" s="5">
        <f>'04_Доходы'!AM14*ДоляФКПаушальные</f>
        <v/>
      </c>
      <c r="AN47" s="5">
        <f>'04_Доходы'!AN14*ДоляФКПаушальные</f>
        <v/>
      </c>
      <c r="AO47" s="5">
        <f>'04_Доходы'!AO14*ДоляФКПаушальные</f>
        <v/>
      </c>
      <c r="AP47" s="5">
        <f>'04_Доходы'!AP14*ДоляФКПаушальные</f>
        <v/>
      </c>
      <c r="AQ47" s="5">
        <f>'04_Доходы'!AQ14*ДоляФКПаушальные</f>
        <v/>
      </c>
      <c r="AR47" s="5">
        <f>'04_Доходы'!AR14*ДоляФКПаушальные</f>
        <v/>
      </c>
      <c r="AS47" s="5">
        <f>'04_Доходы'!AS14*ДоляФКПаушальные</f>
        <v/>
      </c>
      <c r="AT47" s="5">
        <f>'04_Доходы'!AT14*ДоляФКПаушальные</f>
        <v/>
      </c>
      <c r="AU47" s="5">
        <f>'04_Доходы'!AU14*ДоляФКПаушальные</f>
        <v/>
      </c>
      <c r="AV47" s="5">
        <f>'04_Доходы'!AV14*ДоляФКПаушальные</f>
        <v/>
      </c>
      <c r="AW47" s="5">
        <f>'04_Доходы'!AW14*ДоляФКПаушальные</f>
        <v/>
      </c>
      <c r="AX47" s="5">
        <f>'04_Доходы'!AX14*ДоляФКПаушальные</f>
        <v/>
      </c>
      <c r="AY47" s="5">
        <f>'04_Доходы'!AY14*ДоляФКПаушальные</f>
        <v/>
      </c>
      <c r="AZ47" s="5">
        <f>'04_Доходы'!AZ14*ДоляФКПаушальные</f>
        <v/>
      </c>
      <c r="BA47" s="5">
        <f>'04_Доходы'!BA14*ДоляФКПаушальные</f>
        <v/>
      </c>
      <c r="BB47" s="5">
        <f>'04_Доходы'!BB14*ДоляФКПаушальные</f>
        <v/>
      </c>
      <c r="BC47" s="5">
        <f>'04_Доходы'!BC14*ДоляФКПаушальные</f>
        <v/>
      </c>
      <c r="BD47" s="5">
        <f>'04_Доходы'!BD14*ДоляФКПаушальные</f>
        <v/>
      </c>
      <c r="BE47" s="5">
        <f>'04_Доходы'!BE14*ДоляФКПаушальные</f>
        <v/>
      </c>
      <c r="BF47" s="5">
        <f>'04_Доходы'!BF14*ДоляФКПаушальные</f>
        <v/>
      </c>
      <c r="BG47" s="5">
        <f>'04_Доходы'!BG14*ДоляФКПаушальные</f>
        <v/>
      </c>
      <c r="BH47" s="5">
        <f>'04_Доходы'!BH14*ДоляФКПаушальные</f>
        <v/>
      </c>
      <c r="BI47" s="5">
        <f>'04_Доходы'!BI14*ДоляФКПаушальные</f>
        <v/>
      </c>
      <c r="BJ47" s="5">
        <f>'04_Доходы'!BJ14*ДоляФКПаушальные</f>
        <v/>
      </c>
      <c r="BK47" s="5">
        <f>'04_Доходы'!BK14*ДоляФКПаушальные</f>
        <v/>
      </c>
      <c r="BL47" s="5">
        <f>'04_Доходы'!BL14*ДоляФКПаушальные</f>
        <v/>
      </c>
      <c r="BM47" s="5">
        <f>'04_Доходы'!BM14*ДоляФКПаушальные</f>
        <v/>
      </c>
      <c r="BN47" s="5">
        <f>'04_Доходы'!BN14*ДоляФКПаушальные</f>
        <v/>
      </c>
      <c r="BO47" s="5">
        <f>'04_Доходы'!BO14*ДоляФКПаушальные</f>
        <v/>
      </c>
      <c r="BP47" s="5">
        <f>'04_Доходы'!BP14*ДоляФКПаушальные</f>
        <v/>
      </c>
      <c r="BQ47" s="5">
        <f>'04_Доходы'!BQ14*ДоляФКПаушальные</f>
        <v/>
      </c>
      <c r="BR47" s="5">
        <f>'04_Доходы'!BR14*ДоляФКПаушальные</f>
        <v/>
      </c>
      <c r="BS47" s="5">
        <f>'04_Доходы'!BS14*ДоляФКПаушальные</f>
        <v/>
      </c>
      <c r="BT47" s="5">
        <f>'04_Доходы'!BT14*ДоляФКПаушальные</f>
        <v/>
      </c>
      <c r="BU47" s="5">
        <f>'04_Доходы'!BU14*ДоляФКПаушальные</f>
        <v/>
      </c>
      <c r="BV47" s="5">
        <f>'04_Доходы'!BV14*ДоляФКПаушальные</f>
        <v/>
      </c>
      <c r="BW47" s="5">
        <f>'04_Доходы'!BW14*ДоляФКПаушальные</f>
        <v/>
      </c>
      <c r="BX47" s="5">
        <f>'04_Доходы'!BX14*ДоляФКПаушальные</f>
        <v/>
      </c>
      <c r="BY47" s="5">
        <f>'04_Доходы'!BY14*ДоляФКПаушальные</f>
        <v/>
      </c>
    </row>
    <row r="48">
      <c r="B48" t="inlineStr">
        <is>
          <t>Начислено ФК: роялти</t>
        </is>
      </c>
      <c r="C48" t="inlineStr">
        <is>
          <t>₽</t>
        </is>
      </c>
      <c r="D48" s="127" t="inlineStr"/>
      <c r="E48" s="129">
        <f>SUM(L48:W48)</f>
        <v/>
      </c>
      <c r="F48" s="129">
        <f>SUM(X48:AI48)</f>
        <v/>
      </c>
      <c r="G48" s="129">
        <f>SUM(AJ48:AU48)</f>
        <v/>
      </c>
      <c r="H48" s="129">
        <f>SUM(AV48:BG48)</f>
        <v/>
      </c>
      <c r="I48" s="129">
        <f>SUM(BH48:BS48)</f>
        <v/>
      </c>
      <c r="J48" s="6">
        <f>SUM(L48:BS48)</f>
        <v/>
      </c>
      <c r="L48" s="5">
        <f>'04_Доходы'!L103/(1+НДС)*ДоляФКРоялти</f>
        <v/>
      </c>
      <c r="M48" s="5">
        <f>'04_Доходы'!M103/(1+НДС)*ДоляФКРоялти</f>
        <v/>
      </c>
      <c r="N48" s="5">
        <f>'04_Доходы'!N103/(1+НДС)*ДоляФКРоялти</f>
        <v/>
      </c>
      <c r="O48" s="5">
        <f>'04_Доходы'!O103/(1+НДС)*ДоляФКРоялти</f>
        <v/>
      </c>
      <c r="P48" s="5">
        <f>'04_Доходы'!P103/(1+НДС)*ДоляФКРоялти</f>
        <v/>
      </c>
      <c r="Q48" s="5">
        <f>'04_Доходы'!Q103/(1+НДС)*ДоляФКРоялти</f>
        <v/>
      </c>
      <c r="R48" s="5">
        <f>'04_Доходы'!R103/(1+НДС)*ДоляФКРоялти</f>
        <v/>
      </c>
      <c r="S48" s="5">
        <f>'04_Доходы'!S103/(1+НДС)*ДоляФКРоялти</f>
        <v/>
      </c>
      <c r="T48" s="5">
        <f>'04_Доходы'!T103/(1+НДС)*ДоляФКРоялти</f>
        <v/>
      </c>
      <c r="U48" s="5">
        <f>'04_Доходы'!U103/(1+НДС)*ДоляФКРоялти</f>
        <v/>
      </c>
      <c r="V48" s="5">
        <f>'04_Доходы'!V103/(1+НДС)*ДоляФКРоялти</f>
        <v/>
      </c>
      <c r="W48" s="5">
        <f>'04_Доходы'!W103/(1+НДС)*ДоляФКРоялти</f>
        <v/>
      </c>
      <c r="X48" s="5">
        <f>'04_Доходы'!X103/(1+НДС)*ДоляФКРоялти</f>
        <v/>
      </c>
      <c r="Y48" s="5">
        <f>'04_Доходы'!Y103/(1+НДС)*ДоляФКРоялти</f>
        <v/>
      </c>
      <c r="Z48" s="5">
        <f>'04_Доходы'!Z103/(1+НДС)*ДоляФКРоялти</f>
        <v/>
      </c>
      <c r="AA48" s="5">
        <f>'04_Доходы'!AA103/(1+НДС)*ДоляФКРоялти</f>
        <v/>
      </c>
      <c r="AB48" s="5">
        <f>'04_Доходы'!AB103/(1+НДС)*ДоляФКРоялти</f>
        <v/>
      </c>
      <c r="AC48" s="5">
        <f>'04_Доходы'!AC103/(1+НДС)*ДоляФКРоялти</f>
        <v/>
      </c>
      <c r="AD48" s="5">
        <f>'04_Доходы'!AD103/(1+НДС)*ДоляФКРоялти</f>
        <v/>
      </c>
      <c r="AE48" s="5">
        <f>'04_Доходы'!AE103/(1+НДС)*ДоляФКРоялти</f>
        <v/>
      </c>
      <c r="AF48" s="5">
        <f>'04_Доходы'!AF103/(1+НДС)*ДоляФКРоялти</f>
        <v/>
      </c>
      <c r="AG48" s="5">
        <f>'04_Доходы'!AG103/(1+НДС)*ДоляФКРоялти</f>
        <v/>
      </c>
      <c r="AH48" s="5">
        <f>'04_Доходы'!AH103/(1+НДС)*ДоляФКРоялти</f>
        <v/>
      </c>
      <c r="AI48" s="5">
        <f>'04_Доходы'!AI103/(1+НДС)*ДоляФКРоялти</f>
        <v/>
      </c>
      <c r="AJ48" s="5">
        <f>'04_Доходы'!AJ103/(1+НДС)*ДоляФКРоялти</f>
        <v/>
      </c>
      <c r="AK48" s="5">
        <f>'04_Доходы'!AK103/(1+НДС)*ДоляФКРоялти</f>
        <v/>
      </c>
      <c r="AL48" s="5">
        <f>'04_Доходы'!AL103/(1+НДС)*ДоляФКРоялти</f>
        <v/>
      </c>
      <c r="AM48" s="5">
        <f>'04_Доходы'!AM103/(1+НДС)*ДоляФКРоялти</f>
        <v/>
      </c>
      <c r="AN48" s="5">
        <f>'04_Доходы'!AN103/(1+НДС)*ДоляФКРоялти</f>
        <v/>
      </c>
      <c r="AO48" s="5">
        <f>'04_Доходы'!AO103/(1+НДС)*ДоляФКРоялти</f>
        <v/>
      </c>
      <c r="AP48" s="5">
        <f>'04_Доходы'!AP103/(1+НДС)*ДоляФКРоялти</f>
        <v/>
      </c>
      <c r="AQ48" s="5">
        <f>'04_Доходы'!AQ103/(1+НДС)*ДоляФКРоялти</f>
        <v/>
      </c>
      <c r="AR48" s="5">
        <f>'04_Доходы'!AR103/(1+НДС)*ДоляФКРоялти</f>
        <v/>
      </c>
      <c r="AS48" s="5">
        <f>'04_Доходы'!AS103/(1+НДС)*ДоляФКРоялти</f>
        <v/>
      </c>
      <c r="AT48" s="5">
        <f>'04_Доходы'!AT103/(1+НДС)*ДоляФКРоялти</f>
        <v/>
      </c>
      <c r="AU48" s="5">
        <f>'04_Доходы'!AU103/(1+НДС)*ДоляФКРоялти</f>
        <v/>
      </c>
      <c r="AV48" s="5">
        <f>'04_Доходы'!AV103/(1+НДС)*ДоляФКРоялти</f>
        <v/>
      </c>
      <c r="AW48" s="5">
        <f>'04_Доходы'!AW103/(1+НДС)*ДоляФКРоялти</f>
        <v/>
      </c>
      <c r="AX48" s="5">
        <f>'04_Доходы'!AX103/(1+НДС)*ДоляФКРоялти</f>
        <v/>
      </c>
      <c r="AY48" s="5">
        <f>'04_Доходы'!AY103/(1+НДС)*ДоляФКРоялти</f>
        <v/>
      </c>
      <c r="AZ48" s="5">
        <f>'04_Доходы'!AZ103/(1+НДС)*ДоляФКРоялти</f>
        <v/>
      </c>
      <c r="BA48" s="5">
        <f>'04_Доходы'!BA103/(1+НДС)*ДоляФКРоялти</f>
        <v/>
      </c>
      <c r="BB48" s="5">
        <f>'04_Доходы'!BB103/(1+НДС)*ДоляФКРоялти</f>
        <v/>
      </c>
      <c r="BC48" s="5">
        <f>'04_Доходы'!BC103/(1+НДС)*ДоляФКРоялти</f>
        <v/>
      </c>
      <c r="BD48" s="5">
        <f>'04_Доходы'!BD103/(1+НДС)*ДоляФКРоялти</f>
        <v/>
      </c>
      <c r="BE48" s="5">
        <f>'04_Доходы'!BE103/(1+НДС)*ДоляФКРоялти</f>
        <v/>
      </c>
      <c r="BF48" s="5">
        <f>'04_Доходы'!BF103/(1+НДС)*ДоляФКРоялти</f>
        <v/>
      </c>
      <c r="BG48" s="5">
        <f>'04_Доходы'!BG103/(1+НДС)*ДоляФКРоялти</f>
        <v/>
      </c>
      <c r="BH48" s="5">
        <f>'04_Доходы'!BH103/(1+НДС)*ДоляФКРоялти</f>
        <v/>
      </c>
      <c r="BI48" s="5">
        <f>'04_Доходы'!BI103/(1+НДС)*ДоляФКРоялти</f>
        <v/>
      </c>
      <c r="BJ48" s="5">
        <f>'04_Доходы'!BJ103/(1+НДС)*ДоляФКРоялти</f>
        <v/>
      </c>
      <c r="BK48" s="5">
        <f>'04_Доходы'!BK103/(1+НДС)*ДоляФКРоялти</f>
        <v/>
      </c>
      <c r="BL48" s="5">
        <f>'04_Доходы'!BL103/(1+НДС)*ДоляФКРоялти</f>
        <v/>
      </c>
      <c r="BM48" s="5">
        <f>'04_Доходы'!BM103/(1+НДС)*ДоляФКРоялти</f>
        <v/>
      </c>
      <c r="BN48" s="5">
        <f>'04_Доходы'!BN103/(1+НДС)*ДоляФКРоялти</f>
        <v/>
      </c>
      <c r="BO48" s="5">
        <f>'04_Доходы'!BO103/(1+НДС)*ДоляФКРоялти</f>
        <v/>
      </c>
      <c r="BP48" s="5">
        <f>'04_Доходы'!BP103/(1+НДС)*ДоляФКРоялти</f>
        <v/>
      </c>
      <c r="BQ48" s="5">
        <f>'04_Доходы'!BQ103/(1+НДС)*ДоляФКРоялти</f>
        <v/>
      </c>
      <c r="BR48" s="5">
        <f>'04_Доходы'!BR103/(1+НДС)*ДоляФКРоялти</f>
        <v/>
      </c>
      <c r="BS48" s="5">
        <f>'04_Доходы'!BS103/(1+НДС)*ДоляФКРоялти</f>
        <v/>
      </c>
      <c r="BT48" s="5">
        <f>'04_Доходы'!BT103/(1+НДС)*ДоляФКРоялти</f>
        <v/>
      </c>
      <c r="BU48" s="5">
        <f>'04_Доходы'!BU103/(1+НДС)*ДоляФКРоялти</f>
        <v/>
      </c>
      <c r="BV48" s="5">
        <f>'04_Доходы'!BV103/(1+НДС)*ДоляФКРоялти</f>
        <v/>
      </c>
      <c r="BW48" s="5">
        <f>'04_Доходы'!BW103/(1+НДС)*ДоляФКРоялти</f>
        <v/>
      </c>
      <c r="BX48" s="5">
        <f>'04_Доходы'!BX103/(1+НДС)*ДоляФКРоялти</f>
        <v/>
      </c>
      <c r="BY48" s="5">
        <f>'04_Доходы'!BY103/(1+НДС)*ДоляФКРоялти</f>
        <v/>
      </c>
    </row>
    <row r="49">
      <c r="B49" t="inlineStr">
        <is>
          <t>Начислено ФК: прибыль мерча</t>
        </is>
      </c>
      <c r="C49" t="inlineStr">
        <is>
          <t>₽</t>
        </is>
      </c>
      <c r="D49" s="127" t="inlineStr"/>
      <c r="E49" s="129">
        <f>SUM(L49:W49)</f>
        <v/>
      </c>
      <c r="F49" s="129">
        <f>SUM(X49:AI49)</f>
        <v/>
      </c>
      <c r="G49" s="129">
        <f>SUM(AJ49:AU49)</f>
        <v/>
      </c>
      <c r="H49" s="129">
        <f>SUM(AV49:BG49)</f>
        <v/>
      </c>
      <c r="I49" s="129">
        <f>SUM(BH49:BS49)</f>
        <v/>
      </c>
      <c r="J49" s="6">
        <f>SUM(L49:BS49)</f>
        <v/>
      </c>
      <c r="L49" s="5">
        <f>'04_Доходы'!L135*ДоляФКМерч</f>
        <v/>
      </c>
      <c r="M49" s="5">
        <f>'04_Доходы'!M135*ДоляФКМерч</f>
        <v/>
      </c>
      <c r="N49" s="5">
        <f>'04_Доходы'!N135*ДоляФКМерч</f>
        <v/>
      </c>
      <c r="O49" s="5">
        <f>'04_Доходы'!O135*ДоляФКМерч</f>
        <v/>
      </c>
      <c r="P49" s="5">
        <f>'04_Доходы'!P135*ДоляФКМерч</f>
        <v/>
      </c>
      <c r="Q49" s="5">
        <f>'04_Доходы'!Q135*ДоляФКМерч</f>
        <v/>
      </c>
      <c r="R49" s="5">
        <f>'04_Доходы'!R135*ДоляФКМерч</f>
        <v/>
      </c>
      <c r="S49" s="5">
        <f>'04_Доходы'!S135*ДоляФКМерч</f>
        <v/>
      </c>
      <c r="T49" s="5">
        <f>'04_Доходы'!T135*ДоляФКМерч</f>
        <v/>
      </c>
      <c r="U49" s="5">
        <f>'04_Доходы'!U135*ДоляФКМерч</f>
        <v/>
      </c>
      <c r="V49" s="5">
        <f>'04_Доходы'!V135*ДоляФКМерч</f>
        <v/>
      </c>
      <c r="W49" s="5">
        <f>'04_Доходы'!W135*ДоляФКМерч</f>
        <v/>
      </c>
      <c r="X49" s="5">
        <f>'04_Доходы'!X135*ДоляФКМерч</f>
        <v/>
      </c>
      <c r="Y49" s="5">
        <f>'04_Доходы'!Y135*ДоляФКМерч</f>
        <v/>
      </c>
      <c r="Z49" s="5">
        <f>'04_Доходы'!Z135*ДоляФКМерч</f>
        <v/>
      </c>
      <c r="AA49" s="5">
        <f>'04_Доходы'!AA135*ДоляФКМерч</f>
        <v/>
      </c>
      <c r="AB49" s="5">
        <f>'04_Доходы'!AB135*ДоляФКМерч</f>
        <v/>
      </c>
      <c r="AC49" s="5">
        <f>'04_Доходы'!AC135*ДоляФКМерч</f>
        <v/>
      </c>
      <c r="AD49" s="5">
        <f>'04_Доходы'!AD135*ДоляФКМерч</f>
        <v/>
      </c>
      <c r="AE49" s="5">
        <f>'04_Доходы'!AE135*ДоляФКМерч</f>
        <v/>
      </c>
      <c r="AF49" s="5">
        <f>'04_Доходы'!AF135*ДоляФКМерч</f>
        <v/>
      </c>
      <c r="AG49" s="5">
        <f>'04_Доходы'!AG135*ДоляФКМерч</f>
        <v/>
      </c>
      <c r="AH49" s="5">
        <f>'04_Доходы'!AH135*ДоляФКМерч</f>
        <v/>
      </c>
      <c r="AI49" s="5">
        <f>'04_Доходы'!AI135*ДоляФКМерч</f>
        <v/>
      </c>
      <c r="AJ49" s="5">
        <f>'04_Доходы'!AJ135*ДоляФКМерч</f>
        <v/>
      </c>
      <c r="AK49" s="5">
        <f>'04_Доходы'!AK135*ДоляФКМерч</f>
        <v/>
      </c>
      <c r="AL49" s="5">
        <f>'04_Доходы'!AL135*ДоляФКМерч</f>
        <v/>
      </c>
      <c r="AM49" s="5">
        <f>'04_Доходы'!AM135*ДоляФКМерч</f>
        <v/>
      </c>
      <c r="AN49" s="5">
        <f>'04_Доходы'!AN135*ДоляФКМерч</f>
        <v/>
      </c>
      <c r="AO49" s="5">
        <f>'04_Доходы'!AO135*ДоляФКМерч</f>
        <v/>
      </c>
      <c r="AP49" s="5">
        <f>'04_Доходы'!AP135*ДоляФКМерч</f>
        <v/>
      </c>
      <c r="AQ49" s="5">
        <f>'04_Доходы'!AQ135*ДоляФКМерч</f>
        <v/>
      </c>
      <c r="AR49" s="5">
        <f>'04_Доходы'!AR135*ДоляФКМерч</f>
        <v/>
      </c>
      <c r="AS49" s="5">
        <f>'04_Доходы'!AS135*ДоляФКМерч</f>
        <v/>
      </c>
      <c r="AT49" s="5">
        <f>'04_Доходы'!AT135*ДоляФКМерч</f>
        <v/>
      </c>
      <c r="AU49" s="5">
        <f>'04_Доходы'!AU135*ДоляФКМерч</f>
        <v/>
      </c>
      <c r="AV49" s="5">
        <f>'04_Доходы'!AV135*ДоляФКМерч</f>
        <v/>
      </c>
      <c r="AW49" s="5">
        <f>'04_Доходы'!AW135*ДоляФКМерч</f>
        <v/>
      </c>
      <c r="AX49" s="5">
        <f>'04_Доходы'!AX135*ДоляФКМерч</f>
        <v/>
      </c>
      <c r="AY49" s="5">
        <f>'04_Доходы'!AY135*ДоляФКМерч</f>
        <v/>
      </c>
      <c r="AZ49" s="5">
        <f>'04_Доходы'!AZ135*ДоляФКМерч</f>
        <v/>
      </c>
      <c r="BA49" s="5">
        <f>'04_Доходы'!BA135*ДоляФКМерч</f>
        <v/>
      </c>
      <c r="BB49" s="5">
        <f>'04_Доходы'!BB135*ДоляФКМерч</f>
        <v/>
      </c>
      <c r="BC49" s="5">
        <f>'04_Доходы'!BC135*ДоляФКМерч</f>
        <v/>
      </c>
      <c r="BD49" s="5">
        <f>'04_Доходы'!BD135*ДоляФКМерч</f>
        <v/>
      </c>
      <c r="BE49" s="5">
        <f>'04_Доходы'!BE135*ДоляФКМерч</f>
        <v/>
      </c>
      <c r="BF49" s="5">
        <f>'04_Доходы'!BF135*ДоляФКМерч</f>
        <v/>
      </c>
      <c r="BG49" s="5">
        <f>'04_Доходы'!BG135*ДоляФКМерч</f>
        <v/>
      </c>
      <c r="BH49" s="5">
        <f>'04_Доходы'!BH135*ДоляФКМерч</f>
        <v/>
      </c>
      <c r="BI49" s="5">
        <f>'04_Доходы'!BI135*ДоляФКМерч</f>
        <v/>
      </c>
      <c r="BJ49" s="5">
        <f>'04_Доходы'!BJ135*ДоляФКМерч</f>
        <v/>
      </c>
      <c r="BK49" s="5">
        <f>'04_Доходы'!BK135*ДоляФКМерч</f>
        <v/>
      </c>
      <c r="BL49" s="5">
        <f>'04_Доходы'!BL135*ДоляФКМерч</f>
        <v/>
      </c>
      <c r="BM49" s="5">
        <f>'04_Доходы'!BM135*ДоляФКМерч</f>
        <v/>
      </c>
      <c r="BN49" s="5">
        <f>'04_Доходы'!BN135*ДоляФКМерч</f>
        <v/>
      </c>
      <c r="BO49" s="5">
        <f>'04_Доходы'!BO135*ДоляФКМерч</f>
        <v/>
      </c>
      <c r="BP49" s="5">
        <f>'04_Доходы'!BP135*ДоляФКМерч</f>
        <v/>
      </c>
      <c r="BQ49" s="5">
        <f>'04_Доходы'!BQ135*ДоляФКМерч</f>
        <v/>
      </c>
      <c r="BR49" s="5">
        <f>'04_Доходы'!BR135*ДоляФКМерч</f>
        <v/>
      </c>
      <c r="BS49" s="5">
        <f>'04_Доходы'!BS135*ДоляФКМерч</f>
        <v/>
      </c>
      <c r="BT49" s="5">
        <f>'04_Доходы'!BT135*ДоляФКМерч</f>
        <v/>
      </c>
      <c r="BU49" s="5">
        <f>'04_Доходы'!BU135*ДоляФКМерч</f>
        <v/>
      </c>
      <c r="BV49" s="5">
        <f>'04_Доходы'!BV135*ДоляФКМерч</f>
        <v/>
      </c>
      <c r="BW49" s="5">
        <f>'04_Доходы'!BW135*ДоляФКМерч</f>
        <v/>
      </c>
      <c r="BX49" s="5">
        <f>'04_Доходы'!BX135*ДоляФКМерч</f>
        <v/>
      </c>
      <c r="BY49" s="5">
        <f>'04_Доходы'!BY135*ДоляФКМерч</f>
        <v/>
      </c>
    </row>
    <row r="50">
      <c r="B50" s="7" t="inlineStr">
        <is>
          <t>Начислено ФК — всего</t>
        </is>
      </c>
      <c r="C50" s="7" t="inlineStr">
        <is>
          <t>₽</t>
        </is>
      </c>
      <c r="D50" s="130" t="inlineStr"/>
      <c r="E50" s="131">
        <f>SUM(L50:W50)</f>
        <v/>
      </c>
      <c r="F50" s="131">
        <f>SUM(X50:AI50)</f>
        <v/>
      </c>
      <c r="G50" s="131">
        <f>SUM(AJ50:AU50)</f>
        <v/>
      </c>
      <c r="H50" s="131">
        <f>SUM(AV50:BG50)</f>
        <v/>
      </c>
      <c r="I50" s="131">
        <f>SUM(BH50:BS50)</f>
        <v/>
      </c>
      <c r="J50" s="10">
        <f>SUM(L50:BS50)</f>
        <v/>
      </c>
      <c r="L50" s="9">
        <f>L47+L48+L49</f>
        <v/>
      </c>
      <c r="M50" s="9">
        <f>M47+M48+M49</f>
        <v/>
      </c>
      <c r="N50" s="9">
        <f>N47+N48+N49</f>
        <v/>
      </c>
      <c r="O50" s="9">
        <f>O47+O48+O49</f>
        <v/>
      </c>
      <c r="P50" s="9">
        <f>P47+P48+P49</f>
        <v/>
      </c>
      <c r="Q50" s="9">
        <f>Q47+Q48+Q49</f>
        <v/>
      </c>
      <c r="R50" s="9">
        <f>R47+R48+R49</f>
        <v/>
      </c>
      <c r="S50" s="9">
        <f>S47+S48+S49</f>
        <v/>
      </c>
      <c r="T50" s="9">
        <f>T47+T48+T49</f>
        <v/>
      </c>
      <c r="U50" s="9">
        <f>U47+U48+U49</f>
        <v/>
      </c>
      <c r="V50" s="9">
        <f>V47+V48+V49</f>
        <v/>
      </c>
      <c r="W50" s="9">
        <f>W47+W48+W49</f>
        <v/>
      </c>
      <c r="X50" s="9">
        <f>X47+X48+X49</f>
        <v/>
      </c>
      <c r="Y50" s="9">
        <f>Y47+Y48+Y49</f>
        <v/>
      </c>
      <c r="Z50" s="9">
        <f>Z47+Z48+Z49</f>
        <v/>
      </c>
      <c r="AA50" s="9">
        <f>AA47+AA48+AA49</f>
        <v/>
      </c>
      <c r="AB50" s="9">
        <f>AB47+AB48+AB49</f>
        <v/>
      </c>
      <c r="AC50" s="9">
        <f>AC47+AC48+AC49</f>
        <v/>
      </c>
      <c r="AD50" s="9">
        <f>AD47+AD48+AD49</f>
        <v/>
      </c>
      <c r="AE50" s="9">
        <f>AE47+AE48+AE49</f>
        <v/>
      </c>
      <c r="AF50" s="9">
        <f>AF47+AF48+AF49</f>
        <v/>
      </c>
      <c r="AG50" s="9">
        <f>AG47+AG48+AG49</f>
        <v/>
      </c>
      <c r="AH50" s="9">
        <f>AH47+AH48+AH49</f>
        <v/>
      </c>
      <c r="AI50" s="9">
        <f>AI47+AI48+AI49</f>
        <v/>
      </c>
      <c r="AJ50" s="9">
        <f>AJ47+AJ48+AJ49</f>
        <v/>
      </c>
      <c r="AK50" s="9">
        <f>AK47+AK48+AK49</f>
        <v/>
      </c>
      <c r="AL50" s="9">
        <f>AL47+AL48+AL49</f>
        <v/>
      </c>
      <c r="AM50" s="9">
        <f>AM47+AM48+AM49</f>
        <v/>
      </c>
      <c r="AN50" s="9">
        <f>AN47+AN48+AN49</f>
        <v/>
      </c>
      <c r="AO50" s="9">
        <f>AO47+AO48+AO49</f>
        <v/>
      </c>
      <c r="AP50" s="9">
        <f>AP47+AP48+AP49</f>
        <v/>
      </c>
      <c r="AQ50" s="9">
        <f>AQ47+AQ48+AQ49</f>
        <v/>
      </c>
      <c r="AR50" s="9">
        <f>AR47+AR48+AR49</f>
        <v/>
      </c>
      <c r="AS50" s="9">
        <f>AS47+AS48+AS49</f>
        <v/>
      </c>
      <c r="AT50" s="9">
        <f>AT47+AT48+AT49</f>
        <v/>
      </c>
      <c r="AU50" s="9">
        <f>AU47+AU48+AU49</f>
        <v/>
      </c>
      <c r="AV50" s="9">
        <f>AV47+AV48+AV49</f>
        <v/>
      </c>
      <c r="AW50" s="9">
        <f>AW47+AW48+AW49</f>
        <v/>
      </c>
      <c r="AX50" s="9">
        <f>AX47+AX48+AX49</f>
        <v/>
      </c>
      <c r="AY50" s="9">
        <f>AY47+AY48+AY49</f>
        <v/>
      </c>
      <c r="AZ50" s="9">
        <f>AZ47+AZ48+AZ49</f>
        <v/>
      </c>
      <c r="BA50" s="9">
        <f>BA47+BA48+BA49</f>
        <v/>
      </c>
      <c r="BB50" s="9">
        <f>BB47+BB48+BB49</f>
        <v/>
      </c>
      <c r="BC50" s="9">
        <f>BC47+BC48+BC49</f>
        <v/>
      </c>
      <c r="BD50" s="9">
        <f>BD47+BD48+BD49</f>
        <v/>
      </c>
      <c r="BE50" s="9">
        <f>BE47+BE48+BE49</f>
        <v/>
      </c>
      <c r="BF50" s="9">
        <f>BF47+BF48+BF49</f>
        <v/>
      </c>
      <c r="BG50" s="9">
        <f>BG47+BG48+BG49</f>
        <v/>
      </c>
      <c r="BH50" s="9">
        <f>BH47+BH48+BH49</f>
        <v/>
      </c>
      <c r="BI50" s="9">
        <f>BI47+BI48+BI49</f>
        <v/>
      </c>
      <c r="BJ50" s="9">
        <f>BJ47+BJ48+BJ49</f>
        <v/>
      </c>
      <c r="BK50" s="9">
        <f>BK47+BK48+BK49</f>
        <v/>
      </c>
      <c r="BL50" s="9">
        <f>BL47+BL48+BL49</f>
        <v/>
      </c>
      <c r="BM50" s="9">
        <f>BM47+BM48+BM49</f>
        <v/>
      </c>
      <c r="BN50" s="9">
        <f>BN47+BN48+BN49</f>
        <v/>
      </c>
      <c r="BO50" s="9">
        <f>BO47+BO48+BO49</f>
        <v/>
      </c>
      <c r="BP50" s="9">
        <f>BP47+BP48+BP49</f>
        <v/>
      </c>
      <c r="BQ50" s="9">
        <f>BQ47+BQ48+BQ49</f>
        <v/>
      </c>
      <c r="BR50" s="9">
        <f>BR47+BR48+BR49</f>
        <v/>
      </c>
      <c r="BS50" s="9">
        <f>BS47+BS48+BS49</f>
        <v/>
      </c>
      <c r="BT50" s="9">
        <f>BT47+BT48+BT49</f>
        <v/>
      </c>
      <c r="BU50" s="9">
        <f>BU47+BU48+BU49</f>
        <v/>
      </c>
      <c r="BV50" s="9">
        <f>BV47+BV48+BV49</f>
        <v/>
      </c>
      <c r="BW50" s="9">
        <f>BW47+BW48+BW49</f>
        <v/>
      </c>
      <c r="BX50" s="9">
        <f>BX47+BX48+BX49</f>
        <v/>
      </c>
      <c r="BY50" s="9">
        <f>BY47+BY48+BY49</f>
        <v/>
      </c>
    </row>
  </sheetData>
  <mergeCells count="9">
    <mergeCell ref="B4:B5"/>
    <mergeCell ref="C4:C5"/>
    <mergeCell ref="F4:F5"/>
    <mergeCell ref="E4:E5"/>
    <mergeCell ref="D4:D5"/>
    <mergeCell ref="G4:G5"/>
    <mergeCell ref="H4:H5"/>
    <mergeCell ref="I4:I5"/>
    <mergeCell ref="J4:J5"/>
  </mergeCells>
  <printOptions horizontalCentered="0"/>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BY29"/>
  <sheetViews>
    <sheetView showGridLines="0" workbookViewId="0">
      <pane xSplit="11" ySplit="5" topLeftCell="L6"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22" t="inlineStr">
        <is>
          <t>Деньги: склад, займ, CAPEX, налоги</t>
        </is>
      </c>
    </row>
    <row r="2">
      <c r="B2" s="2" t="inlineStr">
        <is>
          <t>Расшифровка к «Результату». Здесь живёт всё, из-за чего денежный поток не равен EBITDA.</t>
        </is>
      </c>
    </row>
    <row r="3"/>
    <row r="4" ht="26" customHeight="1">
      <c r="B4" s="123" t="inlineStr">
        <is>
          <t>Показатель</t>
        </is>
      </c>
      <c r="C4" s="123" t="inlineStr">
        <is>
          <t>Ед.</t>
        </is>
      </c>
      <c r="D4" s="123" t="inlineStr">
        <is>
          <t>Как считается</t>
        </is>
      </c>
      <c r="E4" s="123" t="inlineStr">
        <is>
          <t>Год 1</t>
        </is>
      </c>
      <c r="F4" s="123" t="inlineStr">
        <is>
          <t>Год 2</t>
        </is>
      </c>
      <c r="G4" s="123" t="inlineStr">
        <is>
          <t>Год 3</t>
        </is>
      </c>
      <c r="H4" s="123" t="inlineStr">
        <is>
          <t>Год 4</t>
        </is>
      </c>
      <c r="I4" s="123" t="inlineStr">
        <is>
          <t>Год 5</t>
        </is>
      </c>
      <c r="J4" s="123" t="inlineStr">
        <is>
          <t>Итого 5 лет</t>
        </is>
      </c>
      <c r="K4" s="123" t="n"/>
      <c r="L4" s="123" t="inlineStr">
        <is>
          <t>М1</t>
        </is>
      </c>
      <c r="M4" s="123" t="inlineStr">
        <is>
          <t>М2</t>
        </is>
      </c>
      <c r="N4" s="123" t="inlineStr">
        <is>
          <t>М3</t>
        </is>
      </c>
      <c r="O4" s="123" t="inlineStr">
        <is>
          <t>М4</t>
        </is>
      </c>
      <c r="P4" s="123" t="inlineStr">
        <is>
          <t>М5</t>
        </is>
      </c>
      <c r="Q4" s="123" t="inlineStr">
        <is>
          <t>М6</t>
        </is>
      </c>
      <c r="R4" s="123" t="inlineStr">
        <is>
          <t>М7</t>
        </is>
      </c>
      <c r="S4" s="123" t="inlineStr">
        <is>
          <t>М8</t>
        </is>
      </c>
      <c r="T4" s="123" t="inlineStr">
        <is>
          <t>М9</t>
        </is>
      </c>
      <c r="U4" s="123" t="inlineStr">
        <is>
          <t>М10</t>
        </is>
      </c>
      <c r="V4" s="123" t="inlineStr">
        <is>
          <t>М11</t>
        </is>
      </c>
      <c r="W4" s="123" t="inlineStr">
        <is>
          <t>М12</t>
        </is>
      </c>
      <c r="X4" s="123" t="inlineStr">
        <is>
          <t>М13</t>
        </is>
      </c>
      <c r="Y4" s="123" t="inlineStr">
        <is>
          <t>М14</t>
        </is>
      </c>
      <c r="Z4" s="123" t="inlineStr">
        <is>
          <t>М15</t>
        </is>
      </c>
      <c r="AA4" s="123" t="inlineStr">
        <is>
          <t>М16</t>
        </is>
      </c>
      <c r="AB4" s="123" t="inlineStr">
        <is>
          <t>М17</t>
        </is>
      </c>
      <c r="AC4" s="123" t="inlineStr">
        <is>
          <t>М18</t>
        </is>
      </c>
      <c r="AD4" s="123" t="inlineStr">
        <is>
          <t>М19</t>
        </is>
      </c>
      <c r="AE4" s="123" t="inlineStr">
        <is>
          <t>М20</t>
        </is>
      </c>
      <c r="AF4" s="123" t="inlineStr">
        <is>
          <t>М21</t>
        </is>
      </c>
      <c r="AG4" s="123" t="inlineStr">
        <is>
          <t>М22</t>
        </is>
      </c>
      <c r="AH4" s="123" t="inlineStr">
        <is>
          <t>М23</t>
        </is>
      </c>
      <c r="AI4" s="123" t="inlineStr">
        <is>
          <t>М24</t>
        </is>
      </c>
      <c r="AJ4" s="123" t="inlineStr">
        <is>
          <t>М25</t>
        </is>
      </c>
      <c r="AK4" s="123" t="inlineStr">
        <is>
          <t>М26</t>
        </is>
      </c>
      <c r="AL4" s="123" t="inlineStr">
        <is>
          <t>М27</t>
        </is>
      </c>
      <c r="AM4" s="123" t="inlineStr">
        <is>
          <t>М28</t>
        </is>
      </c>
      <c r="AN4" s="123" t="inlineStr">
        <is>
          <t>М29</t>
        </is>
      </c>
      <c r="AO4" s="123" t="inlineStr">
        <is>
          <t>М30</t>
        </is>
      </c>
      <c r="AP4" s="123" t="inlineStr">
        <is>
          <t>М31</t>
        </is>
      </c>
      <c r="AQ4" s="123" t="inlineStr">
        <is>
          <t>М32</t>
        </is>
      </c>
      <c r="AR4" s="123" t="inlineStr">
        <is>
          <t>М33</t>
        </is>
      </c>
      <c r="AS4" s="123" t="inlineStr">
        <is>
          <t>М34</t>
        </is>
      </c>
      <c r="AT4" s="123" t="inlineStr">
        <is>
          <t>М35</t>
        </is>
      </c>
      <c r="AU4" s="123" t="inlineStr">
        <is>
          <t>М36</t>
        </is>
      </c>
      <c r="AV4" s="123" t="inlineStr">
        <is>
          <t>М37</t>
        </is>
      </c>
      <c r="AW4" s="123" t="inlineStr">
        <is>
          <t>М38</t>
        </is>
      </c>
      <c r="AX4" s="123" t="inlineStr">
        <is>
          <t>М39</t>
        </is>
      </c>
      <c r="AY4" s="123" t="inlineStr">
        <is>
          <t>М40</t>
        </is>
      </c>
      <c r="AZ4" s="123" t="inlineStr">
        <is>
          <t>М41</t>
        </is>
      </c>
      <c r="BA4" s="123" t="inlineStr">
        <is>
          <t>М42</t>
        </is>
      </c>
      <c r="BB4" s="123" t="inlineStr">
        <is>
          <t>М43</t>
        </is>
      </c>
      <c r="BC4" s="123" t="inlineStr">
        <is>
          <t>М44</t>
        </is>
      </c>
      <c r="BD4" s="123" t="inlineStr">
        <is>
          <t>М45</t>
        </is>
      </c>
      <c r="BE4" s="123" t="inlineStr">
        <is>
          <t>М46</t>
        </is>
      </c>
      <c r="BF4" s="123" t="inlineStr">
        <is>
          <t>М47</t>
        </is>
      </c>
      <c r="BG4" s="123" t="inlineStr">
        <is>
          <t>М48</t>
        </is>
      </c>
      <c r="BH4" s="123" t="inlineStr">
        <is>
          <t>М49</t>
        </is>
      </c>
      <c r="BI4" s="123" t="inlineStr">
        <is>
          <t>М50</t>
        </is>
      </c>
      <c r="BJ4" s="123" t="inlineStr">
        <is>
          <t>М51</t>
        </is>
      </c>
      <c r="BK4" s="123" t="inlineStr">
        <is>
          <t>М52</t>
        </is>
      </c>
      <c r="BL4" s="123" t="inlineStr">
        <is>
          <t>М53</t>
        </is>
      </c>
      <c r="BM4" s="123" t="inlineStr">
        <is>
          <t>М54</t>
        </is>
      </c>
      <c r="BN4" s="123" t="inlineStr">
        <is>
          <t>М55</t>
        </is>
      </c>
      <c r="BO4" s="123" t="inlineStr">
        <is>
          <t>М56</t>
        </is>
      </c>
      <c r="BP4" s="123" t="inlineStr">
        <is>
          <t>М57</t>
        </is>
      </c>
      <c r="BQ4" s="123" t="inlineStr">
        <is>
          <t>М58</t>
        </is>
      </c>
      <c r="BR4" s="123" t="inlineStr">
        <is>
          <t>М59</t>
        </is>
      </c>
      <c r="BS4" s="123" t="inlineStr">
        <is>
          <t>М60</t>
        </is>
      </c>
      <c r="BT4" s="123" t="inlineStr">
        <is>
          <t>тех. 1</t>
        </is>
      </c>
      <c r="BU4" s="123" t="inlineStr">
        <is>
          <t>тех. 2</t>
        </is>
      </c>
      <c r="BV4" s="123" t="inlineStr">
        <is>
          <t>тех. 3</t>
        </is>
      </c>
      <c r="BW4" s="123" t="inlineStr">
        <is>
          <t>тех. 4</t>
        </is>
      </c>
      <c r="BX4" s="123" t="inlineStr">
        <is>
          <t>тех. 5</t>
        </is>
      </c>
      <c r="BY4" s="123" t="inlineStr">
        <is>
          <t>тех. 6</t>
        </is>
      </c>
    </row>
    <row r="5" ht="16" customHeight="1">
      <c r="B5" s="123" t="n"/>
      <c r="C5" s="123" t="n"/>
      <c r="D5" s="123" t="n"/>
      <c r="E5" s="123" t="n"/>
      <c r="F5" s="123" t="n"/>
      <c r="G5" s="123" t="n"/>
      <c r="H5" s="123" t="n"/>
      <c r="I5" s="123" t="n"/>
      <c r="J5" s="123" t="n"/>
      <c r="K5" s="123" t="n"/>
      <c r="L5" s="124">
        <f>DATE(YEAR(СтартМодели),MONTH(СтартМодели)+1-1,1)</f>
        <v/>
      </c>
      <c r="M5" s="124">
        <f>DATE(YEAR(СтартМодели),MONTH(СтартМодели)+2-1,1)</f>
        <v/>
      </c>
      <c r="N5" s="124">
        <f>DATE(YEAR(СтартМодели),MONTH(СтартМодели)+3-1,1)</f>
        <v/>
      </c>
      <c r="O5" s="124">
        <f>DATE(YEAR(СтартМодели),MONTH(СтартМодели)+4-1,1)</f>
        <v/>
      </c>
      <c r="P5" s="124">
        <f>DATE(YEAR(СтартМодели),MONTH(СтартМодели)+5-1,1)</f>
        <v/>
      </c>
      <c r="Q5" s="124">
        <f>DATE(YEAR(СтартМодели),MONTH(СтартМодели)+6-1,1)</f>
        <v/>
      </c>
      <c r="R5" s="124">
        <f>DATE(YEAR(СтартМодели),MONTH(СтартМодели)+7-1,1)</f>
        <v/>
      </c>
      <c r="S5" s="124">
        <f>DATE(YEAR(СтартМодели),MONTH(СтартМодели)+8-1,1)</f>
        <v/>
      </c>
      <c r="T5" s="124">
        <f>DATE(YEAR(СтартМодели),MONTH(СтартМодели)+9-1,1)</f>
        <v/>
      </c>
      <c r="U5" s="124">
        <f>DATE(YEAR(СтартМодели),MONTH(СтартМодели)+10-1,1)</f>
        <v/>
      </c>
      <c r="V5" s="124">
        <f>DATE(YEAR(СтартМодели),MONTH(СтартМодели)+11-1,1)</f>
        <v/>
      </c>
      <c r="W5" s="124">
        <f>DATE(YEAR(СтартМодели),MONTH(СтартМодели)+12-1,1)</f>
        <v/>
      </c>
      <c r="X5" s="124">
        <f>DATE(YEAR(СтартМодели),MONTH(СтартМодели)+13-1,1)</f>
        <v/>
      </c>
      <c r="Y5" s="124">
        <f>DATE(YEAR(СтартМодели),MONTH(СтартМодели)+14-1,1)</f>
        <v/>
      </c>
      <c r="Z5" s="124">
        <f>DATE(YEAR(СтартМодели),MONTH(СтартМодели)+15-1,1)</f>
        <v/>
      </c>
      <c r="AA5" s="124">
        <f>DATE(YEAR(СтартМодели),MONTH(СтартМодели)+16-1,1)</f>
        <v/>
      </c>
      <c r="AB5" s="124">
        <f>DATE(YEAR(СтартМодели),MONTH(СтартМодели)+17-1,1)</f>
        <v/>
      </c>
      <c r="AC5" s="124">
        <f>DATE(YEAR(СтартМодели),MONTH(СтартМодели)+18-1,1)</f>
        <v/>
      </c>
      <c r="AD5" s="124">
        <f>DATE(YEAR(СтартМодели),MONTH(СтартМодели)+19-1,1)</f>
        <v/>
      </c>
      <c r="AE5" s="124">
        <f>DATE(YEAR(СтартМодели),MONTH(СтартМодели)+20-1,1)</f>
        <v/>
      </c>
      <c r="AF5" s="124">
        <f>DATE(YEAR(СтартМодели),MONTH(СтартМодели)+21-1,1)</f>
        <v/>
      </c>
      <c r="AG5" s="124">
        <f>DATE(YEAR(СтартМодели),MONTH(СтартМодели)+22-1,1)</f>
        <v/>
      </c>
      <c r="AH5" s="124">
        <f>DATE(YEAR(СтартМодели),MONTH(СтартМодели)+23-1,1)</f>
        <v/>
      </c>
      <c r="AI5" s="124">
        <f>DATE(YEAR(СтартМодели),MONTH(СтартМодели)+24-1,1)</f>
        <v/>
      </c>
      <c r="AJ5" s="124">
        <f>DATE(YEAR(СтартМодели),MONTH(СтартМодели)+25-1,1)</f>
        <v/>
      </c>
      <c r="AK5" s="124">
        <f>DATE(YEAR(СтартМодели),MONTH(СтартМодели)+26-1,1)</f>
        <v/>
      </c>
      <c r="AL5" s="124">
        <f>DATE(YEAR(СтартМодели),MONTH(СтартМодели)+27-1,1)</f>
        <v/>
      </c>
      <c r="AM5" s="124">
        <f>DATE(YEAR(СтартМодели),MONTH(СтартМодели)+28-1,1)</f>
        <v/>
      </c>
      <c r="AN5" s="124">
        <f>DATE(YEAR(СтартМодели),MONTH(СтартМодели)+29-1,1)</f>
        <v/>
      </c>
      <c r="AO5" s="124">
        <f>DATE(YEAR(СтартМодели),MONTH(СтартМодели)+30-1,1)</f>
        <v/>
      </c>
      <c r="AP5" s="124">
        <f>DATE(YEAR(СтартМодели),MONTH(СтартМодели)+31-1,1)</f>
        <v/>
      </c>
      <c r="AQ5" s="124">
        <f>DATE(YEAR(СтартМодели),MONTH(СтартМодели)+32-1,1)</f>
        <v/>
      </c>
      <c r="AR5" s="124">
        <f>DATE(YEAR(СтартМодели),MONTH(СтартМодели)+33-1,1)</f>
        <v/>
      </c>
      <c r="AS5" s="124">
        <f>DATE(YEAR(СтартМодели),MONTH(СтартМодели)+34-1,1)</f>
        <v/>
      </c>
      <c r="AT5" s="124">
        <f>DATE(YEAR(СтартМодели),MONTH(СтартМодели)+35-1,1)</f>
        <v/>
      </c>
      <c r="AU5" s="124">
        <f>DATE(YEAR(СтартМодели),MONTH(СтартМодели)+36-1,1)</f>
        <v/>
      </c>
      <c r="AV5" s="124">
        <f>DATE(YEAR(СтартМодели),MONTH(СтартМодели)+37-1,1)</f>
        <v/>
      </c>
      <c r="AW5" s="124">
        <f>DATE(YEAR(СтартМодели),MONTH(СтартМодели)+38-1,1)</f>
        <v/>
      </c>
      <c r="AX5" s="124">
        <f>DATE(YEAR(СтартМодели),MONTH(СтартМодели)+39-1,1)</f>
        <v/>
      </c>
      <c r="AY5" s="124">
        <f>DATE(YEAR(СтартМодели),MONTH(СтартМодели)+40-1,1)</f>
        <v/>
      </c>
      <c r="AZ5" s="124">
        <f>DATE(YEAR(СтартМодели),MONTH(СтартМодели)+41-1,1)</f>
        <v/>
      </c>
      <c r="BA5" s="124">
        <f>DATE(YEAR(СтартМодели),MONTH(СтартМодели)+42-1,1)</f>
        <v/>
      </c>
      <c r="BB5" s="124">
        <f>DATE(YEAR(СтартМодели),MONTH(СтартМодели)+43-1,1)</f>
        <v/>
      </c>
      <c r="BC5" s="124">
        <f>DATE(YEAR(СтартМодели),MONTH(СтартМодели)+44-1,1)</f>
        <v/>
      </c>
      <c r="BD5" s="124">
        <f>DATE(YEAR(СтартМодели),MONTH(СтартМодели)+45-1,1)</f>
        <v/>
      </c>
      <c r="BE5" s="124">
        <f>DATE(YEAR(СтартМодели),MONTH(СтартМодели)+46-1,1)</f>
        <v/>
      </c>
      <c r="BF5" s="124">
        <f>DATE(YEAR(СтартМодели),MONTH(СтартМодели)+47-1,1)</f>
        <v/>
      </c>
      <c r="BG5" s="124">
        <f>DATE(YEAR(СтартМодели),MONTH(СтартМодели)+48-1,1)</f>
        <v/>
      </c>
      <c r="BH5" s="124">
        <f>DATE(YEAR(СтартМодели),MONTH(СтартМодели)+49-1,1)</f>
        <v/>
      </c>
      <c r="BI5" s="124">
        <f>DATE(YEAR(СтартМодели),MONTH(СтартМодели)+50-1,1)</f>
        <v/>
      </c>
      <c r="BJ5" s="124">
        <f>DATE(YEAR(СтартМодели),MONTH(СтартМодели)+51-1,1)</f>
        <v/>
      </c>
      <c r="BK5" s="124">
        <f>DATE(YEAR(СтартМодели),MONTH(СтартМодели)+52-1,1)</f>
        <v/>
      </c>
      <c r="BL5" s="124">
        <f>DATE(YEAR(СтартМодели),MONTH(СтартМодели)+53-1,1)</f>
        <v/>
      </c>
      <c r="BM5" s="124">
        <f>DATE(YEAR(СтартМодели),MONTH(СтартМодели)+54-1,1)</f>
        <v/>
      </c>
      <c r="BN5" s="124">
        <f>DATE(YEAR(СтартМодели),MONTH(СтартМодели)+55-1,1)</f>
        <v/>
      </c>
      <c r="BO5" s="124">
        <f>DATE(YEAR(СтартМодели),MONTH(СтартМодели)+56-1,1)</f>
        <v/>
      </c>
      <c r="BP5" s="124">
        <f>DATE(YEAR(СтартМодели),MONTH(СтартМодели)+57-1,1)</f>
        <v/>
      </c>
      <c r="BQ5" s="124">
        <f>DATE(YEAR(СтартМодели),MONTH(СтартМодели)+58-1,1)</f>
        <v/>
      </c>
      <c r="BR5" s="124">
        <f>DATE(YEAR(СтартМодели),MONTH(СтартМодели)+59-1,1)</f>
        <v/>
      </c>
      <c r="BS5" s="124">
        <f>DATE(YEAR(СтартМодели),MONTH(СтартМодели)+60-1,1)</f>
        <v/>
      </c>
      <c r="BT5" s="124">
        <f>DATE(YEAR(СтартМодели),MONTH(СтартМодели)+61-1,1)</f>
        <v/>
      </c>
      <c r="BU5" s="124">
        <f>DATE(YEAR(СтартМодели),MONTH(СтартМодели)+62-1,1)</f>
        <v/>
      </c>
      <c r="BV5" s="124">
        <f>DATE(YEAR(СтартМодели),MONTH(СтартМодели)+63-1,1)</f>
        <v/>
      </c>
      <c r="BW5" s="124">
        <f>DATE(YEAR(СтартМодели),MONTH(СтартМодели)+64-1,1)</f>
        <v/>
      </c>
      <c r="BX5" s="124">
        <f>DATE(YEAR(СтартМодели),MONTH(СтартМодели)+65-1,1)</f>
        <v/>
      </c>
      <c r="BY5" s="124">
        <f>DATE(YEAR(СтартМодели),MONTH(СтартМодели)+66-1,1)</f>
        <v/>
      </c>
    </row>
    <row r="6">
      <c r="B6" s="125" t="inlineStr">
        <is>
          <t>Товарный запас</t>
        </is>
      </c>
      <c r="C6" s="126" t="n"/>
      <c r="D6" s="126" t="n"/>
      <c r="E6" s="126" t="n"/>
      <c r="F6" s="126" t="n"/>
      <c r="G6" s="126" t="n"/>
      <c r="H6" s="126" t="n"/>
      <c r="I6" s="126" t="n"/>
      <c r="J6" s="126" t="n"/>
      <c r="K6" s="126" t="n"/>
      <c r="L6" s="126" t="n"/>
      <c r="M6" s="126" t="n"/>
      <c r="N6" s="126" t="n"/>
      <c r="O6" s="126" t="n"/>
      <c r="P6" s="126" t="n"/>
      <c r="Q6" s="126" t="n"/>
      <c r="R6" s="126" t="n"/>
      <c r="S6" s="126" t="n"/>
      <c r="T6" s="126" t="n"/>
      <c r="U6" s="126" t="n"/>
      <c r="V6" s="126" t="n"/>
      <c r="W6" s="126" t="n"/>
      <c r="X6" s="126" t="n"/>
      <c r="Y6" s="126" t="n"/>
      <c r="Z6" s="126" t="n"/>
      <c r="AA6" s="126" t="n"/>
      <c r="AB6" s="126" t="n"/>
      <c r="AC6" s="126" t="n"/>
      <c r="AD6" s="126" t="n"/>
      <c r="AE6" s="126" t="n"/>
      <c r="AF6" s="126" t="n"/>
      <c r="AG6" s="126" t="n"/>
      <c r="AH6" s="126" t="n"/>
      <c r="AI6" s="126" t="n"/>
      <c r="AJ6" s="126" t="n"/>
      <c r="AK6" s="126" t="n"/>
      <c r="AL6" s="126" t="n"/>
      <c r="AM6" s="126" t="n"/>
      <c r="AN6" s="126" t="n"/>
      <c r="AO6" s="126" t="n"/>
      <c r="AP6" s="126" t="n"/>
      <c r="AQ6" s="126" t="n"/>
      <c r="AR6" s="126" t="n"/>
      <c r="AS6" s="126" t="n"/>
      <c r="AT6" s="126" t="n"/>
      <c r="AU6" s="126" t="n"/>
      <c r="AV6" s="126" t="n"/>
      <c r="AW6" s="126" t="n"/>
      <c r="AX6" s="126" t="n"/>
      <c r="AY6" s="126" t="n"/>
      <c r="AZ6" s="126" t="n"/>
      <c r="BA6" s="126" t="n"/>
      <c r="BB6" s="126" t="n"/>
      <c r="BC6" s="126" t="n"/>
      <c r="BD6" s="126" t="n"/>
      <c r="BE6" s="126" t="n"/>
      <c r="BF6" s="126" t="n"/>
      <c r="BG6" s="126" t="n"/>
      <c r="BH6" s="126" t="n"/>
      <c r="BI6" s="126" t="n"/>
      <c r="BJ6" s="126" t="n"/>
      <c r="BK6" s="126" t="n"/>
      <c r="BL6" s="126" t="n"/>
      <c r="BM6" s="126" t="n"/>
      <c r="BN6" s="126" t="n"/>
      <c r="BO6" s="126" t="n"/>
      <c r="BP6" s="126" t="n"/>
      <c r="BQ6" s="126" t="n"/>
      <c r="BR6" s="126" t="n"/>
      <c r="BS6" s="126" t="n"/>
      <c r="BT6" s="126" t="n"/>
      <c r="BU6" s="126" t="n"/>
      <c r="BV6" s="126" t="n"/>
      <c r="BW6" s="126" t="n"/>
      <c r="BX6" s="126" t="n"/>
      <c r="BY6" s="126" t="n"/>
    </row>
    <row r="7">
      <c r="B7" t="inlineStr">
        <is>
          <t>Склад на начало</t>
        </is>
      </c>
      <c r="C7" t="inlineStr">
        <is>
          <t>₽</t>
        </is>
      </c>
      <c r="D7" s="127" t="inlineStr">
        <is>
          <t>Остаток предыдущего месяца В колонках лет — значение на конец года, в «Итого» — на конец пятого года. Это остаток, а не сумма.</t>
        </is>
      </c>
      <c r="E7" s="129">
        <f>W7</f>
        <v/>
      </c>
      <c r="F7" s="129">
        <f>AI7</f>
        <v/>
      </c>
      <c r="G7" s="129">
        <f>AU7</f>
        <v/>
      </c>
      <c r="H7" s="129">
        <f>BG7</f>
        <v/>
      </c>
      <c r="I7" s="129">
        <f>BS7</f>
        <v/>
      </c>
      <c r="J7" s="6">
        <f>BS7</f>
        <v/>
      </c>
      <c r="L7" s="5">
        <f>СкладСтарт</f>
        <v/>
      </c>
      <c r="M7" s="5">
        <f>L11</f>
        <v/>
      </c>
      <c r="N7" s="5">
        <f>M11</f>
        <v/>
      </c>
      <c r="O7" s="5">
        <f>N11</f>
        <v/>
      </c>
      <c r="P7" s="5">
        <f>O11</f>
        <v/>
      </c>
      <c r="Q7" s="5">
        <f>P11</f>
        <v/>
      </c>
      <c r="R7" s="5">
        <f>Q11</f>
        <v/>
      </c>
      <c r="S7" s="5">
        <f>R11</f>
        <v/>
      </c>
      <c r="T7" s="5">
        <f>S11</f>
        <v/>
      </c>
      <c r="U7" s="5">
        <f>T11</f>
        <v/>
      </c>
      <c r="V7" s="5">
        <f>U11</f>
        <v/>
      </c>
      <c r="W7" s="5">
        <f>V11</f>
        <v/>
      </c>
      <c r="X7" s="5">
        <f>W11</f>
        <v/>
      </c>
      <c r="Y7" s="5">
        <f>X11</f>
        <v/>
      </c>
      <c r="Z7" s="5">
        <f>Y11</f>
        <v/>
      </c>
      <c r="AA7" s="5">
        <f>Z11</f>
        <v/>
      </c>
      <c r="AB7" s="5">
        <f>AA11</f>
        <v/>
      </c>
      <c r="AC7" s="5">
        <f>AB11</f>
        <v/>
      </c>
      <c r="AD7" s="5">
        <f>AC11</f>
        <v/>
      </c>
      <c r="AE7" s="5">
        <f>AD11</f>
        <v/>
      </c>
      <c r="AF7" s="5">
        <f>AE11</f>
        <v/>
      </c>
      <c r="AG7" s="5">
        <f>AF11</f>
        <v/>
      </c>
      <c r="AH7" s="5">
        <f>AG11</f>
        <v/>
      </c>
      <c r="AI7" s="5">
        <f>AH11</f>
        <v/>
      </c>
      <c r="AJ7" s="5">
        <f>AI11</f>
        <v/>
      </c>
      <c r="AK7" s="5">
        <f>AJ11</f>
        <v/>
      </c>
      <c r="AL7" s="5">
        <f>AK11</f>
        <v/>
      </c>
      <c r="AM7" s="5">
        <f>AL11</f>
        <v/>
      </c>
      <c r="AN7" s="5">
        <f>AM11</f>
        <v/>
      </c>
      <c r="AO7" s="5">
        <f>AN11</f>
        <v/>
      </c>
      <c r="AP7" s="5">
        <f>AO11</f>
        <v/>
      </c>
      <c r="AQ7" s="5">
        <f>AP11</f>
        <v/>
      </c>
      <c r="AR7" s="5">
        <f>AQ11</f>
        <v/>
      </c>
      <c r="AS7" s="5">
        <f>AR11</f>
        <v/>
      </c>
      <c r="AT7" s="5">
        <f>AS11</f>
        <v/>
      </c>
      <c r="AU7" s="5">
        <f>AT11</f>
        <v/>
      </c>
      <c r="AV7" s="5">
        <f>AU11</f>
        <v/>
      </c>
      <c r="AW7" s="5">
        <f>AV11</f>
        <v/>
      </c>
      <c r="AX7" s="5">
        <f>AW11</f>
        <v/>
      </c>
      <c r="AY7" s="5">
        <f>AX11</f>
        <v/>
      </c>
      <c r="AZ7" s="5">
        <f>AY11</f>
        <v/>
      </c>
      <c r="BA7" s="5">
        <f>AZ11</f>
        <v/>
      </c>
      <c r="BB7" s="5">
        <f>BA11</f>
        <v/>
      </c>
      <c r="BC7" s="5">
        <f>BB11</f>
        <v/>
      </c>
      <c r="BD7" s="5">
        <f>BC11</f>
        <v/>
      </c>
      <c r="BE7" s="5">
        <f>BD11</f>
        <v/>
      </c>
      <c r="BF7" s="5">
        <f>BE11</f>
        <v/>
      </c>
      <c r="BG7" s="5">
        <f>BF11</f>
        <v/>
      </c>
      <c r="BH7" s="5">
        <f>BG11</f>
        <v/>
      </c>
      <c r="BI7" s="5">
        <f>BH11</f>
        <v/>
      </c>
      <c r="BJ7" s="5">
        <f>BI11</f>
        <v/>
      </c>
      <c r="BK7" s="5">
        <f>BJ11</f>
        <v/>
      </c>
      <c r="BL7" s="5">
        <f>BK11</f>
        <v/>
      </c>
      <c r="BM7" s="5">
        <f>BL11</f>
        <v/>
      </c>
      <c r="BN7" s="5">
        <f>BM11</f>
        <v/>
      </c>
      <c r="BO7" s="5">
        <f>BN11</f>
        <v/>
      </c>
      <c r="BP7" s="5">
        <f>BO11</f>
        <v/>
      </c>
      <c r="BQ7" s="5">
        <f>BP11</f>
        <v/>
      </c>
      <c r="BR7" s="5">
        <f>BQ11</f>
        <v/>
      </c>
      <c r="BS7" s="5">
        <f>BR11</f>
        <v/>
      </c>
      <c r="BT7" s="5">
        <f>BS11</f>
        <v/>
      </c>
      <c r="BU7" s="5">
        <f>BT11</f>
        <v/>
      </c>
      <c r="BV7" s="5">
        <f>BU11</f>
        <v/>
      </c>
      <c r="BW7" s="5">
        <f>BV11</f>
        <v/>
      </c>
      <c r="BX7" s="5">
        <f>BW11</f>
        <v/>
      </c>
      <c r="BY7" s="5">
        <f>BX11</f>
        <v/>
      </c>
    </row>
    <row r="8">
      <c r="B8" t="inlineStr">
        <is>
          <t>Списание по себестоимости</t>
        </is>
      </c>
      <c r="C8" t="inlineStr">
        <is>
          <t>₽</t>
        </is>
      </c>
      <c r="D8" s="127" t="inlineStr">
        <is>
          <t>COGS проданного мерча</t>
        </is>
      </c>
      <c r="E8" s="129">
        <f>SUM(L8:W8)</f>
        <v/>
      </c>
      <c r="F8" s="129">
        <f>SUM(X8:AI8)</f>
        <v/>
      </c>
      <c r="G8" s="129">
        <f>SUM(AJ8:AU8)</f>
        <v/>
      </c>
      <c r="H8" s="129">
        <f>SUM(AV8:BG8)</f>
        <v/>
      </c>
      <c r="I8" s="129">
        <f>SUM(BH8:BS8)</f>
        <v/>
      </c>
      <c r="J8" s="6">
        <f>SUM(L8:BS8)</f>
        <v/>
      </c>
      <c r="L8" s="5">
        <f>'04_Доходы'!L133</f>
        <v/>
      </c>
      <c r="M8" s="5">
        <f>'04_Доходы'!M133</f>
        <v/>
      </c>
      <c r="N8" s="5">
        <f>'04_Доходы'!N133</f>
        <v/>
      </c>
      <c r="O8" s="5">
        <f>'04_Доходы'!O133</f>
        <v/>
      </c>
      <c r="P8" s="5">
        <f>'04_Доходы'!P133</f>
        <v/>
      </c>
      <c r="Q8" s="5">
        <f>'04_Доходы'!Q133</f>
        <v/>
      </c>
      <c r="R8" s="5">
        <f>'04_Доходы'!R133</f>
        <v/>
      </c>
      <c r="S8" s="5">
        <f>'04_Доходы'!S133</f>
        <v/>
      </c>
      <c r="T8" s="5">
        <f>'04_Доходы'!T133</f>
        <v/>
      </c>
      <c r="U8" s="5">
        <f>'04_Доходы'!U133</f>
        <v/>
      </c>
      <c r="V8" s="5">
        <f>'04_Доходы'!V133</f>
        <v/>
      </c>
      <c r="W8" s="5">
        <f>'04_Доходы'!W133</f>
        <v/>
      </c>
      <c r="X8" s="5">
        <f>'04_Доходы'!X133</f>
        <v/>
      </c>
      <c r="Y8" s="5">
        <f>'04_Доходы'!Y133</f>
        <v/>
      </c>
      <c r="Z8" s="5">
        <f>'04_Доходы'!Z133</f>
        <v/>
      </c>
      <c r="AA8" s="5">
        <f>'04_Доходы'!AA133</f>
        <v/>
      </c>
      <c r="AB8" s="5">
        <f>'04_Доходы'!AB133</f>
        <v/>
      </c>
      <c r="AC8" s="5">
        <f>'04_Доходы'!AC133</f>
        <v/>
      </c>
      <c r="AD8" s="5">
        <f>'04_Доходы'!AD133</f>
        <v/>
      </c>
      <c r="AE8" s="5">
        <f>'04_Доходы'!AE133</f>
        <v/>
      </c>
      <c r="AF8" s="5">
        <f>'04_Доходы'!AF133</f>
        <v/>
      </c>
      <c r="AG8" s="5">
        <f>'04_Доходы'!AG133</f>
        <v/>
      </c>
      <c r="AH8" s="5">
        <f>'04_Доходы'!AH133</f>
        <v/>
      </c>
      <c r="AI8" s="5">
        <f>'04_Доходы'!AI133</f>
        <v/>
      </c>
      <c r="AJ8" s="5">
        <f>'04_Доходы'!AJ133</f>
        <v/>
      </c>
      <c r="AK8" s="5">
        <f>'04_Доходы'!AK133</f>
        <v/>
      </c>
      <c r="AL8" s="5">
        <f>'04_Доходы'!AL133</f>
        <v/>
      </c>
      <c r="AM8" s="5">
        <f>'04_Доходы'!AM133</f>
        <v/>
      </c>
      <c r="AN8" s="5">
        <f>'04_Доходы'!AN133</f>
        <v/>
      </c>
      <c r="AO8" s="5">
        <f>'04_Доходы'!AO133</f>
        <v/>
      </c>
      <c r="AP8" s="5">
        <f>'04_Доходы'!AP133</f>
        <v/>
      </c>
      <c r="AQ8" s="5">
        <f>'04_Доходы'!AQ133</f>
        <v/>
      </c>
      <c r="AR8" s="5">
        <f>'04_Доходы'!AR133</f>
        <v/>
      </c>
      <c r="AS8" s="5">
        <f>'04_Доходы'!AS133</f>
        <v/>
      </c>
      <c r="AT8" s="5">
        <f>'04_Доходы'!AT133</f>
        <v/>
      </c>
      <c r="AU8" s="5">
        <f>'04_Доходы'!AU133</f>
        <v/>
      </c>
      <c r="AV8" s="5">
        <f>'04_Доходы'!AV133</f>
        <v/>
      </c>
      <c r="AW8" s="5">
        <f>'04_Доходы'!AW133</f>
        <v/>
      </c>
      <c r="AX8" s="5">
        <f>'04_Доходы'!AX133</f>
        <v/>
      </c>
      <c r="AY8" s="5">
        <f>'04_Доходы'!AY133</f>
        <v/>
      </c>
      <c r="AZ8" s="5">
        <f>'04_Доходы'!AZ133</f>
        <v/>
      </c>
      <c r="BA8" s="5">
        <f>'04_Доходы'!BA133</f>
        <v/>
      </c>
      <c r="BB8" s="5">
        <f>'04_Доходы'!BB133</f>
        <v/>
      </c>
      <c r="BC8" s="5">
        <f>'04_Доходы'!BC133</f>
        <v/>
      </c>
      <c r="BD8" s="5">
        <f>'04_Доходы'!BD133</f>
        <v/>
      </c>
      <c r="BE8" s="5">
        <f>'04_Доходы'!BE133</f>
        <v/>
      </c>
      <c r="BF8" s="5">
        <f>'04_Доходы'!BF133</f>
        <v/>
      </c>
      <c r="BG8" s="5">
        <f>'04_Доходы'!BG133</f>
        <v/>
      </c>
      <c r="BH8" s="5">
        <f>'04_Доходы'!BH133</f>
        <v/>
      </c>
      <c r="BI8" s="5">
        <f>'04_Доходы'!BI133</f>
        <v/>
      </c>
      <c r="BJ8" s="5">
        <f>'04_Доходы'!BJ133</f>
        <v/>
      </c>
      <c r="BK8" s="5">
        <f>'04_Доходы'!BK133</f>
        <v/>
      </c>
      <c r="BL8" s="5">
        <f>'04_Доходы'!BL133</f>
        <v/>
      </c>
      <c r="BM8" s="5">
        <f>'04_Доходы'!BM133</f>
        <v/>
      </c>
      <c r="BN8" s="5">
        <f>'04_Доходы'!BN133</f>
        <v/>
      </c>
      <c r="BO8" s="5">
        <f>'04_Доходы'!BO133</f>
        <v/>
      </c>
      <c r="BP8" s="5">
        <f>'04_Доходы'!BP133</f>
        <v/>
      </c>
      <c r="BQ8" s="5">
        <f>'04_Доходы'!BQ133</f>
        <v/>
      </c>
      <c r="BR8" s="5">
        <f>'04_Доходы'!BR133</f>
        <v/>
      </c>
      <c r="BS8" s="5">
        <f>'04_Доходы'!BS133</f>
        <v/>
      </c>
      <c r="BT8" s="5">
        <f>'04_Доходы'!BT133</f>
        <v/>
      </c>
      <c r="BU8" s="5">
        <f>'04_Доходы'!BU133</f>
        <v/>
      </c>
      <c r="BV8" s="5">
        <f>'04_Доходы'!BV133</f>
        <v/>
      </c>
      <c r="BW8" s="5">
        <f>'04_Доходы'!BW133</f>
        <v/>
      </c>
      <c r="BX8" s="5">
        <f>'04_Доходы'!BX133</f>
        <v/>
      </c>
      <c r="BY8" s="5">
        <f>'04_Доходы'!BY133</f>
        <v/>
      </c>
    </row>
    <row r="9">
      <c r="B9" t="inlineStr">
        <is>
          <t>Целевой запас будущих продаж</t>
        </is>
      </c>
      <c r="C9" t="inlineStr">
        <is>
          <t>₽</t>
        </is>
      </c>
      <c r="D9" s="127" t="inlineStr">
        <is>
          <t>Себестоимость продаж на ближайшие месяцы вперёд В колонках лет — значение на конец года, в «Итого» — на конец пятого года. Это остаток, а не сумма.</t>
        </is>
      </c>
      <c r="E9" s="129">
        <f>W9</f>
        <v/>
      </c>
      <c r="F9" s="129">
        <f>AI9</f>
        <v/>
      </c>
      <c r="G9" s="129">
        <f>AU9</f>
        <v/>
      </c>
      <c r="H9" s="129">
        <f>BG9</f>
        <v/>
      </c>
      <c r="I9" s="129">
        <f>BS9</f>
        <v/>
      </c>
      <c r="J9" s="6">
        <f>BS9</f>
        <v/>
      </c>
      <c r="L9" s="5">
        <f>SUM(IF(ЗапасМес&gt;=1,'04_Доходы'!M133,0),IF(ЗапасМес&gt;=2,'04_Доходы'!N133,0),IF(ЗапасМес&gt;=3,'04_Доходы'!O133,0),IF(ЗапасМес&gt;=4,'04_Доходы'!P133,0),IF(ЗапасМес&gt;=5,'04_Доходы'!Q133,0),IF(ЗапасМес&gt;=6,'04_Доходы'!R133,0))</f>
        <v/>
      </c>
      <c r="M9" s="5">
        <f>SUM(IF(ЗапасМес&gt;=1,'04_Доходы'!N133,0),IF(ЗапасМес&gt;=2,'04_Доходы'!O133,0),IF(ЗапасМес&gt;=3,'04_Доходы'!P133,0),IF(ЗапасМес&gt;=4,'04_Доходы'!Q133,0),IF(ЗапасМес&gt;=5,'04_Доходы'!R133,0),IF(ЗапасМес&gt;=6,'04_Доходы'!S133,0))</f>
        <v/>
      </c>
      <c r="N9" s="5">
        <f>SUM(IF(ЗапасМес&gt;=1,'04_Доходы'!O133,0),IF(ЗапасМес&gt;=2,'04_Доходы'!P133,0),IF(ЗапасМес&gt;=3,'04_Доходы'!Q133,0),IF(ЗапасМес&gt;=4,'04_Доходы'!R133,0),IF(ЗапасМес&gt;=5,'04_Доходы'!S133,0),IF(ЗапасМес&gt;=6,'04_Доходы'!T133,0))</f>
        <v/>
      </c>
      <c r="O9" s="5">
        <f>SUM(IF(ЗапасМес&gt;=1,'04_Доходы'!P133,0),IF(ЗапасМес&gt;=2,'04_Доходы'!Q133,0),IF(ЗапасМес&gt;=3,'04_Доходы'!R133,0),IF(ЗапасМес&gt;=4,'04_Доходы'!S133,0),IF(ЗапасМес&gt;=5,'04_Доходы'!T133,0),IF(ЗапасМес&gt;=6,'04_Доходы'!U133,0))</f>
        <v/>
      </c>
      <c r="P9" s="5">
        <f>SUM(IF(ЗапасМес&gt;=1,'04_Доходы'!Q133,0),IF(ЗапасМес&gt;=2,'04_Доходы'!R133,0),IF(ЗапасМес&gt;=3,'04_Доходы'!S133,0),IF(ЗапасМес&gt;=4,'04_Доходы'!T133,0),IF(ЗапасМес&gt;=5,'04_Доходы'!U133,0),IF(ЗапасМес&gt;=6,'04_Доходы'!V133,0))</f>
        <v/>
      </c>
      <c r="Q9" s="5">
        <f>SUM(IF(ЗапасМес&gt;=1,'04_Доходы'!R133,0),IF(ЗапасМес&gt;=2,'04_Доходы'!S133,0),IF(ЗапасМес&gt;=3,'04_Доходы'!T133,0),IF(ЗапасМес&gt;=4,'04_Доходы'!U133,0),IF(ЗапасМес&gt;=5,'04_Доходы'!V133,0),IF(ЗапасМес&gt;=6,'04_Доходы'!W133,0))</f>
        <v/>
      </c>
      <c r="R9" s="5">
        <f>SUM(IF(ЗапасМес&gt;=1,'04_Доходы'!S133,0),IF(ЗапасМес&gt;=2,'04_Доходы'!T133,0),IF(ЗапасМес&gt;=3,'04_Доходы'!U133,0),IF(ЗапасМес&gt;=4,'04_Доходы'!V133,0),IF(ЗапасМес&gt;=5,'04_Доходы'!W133,0),IF(ЗапасМес&gt;=6,'04_Доходы'!X133,0))</f>
        <v/>
      </c>
      <c r="S9" s="5">
        <f>SUM(IF(ЗапасМес&gt;=1,'04_Доходы'!T133,0),IF(ЗапасМес&gt;=2,'04_Доходы'!U133,0),IF(ЗапасМес&gt;=3,'04_Доходы'!V133,0),IF(ЗапасМес&gt;=4,'04_Доходы'!W133,0),IF(ЗапасМес&gt;=5,'04_Доходы'!X133,0),IF(ЗапасМес&gt;=6,'04_Доходы'!Y133,0))</f>
        <v/>
      </c>
      <c r="T9" s="5">
        <f>SUM(IF(ЗапасМес&gt;=1,'04_Доходы'!U133,0),IF(ЗапасМес&gt;=2,'04_Доходы'!V133,0),IF(ЗапасМес&gt;=3,'04_Доходы'!W133,0),IF(ЗапасМес&gt;=4,'04_Доходы'!X133,0),IF(ЗапасМес&gt;=5,'04_Доходы'!Y133,0),IF(ЗапасМес&gt;=6,'04_Доходы'!Z133,0))</f>
        <v/>
      </c>
      <c r="U9" s="5">
        <f>SUM(IF(ЗапасМес&gt;=1,'04_Доходы'!V133,0),IF(ЗапасМес&gt;=2,'04_Доходы'!W133,0),IF(ЗапасМес&gt;=3,'04_Доходы'!X133,0),IF(ЗапасМес&gt;=4,'04_Доходы'!Y133,0),IF(ЗапасМес&gt;=5,'04_Доходы'!Z133,0),IF(ЗапасМес&gt;=6,'04_Доходы'!AA133,0))</f>
        <v/>
      </c>
      <c r="V9" s="5">
        <f>SUM(IF(ЗапасМес&gt;=1,'04_Доходы'!W133,0),IF(ЗапасМес&gt;=2,'04_Доходы'!X133,0),IF(ЗапасМес&gt;=3,'04_Доходы'!Y133,0),IF(ЗапасМес&gt;=4,'04_Доходы'!Z133,0),IF(ЗапасМес&gt;=5,'04_Доходы'!AA133,0),IF(ЗапасМес&gt;=6,'04_Доходы'!AB133,0))</f>
        <v/>
      </c>
      <c r="W9" s="5">
        <f>SUM(IF(ЗапасМес&gt;=1,'04_Доходы'!X133,0),IF(ЗапасМес&gt;=2,'04_Доходы'!Y133,0),IF(ЗапасМес&gt;=3,'04_Доходы'!Z133,0),IF(ЗапасМес&gt;=4,'04_Доходы'!AA133,0),IF(ЗапасМес&gt;=5,'04_Доходы'!AB133,0),IF(ЗапасМес&gt;=6,'04_Доходы'!AC133,0))</f>
        <v/>
      </c>
      <c r="X9" s="5">
        <f>SUM(IF(ЗапасМес&gt;=1,'04_Доходы'!Y133,0),IF(ЗапасМес&gt;=2,'04_Доходы'!Z133,0),IF(ЗапасМес&gt;=3,'04_Доходы'!AA133,0),IF(ЗапасМес&gt;=4,'04_Доходы'!AB133,0),IF(ЗапасМес&gt;=5,'04_Доходы'!AC133,0),IF(ЗапасМес&gt;=6,'04_Доходы'!AD133,0))</f>
        <v/>
      </c>
      <c r="Y9" s="5">
        <f>SUM(IF(ЗапасМес&gt;=1,'04_Доходы'!Z133,0),IF(ЗапасМес&gt;=2,'04_Доходы'!AA133,0),IF(ЗапасМес&gt;=3,'04_Доходы'!AB133,0),IF(ЗапасМес&gt;=4,'04_Доходы'!AC133,0),IF(ЗапасМес&gt;=5,'04_Доходы'!AD133,0),IF(ЗапасМес&gt;=6,'04_Доходы'!AE133,0))</f>
        <v/>
      </c>
      <c r="Z9" s="5">
        <f>SUM(IF(ЗапасМес&gt;=1,'04_Доходы'!AA133,0),IF(ЗапасМес&gt;=2,'04_Доходы'!AB133,0),IF(ЗапасМес&gt;=3,'04_Доходы'!AC133,0),IF(ЗапасМес&gt;=4,'04_Доходы'!AD133,0),IF(ЗапасМес&gt;=5,'04_Доходы'!AE133,0),IF(ЗапасМес&gt;=6,'04_Доходы'!AF133,0))</f>
        <v/>
      </c>
      <c r="AA9" s="5">
        <f>SUM(IF(ЗапасМес&gt;=1,'04_Доходы'!AB133,0),IF(ЗапасМес&gt;=2,'04_Доходы'!AC133,0),IF(ЗапасМес&gt;=3,'04_Доходы'!AD133,0),IF(ЗапасМес&gt;=4,'04_Доходы'!AE133,0),IF(ЗапасМес&gt;=5,'04_Доходы'!AF133,0),IF(ЗапасМес&gt;=6,'04_Доходы'!AG133,0))</f>
        <v/>
      </c>
      <c r="AB9" s="5">
        <f>SUM(IF(ЗапасМес&gt;=1,'04_Доходы'!AC133,0),IF(ЗапасМес&gt;=2,'04_Доходы'!AD133,0),IF(ЗапасМес&gt;=3,'04_Доходы'!AE133,0),IF(ЗапасМес&gt;=4,'04_Доходы'!AF133,0),IF(ЗапасМес&gt;=5,'04_Доходы'!AG133,0),IF(ЗапасМес&gt;=6,'04_Доходы'!AH133,0))</f>
        <v/>
      </c>
      <c r="AC9" s="5">
        <f>SUM(IF(ЗапасМес&gt;=1,'04_Доходы'!AD133,0),IF(ЗапасМес&gt;=2,'04_Доходы'!AE133,0),IF(ЗапасМес&gt;=3,'04_Доходы'!AF133,0),IF(ЗапасМес&gt;=4,'04_Доходы'!AG133,0),IF(ЗапасМес&gt;=5,'04_Доходы'!AH133,0),IF(ЗапасМес&gt;=6,'04_Доходы'!AI133,0))</f>
        <v/>
      </c>
      <c r="AD9" s="5">
        <f>SUM(IF(ЗапасМес&gt;=1,'04_Доходы'!AE133,0),IF(ЗапасМес&gt;=2,'04_Доходы'!AF133,0),IF(ЗапасМес&gt;=3,'04_Доходы'!AG133,0),IF(ЗапасМес&gt;=4,'04_Доходы'!AH133,0),IF(ЗапасМес&gt;=5,'04_Доходы'!AI133,0),IF(ЗапасМес&gt;=6,'04_Доходы'!AJ133,0))</f>
        <v/>
      </c>
      <c r="AE9" s="5">
        <f>SUM(IF(ЗапасМес&gt;=1,'04_Доходы'!AF133,0),IF(ЗапасМес&gt;=2,'04_Доходы'!AG133,0),IF(ЗапасМес&gt;=3,'04_Доходы'!AH133,0),IF(ЗапасМес&gt;=4,'04_Доходы'!AI133,0),IF(ЗапасМес&gt;=5,'04_Доходы'!AJ133,0),IF(ЗапасМес&gt;=6,'04_Доходы'!AK133,0))</f>
        <v/>
      </c>
      <c r="AF9" s="5">
        <f>SUM(IF(ЗапасМес&gt;=1,'04_Доходы'!AG133,0),IF(ЗапасМес&gt;=2,'04_Доходы'!AH133,0),IF(ЗапасМес&gt;=3,'04_Доходы'!AI133,0),IF(ЗапасМес&gt;=4,'04_Доходы'!AJ133,0),IF(ЗапасМес&gt;=5,'04_Доходы'!AK133,0),IF(ЗапасМес&gt;=6,'04_Доходы'!AL133,0))</f>
        <v/>
      </c>
      <c r="AG9" s="5">
        <f>SUM(IF(ЗапасМес&gt;=1,'04_Доходы'!AH133,0),IF(ЗапасМес&gt;=2,'04_Доходы'!AI133,0),IF(ЗапасМес&gt;=3,'04_Доходы'!AJ133,0),IF(ЗапасМес&gt;=4,'04_Доходы'!AK133,0),IF(ЗапасМес&gt;=5,'04_Доходы'!AL133,0),IF(ЗапасМес&gt;=6,'04_Доходы'!AM133,0))</f>
        <v/>
      </c>
      <c r="AH9" s="5">
        <f>SUM(IF(ЗапасМес&gt;=1,'04_Доходы'!AI133,0),IF(ЗапасМес&gt;=2,'04_Доходы'!AJ133,0),IF(ЗапасМес&gt;=3,'04_Доходы'!AK133,0),IF(ЗапасМес&gt;=4,'04_Доходы'!AL133,0),IF(ЗапасМес&gt;=5,'04_Доходы'!AM133,0),IF(ЗапасМес&gt;=6,'04_Доходы'!AN133,0))</f>
        <v/>
      </c>
      <c r="AI9" s="5">
        <f>SUM(IF(ЗапасМес&gt;=1,'04_Доходы'!AJ133,0),IF(ЗапасМес&gt;=2,'04_Доходы'!AK133,0),IF(ЗапасМес&gt;=3,'04_Доходы'!AL133,0),IF(ЗапасМес&gt;=4,'04_Доходы'!AM133,0),IF(ЗапасМес&gt;=5,'04_Доходы'!AN133,0),IF(ЗапасМес&gt;=6,'04_Доходы'!AO133,0))</f>
        <v/>
      </c>
      <c r="AJ9" s="5">
        <f>SUM(IF(ЗапасМес&gt;=1,'04_Доходы'!AK133,0),IF(ЗапасМес&gt;=2,'04_Доходы'!AL133,0),IF(ЗапасМес&gt;=3,'04_Доходы'!AM133,0),IF(ЗапасМес&gt;=4,'04_Доходы'!AN133,0),IF(ЗапасМес&gt;=5,'04_Доходы'!AO133,0),IF(ЗапасМес&gt;=6,'04_Доходы'!AP133,0))</f>
        <v/>
      </c>
      <c r="AK9" s="5">
        <f>SUM(IF(ЗапасМес&gt;=1,'04_Доходы'!AL133,0),IF(ЗапасМес&gt;=2,'04_Доходы'!AM133,0),IF(ЗапасМес&gt;=3,'04_Доходы'!AN133,0),IF(ЗапасМес&gt;=4,'04_Доходы'!AO133,0),IF(ЗапасМес&gt;=5,'04_Доходы'!AP133,0),IF(ЗапасМес&gt;=6,'04_Доходы'!AQ133,0))</f>
        <v/>
      </c>
      <c r="AL9" s="5">
        <f>SUM(IF(ЗапасМес&gt;=1,'04_Доходы'!AM133,0),IF(ЗапасМес&gt;=2,'04_Доходы'!AN133,0),IF(ЗапасМес&gt;=3,'04_Доходы'!AO133,0),IF(ЗапасМес&gt;=4,'04_Доходы'!AP133,0),IF(ЗапасМес&gt;=5,'04_Доходы'!AQ133,0),IF(ЗапасМес&gt;=6,'04_Доходы'!AR133,0))</f>
        <v/>
      </c>
      <c r="AM9" s="5">
        <f>SUM(IF(ЗапасМес&gt;=1,'04_Доходы'!AN133,0),IF(ЗапасМес&gt;=2,'04_Доходы'!AO133,0),IF(ЗапасМес&gt;=3,'04_Доходы'!AP133,0),IF(ЗапасМес&gt;=4,'04_Доходы'!AQ133,0),IF(ЗапасМес&gt;=5,'04_Доходы'!AR133,0),IF(ЗапасМес&gt;=6,'04_Доходы'!AS133,0))</f>
        <v/>
      </c>
      <c r="AN9" s="5">
        <f>SUM(IF(ЗапасМес&gt;=1,'04_Доходы'!AO133,0),IF(ЗапасМес&gt;=2,'04_Доходы'!AP133,0),IF(ЗапасМес&gt;=3,'04_Доходы'!AQ133,0),IF(ЗапасМес&gt;=4,'04_Доходы'!AR133,0),IF(ЗапасМес&gt;=5,'04_Доходы'!AS133,0),IF(ЗапасМес&gt;=6,'04_Доходы'!AT133,0))</f>
        <v/>
      </c>
      <c r="AO9" s="5">
        <f>SUM(IF(ЗапасМес&gt;=1,'04_Доходы'!AP133,0),IF(ЗапасМес&gt;=2,'04_Доходы'!AQ133,0),IF(ЗапасМес&gt;=3,'04_Доходы'!AR133,0),IF(ЗапасМес&gt;=4,'04_Доходы'!AS133,0),IF(ЗапасМес&gt;=5,'04_Доходы'!AT133,0),IF(ЗапасМес&gt;=6,'04_Доходы'!AU133,0))</f>
        <v/>
      </c>
      <c r="AP9" s="5">
        <f>SUM(IF(ЗапасМес&gt;=1,'04_Доходы'!AQ133,0),IF(ЗапасМес&gt;=2,'04_Доходы'!AR133,0),IF(ЗапасМес&gt;=3,'04_Доходы'!AS133,0),IF(ЗапасМес&gt;=4,'04_Доходы'!AT133,0),IF(ЗапасМес&gt;=5,'04_Доходы'!AU133,0),IF(ЗапасМес&gt;=6,'04_Доходы'!AV133,0))</f>
        <v/>
      </c>
      <c r="AQ9" s="5">
        <f>SUM(IF(ЗапасМес&gt;=1,'04_Доходы'!AR133,0),IF(ЗапасМес&gt;=2,'04_Доходы'!AS133,0),IF(ЗапасМес&gt;=3,'04_Доходы'!AT133,0),IF(ЗапасМес&gt;=4,'04_Доходы'!AU133,0),IF(ЗапасМес&gt;=5,'04_Доходы'!AV133,0),IF(ЗапасМес&gt;=6,'04_Доходы'!AW133,0))</f>
        <v/>
      </c>
      <c r="AR9" s="5">
        <f>SUM(IF(ЗапасМес&gt;=1,'04_Доходы'!AS133,0),IF(ЗапасМес&gt;=2,'04_Доходы'!AT133,0),IF(ЗапасМес&gt;=3,'04_Доходы'!AU133,0),IF(ЗапасМес&gt;=4,'04_Доходы'!AV133,0),IF(ЗапасМес&gt;=5,'04_Доходы'!AW133,0),IF(ЗапасМес&gt;=6,'04_Доходы'!AX133,0))</f>
        <v/>
      </c>
      <c r="AS9" s="5">
        <f>SUM(IF(ЗапасМес&gt;=1,'04_Доходы'!AT133,0),IF(ЗапасМес&gt;=2,'04_Доходы'!AU133,0),IF(ЗапасМес&gt;=3,'04_Доходы'!AV133,0),IF(ЗапасМес&gt;=4,'04_Доходы'!AW133,0),IF(ЗапасМес&gt;=5,'04_Доходы'!AX133,0),IF(ЗапасМес&gt;=6,'04_Доходы'!AY133,0))</f>
        <v/>
      </c>
      <c r="AT9" s="5">
        <f>SUM(IF(ЗапасМес&gt;=1,'04_Доходы'!AU133,0),IF(ЗапасМес&gt;=2,'04_Доходы'!AV133,0),IF(ЗапасМес&gt;=3,'04_Доходы'!AW133,0),IF(ЗапасМес&gt;=4,'04_Доходы'!AX133,0),IF(ЗапасМес&gt;=5,'04_Доходы'!AY133,0),IF(ЗапасМес&gt;=6,'04_Доходы'!AZ133,0))</f>
        <v/>
      </c>
      <c r="AU9" s="5">
        <f>SUM(IF(ЗапасМес&gt;=1,'04_Доходы'!AV133,0),IF(ЗапасМес&gt;=2,'04_Доходы'!AW133,0),IF(ЗапасМес&gt;=3,'04_Доходы'!AX133,0),IF(ЗапасМес&gt;=4,'04_Доходы'!AY133,0),IF(ЗапасМес&gt;=5,'04_Доходы'!AZ133,0),IF(ЗапасМес&gt;=6,'04_Доходы'!BA133,0))</f>
        <v/>
      </c>
      <c r="AV9" s="5">
        <f>SUM(IF(ЗапасМес&gt;=1,'04_Доходы'!AW133,0),IF(ЗапасМес&gt;=2,'04_Доходы'!AX133,0),IF(ЗапасМес&gt;=3,'04_Доходы'!AY133,0),IF(ЗапасМес&gt;=4,'04_Доходы'!AZ133,0),IF(ЗапасМес&gt;=5,'04_Доходы'!BA133,0),IF(ЗапасМес&gt;=6,'04_Доходы'!BB133,0))</f>
        <v/>
      </c>
      <c r="AW9" s="5">
        <f>SUM(IF(ЗапасМес&gt;=1,'04_Доходы'!AX133,0),IF(ЗапасМес&gt;=2,'04_Доходы'!AY133,0),IF(ЗапасМес&gt;=3,'04_Доходы'!AZ133,0),IF(ЗапасМес&gt;=4,'04_Доходы'!BA133,0),IF(ЗапасМес&gt;=5,'04_Доходы'!BB133,0),IF(ЗапасМес&gt;=6,'04_Доходы'!BC133,0))</f>
        <v/>
      </c>
      <c r="AX9" s="5">
        <f>SUM(IF(ЗапасМес&gt;=1,'04_Доходы'!AY133,0),IF(ЗапасМес&gt;=2,'04_Доходы'!AZ133,0),IF(ЗапасМес&gt;=3,'04_Доходы'!BA133,0),IF(ЗапасМес&gt;=4,'04_Доходы'!BB133,0),IF(ЗапасМес&gt;=5,'04_Доходы'!BC133,0),IF(ЗапасМес&gt;=6,'04_Доходы'!BD133,0))</f>
        <v/>
      </c>
      <c r="AY9" s="5">
        <f>SUM(IF(ЗапасМес&gt;=1,'04_Доходы'!AZ133,0),IF(ЗапасМес&gt;=2,'04_Доходы'!BA133,0),IF(ЗапасМес&gt;=3,'04_Доходы'!BB133,0),IF(ЗапасМес&gt;=4,'04_Доходы'!BC133,0),IF(ЗапасМес&gt;=5,'04_Доходы'!BD133,0),IF(ЗапасМес&gt;=6,'04_Доходы'!BE133,0))</f>
        <v/>
      </c>
      <c r="AZ9" s="5">
        <f>SUM(IF(ЗапасМес&gt;=1,'04_Доходы'!BA133,0),IF(ЗапасМес&gt;=2,'04_Доходы'!BB133,0),IF(ЗапасМес&gt;=3,'04_Доходы'!BC133,0),IF(ЗапасМес&gt;=4,'04_Доходы'!BD133,0),IF(ЗапасМес&gt;=5,'04_Доходы'!BE133,0),IF(ЗапасМес&gt;=6,'04_Доходы'!BF133,0))</f>
        <v/>
      </c>
      <c r="BA9" s="5">
        <f>SUM(IF(ЗапасМес&gt;=1,'04_Доходы'!BB133,0),IF(ЗапасМес&gt;=2,'04_Доходы'!BC133,0),IF(ЗапасМес&gt;=3,'04_Доходы'!BD133,0),IF(ЗапасМес&gt;=4,'04_Доходы'!BE133,0),IF(ЗапасМес&gt;=5,'04_Доходы'!BF133,0),IF(ЗапасМес&gt;=6,'04_Доходы'!BG133,0))</f>
        <v/>
      </c>
      <c r="BB9" s="5">
        <f>SUM(IF(ЗапасМес&gt;=1,'04_Доходы'!BC133,0),IF(ЗапасМес&gt;=2,'04_Доходы'!BD133,0),IF(ЗапасМес&gt;=3,'04_Доходы'!BE133,0),IF(ЗапасМес&gt;=4,'04_Доходы'!BF133,0),IF(ЗапасМес&gt;=5,'04_Доходы'!BG133,0),IF(ЗапасМес&gt;=6,'04_Доходы'!BH133,0))</f>
        <v/>
      </c>
      <c r="BC9" s="5">
        <f>SUM(IF(ЗапасМес&gt;=1,'04_Доходы'!BD133,0),IF(ЗапасМес&gt;=2,'04_Доходы'!BE133,0),IF(ЗапасМес&gt;=3,'04_Доходы'!BF133,0),IF(ЗапасМес&gt;=4,'04_Доходы'!BG133,0),IF(ЗапасМес&gt;=5,'04_Доходы'!BH133,0),IF(ЗапасМес&gt;=6,'04_Доходы'!BI133,0))</f>
        <v/>
      </c>
      <c r="BD9" s="5">
        <f>SUM(IF(ЗапасМес&gt;=1,'04_Доходы'!BE133,0),IF(ЗапасМес&gt;=2,'04_Доходы'!BF133,0),IF(ЗапасМес&gt;=3,'04_Доходы'!BG133,0),IF(ЗапасМес&gt;=4,'04_Доходы'!BH133,0),IF(ЗапасМес&gt;=5,'04_Доходы'!BI133,0),IF(ЗапасМес&gt;=6,'04_Доходы'!BJ133,0))</f>
        <v/>
      </c>
      <c r="BE9" s="5">
        <f>SUM(IF(ЗапасМес&gt;=1,'04_Доходы'!BF133,0),IF(ЗапасМес&gt;=2,'04_Доходы'!BG133,0),IF(ЗапасМес&gt;=3,'04_Доходы'!BH133,0),IF(ЗапасМес&gt;=4,'04_Доходы'!BI133,0),IF(ЗапасМес&gt;=5,'04_Доходы'!BJ133,0),IF(ЗапасМес&gt;=6,'04_Доходы'!BK133,0))</f>
        <v/>
      </c>
      <c r="BF9" s="5">
        <f>SUM(IF(ЗапасМес&gt;=1,'04_Доходы'!BG133,0),IF(ЗапасМес&gt;=2,'04_Доходы'!BH133,0),IF(ЗапасМес&gt;=3,'04_Доходы'!BI133,0),IF(ЗапасМес&gt;=4,'04_Доходы'!BJ133,0),IF(ЗапасМес&gt;=5,'04_Доходы'!BK133,0),IF(ЗапасМес&gt;=6,'04_Доходы'!BL133,0))</f>
        <v/>
      </c>
      <c r="BG9" s="5">
        <f>SUM(IF(ЗапасМес&gt;=1,'04_Доходы'!BH133,0),IF(ЗапасМес&gt;=2,'04_Доходы'!BI133,0),IF(ЗапасМес&gt;=3,'04_Доходы'!BJ133,0),IF(ЗапасМес&gt;=4,'04_Доходы'!BK133,0),IF(ЗапасМес&gt;=5,'04_Доходы'!BL133,0),IF(ЗапасМес&gt;=6,'04_Доходы'!BM133,0))</f>
        <v/>
      </c>
      <c r="BH9" s="5">
        <f>SUM(IF(ЗапасМес&gt;=1,'04_Доходы'!BI133,0),IF(ЗапасМес&gt;=2,'04_Доходы'!BJ133,0),IF(ЗапасМес&gt;=3,'04_Доходы'!BK133,0),IF(ЗапасМес&gt;=4,'04_Доходы'!BL133,0),IF(ЗапасМес&gt;=5,'04_Доходы'!BM133,0),IF(ЗапасМес&gt;=6,'04_Доходы'!BN133,0))</f>
        <v/>
      </c>
      <c r="BI9" s="5">
        <f>SUM(IF(ЗапасМес&gt;=1,'04_Доходы'!BJ133,0),IF(ЗапасМес&gt;=2,'04_Доходы'!BK133,0),IF(ЗапасМес&gt;=3,'04_Доходы'!BL133,0),IF(ЗапасМес&gt;=4,'04_Доходы'!BM133,0),IF(ЗапасМес&gt;=5,'04_Доходы'!BN133,0),IF(ЗапасМес&gt;=6,'04_Доходы'!BO133,0))</f>
        <v/>
      </c>
      <c r="BJ9" s="5">
        <f>SUM(IF(ЗапасМес&gt;=1,'04_Доходы'!BK133,0),IF(ЗапасМес&gt;=2,'04_Доходы'!BL133,0),IF(ЗапасМес&gt;=3,'04_Доходы'!BM133,0),IF(ЗапасМес&gt;=4,'04_Доходы'!BN133,0),IF(ЗапасМес&gt;=5,'04_Доходы'!BO133,0),IF(ЗапасМес&gt;=6,'04_Доходы'!BP133,0))</f>
        <v/>
      </c>
      <c r="BK9" s="5">
        <f>SUM(IF(ЗапасМес&gt;=1,'04_Доходы'!BL133,0),IF(ЗапасМес&gt;=2,'04_Доходы'!BM133,0),IF(ЗапасМес&gt;=3,'04_Доходы'!BN133,0),IF(ЗапасМес&gt;=4,'04_Доходы'!BO133,0),IF(ЗапасМес&gt;=5,'04_Доходы'!BP133,0),IF(ЗапасМес&gt;=6,'04_Доходы'!BQ133,0))</f>
        <v/>
      </c>
      <c r="BL9" s="5">
        <f>SUM(IF(ЗапасМес&gt;=1,'04_Доходы'!BM133,0),IF(ЗапасМес&gt;=2,'04_Доходы'!BN133,0),IF(ЗапасМес&gt;=3,'04_Доходы'!BO133,0),IF(ЗапасМес&gt;=4,'04_Доходы'!BP133,0),IF(ЗапасМес&gt;=5,'04_Доходы'!BQ133,0),IF(ЗапасМес&gt;=6,'04_Доходы'!BR133,0))</f>
        <v/>
      </c>
      <c r="BM9" s="5">
        <f>SUM(IF(ЗапасМес&gt;=1,'04_Доходы'!BN133,0),IF(ЗапасМес&gt;=2,'04_Доходы'!BO133,0),IF(ЗапасМес&gt;=3,'04_Доходы'!BP133,0),IF(ЗапасМес&gt;=4,'04_Доходы'!BQ133,0),IF(ЗапасМес&gt;=5,'04_Доходы'!BR133,0),IF(ЗапасМес&gt;=6,'04_Доходы'!BS133,0))</f>
        <v/>
      </c>
      <c r="BN9" s="5">
        <f>SUM(IF(ЗапасМес&gt;=1,'04_Доходы'!BO133,0),IF(ЗапасМес&gt;=2,'04_Доходы'!BP133,0),IF(ЗапасМес&gt;=3,'04_Доходы'!BQ133,0),IF(ЗапасМес&gt;=4,'04_Доходы'!BR133,0),IF(ЗапасМес&gt;=5,'04_Доходы'!BS133,0),IF(ЗапасМес&gt;=6,'04_Доходы'!BT133,0))</f>
        <v/>
      </c>
      <c r="BO9" s="5">
        <f>SUM(IF(ЗапасМес&gt;=1,'04_Доходы'!BP133,0),IF(ЗапасМес&gt;=2,'04_Доходы'!BQ133,0),IF(ЗапасМес&gt;=3,'04_Доходы'!BR133,0),IF(ЗапасМес&gt;=4,'04_Доходы'!BS133,0),IF(ЗапасМес&gt;=5,'04_Доходы'!BT133,0),IF(ЗапасМес&gt;=6,'04_Доходы'!BU133,0))</f>
        <v/>
      </c>
      <c r="BP9" s="5">
        <f>SUM(IF(ЗапасМес&gt;=1,'04_Доходы'!BQ133,0),IF(ЗапасМес&gt;=2,'04_Доходы'!BR133,0),IF(ЗапасМес&gt;=3,'04_Доходы'!BS133,0),IF(ЗапасМес&gt;=4,'04_Доходы'!BT133,0),IF(ЗапасМес&gt;=5,'04_Доходы'!BU133,0),IF(ЗапасМес&gt;=6,'04_Доходы'!BV133,0))</f>
        <v/>
      </c>
      <c r="BQ9" s="5">
        <f>SUM(IF(ЗапасМес&gt;=1,'04_Доходы'!BR133,0),IF(ЗапасМес&gt;=2,'04_Доходы'!BS133,0),IF(ЗапасМес&gt;=3,'04_Доходы'!BT133,0),IF(ЗапасМес&gt;=4,'04_Доходы'!BU133,0),IF(ЗапасМес&gt;=5,'04_Доходы'!BV133,0),IF(ЗапасМес&gt;=6,'04_Доходы'!BW133,0))</f>
        <v/>
      </c>
      <c r="BR9" s="5">
        <f>SUM(IF(ЗапасМес&gt;=1,'04_Доходы'!BS133,0),IF(ЗапасМес&gt;=2,'04_Доходы'!BT133,0),IF(ЗапасМес&gt;=3,'04_Доходы'!BU133,0),IF(ЗапасМес&gt;=4,'04_Доходы'!BV133,0),IF(ЗапасМес&gt;=5,'04_Доходы'!BW133,0),IF(ЗапасМес&gt;=6,'04_Доходы'!BX133,0))</f>
        <v/>
      </c>
      <c r="BS9" s="5">
        <f>SUM(IF(ЗапасМес&gt;=1,'04_Доходы'!BT133,0),IF(ЗапасМес&gt;=2,'04_Доходы'!BU133,0),IF(ЗапасМес&gt;=3,'04_Доходы'!BV133,0),IF(ЗапасМес&gt;=4,'04_Доходы'!BW133,0),IF(ЗапасМес&gt;=5,'04_Доходы'!BX133,0),IF(ЗапасМес&gt;=6,'04_Доходы'!BY133,0))</f>
        <v/>
      </c>
      <c r="BT9" s="5">
        <f>SUM(IF(ЗапасМес&gt;=1,'04_Доходы'!BU133,0),IF(ЗапасМес&gt;=2,'04_Доходы'!BV133,0),IF(ЗапасМес&gt;=3,'04_Доходы'!BW133,0),IF(ЗапасМес&gt;=4,'04_Доходы'!BX133,0),IF(ЗапасМес&gt;=5,'04_Доходы'!BY133,0),IF(ЗапасМес&gt;=6,'04_Доходы'!BY133,0))</f>
        <v/>
      </c>
      <c r="BU9" s="5">
        <f>SUM(IF(ЗапасМес&gt;=1,'04_Доходы'!BV133,0),IF(ЗапасМес&gt;=2,'04_Доходы'!BW133,0),IF(ЗапасМес&gt;=3,'04_Доходы'!BX133,0),IF(ЗапасМес&gt;=4,'04_Доходы'!BY133,0),IF(ЗапасМес&gt;=5,'04_Доходы'!BY133,0),IF(ЗапасМес&gt;=6,'04_Доходы'!BY133,0))</f>
        <v/>
      </c>
      <c r="BV9" s="5">
        <f>SUM(IF(ЗапасМес&gt;=1,'04_Доходы'!BW133,0),IF(ЗапасМес&gt;=2,'04_Доходы'!BX133,0),IF(ЗапасМес&gt;=3,'04_Доходы'!BY133,0),IF(ЗапасМес&gt;=4,'04_Доходы'!BY133,0),IF(ЗапасМес&gt;=5,'04_Доходы'!BY133,0),IF(ЗапасМес&gt;=6,'04_Доходы'!BY133,0))</f>
        <v/>
      </c>
      <c r="BW9" s="5">
        <f>SUM(IF(ЗапасМес&gt;=1,'04_Доходы'!BX133,0),IF(ЗапасМес&gt;=2,'04_Доходы'!BY133,0),IF(ЗапасМес&gt;=3,'04_Доходы'!BY133,0),IF(ЗапасМес&gt;=4,'04_Доходы'!BY133,0),IF(ЗапасМес&gt;=5,'04_Доходы'!BY133,0),IF(ЗапасМес&gt;=6,'04_Доходы'!BY133,0))</f>
        <v/>
      </c>
      <c r="BX9" s="5">
        <f>SUM(IF(ЗапасМес&gt;=1,'04_Доходы'!BY133,0),IF(ЗапасМес&gt;=2,'04_Доходы'!BY133,0),IF(ЗапасМес&gt;=3,'04_Доходы'!BY133,0),IF(ЗапасМес&gt;=4,'04_Доходы'!BY133,0),IF(ЗапасМес&gt;=5,'04_Доходы'!BY133,0),IF(ЗапасМес&gt;=6,'04_Доходы'!BY133,0))</f>
        <v/>
      </c>
      <c r="BY9" s="5">
        <f>SUM(IF(ЗапасМес&gt;=1,'04_Доходы'!BY133,0),IF(ЗапасМес&gt;=2,'04_Доходы'!BY133,0),IF(ЗапасМес&gt;=3,'04_Доходы'!BY133,0),IF(ЗапасМес&gt;=4,'04_Доходы'!BY133,0),IF(ЗапасМес&gt;=5,'04_Доходы'!BY133,0),IF(ЗапасМес&gt;=6,'04_Доходы'!BY133,0))</f>
        <v/>
      </c>
    </row>
    <row r="10">
      <c r="B10" t="inlineStr">
        <is>
          <t>Закупка на склад</t>
        </is>
      </c>
      <c r="C10" t="inlineStr">
        <is>
          <t>₽</t>
        </is>
      </c>
      <c r="D10" s="127" t="inlineStr">
        <is>
          <t>Закупаем четыре раза в год, доводя склад до цели</t>
        </is>
      </c>
      <c r="E10" s="129">
        <f>SUM(L10:W10)</f>
        <v/>
      </c>
      <c r="F10" s="129">
        <f>SUM(X10:AI10)</f>
        <v/>
      </c>
      <c r="G10" s="129">
        <f>SUM(AJ10:AU10)</f>
        <v/>
      </c>
      <c r="H10" s="129">
        <f>SUM(AV10:BG10)</f>
        <v/>
      </c>
      <c r="I10" s="129">
        <f>SUM(BH10:BS10)</f>
        <v/>
      </c>
      <c r="J10" s="6">
        <f>SUM(L10:BS10)</f>
        <v/>
      </c>
      <c r="L10" s="5">
        <f>IF(AND('03_Сеть'!L7&gt;=СтартПополнения,OR(MONTH('03_Сеть'!L7)=МесяцЗакупки1,MONTH('03_Сеть'!L7)=МесяцЗакупки2,MONTH('03_Сеть'!L7)=МесяцЗакупки3,MONTH('03_Сеть'!L7)=МесяцЗакупки4)),MAX(0,L9-(L7-L8)),0)</f>
        <v/>
      </c>
      <c r="M10" s="5">
        <f>IF(AND('03_Сеть'!M7&gt;=СтартПополнения,OR(MONTH('03_Сеть'!M7)=МесяцЗакупки1,MONTH('03_Сеть'!M7)=МесяцЗакупки2,MONTH('03_Сеть'!M7)=МесяцЗакупки3,MONTH('03_Сеть'!M7)=МесяцЗакупки4)),MAX(0,M9-(M7-M8)),0)</f>
        <v/>
      </c>
      <c r="N10" s="5">
        <f>IF(AND('03_Сеть'!N7&gt;=СтартПополнения,OR(MONTH('03_Сеть'!N7)=МесяцЗакупки1,MONTH('03_Сеть'!N7)=МесяцЗакупки2,MONTH('03_Сеть'!N7)=МесяцЗакупки3,MONTH('03_Сеть'!N7)=МесяцЗакупки4)),MAX(0,N9-(N7-N8)),0)</f>
        <v/>
      </c>
      <c r="O10" s="5">
        <f>IF(AND('03_Сеть'!O7&gt;=СтартПополнения,OR(MONTH('03_Сеть'!O7)=МесяцЗакупки1,MONTH('03_Сеть'!O7)=МесяцЗакупки2,MONTH('03_Сеть'!O7)=МесяцЗакупки3,MONTH('03_Сеть'!O7)=МесяцЗакупки4)),MAX(0,O9-(O7-O8)),0)</f>
        <v/>
      </c>
      <c r="P10" s="5">
        <f>IF(AND('03_Сеть'!P7&gt;=СтартПополнения,OR(MONTH('03_Сеть'!P7)=МесяцЗакупки1,MONTH('03_Сеть'!P7)=МесяцЗакупки2,MONTH('03_Сеть'!P7)=МесяцЗакупки3,MONTH('03_Сеть'!P7)=МесяцЗакупки4)),MAX(0,P9-(P7-P8)),0)</f>
        <v/>
      </c>
      <c r="Q10" s="5">
        <f>IF(AND('03_Сеть'!Q7&gt;=СтартПополнения,OR(MONTH('03_Сеть'!Q7)=МесяцЗакупки1,MONTH('03_Сеть'!Q7)=МесяцЗакупки2,MONTH('03_Сеть'!Q7)=МесяцЗакупки3,MONTH('03_Сеть'!Q7)=МесяцЗакупки4)),MAX(0,Q9-(Q7-Q8)),0)</f>
        <v/>
      </c>
      <c r="R10" s="5">
        <f>IF(AND('03_Сеть'!R7&gt;=СтартПополнения,OR(MONTH('03_Сеть'!R7)=МесяцЗакупки1,MONTH('03_Сеть'!R7)=МесяцЗакупки2,MONTH('03_Сеть'!R7)=МесяцЗакупки3,MONTH('03_Сеть'!R7)=МесяцЗакупки4)),MAX(0,R9-(R7-R8)),0)</f>
        <v/>
      </c>
      <c r="S10" s="5">
        <f>IF(AND('03_Сеть'!S7&gt;=СтартПополнения,OR(MONTH('03_Сеть'!S7)=МесяцЗакупки1,MONTH('03_Сеть'!S7)=МесяцЗакупки2,MONTH('03_Сеть'!S7)=МесяцЗакупки3,MONTH('03_Сеть'!S7)=МесяцЗакупки4)),MAX(0,S9-(S7-S8)),0)</f>
        <v/>
      </c>
      <c r="T10" s="5">
        <f>IF(AND('03_Сеть'!T7&gt;=СтартПополнения,OR(MONTH('03_Сеть'!T7)=МесяцЗакупки1,MONTH('03_Сеть'!T7)=МесяцЗакупки2,MONTH('03_Сеть'!T7)=МесяцЗакупки3,MONTH('03_Сеть'!T7)=МесяцЗакупки4)),MAX(0,T9-(T7-T8)),0)</f>
        <v/>
      </c>
      <c r="U10" s="5">
        <f>IF(AND('03_Сеть'!U7&gt;=СтартПополнения,OR(MONTH('03_Сеть'!U7)=МесяцЗакупки1,MONTH('03_Сеть'!U7)=МесяцЗакупки2,MONTH('03_Сеть'!U7)=МесяцЗакупки3,MONTH('03_Сеть'!U7)=МесяцЗакупки4)),MAX(0,U9-(U7-U8)),0)</f>
        <v/>
      </c>
      <c r="V10" s="5">
        <f>IF(AND('03_Сеть'!V7&gt;=СтартПополнения,OR(MONTH('03_Сеть'!V7)=МесяцЗакупки1,MONTH('03_Сеть'!V7)=МесяцЗакупки2,MONTH('03_Сеть'!V7)=МесяцЗакупки3,MONTH('03_Сеть'!V7)=МесяцЗакупки4)),MAX(0,V9-(V7-V8)),0)</f>
        <v/>
      </c>
      <c r="W10" s="5">
        <f>IF(AND('03_Сеть'!W7&gt;=СтартПополнения,OR(MONTH('03_Сеть'!W7)=МесяцЗакупки1,MONTH('03_Сеть'!W7)=МесяцЗакупки2,MONTH('03_Сеть'!W7)=МесяцЗакупки3,MONTH('03_Сеть'!W7)=МесяцЗакупки4)),MAX(0,W9-(W7-W8)),0)</f>
        <v/>
      </c>
      <c r="X10" s="5">
        <f>IF(AND('03_Сеть'!X7&gt;=СтартПополнения,OR(MONTH('03_Сеть'!X7)=МесяцЗакупки1,MONTH('03_Сеть'!X7)=МесяцЗакупки2,MONTH('03_Сеть'!X7)=МесяцЗакупки3,MONTH('03_Сеть'!X7)=МесяцЗакупки4)),MAX(0,X9-(X7-X8)),0)</f>
        <v/>
      </c>
      <c r="Y10" s="5">
        <f>IF(AND('03_Сеть'!Y7&gt;=СтартПополнения,OR(MONTH('03_Сеть'!Y7)=МесяцЗакупки1,MONTH('03_Сеть'!Y7)=МесяцЗакупки2,MONTH('03_Сеть'!Y7)=МесяцЗакупки3,MONTH('03_Сеть'!Y7)=МесяцЗакупки4)),MAX(0,Y9-(Y7-Y8)),0)</f>
        <v/>
      </c>
      <c r="Z10" s="5">
        <f>IF(AND('03_Сеть'!Z7&gt;=СтартПополнения,OR(MONTH('03_Сеть'!Z7)=МесяцЗакупки1,MONTH('03_Сеть'!Z7)=МесяцЗакупки2,MONTH('03_Сеть'!Z7)=МесяцЗакупки3,MONTH('03_Сеть'!Z7)=МесяцЗакупки4)),MAX(0,Z9-(Z7-Z8)),0)</f>
        <v/>
      </c>
      <c r="AA10" s="5">
        <f>IF(AND('03_Сеть'!AA7&gt;=СтартПополнения,OR(MONTH('03_Сеть'!AA7)=МесяцЗакупки1,MONTH('03_Сеть'!AA7)=МесяцЗакупки2,MONTH('03_Сеть'!AA7)=МесяцЗакупки3,MONTH('03_Сеть'!AA7)=МесяцЗакупки4)),MAX(0,AA9-(AA7-AA8)),0)</f>
        <v/>
      </c>
      <c r="AB10" s="5">
        <f>IF(AND('03_Сеть'!AB7&gt;=СтартПополнения,OR(MONTH('03_Сеть'!AB7)=МесяцЗакупки1,MONTH('03_Сеть'!AB7)=МесяцЗакупки2,MONTH('03_Сеть'!AB7)=МесяцЗакупки3,MONTH('03_Сеть'!AB7)=МесяцЗакупки4)),MAX(0,AB9-(AB7-AB8)),0)</f>
        <v/>
      </c>
      <c r="AC10" s="5">
        <f>IF(AND('03_Сеть'!AC7&gt;=СтартПополнения,OR(MONTH('03_Сеть'!AC7)=МесяцЗакупки1,MONTH('03_Сеть'!AC7)=МесяцЗакупки2,MONTH('03_Сеть'!AC7)=МесяцЗакупки3,MONTH('03_Сеть'!AC7)=МесяцЗакупки4)),MAX(0,AC9-(AC7-AC8)),0)</f>
        <v/>
      </c>
      <c r="AD10" s="5">
        <f>IF(AND('03_Сеть'!AD7&gt;=СтартПополнения,OR(MONTH('03_Сеть'!AD7)=МесяцЗакупки1,MONTH('03_Сеть'!AD7)=МесяцЗакупки2,MONTH('03_Сеть'!AD7)=МесяцЗакупки3,MONTH('03_Сеть'!AD7)=МесяцЗакупки4)),MAX(0,AD9-(AD7-AD8)),0)</f>
        <v/>
      </c>
      <c r="AE10" s="5">
        <f>IF(AND('03_Сеть'!AE7&gt;=СтартПополнения,OR(MONTH('03_Сеть'!AE7)=МесяцЗакупки1,MONTH('03_Сеть'!AE7)=МесяцЗакупки2,MONTH('03_Сеть'!AE7)=МесяцЗакупки3,MONTH('03_Сеть'!AE7)=МесяцЗакупки4)),MAX(0,AE9-(AE7-AE8)),0)</f>
        <v/>
      </c>
      <c r="AF10" s="5">
        <f>IF(AND('03_Сеть'!AF7&gt;=СтартПополнения,OR(MONTH('03_Сеть'!AF7)=МесяцЗакупки1,MONTH('03_Сеть'!AF7)=МесяцЗакупки2,MONTH('03_Сеть'!AF7)=МесяцЗакупки3,MONTH('03_Сеть'!AF7)=МесяцЗакупки4)),MAX(0,AF9-(AF7-AF8)),0)</f>
        <v/>
      </c>
      <c r="AG10" s="5">
        <f>IF(AND('03_Сеть'!AG7&gt;=СтартПополнения,OR(MONTH('03_Сеть'!AG7)=МесяцЗакупки1,MONTH('03_Сеть'!AG7)=МесяцЗакупки2,MONTH('03_Сеть'!AG7)=МесяцЗакупки3,MONTH('03_Сеть'!AG7)=МесяцЗакупки4)),MAX(0,AG9-(AG7-AG8)),0)</f>
        <v/>
      </c>
      <c r="AH10" s="5">
        <f>IF(AND('03_Сеть'!AH7&gt;=СтартПополнения,OR(MONTH('03_Сеть'!AH7)=МесяцЗакупки1,MONTH('03_Сеть'!AH7)=МесяцЗакупки2,MONTH('03_Сеть'!AH7)=МесяцЗакупки3,MONTH('03_Сеть'!AH7)=МесяцЗакупки4)),MAX(0,AH9-(AH7-AH8)),0)</f>
        <v/>
      </c>
      <c r="AI10" s="5">
        <f>IF(AND('03_Сеть'!AI7&gt;=СтартПополнения,OR(MONTH('03_Сеть'!AI7)=МесяцЗакупки1,MONTH('03_Сеть'!AI7)=МесяцЗакупки2,MONTH('03_Сеть'!AI7)=МесяцЗакупки3,MONTH('03_Сеть'!AI7)=МесяцЗакупки4)),MAX(0,AI9-(AI7-AI8)),0)</f>
        <v/>
      </c>
      <c r="AJ10" s="5">
        <f>IF(AND('03_Сеть'!AJ7&gt;=СтартПополнения,OR(MONTH('03_Сеть'!AJ7)=МесяцЗакупки1,MONTH('03_Сеть'!AJ7)=МесяцЗакупки2,MONTH('03_Сеть'!AJ7)=МесяцЗакупки3,MONTH('03_Сеть'!AJ7)=МесяцЗакупки4)),MAX(0,AJ9-(AJ7-AJ8)),0)</f>
        <v/>
      </c>
      <c r="AK10" s="5">
        <f>IF(AND('03_Сеть'!AK7&gt;=СтартПополнения,OR(MONTH('03_Сеть'!AK7)=МесяцЗакупки1,MONTH('03_Сеть'!AK7)=МесяцЗакупки2,MONTH('03_Сеть'!AK7)=МесяцЗакупки3,MONTH('03_Сеть'!AK7)=МесяцЗакупки4)),MAX(0,AK9-(AK7-AK8)),0)</f>
        <v/>
      </c>
      <c r="AL10" s="5">
        <f>IF(AND('03_Сеть'!AL7&gt;=СтартПополнения,OR(MONTH('03_Сеть'!AL7)=МесяцЗакупки1,MONTH('03_Сеть'!AL7)=МесяцЗакупки2,MONTH('03_Сеть'!AL7)=МесяцЗакупки3,MONTH('03_Сеть'!AL7)=МесяцЗакупки4)),MAX(0,AL9-(AL7-AL8)),0)</f>
        <v/>
      </c>
      <c r="AM10" s="5">
        <f>IF(AND('03_Сеть'!AM7&gt;=СтартПополнения,OR(MONTH('03_Сеть'!AM7)=МесяцЗакупки1,MONTH('03_Сеть'!AM7)=МесяцЗакупки2,MONTH('03_Сеть'!AM7)=МесяцЗакупки3,MONTH('03_Сеть'!AM7)=МесяцЗакупки4)),MAX(0,AM9-(AM7-AM8)),0)</f>
        <v/>
      </c>
      <c r="AN10" s="5">
        <f>IF(AND('03_Сеть'!AN7&gt;=СтартПополнения,OR(MONTH('03_Сеть'!AN7)=МесяцЗакупки1,MONTH('03_Сеть'!AN7)=МесяцЗакупки2,MONTH('03_Сеть'!AN7)=МесяцЗакупки3,MONTH('03_Сеть'!AN7)=МесяцЗакупки4)),MAX(0,AN9-(AN7-AN8)),0)</f>
        <v/>
      </c>
      <c r="AO10" s="5">
        <f>IF(AND('03_Сеть'!AO7&gt;=СтартПополнения,OR(MONTH('03_Сеть'!AO7)=МесяцЗакупки1,MONTH('03_Сеть'!AO7)=МесяцЗакупки2,MONTH('03_Сеть'!AO7)=МесяцЗакупки3,MONTH('03_Сеть'!AO7)=МесяцЗакупки4)),MAX(0,AO9-(AO7-AO8)),0)</f>
        <v/>
      </c>
      <c r="AP10" s="5">
        <f>IF(AND('03_Сеть'!AP7&gt;=СтартПополнения,OR(MONTH('03_Сеть'!AP7)=МесяцЗакупки1,MONTH('03_Сеть'!AP7)=МесяцЗакупки2,MONTH('03_Сеть'!AP7)=МесяцЗакупки3,MONTH('03_Сеть'!AP7)=МесяцЗакупки4)),MAX(0,AP9-(AP7-AP8)),0)</f>
        <v/>
      </c>
      <c r="AQ10" s="5">
        <f>IF(AND('03_Сеть'!AQ7&gt;=СтартПополнения,OR(MONTH('03_Сеть'!AQ7)=МесяцЗакупки1,MONTH('03_Сеть'!AQ7)=МесяцЗакупки2,MONTH('03_Сеть'!AQ7)=МесяцЗакупки3,MONTH('03_Сеть'!AQ7)=МесяцЗакупки4)),MAX(0,AQ9-(AQ7-AQ8)),0)</f>
        <v/>
      </c>
      <c r="AR10" s="5">
        <f>IF(AND('03_Сеть'!AR7&gt;=СтартПополнения,OR(MONTH('03_Сеть'!AR7)=МесяцЗакупки1,MONTH('03_Сеть'!AR7)=МесяцЗакупки2,MONTH('03_Сеть'!AR7)=МесяцЗакупки3,MONTH('03_Сеть'!AR7)=МесяцЗакупки4)),MAX(0,AR9-(AR7-AR8)),0)</f>
        <v/>
      </c>
      <c r="AS10" s="5">
        <f>IF(AND('03_Сеть'!AS7&gt;=СтартПополнения,OR(MONTH('03_Сеть'!AS7)=МесяцЗакупки1,MONTH('03_Сеть'!AS7)=МесяцЗакупки2,MONTH('03_Сеть'!AS7)=МесяцЗакупки3,MONTH('03_Сеть'!AS7)=МесяцЗакупки4)),MAX(0,AS9-(AS7-AS8)),0)</f>
        <v/>
      </c>
      <c r="AT10" s="5">
        <f>IF(AND('03_Сеть'!AT7&gt;=СтартПополнения,OR(MONTH('03_Сеть'!AT7)=МесяцЗакупки1,MONTH('03_Сеть'!AT7)=МесяцЗакупки2,MONTH('03_Сеть'!AT7)=МесяцЗакупки3,MONTH('03_Сеть'!AT7)=МесяцЗакупки4)),MAX(0,AT9-(AT7-AT8)),0)</f>
        <v/>
      </c>
      <c r="AU10" s="5">
        <f>IF(AND('03_Сеть'!AU7&gt;=СтартПополнения,OR(MONTH('03_Сеть'!AU7)=МесяцЗакупки1,MONTH('03_Сеть'!AU7)=МесяцЗакупки2,MONTH('03_Сеть'!AU7)=МесяцЗакупки3,MONTH('03_Сеть'!AU7)=МесяцЗакупки4)),MAX(0,AU9-(AU7-AU8)),0)</f>
        <v/>
      </c>
      <c r="AV10" s="5">
        <f>IF(AND('03_Сеть'!AV7&gt;=СтартПополнения,OR(MONTH('03_Сеть'!AV7)=МесяцЗакупки1,MONTH('03_Сеть'!AV7)=МесяцЗакупки2,MONTH('03_Сеть'!AV7)=МесяцЗакупки3,MONTH('03_Сеть'!AV7)=МесяцЗакупки4)),MAX(0,AV9-(AV7-AV8)),0)</f>
        <v/>
      </c>
      <c r="AW10" s="5">
        <f>IF(AND('03_Сеть'!AW7&gt;=СтартПополнения,OR(MONTH('03_Сеть'!AW7)=МесяцЗакупки1,MONTH('03_Сеть'!AW7)=МесяцЗакупки2,MONTH('03_Сеть'!AW7)=МесяцЗакупки3,MONTH('03_Сеть'!AW7)=МесяцЗакупки4)),MAX(0,AW9-(AW7-AW8)),0)</f>
        <v/>
      </c>
      <c r="AX10" s="5">
        <f>IF(AND('03_Сеть'!AX7&gt;=СтартПополнения,OR(MONTH('03_Сеть'!AX7)=МесяцЗакупки1,MONTH('03_Сеть'!AX7)=МесяцЗакупки2,MONTH('03_Сеть'!AX7)=МесяцЗакупки3,MONTH('03_Сеть'!AX7)=МесяцЗакупки4)),MAX(0,AX9-(AX7-AX8)),0)</f>
        <v/>
      </c>
      <c r="AY10" s="5">
        <f>IF(AND('03_Сеть'!AY7&gt;=СтартПополнения,OR(MONTH('03_Сеть'!AY7)=МесяцЗакупки1,MONTH('03_Сеть'!AY7)=МесяцЗакупки2,MONTH('03_Сеть'!AY7)=МесяцЗакупки3,MONTH('03_Сеть'!AY7)=МесяцЗакупки4)),MAX(0,AY9-(AY7-AY8)),0)</f>
        <v/>
      </c>
      <c r="AZ10" s="5">
        <f>IF(AND('03_Сеть'!AZ7&gt;=СтартПополнения,OR(MONTH('03_Сеть'!AZ7)=МесяцЗакупки1,MONTH('03_Сеть'!AZ7)=МесяцЗакупки2,MONTH('03_Сеть'!AZ7)=МесяцЗакупки3,MONTH('03_Сеть'!AZ7)=МесяцЗакупки4)),MAX(0,AZ9-(AZ7-AZ8)),0)</f>
        <v/>
      </c>
      <c r="BA10" s="5">
        <f>IF(AND('03_Сеть'!BA7&gt;=СтартПополнения,OR(MONTH('03_Сеть'!BA7)=МесяцЗакупки1,MONTH('03_Сеть'!BA7)=МесяцЗакупки2,MONTH('03_Сеть'!BA7)=МесяцЗакупки3,MONTH('03_Сеть'!BA7)=МесяцЗакупки4)),MAX(0,BA9-(BA7-BA8)),0)</f>
        <v/>
      </c>
      <c r="BB10" s="5">
        <f>IF(AND('03_Сеть'!BB7&gt;=СтартПополнения,OR(MONTH('03_Сеть'!BB7)=МесяцЗакупки1,MONTH('03_Сеть'!BB7)=МесяцЗакупки2,MONTH('03_Сеть'!BB7)=МесяцЗакупки3,MONTH('03_Сеть'!BB7)=МесяцЗакупки4)),MAX(0,BB9-(BB7-BB8)),0)</f>
        <v/>
      </c>
      <c r="BC10" s="5">
        <f>IF(AND('03_Сеть'!BC7&gt;=СтартПополнения,OR(MONTH('03_Сеть'!BC7)=МесяцЗакупки1,MONTH('03_Сеть'!BC7)=МесяцЗакупки2,MONTH('03_Сеть'!BC7)=МесяцЗакупки3,MONTH('03_Сеть'!BC7)=МесяцЗакупки4)),MAX(0,BC9-(BC7-BC8)),0)</f>
        <v/>
      </c>
      <c r="BD10" s="5">
        <f>IF(AND('03_Сеть'!BD7&gt;=СтартПополнения,OR(MONTH('03_Сеть'!BD7)=МесяцЗакупки1,MONTH('03_Сеть'!BD7)=МесяцЗакупки2,MONTH('03_Сеть'!BD7)=МесяцЗакупки3,MONTH('03_Сеть'!BD7)=МесяцЗакупки4)),MAX(0,BD9-(BD7-BD8)),0)</f>
        <v/>
      </c>
      <c r="BE10" s="5">
        <f>IF(AND('03_Сеть'!BE7&gt;=СтартПополнения,OR(MONTH('03_Сеть'!BE7)=МесяцЗакупки1,MONTH('03_Сеть'!BE7)=МесяцЗакупки2,MONTH('03_Сеть'!BE7)=МесяцЗакупки3,MONTH('03_Сеть'!BE7)=МесяцЗакупки4)),MAX(0,BE9-(BE7-BE8)),0)</f>
        <v/>
      </c>
      <c r="BF10" s="5">
        <f>IF(AND('03_Сеть'!BF7&gt;=СтартПополнения,OR(MONTH('03_Сеть'!BF7)=МесяцЗакупки1,MONTH('03_Сеть'!BF7)=МесяцЗакупки2,MONTH('03_Сеть'!BF7)=МесяцЗакупки3,MONTH('03_Сеть'!BF7)=МесяцЗакупки4)),MAX(0,BF9-(BF7-BF8)),0)</f>
        <v/>
      </c>
      <c r="BG10" s="5">
        <f>IF(AND('03_Сеть'!BG7&gt;=СтартПополнения,OR(MONTH('03_Сеть'!BG7)=МесяцЗакупки1,MONTH('03_Сеть'!BG7)=МесяцЗакупки2,MONTH('03_Сеть'!BG7)=МесяцЗакупки3,MONTH('03_Сеть'!BG7)=МесяцЗакупки4)),MAX(0,BG9-(BG7-BG8)),0)</f>
        <v/>
      </c>
      <c r="BH10" s="5">
        <f>IF(AND('03_Сеть'!BH7&gt;=СтартПополнения,OR(MONTH('03_Сеть'!BH7)=МесяцЗакупки1,MONTH('03_Сеть'!BH7)=МесяцЗакупки2,MONTH('03_Сеть'!BH7)=МесяцЗакупки3,MONTH('03_Сеть'!BH7)=МесяцЗакупки4)),MAX(0,BH9-(BH7-BH8)),0)</f>
        <v/>
      </c>
      <c r="BI10" s="5">
        <f>IF(AND('03_Сеть'!BI7&gt;=СтартПополнения,OR(MONTH('03_Сеть'!BI7)=МесяцЗакупки1,MONTH('03_Сеть'!BI7)=МесяцЗакупки2,MONTH('03_Сеть'!BI7)=МесяцЗакупки3,MONTH('03_Сеть'!BI7)=МесяцЗакупки4)),MAX(0,BI9-(BI7-BI8)),0)</f>
        <v/>
      </c>
      <c r="BJ10" s="5">
        <f>IF(AND('03_Сеть'!BJ7&gt;=СтартПополнения,OR(MONTH('03_Сеть'!BJ7)=МесяцЗакупки1,MONTH('03_Сеть'!BJ7)=МесяцЗакупки2,MONTH('03_Сеть'!BJ7)=МесяцЗакупки3,MONTH('03_Сеть'!BJ7)=МесяцЗакупки4)),MAX(0,BJ9-(BJ7-BJ8)),0)</f>
        <v/>
      </c>
      <c r="BK10" s="5">
        <f>IF(AND('03_Сеть'!BK7&gt;=СтартПополнения,OR(MONTH('03_Сеть'!BK7)=МесяцЗакупки1,MONTH('03_Сеть'!BK7)=МесяцЗакупки2,MONTH('03_Сеть'!BK7)=МесяцЗакупки3,MONTH('03_Сеть'!BK7)=МесяцЗакупки4)),MAX(0,BK9-(BK7-BK8)),0)</f>
        <v/>
      </c>
      <c r="BL10" s="5">
        <f>IF(AND('03_Сеть'!BL7&gt;=СтартПополнения,OR(MONTH('03_Сеть'!BL7)=МесяцЗакупки1,MONTH('03_Сеть'!BL7)=МесяцЗакупки2,MONTH('03_Сеть'!BL7)=МесяцЗакупки3,MONTH('03_Сеть'!BL7)=МесяцЗакупки4)),MAX(0,BL9-(BL7-BL8)),0)</f>
        <v/>
      </c>
      <c r="BM10" s="5">
        <f>IF(AND('03_Сеть'!BM7&gt;=СтартПополнения,OR(MONTH('03_Сеть'!BM7)=МесяцЗакупки1,MONTH('03_Сеть'!BM7)=МесяцЗакупки2,MONTH('03_Сеть'!BM7)=МесяцЗакупки3,MONTH('03_Сеть'!BM7)=МесяцЗакупки4)),MAX(0,BM9-(BM7-BM8)),0)</f>
        <v/>
      </c>
      <c r="BN10" s="5">
        <f>IF(AND('03_Сеть'!BN7&gt;=СтартПополнения,OR(MONTH('03_Сеть'!BN7)=МесяцЗакупки1,MONTH('03_Сеть'!BN7)=МесяцЗакупки2,MONTH('03_Сеть'!BN7)=МесяцЗакупки3,MONTH('03_Сеть'!BN7)=МесяцЗакупки4)),MAX(0,BN9-(BN7-BN8)),0)</f>
        <v/>
      </c>
      <c r="BO10" s="5">
        <f>IF(AND('03_Сеть'!BO7&gt;=СтартПополнения,OR(MONTH('03_Сеть'!BO7)=МесяцЗакупки1,MONTH('03_Сеть'!BO7)=МесяцЗакупки2,MONTH('03_Сеть'!BO7)=МесяцЗакупки3,MONTH('03_Сеть'!BO7)=МесяцЗакупки4)),MAX(0,BO9-(BO7-BO8)),0)</f>
        <v/>
      </c>
      <c r="BP10" s="5">
        <f>IF(AND('03_Сеть'!BP7&gt;=СтартПополнения,OR(MONTH('03_Сеть'!BP7)=МесяцЗакупки1,MONTH('03_Сеть'!BP7)=МесяцЗакупки2,MONTH('03_Сеть'!BP7)=МесяцЗакупки3,MONTH('03_Сеть'!BP7)=МесяцЗакупки4)),MAX(0,BP9-(BP7-BP8)),0)</f>
        <v/>
      </c>
      <c r="BQ10" s="5">
        <f>IF(AND('03_Сеть'!BQ7&gt;=СтартПополнения,OR(MONTH('03_Сеть'!BQ7)=МесяцЗакупки1,MONTH('03_Сеть'!BQ7)=МесяцЗакупки2,MONTH('03_Сеть'!BQ7)=МесяцЗакупки3,MONTH('03_Сеть'!BQ7)=МесяцЗакупки4)),MAX(0,BQ9-(BQ7-BQ8)),0)</f>
        <v/>
      </c>
      <c r="BR10" s="5">
        <f>IF(AND('03_Сеть'!BR7&gt;=СтартПополнения,OR(MONTH('03_Сеть'!BR7)=МесяцЗакупки1,MONTH('03_Сеть'!BR7)=МесяцЗакупки2,MONTH('03_Сеть'!BR7)=МесяцЗакупки3,MONTH('03_Сеть'!BR7)=МесяцЗакупки4)),MAX(0,BR9-(BR7-BR8)),0)</f>
        <v/>
      </c>
      <c r="BS10" s="5">
        <f>IF(AND('03_Сеть'!BS7&gt;=СтартПополнения,OR(MONTH('03_Сеть'!BS7)=МесяцЗакупки1,MONTH('03_Сеть'!BS7)=МесяцЗакупки2,MONTH('03_Сеть'!BS7)=МесяцЗакупки3,MONTH('03_Сеть'!BS7)=МесяцЗакупки4)),MAX(0,BS9-(BS7-BS8)),0)</f>
        <v/>
      </c>
      <c r="BT10" s="5">
        <f>IF(AND('03_Сеть'!BT7&gt;=СтартПополнения,OR(MONTH('03_Сеть'!BT7)=МесяцЗакупки1,MONTH('03_Сеть'!BT7)=МесяцЗакупки2,MONTH('03_Сеть'!BT7)=МесяцЗакупки3,MONTH('03_Сеть'!BT7)=МесяцЗакупки4)),MAX(0,BT9-(BT7-BT8)),0)</f>
        <v/>
      </c>
      <c r="BU10" s="5">
        <f>IF(AND('03_Сеть'!BU7&gt;=СтартПополнения,OR(MONTH('03_Сеть'!BU7)=МесяцЗакупки1,MONTH('03_Сеть'!BU7)=МесяцЗакупки2,MONTH('03_Сеть'!BU7)=МесяцЗакупки3,MONTH('03_Сеть'!BU7)=МесяцЗакупки4)),MAX(0,BU9-(BU7-BU8)),0)</f>
        <v/>
      </c>
      <c r="BV10" s="5">
        <f>IF(AND('03_Сеть'!BV7&gt;=СтартПополнения,OR(MONTH('03_Сеть'!BV7)=МесяцЗакупки1,MONTH('03_Сеть'!BV7)=МесяцЗакупки2,MONTH('03_Сеть'!BV7)=МесяцЗакупки3,MONTH('03_Сеть'!BV7)=МесяцЗакупки4)),MAX(0,BV9-(BV7-BV8)),0)</f>
        <v/>
      </c>
      <c r="BW10" s="5">
        <f>IF(AND('03_Сеть'!BW7&gt;=СтартПополнения,OR(MONTH('03_Сеть'!BW7)=МесяцЗакупки1,MONTH('03_Сеть'!BW7)=МесяцЗакупки2,MONTH('03_Сеть'!BW7)=МесяцЗакупки3,MONTH('03_Сеть'!BW7)=МесяцЗакупки4)),MAX(0,BW9-(BW7-BW8)),0)</f>
        <v/>
      </c>
      <c r="BX10" s="5">
        <f>IF(AND('03_Сеть'!BX7&gt;=СтартПополнения,OR(MONTH('03_Сеть'!BX7)=МесяцЗакупки1,MONTH('03_Сеть'!BX7)=МесяцЗакупки2,MONTH('03_Сеть'!BX7)=МесяцЗакупки3,MONTH('03_Сеть'!BX7)=МесяцЗакупки4)),MAX(0,BX9-(BX7-BX8)),0)</f>
        <v/>
      </c>
      <c r="BY10" s="5">
        <f>IF(AND('03_Сеть'!BY7&gt;=СтартПополнения,OR(MONTH('03_Сеть'!BY7)=МесяцЗакупки1,MONTH('03_Сеть'!BY7)=МесяцЗакупки2,MONTH('03_Сеть'!BY7)=МесяцЗакупки3,MONTH('03_Сеть'!BY7)=МесяцЗакупки4)),MAX(0,BY9-(BY7-BY8)),0)</f>
        <v/>
      </c>
    </row>
    <row r="11">
      <c r="B11" s="7" t="inlineStr">
        <is>
          <t>Склад на конец</t>
        </is>
      </c>
      <c r="C11" s="7" t="inlineStr">
        <is>
          <t>₽</t>
        </is>
      </c>
      <c r="D11" s="130" t="inlineStr">
        <is>
          <t>Минус означает необеспеченный спрос В колонках лет — значение на конец года, в «Итого» — на конец пятого года. Это остаток, а не сумма.</t>
        </is>
      </c>
      <c r="E11" s="131">
        <f>W11</f>
        <v/>
      </c>
      <c r="F11" s="131">
        <f>AI11</f>
        <v/>
      </c>
      <c r="G11" s="131">
        <f>AU11</f>
        <v/>
      </c>
      <c r="H11" s="131">
        <f>BG11</f>
        <v/>
      </c>
      <c r="I11" s="131">
        <f>BS11</f>
        <v/>
      </c>
      <c r="J11" s="10">
        <f>BS11</f>
        <v/>
      </c>
      <c r="L11" s="9">
        <f>L7+L10-L8</f>
        <v/>
      </c>
      <c r="M11" s="9">
        <f>M7+M10-M8</f>
        <v/>
      </c>
      <c r="N11" s="9">
        <f>N7+N10-N8</f>
        <v/>
      </c>
      <c r="O11" s="9">
        <f>O7+O10-O8</f>
        <v/>
      </c>
      <c r="P11" s="9">
        <f>P7+P10-P8</f>
        <v/>
      </c>
      <c r="Q11" s="9">
        <f>Q7+Q10-Q8</f>
        <v/>
      </c>
      <c r="R11" s="9">
        <f>R7+R10-R8</f>
        <v/>
      </c>
      <c r="S11" s="9">
        <f>S7+S10-S8</f>
        <v/>
      </c>
      <c r="T11" s="9">
        <f>T7+T10-T8</f>
        <v/>
      </c>
      <c r="U11" s="9">
        <f>U7+U10-U8</f>
        <v/>
      </c>
      <c r="V11" s="9">
        <f>V7+V10-V8</f>
        <v/>
      </c>
      <c r="W11" s="9">
        <f>W7+W10-W8</f>
        <v/>
      </c>
      <c r="X11" s="9">
        <f>X7+X10-X8</f>
        <v/>
      </c>
      <c r="Y11" s="9">
        <f>Y7+Y10-Y8</f>
        <v/>
      </c>
      <c r="Z11" s="9">
        <f>Z7+Z10-Z8</f>
        <v/>
      </c>
      <c r="AA11" s="9">
        <f>AA7+AA10-AA8</f>
        <v/>
      </c>
      <c r="AB11" s="9">
        <f>AB7+AB10-AB8</f>
        <v/>
      </c>
      <c r="AC11" s="9">
        <f>AC7+AC10-AC8</f>
        <v/>
      </c>
      <c r="AD11" s="9">
        <f>AD7+AD10-AD8</f>
        <v/>
      </c>
      <c r="AE11" s="9">
        <f>AE7+AE10-AE8</f>
        <v/>
      </c>
      <c r="AF11" s="9">
        <f>AF7+AF10-AF8</f>
        <v/>
      </c>
      <c r="AG11" s="9">
        <f>AG7+AG10-AG8</f>
        <v/>
      </c>
      <c r="AH11" s="9">
        <f>AH7+AH10-AH8</f>
        <v/>
      </c>
      <c r="AI11" s="9">
        <f>AI7+AI10-AI8</f>
        <v/>
      </c>
      <c r="AJ11" s="9">
        <f>AJ7+AJ10-AJ8</f>
        <v/>
      </c>
      <c r="AK11" s="9">
        <f>AK7+AK10-AK8</f>
        <v/>
      </c>
      <c r="AL11" s="9">
        <f>AL7+AL10-AL8</f>
        <v/>
      </c>
      <c r="AM11" s="9">
        <f>AM7+AM10-AM8</f>
        <v/>
      </c>
      <c r="AN11" s="9">
        <f>AN7+AN10-AN8</f>
        <v/>
      </c>
      <c r="AO11" s="9">
        <f>AO7+AO10-AO8</f>
        <v/>
      </c>
      <c r="AP11" s="9">
        <f>AP7+AP10-AP8</f>
        <v/>
      </c>
      <c r="AQ11" s="9">
        <f>AQ7+AQ10-AQ8</f>
        <v/>
      </c>
      <c r="AR11" s="9">
        <f>AR7+AR10-AR8</f>
        <v/>
      </c>
      <c r="AS11" s="9">
        <f>AS7+AS10-AS8</f>
        <v/>
      </c>
      <c r="AT11" s="9">
        <f>AT7+AT10-AT8</f>
        <v/>
      </c>
      <c r="AU11" s="9">
        <f>AU7+AU10-AU8</f>
        <v/>
      </c>
      <c r="AV11" s="9">
        <f>AV7+AV10-AV8</f>
        <v/>
      </c>
      <c r="AW11" s="9">
        <f>AW7+AW10-AW8</f>
        <v/>
      </c>
      <c r="AX11" s="9">
        <f>AX7+AX10-AX8</f>
        <v/>
      </c>
      <c r="AY11" s="9">
        <f>AY7+AY10-AY8</f>
        <v/>
      </c>
      <c r="AZ11" s="9">
        <f>AZ7+AZ10-AZ8</f>
        <v/>
      </c>
      <c r="BA11" s="9">
        <f>BA7+BA10-BA8</f>
        <v/>
      </c>
      <c r="BB11" s="9">
        <f>BB7+BB10-BB8</f>
        <v/>
      </c>
      <c r="BC11" s="9">
        <f>BC7+BC10-BC8</f>
        <v/>
      </c>
      <c r="BD11" s="9">
        <f>BD7+BD10-BD8</f>
        <v/>
      </c>
      <c r="BE11" s="9">
        <f>BE7+BE10-BE8</f>
        <v/>
      </c>
      <c r="BF11" s="9">
        <f>BF7+BF10-BF8</f>
        <v/>
      </c>
      <c r="BG11" s="9">
        <f>BG7+BG10-BG8</f>
        <v/>
      </c>
      <c r="BH11" s="9">
        <f>BH7+BH10-BH8</f>
        <v/>
      </c>
      <c r="BI11" s="9">
        <f>BI7+BI10-BI8</f>
        <v/>
      </c>
      <c r="BJ11" s="9">
        <f>BJ7+BJ10-BJ8</f>
        <v/>
      </c>
      <c r="BK11" s="9">
        <f>BK7+BK10-BK8</f>
        <v/>
      </c>
      <c r="BL11" s="9">
        <f>BL7+BL10-BL8</f>
        <v/>
      </c>
      <c r="BM11" s="9">
        <f>BM7+BM10-BM8</f>
        <v/>
      </c>
      <c r="BN11" s="9">
        <f>BN7+BN10-BN8</f>
        <v/>
      </c>
      <c r="BO11" s="9">
        <f>BO7+BO10-BO8</f>
        <v/>
      </c>
      <c r="BP11" s="9">
        <f>BP7+BP10-BP8</f>
        <v/>
      </c>
      <c r="BQ11" s="9">
        <f>BQ7+BQ10-BQ8</f>
        <v/>
      </c>
      <c r="BR11" s="9">
        <f>BR7+BR10-BR8</f>
        <v/>
      </c>
      <c r="BS11" s="9">
        <f>BS7+BS10-BS8</f>
        <v/>
      </c>
      <c r="BT11" s="9">
        <f>BT7+BT10-BT8</f>
        <v/>
      </c>
      <c r="BU11" s="9">
        <f>BU7+BU10-BU8</f>
        <v/>
      </c>
      <c r="BV11" s="9">
        <f>BV7+BV10-BV8</f>
        <v/>
      </c>
      <c r="BW11" s="9">
        <f>BW7+BW10-BW8</f>
        <v/>
      </c>
      <c r="BX11" s="9">
        <f>BX7+BX10-BX8</f>
        <v/>
      </c>
      <c r="BY11" s="9">
        <f>BY7+BY10-BY8</f>
        <v/>
      </c>
    </row>
    <row r="12">
      <c r="B12" t="inlineStr">
        <is>
          <t>Минимальный запас для возврата займа</t>
        </is>
      </c>
      <c r="C12" t="inlineStr">
        <is>
          <t>₽</t>
        </is>
      </c>
      <c r="D12" s="127" t="inlineStr">
        <is>
          <t>Займ отдаём, только если склада хватает на столько месяцев вперёд. Это не то же, что целевой запас закупки В колонках лет — значение на конец года, в «Итого» — на конец пятого года. Это остаток, а не сумма.</t>
        </is>
      </c>
      <c r="E12" s="129">
        <f>W12</f>
        <v/>
      </c>
      <c r="F12" s="129">
        <f>AI12</f>
        <v/>
      </c>
      <c r="G12" s="129">
        <f>AU12</f>
        <v/>
      </c>
      <c r="H12" s="129">
        <f>BG12</f>
        <v/>
      </c>
      <c r="I12" s="129">
        <f>BS12</f>
        <v/>
      </c>
      <c r="J12" s="6">
        <f>BS12</f>
        <v/>
      </c>
      <c r="L12" s="5">
        <f>SUM(IF(ЗапасДляЗайма&gt;=1,'04_Доходы'!M133,0),IF(ЗапасДляЗайма&gt;=2,'04_Доходы'!N133,0),IF(ЗапасДляЗайма&gt;=3,'04_Доходы'!O133,0),IF(ЗапасДляЗайма&gt;=4,'04_Доходы'!P133,0),IF(ЗапасДляЗайма&gt;=5,'04_Доходы'!Q133,0),IF(ЗапасДляЗайма&gt;=6,'04_Доходы'!R133,0))</f>
        <v/>
      </c>
      <c r="M12" s="5">
        <f>SUM(IF(ЗапасДляЗайма&gt;=1,'04_Доходы'!N133,0),IF(ЗапасДляЗайма&gt;=2,'04_Доходы'!O133,0),IF(ЗапасДляЗайма&gt;=3,'04_Доходы'!P133,0),IF(ЗапасДляЗайма&gt;=4,'04_Доходы'!Q133,0),IF(ЗапасДляЗайма&gt;=5,'04_Доходы'!R133,0),IF(ЗапасДляЗайма&gt;=6,'04_Доходы'!S133,0))</f>
        <v/>
      </c>
      <c r="N12" s="5">
        <f>SUM(IF(ЗапасДляЗайма&gt;=1,'04_Доходы'!O133,0),IF(ЗапасДляЗайма&gt;=2,'04_Доходы'!P133,0),IF(ЗапасДляЗайма&gt;=3,'04_Доходы'!Q133,0),IF(ЗапасДляЗайма&gt;=4,'04_Доходы'!R133,0),IF(ЗапасДляЗайма&gt;=5,'04_Доходы'!S133,0),IF(ЗапасДляЗайма&gt;=6,'04_Доходы'!T133,0))</f>
        <v/>
      </c>
      <c r="O12" s="5">
        <f>SUM(IF(ЗапасДляЗайма&gt;=1,'04_Доходы'!P133,0),IF(ЗапасДляЗайма&gt;=2,'04_Доходы'!Q133,0),IF(ЗапасДляЗайма&gt;=3,'04_Доходы'!R133,0),IF(ЗапасДляЗайма&gt;=4,'04_Доходы'!S133,0),IF(ЗапасДляЗайма&gt;=5,'04_Доходы'!T133,0),IF(ЗапасДляЗайма&gt;=6,'04_Доходы'!U133,0))</f>
        <v/>
      </c>
      <c r="P12" s="5">
        <f>SUM(IF(ЗапасДляЗайма&gt;=1,'04_Доходы'!Q133,0),IF(ЗапасДляЗайма&gt;=2,'04_Доходы'!R133,0),IF(ЗапасДляЗайма&gt;=3,'04_Доходы'!S133,0),IF(ЗапасДляЗайма&gt;=4,'04_Доходы'!T133,0),IF(ЗапасДляЗайма&gt;=5,'04_Доходы'!U133,0),IF(ЗапасДляЗайма&gt;=6,'04_Доходы'!V133,0))</f>
        <v/>
      </c>
      <c r="Q12" s="5">
        <f>SUM(IF(ЗапасДляЗайма&gt;=1,'04_Доходы'!R133,0),IF(ЗапасДляЗайма&gt;=2,'04_Доходы'!S133,0),IF(ЗапасДляЗайма&gt;=3,'04_Доходы'!T133,0),IF(ЗапасДляЗайма&gt;=4,'04_Доходы'!U133,0),IF(ЗапасДляЗайма&gt;=5,'04_Доходы'!V133,0),IF(ЗапасДляЗайма&gt;=6,'04_Доходы'!W133,0))</f>
        <v/>
      </c>
      <c r="R12" s="5">
        <f>SUM(IF(ЗапасДляЗайма&gt;=1,'04_Доходы'!S133,0),IF(ЗапасДляЗайма&gt;=2,'04_Доходы'!T133,0),IF(ЗапасДляЗайма&gt;=3,'04_Доходы'!U133,0),IF(ЗапасДляЗайма&gt;=4,'04_Доходы'!V133,0),IF(ЗапасДляЗайма&gt;=5,'04_Доходы'!W133,0),IF(ЗапасДляЗайма&gt;=6,'04_Доходы'!X133,0))</f>
        <v/>
      </c>
      <c r="S12" s="5">
        <f>SUM(IF(ЗапасДляЗайма&gt;=1,'04_Доходы'!T133,0),IF(ЗапасДляЗайма&gt;=2,'04_Доходы'!U133,0),IF(ЗапасДляЗайма&gt;=3,'04_Доходы'!V133,0),IF(ЗапасДляЗайма&gt;=4,'04_Доходы'!W133,0),IF(ЗапасДляЗайма&gt;=5,'04_Доходы'!X133,0),IF(ЗапасДляЗайма&gt;=6,'04_Доходы'!Y133,0))</f>
        <v/>
      </c>
      <c r="T12" s="5">
        <f>SUM(IF(ЗапасДляЗайма&gt;=1,'04_Доходы'!U133,0),IF(ЗапасДляЗайма&gt;=2,'04_Доходы'!V133,0),IF(ЗапасДляЗайма&gt;=3,'04_Доходы'!W133,0),IF(ЗапасДляЗайма&gt;=4,'04_Доходы'!X133,0),IF(ЗапасДляЗайма&gt;=5,'04_Доходы'!Y133,0),IF(ЗапасДляЗайма&gt;=6,'04_Доходы'!Z133,0))</f>
        <v/>
      </c>
      <c r="U12" s="5">
        <f>SUM(IF(ЗапасДляЗайма&gt;=1,'04_Доходы'!V133,0),IF(ЗапасДляЗайма&gt;=2,'04_Доходы'!W133,0),IF(ЗапасДляЗайма&gt;=3,'04_Доходы'!X133,0),IF(ЗапасДляЗайма&gt;=4,'04_Доходы'!Y133,0),IF(ЗапасДляЗайма&gt;=5,'04_Доходы'!Z133,0),IF(ЗапасДляЗайма&gt;=6,'04_Доходы'!AA133,0))</f>
        <v/>
      </c>
      <c r="V12" s="5">
        <f>SUM(IF(ЗапасДляЗайма&gt;=1,'04_Доходы'!W133,0),IF(ЗапасДляЗайма&gt;=2,'04_Доходы'!X133,0),IF(ЗапасДляЗайма&gt;=3,'04_Доходы'!Y133,0),IF(ЗапасДляЗайма&gt;=4,'04_Доходы'!Z133,0),IF(ЗапасДляЗайма&gt;=5,'04_Доходы'!AA133,0),IF(ЗапасДляЗайма&gt;=6,'04_Доходы'!AB133,0))</f>
        <v/>
      </c>
      <c r="W12" s="5">
        <f>SUM(IF(ЗапасДляЗайма&gt;=1,'04_Доходы'!X133,0),IF(ЗапасДляЗайма&gt;=2,'04_Доходы'!Y133,0),IF(ЗапасДляЗайма&gt;=3,'04_Доходы'!Z133,0),IF(ЗапасДляЗайма&gt;=4,'04_Доходы'!AA133,0),IF(ЗапасДляЗайма&gt;=5,'04_Доходы'!AB133,0),IF(ЗапасДляЗайма&gt;=6,'04_Доходы'!AC133,0))</f>
        <v/>
      </c>
      <c r="X12" s="5">
        <f>SUM(IF(ЗапасДляЗайма&gt;=1,'04_Доходы'!Y133,0),IF(ЗапасДляЗайма&gt;=2,'04_Доходы'!Z133,0),IF(ЗапасДляЗайма&gt;=3,'04_Доходы'!AA133,0),IF(ЗапасДляЗайма&gt;=4,'04_Доходы'!AB133,0),IF(ЗапасДляЗайма&gt;=5,'04_Доходы'!AC133,0),IF(ЗапасДляЗайма&gt;=6,'04_Доходы'!AD133,0))</f>
        <v/>
      </c>
      <c r="Y12" s="5">
        <f>SUM(IF(ЗапасДляЗайма&gt;=1,'04_Доходы'!Z133,0),IF(ЗапасДляЗайма&gt;=2,'04_Доходы'!AA133,0),IF(ЗапасДляЗайма&gt;=3,'04_Доходы'!AB133,0),IF(ЗапасДляЗайма&gt;=4,'04_Доходы'!AC133,0),IF(ЗапасДляЗайма&gt;=5,'04_Доходы'!AD133,0),IF(ЗапасДляЗайма&gt;=6,'04_Доходы'!AE133,0))</f>
        <v/>
      </c>
      <c r="Z12" s="5">
        <f>SUM(IF(ЗапасДляЗайма&gt;=1,'04_Доходы'!AA133,0),IF(ЗапасДляЗайма&gt;=2,'04_Доходы'!AB133,0),IF(ЗапасДляЗайма&gt;=3,'04_Доходы'!AC133,0),IF(ЗапасДляЗайма&gt;=4,'04_Доходы'!AD133,0),IF(ЗапасДляЗайма&gt;=5,'04_Доходы'!AE133,0),IF(ЗапасДляЗайма&gt;=6,'04_Доходы'!AF133,0))</f>
        <v/>
      </c>
      <c r="AA12" s="5">
        <f>SUM(IF(ЗапасДляЗайма&gt;=1,'04_Доходы'!AB133,0),IF(ЗапасДляЗайма&gt;=2,'04_Доходы'!AC133,0),IF(ЗапасДляЗайма&gt;=3,'04_Доходы'!AD133,0),IF(ЗапасДляЗайма&gt;=4,'04_Доходы'!AE133,0),IF(ЗапасДляЗайма&gt;=5,'04_Доходы'!AF133,0),IF(ЗапасДляЗайма&gt;=6,'04_Доходы'!AG133,0))</f>
        <v/>
      </c>
      <c r="AB12" s="5">
        <f>SUM(IF(ЗапасДляЗайма&gt;=1,'04_Доходы'!AC133,0),IF(ЗапасДляЗайма&gt;=2,'04_Доходы'!AD133,0),IF(ЗапасДляЗайма&gt;=3,'04_Доходы'!AE133,0),IF(ЗапасДляЗайма&gt;=4,'04_Доходы'!AF133,0),IF(ЗапасДляЗайма&gt;=5,'04_Доходы'!AG133,0),IF(ЗапасДляЗайма&gt;=6,'04_Доходы'!AH133,0))</f>
        <v/>
      </c>
      <c r="AC12" s="5">
        <f>SUM(IF(ЗапасДляЗайма&gt;=1,'04_Доходы'!AD133,0),IF(ЗапасДляЗайма&gt;=2,'04_Доходы'!AE133,0),IF(ЗапасДляЗайма&gt;=3,'04_Доходы'!AF133,0),IF(ЗапасДляЗайма&gt;=4,'04_Доходы'!AG133,0),IF(ЗапасДляЗайма&gt;=5,'04_Доходы'!AH133,0),IF(ЗапасДляЗайма&gt;=6,'04_Доходы'!AI133,0))</f>
        <v/>
      </c>
      <c r="AD12" s="5">
        <f>SUM(IF(ЗапасДляЗайма&gt;=1,'04_Доходы'!AE133,0),IF(ЗапасДляЗайма&gt;=2,'04_Доходы'!AF133,0),IF(ЗапасДляЗайма&gt;=3,'04_Доходы'!AG133,0),IF(ЗапасДляЗайма&gt;=4,'04_Доходы'!AH133,0),IF(ЗапасДляЗайма&gt;=5,'04_Доходы'!AI133,0),IF(ЗапасДляЗайма&gt;=6,'04_Доходы'!AJ133,0))</f>
        <v/>
      </c>
      <c r="AE12" s="5">
        <f>SUM(IF(ЗапасДляЗайма&gt;=1,'04_Доходы'!AF133,0),IF(ЗапасДляЗайма&gt;=2,'04_Доходы'!AG133,0),IF(ЗапасДляЗайма&gt;=3,'04_Доходы'!AH133,0),IF(ЗапасДляЗайма&gt;=4,'04_Доходы'!AI133,0),IF(ЗапасДляЗайма&gt;=5,'04_Доходы'!AJ133,0),IF(ЗапасДляЗайма&gt;=6,'04_Доходы'!AK133,0))</f>
        <v/>
      </c>
      <c r="AF12" s="5">
        <f>SUM(IF(ЗапасДляЗайма&gt;=1,'04_Доходы'!AG133,0),IF(ЗапасДляЗайма&gt;=2,'04_Доходы'!AH133,0),IF(ЗапасДляЗайма&gt;=3,'04_Доходы'!AI133,0),IF(ЗапасДляЗайма&gt;=4,'04_Доходы'!AJ133,0),IF(ЗапасДляЗайма&gt;=5,'04_Доходы'!AK133,0),IF(ЗапасДляЗайма&gt;=6,'04_Доходы'!AL133,0))</f>
        <v/>
      </c>
      <c r="AG12" s="5">
        <f>SUM(IF(ЗапасДляЗайма&gt;=1,'04_Доходы'!AH133,0),IF(ЗапасДляЗайма&gt;=2,'04_Доходы'!AI133,0),IF(ЗапасДляЗайма&gt;=3,'04_Доходы'!AJ133,0),IF(ЗапасДляЗайма&gt;=4,'04_Доходы'!AK133,0),IF(ЗапасДляЗайма&gt;=5,'04_Доходы'!AL133,0),IF(ЗапасДляЗайма&gt;=6,'04_Доходы'!AM133,0))</f>
        <v/>
      </c>
      <c r="AH12" s="5">
        <f>SUM(IF(ЗапасДляЗайма&gt;=1,'04_Доходы'!AI133,0),IF(ЗапасДляЗайма&gt;=2,'04_Доходы'!AJ133,0),IF(ЗапасДляЗайма&gt;=3,'04_Доходы'!AK133,0),IF(ЗапасДляЗайма&gt;=4,'04_Доходы'!AL133,0),IF(ЗапасДляЗайма&gt;=5,'04_Доходы'!AM133,0),IF(ЗапасДляЗайма&gt;=6,'04_Доходы'!AN133,0))</f>
        <v/>
      </c>
      <c r="AI12" s="5">
        <f>SUM(IF(ЗапасДляЗайма&gt;=1,'04_Доходы'!AJ133,0),IF(ЗапасДляЗайма&gt;=2,'04_Доходы'!AK133,0),IF(ЗапасДляЗайма&gt;=3,'04_Доходы'!AL133,0),IF(ЗапасДляЗайма&gt;=4,'04_Доходы'!AM133,0),IF(ЗапасДляЗайма&gt;=5,'04_Доходы'!AN133,0),IF(ЗапасДляЗайма&gt;=6,'04_Доходы'!AO133,0))</f>
        <v/>
      </c>
      <c r="AJ12" s="5">
        <f>SUM(IF(ЗапасДляЗайма&gt;=1,'04_Доходы'!AK133,0),IF(ЗапасДляЗайма&gt;=2,'04_Доходы'!AL133,0),IF(ЗапасДляЗайма&gt;=3,'04_Доходы'!AM133,0),IF(ЗапасДляЗайма&gt;=4,'04_Доходы'!AN133,0),IF(ЗапасДляЗайма&gt;=5,'04_Доходы'!AO133,0),IF(ЗапасДляЗайма&gt;=6,'04_Доходы'!AP133,0))</f>
        <v/>
      </c>
      <c r="AK12" s="5">
        <f>SUM(IF(ЗапасДляЗайма&gt;=1,'04_Доходы'!AL133,0),IF(ЗапасДляЗайма&gt;=2,'04_Доходы'!AM133,0),IF(ЗапасДляЗайма&gt;=3,'04_Доходы'!AN133,0),IF(ЗапасДляЗайма&gt;=4,'04_Доходы'!AO133,0),IF(ЗапасДляЗайма&gt;=5,'04_Доходы'!AP133,0),IF(ЗапасДляЗайма&gt;=6,'04_Доходы'!AQ133,0))</f>
        <v/>
      </c>
      <c r="AL12" s="5">
        <f>SUM(IF(ЗапасДляЗайма&gt;=1,'04_Доходы'!AM133,0),IF(ЗапасДляЗайма&gt;=2,'04_Доходы'!AN133,0),IF(ЗапасДляЗайма&gt;=3,'04_Доходы'!AO133,0),IF(ЗапасДляЗайма&gt;=4,'04_Доходы'!AP133,0),IF(ЗапасДляЗайма&gt;=5,'04_Доходы'!AQ133,0),IF(ЗапасДляЗайма&gt;=6,'04_Доходы'!AR133,0))</f>
        <v/>
      </c>
      <c r="AM12" s="5">
        <f>SUM(IF(ЗапасДляЗайма&gt;=1,'04_Доходы'!AN133,0),IF(ЗапасДляЗайма&gt;=2,'04_Доходы'!AO133,0),IF(ЗапасДляЗайма&gt;=3,'04_Доходы'!AP133,0),IF(ЗапасДляЗайма&gt;=4,'04_Доходы'!AQ133,0),IF(ЗапасДляЗайма&gt;=5,'04_Доходы'!AR133,0),IF(ЗапасДляЗайма&gt;=6,'04_Доходы'!AS133,0))</f>
        <v/>
      </c>
      <c r="AN12" s="5">
        <f>SUM(IF(ЗапасДляЗайма&gt;=1,'04_Доходы'!AO133,0),IF(ЗапасДляЗайма&gt;=2,'04_Доходы'!AP133,0),IF(ЗапасДляЗайма&gt;=3,'04_Доходы'!AQ133,0),IF(ЗапасДляЗайма&gt;=4,'04_Доходы'!AR133,0),IF(ЗапасДляЗайма&gt;=5,'04_Доходы'!AS133,0),IF(ЗапасДляЗайма&gt;=6,'04_Доходы'!AT133,0))</f>
        <v/>
      </c>
      <c r="AO12" s="5">
        <f>SUM(IF(ЗапасДляЗайма&gt;=1,'04_Доходы'!AP133,0),IF(ЗапасДляЗайма&gt;=2,'04_Доходы'!AQ133,0),IF(ЗапасДляЗайма&gt;=3,'04_Доходы'!AR133,0),IF(ЗапасДляЗайма&gt;=4,'04_Доходы'!AS133,0),IF(ЗапасДляЗайма&gt;=5,'04_Доходы'!AT133,0),IF(ЗапасДляЗайма&gt;=6,'04_Доходы'!AU133,0))</f>
        <v/>
      </c>
      <c r="AP12" s="5">
        <f>SUM(IF(ЗапасДляЗайма&gt;=1,'04_Доходы'!AQ133,0),IF(ЗапасДляЗайма&gt;=2,'04_Доходы'!AR133,0),IF(ЗапасДляЗайма&gt;=3,'04_Доходы'!AS133,0),IF(ЗапасДляЗайма&gt;=4,'04_Доходы'!AT133,0),IF(ЗапасДляЗайма&gt;=5,'04_Доходы'!AU133,0),IF(ЗапасДляЗайма&gt;=6,'04_Доходы'!AV133,0))</f>
        <v/>
      </c>
      <c r="AQ12" s="5">
        <f>SUM(IF(ЗапасДляЗайма&gt;=1,'04_Доходы'!AR133,0),IF(ЗапасДляЗайма&gt;=2,'04_Доходы'!AS133,0),IF(ЗапасДляЗайма&gt;=3,'04_Доходы'!AT133,0),IF(ЗапасДляЗайма&gt;=4,'04_Доходы'!AU133,0),IF(ЗапасДляЗайма&gt;=5,'04_Доходы'!AV133,0),IF(ЗапасДляЗайма&gt;=6,'04_Доходы'!AW133,0))</f>
        <v/>
      </c>
      <c r="AR12" s="5">
        <f>SUM(IF(ЗапасДляЗайма&gt;=1,'04_Доходы'!AS133,0),IF(ЗапасДляЗайма&gt;=2,'04_Доходы'!AT133,0),IF(ЗапасДляЗайма&gt;=3,'04_Доходы'!AU133,0),IF(ЗапасДляЗайма&gt;=4,'04_Доходы'!AV133,0),IF(ЗапасДляЗайма&gt;=5,'04_Доходы'!AW133,0),IF(ЗапасДляЗайма&gt;=6,'04_Доходы'!AX133,0))</f>
        <v/>
      </c>
      <c r="AS12" s="5">
        <f>SUM(IF(ЗапасДляЗайма&gt;=1,'04_Доходы'!AT133,0),IF(ЗапасДляЗайма&gt;=2,'04_Доходы'!AU133,0),IF(ЗапасДляЗайма&gt;=3,'04_Доходы'!AV133,0),IF(ЗапасДляЗайма&gt;=4,'04_Доходы'!AW133,0),IF(ЗапасДляЗайма&gt;=5,'04_Доходы'!AX133,0),IF(ЗапасДляЗайма&gt;=6,'04_Доходы'!AY133,0))</f>
        <v/>
      </c>
      <c r="AT12" s="5">
        <f>SUM(IF(ЗапасДляЗайма&gt;=1,'04_Доходы'!AU133,0),IF(ЗапасДляЗайма&gt;=2,'04_Доходы'!AV133,0),IF(ЗапасДляЗайма&gt;=3,'04_Доходы'!AW133,0),IF(ЗапасДляЗайма&gt;=4,'04_Доходы'!AX133,0),IF(ЗапасДляЗайма&gt;=5,'04_Доходы'!AY133,0),IF(ЗапасДляЗайма&gt;=6,'04_Доходы'!AZ133,0))</f>
        <v/>
      </c>
      <c r="AU12" s="5">
        <f>SUM(IF(ЗапасДляЗайма&gt;=1,'04_Доходы'!AV133,0),IF(ЗапасДляЗайма&gt;=2,'04_Доходы'!AW133,0),IF(ЗапасДляЗайма&gt;=3,'04_Доходы'!AX133,0),IF(ЗапасДляЗайма&gt;=4,'04_Доходы'!AY133,0),IF(ЗапасДляЗайма&gt;=5,'04_Доходы'!AZ133,0),IF(ЗапасДляЗайма&gt;=6,'04_Доходы'!BA133,0))</f>
        <v/>
      </c>
      <c r="AV12" s="5">
        <f>SUM(IF(ЗапасДляЗайма&gt;=1,'04_Доходы'!AW133,0),IF(ЗапасДляЗайма&gt;=2,'04_Доходы'!AX133,0),IF(ЗапасДляЗайма&gt;=3,'04_Доходы'!AY133,0),IF(ЗапасДляЗайма&gt;=4,'04_Доходы'!AZ133,0),IF(ЗапасДляЗайма&gt;=5,'04_Доходы'!BA133,0),IF(ЗапасДляЗайма&gt;=6,'04_Доходы'!BB133,0))</f>
        <v/>
      </c>
      <c r="AW12" s="5">
        <f>SUM(IF(ЗапасДляЗайма&gt;=1,'04_Доходы'!AX133,0),IF(ЗапасДляЗайма&gt;=2,'04_Доходы'!AY133,0),IF(ЗапасДляЗайма&gt;=3,'04_Доходы'!AZ133,0),IF(ЗапасДляЗайма&gt;=4,'04_Доходы'!BA133,0),IF(ЗапасДляЗайма&gt;=5,'04_Доходы'!BB133,0),IF(ЗапасДляЗайма&gt;=6,'04_Доходы'!BC133,0))</f>
        <v/>
      </c>
      <c r="AX12" s="5">
        <f>SUM(IF(ЗапасДляЗайма&gt;=1,'04_Доходы'!AY133,0),IF(ЗапасДляЗайма&gt;=2,'04_Доходы'!AZ133,0),IF(ЗапасДляЗайма&gt;=3,'04_Доходы'!BA133,0),IF(ЗапасДляЗайма&gt;=4,'04_Доходы'!BB133,0),IF(ЗапасДляЗайма&gt;=5,'04_Доходы'!BC133,0),IF(ЗапасДляЗайма&gt;=6,'04_Доходы'!BD133,0))</f>
        <v/>
      </c>
      <c r="AY12" s="5">
        <f>SUM(IF(ЗапасДляЗайма&gt;=1,'04_Доходы'!AZ133,0),IF(ЗапасДляЗайма&gt;=2,'04_Доходы'!BA133,0),IF(ЗапасДляЗайма&gt;=3,'04_Доходы'!BB133,0),IF(ЗапасДляЗайма&gt;=4,'04_Доходы'!BC133,0),IF(ЗапасДляЗайма&gt;=5,'04_Доходы'!BD133,0),IF(ЗапасДляЗайма&gt;=6,'04_Доходы'!BE133,0))</f>
        <v/>
      </c>
      <c r="AZ12" s="5">
        <f>SUM(IF(ЗапасДляЗайма&gt;=1,'04_Доходы'!BA133,0),IF(ЗапасДляЗайма&gt;=2,'04_Доходы'!BB133,0),IF(ЗапасДляЗайма&gt;=3,'04_Доходы'!BC133,0),IF(ЗапасДляЗайма&gt;=4,'04_Доходы'!BD133,0),IF(ЗапасДляЗайма&gt;=5,'04_Доходы'!BE133,0),IF(ЗапасДляЗайма&gt;=6,'04_Доходы'!BF133,0))</f>
        <v/>
      </c>
      <c r="BA12" s="5">
        <f>SUM(IF(ЗапасДляЗайма&gt;=1,'04_Доходы'!BB133,0),IF(ЗапасДляЗайма&gt;=2,'04_Доходы'!BC133,0),IF(ЗапасДляЗайма&gt;=3,'04_Доходы'!BD133,0),IF(ЗапасДляЗайма&gt;=4,'04_Доходы'!BE133,0),IF(ЗапасДляЗайма&gt;=5,'04_Доходы'!BF133,0),IF(ЗапасДляЗайма&gt;=6,'04_Доходы'!BG133,0))</f>
        <v/>
      </c>
      <c r="BB12" s="5">
        <f>SUM(IF(ЗапасДляЗайма&gt;=1,'04_Доходы'!BC133,0),IF(ЗапасДляЗайма&gt;=2,'04_Доходы'!BD133,0),IF(ЗапасДляЗайма&gt;=3,'04_Доходы'!BE133,0),IF(ЗапасДляЗайма&gt;=4,'04_Доходы'!BF133,0),IF(ЗапасДляЗайма&gt;=5,'04_Доходы'!BG133,0),IF(ЗапасДляЗайма&gt;=6,'04_Доходы'!BH133,0))</f>
        <v/>
      </c>
      <c r="BC12" s="5">
        <f>SUM(IF(ЗапасДляЗайма&gt;=1,'04_Доходы'!BD133,0),IF(ЗапасДляЗайма&gt;=2,'04_Доходы'!BE133,0),IF(ЗапасДляЗайма&gt;=3,'04_Доходы'!BF133,0),IF(ЗапасДляЗайма&gt;=4,'04_Доходы'!BG133,0),IF(ЗапасДляЗайма&gt;=5,'04_Доходы'!BH133,0),IF(ЗапасДляЗайма&gt;=6,'04_Доходы'!BI133,0))</f>
        <v/>
      </c>
      <c r="BD12" s="5">
        <f>SUM(IF(ЗапасДляЗайма&gt;=1,'04_Доходы'!BE133,0),IF(ЗапасДляЗайма&gt;=2,'04_Доходы'!BF133,0),IF(ЗапасДляЗайма&gt;=3,'04_Доходы'!BG133,0),IF(ЗапасДляЗайма&gt;=4,'04_Доходы'!BH133,0),IF(ЗапасДляЗайма&gt;=5,'04_Доходы'!BI133,0),IF(ЗапасДляЗайма&gt;=6,'04_Доходы'!BJ133,0))</f>
        <v/>
      </c>
      <c r="BE12" s="5">
        <f>SUM(IF(ЗапасДляЗайма&gt;=1,'04_Доходы'!BF133,0),IF(ЗапасДляЗайма&gt;=2,'04_Доходы'!BG133,0),IF(ЗапасДляЗайма&gt;=3,'04_Доходы'!BH133,0),IF(ЗапасДляЗайма&gt;=4,'04_Доходы'!BI133,0),IF(ЗапасДляЗайма&gt;=5,'04_Доходы'!BJ133,0),IF(ЗапасДляЗайма&gt;=6,'04_Доходы'!BK133,0))</f>
        <v/>
      </c>
      <c r="BF12" s="5">
        <f>SUM(IF(ЗапасДляЗайма&gt;=1,'04_Доходы'!BG133,0),IF(ЗапасДляЗайма&gt;=2,'04_Доходы'!BH133,0),IF(ЗапасДляЗайма&gt;=3,'04_Доходы'!BI133,0),IF(ЗапасДляЗайма&gt;=4,'04_Доходы'!BJ133,0),IF(ЗапасДляЗайма&gt;=5,'04_Доходы'!BK133,0),IF(ЗапасДляЗайма&gt;=6,'04_Доходы'!BL133,0))</f>
        <v/>
      </c>
      <c r="BG12" s="5">
        <f>SUM(IF(ЗапасДляЗайма&gt;=1,'04_Доходы'!BH133,0),IF(ЗапасДляЗайма&gt;=2,'04_Доходы'!BI133,0),IF(ЗапасДляЗайма&gt;=3,'04_Доходы'!BJ133,0),IF(ЗапасДляЗайма&gt;=4,'04_Доходы'!BK133,0),IF(ЗапасДляЗайма&gt;=5,'04_Доходы'!BL133,0),IF(ЗапасДляЗайма&gt;=6,'04_Доходы'!BM133,0))</f>
        <v/>
      </c>
      <c r="BH12" s="5">
        <f>SUM(IF(ЗапасДляЗайма&gt;=1,'04_Доходы'!BI133,0),IF(ЗапасДляЗайма&gt;=2,'04_Доходы'!BJ133,0),IF(ЗапасДляЗайма&gt;=3,'04_Доходы'!BK133,0),IF(ЗапасДляЗайма&gt;=4,'04_Доходы'!BL133,0),IF(ЗапасДляЗайма&gt;=5,'04_Доходы'!BM133,0),IF(ЗапасДляЗайма&gt;=6,'04_Доходы'!BN133,0))</f>
        <v/>
      </c>
      <c r="BI12" s="5">
        <f>SUM(IF(ЗапасДляЗайма&gt;=1,'04_Доходы'!BJ133,0),IF(ЗапасДляЗайма&gt;=2,'04_Доходы'!BK133,0),IF(ЗапасДляЗайма&gt;=3,'04_Доходы'!BL133,0),IF(ЗапасДляЗайма&gt;=4,'04_Доходы'!BM133,0),IF(ЗапасДляЗайма&gt;=5,'04_Доходы'!BN133,0),IF(ЗапасДляЗайма&gt;=6,'04_Доходы'!BO133,0))</f>
        <v/>
      </c>
      <c r="BJ12" s="5">
        <f>SUM(IF(ЗапасДляЗайма&gt;=1,'04_Доходы'!BK133,0),IF(ЗапасДляЗайма&gt;=2,'04_Доходы'!BL133,0),IF(ЗапасДляЗайма&gt;=3,'04_Доходы'!BM133,0),IF(ЗапасДляЗайма&gt;=4,'04_Доходы'!BN133,0),IF(ЗапасДляЗайма&gt;=5,'04_Доходы'!BO133,0),IF(ЗапасДляЗайма&gt;=6,'04_Доходы'!BP133,0))</f>
        <v/>
      </c>
      <c r="BK12" s="5">
        <f>SUM(IF(ЗапасДляЗайма&gt;=1,'04_Доходы'!BL133,0),IF(ЗапасДляЗайма&gt;=2,'04_Доходы'!BM133,0),IF(ЗапасДляЗайма&gt;=3,'04_Доходы'!BN133,0),IF(ЗапасДляЗайма&gt;=4,'04_Доходы'!BO133,0),IF(ЗапасДляЗайма&gt;=5,'04_Доходы'!BP133,0),IF(ЗапасДляЗайма&gt;=6,'04_Доходы'!BQ133,0))</f>
        <v/>
      </c>
      <c r="BL12" s="5">
        <f>SUM(IF(ЗапасДляЗайма&gt;=1,'04_Доходы'!BM133,0),IF(ЗапасДляЗайма&gt;=2,'04_Доходы'!BN133,0),IF(ЗапасДляЗайма&gt;=3,'04_Доходы'!BO133,0),IF(ЗапасДляЗайма&gt;=4,'04_Доходы'!BP133,0),IF(ЗапасДляЗайма&gt;=5,'04_Доходы'!BQ133,0),IF(ЗапасДляЗайма&gt;=6,'04_Доходы'!BR133,0))</f>
        <v/>
      </c>
      <c r="BM12" s="5">
        <f>SUM(IF(ЗапасДляЗайма&gt;=1,'04_Доходы'!BN133,0),IF(ЗапасДляЗайма&gt;=2,'04_Доходы'!BO133,0),IF(ЗапасДляЗайма&gt;=3,'04_Доходы'!BP133,0),IF(ЗапасДляЗайма&gt;=4,'04_Доходы'!BQ133,0),IF(ЗапасДляЗайма&gt;=5,'04_Доходы'!BR133,0),IF(ЗапасДляЗайма&gt;=6,'04_Доходы'!BS133,0))</f>
        <v/>
      </c>
      <c r="BN12" s="5">
        <f>SUM(IF(ЗапасДляЗайма&gt;=1,'04_Доходы'!BO133,0),IF(ЗапасДляЗайма&gt;=2,'04_Доходы'!BP133,0),IF(ЗапасДляЗайма&gt;=3,'04_Доходы'!BQ133,0),IF(ЗапасДляЗайма&gt;=4,'04_Доходы'!BR133,0),IF(ЗапасДляЗайма&gt;=5,'04_Доходы'!BS133,0),IF(ЗапасДляЗайма&gt;=6,'04_Доходы'!BT133,0))</f>
        <v/>
      </c>
      <c r="BO12" s="5">
        <f>SUM(IF(ЗапасДляЗайма&gt;=1,'04_Доходы'!BP133,0),IF(ЗапасДляЗайма&gt;=2,'04_Доходы'!BQ133,0),IF(ЗапасДляЗайма&gt;=3,'04_Доходы'!BR133,0),IF(ЗапасДляЗайма&gt;=4,'04_Доходы'!BS133,0),IF(ЗапасДляЗайма&gt;=5,'04_Доходы'!BT133,0),IF(ЗапасДляЗайма&gt;=6,'04_Доходы'!BU133,0))</f>
        <v/>
      </c>
      <c r="BP12" s="5">
        <f>SUM(IF(ЗапасДляЗайма&gt;=1,'04_Доходы'!BQ133,0),IF(ЗапасДляЗайма&gt;=2,'04_Доходы'!BR133,0),IF(ЗапасДляЗайма&gt;=3,'04_Доходы'!BS133,0),IF(ЗапасДляЗайма&gt;=4,'04_Доходы'!BT133,0),IF(ЗапасДляЗайма&gt;=5,'04_Доходы'!BU133,0),IF(ЗапасДляЗайма&gt;=6,'04_Доходы'!BV133,0))</f>
        <v/>
      </c>
      <c r="BQ12" s="5">
        <f>SUM(IF(ЗапасДляЗайма&gt;=1,'04_Доходы'!BR133,0),IF(ЗапасДляЗайма&gt;=2,'04_Доходы'!BS133,0),IF(ЗапасДляЗайма&gt;=3,'04_Доходы'!BT133,0),IF(ЗапасДляЗайма&gt;=4,'04_Доходы'!BU133,0),IF(ЗапасДляЗайма&gt;=5,'04_Доходы'!BV133,0),IF(ЗапасДляЗайма&gt;=6,'04_Доходы'!BW133,0))</f>
        <v/>
      </c>
      <c r="BR12" s="5">
        <f>SUM(IF(ЗапасДляЗайма&gt;=1,'04_Доходы'!BS133,0),IF(ЗапасДляЗайма&gt;=2,'04_Доходы'!BT133,0),IF(ЗапасДляЗайма&gt;=3,'04_Доходы'!BU133,0),IF(ЗапасДляЗайма&gt;=4,'04_Доходы'!BV133,0),IF(ЗапасДляЗайма&gt;=5,'04_Доходы'!BW133,0),IF(ЗапасДляЗайма&gt;=6,'04_Доходы'!BX133,0))</f>
        <v/>
      </c>
      <c r="BS12" s="5">
        <f>SUM(IF(ЗапасДляЗайма&gt;=1,'04_Доходы'!BT133,0),IF(ЗапасДляЗайма&gt;=2,'04_Доходы'!BU133,0),IF(ЗапасДляЗайма&gt;=3,'04_Доходы'!BV133,0),IF(ЗапасДляЗайма&gt;=4,'04_Доходы'!BW133,0),IF(ЗапасДляЗайма&gt;=5,'04_Доходы'!BX133,0),IF(ЗапасДляЗайма&gt;=6,'04_Доходы'!BY133,0))</f>
        <v/>
      </c>
      <c r="BT12" s="5">
        <f>SUM(IF(ЗапасДляЗайма&gt;=1,'04_Доходы'!BU133,0),IF(ЗапасДляЗайма&gt;=2,'04_Доходы'!BV133,0),IF(ЗапасДляЗайма&gt;=3,'04_Доходы'!BW133,0),IF(ЗапасДляЗайма&gt;=4,'04_Доходы'!BX133,0),IF(ЗапасДляЗайма&gt;=5,'04_Доходы'!BY133,0),IF(ЗапасДляЗайма&gt;=6,'04_Доходы'!BY133,0))</f>
        <v/>
      </c>
      <c r="BU12" s="5">
        <f>SUM(IF(ЗапасДляЗайма&gt;=1,'04_Доходы'!BV133,0),IF(ЗапасДляЗайма&gt;=2,'04_Доходы'!BW133,0),IF(ЗапасДляЗайма&gt;=3,'04_Доходы'!BX133,0),IF(ЗапасДляЗайма&gt;=4,'04_Доходы'!BY133,0),IF(ЗапасДляЗайма&gt;=5,'04_Доходы'!BY133,0),IF(ЗапасДляЗайма&gt;=6,'04_Доходы'!BY133,0))</f>
        <v/>
      </c>
      <c r="BV12" s="5">
        <f>SUM(IF(ЗапасДляЗайма&gt;=1,'04_Доходы'!BW133,0),IF(ЗапасДляЗайма&gt;=2,'04_Доходы'!BX133,0),IF(ЗапасДляЗайма&gt;=3,'04_Доходы'!BY133,0),IF(ЗапасДляЗайма&gt;=4,'04_Доходы'!BY133,0),IF(ЗапасДляЗайма&gt;=5,'04_Доходы'!BY133,0),IF(ЗапасДляЗайма&gt;=6,'04_Доходы'!BY133,0))</f>
        <v/>
      </c>
      <c r="BW12" s="5">
        <f>SUM(IF(ЗапасДляЗайма&gt;=1,'04_Доходы'!BX133,0),IF(ЗапасДляЗайма&gt;=2,'04_Доходы'!BY133,0),IF(ЗапасДляЗайма&gt;=3,'04_Доходы'!BY133,0),IF(ЗапасДляЗайма&gt;=4,'04_Доходы'!BY133,0),IF(ЗапасДляЗайма&gt;=5,'04_Доходы'!BY133,0),IF(ЗапасДляЗайма&gt;=6,'04_Доходы'!BY133,0))</f>
        <v/>
      </c>
      <c r="BX12" s="5">
        <f>SUM(IF(ЗапасДляЗайма&gt;=1,'04_Доходы'!BY133,0),IF(ЗапасДляЗайма&gt;=2,'04_Доходы'!BY133,0),IF(ЗапасДляЗайма&gt;=3,'04_Доходы'!BY133,0),IF(ЗапасДляЗайма&gt;=4,'04_Доходы'!BY133,0),IF(ЗапасДляЗайма&gt;=5,'04_Доходы'!BY133,0),IF(ЗапасДляЗайма&gt;=6,'04_Доходы'!BY133,0))</f>
        <v/>
      </c>
      <c r="BY12" s="5">
        <f>SUM(IF(ЗапасДляЗайма&gt;=1,'04_Доходы'!BY133,0),IF(ЗапасДляЗайма&gt;=2,'04_Доходы'!BY133,0),IF(ЗапасДляЗайма&gt;=3,'04_Доходы'!BY133,0),IF(ЗапасДляЗайма&gt;=4,'04_Доходы'!BY133,0),IF(ЗапасДляЗайма&gt;=5,'04_Доходы'!BY133,0),IF(ЗапасДляЗайма&gt;=6,'04_Доходы'!BY133,0))</f>
        <v/>
      </c>
    </row>
    <row r="13"/>
    <row r="14">
      <c r="B14" s="125" t="inlineStr">
        <is>
          <t>Займ на мерч</t>
        </is>
      </c>
      <c r="C14" s="126" t="n"/>
      <c r="D14" s="126" t="n"/>
      <c r="E14" s="126" t="n"/>
      <c r="F14" s="126" t="n"/>
      <c r="G14" s="126" t="n"/>
      <c r="H14" s="126" t="n"/>
      <c r="I14" s="126" t="n"/>
      <c r="J14" s="126" t="n"/>
      <c r="K14" s="126" t="n"/>
      <c r="L14" s="126" t="n"/>
      <c r="M14" s="126" t="n"/>
      <c r="N14" s="126" t="n"/>
      <c r="O14" s="126" t="n"/>
      <c r="P14" s="126" t="n"/>
      <c r="Q14" s="126" t="n"/>
      <c r="R14" s="126" t="n"/>
      <c r="S14" s="126" t="n"/>
      <c r="T14" s="126" t="n"/>
      <c r="U14" s="126" t="n"/>
      <c r="V14" s="126" t="n"/>
      <c r="W14" s="126" t="n"/>
      <c r="X14" s="126" t="n"/>
      <c r="Y14" s="126" t="n"/>
      <c r="Z14" s="126" t="n"/>
      <c r="AA14" s="126" t="n"/>
      <c r="AB14" s="126" t="n"/>
      <c r="AC14" s="126" t="n"/>
      <c r="AD14" s="126" t="n"/>
      <c r="AE14" s="126" t="n"/>
      <c r="AF14" s="126" t="n"/>
      <c r="AG14" s="126" t="n"/>
      <c r="AH14" s="126" t="n"/>
      <c r="AI14" s="126" t="n"/>
      <c r="AJ14" s="126" t="n"/>
      <c r="AK14" s="126" t="n"/>
      <c r="AL14" s="126" t="n"/>
      <c r="AM14" s="126" t="n"/>
      <c r="AN14" s="126" t="n"/>
      <c r="AO14" s="126" t="n"/>
      <c r="AP14" s="126" t="n"/>
      <c r="AQ14" s="126" t="n"/>
      <c r="AR14" s="126" t="n"/>
      <c r="AS14" s="126" t="n"/>
      <c r="AT14" s="126" t="n"/>
      <c r="AU14" s="126" t="n"/>
      <c r="AV14" s="126" t="n"/>
      <c r="AW14" s="126" t="n"/>
      <c r="AX14" s="126" t="n"/>
      <c r="AY14" s="126" t="n"/>
      <c r="AZ14" s="126" t="n"/>
      <c r="BA14" s="126" t="n"/>
      <c r="BB14" s="126" t="n"/>
      <c r="BC14" s="126" t="n"/>
      <c r="BD14" s="126" t="n"/>
      <c r="BE14" s="126" t="n"/>
      <c r="BF14" s="126" t="n"/>
      <c r="BG14" s="126" t="n"/>
      <c r="BH14" s="126" t="n"/>
      <c r="BI14" s="126" t="n"/>
      <c r="BJ14" s="126" t="n"/>
      <c r="BK14" s="126" t="n"/>
      <c r="BL14" s="126" t="n"/>
      <c r="BM14" s="126" t="n"/>
      <c r="BN14" s="126" t="n"/>
      <c r="BO14" s="126" t="n"/>
      <c r="BP14" s="126" t="n"/>
      <c r="BQ14" s="126" t="n"/>
      <c r="BR14" s="126" t="n"/>
      <c r="BS14" s="126" t="n"/>
      <c r="BT14" s="126" t="n"/>
      <c r="BU14" s="126" t="n"/>
      <c r="BV14" s="126" t="n"/>
      <c r="BW14" s="126" t="n"/>
      <c r="BX14" s="126" t="n"/>
      <c r="BY14" s="126" t="n"/>
    </row>
    <row r="15">
      <c r="B15" t="inlineStr">
        <is>
          <t>Займ на начало</t>
        </is>
      </c>
      <c r="C15" t="inlineStr">
        <is>
          <t>₽</t>
        </is>
      </c>
      <c r="D15" s="127" t="inlineStr">
        <is>
          <t>В колонках лет — значение на конец года, в «Итого» — на конец пятого года. Это остаток, а не сумма.</t>
        </is>
      </c>
      <c r="E15" s="129">
        <f>W15</f>
        <v/>
      </c>
      <c r="F15" s="129">
        <f>AI15</f>
        <v/>
      </c>
      <c r="G15" s="129">
        <f>AU15</f>
        <v/>
      </c>
      <c r="H15" s="129">
        <f>BG15</f>
        <v/>
      </c>
      <c r="I15" s="129">
        <f>BS15</f>
        <v/>
      </c>
      <c r="J15" s="6">
        <f>BS15</f>
        <v/>
      </c>
      <c r="L15" s="5">
        <f>ЗаймСтарт</f>
        <v/>
      </c>
      <c r="M15" s="5">
        <f>L18</f>
        <v/>
      </c>
      <c r="N15" s="5">
        <f>M18</f>
        <v/>
      </c>
      <c r="O15" s="5">
        <f>N18</f>
        <v/>
      </c>
      <c r="P15" s="5">
        <f>O18</f>
        <v/>
      </c>
      <c r="Q15" s="5">
        <f>P18</f>
        <v/>
      </c>
      <c r="R15" s="5">
        <f>Q18</f>
        <v/>
      </c>
      <c r="S15" s="5">
        <f>R18</f>
        <v/>
      </c>
      <c r="T15" s="5">
        <f>S18</f>
        <v/>
      </c>
      <c r="U15" s="5">
        <f>T18</f>
        <v/>
      </c>
      <c r="V15" s="5">
        <f>U18</f>
        <v/>
      </c>
      <c r="W15" s="5">
        <f>V18</f>
        <v/>
      </c>
      <c r="X15" s="5">
        <f>W18</f>
        <v/>
      </c>
      <c r="Y15" s="5">
        <f>X18</f>
        <v/>
      </c>
      <c r="Z15" s="5">
        <f>Y18</f>
        <v/>
      </c>
      <c r="AA15" s="5">
        <f>Z18</f>
        <v/>
      </c>
      <c r="AB15" s="5">
        <f>AA18</f>
        <v/>
      </c>
      <c r="AC15" s="5">
        <f>AB18</f>
        <v/>
      </c>
      <c r="AD15" s="5">
        <f>AC18</f>
        <v/>
      </c>
      <c r="AE15" s="5">
        <f>AD18</f>
        <v/>
      </c>
      <c r="AF15" s="5">
        <f>AE18</f>
        <v/>
      </c>
      <c r="AG15" s="5">
        <f>AF18</f>
        <v/>
      </c>
      <c r="AH15" s="5">
        <f>AG18</f>
        <v/>
      </c>
      <c r="AI15" s="5">
        <f>AH18</f>
        <v/>
      </c>
      <c r="AJ15" s="5">
        <f>AI18</f>
        <v/>
      </c>
      <c r="AK15" s="5">
        <f>AJ18</f>
        <v/>
      </c>
      <c r="AL15" s="5">
        <f>AK18</f>
        <v/>
      </c>
      <c r="AM15" s="5">
        <f>AL18</f>
        <v/>
      </c>
      <c r="AN15" s="5">
        <f>AM18</f>
        <v/>
      </c>
      <c r="AO15" s="5">
        <f>AN18</f>
        <v/>
      </c>
      <c r="AP15" s="5">
        <f>AO18</f>
        <v/>
      </c>
      <c r="AQ15" s="5">
        <f>AP18</f>
        <v/>
      </c>
      <c r="AR15" s="5">
        <f>AQ18</f>
        <v/>
      </c>
      <c r="AS15" s="5">
        <f>AR18</f>
        <v/>
      </c>
      <c r="AT15" s="5">
        <f>AS18</f>
        <v/>
      </c>
      <c r="AU15" s="5">
        <f>AT18</f>
        <v/>
      </c>
      <c r="AV15" s="5">
        <f>AU18</f>
        <v/>
      </c>
      <c r="AW15" s="5">
        <f>AV18</f>
        <v/>
      </c>
      <c r="AX15" s="5">
        <f>AW18</f>
        <v/>
      </c>
      <c r="AY15" s="5">
        <f>AX18</f>
        <v/>
      </c>
      <c r="AZ15" s="5">
        <f>AY18</f>
        <v/>
      </c>
      <c r="BA15" s="5">
        <f>AZ18</f>
        <v/>
      </c>
      <c r="BB15" s="5">
        <f>BA18</f>
        <v/>
      </c>
      <c r="BC15" s="5">
        <f>BB18</f>
        <v/>
      </c>
      <c r="BD15" s="5">
        <f>BC18</f>
        <v/>
      </c>
      <c r="BE15" s="5">
        <f>BD18</f>
        <v/>
      </c>
      <c r="BF15" s="5">
        <f>BE18</f>
        <v/>
      </c>
      <c r="BG15" s="5">
        <f>BF18</f>
        <v/>
      </c>
      <c r="BH15" s="5">
        <f>BG18</f>
        <v/>
      </c>
      <c r="BI15" s="5">
        <f>BH18</f>
        <v/>
      </c>
      <c r="BJ15" s="5">
        <f>BI18</f>
        <v/>
      </c>
      <c r="BK15" s="5">
        <f>BJ18</f>
        <v/>
      </c>
      <c r="BL15" s="5">
        <f>BK18</f>
        <v/>
      </c>
      <c r="BM15" s="5">
        <f>BL18</f>
        <v/>
      </c>
      <c r="BN15" s="5">
        <f>BM18</f>
        <v/>
      </c>
      <c r="BO15" s="5">
        <f>BN18</f>
        <v/>
      </c>
      <c r="BP15" s="5">
        <f>BO18</f>
        <v/>
      </c>
      <c r="BQ15" s="5">
        <f>BP18</f>
        <v/>
      </c>
      <c r="BR15" s="5">
        <f>BQ18</f>
        <v/>
      </c>
      <c r="BS15" s="5">
        <f>BR18</f>
        <v/>
      </c>
      <c r="BT15" s="5">
        <f>BS18</f>
        <v/>
      </c>
      <c r="BU15" s="5">
        <f>BT18</f>
        <v/>
      </c>
      <c r="BV15" s="5">
        <f>BU18</f>
        <v/>
      </c>
      <c r="BW15" s="5">
        <f>BV18</f>
        <v/>
      </c>
      <c r="BX15" s="5">
        <f>BW18</f>
        <v/>
      </c>
      <c r="BY15" s="5">
        <f>BX18</f>
        <v/>
      </c>
    </row>
    <row r="16">
      <c r="B16" t="inlineStr">
        <is>
          <t>Базовое погашение</t>
        </is>
      </c>
      <c r="C16" t="inlineStr">
        <is>
          <t>₽</t>
        </is>
      </c>
      <c r="D16" s="127" t="inlineStr">
        <is>
          <t>60% себестоимости проданного мерча</t>
        </is>
      </c>
      <c r="E16" s="129">
        <f>SUM(L16:W16)</f>
        <v/>
      </c>
      <c r="F16" s="129">
        <f>SUM(X16:AI16)</f>
        <v/>
      </c>
      <c r="G16" s="129">
        <f>SUM(AJ16:AU16)</f>
        <v/>
      </c>
      <c r="H16" s="129">
        <f>SUM(AV16:BG16)</f>
        <v/>
      </c>
      <c r="I16" s="129">
        <f>SUM(BH16:BS16)</f>
        <v/>
      </c>
      <c r="J16" s="6">
        <f>SUM(L16:BS16)</f>
        <v/>
      </c>
      <c r="L16" s="5">
        <f>MIN(L15,'04_Доходы'!L133*ДоляCOGSНаЗайм)</f>
        <v/>
      </c>
      <c r="M16" s="5">
        <f>MIN(M15,'04_Доходы'!M133*ДоляCOGSНаЗайм)</f>
        <v/>
      </c>
      <c r="N16" s="5">
        <f>MIN(N15,'04_Доходы'!N133*ДоляCOGSНаЗайм)</f>
        <v/>
      </c>
      <c r="O16" s="5">
        <f>MIN(O15,'04_Доходы'!O133*ДоляCOGSНаЗайм)</f>
        <v/>
      </c>
      <c r="P16" s="5">
        <f>MIN(P15,'04_Доходы'!P133*ДоляCOGSНаЗайм)</f>
        <v/>
      </c>
      <c r="Q16" s="5">
        <f>MIN(Q15,'04_Доходы'!Q133*ДоляCOGSНаЗайм)</f>
        <v/>
      </c>
      <c r="R16" s="5">
        <f>MIN(R15,'04_Доходы'!R133*ДоляCOGSНаЗайм)</f>
        <v/>
      </c>
      <c r="S16" s="5">
        <f>MIN(S15,'04_Доходы'!S133*ДоляCOGSНаЗайм)</f>
        <v/>
      </c>
      <c r="T16" s="5">
        <f>MIN(T15,'04_Доходы'!T133*ДоляCOGSНаЗайм)</f>
        <v/>
      </c>
      <c r="U16" s="5">
        <f>MIN(U15,'04_Доходы'!U133*ДоляCOGSНаЗайм)</f>
        <v/>
      </c>
      <c r="V16" s="5">
        <f>MIN(V15,'04_Доходы'!V133*ДоляCOGSНаЗайм)</f>
        <v/>
      </c>
      <c r="W16" s="5">
        <f>MIN(W15,'04_Доходы'!W133*ДоляCOGSНаЗайм)</f>
        <v/>
      </c>
      <c r="X16" s="5">
        <f>MIN(X15,'04_Доходы'!X133*ДоляCOGSНаЗайм)</f>
        <v/>
      </c>
      <c r="Y16" s="5">
        <f>MIN(Y15,'04_Доходы'!Y133*ДоляCOGSНаЗайм)</f>
        <v/>
      </c>
      <c r="Z16" s="5">
        <f>MIN(Z15,'04_Доходы'!Z133*ДоляCOGSНаЗайм)</f>
        <v/>
      </c>
      <c r="AA16" s="5">
        <f>MIN(AA15,'04_Доходы'!AA133*ДоляCOGSНаЗайм)</f>
        <v/>
      </c>
      <c r="AB16" s="5">
        <f>MIN(AB15,'04_Доходы'!AB133*ДоляCOGSНаЗайм)</f>
        <v/>
      </c>
      <c r="AC16" s="5">
        <f>MIN(AC15,'04_Доходы'!AC133*ДоляCOGSНаЗайм)</f>
        <v/>
      </c>
      <c r="AD16" s="5">
        <f>MIN(AD15,'04_Доходы'!AD133*ДоляCOGSНаЗайм)</f>
        <v/>
      </c>
      <c r="AE16" s="5">
        <f>MIN(AE15,'04_Доходы'!AE133*ДоляCOGSНаЗайм)</f>
        <v/>
      </c>
      <c r="AF16" s="5">
        <f>MIN(AF15,'04_Доходы'!AF133*ДоляCOGSНаЗайм)</f>
        <v/>
      </c>
      <c r="AG16" s="5">
        <f>MIN(AG15,'04_Доходы'!AG133*ДоляCOGSНаЗайм)</f>
        <v/>
      </c>
      <c r="AH16" s="5">
        <f>MIN(AH15,'04_Доходы'!AH133*ДоляCOGSНаЗайм)</f>
        <v/>
      </c>
      <c r="AI16" s="5">
        <f>MIN(AI15,'04_Доходы'!AI133*ДоляCOGSНаЗайм)</f>
        <v/>
      </c>
      <c r="AJ16" s="5">
        <f>MIN(AJ15,'04_Доходы'!AJ133*ДоляCOGSНаЗайм)</f>
        <v/>
      </c>
      <c r="AK16" s="5">
        <f>MIN(AK15,'04_Доходы'!AK133*ДоляCOGSНаЗайм)</f>
        <v/>
      </c>
      <c r="AL16" s="5">
        <f>MIN(AL15,'04_Доходы'!AL133*ДоляCOGSНаЗайм)</f>
        <v/>
      </c>
      <c r="AM16" s="5">
        <f>MIN(AM15,'04_Доходы'!AM133*ДоляCOGSНаЗайм)</f>
        <v/>
      </c>
      <c r="AN16" s="5">
        <f>MIN(AN15,'04_Доходы'!AN133*ДоляCOGSНаЗайм)</f>
        <v/>
      </c>
      <c r="AO16" s="5">
        <f>MIN(AO15,'04_Доходы'!AO133*ДоляCOGSНаЗайм)</f>
        <v/>
      </c>
      <c r="AP16" s="5">
        <f>MIN(AP15,'04_Доходы'!AP133*ДоляCOGSНаЗайм)</f>
        <v/>
      </c>
      <c r="AQ16" s="5">
        <f>MIN(AQ15,'04_Доходы'!AQ133*ДоляCOGSНаЗайм)</f>
        <v/>
      </c>
      <c r="AR16" s="5">
        <f>MIN(AR15,'04_Доходы'!AR133*ДоляCOGSНаЗайм)</f>
        <v/>
      </c>
      <c r="AS16" s="5">
        <f>MIN(AS15,'04_Доходы'!AS133*ДоляCOGSНаЗайм)</f>
        <v/>
      </c>
      <c r="AT16" s="5">
        <f>MIN(AT15,'04_Доходы'!AT133*ДоляCOGSНаЗайм)</f>
        <v/>
      </c>
      <c r="AU16" s="5">
        <f>MIN(AU15,'04_Доходы'!AU133*ДоляCOGSНаЗайм)</f>
        <v/>
      </c>
      <c r="AV16" s="5">
        <f>MIN(AV15,'04_Доходы'!AV133*ДоляCOGSНаЗайм)</f>
        <v/>
      </c>
      <c r="AW16" s="5">
        <f>MIN(AW15,'04_Доходы'!AW133*ДоляCOGSНаЗайм)</f>
        <v/>
      </c>
      <c r="AX16" s="5">
        <f>MIN(AX15,'04_Доходы'!AX133*ДоляCOGSНаЗайм)</f>
        <v/>
      </c>
      <c r="AY16" s="5">
        <f>MIN(AY15,'04_Доходы'!AY133*ДоляCOGSНаЗайм)</f>
        <v/>
      </c>
      <c r="AZ16" s="5">
        <f>MIN(AZ15,'04_Доходы'!AZ133*ДоляCOGSНаЗайм)</f>
        <v/>
      </c>
      <c r="BA16" s="5">
        <f>MIN(BA15,'04_Доходы'!BA133*ДоляCOGSНаЗайм)</f>
        <v/>
      </c>
      <c r="BB16" s="5">
        <f>MIN(BB15,'04_Доходы'!BB133*ДоляCOGSНаЗайм)</f>
        <v/>
      </c>
      <c r="BC16" s="5">
        <f>MIN(BC15,'04_Доходы'!BC133*ДоляCOGSНаЗайм)</f>
        <v/>
      </c>
      <c r="BD16" s="5">
        <f>MIN(BD15,'04_Доходы'!BD133*ДоляCOGSНаЗайм)</f>
        <v/>
      </c>
      <c r="BE16" s="5">
        <f>MIN(BE15,'04_Доходы'!BE133*ДоляCOGSНаЗайм)</f>
        <v/>
      </c>
      <c r="BF16" s="5">
        <f>MIN(BF15,'04_Доходы'!BF133*ДоляCOGSНаЗайм)</f>
        <v/>
      </c>
      <c r="BG16" s="5">
        <f>MIN(BG15,'04_Доходы'!BG133*ДоляCOGSНаЗайм)</f>
        <v/>
      </c>
      <c r="BH16" s="5">
        <f>MIN(BH15,'04_Доходы'!BH133*ДоляCOGSНаЗайм)</f>
        <v/>
      </c>
      <c r="BI16" s="5">
        <f>MIN(BI15,'04_Доходы'!BI133*ДоляCOGSНаЗайм)</f>
        <v/>
      </c>
      <c r="BJ16" s="5">
        <f>MIN(BJ15,'04_Доходы'!BJ133*ДоляCOGSНаЗайм)</f>
        <v/>
      </c>
      <c r="BK16" s="5">
        <f>MIN(BK15,'04_Доходы'!BK133*ДоляCOGSНаЗайм)</f>
        <v/>
      </c>
      <c r="BL16" s="5">
        <f>MIN(BL15,'04_Доходы'!BL133*ДоляCOGSНаЗайм)</f>
        <v/>
      </c>
      <c r="BM16" s="5">
        <f>MIN(BM15,'04_Доходы'!BM133*ДоляCOGSНаЗайм)</f>
        <v/>
      </c>
      <c r="BN16" s="5">
        <f>MIN(BN15,'04_Доходы'!BN133*ДоляCOGSНаЗайм)</f>
        <v/>
      </c>
      <c r="BO16" s="5">
        <f>MIN(BO15,'04_Доходы'!BO133*ДоляCOGSНаЗайм)</f>
        <v/>
      </c>
      <c r="BP16" s="5">
        <f>MIN(BP15,'04_Доходы'!BP133*ДоляCOGSНаЗайм)</f>
        <v/>
      </c>
      <c r="BQ16" s="5">
        <f>MIN(BQ15,'04_Доходы'!BQ133*ДоляCOGSНаЗайм)</f>
        <v/>
      </c>
      <c r="BR16" s="5">
        <f>MIN(BR15,'04_Доходы'!BR133*ДоляCOGSНаЗайм)</f>
        <v/>
      </c>
      <c r="BS16" s="5">
        <f>MIN(BS15,'04_Доходы'!BS133*ДоляCOGSНаЗайм)</f>
        <v/>
      </c>
      <c r="BT16" s="5">
        <f>MIN(BT15,'04_Доходы'!BT133*ДоляCOGSНаЗайм)</f>
        <v/>
      </c>
      <c r="BU16" s="5">
        <f>MIN(BU15,'04_Доходы'!BU133*ДоляCOGSНаЗайм)</f>
        <v/>
      </c>
      <c r="BV16" s="5">
        <f>MIN(BV15,'04_Доходы'!BV133*ДоляCOGSНаЗайм)</f>
        <v/>
      </c>
      <c r="BW16" s="5">
        <f>MIN(BW15,'04_Доходы'!BW133*ДоляCOGSНаЗайм)</f>
        <v/>
      </c>
      <c r="BX16" s="5">
        <f>MIN(BX15,'04_Доходы'!BX133*ДоляCOGSНаЗайм)</f>
        <v/>
      </c>
      <c r="BY16" s="5">
        <f>MIN(BY15,'04_Доходы'!BY133*ДоляCOGSНаЗайм)</f>
        <v/>
      </c>
    </row>
    <row r="17">
      <c r="B17" t="inlineStr">
        <is>
          <t>Погашение с учётом денег и склада</t>
        </is>
      </c>
      <c r="C17" t="inlineStr">
        <is>
          <t>₽</t>
        </is>
      </c>
      <c r="D17" s="127" t="inlineStr">
        <is>
          <t>Платим, только если склад не ниже цели и деньги есть</t>
        </is>
      </c>
      <c r="E17" s="129">
        <f>SUM(L17:W17)</f>
        <v/>
      </c>
      <c r="F17" s="129">
        <f>SUM(X17:AI17)</f>
        <v/>
      </c>
      <c r="G17" s="129">
        <f>SUM(AJ17:AU17)</f>
        <v/>
      </c>
      <c r="H17" s="129">
        <f>SUM(AV17:BG17)</f>
        <v/>
      </c>
      <c r="I17" s="129">
        <f>SUM(BH17:BS17)</f>
        <v/>
      </c>
      <c r="J17" s="6">
        <f>SUM(L17:BS17)</f>
        <v/>
      </c>
      <c r="L17" s="5">
        <f>IF(OR(ОграничитьЗайм="Нет",L11&gt;=L12-0.01),MIN(L16,MAX(0,'02_Результат'!L56)),0)</f>
        <v/>
      </c>
      <c r="M17" s="5">
        <f>IF(OR(ОграничитьЗайм="Нет",M11&gt;=M12-0.01),MIN(M16,MAX(0,'02_Результат'!M56)),0)</f>
        <v/>
      </c>
      <c r="N17" s="5">
        <f>IF(OR(ОграничитьЗайм="Нет",N11&gt;=N12-0.01),MIN(N16,MAX(0,'02_Результат'!N56)),0)</f>
        <v/>
      </c>
      <c r="O17" s="5">
        <f>IF(OR(ОграничитьЗайм="Нет",O11&gt;=O12-0.01),MIN(O16,MAX(0,'02_Результат'!O56)),0)</f>
        <v/>
      </c>
      <c r="P17" s="5">
        <f>IF(OR(ОграничитьЗайм="Нет",P11&gt;=P12-0.01),MIN(P16,MAX(0,'02_Результат'!P56)),0)</f>
        <v/>
      </c>
      <c r="Q17" s="5">
        <f>IF(OR(ОграничитьЗайм="Нет",Q11&gt;=Q12-0.01),MIN(Q16,MAX(0,'02_Результат'!Q56)),0)</f>
        <v/>
      </c>
      <c r="R17" s="5">
        <f>IF(OR(ОграничитьЗайм="Нет",R11&gt;=R12-0.01),MIN(R16,MAX(0,'02_Результат'!R56)),0)</f>
        <v/>
      </c>
      <c r="S17" s="5">
        <f>IF(OR(ОграничитьЗайм="Нет",S11&gt;=S12-0.01),MIN(S16,MAX(0,'02_Результат'!S56)),0)</f>
        <v/>
      </c>
      <c r="T17" s="5">
        <f>IF(OR(ОграничитьЗайм="Нет",T11&gt;=T12-0.01),MIN(T16,MAX(0,'02_Результат'!T56)),0)</f>
        <v/>
      </c>
      <c r="U17" s="5">
        <f>IF(OR(ОграничитьЗайм="Нет",U11&gt;=U12-0.01),MIN(U16,MAX(0,'02_Результат'!U56)),0)</f>
        <v/>
      </c>
      <c r="V17" s="5">
        <f>IF(OR(ОграничитьЗайм="Нет",V11&gt;=V12-0.01),MIN(V16,MAX(0,'02_Результат'!V56)),0)</f>
        <v/>
      </c>
      <c r="W17" s="5">
        <f>IF(OR(ОграничитьЗайм="Нет",W11&gt;=W12-0.01),MIN(W16,MAX(0,'02_Результат'!W56)),0)</f>
        <v/>
      </c>
      <c r="X17" s="5">
        <f>IF(OR(ОграничитьЗайм="Нет",X11&gt;=X12-0.01),MIN(X16,MAX(0,'02_Результат'!X56)),0)</f>
        <v/>
      </c>
      <c r="Y17" s="5">
        <f>IF(OR(ОграничитьЗайм="Нет",Y11&gt;=Y12-0.01),MIN(Y16,MAX(0,'02_Результат'!Y56)),0)</f>
        <v/>
      </c>
      <c r="Z17" s="5">
        <f>IF(OR(ОграничитьЗайм="Нет",Z11&gt;=Z12-0.01),MIN(Z16,MAX(0,'02_Результат'!Z56)),0)</f>
        <v/>
      </c>
      <c r="AA17" s="5">
        <f>IF(OR(ОграничитьЗайм="Нет",AA11&gt;=AA12-0.01),MIN(AA16,MAX(0,'02_Результат'!AA56)),0)</f>
        <v/>
      </c>
      <c r="AB17" s="5">
        <f>IF(OR(ОграничитьЗайм="Нет",AB11&gt;=AB12-0.01),MIN(AB16,MAX(0,'02_Результат'!AB56)),0)</f>
        <v/>
      </c>
      <c r="AC17" s="5">
        <f>IF(OR(ОграничитьЗайм="Нет",AC11&gt;=AC12-0.01),MIN(AC16,MAX(0,'02_Результат'!AC56)),0)</f>
        <v/>
      </c>
      <c r="AD17" s="5">
        <f>IF(OR(ОграничитьЗайм="Нет",AD11&gt;=AD12-0.01),MIN(AD16,MAX(0,'02_Результат'!AD56)),0)</f>
        <v/>
      </c>
      <c r="AE17" s="5">
        <f>IF(OR(ОграничитьЗайм="Нет",AE11&gt;=AE12-0.01),MIN(AE16,MAX(0,'02_Результат'!AE56)),0)</f>
        <v/>
      </c>
      <c r="AF17" s="5">
        <f>IF(OR(ОграничитьЗайм="Нет",AF11&gt;=AF12-0.01),MIN(AF16,MAX(0,'02_Результат'!AF56)),0)</f>
        <v/>
      </c>
      <c r="AG17" s="5">
        <f>IF(OR(ОграничитьЗайм="Нет",AG11&gt;=AG12-0.01),MIN(AG16,MAX(0,'02_Результат'!AG56)),0)</f>
        <v/>
      </c>
      <c r="AH17" s="5">
        <f>IF(OR(ОграничитьЗайм="Нет",AH11&gt;=AH12-0.01),MIN(AH16,MAX(0,'02_Результат'!AH56)),0)</f>
        <v/>
      </c>
      <c r="AI17" s="5">
        <f>IF(OR(ОграничитьЗайм="Нет",AI11&gt;=AI12-0.01),MIN(AI16,MAX(0,'02_Результат'!AI56)),0)</f>
        <v/>
      </c>
      <c r="AJ17" s="5">
        <f>IF(OR(ОграничитьЗайм="Нет",AJ11&gt;=AJ12-0.01),MIN(AJ16,MAX(0,'02_Результат'!AJ56)),0)</f>
        <v/>
      </c>
      <c r="AK17" s="5">
        <f>IF(OR(ОграничитьЗайм="Нет",AK11&gt;=AK12-0.01),MIN(AK16,MAX(0,'02_Результат'!AK56)),0)</f>
        <v/>
      </c>
      <c r="AL17" s="5">
        <f>IF(OR(ОграничитьЗайм="Нет",AL11&gt;=AL12-0.01),MIN(AL16,MAX(0,'02_Результат'!AL56)),0)</f>
        <v/>
      </c>
      <c r="AM17" s="5">
        <f>IF(OR(ОграничитьЗайм="Нет",AM11&gt;=AM12-0.01),MIN(AM16,MAX(0,'02_Результат'!AM56)),0)</f>
        <v/>
      </c>
      <c r="AN17" s="5">
        <f>IF(OR(ОграничитьЗайм="Нет",AN11&gt;=AN12-0.01),MIN(AN16,MAX(0,'02_Результат'!AN56)),0)</f>
        <v/>
      </c>
      <c r="AO17" s="5">
        <f>IF(OR(ОграничитьЗайм="Нет",AO11&gt;=AO12-0.01),MIN(AO16,MAX(0,'02_Результат'!AO56)),0)</f>
        <v/>
      </c>
      <c r="AP17" s="5">
        <f>IF(OR(ОграничитьЗайм="Нет",AP11&gt;=AP12-0.01),MIN(AP16,MAX(0,'02_Результат'!AP56)),0)</f>
        <v/>
      </c>
      <c r="AQ17" s="5">
        <f>IF(OR(ОграничитьЗайм="Нет",AQ11&gt;=AQ12-0.01),MIN(AQ16,MAX(0,'02_Результат'!AQ56)),0)</f>
        <v/>
      </c>
      <c r="AR17" s="5">
        <f>IF(OR(ОграничитьЗайм="Нет",AR11&gt;=AR12-0.01),MIN(AR16,MAX(0,'02_Результат'!AR56)),0)</f>
        <v/>
      </c>
      <c r="AS17" s="5">
        <f>IF(OR(ОграничитьЗайм="Нет",AS11&gt;=AS12-0.01),MIN(AS16,MAX(0,'02_Результат'!AS56)),0)</f>
        <v/>
      </c>
      <c r="AT17" s="5">
        <f>IF(OR(ОграничитьЗайм="Нет",AT11&gt;=AT12-0.01),MIN(AT16,MAX(0,'02_Результат'!AT56)),0)</f>
        <v/>
      </c>
      <c r="AU17" s="5">
        <f>IF(OR(ОграничитьЗайм="Нет",AU11&gt;=AU12-0.01),MIN(AU16,MAX(0,'02_Результат'!AU56)),0)</f>
        <v/>
      </c>
      <c r="AV17" s="5">
        <f>IF(OR(ОграничитьЗайм="Нет",AV11&gt;=AV12-0.01),MIN(AV16,MAX(0,'02_Результат'!AV56)),0)</f>
        <v/>
      </c>
      <c r="AW17" s="5">
        <f>IF(OR(ОграничитьЗайм="Нет",AW11&gt;=AW12-0.01),MIN(AW16,MAX(0,'02_Результат'!AW56)),0)</f>
        <v/>
      </c>
      <c r="AX17" s="5">
        <f>IF(OR(ОграничитьЗайм="Нет",AX11&gt;=AX12-0.01),MIN(AX16,MAX(0,'02_Результат'!AX56)),0)</f>
        <v/>
      </c>
      <c r="AY17" s="5">
        <f>IF(OR(ОграничитьЗайм="Нет",AY11&gt;=AY12-0.01),MIN(AY16,MAX(0,'02_Результат'!AY56)),0)</f>
        <v/>
      </c>
      <c r="AZ17" s="5">
        <f>IF(OR(ОграничитьЗайм="Нет",AZ11&gt;=AZ12-0.01),MIN(AZ16,MAX(0,'02_Результат'!AZ56)),0)</f>
        <v/>
      </c>
      <c r="BA17" s="5">
        <f>IF(OR(ОграничитьЗайм="Нет",BA11&gt;=BA12-0.01),MIN(BA16,MAX(0,'02_Результат'!BA56)),0)</f>
        <v/>
      </c>
      <c r="BB17" s="5">
        <f>IF(OR(ОграничитьЗайм="Нет",BB11&gt;=BB12-0.01),MIN(BB16,MAX(0,'02_Результат'!BB56)),0)</f>
        <v/>
      </c>
      <c r="BC17" s="5">
        <f>IF(OR(ОграничитьЗайм="Нет",BC11&gt;=BC12-0.01),MIN(BC16,MAX(0,'02_Результат'!BC56)),0)</f>
        <v/>
      </c>
      <c r="BD17" s="5">
        <f>IF(OR(ОграничитьЗайм="Нет",BD11&gt;=BD12-0.01),MIN(BD16,MAX(0,'02_Результат'!BD56)),0)</f>
        <v/>
      </c>
      <c r="BE17" s="5">
        <f>IF(OR(ОграничитьЗайм="Нет",BE11&gt;=BE12-0.01),MIN(BE16,MAX(0,'02_Результат'!BE56)),0)</f>
        <v/>
      </c>
      <c r="BF17" s="5">
        <f>IF(OR(ОграничитьЗайм="Нет",BF11&gt;=BF12-0.01),MIN(BF16,MAX(0,'02_Результат'!BF56)),0)</f>
        <v/>
      </c>
      <c r="BG17" s="5">
        <f>IF(OR(ОграничитьЗайм="Нет",BG11&gt;=BG12-0.01),MIN(BG16,MAX(0,'02_Результат'!BG56)),0)</f>
        <v/>
      </c>
      <c r="BH17" s="5">
        <f>IF(OR(ОграничитьЗайм="Нет",BH11&gt;=BH12-0.01),MIN(BH16,MAX(0,'02_Результат'!BH56)),0)</f>
        <v/>
      </c>
      <c r="BI17" s="5">
        <f>IF(OR(ОграничитьЗайм="Нет",BI11&gt;=BI12-0.01),MIN(BI16,MAX(0,'02_Результат'!BI56)),0)</f>
        <v/>
      </c>
      <c r="BJ17" s="5">
        <f>IF(OR(ОграничитьЗайм="Нет",BJ11&gt;=BJ12-0.01),MIN(BJ16,MAX(0,'02_Результат'!BJ56)),0)</f>
        <v/>
      </c>
      <c r="BK17" s="5">
        <f>IF(OR(ОграничитьЗайм="Нет",BK11&gt;=BK12-0.01),MIN(BK16,MAX(0,'02_Результат'!BK56)),0)</f>
        <v/>
      </c>
      <c r="BL17" s="5">
        <f>IF(OR(ОграничитьЗайм="Нет",BL11&gt;=BL12-0.01),MIN(BL16,MAX(0,'02_Результат'!BL56)),0)</f>
        <v/>
      </c>
      <c r="BM17" s="5">
        <f>IF(OR(ОграничитьЗайм="Нет",BM11&gt;=BM12-0.01),MIN(BM16,MAX(0,'02_Результат'!BM56)),0)</f>
        <v/>
      </c>
      <c r="BN17" s="5">
        <f>IF(OR(ОграничитьЗайм="Нет",BN11&gt;=BN12-0.01),MIN(BN16,MAX(0,'02_Результат'!BN56)),0)</f>
        <v/>
      </c>
      <c r="BO17" s="5">
        <f>IF(OR(ОграничитьЗайм="Нет",BO11&gt;=BO12-0.01),MIN(BO16,MAX(0,'02_Результат'!BO56)),0)</f>
        <v/>
      </c>
      <c r="BP17" s="5">
        <f>IF(OR(ОграничитьЗайм="Нет",BP11&gt;=BP12-0.01),MIN(BP16,MAX(0,'02_Результат'!BP56)),0)</f>
        <v/>
      </c>
      <c r="BQ17" s="5">
        <f>IF(OR(ОграничитьЗайм="Нет",BQ11&gt;=BQ12-0.01),MIN(BQ16,MAX(0,'02_Результат'!BQ56)),0)</f>
        <v/>
      </c>
      <c r="BR17" s="5">
        <f>IF(OR(ОграничитьЗайм="Нет",BR11&gt;=BR12-0.01),MIN(BR16,MAX(0,'02_Результат'!BR56)),0)</f>
        <v/>
      </c>
      <c r="BS17" s="5">
        <f>IF(OR(ОграничитьЗайм="Нет",BS11&gt;=BS12-0.01),MIN(BS16,MAX(0,'02_Результат'!BS56)),0)</f>
        <v/>
      </c>
      <c r="BT17" s="5">
        <f>IF(OR(ОграничитьЗайм="Нет",BT11&gt;=BT12-0.01),MIN(BT16,MAX(0,'02_Результат'!BT56)),0)</f>
        <v/>
      </c>
      <c r="BU17" s="5">
        <f>IF(OR(ОграничитьЗайм="Нет",BU11&gt;=BU12-0.01),MIN(BU16,MAX(0,'02_Результат'!BU56)),0)</f>
        <v/>
      </c>
      <c r="BV17" s="5">
        <f>IF(OR(ОграничитьЗайм="Нет",BV11&gt;=BV12-0.01),MIN(BV16,MAX(0,'02_Результат'!BV56)),0)</f>
        <v/>
      </c>
      <c r="BW17" s="5">
        <f>IF(OR(ОграничитьЗайм="Нет",BW11&gt;=BW12-0.01),MIN(BW16,MAX(0,'02_Результат'!BW56)),0)</f>
        <v/>
      </c>
      <c r="BX17" s="5">
        <f>IF(OR(ОграничитьЗайм="Нет",BX11&gt;=BX12-0.01),MIN(BX16,MAX(0,'02_Результат'!BX56)),0)</f>
        <v/>
      </c>
      <c r="BY17" s="5">
        <f>IF(OR(ОграничитьЗайм="Нет",BY11&gt;=BY12-0.01),MIN(BY16,MAX(0,'02_Результат'!BY56)),0)</f>
        <v/>
      </c>
    </row>
    <row r="18">
      <c r="B18" s="7" t="inlineStr">
        <is>
          <t>Займ на конец</t>
        </is>
      </c>
      <c r="C18" s="7" t="inlineStr">
        <is>
          <t>₽</t>
        </is>
      </c>
      <c r="D18" s="130" t="inlineStr">
        <is>
          <t>В колонках лет — значение на конец года, в «Итого» — на конец пятого года. Это остаток, а не сумма.</t>
        </is>
      </c>
      <c r="E18" s="131">
        <f>W18</f>
        <v/>
      </c>
      <c r="F18" s="131">
        <f>AI18</f>
        <v/>
      </c>
      <c r="G18" s="131">
        <f>AU18</f>
        <v/>
      </c>
      <c r="H18" s="131">
        <f>BG18</f>
        <v/>
      </c>
      <c r="I18" s="131">
        <f>BS18</f>
        <v/>
      </c>
      <c r="J18" s="10">
        <f>BS18</f>
        <v/>
      </c>
      <c r="L18" s="9">
        <f>L15-L17</f>
        <v/>
      </c>
      <c r="M18" s="9">
        <f>M15-M17</f>
        <v/>
      </c>
      <c r="N18" s="9">
        <f>N15-N17</f>
        <v/>
      </c>
      <c r="O18" s="9">
        <f>O15-O17</f>
        <v/>
      </c>
      <c r="P18" s="9">
        <f>P15-P17</f>
        <v/>
      </c>
      <c r="Q18" s="9">
        <f>Q15-Q17</f>
        <v/>
      </c>
      <c r="R18" s="9">
        <f>R15-R17</f>
        <v/>
      </c>
      <c r="S18" s="9">
        <f>S15-S17</f>
        <v/>
      </c>
      <c r="T18" s="9">
        <f>T15-T17</f>
        <v/>
      </c>
      <c r="U18" s="9">
        <f>U15-U17</f>
        <v/>
      </c>
      <c r="V18" s="9">
        <f>V15-V17</f>
        <v/>
      </c>
      <c r="W18" s="9">
        <f>W15-W17</f>
        <v/>
      </c>
      <c r="X18" s="9">
        <f>X15-X17</f>
        <v/>
      </c>
      <c r="Y18" s="9">
        <f>Y15-Y17</f>
        <v/>
      </c>
      <c r="Z18" s="9">
        <f>Z15-Z17</f>
        <v/>
      </c>
      <c r="AA18" s="9">
        <f>AA15-AA17</f>
        <v/>
      </c>
      <c r="AB18" s="9">
        <f>AB15-AB17</f>
        <v/>
      </c>
      <c r="AC18" s="9">
        <f>AC15-AC17</f>
        <v/>
      </c>
      <c r="AD18" s="9">
        <f>AD15-AD17</f>
        <v/>
      </c>
      <c r="AE18" s="9">
        <f>AE15-AE17</f>
        <v/>
      </c>
      <c r="AF18" s="9">
        <f>AF15-AF17</f>
        <v/>
      </c>
      <c r="AG18" s="9">
        <f>AG15-AG17</f>
        <v/>
      </c>
      <c r="AH18" s="9">
        <f>AH15-AH17</f>
        <v/>
      </c>
      <c r="AI18" s="9">
        <f>AI15-AI17</f>
        <v/>
      </c>
      <c r="AJ18" s="9">
        <f>AJ15-AJ17</f>
        <v/>
      </c>
      <c r="AK18" s="9">
        <f>AK15-AK17</f>
        <v/>
      </c>
      <c r="AL18" s="9">
        <f>AL15-AL17</f>
        <v/>
      </c>
      <c r="AM18" s="9">
        <f>AM15-AM17</f>
        <v/>
      </c>
      <c r="AN18" s="9">
        <f>AN15-AN17</f>
        <v/>
      </c>
      <c r="AO18" s="9">
        <f>AO15-AO17</f>
        <v/>
      </c>
      <c r="AP18" s="9">
        <f>AP15-AP17</f>
        <v/>
      </c>
      <c r="AQ18" s="9">
        <f>AQ15-AQ17</f>
        <v/>
      </c>
      <c r="AR18" s="9">
        <f>AR15-AR17</f>
        <v/>
      </c>
      <c r="AS18" s="9">
        <f>AS15-AS17</f>
        <v/>
      </c>
      <c r="AT18" s="9">
        <f>AT15-AT17</f>
        <v/>
      </c>
      <c r="AU18" s="9">
        <f>AU15-AU17</f>
        <v/>
      </c>
      <c r="AV18" s="9">
        <f>AV15-AV17</f>
        <v/>
      </c>
      <c r="AW18" s="9">
        <f>AW15-AW17</f>
        <v/>
      </c>
      <c r="AX18" s="9">
        <f>AX15-AX17</f>
        <v/>
      </c>
      <c r="AY18" s="9">
        <f>AY15-AY17</f>
        <v/>
      </c>
      <c r="AZ18" s="9">
        <f>AZ15-AZ17</f>
        <v/>
      </c>
      <c r="BA18" s="9">
        <f>BA15-BA17</f>
        <v/>
      </c>
      <c r="BB18" s="9">
        <f>BB15-BB17</f>
        <v/>
      </c>
      <c r="BC18" s="9">
        <f>BC15-BC17</f>
        <v/>
      </c>
      <c r="BD18" s="9">
        <f>BD15-BD17</f>
        <v/>
      </c>
      <c r="BE18" s="9">
        <f>BE15-BE17</f>
        <v/>
      </c>
      <c r="BF18" s="9">
        <f>BF15-BF17</f>
        <v/>
      </c>
      <c r="BG18" s="9">
        <f>BG15-BG17</f>
        <v/>
      </c>
      <c r="BH18" s="9">
        <f>BH15-BH17</f>
        <v/>
      </c>
      <c r="BI18" s="9">
        <f>BI15-BI17</f>
        <v/>
      </c>
      <c r="BJ18" s="9">
        <f>BJ15-BJ17</f>
        <v/>
      </c>
      <c r="BK18" s="9">
        <f>BK15-BK17</f>
        <v/>
      </c>
      <c r="BL18" s="9">
        <f>BL15-BL17</f>
        <v/>
      </c>
      <c r="BM18" s="9">
        <f>BM15-BM17</f>
        <v/>
      </c>
      <c r="BN18" s="9">
        <f>BN15-BN17</f>
        <v/>
      </c>
      <c r="BO18" s="9">
        <f>BO15-BO17</f>
        <v/>
      </c>
      <c r="BP18" s="9">
        <f>BP15-BP17</f>
        <v/>
      </c>
      <c r="BQ18" s="9">
        <f>BQ15-BQ17</f>
        <v/>
      </c>
      <c r="BR18" s="9">
        <f>BR15-BR17</f>
        <v/>
      </c>
      <c r="BS18" s="9">
        <f>BS15-BS17</f>
        <v/>
      </c>
      <c r="BT18" s="9">
        <f>BT15-BT17</f>
        <v/>
      </c>
      <c r="BU18" s="9">
        <f>BU15-BU17</f>
        <v/>
      </c>
      <c r="BV18" s="9">
        <f>BV15-BV17</f>
        <v/>
      </c>
      <c r="BW18" s="9">
        <f>BW15-BW17</f>
        <v/>
      </c>
      <c r="BX18" s="9">
        <f>BX15-BX17</f>
        <v/>
      </c>
      <c r="BY18" s="9">
        <f>BY15-BY17</f>
        <v/>
      </c>
    </row>
    <row r="19"/>
    <row r="20">
      <c r="B20" s="125" t="inlineStr">
        <is>
          <t>CAPEX и налоги</t>
        </is>
      </c>
      <c r="C20" s="126" t="n"/>
      <c r="D20" s="126" t="n"/>
      <c r="E20" s="126" t="n"/>
      <c r="F20" s="126" t="n"/>
      <c r="G20" s="126" t="n"/>
      <c r="H20" s="126" t="n"/>
      <c r="I20" s="126" t="n"/>
      <c r="J20" s="126" t="n"/>
      <c r="K20" s="126" t="n"/>
      <c r="L20" s="126" t="n"/>
      <c r="M20" s="126" t="n"/>
      <c r="N20" s="126" t="n"/>
      <c r="O20" s="126" t="n"/>
      <c r="P20" s="126" t="n"/>
      <c r="Q20" s="126" t="n"/>
      <c r="R20" s="126" t="n"/>
      <c r="S20" s="126" t="n"/>
      <c r="T20" s="126" t="n"/>
      <c r="U20" s="126" t="n"/>
      <c r="V20" s="126" t="n"/>
      <c r="W20" s="126" t="n"/>
      <c r="X20" s="126" t="n"/>
      <c r="Y20" s="126" t="n"/>
      <c r="Z20" s="126" t="n"/>
      <c r="AA20" s="126" t="n"/>
      <c r="AB20" s="126" t="n"/>
      <c r="AC20" s="126" t="n"/>
      <c r="AD20" s="126" t="n"/>
      <c r="AE20" s="126" t="n"/>
      <c r="AF20" s="126" t="n"/>
      <c r="AG20" s="126" t="n"/>
      <c r="AH20" s="126" t="n"/>
      <c r="AI20" s="126" t="n"/>
      <c r="AJ20" s="126" t="n"/>
      <c r="AK20" s="126" t="n"/>
      <c r="AL20" s="126" t="n"/>
      <c r="AM20" s="126" t="n"/>
      <c r="AN20" s="126" t="n"/>
      <c r="AO20" s="126" t="n"/>
      <c r="AP20" s="126" t="n"/>
      <c r="AQ20" s="126" t="n"/>
      <c r="AR20" s="126" t="n"/>
      <c r="AS20" s="126" t="n"/>
      <c r="AT20" s="126" t="n"/>
      <c r="AU20" s="126" t="n"/>
      <c r="AV20" s="126" t="n"/>
      <c r="AW20" s="126" t="n"/>
      <c r="AX20" s="126" t="n"/>
      <c r="AY20" s="126" t="n"/>
      <c r="AZ20" s="126" t="n"/>
      <c r="BA20" s="126" t="n"/>
      <c r="BB20" s="126" t="n"/>
      <c r="BC20" s="126" t="n"/>
      <c r="BD20" s="126" t="n"/>
      <c r="BE20" s="126" t="n"/>
      <c r="BF20" s="126" t="n"/>
      <c r="BG20" s="126" t="n"/>
      <c r="BH20" s="126" t="n"/>
      <c r="BI20" s="126" t="n"/>
      <c r="BJ20" s="126" t="n"/>
      <c r="BK20" s="126" t="n"/>
      <c r="BL20" s="126" t="n"/>
      <c r="BM20" s="126" t="n"/>
      <c r="BN20" s="126" t="n"/>
      <c r="BO20" s="126" t="n"/>
      <c r="BP20" s="126" t="n"/>
      <c r="BQ20" s="126" t="n"/>
      <c r="BR20" s="126" t="n"/>
      <c r="BS20" s="126" t="n"/>
      <c r="BT20" s="126" t="n"/>
      <c r="BU20" s="126" t="n"/>
      <c r="BV20" s="126" t="n"/>
      <c r="BW20" s="126" t="n"/>
      <c r="BX20" s="126" t="n"/>
      <c r="BY20" s="126" t="n"/>
    </row>
    <row r="21">
      <c r="B21" t="inlineStr">
        <is>
          <t>База CAPEX</t>
        </is>
      </c>
      <c r="C21" t="inlineStr">
        <is>
          <t>₽</t>
        </is>
      </c>
      <c r="D21" s="127" t="inlineStr">
        <is>
          <t>Выручка, от которой считается поддерживающий CAPEX</t>
        </is>
      </c>
      <c r="E21" s="129">
        <f>SUM(L21:W21)</f>
        <v/>
      </c>
      <c r="F21" s="129">
        <f>SUM(X21:AI21)</f>
        <v/>
      </c>
      <c r="G21" s="129">
        <f>SUM(AJ21:AU21)</f>
        <v/>
      </c>
      <c r="H21" s="129">
        <f>SUM(AV21:BG21)</f>
        <v/>
      </c>
      <c r="I21" s="129">
        <f>SUM(BH21:BS21)</f>
        <v/>
      </c>
      <c r="J21" s="6">
        <f>SUM(L21:BS21)</f>
        <v/>
      </c>
      <c r="L21" s="5">
        <f>IF(CAPEXБаза="С НДС",('04_Доходы'!L14+'04_Доходы'!L103/(1+НДС)+'04_Доходы'!L132)*(1+НДС),'04_Доходы'!L14+'04_Доходы'!L103/(1+НДС)+'04_Доходы'!L132)</f>
        <v/>
      </c>
      <c r="M21" s="5">
        <f>IF(CAPEXБаза="С НДС",('04_Доходы'!M14+'04_Доходы'!M103/(1+НДС)+'04_Доходы'!M132)*(1+НДС),'04_Доходы'!M14+'04_Доходы'!M103/(1+НДС)+'04_Доходы'!M132)</f>
        <v/>
      </c>
      <c r="N21" s="5">
        <f>IF(CAPEXБаза="С НДС",('04_Доходы'!N14+'04_Доходы'!N103/(1+НДС)+'04_Доходы'!N132)*(1+НДС),'04_Доходы'!N14+'04_Доходы'!N103/(1+НДС)+'04_Доходы'!N132)</f>
        <v/>
      </c>
      <c r="O21" s="5">
        <f>IF(CAPEXБаза="С НДС",('04_Доходы'!O14+'04_Доходы'!O103/(1+НДС)+'04_Доходы'!O132)*(1+НДС),'04_Доходы'!O14+'04_Доходы'!O103/(1+НДС)+'04_Доходы'!O132)</f>
        <v/>
      </c>
      <c r="P21" s="5">
        <f>IF(CAPEXБаза="С НДС",('04_Доходы'!P14+'04_Доходы'!P103/(1+НДС)+'04_Доходы'!P132)*(1+НДС),'04_Доходы'!P14+'04_Доходы'!P103/(1+НДС)+'04_Доходы'!P132)</f>
        <v/>
      </c>
      <c r="Q21" s="5">
        <f>IF(CAPEXБаза="С НДС",('04_Доходы'!Q14+'04_Доходы'!Q103/(1+НДС)+'04_Доходы'!Q132)*(1+НДС),'04_Доходы'!Q14+'04_Доходы'!Q103/(1+НДС)+'04_Доходы'!Q132)</f>
        <v/>
      </c>
      <c r="R21" s="5">
        <f>IF(CAPEXБаза="С НДС",('04_Доходы'!R14+'04_Доходы'!R103/(1+НДС)+'04_Доходы'!R132)*(1+НДС),'04_Доходы'!R14+'04_Доходы'!R103/(1+НДС)+'04_Доходы'!R132)</f>
        <v/>
      </c>
      <c r="S21" s="5">
        <f>IF(CAPEXБаза="С НДС",('04_Доходы'!S14+'04_Доходы'!S103/(1+НДС)+'04_Доходы'!S132)*(1+НДС),'04_Доходы'!S14+'04_Доходы'!S103/(1+НДС)+'04_Доходы'!S132)</f>
        <v/>
      </c>
      <c r="T21" s="5">
        <f>IF(CAPEXБаза="С НДС",('04_Доходы'!T14+'04_Доходы'!T103/(1+НДС)+'04_Доходы'!T132)*(1+НДС),'04_Доходы'!T14+'04_Доходы'!T103/(1+НДС)+'04_Доходы'!T132)</f>
        <v/>
      </c>
      <c r="U21" s="5">
        <f>IF(CAPEXБаза="С НДС",('04_Доходы'!U14+'04_Доходы'!U103/(1+НДС)+'04_Доходы'!U132)*(1+НДС),'04_Доходы'!U14+'04_Доходы'!U103/(1+НДС)+'04_Доходы'!U132)</f>
        <v/>
      </c>
      <c r="V21" s="5">
        <f>IF(CAPEXБаза="С НДС",('04_Доходы'!V14+'04_Доходы'!V103/(1+НДС)+'04_Доходы'!V132)*(1+НДС),'04_Доходы'!V14+'04_Доходы'!V103/(1+НДС)+'04_Доходы'!V132)</f>
        <v/>
      </c>
      <c r="W21" s="5">
        <f>IF(CAPEXБаза="С НДС",('04_Доходы'!W14+'04_Доходы'!W103/(1+НДС)+'04_Доходы'!W132)*(1+НДС),'04_Доходы'!W14+'04_Доходы'!W103/(1+НДС)+'04_Доходы'!W132)</f>
        <v/>
      </c>
      <c r="X21" s="5">
        <f>IF(CAPEXБаза="С НДС",('04_Доходы'!X14+'04_Доходы'!X103/(1+НДС)+'04_Доходы'!X132)*(1+НДС),'04_Доходы'!X14+'04_Доходы'!X103/(1+НДС)+'04_Доходы'!X132)</f>
        <v/>
      </c>
      <c r="Y21" s="5">
        <f>IF(CAPEXБаза="С НДС",('04_Доходы'!Y14+'04_Доходы'!Y103/(1+НДС)+'04_Доходы'!Y132)*(1+НДС),'04_Доходы'!Y14+'04_Доходы'!Y103/(1+НДС)+'04_Доходы'!Y132)</f>
        <v/>
      </c>
      <c r="Z21" s="5">
        <f>IF(CAPEXБаза="С НДС",('04_Доходы'!Z14+'04_Доходы'!Z103/(1+НДС)+'04_Доходы'!Z132)*(1+НДС),'04_Доходы'!Z14+'04_Доходы'!Z103/(1+НДС)+'04_Доходы'!Z132)</f>
        <v/>
      </c>
      <c r="AA21" s="5">
        <f>IF(CAPEXБаза="С НДС",('04_Доходы'!AA14+'04_Доходы'!AA103/(1+НДС)+'04_Доходы'!AA132)*(1+НДС),'04_Доходы'!AA14+'04_Доходы'!AA103/(1+НДС)+'04_Доходы'!AA132)</f>
        <v/>
      </c>
      <c r="AB21" s="5">
        <f>IF(CAPEXБаза="С НДС",('04_Доходы'!AB14+'04_Доходы'!AB103/(1+НДС)+'04_Доходы'!AB132)*(1+НДС),'04_Доходы'!AB14+'04_Доходы'!AB103/(1+НДС)+'04_Доходы'!AB132)</f>
        <v/>
      </c>
      <c r="AC21" s="5">
        <f>IF(CAPEXБаза="С НДС",('04_Доходы'!AC14+'04_Доходы'!AC103/(1+НДС)+'04_Доходы'!AC132)*(1+НДС),'04_Доходы'!AC14+'04_Доходы'!AC103/(1+НДС)+'04_Доходы'!AC132)</f>
        <v/>
      </c>
      <c r="AD21" s="5">
        <f>IF(CAPEXБаза="С НДС",('04_Доходы'!AD14+'04_Доходы'!AD103/(1+НДС)+'04_Доходы'!AD132)*(1+НДС),'04_Доходы'!AD14+'04_Доходы'!AD103/(1+НДС)+'04_Доходы'!AD132)</f>
        <v/>
      </c>
      <c r="AE21" s="5">
        <f>IF(CAPEXБаза="С НДС",('04_Доходы'!AE14+'04_Доходы'!AE103/(1+НДС)+'04_Доходы'!AE132)*(1+НДС),'04_Доходы'!AE14+'04_Доходы'!AE103/(1+НДС)+'04_Доходы'!AE132)</f>
        <v/>
      </c>
      <c r="AF21" s="5">
        <f>IF(CAPEXБаза="С НДС",('04_Доходы'!AF14+'04_Доходы'!AF103/(1+НДС)+'04_Доходы'!AF132)*(1+НДС),'04_Доходы'!AF14+'04_Доходы'!AF103/(1+НДС)+'04_Доходы'!AF132)</f>
        <v/>
      </c>
      <c r="AG21" s="5">
        <f>IF(CAPEXБаза="С НДС",('04_Доходы'!AG14+'04_Доходы'!AG103/(1+НДС)+'04_Доходы'!AG132)*(1+НДС),'04_Доходы'!AG14+'04_Доходы'!AG103/(1+НДС)+'04_Доходы'!AG132)</f>
        <v/>
      </c>
      <c r="AH21" s="5">
        <f>IF(CAPEXБаза="С НДС",('04_Доходы'!AH14+'04_Доходы'!AH103/(1+НДС)+'04_Доходы'!AH132)*(1+НДС),'04_Доходы'!AH14+'04_Доходы'!AH103/(1+НДС)+'04_Доходы'!AH132)</f>
        <v/>
      </c>
      <c r="AI21" s="5">
        <f>IF(CAPEXБаза="С НДС",('04_Доходы'!AI14+'04_Доходы'!AI103/(1+НДС)+'04_Доходы'!AI132)*(1+НДС),'04_Доходы'!AI14+'04_Доходы'!AI103/(1+НДС)+'04_Доходы'!AI132)</f>
        <v/>
      </c>
      <c r="AJ21" s="5">
        <f>IF(CAPEXБаза="С НДС",('04_Доходы'!AJ14+'04_Доходы'!AJ103/(1+НДС)+'04_Доходы'!AJ132)*(1+НДС),'04_Доходы'!AJ14+'04_Доходы'!AJ103/(1+НДС)+'04_Доходы'!AJ132)</f>
        <v/>
      </c>
      <c r="AK21" s="5">
        <f>IF(CAPEXБаза="С НДС",('04_Доходы'!AK14+'04_Доходы'!AK103/(1+НДС)+'04_Доходы'!AK132)*(1+НДС),'04_Доходы'!AK14+'04_Доходы'!AK103/(1+НДС)+'04_Доходы'!AK132)</f>
        <v/>
      </c>
      <c r="AL21" s="5">
        <f>IF(CAPEXБаза="С НДС",('04_Доходы'!AL14+'04_Доходы'!AL103/(1+НДС)+'04_Доходы'!AL132)*(1+НДС),'04_Доходы'!AL14+'04_Доходы'!AL103/(1+НДС)+'04_Доходы'!AL132)</f>
        <v/>
      </c>
      <c r="AM21" s="5">
        <f>IF(CAPEXБаза="С НДС",('04_Доходы'!AM14+'04_Доходы'!AM103/(1+НДС)+'04_Доходы'!AM132)*(1+НДС),'04_Доходы'!AM14+'04_Доходы'!AM103/(1+НДС)+'04_Доходы'!AM132)</f>
        <v/>
      </c>
      <c r="AN21" s="5">
        <f>IF(CAPEXБаза="С НДС",('04_Доходы'!AN14+'04_Доходы'!AN103/(1+НДС)+'04_Доходы'!AN132)*(1+НДС),'04_Доходы'!AN14+'04_Доходы'!AN103/(1+НДС)+'04_Доходы'!AN132)</f>
        <v/>
      </c>
      <c r="AO21" s="5">
        <f>IF(CAPEXБаза="С НДС",('04_Доходы'!AO14+'04_Доходы'!AO103/(1+НДС)+'04_Доходы'!AO132)*(1+НДС),'04_Доходы'!AO14+'04_Доходы'!AO103/(1+НДС)+'04_Доходы'!AO132)</f>
        <v/>
      </c>
      <c r="AP21" s="5">
        <f>IF(CAPEXБаза="С НДС",('04_Доходы'!AP14+'04_Доходы'!AP103/(1+НДС)+'04_Доходы'!AP132)*(1+НДС),'04_Доходы'!AP14+'04_Доходы'!AP103/(1+НДС)+'04_Доходы'!AP132)</f>
        <v/>
      </c>
      <c r="AQ21" s="5">
        <f>IF(CAPEXБаза="С НДС",('04_Доходы'!AQ14+'04_Доходы'!AQ103/(1+НДС)+'04_Доходы'!AQ132)*(1+НДС),'04_Доходы'!AQ14+'04_Доходы'!AQ103/(1+НДС)+'04_Доходы'!AQ132)</f>
        <v/>
      </c>
      <c r="AR21" s="5">
        <f>IF(CAPEXБаза="С НДС",('04_Доходы'!AR14+'04_Доходы'!AR103/(1+НДС)+'04_Доходы'!AR132)*(1+НДС),'04_Доходы'!AR14+'04_Доходы'!AR103/(1+НДС)+'04_Доходы'!AR132)</f>
        <v/>
      </c>
      <c r="AS21" s="5">
        <f>IF(CAPEXБаза="С НДС",('04_Доходы'!AS14+'04_Доходы'!AS103/(1+НДС)+'04_Доходы'!AS132)*(1+НДС),'04_Доходы'!AS14+'04_Доходы'!AS103/(1+НДС)+'04_Доходы'!AS132)</f>
        <v/>
      </c>
      <c r="AT21" s="5">
        <f>IF(CAPEXБаза="С НДС",('04_Доходы'!AT14+'04_Доходы'!AT103/(1+НДС)+'04_Доходы'!AT132)*(1+НДС),'04_Доходы'!AT14+'04_Доходы'!AT103/(1+НДС)+'04_Доходы'!AT132)</f>
        <v/>
      </c>
      <c r="AU21" s="5">
        <f>IF(CAPEXБаза="С НДС",('04_Доходы'!AU14+'04_Доходы'!AU103/(1+НДС)+'04_Доходы'!AU132)*(1+НДС),'04_Доходы'!AU14+'04_Доходы'!AU103/(1+НДС)+'04_Доходы'!AU132)</f>
        <v/>
      </c>
      <c r="AV21" s="5">
        <f>IF(CAPEXБаза="С НДС",('04_Доходы'!AV14+'04_Доходы'!AV103/(1+НДС)+'04_Доходы'!AV132)*(1+НДС),'04_Доходы'!AV14+'04_Доходы'!AV103/(1+НДС)+'04_Доходы'!AV132)</f>
        <v/>
      </c>
      <c r="AW21" s="5">
        <f>IF(CAPEXБаза="С НДС",('04_Доходы'!AW14+'04_Доходы'!AW103/(1+НДС)+'04_Доходы'!AW132)*(1+НДС),'04_Доходы'!AW14+'04_Доходы'!AW103/(1+НДС)+'04_Доходы'!AW132)</f>
        <v/>
      </c>
      <c r="AX21" s="5">
        <f>IF(CAPEXБаза="С НДС",('04_Доходы'!AX14+'04_Доходы'!AX103/(1+НДС)+'04_Доходы'!AX132)*(1+НДС),'04_Доходы'!AX14+'04_Доходы'!AX103/(1+НДС)+'04_Доходы'!AX132)</f>
        <v/>
      </c>
      <c r="AY21" s="5">
        <f>IF(CAPEXБаза="С НДС",('04_Доходы'!AY14+'04_Доходы'!AY103/(1+НДС)+'04_Доходы'!AY132)*(1+НДС),'04_Доходы'!AY14+'04_Доходы'!AY103/(1+НДС)+'04_Доходы'!AY132)</f>
        <v/>
      </c>
      <c r="AZ21" s="5">
        <f>IF(CAPEXБаза="С НДС",('04_Доходы'!AZ14+'04_Доходы'!AZ103/(1+НДС)+'04_Доходы'!AZ132)*(1+НДС),'04_Доходы'!AZ14+'04_Доходы'!AZ103/(1+НДС)+'04_Доходы'!AZ132)</f>
        <v/>
      </c>
      <c r="BA21" s="5">
        <f>IF(CAPEXБаза="С НДС",('04_Доходы'!BA14+'04_Доходы'!BA103/(1+НДС)+'04_Доходы'!BA132)*(1+НДС),'04_Доходы'!BA14+'04_Доходы'!BA103/(1+НДС)+'04_Доходы'!BA132)</f>
        <v/>
      </c>
      <c r="BB21" s="5">
        <f>IF(CAPEXБаза="С НДС",('04_Доходы'!BB14+'04_Доходы'!BB103/(1+НДС)+'04_Доходы'!BB132)*(1+НДС),'04_Доходы'!BB14+'04_Доходы'!BB103/(1+НДС)+'04_Доходы'!BB132)</f>
        <v/>
      </c>
      <c r="BC21" s="5">
        <f>IF(CAPEXБаза="С НДС",('04_Доходы'!BC14+'04_Доходы'!BC103/(1+НДС)+'04_Доходы'!BC132)*(1+НДС),'04_Доходы'!BC14+'04_Доходы'!BC103/(1+НДС)+'04_Доходы'!BC132)</f>
        <v/>
      </c>
      <c r="BD21" s="5">
        <f>IF(CAPEXБаза="С НДС",('04_Доходы'!BD14+'04_Доходы'!BD103/(1+НДС)+'04_Доходы'!BD132)*(1+НДС),'04_Доходы'!BD14+'04_Доходы'!BD103/(1+НДС)+'04_Доходы'!BD132)</f>
        <v/>
      </c>
      <c r="BE21" s="5">
        <f>IF(CAPEXБаза="С НДС",('04_Доходы'!BE14+'04_Доходы'!BE103/(1+НДС)+'04_Доходы'!BE132)*(1+НДС),'04_Доходы'!BE14+'04_Доходы'!BE103/(1+НДС)+'04_Доходы'!BE132)</f>
        <v/>
      </c>
      <c r="BF21" s="5">
        <f>IF(CAPEXБаза="С НДС",('04_Доходы'!BF14+'04_Доходы'!BF103/(1+НДС)+'04_Доходы'!BF132)*(1+НДС),'04_Доходы'!BF14+'04_Доходы'!BF103/(1+НДС)+'04_Доходы'!BF132)</f>
        <v/>
      </c>
      <c r="BG21" s="5">
        <f>IF(CAPEXБаза="С НДС",('04_Доходы'!BG14+'04_Доходы'!BG103/(1+НДС)+'04_Доходы'!BG132)*(1+НДС),'04_Доходы'!BG14+'04_Доходы'!BG103/(1+НДС)+'04_Доходы'!BG132)</f>
        <v/>
      </c>
      <c r="BH21" s="5">
        <f>IF(CAPEXБаза="С НДС",('04_Доходы'!BH14+'04_Доходы'!BH103/(1+НДС)+'04_Доходы'!BH132)*(1+НДС),'04_Доходы'!BH14+'04_Доходы'!BH103/(1+НДС)+'04_Доходы'!BH132)</f>
        <v/>
      </c>
      <c r="BI21" s="5">
        <f>IF(CAPEXБаза="С НДС",('04_Доходы'!BI14+'04_Доходы'!BI103/(1+НДС)+'04_Доходы'!BI132)*(1+НДС),'04_Доходы'!BI14+'04_Доходы'!BI103/(1+НДС)+'04_Доходы'!BI132)</f>
        <v/>
      </c>
      <c r="BJ21" s="5">
        <f>IF(CAPEXБаза="С НДС",('04_Доходы'!BJ14+'04_Доходы'!BJ103/(1+НДС)+'04_Доходы'!BJ132)*(1+НДС),'04_Доходы'!BJ14+'04_Доходы'!BJ103/(1+НДС)+'04_Доходы'!BJ132)</f>
        <v/>
      </c>
      <c r="BK21" s="5">
        <f>IF(CAPEXБаза="С НДС",('04_Доходы'!BK14+'04_Доходы'!BK103/(1+НДС)+'04_Доходы'!BK132)*(1+НДС),'04_Доходы'!BK14+'04_Доходы'!BK103/(1+НДС)+'04_Доходы'!BK132)</f>
        <v/>
      </c>
      <c r="BL21" s="5">
        <f>IF(CAPEXБаза="С НДС",('04_Доходы'!BL14+'04_Доходы'!BL103/(1+НДС)+'04_Доходы'!BL132)*(1+НДС),'04_Доходы'!BL14+'04_Доходы'!BL103/(1+НДС)+'04_Доходы'!BL132)</f>
        <v/>
      </c>
      <c r="BM21" s="5">
        <f>IF(CAPEXБаза="С НДС",('04_Доходы'!BM14+'04_Доходы'!BM103/(1+НДС)+'04_Доходы'!BM132)*(1+НДС),'04_Доходы'!BM14+'04_Доходы'!BM103/(1+НДС)+'04_Доходы'!BM132)</f>
        <v/>
      </c>
      <c r="BN21" s="5">
        <f>IF(CAPEXБаза="С НДС",('04_Доходы'!BN14+'04_Доходы'!BN103/(1+НДС)+'04_Доходы'!BN132)*(1+НДС),'04_Доходы'!BN14+'04_Доходы'!BN103/(1+НДС)+'04_Доходы'!BN132)</f>
        <v/>
      </c>
      <c r="BO21" s="5">
        <f>IF(CAPEXБаза="С НДС",('04_Доходы'!BO14+'04_Доходы'!BO103/(1+НДС)+'04_Доходы'!BO132)*(1+НДС),'04_Доходы'!BO14+'04_Доходы'!BO103/(1+НДС)+'04_Доходы'!BO132)</f>
        <v/>
      </c>
      <c r="BP21" s="5">
        <f>IF(CAPEXБаза="С НДС",('04_Доходы'!BP14+'04_Доходы'!BP103/(1+НДС)+'04_Доходы'!BP132)*(1+НДС),'04_Доходы'!BP14+'04_Доходы'!BP103/(1+НДС)+'04_Доходы'!BP132)</f>
        <v/>
      </c>
      <c r="BQ21" s="5">
        <f>IF(CAPEXБаза="С НДС",('04_Доходы'!BQ14+'04_Доходы'!BQ103/(1+НДС)+'04_Доходы'!BQ132)*(1+НДС),'04_Доходы'!BQ14+'04_Доходы'!BQ103/(1+НДС)+'04_Доходы'!BQ132)</f>
        <v/>
      </c>
      <c r="BR21" s="5">
        <f>IF(CAPEXБаза="С НДС",('04_Доходы'!BR14+'04_Доходы'!BR103/(1+НДС)+'04_Доходы'!BR132)*(1+НДС),'04_Доходы'!BR14+'04_Доходы'!BR103/(1+НДС)+'04_Доходы'!BR132)</f>
        <v/>
      </c>
      <c r="BS21" s="5">
        <f>IF(CAPEXБаза="С НДС",('04_Доходы'!BS14+'04_Доходы'!BS103/(1+НДС)+'04_Доходы'!BS132)*(1+НДС),'04_Доходы'!BS14+'04_Доходы'!BS103/(1+НДС)+'04_Доходы'!BS132)</f>
        <v/>
      </c>
      <c r="BT21" s="5">
        <f>IF(CAPEXБаза="С НДС",('04_Доходы'!BT14+'04_Доходы'!BT103/(1+НДС)+'04_Доходы'!BT132)*(1+НДС),'04_Доходы'!BT14+'04_Доходы'!BT103/(1+НДС)+'04_Доходы'!BT132)</f>
        <v/>
      </c>
      <c r="BU21" s="5">
        <f>IF(CAPEXБаза="С НДС",('04_Доходы'!BU14+'04_Доходы'!BU103/(1+НДС)+'04_Доходы'!BU132)*(1+НДС),'04_Доходы'!BU14+'04_Доходы'!BU103/(1+НДС)+'04_Доходы'!BU132)</f>
        <v/>
      </c>
      <c r="BV21" s="5">
        <f>IF(CAPEXБаза="С НДС",('04_Доходы'!BV14+'04_Доходы'!BV103/(1+НДС)+'04_Доходы'!BV132)*(1+НДС),'04_Доходы'!BV14+'04_Доходы'!BV103/(1+НДС)+'04_Доходы'!BV132)</f>
        <v/>
      </c>
      <c r="BW21" s="5">
        <f>IF(CAPEXБаза="С НДС",('04_Доходы'!BW14+'04_Доходы'!BW103/(1+НДС)+'04_Доходы'!BW132)*(1+НДС),'04_Доходы'!BW14+'04_Доходы'!BW103/(1+НДС)+'04_Доходы'!BW132)</f>
        <v/>
      </c>
      <c r="BX21" s="5">
        <f>IF(CAPEXБаза="С НДС",('04_Доходы'!BX14+'04_Доходы'!BX103/(1+НДС)+'04_Доходы'!BX132)*(1+НДС),'04_Доходы'!BX14+'04_Доходы'!BX103/(1+НДС)+'04_Доходы'!BX132)</f>
        <v/>
      </c>
      <c r="BY21" s="5">
        <f>IF(CAPEXБаза="С НДС",('04_Доходы'!BY14+'04_Доходы'!BY103/(1+НДС)+'04_Доходы'!BY132)*(1+НДС),'04_Доходы'!BY14+'04_Доходы'!BY103/(1+НДС)+'04_Доходы'!BY132)</f>
        <v/>
      </c>
    </row>
    <row r="22">
      <c r="B22" t="inlineStr">
        <is>
          <t>CAPEX — всего</t>
        </is>
      </c>
      <c r="C22" t="inlineStr">
        <is>
          <t>₽</t>
        </is>
      </c>
      <c r="D22" s="127" t="inlineStr"/>
      <c r="E22" s="129">
        <f>SUM(L22:W22)</f>
        <v/>
      </c>
      <c r="F22" s="129">
        <f>SUM(X22:AI22)</f>
        <v/>
      </c>
      <c r="G22" s="129">
        <f>SUM(AJ22:AU22)</f>
        <v/>
      </c>
      <c r="H22" s="129">
        <f>SUM(AV22:BG22)</f>
        <v/>
      </c>
      <c r="I22" s="129">
        <f>SUM(BH22:BS22)</f>
        <v/>
      </c>
      <c r="J22" s="6">
        <f>SUM(L22:BS22)</f>
        <v/>
      </c>
      <c r="L22" s="5">
        <f>IF(CAPEXВключён="Да",L21*CAPEXДоля,0)+IF(AND(CAPEXВключён="Да",'03_Сеть'!L7=CAPEXДата),CAPEXРазовый,0)</f>
        <v/>
      </c>
      <c r="M22" s="5">
        <f>IF(CAPEXВключён="Да",M21*CAPEXДоля,0)+IF(AND(CAPEXВключён="Да",'03_Сеть'!M7=CAPEXДата),CAPEXРазовый,0)</f>
        <v/>
      </c>
      <c r="N22" s="5">
        <f>IF(CAPEXВключён="Да",N21*CAPEXДоля,0)+IF(AND(CAPEXВключён="Да",'03_Сеть'!N7=CAPEXДата),CAPEXРазовый,0)</f>
        <v/>
      </c>
      <c r="O22" s="5">
        <f>IF(CAPEXВключён="Да",O21*CAPEXДоля,0)+IF(AND(CAPEXВключён="Да",'03_Сеть'!O7=CAPEXДата),CAPEXРазовый,0)</f>
        <v/>
      </c>
      <c r="P22" s="5">
        <f>IF(CAPEXВключён="Да",P21*CAPEXДоля,0)+IF(AND(CAPEXВключён="Да",'03_Сеть'!P7=CAPEXДата),CAPEXРазовый,0)</f>
        <v/>
      </c>
      <c r="Q22" s="5">
        <f>IF(CAPEXВключён="Да",Q21*CAPEXДоля,0)+IF(AND(CAPEXВключён="Да",'03_Сеть'!Q7=CAPEXДата),CAPEXРазовый,0)</f>
        <v/>
      </c>
      <c r="R22" s="5">
        <f>IF(CAPEXВключён="Да",R21*CAPEXДоля,0)+IF(AND(CAPEXВключён="Да",'03_Сеть'!R7=CAPEXДата),CAPEXРазовый,0)</f>
        <v/>
      </c>
      <c r="S22" s="5">
        <f>IF(CAPEXВключён="Да",S21*CAPEXДоля,0)+IF(AND(CAPEXВключён="Да",'03_Сеть'!S7=CAPEXДата),CAPEXРазовый,0)</f>
        <v/>
      </c>
      <c r="T22" s="5">
        <f>IF(CAPEXВключён="Да",T21*CAPEXДоля,0)+IF(AND(CAPEXВключён="Да",'03_Сеть'!T7=CAPEXДата),CAPEXРазовый,0)</f>
        <v/>
      </c>
      <c r="U22" s="5">
        <f>IF(CAPEXВключён="Да",U21*CAPEXДоля,0)+IF(AND(CAPEXВключён="Да",'03_Сеть'!U7=CAPEXДата),CAPEXРазовый,0)</f>
        <v/>
      </c>
      <c r="V22" s="5">
        <f>IF(CAPEXВключён="Да",V21*CAPEXДоля,0)+IF(AND(CAPEXВключён="Да",'03_Сеть'!V7=CAPEXДата),CAPEXРазовый,0)</f>
        <v/>
      </c>
      <c r="W22" s="5">
        <f>IF(CAPEXВключён="Да",W21*CAPEXДоля,0)+IF(AND(CAPEXВключён="Да",'03_Сеть'!W7=CAPEXДата),CAPEXРазовый,0)</f>
        <v/>
      </c>
      <c r="X22" s="5">
        <f>IF(CAPEXВключён="Да",X21*CAPEXДоля,0)+IF(AND(CAPEXВключён="Да",'03_Сеть'!X7=CAPEXДата),CAPEXРазовый,0)</f>
        <v/>
      </c>
      <c r="Y22" s="5">
        <f>IF(CAPEXВключён="Да",Y21*CAPEXДоля,0)+IF(AND(CAPEXВключён="Да",'03_Сеть'!Y7=CAPEXДата),CAPEXРазовый,0)</f>
        <v/>
      </c>
      <c r="Z22" s="5">
        <f>IF(CAPEXВключён="Да",Z21*CAPEXДоля,0)+IF(AND(CAPEXВключён="Да",'03_Сеть'!Z7=CAPEXДата),CAPEXРазовый,0)</f>
        <v/>
      </c>
      <c r="AA22" s="5">
        <f>IF(CAPEXВключён="Да",AA21*CAPEXДоля,0)+IF(AND(CAPEXВключён="Да",'03_Сеть'!AA7=CAPEXДата),CAPEXРазовый,0)</f>
        <v/>
      </c>
      <c r="AB22" s="5">
        <f>IF(CAPEXВключён="Да",AB21*CAPEXДоля,0)+IF(AND(CAPEXВключён="Да",'03_Сеть'!AB7=CAPEXДата),CAPEXРазовый,0)</f>
        <v/>
      </c>
      <c r="AC22" s="5">
        <f>IF(CAPEXВключён="Да",AC21*CAPEXДоля,0)+IF(AND(CAPEXВключён="Да",'03_Сеть'!AC7=CAPEXДата),CAPEXРазовый,0)</f>
        <v/>
      </c>
      <c r="AD22" s="5">
        <f>IF(CAPEXВключён="Да",AD21*CAPEXДоля,0)+IF(AND(CAPEXВключён="Да",'03_Сеть'!AD7=CAPEXДата),CAPEXРазовый,0)</f>
        <v/>
      </c>
      <c r="AE22" s="5">
        <f>IF(CAPEXВключён="Да",AE21*CAPEXДоля,0)+IF(AND(CAPEXВключён="Да",'03_Сеть'!AE7=CAPEXДата),CAPEXРазовый,0)</f>
        <v/>
      </c>
      <c r="AF22" s="5">
        <f>IF(CAPEXВключён="Да",AF21*CAPEXДоля,0)+IF(AND(CAPEXВключён="Да",'03_Сеть'!AF7=CAPEXДата),CAPEXРазовый,0)</f>
        <v/>
      </c>
      <c r="AG22" s="5">
        <f>IF(CAPEXВключён="Да",AG21*CAPEXДоля,0)+IF(AND(CAPEXВключён="Да",'03_Сеть'!AG7=CAPEXДата),CAPEXРазовый,0)</f>
        <v/>
      </c>
      <c r="AH22" s="5">
        <f>IF(CAPEXВключён="Да",AH21*CAPEXДоля,0)+IF(AND(CAPEXВключён="Да",'03_Сеть'!AH7=CAPEXДата),CAPEXРазовый,0)</f>
        <v/>
      </c>
      <c r="AI22" s="5">
        <f>IF(CAPEXВключён="Да",AI21*CAPEXДоля,0)+IF(AND(CAPEXВключён="Да",'03_Сеть'!AI7=CAPEXДата),CAPEXРазовый,0)</f>
        <v/>
      </c>
      <c r="AJ22" s="5">
        <f>IF(CAPEXВключён="Да",AJ21*CAPEXДоля,0)+IF(AND(CAPEXВключён="Да",'03_Сеть'!AJ7=CAPEXДата),CAPEXРазовый,0)</f>
        <v/>
      </c>
      <c r="AK22" s="5">
        <f>IF(CAPEXВключён="Да",AK21*CAPEXДоля,0)+IF(AND(CAPEXВключён="Да",'03_Сеть'!AK7=CAPEXДата),CAPEXРазовый,0)</f>
        <v/>
      </c>
      <c r="AL22" s="5">
        <f>IF(CAPEXВключён="Да",AL21*CAPEXДоля,0)+IF(AND(CAPEXВключён="Да",'03_Сеть'!AL7=CAPEXДата),CAPEXРазовый,0)</f>
        <v/>
      </c>
      <c r="AM22" s="5">
        <f>IF(CAPEXВключён="Да",AM21*CAPEXДоля,0)+IF(AND(CAPEXВключён="Да",'03_Сеть'!AM7=CAPEXДата),CAPEXРазовый,0)</f>
        <v/>
      </c>
      <c r="AN22" s="5">
        <f>IF(CAPEXВключён="Да",AN21*CAPEXДоля,0)+IF(AND(CAPEXВключён="Да",'03_Сеть'!AN7=CAPEXДата),CAPEXРазовый,0)</f>
        <v/>
      </c>
      <c r="AO22" s="5">
        <f>IF(CAPEXВключён="Да",AO21*CAPEXДоля,0)+IF(AND(CAPEXВключён="Да",'03_Сеть'!AO7=CAPEXДата),CAPEXРазовый,0)</f>
        <v/>
      </c>
      <c r="AP22" s="5">
        <f>IF(CAPEXВключён="Да",AP21*CAPEXДоля,0)+IF(AND(CAPEXВключён="Да",'03_Сеть'!AP7=CAPEXДата),CAPEXРазовый,0)</f>
        <v/>
      </c>
      <c r="AQ22" s="5">
        <f>IF(CAPEXВключён="Да",AQ21*CAPEXДоля,0)+IF(AND(CAPEXВключён="Да",'03_Сеть'!AQ7=CAPEXДата),CAPEXРазовый,0)</f>
        <v/>
      </c>
      <c r="AR22" s="5">
        <f>IF(CAPEXВключён="Да",AR21*CAPEXДоля,0)+IF(AND(CAPEXВключён="Да",'03_Сеть'!AR7=CAPEXДата),CAPEXРазовый,0)</f>
        <v/>
      </c>
      <c r="AS22" s="5">
        <f>IF(CAPEXВключён="Да",AS21*CAPEXДоля,0)+IF(AND(CAPEXВключён="Да",'03_Сеть'!AS7=CAPEXДата),CAPEXРазовый,0)</f>
        <v/>
      </c>
      <c r="AT22" s="5">
        <f>IF(CAPEXВключён="Да",AT21*CAPEXДоля,0)+IF(AND(CAPEXВключён="Да",'03_Сеть'!AT7=CAPEXДата),CAPEXРазовый,0)</f>
        <v/>
      </c>
      <c r="AU22" s="5">
        <f>IF(CAPEXВключён="Да",AU21*CAPEXДоля,0)+IF(AND(CAPEXВключён="Да",'03_Сеть'!AU7=CAPEXДата),CAPEXРазовый,0)</f>
        <v/>
      </c>
      <c r="AV22" s="5">
        <f>IF(CAPEXВключён="Да",AV21*CAPEXДоля,0)+IF(AND(CAPEXВключён="Да",'03_Сеть'!AV7=CAPEXДата),CAPEXРазовый,0)</f>
        <v/>
      </c>
      <c r="AW22" s="5">
        <f>IF(CAPEXВключён="Да",AW21*CAPEXДоля,0)+IF(AND(CAPEXВключён="Да",'03_Сеть'!AW7=CAPEXДата),CAPEXРазовый,0)</f>
        <v/>
      </c>
      <c r="AX22" s="5">
        <f>IF(CAPEXВключён="Да",AX21*CAPEXДоля,0)+IF(AND(CAPEXВключён="Да",'03_Сеть'!AX7=CAPEXДата),CAPEXРазовый,0)</f>
        <v/>
      </c>
      <c r="AY22" s="5">
        <f>IF(CAPEXВключён="Да",AY21*CAPEXДоля,0)+IF(AND(CAPEXВключён="Да",'03_Сеть'!AY7=CAPEXДата),CAPEXРазовый,0)</f>
        <v/>
      </c>
      <c r="AZ22" s="5">
        <f>IF(CAPEXВключён="Да",AZ21*CAPEXДоля,0)+IF(AND(CAPEXВключён="Да",'03_Сеть'!AZ7=CAPEXДата),CAPEXРазовый,0)</f>
        <v/>
      </c>
      <c r="BA22" s="5">
        <f>IF(CAPEXВключён="Да",BA21*CAPEXДоля,0)+IF(AND(CAPEXВключён="Да",'03_Сеть'!BA7=CAPEXДата),CAPEXРазовый,0)</f>
        <v/>
      </c>
      <c r="BB22" s="5">
        <f>IF(CAPEXВключён="Да",BB21*CAPEXДоля,0)+IF(AND(CAPEXВключён="Да",'03_Сеть'!BB7=CAPEXДата),CAPEXРазовый,0)</f>
        <v/>
      </c>
      <c r="BC22" s="5">
        <f>IF(CAPEXВключён="Да",BC21*CAPEXДоля,0)+IF(AND(CAPEXВключён="Да",'03_Сеть'!BC7=CAPEXДата),CAPEXРазовый,0)</f>
        <v/>
      </c>
      <c r="BD22" s="5">
        <f>IF(CAPEXВключён="Да",BD21*CAPEXДоля,0)+IF(AND(CAPEXВключён="Да",'03_Сеть'!BD7=CAPEXДата),CAPEXРазовый,0)</f>
        <v/>
      </c>
      <c r="BE22" s="5">
        <f>IF(CAPEXВключён="Да",BE21*CAPEXДоля,0)+IF(AND(CAPEXВключён="Да",'03_Сеть'!BE7=CAPEXДата),CAPEXРазовый,0)</f>
        <v/>
      </c>
      <c r="BF22" s="5">
        <f>IF(CAPEXВключён="Да",BF21*CAPEXДоля,0)+IF(AND(CAPEXВключён="Да",'03_Сеть'!BF7=CAPEXДата),CAPEXРазовый,0)</f>
        <v/>
      </c>
      <c r="BG22" s="5">
        <f>IF(CAPEXВключён="Да",BG21*CAPEXДоля,0)+IF(AND(CAPEXВключён="Да",'03_Сеть'!BG7=CAPEXДата),CAPEXРазовый,0)</f>
        <v/>
      </c>
      <c r="BH22" s="5">
        <f>IF(CAPEXВключён="Да",BH21*CAPEXДоля,0)+IF(AND(CAPEXВключён="Да",'03_Сеть'!BH7=CAPEXДата),CAPEXРазовый,0)</f>
        <v/>
      </c>
      <c r="BI22" s="5">
        <f>IF(CAPEXВключён="Да",BI21*CAPEXДоля,0)+IF(AND(CAPEXВключён="Да",'03_Сеть'!BI7=CAPEXДата),CAPEXРазовый,0)</f>
        <v/>
      </c>
      <c r="BJ22" s="5">
        <f>IF(CAPEXВключён="Да",BJ21*CAPEXДоля,0)+IF(AND(CAPEXВключён="Да",'03_Сеть'!BJ7=CAPEXДата),CAPEXРазовый,0)</f>
        <v/>
      </c>
      <c r="BK22" s="5">
        <f>IF(CAPEXВключён="Да",BK21*CAPEXДоля,0)+IF(AND(CAPEXВключён="Да",'03_Сеть'!BK7=CAPEXДата),CAPEXРазовый,0)</f>
        <v/>
      </c>
      <c r="BL22" s="5">
        <f>IF(CAPEXВключён="Да",BL21*CAPEXДоля,0)+IF(AND(CAPEXВключён="Да",'03_Сеть'!BL7=CAPEXДата),CAPEXРазовый,0)</f>
        <v/>
      </c>
      <c r="BM22" s="5">
        <f>IF(CAPEXВключён="Да",BM21*CAPEXДоля,0)+IF(AND(CAPEXВключён="Да",'03_Сеть'!BM7=CAPEXДата),CAPEXРазовый,0)</f>
        <v/>
      </c>
      <c r="BN22" s="5">
        <f>IF(CAPEXВключён="Да",BN21*CAPEXДоля,0)+IF(AND(CAPEXВключён="Да",'03_Сеть'!BN7=CAPEXДата),CAPEXРазовый,0)</f>
        <v/>
      </c>
      <c r="BO22" s="5">
        <f>IF(CAPEXВключён="Да",BO21*CAPEXДоля,0)+IF(AND(CAPEXВключён="Да",'03_Сеть'!BO7=CAPEXДата),CAPEXРазовый,0)</f>
        <v/>
      </c>
      <c r="BP22" s="5">
        <f>IF(CAPEXВключён="Да",BP21*CAPEXДоля,0)+IF(AND(CAPEXВключён="Да",'03_Сеть'!BP7=CAPEXДата),CAPEXРазовый,0)</f>
        <v/>
      </c>
      <c r="BQ22" s="5">
        <f>IF(CAPEXВключён="Да",BQ21*CAPEXДоля,0)+IF(AND(CAPEXВключён="Да",'03_Сеть'!BQ7=CAPEXДата),CAPEXРазовый,0)</f>
        <v/>
      </c>
      <c r="BR22" s="5">
        <f>IF(CAPEXВключён="Да",BR21*CAPEXДоля,0)+IF(AND(CAPEXВключён="Да",'03_Сеть'!BR7=CAPEXДата),CAPEXРазовый,0)</f>
        <v/>
      </c>
      <c r="BS22" s="5">
        <f>IF(CAPEXВключён="Да",BS21*CAPEXДоля,0)+IF(AND(CAPEXВключён="Да",'03_Сеть'!BS7=CAPEXДата),CAPEXРазовый,0)</f>
        <v/>
      </c>
      <c r="BT22" s="5">
        <f>IF(CAPEXВключён="Да",BT21*CAPEXДоля,0)+IF(AND(CAPEXВключён="Да",'03_Сеть'!BT7=CAPEXДата),CAPEXРазовый,0)</f>
        <v/>
      </c>
      <c r="BU22" s="5">
        <f>IF(CAPEXВключён="Да",BU21*CAPEXДоля,0)+IF(AND(CAPEXВключён="Да",'03_Сеть'!BU7=CAPEXДата),CAPEXРазовый,0)</f>
        <v/>
      </c>
      <c r="BV22" s="5">
        <f>IF(CAPEXВключён="Да",BV21*CAPEXДоля,0)+IF(AND(CAPEXВключён="Да",'03_Сеть'!BV7=CAPEXДата),CAPEXРазовый,0)</f>
        <v/>
      </c>
      <c r="BW22" s="5">
        <f>IF(CAPEXВключён="Да",BW21*CAPEXДоля,0)+IF(AND(CAPEXВключён="Да",'03_Сеть'!BW7=CAPEXДата),CAPEXРазовый,0)</f>
        <v/>
      </c>
      <c r="BX22" s="5">
        <f>IF(CAPEXВключён="Да",BX21*CAPEXДоля,0)+IF(AND(CAPEXВключён="Да",'03_Сеть'!BX7=CAPEXДата),CAPEXРазовый,0)</f>
        <v/>
      </c>
      <c r="BY22" s="5">
        <f>IF(CAPEXВключён="Да",BY21*CAPEXДоля,0)+IF(AND(CAPEXВключён="Да",'03_Сеть'!BY7=CAPEXДата),CAPEXРазовый,0)</f>
        <v/>
      </c>
    </row>
    <row r="23">
      <c r="B23" t="inlineStr">
        <is>
          <t>УСН / минимальный налог</t>
        </is>
      </c>
      <c r="C23" t="inlineStr">
        <is>
          <t>₽</t>
        </is>
      </c>
      <c r="D23" s="127" t="inlineStr">
        <is>
          <t>Что больше: минимальный налог с выручки или УСН с прибыли</t>
        </is>
      </c>
      <c r="E23" s="129">
        <f>SUM(L23:W23)</f>
        <v/>
      </c>
      <c r="F23" s="129">
        <f>SUM(X23:AI23)</f>
        <v/>
      </c>
      <c r="G23" s="129">
        <f>SUM(AJ23:AU23)</f>
        <v/>
      </c>
      <c r="H23" s="129">
        <f>SUM(AV23:BG23)</f>
        <v/>
      </c>
      <c r="I23" s="129">
        <f>SUM(BH23:BS23)</f>
        <v/>
      </c>
      <c r="J23" s="6">
        <f>SUM(L23:BS23)</f>
        <v/>
      </c>
      <c r="L23" s="5">
        <f>MAX(МинНалог*'02_Результат'!L16,СтавкаУСН*MAX(0,'02_Результат'!L33))</f>
        <v/>
      </c>
      <c r="M23" s="5">
        <f>MAX(МинНалог*'02_Результат'!M16,СтавкаУСН*MAX(0,'02_Результат'!M33))</f>
        <v/>
      </c>
      <c r="N23" s="5">
        <f>MAX(МинНалог*'02_Результат'!N16,СтавкаУСН*MAX(0,'02_Результат'!N33))</f>
        <v/>
      </c>
      <c r="O23" s="5">
        <f>MAX(МинНалог*'02_Результат'!O16,СтавкаУСН*MAX(0,'02_Результат'!O33))</f>
        <v/>
      </c>
      <c r="P23" s="5">
        <f>MAX(МинНалог*'02_Результат'!P16,СтавкаУСН*MAX(0,'02_Результат'!P33))</f>
        <v/>
      </c>
      <c r="Q23" s="5">
        <f>MAX(МинНалог*'02_Результат'!Q16,СтавкаУСН*MAX(0,'02_Результат'!Q33))</f>
        <v/>
      </c>
      <c r="R23" s="5">
        <f>MAX(МинНалог*'02_Результат'!R16,СтавкаУСН*MAX(0,'02_Результат'!R33))</f>
        <v/>
      </c>
      <c r="S23" s="5">
        <f>MAX(МинНалог*'02_Результат'!S16,СтавкаУСН*MAX(0,'02_Результат'!S33))</f>
        <v/>
      </c>
      <c r="T23" s="5">
        <f>MAX(МинНалог*'02_Результат'!T16,СтавкаУСН*MAX(0,'02_Результат'!T33))</f>
        <v/>
      </c>
      <c r="U23" s="5">
        <f>MAX(МинНалог*'02_Результат'!U16,СтавкаУСН*MAX(0,'02_Результат'!U33))</f>
        <v/>
      </c>
      <c r="V23" s="5">
        <f>MAX(МинНалог*'02_Результат'!V16,СтавкаУСН*MAX(0,'02_Результат'!V33))</f>
        <v/>
      </c>
      <c r="W23" s="5">
        <f>MAX(МинНалог*'02_Результат'!W16,СтавкаУСН*MAX(0,'02_Результат'!W33))</f>
        <v/>
      </c>
      <c r="X23" s="5">
        <f>MAX(МинНалог*'02_Результат'!X16,СтавкаУСН*MAX(0,'02_Результат'!X33))</f>
        <v/>
      </c>
      <c r="Y23" s="5">
        <f>MAX(МинНалог*'02_Результат'!Y16,СтавкаУСН*MAX(0,'02_Результат'!Y33))</f>
        <v/>
      </c>
      <c r="Z23" s="5">
        <f>MAX(МинНалог*'02_Результат'!Z16,СтавкаУСН*MAX(0,'02_Результат'!Z33))</f>
        <v/>
      </c>
      <c r="AA23" s="5">
        <f>MAX(МинНалог*'02_Результат'!AA16,СтавкаУСН*MAX(0,'02_Результат'!AA33))</f>
        <v/>
      </c>
      <c r="AB23" s="5">
        <f>MAX(МинНалог*'02_Результат'!AB16,СтавкаУСН*MAX(0,'02_Результат'!AB33))</f>
        <v/>
      </c>
      <c r="AC23" s="5">
        <f>MAX(МинНалог*'02_Результат'!AC16,СтавкаУСН*MAX(0,'02_Результат'!AC33))</f>
        <v/>
      </c>
      <c r="AD23" s="5">
        <f>MAX(МинНалог*'02_Результат'!AD16,СтавкаУСН*MAX(0,'02_Результат'!AD33))</f>
        <v/>
      </c>
      <c r="AE23" s="5">
        <f>MAX(МинНалог*'02_Результат'!AE16,СтавкаУСН*MAX(0,'02_Результат'!AE33))</f>
        <v/>
      </c>
      <c r="AF23" s="5">
        <f>MAX(МинНалог*'02_Результат'!AF16,СтавкаУСН*MAX(0,'02_Результат'!AF33))</f>
        <v/>
      </c>
      <c r="AG23" s="5">
        <f>MAX(МинНалог*'02_Результат'!AG16,СтавкаУСН*MAX(0,'02_Результат'!AG33))</f>
        <v/>
      </c>
      <c r="AH23" s="5">
        <f>MAX(МинНалог*'02_Результат'!AH16,СтавкаУСН*MAX(0,'02_Результат'!AH33))</f>
        <v/>
      </c>
      <c r="AI23" s="5">
        <f>MAX(МинНалог*'02_Результат'!AI16,СтавкаУСН*MAX(0,'02_Результат'!AI33))</f>
        <v/>
      </c>
      <c r="AJ23" s="5">
        <f>MAX(МинНалог*'02_Результат'!AJ16,СтавкаУСН*MAX(0,'02_Результат'!AJ33))</f>
        <v/>
      </c>
      <c r="AK23" s="5">
        <f>MAX(МинНалог*'02_Результат'!AK16,СтавкаУСН*MAX(0,'02_Результат'!AK33))</f>
        <v/>
      </c>
      <c r="AL23" s="5">
        <f>MAX(МинНалог*'02_Результат'!AL16,СтавкаУСН*MAX(0,'02_Результат'!AL33))</f>
        <v/>
      </c>
      <c r="AM23" s="5">
        <f>MAX(МинНалог*'02_Результат'!AM16,СтавкаУСН*MAX(0,'02_Результат'!AM33))</f>
        <v/>
      </c>
      <c r="AN23" s="5">
        <f>MAX(МинНалог*'02_Результат'!AN16,СтавкаУСН*MAX(0,'02_Результат'!AN33))</f>
        <v/>
      </c>
      <c r="AO23" s="5">
        <f>MAX(МинНалог*'02_Результат'!AO16,СтавкаУСН*MAX(0,'02_Результат'!AO33))</f>
        <v/>
      </c>
      <c r="AP23" s="5">
        <f>MAX(МинНалог*'02_Результат'!AP16,СтавкаУСН*MAX(0,'02_Результат'!AP33))</f>
        <v/>
      </c>
      <c r="AQ23" s="5">
        <f>MAX(МинНалог*'02_Результат'!AQ16,СтавкаУСН*MAX(0,'02_Результат'!AQ33))</f>
        <v/>
      </c>
      <c r="AR23" s="5">
        <f>MAX(МинНалог*'02_Результат'!AR16,СтавкаУСН*MAX(0,'02_Результат'!AR33))</f>
        <v/>
      </c>
      <c r="AS23" s="5">
        <f>MAX(МинНалог*'02_Результат'!AS16,СтавкаУСН*MAX(0,'02_Результат'!AS33))</f>
        <v/>
      </c>
      <c r="AT23" s="5">
        <f>MAX(МинНалог*'02_Результат'!AT16,СтавкаУСН*MAX(0,'02_Результат'!AT33))</f>
        <v/>
      </c>
      <c r="AU23" s="5">
        <f>MAX(МинНалог*'02_Результат'!AU16,СтавкаУСН*MAX(0,'02_Результат'!AU33))</f>
        <v/>
      </c>
      <c r="AV23" s="5">
        <f>MAX(МинНалог*'02_Результат'!AV16,СтавкаУСН*MAX(0,'02_Результат'!AV33))</f>
        <v/>
      </c>
      <c r="AW23" s="5">
        <f>MAX(МинНалог*'02_Результат'!AW16,СтавкаУСН*MAX(0,'02_Результат'!AW33))</f>
        <v/>
      </c>
      <c r="AX23" s="5">
        <f>MAX(МинНалог*'02_Результат'!AX16,СтавкаУСН*MAX(0,'02_Результат'!AX33))</f>
        <v/>
      </c>
      <c r="AY23" s="5">
        <f>MAX(МинНалог*'02_Результат'!AY16,СтавкаУСН*MAX(0,'02_Результат'!AY33))</f>
        <v/>
      </c>
      <c r="AZ23" s="5">
        <f>MAX(МинНалог*'02_Результат'!AZ16,СтавкаУСН*MAX(0,'02_Результат'!AZ33))</f>
        <v/>
      </c>
      <c r="BA23" s="5">
        <f>MAX(МинНалог*'02_Результат'!BA16,СтавкаУСН*MAX(0,'02_Результат'!BA33))</f>
        <v/>
      </c>
      <c r="BB23" s="5">
        <f>MAX(МинНалог*'02_Результат'!BB16,СтавкаУСН*MAX(0,'02_Результат'!BB33))</f>
        <v/>
      </c>
      <c r="BC23" s="5">
        <f>MAX(МинНалог*'02_Результат'!BC16,СтавкаУСН*MAX(0,'02_Результат'!BC33))</f>
        <v/>
      </c>
      <c r="BD23" s="5">
        <f>MAX(МинНалог*'02_Результат'!BD16,СтавкаУСН*MAX(0,'02_Результат'!BD33))</f>
        <v/>
      </c>
      <c r="BE23" s="5">
        <f>MAX(МинНалог*'02_Результат'!BE16,СтавкаУСН*MAX(0,'02_Результат'!BE33))</f>
        <v/>
      </c>
      <c r="BF23" s="5">
        <f>MAX(МинНалог*'02_Результат'!BF16,СтавкаУСН*MAX(0,'02_Результат'!BF33))</f>
        <v/>
      </c>
      <c r="BG23" s="5">
        <f>MAX(МинНалог*'02_Результат'!BG16,СтавкаУСН*MAX(0,'02_Результат'!BG33))</f>
        <v/>
      </c>
      <c r="BH23" s="5">
        <f>MAX(МинНалог*'02_Результат'!BH16,СтавкаУСН*MAX(0,'02_Результат'!BH33))</f>
        <v/>
      </c>
      <c r="BI23" s="5">
        <f>MAX(МинНалог*'02_Результат'!BI16,СтавкаУСН*MAX(0,'02_Результат'!BI33))</f>
        <v/>
      </c>
      <c r="BJ23" s="5">
        <f>MAX(МинНалог*'02_Результат'!BJ16,СтавкаУСН*MAX(0,'02_Результат'!BJ33))</f>
        <v/>
      </c>
      <c r="BK23" s="5">
        <f>MAX(МинНалог*'02_Результат'!BK16,СтавкаУСН*MAX(0,'02_Результат'!BK33))</f>
        <v/>
      </c>
      <c r="BL23" s="5">
        <f>MAX(МинНалог*'02_Результат'!BL16,СтавкаУСН*MAX(0,'02_Результат'!BL33))</f>
        <v/>
      </c>
      <c r="BM23" s="5">
        <f>MAX(МинНалог*'02_Результат'!BM16,СтавкаУСН*MAX(0,'02_Результат'!BM33))</f>
        <v/>
      </c>
      <c r="BN23" s="5">
        <f>MAX(МинНалог*'02_Результат'!BN16,СтавкаУСН*MAX(0,'02_Результат'!BN33))</f>
        <v/>
      </c>
      <c r="BO23" s="5">
        <f>MAX(МинНалог*'02_Результат'!BO16,СтавкаУСН*MAX(0,'02_Результат'!BO33))</f>
        <v/>
      </c>
      <c r="BP23" s="5">
        <f>MAX(МинНалог*'02_Результат'!BP16,СтавкаУСН*MAX(0,'02_Результат'!BP33))</f>
        <v/>
      </c>
      <c r="BQ23" s="5">
        <f>MAX(МинНалог*'02_Результат'!BQ16,СтавкаУСН*MAX(0,'02_Результат'!BQ33))</f>
        <v/>
      </c>
      <c r="BR23" s="5">
        <f>MAX(МинНалог*'02_Результат'!BR16,СтавкаУСН*MAX(0,'02_Результат'!BR33))</f>
        <v/>
      </c>
      <c r="BS23" s="5">
        <f>MAX(МинНалог*'02_Результат'!BS16,СтавкаУСН*MAX(0,'02_Результат'!BS33))</f>
        <v/>
      </c>
      <c r="BT23" s="5">
        <f>MAX(МинНалог*'02_Результат'!BT16,СтавкаУСН*MAX(0,'02_Результат'!BT33))</f>
        <v/>
      </c>
      <c r="BU23" s="5">
        <f>MAX(МинНалог*'02_Результат'!BU16,СтавкаУСН*MAX(0,'02_Результат'!BU33))</f>
        <v/>
      </c>
      <c r="BV23" s="5">
        <f>MAX(МинНалог*'02_Результат'!BV16,СтавкаУСН*MAX(0,'02_Результат'!BV33))</f>
        <v/>
      </c>
      <c r="BW23" s="5">
        <f>MAX(МинНалог*'02_Результат'!BW16,СтавкаУСН*MAX(0,'02_Результат'!BW33))</f>
        <v/>
      </c>
      <c r="BX23" s="5">
        <f>MAX(МинНалог*'02_Результат'!BX16,СтавкаУСН*MAX(0,'02_Результат'!BX33))</f>
        <v/>
      </c>
      <c r="BY23" s="5">
        <f>MAX(МинНалог*'02_Результат'!BY16,СтавкаУСН*MAX(0,'02_Результат'!BY33))</f>
        <v/>
      </c>
    </row>
    <row r="24">
      <c r="B24" t="inlineStr">
        <is>
          <t>НДС основной деятельности</t>
        </is>
      </c>
      <c r="C24" t="inlineStr">
        <is>
          <t>₽</t>
        </is>
      </c>
      <c r="D24" s="127" t="inlineStr"/>
      <c r="E24" s="129">
        <f>SUM(L24:W24)</f>
        <v/>
      </c>
      <c r="F24" s="129">
        <f>SUM(X24:AI24)</f>
        <v/>
      </c>
      <c r="G24" s="129">
        <f>SUM(AJ24:AU24)</f>
        <v/>
      </c>
      <c r="H24" s="129">
        <f>SUM(AV24:BG24)</f>
        <v/>
      </c>
      <c r="I24" s="129">
        <f>SUM(BH24:BS24)</f>
        <v/>
      </c>
      <c r="J24" s="6">
        <f>SUM(L24:BS24)</f>
        <v/>
      </c>
      <c r="L24" s="5">
        <f>('02_Результат'!L40+'02_Результат'!L41+'02_Результат'!L42)-('02_Результат'!L40+'02_Результат'!L41+'02_Результат'!L42)/(1+НДС)</f>
        <v/>
      </c>
      <c r="M24" s="5">
        <f>('02_Результат'!M40+'02_Результат'!M41+'02_Результат'!M42)-('02_Результат'!M40+'02_Результат'!M41+'02_Результат'!M42)/(1+НДС)</f>
        <v/>
      </c>
      <c r="N24" s="5">
        <f>('02_Результат'!N40+'02_Результат'!N41+'02_Результат'!N42)-('02_Результат'!N40+'02_Результат'!N41+'02_Результат'!N42)/(1+НДС)</f>
        <v/>
      </c>
      <c r="O24" s="5">
        <f>('02_Результат'!O40+'02_Результат'!O41+'02_Результат'!O42)-('02_Результат'!O40+'02_Результат'!O41+'02_Результат'!O42)/(1+НДС)</f>
        <v/>
      </c>
      <c r="P24" s="5">
        <f>('02_Результат'!P40+'02_Результат'!P41+'02_Результат'!P42)-('02_Результат'!P40+'02_Результат'!P41+'02_Результат'!P42)/(1+НДС)</f>
        <v/>
      </c>
      <c r="Q24" s="5">
        <f>('02_Результат'!Q40+'02_Результат'!Q41+'02_Результат'!Q42)-('02_Результат'!Q40+'02_Результат'!Q41+'02_Результат'!Q42)/(1+НДС)</f>
        <v/>
      </c>
      <c r="R24" s="5">
        <f>('02_Результат'!R40+'02_Результат'!R41+'02_Результат'!R42)-('02_Результат'!R40+'02_Результат'!R41+'02_Результат'!R42)/(1+НДС)</f>
        <v/>
      </c>
      <c r="S24" s="5">
        <f>('02_Результат'!S40+'02_Результат'!S41+'02_Результат'!S42)-('02_Результат'!S40+'02_Результат'!S41+'02_Результат'!S42)/(1+НДС)</f>
        <v/>
      </c>
      <c r="T24" s="5">
        <f>('02_Результат'!T40+'02_Результат'!T41+'02_Результат'!T42)-('02_Результат'!T40+'02_Результат'!T41+'02_Результат'!T42)/(1+НДС)</f>
        <v/>
      </c>
      <c r="U24" s="5">
        <f>('02_Результат'!U40+'02_Результат'!U41+'02_Результат'!U42)-('02_Результат'!U40+'02_Результат'!U41+'02_Результат'!U42)/(1+НДС)</f>
        <v/>
      </c>
      <c r="V24" s="5">
        <f>('02_Результат'!V40+'02_Результат'!V41+'02_Результат'!V42)-('02_Результат'!V40+'02_Результат'!V41+'02_Результат'!V42)/(1+НДС)</f>
        <v/>
      </c>
      <c r="W24" s="5">
        <f>('02_Результат'!W40+'02_Результат'!W41+'02_Результат'!W42)-('02_Результат'!W40+'02_Результат'!W41+'02_Результат'!W42)/(1+НДС)</f>
        <v/>
      </c>
      <c r="X24" s="5">
        <f>('02_Результат'!X40+'02_Результат'!X41+'02_Результат'!X42)-('02_Результат'!X40+'02_Результат'!X41+'02_Результат'!X42)/(1+НДС)</f>
        <v/>
      </c>
      <c r="Y24" s="5">
        <f>('02_Результат'!Y40+'02_Результат'!Y41+'02_Результат'!Y42)-('02_Результат'!Y40+'02_Результат'!Y41+'02_Результат'!Y42)/(1+НДС)</f>
        <v/>
      </c>
      <c r="Z24" s="5">
        <f>('02_Результат'!Z40+'02_Результат'!Z41+'02_Результат'!Z42)-('02_Результат'!Z40+'02_Результат'!Z41+'02_Результат'!Z42)/(1+НДС)</f>
        <v/>
      </c>
      <c r="AA24" s="5">
        <f>('02_Результат'!AA40+'02_Результат'!AA41+'02_Результат'!AA42)-('02_Результат'!AA40+'02_Результат'!AA41+'02_Результат'!AA42)/(1+НДС)</f>
        <v/>
      </c>
      <c r="AB24" s="5">
        <f>('02_Результат'!AB40+'02_Результат'!AB41+'02_Результат'!AB42)-('02_Результат'!AB40+'02_Результат'!AB41+'02_Результат'!AB42)/(1+НДС)</f>
        <v/>
      </c>
      <c r="AC24" s="5">
        <f>('02_Результат'!AC40+'02_Результат'!AC41+'02_Результат'!AC42)-('02_Результат'!AC40+'02_Результат'!AC41+'02_Результат'!AC42)/(1+НДС)</f>
        <v/>
      </c>
      <c r="AD24" s="5">
        <f>('02_Результат'!AD40+'02_Результат'!AD41+'02_Результат'!AD42)-('02_Результат'!AD40+'02_Результат'!AD41+'02_Результат'!AD42)/(1+НДС)</f>
        <v/>
      </c>
      <c r="AE24" s="5">
        <f>('02_Результат'!AE40+'02_Результат'!AE41+'02_Результат'!AE42)-('02_Результат'!AE40+'02_Результат'!AE41+'02_Результат'!AE42)/(1+НДС)</f>
        <v/>
      </c>
      <c r="AF24" s="5">
        <f>('02_Результат'!AF40+'02_Результат'!AF41+'02_Результат'!AF42)-('02_Результат'!AF40+'02_Результат'!AF41+'02_Результат'!AF42)/(1+НДС)</f>
        <v/>
      </c>
      <c r="AG24" s="5">
        <f>('02_Результат'!AG40+'02_Результат'!AG41+'02_Результат'!AG42)-('02_Результат'!AG40+'02_Результат'!AG41+'02_Результат'!AG42)/(1+НДС)</f>
        <v/>
      </c>
      <c r="AH24" s="5">
        <f>('02_Результат'!AH40+'02_Результат'!AH41+'02_Результат'!AH42)-('02_Результат'!AH40+'02_Результат'!AH41+'02_Результат'!AH42)/(1+НДС)</f>
        <v/>
      </c>
      <c r="AI24" s="5">
        <f>('02_Результат'!AI40+'02_Результат'!AI41+'02_Результат'!AI42)-('02_Результат'!AI40+'02_Результат'!AI41+'02_Результат'!AI42)/(1+НДС)</f>
        <v/>
      </c>
      <c r="AJ24" s="5">
        <f>('02_Результат'!AJ40+'02_Результат'!AJ41+'02_Результат'!AJ42)-('02_Результат'!AJ40+'02_Результат'!AJ41+'02_Результат'!AJ42)/(1+НДС)</f>
        <v/>
      </c>
      <c r="AK24" s="5">
        <f>('02_Результат'!AK40+'02_Результат'!AK41+'02_Результат'!AK42)-('02_Результат'!AK40+'02_Результат'!AK41+'02_Результат'!AK42)/(1+НДС)</f>
        <v/>
      </c>
      <c r="AL24" s="5">
        <f>('02_Результат'!AL40+'02_Результат'!AL41+'02_Результат'!AL42)-('02_Результат'!AL40+'02_Результат'!AL41+'02_Результат'!AL42)/(1+НДС)</f>
        <v/>
      </c>
      <c r="AM24" s="5">
        <f>('02_Результат'!AM40+'02_Результат'!AM41+'02_Результат'!AM42)-('02_Результат'!AM40+'02_Результат'!AM41+'02_Результат'!AM42)/(1+НДС)</f>
        <v/>
      </c>
      <c r="AN24" s="5">
        <f>('02_Результат'!AN40+'02_Результат'!AN41+'02_Результат'!AN42)-('02_Результат'!AN40+'02_Результат'!AN41+'02_Результат'!AN42)/(1+НДС)</f>
        <v/>
      </c>
      <c r="AO24" s="5">
        <f>('02_Результат'!AO40+'02_Результат'!AO41+'02_Результат'!AO42)-('02_Результат'!AO40+'02_Результат'!AO41+'02_Результат'!AO42)/(1+НДС)</f>
        <v/>
      </c>
      <c r="AP24" s="5">
        <f>('02_Результат'!AP40+'02_Результат'!AP41+'02_Результат'!AP42)-('02_Результат'!AP40+'02_Результат'!AP41+'02_Результат'!AP42)/(1+НДС)</f>
        <v/>
      </c>
      <c r="AQ24" s="5">
        <f>('02_Результат'!AQ40+'02_Результат'!AQ41+'02_Результат'!AQ42)-('02_Результат'!AQ40+'02_Результат'!AQ41+'02_Результат'!AQ42)/(1+НДС)</f>
        <v/>
      </c>
      <c r="AR24" s="5">
        <f>('02_Результат'!AR40+'02_Результат'!AR41+'02_Результат'!AR42)-('02_Результат'!AR40+'02_Результат'!AR41+'02_Результат'!AR42)/(1+НДС)</f>
        <v/>
      </c>
      <c r="AS24" s="5">
        <f>('02_Результат'!AS40+'02_Результат'!AS41+'02_Результат'!AS42)-('02_Результат'!AS40+'02_Результат'!AS41+'02_Результат'!AS42)/(1+НДС)</f>
        <v/>
      </c>
      <c r="AT24" s="5">
        <f>('02_Результат'!AT40+'02_Результат'!AT41+'02_Результат'!AT42)-('02_Результат'!AT40+'02_Результат'!AT41+'02_Результат'!AT42)/(1+НДС)</f>
        <v/>
      </c>
      <c r="AU24" s="5">
        <f>('02_Результат'!AU40+'02_Результат'!AU41+'02_Результат'!AU42)-('02_Результат'!AU40+'02_Результат'!AU41+'02_Результат'!AU42)/(1+НДС)</f>
        <v/>
      </c>
      <c r="AV24" s="5">
        <f>('02_Результат'!AV40+'02_Результат'!AV41+'02_Результат'!AV42)-('02_Результат'!AV40+'02_Результат'!AV41+'02_Результат'!AV42)/(1+НДС)</f>
        <v/>
      </c>
      <c r="AW24" s="5">
        <f>('02_Результат'!AW40+'02_Результат'!AW41+'02_Результат'!AW42)-('02_Результат'!AW40+'02_Результат'!AW41+'02_Результат'!AW42)/(1+НДС)</f>
        <v/>
      </c>
      <c r="AX24" s="5">
        <f>('02_Результат'!AX40+'02_Результат'!AX41+'02_Результат'!AX42)-('02_Результат'!AX40+'02_Результат'!AX41+'02_Результат'!AX42)/(1+НДС)</f>
        <v/>
      </c>
      <c r="AY24" s="5">
        <f>('02_Результат'!AY40+'02_Результат'!AY41+'02_Результат'!AY42)-('02_Результат'!AY40+'02_Результат'!AY41+'02_Результат'!AY42)/(1+НДС)</f>
        <v/>
      </c>
      <c r="AZ24" s="5">
        <f>('02_Результат'!AZ40+'02_Результат'!AZ41+'02_Результат'!AZ42)-('02_Результат'!AZ40+'02_Результат'!AZ41+'02_Результат'!AZ42)/(1+НДС)</f>
        <v/>
      </c>
      <c r="BA24" s="5">
        <f>('02_Результат'!BA40+'02_Результат'!BA41+'02_Результат'!BA42)-('02_Результат'!BA40+'02_Результат'!BA41+'02_Результат'!BA42)/(1+НДС)</f>
        <v/>
      </c>
      <c r="BB24" s="5">
        <f>('02_Результат'!BB40+'02_Результат'!BB41+'02_Результат'!BB42)-('02_Результат'!BB40+'02_Результат'!BB41+'02_Результат'!BB42)/(1+НДС)</f>
        <v/>
      </c>
      <c r="BC24" s="5">
        <f>('02_Результат'!BC40+'02_Результат'!BC41+'02_Результат'!BC42)-('02_Результат'!BC40+'02_Результат'!BC41+'02_Результат'!BC42)/(1+НДС)</f>
        <v/>
      </c>
      <c r="BD24" s="5">
        <f>('02_Результат'!BD40+'02_Результат'!BD41+'02_Результат'!BD42)-('02_Результат'!BD40+'02_Результат'!BD41+'02_Результат'!BD42)/(1+НДС)</f>
        <v/>
      </c>
      <c r="BE24" s="5">
        <f>('02_Результат'!BE40+'02_Результат'!BE41+'02_Результат'!BE42)-('02_Результат'!BE40+'02_Результат'!BE41+'02_Результат'!BE42)/(1+НДС)</f>
        <v/>
      </c>
      <c r="BF24" s="5">
        <f>('02_Результат'!BF40+'02_Результат'!BF41+'02_Результат'!BF42)-('02_Результат'!BF40+'02_Результат'!BF41+'02_Результат'!BF42)/(1+НДС)</f>
        <v/>
      </c>
      <c r="BG24" s="5">
        <f>('02_Результат'!BG40+'02_Результат'!BG41+'02_Результат'!BG42)-('02_Результат'!BG40+'02_Результат'!BG41+'02_Результат'!BG42)/(1+НДС)</f>
        <v/>
      </c>
      <c r="BH24" s="5">
        <f>('02_Результат'!BH40+'02_Результат'!BH41+'02_Результат'!BH42)-('02_Результат'!BH40+'02_Результат'!BH41+'02_Результат'!BH42)/(1+НДС)</f>
        <v/>
      </c>
      <c r="BI24" s="5">
        <f>('02_Результат'!BI40+'02_Результат'!BI41+'02_Результат'!BI42)-('02_Результат'!BI40+'02_Результат'!BI41+'02_Результат'!BI42)/(1+НДС)</f>
        <v/>
      </c>
      <c r="BJ24" s="5">
        <f>('02_Результат'!BJ40+'02_Результат'!BJ41+'02_Результат'!BJ42)-('02_Результат'!BJ40+'02_Результат'!BJ41+'02_Результат'!BJ42)/(1+НДС)</f>
        <v/>
      </c>
      <c r="BK24" s="5">
        <f>('02_Результат'!BK40+'02_Результат'!BK41+'02_Результат'!BK42)-('02_Результат'!BK40+'02_Результат'!BK41+'02_Результат'!BK42)/(1+НДС)</f>
        <v/>
      </c>
      <c r="BL24" s="5">
        <f>('02_Результат'!BL40+'02_Результат'!BL41+'02_Результат'!BL42)-('02_Результат'!BL40+'02_Результат'!BL41+'02_Результат'!BL42)/(1+НДС)</f>
        <v/>
      </c>
      <c r="BM24" s="5">
        <f>('02_Результат'!BM40+'02_Результат'!BM41+'02_Результат'!BM42)-('02_Результат'!BM40+'02_Результат'!BM41+'02_Результат'!BM42)/(1+НДС)</f>
        <v/>
      </c>
      <c r="BN24" s="5">
        <f>('02_Результат'!BN40+'02_Результат'!BN41+'02_Результат'!BN42)-('02_Результат'!BN40+'02_Результат'!BN41+'02_Результат'!BN42)/(1+НДС)</f>
        <v/>
      </c>
      <c r="BO24" s="5">
        <f>('02_Результат'!BO40+'02_Результат'!BO41+'02_Результат'!BO42)-('02_Результат'!BO40+'02_Результат'!BO41+'02_Результат'!BO42)/(1+НДС)</f>
        <v/>
      </c>
      <c r="BP24" s="5">
        <f>('02_Результат'!BP40+'02_Результат'!BP41+'02_Результат'!BP42)-('02_Результат'!BP40+'02_Результат'!BP41+'02_Результат'!BP42)/(1+НДС)</f>
        <v/>
      </c>
      <c r="BQ24" s="5">
        <f>('02_Результат'!BQ40+'02_Результат'!BQ41+'02_Результат'!BQ42)-('02_Результат'!BQ40+'02_Результат'!BQ41+'02_Результат'!BQ42)/(1+НДС)</f>
        <v/>
      </c>
      <c r="BR24" s="5">
        <f>('02_Результат'!BR40+'02_Результат'!BR41+'02_Результат'!BR42)-('02_Результат'!BR40+'02_Результат'!BR41+'02_Результат'!BR42)/(1+НДС)</f>
        <v/>
      </c>
      <c r="BS24" s="5">
        <f>('02_Результат'!BS40+'02_Результат'!BS41+'02_Результат'!BS42)-('02_Результат'!BS40+'02_Результат'!BS41+'02_Результат'!BS42)/(1+НДС)</f>
        <v/>
      </c>
      <c r="BT24" s="5">
        <f>('02_Результат'!BT40+'02_Результат'!BT41+'02_Результат'!BT42)-('02_Результат'!BT40+'02_Результат'!BT41+'02_Результат'!BT42)/(1+НДС)</f>
        <v/>
      </c>
      <c r="BU24" s="5">
        <f>('02_Результат'!BU40+'02_Результат'!BU41+'02_Результат'!BU42)-('02_Результат'!BU40+'02_Результат'!BU41+'02_Результат'!BU42)/(1+НДС)</f>
        <v/>
      </c>
      <c r="BV24" s="5">
        <f>('02_Результат'!BV40+'02_Результат'!BV41+'02_Результат'!BV42)-('02_Результат'!BV40+'02_Результат'!BV41+'02_Результат'!BV42)/(1+НДС)</f>
        <v/>
      </c>
      <c r="BW24" s="5">
        <f>('02_Результат'!BW40+'02_Результат'!BW41+'02_Результат'!BW42)-('02_Результат'!BW40+'02_Результат'!BW41+'02_Результат'!BW42)/(1+НДС)</f>
        <v/>
      </c>
      <c r="BX24" s="5">
        <f>('02_Результат'!BX40+'02_Результат'!BX41+'02_Результат'!BX42)-('02_Результат'!BX40+'02_Результат'!BX41+'02_Результат'!BX42)/(1+НДС)</f>
        <v/>
      </c>
      <c r="BY24" s="5">
        <f>('02_Результат'!BY40+'02_Результат'!BY41+'02_Результат'!BY42)-('02_Результат'!BY40+'02_Результат'!BY41+'02_Результат'!BY42)/(1+НДС)</f>
        <v/>
      </c>
    </row>
    <row r="25"/>
    <row r="26">
      <c r="B26" s="125" t="inlineStr">
        <is>
          <t>Оборотный капитал</t>
        </is>
      </c>
      <c r="C26" s="126" t="n"/>
      <c r="D26" s="126" t="n"/>
      <c r="E26" s="126" t="n"/>
      <c r="F26" s="126" t="n"/>
      <c r="G26" s="126" t="n"/>
      <c r="H26" s="126" t="n"/>
      <c r="I26" s="126" t="n"/>
      <c r="J26" s="126" t="n"/>
      <c r="K26" s="126" t="n"/>
      <c r="L26" s="126" t="n"/>
      <c r="M26" s="126" t="n"/>
      <c r="N26" s="126" t="n"/>
      <c r="O26" s="126" t="n"/>
      <c r="P26" s="126" t="n"/>
      <c r="Q26" s="126" t="n"/>
      <c r="R26" s="126" t="n"/>
      <c r="S26" s="126" t="n"/>
      <c r="T26" s="126" t="n"/>
      <c r="U26" s="126" t="n"/>
      <c r="V26" s="126" t="n"/>
      <c r="W26" s="126" t="n"/>
      <c r="X26" s="126" t="n"/>
      <c r="Y26" s="126" t="n"/>
      <c r="Z26" s="126" t="n"/>
      <c r="AA26" s="126" t="n"/>
      <c r="AB26" s="126" t="n"/>
      <c r="AC26" s="126" t="n"/>
      <c r="AD26" s="126" t="n"/>
      <c r="AE26" s="126" t="n"/>
      <c r="AF26" s="126" t="n"/>
      <c r="AG26" s="126" t="n"/>
      <c r="AH26" s="126" t="n"/>
      <c r="AI26" s="126" t="n"/>
      <c r="AJ26" s="126" t="n"/>
      <c r="AK26" s="126" t="n"/>
      <c r="AL26" s="126" t="n"/>
      <c r="AM26" s="126" t="n"/>
      <c r="AN26" s="126" t="n"/>
      <c r="AO26" s="126" t="n"/>
      <c r="AP26" s="126" t="n"/>
      <c r="AQ26" s="126" t="n"/>
      <c r="AR26" s="126" t="n"/>
      <c r="AS26" s="126" t="n"/>
      <c r="AT26" s="126" t="n"/>
      <c r="AU26" s="126" t="n"/>
      <c r="AV26" s="126" t="n"/>
      <c r="AW26" s="126" t="n"/>
      <c r="AX26" s="126" t="n"/>
      <c r="AY26" s="126" t="n"/>
      <c r="AZ26" s="126" t="n"/>
      <c r="BA26" s="126" t="n"/>
      <c r="BB26" s="126" t="n"/>
      <c r="BC26" s="126" t="n"/>
      <c r="BD26" s="126" t="n"/>
      <c r="BE26" s="126" t="n"/>
      <c r="BF26" s="126" t="n"/>
      <c r="BG26" s="126" t="n"/>
      <c r="BH26" s="126" t="n"/>
      <c r="BI26" s="126" t="n"/>
      <c r="BJ26" s="126" t="n"/>
      <c r="BK26" s="126" t="n"/>
      <c r="BL26" s="126" t="n"/>
      <c r="BM26" s="126" t="n"/>
      <c r="BN26" s="126" t="n"/>
      <c r="BO26" s="126" t="n"/>
      <c r="BP26" s="126" t="n"/>
      <c r="BQ26" s="126" t="n"/>
      <c r="BR26" s="126" t="n"/>
      <c r="BS26" s="126" t="n"/>
      <c r="BT26" s="126" t="n"/>
      <c r="BU26" s="126" t="n"/>
      <c r="BV26" s="126" t="n"/>
      <c r="BW26" s="126" t="n"/>
      <c r="BX26" s="126" t="n"/>
      <c r="BY26" s="126" t="n"/>
    </row>
    <row r="27">
      <c r="B27" t="inlineStr">
        <is>
          <t>Дебиторка роялти на конец</t>
        </is>
      </c>
      <c r="C27" t="inlineStr">
        <is>
          <t>₽</t>
        </is>
      </c>
      <c r="D27" s="127" t="inlineStr">
        <is>
          <t>Начислили минус получили В колонках лет — значение на конец года, в «Итого» — на конец пятого года. Это остаток, а не сумма.</t>
        </is>
      </c>
      <c r="E27" s="129">
        <f>W27</f>
        <v/>
      </c>
      <c r="F27" s="129">
        <f>AI27</f>
        <v/>
      </c>
      <c r="G27" s="129">
        <f>AU27</f>
        <v/>
      </c>
      <c r="H27" s="129">
        <f>BG27</f>
        <v/>
      </c>
      <c r="I27" s="129">
        <f>BS27</f>
        <v/>
      </c>
      <c r="J27" s="6">
        <f>BS27</f>
        <v/>
      </c>
      <c r="L27" s="5">
        <f>'04_Доходы'!$L103/(1+НДС)-'02_Результат'!L41/(1+НДС)</f>
        <v/>
      </c>
      <c r="M27" s="5">
        <f>L27+'04_Доходы'!M103/(1+НДС)-'02_Результат'!M41/(1+НДС)</f>
        <v/>
      </c>
      <c r="N27" s="5">
        <f>M27+'04_Доходы'!N103/(1+НДС)-'02_Результат'!N41/(1+НДС)</f>
        <v/>
      </c>
      <c r="O27" s="5">
        <f>N27+'04_Доходы'!O103/(1+НДС)-'02_Результат'!O41/(1+НДС)</f>
        <v/>
      </c>
      <c r="P27" s="5">
        <f>O27+'04_Доходы'!P103/(1+НДС)-'02_Результат'!P41/(1+НДС)</f>
        <v/>
      </c>
      <c r="Q27" s="5">
        <f>P27+'04_Доходы'!Q103/(1+НДС)-'02_Результат'!Q41/(1+НДС)</f>
        <v/>
      </c>
      <c r="R27" s="5">
        <f>Q27+'04_Доходы'!R103/(1+НДС)-'02_Результат'!R41/(1+НДС)</f>
        <v/>
      </c>
      <c r="S27" s="5">
        <f>R27+'04_Доходы'!S103/(1+НДС)-'02_Результат'!S41/(1+НДС)</f>
        <v/>
      </c>
      <c r="T27" s="5">
        <f>S27+'04_Доходы'!T103/(1+НДС)-'02_Результат'!T41/(1+НДС)</f>
        <v/>
      </c>
      <c r="U27" s="5">
        <f>T27+'04_Доходы'!U103/(1+НДС)-'02_Результат'!U41/(1+НДС)</f>
        <v/>
      </c>
      <c r="V27" s="5">
        <f>U27+'04_Доходы'!V103/(1+НДС)-'02_Результат'!V41/(1+НДС)</f>
        <v/>
      </c>
      <c r="W27" s="5">
        <f>V27+'04_Доходы'!W103/(1+НДС)-'02_Результат'!W41/(1+НДС)</f>
        <v/>
      </c>
      <c r="X27" s="5">
        <f>W27+'04_Доходы'!X103/(1+НДС)-'02_Результат'!X41/(1+НДС)</f>
        <v/>
      </c>
      <c r="Y27" s="5">
        <f>X27+'04_Доходы'!Y103/(1+НДС)-'02_Результат'!Y41/(1+НДС)</f>
        <v/>
      </c>
      <c r="Z27" s="5">
        <f>Y27+'04_Доходы'!Z103/(1+НДС)-'02_Результат'!Z41/(1+НДС)</f>
        <v/>
      </c>
      <c r="AA27" s="5">
        <f>Z27+'04_Доходы'!AA103/(1+НДС)-'02_Результат'!AA41/(1+НДС)</f>
        <v/>
      </c>
      <c r="AB27" s="5">
        <f>AA27+'04_Доходы'!AB103/(1+НДС)-'02_Результат'!AB41/(1+НДС)</f>
        <v/>
      </c>
      <c r="AC27" s="5">
        <f>AB27+'04_Доходы'!AC103/(1+НДС)-'02_Результат'!AC41/(1+НДС)</f>
        <v/>
      </c>
      <c r="AD27" s="5">
        <f>AC27+'04_Доходы'!AD103/(1+НДС)-'02_Результат'!AD41/(1+НДС)</f>
        <v/>
      </c>
      <c r="AE27" s="5">
        <f>AD27+'04_Доходы'!AE103/(1+НДС)-'02_Результат'!AE41/(1+НДС)</f>
        <v/>
      </c>
      <c r="AF27" s="5">
        <f>AE27+'04_Доходы'!AF103/(1+НДС)-'02_Результат'!AF41/(1+НДС)</f>
        <v/>
      </c>
      <c r="AG27" s="5">
        <f>AF27+'04_Доходы'!AG103/(1+НДС)-'02_Результат'!AG41/(1+НДС)</f>
        <v/>
      </c>
      <c r="AH27" s="5">
        <f>AG27+'04_Доходы'!AH103/(1+НДС)-'02_Результат'!AH41/(1+НДС)</f>
        <v/>
      </c>
      <c r="AI27" s="5">
        <f>AH27+'04_Доходы'!AI103/(1+НДС)-'02_Результат'!AI41/(1+НДС)</f>
        <v/>
      </c>
      <c r="AJ27" s="5">
        <f>AI27+'04_Доходы'!AJ103/(1+НДС)-'02_Результат'!AJ41/(1+НДС)</f>
        <v/>
      </c>
      <c r="AK27" s="5">
        <f>AJ27+'04_Доходы'!AK103/(1+НДС)-'02_Результат'!AK41/(1+НДС)</f>
        <v/>
      </c>
      <c r="AL27" s="5">
        <f>AK27+'04_Доходы'!AL103/(1+НДС)-'02_Результат'!AL41/(1+НДС)</f>
        <v/>
      </c>
      <c r="AM27" s="5">
        <f>AL27+'04_Доходы'!AM103/(1+НДС)-'02_Результат'!AM41/(1+НДС)</f>
        <v/>
      </c>
      <c r="AN27" s="5">
        <f>AM27+'04_Доходы'!AN103/(1+НДС)-'02_Результат'!AN41/(1+НДС)</f>
        <v/>
      </c>
      <c r="AO27" s="5">
        <f>AN27+'04_Доходы'!AO103/(1+НДС)-'02_Результат'!AO41/(1+НДС)</f>
        <v/>
      </c>
      <c r="AP27" s="5">
        <f>AO27+'04_Доходы'!AP103/(1+НДС)-'02_Результат'!AP41/(1+НДС)</f>
        <v/>
      </c>
      <c r="AQ27" s="5">
        <f>AP27+'04_Доходы'!AQ103/(1+НДС)-'02_Результат'!AQ41/(1+НДС)</f>
        <v/>
      </c>
      <c r="AR27" s="5">
        <f>AQ27+'04_Доходы'!AR103/(1+НДС)-'02_Результат'!AR41/(1+НДС)</f>
        <v/>
      </c>
      <c r="AS27" s="5">
        <f>AR27+'04_Доходы'!AS103/(1+НДС)-'02_Результат'!AS41/(1+НДС)</f>
        <v/>
      </c>
      <c r="AT27" s="5">
        <f>AS27+'04_Доходы'!AT103/(1+НДС)-'02_Результат'!AT41/(1+НДС)</f>
        <v/>
      </c>
      <c r="AU27" s="5">
        <f>AT27+'04_Доходы'!AU103/(1+НДС)-'02_Результат'!AU41/(1+НДС)</f>
        <v/>
      </c>
      <c r="AV27" s="5">
        <f>AU27+'04_Доходы'!AV103/(1+НДС)-'02_Результат'!AV41/(1+НДС)</f>
        <v/>
      </c>
      <c r="AW27" s="5">
        <f>AV27+'04_Доходы'!AW103/(1+НДС)-'02_Результат'!AW41/(1+НДС)</f>
        <v/>
      </c>
      <c r="AX27" s="5">
        <f>AW27+'04_Доходы'!AX103/(1+НДС)-'02_Результат'!AX41/(1+НДС)</f>
        <v/>
      </c>
      <c r="AY27" s="5">
        <f>AX27+'04_Доходы'!AY103/(1+НДС)-'02_Результат'!AY41/(1+НДС)</f>
        <v/>
      </c>
      <c r="AZ27" s="5">
        <f>AY27+'04_Доходы'!AZ103/(1+НДС)-'02_Результат'!AZ41/(1+НДС)</f>
        <v/>
      </c>
      <c r="BA27" s="5">
        <f>AZ27+'04_Доходы'!BA103/(1+НДС)-'02_Результат'!BA41/(1+НДС)</f>
        <v/>
      </c>
      <c r="BB27" s="5">
        <f>BA27+'04_Доходы'!BB103/(1+НДС)-'02_Результат'!BB41/(1+НДС)</f>
        <v/>
      </c>
      <c r="BC27" s="5">
        <f>BB27+'04_Доходы'!BC103/(1+НДС)-'02_Результат'!BC41/(1+НДС)</f>
        <v/>
      </c>
      <c r="BD27" s="5">
        <f>BC27+'04_Доходы'!BD103/(1+НДС)-'02_Результат'!BD41/(1+НДС)</f>
        <v/>
      </c>
      <c r="BE27" s="5">
        <f>BD27+'04_Доходы'!BE103/(1+НДС)-'02_Результат'!BE41/(1+НДС)</f>
        <v/>
      </c>
      <c r="BF27" s="5">
        <f>BE27+'04_Доходы'!BF103/(1+НДС)-'02_Результат'!BF41/(1+НДС)</f>
        <v/>
      </c>
      <c r="BG27" s="5">
        <f>BF27+'04_Доходы'!BG103/(1+НДС)-'02_Результат'!BG41/(1+НДС)</f>
        <v/>
      </c>
      <c r="BH27" s="5">
        <f>BG27+'04_Доходы'!BH103/(1+НДС)-'02_Результат'!BH41/(1+НДС)</f>
        <v/>
      </c>
      <c r="BI27" s="5">
        <f>BH27+'04_Доходы'!BI103/(1+НДС)-'02_Результат'!BI41/(1+НДС)</f>
        <v/>
      </c>
      <c r="BJ27" s="5">
        <f>BI27+'04_Доходы'!BJ103/(1+НДС)-'02_Результат'!BJ41/(1+НДС)</f>
        <v/>
      </c>
      <c r="BK27" s="5">
        <f>BJ27+'04_Доходы'!BK103/(1+НДС)-'02_Результат'!BK41/(1+НДС)</f>
        <v/>
      </c>
      <c r="BL27" s="5">
        <f>BK27+'04_Доходы'!BL103/(1+НДС)-'02_Результат'!BL41/(1+НДС)</f>
        <v/>
      </c>
      <c r="BM27" s="5">
        <f>BL27+'04_Доходы'!BM103/(1+НДС)-'02_Результат'!BM41/(1+НДС)</f>
        <v/>
      </c>
      <c r="BN27" s="5">
        <f>BM27+'04_Доходы'!BN103/(1+НДС)-'02_Результат'!BN41/(1+НДС)</f>
        <v/>
      </c>
      <c r="BO27" s="5">
        <f>BN27+'04_Доходы'!BO103/(1+НДС)-'02_Результат'!BO41/(1+НДС)</f>
        <v/>
      </c>
      <c r="BP27" s="5">
        <f>BO27+'04_Доходы'!BP103/(1+НДС)-'02_Результат'!BP41/(1+НДС)</f>
        <v/>
      </c>
      <c r="BQ27" s="5">
        <f>BP27+'04_Доходы'!BQ103/(1+НДС)-'02_Результат'!BQ41/(1+НДС)</f>
        <v/>
      </c>
      <c r="BR27" s="5">
        <f>BQ27+'04_Доходы'!BR103/(1+НДС)-'02_Результат'!BR41/(1+НДС)</f>
        <v/>
      </c>
      <c r="BS27" s="5">
        <f>BR27+'04_Доходы'!BS103/(1+НДС)-'02_Результат'!BS41/(1+НДС)</f>
        <v/>
      </c>
      <c r="BT27" s="5">
        <f>BS27+'04_Доходы'!BT103/(1+НДС)-'02_Результат'!BT41/(1+НДС)</f>
        <v/>
      </c>
      <c r="BU27" s="5">
        <f>BT27+'04_Доходы'!BU103/(1+НДС)-'02_Результат'!BU41/(1+НДС)</f>
        <v/>
      </c>
      <c r="BV27" s="5">
        <f>BU27+'04_Доходы'!BV103/(1+НДС)-'02_Результат'!BV41/(1+НДС)</f>
        <v/>
      </c>
      <c r="BW27" s="5">
        <f>BV27+'04_Доходы'!BW103/(1+НДС)-'02_Результат'!BW41/(1+НДС)</f>
        <v/>
      </c>
      <c r="BX27" s="5">
        <f>BW27+'04_Доходы'!BX103/(1+НДС)-'02_Результат'!BX41/(1+НДС)</f>
        <v/>
      </c>
      <c r="BY27" s="5">
        <f>BX27+'04_Доходы'!BY103/(1+НДС)-'02_Результат'!BY41/(1+НДС)</f>
        <v/>
      </c>
    </row>
    <row r="28">
      <c r="B28" t="inlineStr">
        <is>
          <t>Кредиторка перед поставщиками</t>
        </is>
      </c>
      <c r="C28" t="inlineStr">
        <is>
          <t>₽</t>
        </is>
      </c>
      <c r="D28" s="127" t="inlineStr">
        <is>
          <t>Начислили минус оплатили В колонках лет — значение на конец года, в «Итого» — на конец пятого года. Это остаток, а не сумма.</t>
        </is>
      </c>
      <c r="E28" s="129">
        <f>W28</f>
        <v/>
      </c>
      <c r="F28" s="129">
        <f>AI28</f>
        <v/>
      </c>
      <c r="G28" s="129">
        <f>AU28</f>
        <v/>
      </c>
      <c r="H28" s="129">
        <f>BG28</f>
        <v/>
      </c>
      <c r="I28" s="129">
        <f>BS28</f>
        <v/>
      </c>
      <c r="J28" s="6">
        <f>BS28</f>
        <v/>
      </c>
      <c r="L28" s="5">
        <f>'05_Расходы'!$L44+$L10-'02_Результат'!L47</f>
        <v/>
      </c>
      <c r="M28" s="5">
        <f>L28+'05_Расходы'!M44+M10-'02_Результат'!M47</f>
        <v/>
      </c>
      <c r="N28" s="5">
        <f>M28+'05_Расходы'!N44+N10-'02_Результат'!N47</f>
        <v/>
      </c>
      <c r="O28" s="5">
        <f>N28+'05_Расходы'!O44+O10-'02_Результат'!O47</f>
        <v/>
      </c>
      <c r="P28" s="5">
        <f>O28+'05_Расходы'!P44+P10-'02_Результат'!P47</f>
        <v/>
      </c>
      <c r="Q28" s="5">
        <f>P28+'05_Расходы'!Q44+Q10-'02_Результат'!Q47</f>
        <v/>
      </c>
      <c r="R28" s="5">
        <f>Q28+'05_Расходы'!R44+R10-'02_Результат'!R47</f>
        <v/>
      </c>
      <c r="S28" s="5">
        <f>R28+'05_Расходы'!S44+S10-'02_Результат'!S47</f>
        <v/>
      </c>
      <c r="T28" s="5">
        <f>S28+'05_Расходы'!T44+T10-'02_Результат'!T47</f>
        <v/>
      </c>
      <c r="U28" s="5">
        <f>T28+'05_Расходы'!U44+U10-'02_Результат'!U47</f>
        <v/>
      </c>
      <c r="V28" s="5">
        <f>U28+'05_Расходы'!V44+V10-'02_Результат'!V47</f>
        <v/>
      </c>
      <c r="W28" s="5">
        <f>V28+'05_Расходы'!W44+W10-'02_Результат'!W47</f>
        <v/>
      </c>
      <c r="X28" s="5">
        <f>W28+'05_Расходы'!X44+X10-'02_Результат'!X47</f>
        <v/>
      </c>
      <c r="Y28" s="5">
        <f>X28+'05_Расходы'!Y44+Y10-'02_Результат'!Y47</f>
        <v/>
      </c>
      <c r="Z28" s="5">
        <f>Y28+'05_Расходы'!Z44+Z10-'02_Результат'!Z47</f>
        <v/>
      </c>
      <c r="AA28" s="5">
        <f>Z28+'05_Расходы'!AA44+AA10-'02_Результат'!AA47</f>
        <v/>
      </c>
      <c r="AB28" s="5">
        <f>AA28+'05_Расходы'!AB44+AB10-'02_Результат'!AB47</f>
        <v/>
      </c>
      <c r="AC28" s="5">
        <f>AB28+'05_Расходы'!AC44+AC10-'02_Результат'!AC47</f>
        <v/>
      </c>
      <c r="AD28" s="5">
        <f>AC28+'05_Расходы'!AD44+AD10-'02_Результат'!AD47</f>
        <v/>
      </c>
      <c r="AE28" s="5">
        <f>AD28+'05_Расходы'!AE44+AE10-'02_Результат'!AE47</f>
        <v/>
      </c>
      <c r="AF28" s="5">
        <f>AE28+'05_Расходы'!AF44+AF10-'02_Результат'!AF47</f>
        <v/>
      </c>
      <c r="AG28" s="5">
        <f>AF28+'05_Расходы'!AG44+AG10-'02_Результат'!AG47</f>
        <v/>
      </c>
      <c r="AH28" s="5">
        <f>AG28+'05_Расходы'!AH44+AH10-'02_Результат'!AH47</f>
        <v/>
      </c>
      <c r="AI28" s="5">
        <f>AH28+'05_Расходы'!AI44+AI10-'02_Результат'!AI47</f>
        <v/>
      </c>
      <c r="AJ28" s="5">
        <f>AI28+'05_Расходы'!AJ44+AJ10-'02_Результат'!AJ47</f>
        <v/>
      </c>
      <c r="AK28" s="5">
        <f>AJ28+'05_Расходы'!AK44+AK10-'02_Результат'!AK47</f>
        <v/>
      </c>
      <c r="AL28" s="5">
        <f>AK28+'05_Расходы'!AL44+AL10-'02_Результат'!AL47</f>
        <v/>
      </c>
      <c r="AM28" s="5">
        <f>AL28+'05_Расходы'!AM44+AM10-'02_Результат'!AM47</f>
        <v/>
      </c>
      <c r="AN28" s="5">
        <f>AM28+'05_Расходы'!AN44+AN10-'02_Результат'!AN47</f>
        <v/>
      </c>
      <c r="AO28" s="5">
        <f>AN28+'05_Расходы'!AO44+AO10-'02_Результат'!AO47</f>
        <v/>
      </c>
      <c r="AP28" s="5">
        <f>AO28+'05_Расходы'!AP44+AP10-'02_Результат'!AP47</f>
        <v/>
      </c>
      <c r="AQ28" s="5">
        <f>AP28+'05_Расходы'!AQ44+AQ10-'02_Результат'!AQ47</f>
        <v/>
      </c>
      <c r="AR28" s="5">
        <f>AQ28+'05_Расходы'!AR44+AR10-'02_Результат'!AR47</f>
        <v/>
      </c>
      <c r="AS28" s="5">
        <f>AR28+'05_Расходы'!AS44+AS10-'02_Результат'!AS47</f>
        <v/>
      </c>
      <c r="AT28" s="5">
        <f>AS28+'05_Расходы'!AT44+AT10-'02_Результат'!AT47</f>
        <v/>
      </c>
      <c r="AU28" s="5">
        <f>AT28+'05_Расходы'!AU44+AU10-'02_Результат'!AU47</f>
        <v/>
      </c>
      <c r="AV28" s="5">
        <f>AU28+'05_Расходы'!AV44+AV10-'02_Результат'!AV47</f>
        <v/>
      </c>
      <c r="AW28" s="5">
        <f>AV28+'05_Расходы'!AW44+AW10-'02_Результат'!AW47</f>
        <v/>
      </c>
      <c r="AX28" s="5">
        <f>AW28+'05_Расходы'!AX44+AX10-'02_Результат'!AX47</f>
        <v/>
      </c>
      <c r="AY28" s="5">
        <f>AX28+'05_Расходы'!AY44+AY10-'02_Результат'!AY47</f>
        <v/>
      </c>
      <c r="AZ28" s="5">
        <f>AY28+'05_Расходы'!AZ44+AZ10-'02_Результат'!AZ47</f>
        <v/>
      </c>
      <c r="BA28" s="5">
        <f>AZ28+'05_Расходы'!BA44+BA10-'02_Результат'!BA47</f>
        <v/>
      </c>
      <c r="BB28" s="5">
        <f>BA28+'05_Расходы'!BB44+BB10-'02_Результат'!BB47</f>
        <v/>
      </c>
      <c r="BC28" s="5">
        <f>BB28+'05_Расходы'!BC44+BC10-'02_Результат'!BC47</f>
        <v/>
      </c>
      <c r="BD28" s="5">
        <f>BC28+'05_Расходы'!BD44+BD10-'02_Результат'!BD47</f>
        <v/>
      </c>
      <c r="BE28" s="5">
        <f>BD28+'05_Расходы'!BE44+BE10-'02_Результат'!BE47</f>
        <v/>
      </c>
      <c r="BF28" s="5">
        <f>BE28+'05_Расходы'!BF44+BF10-'02_Результат'!BF47</f>
        <v/>
      </c>
      <c r="BG28" s="5">
        <f>BF28+'05_Расходы'!BG44+BG10-'02_Результат'!BG47</f>
        <v/>
      </c>
      <c r="BH28" s="5">
        <f>BG28+'05_Расходы'!BH44+BH10-'02_Результат'!BH47</f>
        <v/>
      </c>
      <c r="BI28" s="5">
        <f>BH28+'05_Расходы'!BI44+BI10-'02_Результат'!BI47</f>
        <v/>
      </c>
      <c r="BJ28" s="5">
        <f>BI28+'05_Расходы'!BJ44+BJ10-'02_Результат'!BJ47</f>
        <v/>
      </c>
      <c r="BK28" s="5">
        <f>BJ28+'05_Расходы'!BK44+BK10-'02_Результат'!BK47</f>
        <v/>
      </c>
      <c r="BL28" s="5">
        <f>BK28+'05_Расходы'!BL44+BL10-'02_Результат'!BL47</f>
        <v/>
      </c>
      <c r="BM28" s="5">
        <f>BL28+'05_Расходы'!BM44+BM10-'02_Результат'!BM47</f>
        <v/>
      </c>
      <c r="BN28" s="5">
        <f>BM28+'05_Расходы'!BN44+BN10-'02_Результат'!BN47</f>
        <v/>
      </c>
      <c r="BO28" s="5">
        <f>BN28+'05_Расходы'!BO44+BO10-'02_Результат'!BO47</f>
        <v/>
      </c>
      <c r="BP28" s="5">
        <f>BO28+'05_Расходы'!BP44+BP10-'02_Результат'!BP47</f>
        <v/>
      </c>
      <c r="BQ28" s="5">
        <f>BP28+'05_Расходы'!BQ44+BQ10-'02_Результат'!BQ47</f>
        <v/>
      </c>
      <c r="BR28" s="5">
        <f>BQ28+'05_Расходы'!BR44+BR10-'02_Результат'!BR47</f>
        <v/>
      </c>
      <c r="BS28" s="5">
        <f>BR28+'05_Расходы'!BS44+BS10-'02_Результат'!BS47</f>
        <v/>
      </c>
      <c r="BT28" s="5">
        <f>BS28+'05_Расходы'!BT44+BT10-'02_Результат'!BT47</f>
        <v/>
      </c>
      <c r="BU28" s="5">
        <f>BT28+'05_Расходы'!BU44+BU10-'02_Результат'!BU47</f>
        <v/>
      </c>
      <c r="BV28" s="5">
        <f>BU28+'05_Расходы'!BV44+BV10-'02_Результат'!BV47</f>
        <v/>
      </c>
      <c r="BW28" s="5">
        <f>BV28+'05_Расходы'!BW44+BW10-'02_Результат'!BW47</f>
        <v/>
      </c>
      <c r="BX28" s="5">
        <f>BW28+'05_Расходы'!BX44+BX10-'02_Результат'!BX47</f>
        <v/>
      </c>
      <c r="BY28" s="5">
        <f>BX28+'05_Расходы'!BY44+BY10-'02_Результат'!BY47</f>
        <v/>
      </c>
    </row>
    <row r="29">
      <c r="B29" t="inlineStr">
        <is>
          <t>Долг перед клубом по операционным выплатам</t>
        </is>
      </c>
      <c r="C29" t="inlineStr">
        <is>
          <t>₽</t>
        </is>
      </c>
      <c r="D29" s="127" t="inlineStr">
        <is>
          <t>В колонках лет — значение на конец года, в «Итого» — на конец пятого года. Это остаток, а не сумма.</t>
        </is>
      </c>
      <c r="E29" s="129">
        <f>W29</f>
        <v/>
      </c>
      <c r="F29" s="129">
        <f>AI29</f>
        <v/>
      </c>
      <c r="G29" s="129">
        <f>AU29</f>
        <v/>
      </c>
      <c r="H29" s="129">
        <f>BG29</f>
        <v/>
      </c>
      <c r="I29" s="129">
        <f>BS29</f>
        <v/>
      </c>
      <c r="J29" s="6">
        <f>BS29</f>
        <v/>
      </c>
      <c r="L29" s="5">
        <f>'05_Расходы'!$L50-'02_Результат'!L49</f>
        <v/>
      </c>
      <c r="M29" s="5">
        <f>L29+'05_Расходы'!M50-'02_Результат'!M49</f>
        <v/>
      </c>
      <c r="N29" s="5">
        <f>M29+'05_Расходы'!N50-'02_Результат'!N49</f>
        <v/>
      </c>
      <c r="O29" s="5">
        <f>N29+'05_Расходы'!O50-'02_Результат'!O49</f>
        <v/>
      </c>
      <c r="P29" s="5">
        <f>O29+'05_Расходы'!P50-'02_Результат'!P49</f>
        <v/>
      </c>
      <c r="Q29" s="5">
        <f>P29+'05_Расходы'!Q50-'02_Результат'!Q49</f>
        <v/>
      </c>
      <c r="R29" s="5">
        <f>Q29+'05_Расходы'!R50-'02_Результат'!R49</f>
        <v/>
      </c>
      <c r="S29" s="5">
        <f>R29+'05_Расходы'!S50-'02_Результат'!S49</f>
        <v/>
      </c>
      <c r="T29" s="5">
        <f>S29+'05_Расходы'!T50-'02_Результат'!T49</f>
        <v/>
      </c>
      <c r="U29" s="5">
        <f>T29+'05_Расходы'!U50-'02_Результат'!U49</f>
        <v/>
      </c>
      <c r="V29" s="5">
        <f>U29+'05_Расходы'!V50-'02_Результат'!V49</f>
        <v/>
      </c>
      <c r="W29" s="5">
        <f>V29+'05_Расходы'!W50-'02_Результат'!W49</f>
        <v/>
      </c>
      <c r="X29" s="5">
        <f>W29+'05_Расходы'!X50-'02_Результат'!X49</f>
        <v/>
      </c>
      <c r="Y29" s="5">
        <f>X29+'05_Расходы'!Y50-'02_Результат'!Y49</f>
        <v/>
      </c>
      <c r="Z29" s="5">
        <f>Y29+'05_Расходы'!Z50-'02_Результат'!Z49</f>
        <v/>
      </c>
      <c r="AA29" s="5">
        <f>Z29+'05_Расходы'!AA50-'02_Результат'!AA49</f>
        <v/>
      </c>
      <c r="AB29" s="5">
        <f>AA29+'05_Расходы'!AB50-'02_Результат'!AB49</f>
        <v/>
      </c>
      <c r="AC29" s="5">
        <f>AB29+'05_Расходы'!AC50-'02_Результат'!AC49</f>
        <v/>
      </c>
      <c r="AD29" s="5">
        <f>AC29+'05_Расходы'!AD50-'02_Результат'!AD49</f>
        <v/>
      </c>
      <c r="AE29" s="5">
        <f>AD29+'05_Расходы'!AE50-'02_Результат'!AE49</f>
        <v/>
      </c>
      <c r="AF29" s="5">
        <f>AE29+'05_Расходы'!AF50-'02_Результат'!AF49</f>
        <v/>
      </c>
      <c r="AG29" s="5">
        <f>AF29+'05_Расходы'!AG50-'02_Результат'!AG49</f>
        <v/>
      </c>
      <c r="AH29" s="5">
        <f>AG29+'05_Расходы'!AH50-'02_Результат'!AH49</f>
        <v/>
      </c>
      <c r="AI29" s="5">
        <f>AH29+'05_Расходы'!AI50-'02_Результат'!AI49</f>
        <v/>
      </c>
      <c r="AJ29" s="5">
        <f>AI29+'05_Расходы'!AJ50-'02_Результат'!AJ49</f>
        <v/>
      </c>
      <c r="AK29" s="5">
        <f>AJ29+'05_Расходы'!AK50-'02_Результат'!AK49</f>
        <v/>
      </c>
      <c r="AL29" s="5">
        <f>AK29+'05_Расходы'!AL50-'02_Результат'!AL49</f>
        <v/>
      </c>
      <c r="AM29" s="5">
        <f>AL29+'05_Расходы'!AM50-'02_Результат'!AM49</f>
        <v/>
      </c>
      <c r="AN29" s="5">
        <f>AM29+'05_Расходы'!AN50-'02_Результат'!AN49</f>
        <v/>
      </c>
      <c r="AO29" s="5">
        <f>AN29+'05_Расходы'!AO50-'02_Результат'!AO49</f>
        <v/>
      </c>
      <c r="AP29" s="5">
        <f>AO29+'05_Расходы'!AP50-'02_Результат'!AP49</f>
        <v/>
      </c>
      <c r="AQ29" s="5">
        <f>AP29+'05_Расходы'!AQ50-'02_Результат'!AQ49</f>
        <v/>
      </c>
      <c r="AR29" s="5">
        <f>AQ29+'05_Расходы'!AR50-'02_Результат'!AR49</f>
        <v/>
      </c>
      <c r="AS29" s="5">
        <f>AR29+'05_Расходы'!AS50-'02_Результат'!AS49</f>
        <v/>
      </c>
      <c r="AT29" s="5">
        <f>AS29+'05_Расходы'!AT50-'02_Результат'!AT49</f>
        <v/>
      </c>
      <c r="AU29" s="5">
        <f>AT29+'05_Расходы'!AU50-'02_Результат'!AU49</f>
        <v/>
      </c>
      <c r="AV29" s="5">
        <f>AU29+'05_Расходы'!AV50-'02_Результат'!AV49</f>
        <v/>
      </c>
      <c r="AW29" s="5">
        <f>AV29+'05_Расходы'!AW50-'02_Результат'!AW49</f>
        <v/>
      </c>
      <c r="AX29" s="5">
        <f>AW29+'05_Расходы'!AX50-'02_Результат'!AX49</f>
        <v/>
      </c>
      <c r="AY29" s="5">
        <f>AX29+'05_Расходы'!AY50-'02_Результат'!AY49</f>
        <v/>
      </c>
      <c r="AZ29" s="5">
        <f>AY29+'05_Расходы'!AZ50-'02_Результат'!AZ49</f>
        <v/>
      </c>
      <c r="BA29" s="5">
        <f>AZ29+'05_Расходы'!BA50-'02_Результат'!BA49</f>
        <v/>
      </c>
      <c r="BB29" s="5">
        <f>BA29+'05_Расходы'!BB50-'02_Результат'!BB49</f>
        <v/>
      </c>
      <c r="BC29" s="5">
        <f>BB29+'05_Расходы'!BC50-'02_Результат'!BC49</f>
        <v/>
      </c>
      <c r="BD29" s="5">
        <f>BC29+'05_Расходы'!BD50-'02_Результат'!BD49</f>
        <v/>
      </c>
      <c r="BE29" s="5">
        <f>BD29+'05_Расходы'!BE50-'02_Результат'!BE49</f>
        <v/>
      </c>
      <c r="BF29" s="5">
        <f>BE29+'05_Расходы'!BF50-'02_Результат'!BF49</f>
        <v/>
      </c>
      <c r="BG29" s="5">
        <f>BF29+'05_Расходы'!BG50-'02_Результат'!BG49</f>
        <v/>
      </c>
      <c r="BH29" s="5">
        <f>BG29+'05_Расходы'!BH50-'02_Результат'!BH49</f>
        <v/>
      </c>
      <c r="BI29" s="5">
        <f>BH29+'05_Расходы'!BI50-'02_Результат'!BI49</f>
        <v/>
      </c>
      <c r="BJ29" s="5">
        <f>BI29+'05_Расходы'!BJ50-'02_Результат'!BJ49</f>
        <v/>
      </c>
      <c r="BK29" s="5">
        <f>BJ29+'05_Расходы'!BK50-'02_Результат'!BK49</f>
        <v/>
      </c>
      <c r="BL29" s="5">
        <f>BK29+'05_Расходы'!BL50-'02_Результат'!BL49</f>
        <v/>
      </c>
      <c r="BM29" s="5">
        <f>BL29+'05_Расходы'!BM50-'02_Результат'!BM49</f>
        <v/>
      </c>
      <c r="BN29" s="5">
        <f>BM29+'05_Расходы'!BN50-'02_Результат'!BN49</f>
        <v/>
      </c>
      <c r="BO29" s="5">
        <f>BN29+'05_Расходы'!BO50-'02_Результат'!BO49</f>
        <v/>
      </c>
      <c r="BP29" s="5">
        <f>BO29+'05_Расходы'!BP50-'02_Результат'!BP49</f>
        <v/>
      </c>
      <c r="BQ29" s="5">
        <f>BP29+'05_Расходы'!BQ50-'02_Результат'!BQ49</f>
        <v/>
      </c>
      <c r="BR29" s="5">
        <f>BQ29+'05_Расходы'!BR50-'02_Результат'!BR49</f>
        <v/>
      </c>
      <c r="BS29" s="5">
        <f>BR29+'05_Расходы'!BS50-'02_Результат'!BS49</f>
        <v/>
      </c>
      <c r="BT29" s="5">
        <f>BS29+'05_Расходы'!BT50-'02_Результат'!BT49</f>
        <v/>
      </c>
      <c r="BU29" s="5">
        <f>BT29+'05_Расходы'!BU50-'02_Результат'!BU49</f>
        <v/>
      </c>
      <c r="BV29" s="5">
        <f>BU29+'05_Расходы'!BV50-'02_Результат'!BV49</f>
        <v/>
      </c>
      <c r="BW29" s="5">
        <f>BV29+'05_Расходы'!BW50-'02_Результат'!BW49</f>
        <v/>
      </c>
      <c r="BX29" s="5">
        <f>BW29+'05_Расходы'!BX50-'02_Результат'!BX49</f>
        <v/>
      </c>
      <c r="BY29" s="5">
        <f>BX29+'05_Расходы'!BY50-'02_Результат'!BY49</f>
        <v/>
      </c>
    </row>
  </sheetData>
  <mergeCells count="9">
    <mergeCell ref="B4:B5"/>
    <mergeCell ref="C4:C5"/>
    <mergeCell ref="F4:F5"/>
    <mergeCell ref="E4:E5"/>
    <mergeCell ref="D4:D5"/>
    <mergeCell ref="G4:G5"/>
    <mergeCell ref="H4:H5"/>
    <mergeCell ref="I4:I5"/>
    <mergeCell ref="J4:J5"/>
  </mergeCells>
  <printOptions horizontalCentered="0"/>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BO19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47"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s>
  <sheetData>
    <row r="1">
      <c r="A1" s="150" t="inlineStr">
        <is>
          <t>Календарь и возрастные тарифы - только формулы</t>
        </is>
      </c>
    </row>
    <row r="3">
      <c r="B3" s="151">
        <f>DATE(YEAR('01_Вводные'!$B$7),MONTH('01_Вводные'!$B$7)+0,1)</f>
        <v/>
      </c>
      <c r="C3" s="151">
        <f>DATE(YEAR('01_Вводные'!$B$7),MONTH('01_Вводные'!$B$7)+1,1)</f>
        <v/>
      </c>
      <c r="D3" s="151">
        <f>DATE(YEAR('01_Вводные'!$B$7),MONTH('01_Вводные'!$B$7)+2,1)</f>
        <v/>
      </c>
      <c r="E3" s="151">
        <f>DATE(YEAR('01_Вводные'!$B$7),MONTH('01_Вводные'!$B$7)+3,1)</f>
        <v/>
      </c>
      <c r="F3" s="151">
        <f>DATE(YEAR('01_Вводные'!$B$7),MONTH('01_Вводные'!$B$7)+4,1)</f>
        <v/>
      </c>
      <c r="G3" s="151">
        <f>DATE(YEAR('01_Вводные'!$B$7),MONTH('01_Вводные'!$B$7)+5,1)</f>
        <v/>
      </c>
      <c r="H3" s="151">
        <f>DATE(YEAR('01_Вводные'!$B$7),MONTH('01_Вводные'!$B$7)+6,1)</f>
        <v/>
      </c>
      <c r="I3" s="151">
        <f>DATE(YEAR('01_Вводные'!$B$7),MONTH('01_Вводные'!$B$7)+7,1)</f>
        <v/>
      </c>
      <c r="J3" s="151">
        <f>DATE(YEAR('01_Вводные'!$B$7),MONTH('01_Вводные'!$B$7)+8,1)</f>
        <v/>
      </c>
      <c r="K3" s="151">
        <f>DATE(YEAR('01_Вводные'!$B$7),MONTH('01_Вводные'!$B$7)+9,1)</f>
        <v/>
      </c>
      <c r="L3" s="151">
        <f>DATE(YEAR('01_Вводные'!$B$7),MONTH('01_Вводные'!$B$7)+10,1)</f>
        <v/>
      </c>
      <c r="M3" s="151">
        <f>DATE(YEAR('01_Вводные'!$B$7),MONTH('01_Вводные'!$B$7)+11,1)</f>
        <v/>
      </c>
      <c r="N3" s="151">
        <f>DATE(YEAR('01_Вводные'!$B$7),MONTH('01_Вводные'!$B$7)+12,1)</f>
        <v/>
      </c>
      <c r="O3" s="151">
        <f>DATE(YEAR('01_Вводные'!$B$7),MONTH('01_Вводные'!$B$7)+13,1)</f>
        <v/>
      </c>
      <c r="P3" s="151">
        <f>DATE(YEAR('01_Вводные'!$B$7),MONTH('01_Вводные'!$B$7)+14,1)</f>
        <v/>
      </c>
      <c r="Q3" s="151">
        <f>DATE(YEAR('01_Вводные'!$B$7),MONTH('01_Вводные'!$B$7)+15,1)</f>
        <v/>
      </c>
      <c r="R3" s="151">
        <f>DATE(YEAR('01_Вводные'!$B$7),MONTH('01_Вводные'!$B$7)+16,1)</f>
        <v/>
      </c>
      <c r="S3" s="151">
        <f>DATE(YEAR('01_Вводные'!$B$7),MONTH('01_Вводные'!$B$7)+17,1)</f>
        <v/>
      </c>
      <c r="T3" s="151">
        <f>DATE(YEAR('01_Вводные'!$B$7),MONTH('01_Вводные'!$B$7)+18,1)</f>
        <v/>
      </c>
      <c r="U3" s="151">
        <f>DATE(YEAR('01_Вводные'!$B$7),MONTH('01_Вводные'!$B$7)+19,1)</f>
        <v/>
      </c>
      <c r="V3" s="151">
        <f>DATE(YEAR('01_Вводные'!$B$7),MONTH('01_Вводные'!$B$7)+20,1)</f>
        <v/>
      </c>
      <c r="W3" s="151">
        <f>DATE(YEAR('01_Вводные'!$B$7),MONTH('01_Вводные'!$B$7)+21,1)</f>
        <v/>
      </c>
      <c r="X3" s="151">
        <f>DATE(YEAR('01_Вводные'!$B$7),MONTH('01_Вводные'!$B$7)+22,1)</f>
        <v/>
      </c>
      <c r="Y3" s="151">
        <f>DATE(YEAR('01_Вводные'!$B$7),MONTH('01_Вводные'!$B$7)+23,1)</f>
        <v/>
      </c>
      <c r="Z3" s="151">
        <f>DATE(YEAR('01_Вводные'!$B$7),MONTH('01_Вводные'!$B$7)+24,1)</f>
        <v/>
      </c>
      <c r="AA3" s="151">
        <f>DATE(YEAR('01_Вводные'!$B$7),MONTH('01_Вводные'!$B$7)+25,1)</f>
        <v/>
      </c>
      <c r="AB3" s="151">
        <f>DATE(YEAR('01_Вводные'!$B$7),MONTH('01_Вводные'!$B$7)+26,1)</f>
        <v/>
      </c>
      <c r="AC3" s="151">
        <f>DATE(YEAR('01_Вводные'!$B$7),MONTH('01_Вводные'!$B$7)+27,1)</f>
        <v/>
      </c>
      <c r="AD3" s="151">
        <f>DATE(YEAR('01_Вводные'!$B$7),MONTH('01_Вводные'!$B$7)+28,1)</f>
        <v/>
      </c>
      <c r="AE3" s="151">
        <f>DATE(YEAR('01_Вводные'!$B$7),MONTH('01_Вводные'!$B$7)+29,1)</f>
        <v/>
      </c>
      <c r="AF3" s="151">
        <f>DATE(YEAR('01_Вводные'!$B$7),MONTH('01_Вводные'!$B$7)+30,1)</f>
        <v/>
      </c>
      <c r="AG3" s="151">
        <f>DATE(YEAR('01_Вводные'!$B$7),MONTH('01_Вводные'!$B$7)+31,1)</f>
        <v/>
      </c>
      <c r="AH3" s="151">
        <f>DATE(YEAR('01_Вводные'!$B$7),MONTH('01_Вводные'!$B$7)+32,1)</f>
        <v/>
      </c>
      <c r="AI3" s="151">
        <f>DATE(YEAR('01_Вводные'!$B$7),MONTH('01_Вводные'!$B$7)+33,1)</f>
        <v/>
      </c>
      <c r="AJ3" s="151">
        <f>DATE(YEAR('01_Вводные'!$B$7),MONTH('01_Вводные'!$B$7)+34,1)</f>
        <v/>
      </c>
      <c r="AK3" s="151">
        <f>DATE(YEAR('01_Вводные'!$B$7),MONTH('01_Вводные'!$B$7)+35,1)</f>
        <v/>
      </c>
      <c r="AL3" s="151">
        <f>DATE(YEAR('01_Вводные'!$B$7),MONTH('01_Вводные'!$B$7)+36,1)</f>
        <v/>
      </c>
      <c r="AM3" s="151">
        <f>DATE(YEAR('01_Вводные'!$B$7),MONTH('01_Вводные'!$B$7)+37,1)</f>
        <v/>
      </c>
      <c r="AN3" s="151">
        <f>DATE(YEAR('01_Вводные'!$B$7),MONTH('01_Вводные'!$B$7)+38,1)</f>
        <v/>
      </c>
      <c r="AO3" s="151">
        <f>DATE(YEAR('01_Вводные'!$B$7),MONTH('01_Вводные'!$B$7)+39,1)</f>
        <v/>
      </c>
      <c r="AP3" s="151">
        <f>DATE(YEAR('01_Вводные'!$B$7),MONTH('01_Вводные'!$B$7)+40,1)</f>
        <v/>
      </c>
      <c r="AQ3" s="151">
        <f>DATE(YEAR('01_Вводные'!$B$7),MONTH('01_Вводные'!$B$7)+41,1)</f>
        <v/>
      </c>
      <c r="AR3" s="151">
        <f>DATE(YEAR('01_Вводные'!$B$7),MONTH('01_Вводные'!$B$7)+42,1)</f>
        <v/>
      </c>
      <c r="AS3" s="151">
        <f>DATE(YEAR('01_Вводные'!$B$7),MONTH('01_Вводные'!$B$7)+43,1)</f>
        <v/>
      </c>
      <c r="AT3" s="151">
        <f>DATE(YEAR('01_Вводные'!$B$7),MONTH('01_Вводные'!$B$7)+44,1)</f>
        <v/>
      </c>
      <c r="AU3" s="151">
        <f>DATE(YEAR('01_Вводные'!$B$7),MONTH('01_Вводные'!$B$7)+45,1)</f>
        <v/>
      </c>
      <c r="AV3" s="151">
        <f>DATE(YEAR('01_Вводные'!$B$7),MONTH('01_Вводные'!$B$7)+46,1)</f>
        <v/>
      </c>
      <c r="AW3" s="151">
        <f>DATE(YEAR('01_Вводные'!$B$7),MONTH('01_Вводные'!$B$7)+47,1)</f>
        <v/>
      </c>
      <c r="AX3" s="151">
        <f>DATE(YEAR('01_Вводные'!$B$7),MONTH('01_Вводные'!$B$7)+48,1)</f>
        <v/>
      </c>
      <c r="AY3" s="151">
        <f>DATE(YEAR('01_Вводные'!$B$7),MONTH('01_Вводные'!$B$7)+49,1)</f>
        <v/>
      </c>
      <c r="AZ3" s="151">
        <f>DATE(YEAR('01_Вводные'!$B$7),MONTH('01_Вводные'!$B$7)+50,1)</f>
        <v/>
      </c>
      <c r="BA3" s="151">
        <f>DATE(YEAR('01_Вводные'!$B$7),MONTH('01_Вводные'!$B$7)+51,1)</f>
        <v/>
      </c>
      <c r="BB3" s="151">
        <f>DATE(YEAR('01_Вводные'!$B$7),MONTH('01_Вводные'!$B$7)+52,1)</f>
        <v/>
      </c>
      <c r="BC3" s="151">
        <f>DATE(YEAR('01_Вводные'!$B$7),MONTH('01_Вводные'!$B$7)+53,1)</f>
        <v/>
      </c>
      <c r="BD3" s="151">
        <f>DATE(YEAR('01_Вводные'!$B$7),MONTH('01_Вводные'!$B$7)+54,1)</f>
        <v/>
      </c>
      <c r="BE3" s="151">
        <f>DATE(YEAR('01_Вводные'!$B$7),MONTH('01_Вводные'!$B$7)+55,1)</f>
        <v/>
      </c>
      <c r="BF3" s="151">
        <f>DATE(YEAR('01_Вводные'!$B$7),MONTH('01_Вводные'!$B$7)+56,1)</f>
        <v/>
      </c>
      <c r="BG3" s="151">
        <f>DATE(YEAR('01_Вводные'!$B$7),MONTH('01_Вводные'!$B$7)+57,1)</f>
        <v/>
      </c>
      <c r="BH3" s="151">
        <f>DATE(YEAR('01_Вводные'!$B$7),MONTH('01_Вводные'!$B$7)+58,1)</f>
        <v/>
      </c>
      <c r="BI3" s="151">
        <f>DATE(YEAR('01_Вводные'!$B$7),MONTH('01_Вводные'!$B$7)+59,1)</f>
        <v/>
      </c>
      <c r="BJ3" s="151">
        <f>DATE(YEAR('01_Вводные'!$B$7),MONTH('01_Вводные'!$B$7)+60,1)</f>
        <v/>
      </c>
      <c r="BK3" s="151">
        <f>DATE(YEAR('01_Вводные'!$B$7),MONTH('01_Вводные'!$B$7)+61,1)</f>
        <v/>
      </c>
      <c r="BL3" s="151">
        <f>DATE(YEAR('01_Вводные'!$B$7),MONTH('01_Вводные'!$B$7)+62,1)</f>
        <v/>
      </c>
      <c r="BM3" s="151">
        <f>DATE(YEAR('01_Вводные'!$B$7),MONTH('01_Вводные'!$B$7)+63,1)</f>
        <v/>
      </c>
      <c r="BN3" s="151">
        <f>DATE(YEAR('01_Вводные'!$B$7),MONTH('01_Вводные'!$B$7)+64,1)</f>
        <v/>
      </c>
      <c r="BO3" s="151">
        <f>DATE(YEAR('01_Вводные'!$B$7),MONTH('01_Вводные'!$B$7)+65,1)</f>
        <v/>
      </c>
    </row>
    <row r="4">
      <c r="A4" s="150" t="inlineStr">
        <is>
          <t>Накопленный индекс цен / OPEX</t>
        </is>
      </c>
      <c r="B4" s="152">
        <f>1*IF(AND('01_Вводные'!$B$294="Да",B$3&gt;='01_Вводные'!$B$293,MONTH(B$3)=MONTH('01_Вводные'!$B$293)),1+B5,1)</f>
        <v/>
      </c>
      <c r="C4" s="152">
        <f>B4*IF(AND('01_Вводные'!$B$294="Да",C$3&gt;='01_Вводные'!$B$293,MONTH(C$3)=MONTH('01_Вводные'!$B$293)),1+C5,1)</f>
        <v/>
      </c>
      <c r="D4" s="152">
        <f>C4*IF(AND('01_Вводные'!$B$294="Да",D$3&gt;='01_Вводные'!$B$293,MONTH(D$3)=MONTH('01_Вводные'!$B$293)),1+D5,1)</f>
        <v/>
      </c>
      <c r="E4" s="152">
        <f>D4*IF(AND('01_Вводные'!$B$294="Да",E$3&gt;='01_Вводные'!$B$293,MONTH(E$3)=MONTH('01_Вводные'!$B$293)),1+E5,1)</f>
        <v/>
      </c>
      <c r="F4" s="152">
        <f>E4*IF(AND('01_Вводные'!$B$294="Да",F$3&gt;='01_Вводные'!$B$293,MONTH(F$3)=MONTH('01_Вводные'!$B$293)),1+F5,1)</f>
        <v/>
      </c>
      <c r="G4" s="152">
        <f>F4*IF(AND('01_Вводные'!$B$294="Да",G$3&gt;='01_Вводные'!$B$293,MONTH(G$3)=MONTH('01_Вводные'!$B$293)),1+G5,1)</f>
        <v/>
      </c>
      <c r="H4" s="152">
        <f>G4*IF(AND('01_Вводные'!$B$294="Да",H$3&gt;='01_Вводные'!$B$293,MONTH(H$3)=MONTH('01_Вводные'!$B$293)),1+H5,1)</f>
        <v/>
      </c>
      <c r="I4" s="152">
        <f>H4*IF(AND('01_Вводные'!$B$294="Да",I$3&gt;='01_Вводные'!$B$293,MONTH(I$3)=MONTH('01_Вводные'!$B$293)),1+I5,1)</f>
        <v/>
      </c>
      <c r="J4" s="152">
        <f>I4*IF(AND('01_Вводные'!$B$294="Да",J$3&gt;='01_Вводные'!$B$293,MONTH(J$3)=MONTH('01_Вводные'!$B$293)),1+J5,1)</f>
        <v/>
      </c>
      <c r="K4" s="152">
        <f>J4*IF(AND('01_Вводные'!$B$294="Да",K$3&gt;='01_Вводные'!$B$293,MONTH(K$3)=MONTH('01_Вводные'!$B$293)),1+K5,1)</f>
        <v/>
      </c>
      <c r="L4" s="152">
        <f>K4*IF(AND('01_Вводные'!$B$294="Да",L$3&gt;='01_Вводные'!$B$293,MONTH(L$3)=MONTH('01_Вводные'!$B$293)),1+L5,1)</f>
        <v/>
      </c>
      <c r="M4" s="152">
        <f>L4*IF(AND('01_Вводные'!$B$294="Да",M$3&gt;='01_Вводные'!$B$293,MONTH(M$3)=MONTH('01_Вводные'!$B$293)),1+M5,1)</f>
        <v/>
      </c>
      <c r="N4" s="152">
        <f>M4*IF(AND('01_Вводные'!$B$294="Да",N$3&gt;='01_Вводные'!$B$293,MONTH(N$3)=MONTH('01_Вводные'!$B$293)),1+N5,1)</f>
        <v/>
      </c>
      <c r="O4" s="152">
        <f>N4*IF(AND('01_Вводные'!$B$294="Да",O$3&gt;='01_Вводные'!$B$293,MONTH(O$3)=MONTH('01_Вводные'!$B$293)),1+O5,1)</f>
        <v/>
      </c>
      <c r="P4" s="152">
        <f>O4*IF(AND('01_Вводные'!$B$294="Да",P$3&gt;='01_Вводные'!$B$293,MONTH(P$3)=MONTH('01_Вводные'!$B$293)),1+P5,1)</f>
        <v/>
      </c>
      <c r="Q4" s="152">
        <f>P4*IF(AND('01_Вводные'!$B$294="Да",Q$3&gt;='01_Вводные'!$B$293,MONTH(Q$3)=MONTH('01_Вводные'!$B$293)),1+Q5,1)</f>
        <v/>
      </c>
      <c r="R4" s="152">
        <f>Q4*IF(AND('01_Вводные'!$B$294="Да",R$3&gt;='01_Вводные'!$B$293,MONTH(R$3)=MONTH('01_Вводные'!$B$293)),1+R5,1)</f>
        <v/>
      </c>
      <c r="S4" s="152">
        <f>R4*IF(AND('01_Вводные'!$B$294="Да",S$3&gt;='01_Вводные'!$B$293,MONTH(S$3)=MONTH('01_Вводные'!$B$293)),1+S5,1)</f>
        <v/>
      </c>
      <c r="T4" s="152">
        <f>S4*IF(AND('01_Вводные'!$B$294="Да",T$3&gt;='01_Вводные'!$B$293,MONTH(T$3)=MONTH('01_Вводные'!$B$293)),1+T5,1)</f>
        <v/>
      </c>
      <c r="U4" s="152">
        <f>T4*IF(AND('01_Вводные'!$B$294="Да",U$3&gt;='01_Вводные'!$B$293,MONTH(U$3)=MONTH('01_Вводные'!$B$293)),1+U5,1)</f>
        <v/>
      </c>
      <c r="V4" s="152">
        <f>U4*IF(AND('01_Вводные'!$B$294="Да",V$3&gt;='01_Вводные'!$B$293,MONTH(V$3)=MONTH('01_Вводные'!$B$293)),1+V5,1)</f>
        <v/>
      </c>
      <c r="W4" s="152">
        <f>V4*IF(AND('01_Вводные'!$B$294="Да",W$3&gt;='01_Вводные'!$B$293,MONTH(W$3)=MONTH('01_Вводные'!$B$293)),1+W5,1)</f>
        <v/>
      </c>
      <c r="X4" s="152">
        <f>W4*IF(AND('01_Вводные'!$B$294="Да",X$3&gt;='01_Вводные'!$B$293,MONTH(X$3)=MONTH('01_Вводные'!$B$293)),1+X5,1)</f>
        <v/>
      </c>
      <c r="Y4" s="152">
        <f>X4*IF(AND('01_Вводные'!$B$294="Да",Y$3&gt;='01_Вводные'!$B$293,MONTH(Y$3)=MONTH('01_Вводные'!$B$293)),1+Y5,1)</f>
        <v/>
      </c>
      <c r="Z4" s="152">
        <f>Y4*IF(AND('01_Вводные'!$B$294="Да",Z$3&gt;='01_Вводные'!$B$293,MONTH(Z$3)=MONTH('01_Вводные'!$B$293)),1+Z5,1)</f>
        <v/>
      </c>
      <c r="AA4" s="152">
        <f>Z4*IF(AND('01_Вводные'!$B$294="Да",AA$3&gt;='01_Вводные'!$B$293,MONTH(AA$3)=MONTH('01_Вводные'!$B$293)),1+AA5,1)</f>
        <v/>
      </c>
      <c r="AB4" s="152">
        <f>AA4*IF(AND('01_Вводные'!$B$294="Да",AB$3&gt;='01_Вводные'!$B$293,MONTH(AB$3)=MONTH('01_Вводные'!$B$293)),1+AB5,1)</f>
        <v/>
      </c>
      <c r="AC4" s="152">
        <f>AB4*IF(AND('01_Вводные'!$B$294="Да",AC$3&gt;='01_Вводные'!$B$293,MONTH(AC$3)=MONTH('01_Вводные'!$B$293)),1+AC5,1)</f>
        <v/>
      </c>
      <c r="AD4" s="152">
        <f>AC4*IF(AND('01_Вводные'!$B$294="Да",AD$3&gt;='01_Вводные'!$B$293,MONTH(AD$3)=MONTH('01_Вводные'!$B$293)),1+AD5,1)</f>
        <v/>
      </c>
      <c r="AE4" s="152">
        <f>AD4*IF(AND('01_Вводные'!$B$294="Да",AE$3&gt;='01_Вводные'!$B$293,MONTH(AE$3)=MONTH('01_Вводные'!$B$293)),1+AE5,1)</f>
        <v/>
      </c>
      <c r="AF4" s="152">
        <f>AE4*IF(AND('01_Вводные'!$B$294="Да",AF$3&gt;='01_Вводные'!$B$293,MONTH(AF$3)=MONTH('01_Вводные'!$B$293)),1+AF5,1)</f>
        <v/>
      </c>
      <c r="AG4" s="152">
        <f>AF4*IF(AND('01_Вводные'!$B$294="Да",AG$3&gt;='01_Вводные'!$B$293,MONTH(AG$3)=MONTH('01_Вводные'!$B$293)),1+AG5,1)</f>
        <v/>
      </c>
      <c r="AH4" s="152">
        <f>AG4*IF(AND('01_Вводные'!$B$294="Да",AH$3&gt;='01_Вводные'!$B$293,MONTH(AH$3)=MONTH('01_Вводные'!$B$293)),1+AH5,1)</f>
        <v/>
      </c>
      <c r="AI4" s="152">
        <f>AH4*IF(AND('01_Вводные'!$B$294="Да",AI$3&gt;='01_Вводные'!$B$293,MONTH(AI$3)=MONTH('01_Вводные'!$B$293)),1+AI5,1)</f>
        <v/>
      </c>
      <c r="AJ4" s="152">
        <f>AI4*IF(AND('01_Вводные'!$B$294="Да",AJ$3&gt;='01_Вводные'!$B$293,MONTH(AJ$3)=MONTH('01_Вводные'!$B$293)),1+AJ5,1)</f>
        <v/>
      </c>
      <c r="AK4" s="152">
        <f>AJ4*IF(AND('01_Вводные'!$B$294="Да",AK$3&gt;='01_Вводные'!$B$293,MONTH(AK$3)=MONTH('01_Вводные'!$B$293)),1+AK5,1)</f>
        <v/>
      </c>
      <c r="AL4" s="152">
        <f>AK4*IF(AND('01_Вводные'!$B$294="Да",AL$3&gt;='01_Вводные'!$B$293,MONTH(AL$3)=MONTH('01_Вводные'!$B$293)),1+AL5,1)</f>
        <v/>
      </c>
      <c r="AM4" s="152">
        <f>AL4*IF(AND('01_Вводные'!$B$294="Да",AM$3&gt;='01_Вводные'!$B$293,MONTH(AM$3)=MONTH('01_Вводные'!$B$293)),1+AM5,1)</f>
        <v/>
      </c>
      <c r="AN4" s="152">
        <f>AM4*IF(AND('01_Вводные'!$B$294="Да",AN$3&gt;='01_Вводные'!$B$293,MONTH(AN$3)=MONTH('01_Вводные'!$B$293)),1+AN5,1)</f>
        <v/>
      </c>
      <c r="AO4" s="152">
        <f>AN4*IF(AND('01_Вводные'!$B$294="Да",AO$3&gt;='01_Вводные'!$B$293,MONTH(AO$3)=MONTH('01_Вводные'!$B$293)),1+AO5,1)</f>
        <v/>
      </c>
      <c r="AP4" s="152">
        <f>AO4*IF(AND('01_Вводные'!$B$294="Да",AP$3&gt;='01_Вводные'!$B$293,MONTH(AP$3)=MONTH('01_Вводные'!$B$293)),1+AP5,1)</f>
        <v/>
      </c>
      <c r="AQ4" s="152">
        <f>AP4*IF(AND('01_Вводные'!$B$294="Да",AQ$3&gt;='01_Вводные'!$B$293,MONTH(AQ$3)=MONTH('01_Вводные'!$B$293)),1+AQ5,1)</f>
        <v/>
      </c>
      <c r="AR4" s="152">
        <f>AQ4*IF(AND('01_Вводные'!$B$294="Да",AR$3&gt;='01_Вводные'!$B$293,MONTH(AR$3)=MONTH('01_Вводные'!$B$293)),1+AR5,1)</f>
        <v/>
      </c>
      <c r="AS4" s="152">
        <f>AR4*IF(AND('01_Вводные'!$B$294="Да",AS$3&gt;='01_Вводные'!$B$293,MONTH(AS$3)=MONTH('01_Вводные'!$B$293)),1+AS5,1)</f>
        <v/>
      </c>
      <c r="AT4" s="152">
        <f>AS4*IF(AND('01_Вводные'!$B$294="Да",AT$3&gt;='01_Вводные'!$B$293,MONTH(AT$3)=MONTH('01_Вводные'!$B$293)),1+AT5,1)</f>
        <v/>
      </c>
      <c r="AU4" s="152">
        <f>AT4*IF(AND('01_Вводные'!$B$294="Да",AU$3&gt;='01_Вводные'!$B$293,MONTH(AU$3)=MONTH('01_Вводные'!$B$293)),1+AU5,1)</f>
        <v/>
      </c>
      <c r="AV4" s="152">
        <f>AU4*IF(AND('01_Вводные'!$B$294="Да",AV$3&gt;='01_Вводные'!$B$293,MONTH(AV$3)=MONTH('01_Вводные'!$B$293)),1+AV5,1)</f>
        <v/>
      </c>
      <c r="AW4" s="152">
        <f>AV4*IF(AND('01_Вводные'!$B$294="Да",AW$3&gt;='01_Вводные'!$B$293,MONTH(AW$3)=MONTH('01_Вводные'!$B$293)),1+AW5,1)</f>
        <v/>
      </c>
      <c r="AX4" s="152">
        <f>AW4*IF(AND('01_Вводные'!$B$294="Да",AX$3&gt;='01_Вводные'!$B$293,MONTH(AX$3)=MONTH('01_Вводные'!$B$293)),1+AX5,1)</f>
        <v/>
      </c>
      <c r="AY4" s="152">
        <f>AX4*IF(AND('01_Вводные'!$B$294="Да",AY$3&gt;='01_Вводные'!$B$293,MONTH(AY$3)=MONTH('01_Вводные'!$B$293)),1+AY5,1)</f>
        <v/>
      </c>
      <c r="AZ4" s="152">
        <f>AY4*IF(AND('01_Вводные'!$B$294="Да",AZ$3&gt;='01_Вводные'!$B$293,MONTH(AZ$3)=MONTH('01_Вводные'!$B$293)),1+AZ5,1)</f>
        <v/>
      </c>
      <c r="BA4" s="152">
        <f>AZ4*IF(AND('01_Вводные'!$B$294="Да",BA$3&gt;='01_Вводные'!$B$293,MONTH(BA$3)=MONTH('01_Вводные'!$B$293)),1+BA5,1)</f>
        <v/>
      </c>
      <c r="BB4" s="152">
        <f>BA4*IF(AND('01_Вводные'!$B$294="Да",BB$3&gt;='01_Вводные'!$B$293,MONTH(BB$3)=MONTH('01_Вводные'!$B$293)),1+BB5,1)</f>
        <v/>
      </c>
      <c r="BC4" s="152">
        <f>BB4*IF(AND('01_Вводные'!$B$294="Да",BC$3&gt;='01_Вводные'!$B$293,MONTH(BC$3)=MONTH('01_Вводные'!$B$293)),1+BC5,1)</f>
        <v/>
      </c>
      <c r="BD4" s="152">
        <f>BC4*IF(AND('01_Вводные'!$B$294="Да",BD$3&gt;='01_Вводные'!$B$293,MONTH(BD$3)=MONTH('01_Вводные'!$B$293)),1+BD5,1)</f>
        <v/>
      </c>
      <c r="BE4" s="152">
        <f>BD4*IF(AND('01_Вводные'!$B$294="Да",BE$3&gt;='01_Вводные'!$B$293,MONTH(BE$3)=MONTH('01_Вводные'!$B$293)),1+BE5,1)</f>
        <v/>
      </c>
      <c r="BF4" s="152">
        <f>BE4*IF(AND('01_Вводные'!$B$294="Да",BF$3&gt;='01_Вводные'!$B$293,MONTH(BF$3)=MONTH('01_Вводные'!$B$293)),1+BF5,1)</f>
        <v/>
      </c>
      <c r="BG4" s="152">
        <f>BF4*IF(AND('01_Вводные'!$B$294="Да",BG$3&gt;='01_Вводные'!$B$293,MONTH(BG$3)=MONTH('01_Вводные'!$B$293)),1+BG5,1)</f>
        <v/>
      </c>
      <c r="BH4" s="152">
        <f>BG4*IF(AND('01_Вводные'!$B$294="Да",BH$3&gt;='01_Вводные'!$B$293,MONTH(BH$3)=MONTH('01_Вводные'!$B$293)),1+BH5,1)</f>
        <v/>
      </c>
      <c r="BI4" s="152">
        <f>BH4*IF(AND('01_Вводные'!$B$294="Да",BI$3&gt;='01_Вводные'!$B$293,MONTH(BI$3)=MONTH('01_Вводные'!$B$293)),1+BI5,1)</f>
        <v/>
      </c>
      <c r="BJ4" s="152">
        <f>BI4*IF(AND('01_Вводные'!$B$294="Да",BJ$3&gt;='01_Вводные'!$B$293,MONTH(BJ$3)=MONTH('01_Вводные'!$B$293)),1+BJ5,1)</f>
        <v/>
      </c>
      <c r="BK4" s="152">
        <f>BJ4*IF(AND('01_Вводные'!$B$294="Да",BK$3&gt;='01_Вводные'!$B$293,MONTH(BK$3)=MONTH('01_Вводные'!$B$293)),1+BK5,1)</f>
        <v/>
      </c>
      <c r="BL4" s="152">
        <f>BK4*IF(AND('01_Вводные'!$B$294="Да",BL$3&gt;='01_Вводные'!$B$293,MONTH(BL$3)=MONTH('01_Вводные'!$B$293)),1+BL5,1)</f>
        <v/>
      </c>
      <c r="BM4" s="152">
        <f>BL4*IF(AND('01_Вводные'!$B$294="Да",BM$3&gt;='01_Вводные'!$B$293,MONTH(BM$3)=MONTH('01_Вводные'!$B$293)),1+BM5,1)</f>
        <v/>
      </c>
      <c r="BN4" s="152">
        <f>BM4*IF(AND('01_Вводные'!$B$294="Да",BN$3&gt;='01_Вводные'!$B$293,MONTH(BN$3)=MONTH('01_Вводные'!$B$293)),1+BN5,1)</f>
        <v/>
      </c>
      <c r="BO4" s="152">
        <f>BN4*IF(AND('01_Вводные'!$B$294="Да",BO$3&gt;='01_Вводные'!$B$293,MONTH(BO$3)=MONTH('01_Вводные'!$B$293)),1+BO5,1)</f>
        <v/>
      </c>
    </row>
    <row r="5">
      <c r="A5" s="150" t="inlineStr">
        <is>
          <t>Инфляция года</t>
        </is>
      </c>
      <c r="B5" s="152">
        <f>SUMIF('01_Вводные'!$A$301:$A$307,YEAR(B$3),'01_Вводные'!$B$301:$B$307)</f>
        <v/>
      </c>
      <c r="C5" s="152">
        <f>SUMIF('01_Вводные'!$A$301:$A$307,YEAR(C$3),'01_Вводные'!$B$301:$B$307)</f>
        <v/>
      </c>
      <c r="D5" s="152">
        <f>SUMIF('01_Вводные'!$A$301:$A$307,YEAR(D$3),'01_Вводные'!$B$301:$B$307)</f>
        <v/>
      </c>
      <c r="E5" s="152">
        <f>SUMIF('01_Вводные'!$A$301:$A$307,YEAR(E$3),'01_Вводные'!$B$301:$B$307)</f>
        <v/>
      </c>
      <c r="F5" s="152">
        <f>SUMIF('01_Вводные'!$A$301:$A$307,YEAR(F$3),'01_Вводные'!$B$301:$B$307)</f>
        <v/>
      </c>
      <c r="G5" s="152">
        <f>SUMIF('01_Вводные'!$A$301:$A$307,YEAR(G$3),'01_Вводные'!$B$301:$B$307)</f>
        <v/>
      </c>
      <c r="H5" s="152">
        <f>SUMIF('01_Вводные'!$A$301:$A$307,YEAR(H$3),'01_Вводные'!$B$301:$B$307)</f>
        <v/>
      </c>
      <c r="I5" s="152">
        <f>SUMIF('01_Вводные'!$A$301:$A$307,YEAR(I$3),'01_Вводные'!$B$301:$B$307)</f>
        <v/>
      </c>
      <c r="J5" s="152">
        <f>SUMIF('01_Вводные'!$A$301:$A$307,YEAR(J$3),'01_Вводные'!$B$301:$B$307)</f>
        <v/>
      </c>
      <c r="K5" s="152">
        <f>SUMIF('01_Вводные'!$A$301:$A$307,YEAR(K$3),'01_Вводные'!$B$301:$B$307)</f>
        <v/>
      </c>
      <c r="L5" s="152">
        <f>SUMIF('01_Вводные'!$A$301:$A$307,YEAR(L$3),'01_Вводные'!$B$301:$B$307)</f>
        <v/>
      </c>
      <c r="M5" s="152">
        <f>SUMIF('01_Вводные'!$A$301:$A$307,YEAR(M$3),'01_Вводные'!$B$301:$B$307)</f>
        <v/>
      </c>
      <c r="N5" s="152">
        <f>SUMIF('01_Вводные'!$A$301:$A$307,YEAR(N$3),'01_Вводные'!$B$301:$B$307)</f>
        <v/>
      </c>
      <c r="O5" s="152">
        <f>SUMIF('01_Вводные'!$A$301:$A$307,YEAR(O$3),'01_Вводные'!$B$301:$B$307)</f>
        <v/>
      </c>
      <c r="P5" s="152">
        <f>SUMIF('01_Вводные'!$A$301:$A$307,YEAR(P$3),'01_Вводные'!$B$301:$B$307)</f>
        <v/>
      </c>
      <c r="Q5" s="152">
        <f>SUMIF('01_Вводные'!$A$301:$A$307,YEAR(Q$3),'01_Вводные'!$B$301:$B$307)</f>
        <v/>
      </c>
      <c r="R5" s="152">
        <f>SUMIF('01_Вводные'!$A$301:$A$307,YEAR(R$3),'01_Вводные'!$B$301:$B$307)</f>
        <v/>
      </c>
      <c r="S5" s="152">
        <f>SUMIF('01_Вводные'!$A$301:$A$307,YEAR(S$3),'01_Вводные'!$B$301:$B$307)</f>
        <v/>
      </c>
      <c r="T5" s="152">
        <f>SUMIF('01_Вводные'!$A$301:$A$307,YEAR(T$3),'01_Вводные'!$B$301:$B$307)</f>
        <v/>
      </c>
      <c r="U5" s="152">
        <f>SUMIF('01_Вводные'!$A$301:$A$307,YEAR(U$3),'01_Вводные'!$B$301:$B$307)</f>
        <v/>
      </c>
      <c r="V5" s="152">
        <f>SUMIF('01_Вводные'!$A$301:$A$307,YEAR(V$3),'01_Вводные'!$B$301:$B$307)</f>
        <v/>
      </c>
      <c r="W5" s="152">
        <f>SUMIF('01_Вводные'!$A$301:$A$307,YEAR(W$3),'01_Вводные'!$B$301:$B$307)</f>
        <v/>
      </c>
      <c r="X5" s="152">
        <f>SUMIF('01_Вводные'!$A$301:$A$307,YEAR(X$3),'01_Вводные'!$B$301:$B$307)</f>
        <v/>
      </c>
      <c r="Y5" s="152">
        <f>SUMIF('01_Вводные'!$A$301:$A$307,YEAR(Y$3),'01_Вводные'!$B$301:$B$307)</f>
        <v/>
      </c>
      <c r="Z5" s="152">
        <f>SUMIF('01_Вводные'!$A$301:$A$307,YEAR(Z$3),'01_Вводные'!$B$301:$B$307)</f>
        <v/>
      </c>
      <c r="AA5" s="152">
        <f>SUMIF('01_Вводные'!$A$301:$A$307,YEAR(AA$3),'01_Вводные'!$B$301:$B$307)</f>
        <v/>
      </c>
      <c r="AB5" s="152">
        <f>SUMIF('01_Вводные'!$A$301:$A$307,YEAR(AB$3),'01_Вводные'!$B$301:$B$307)</f>
        <v/>
      </c>
      <c r="AC5" s="152">
        <f>SUMIF('01_Вводные'!$A$301:$A$307,YEAR(AC$3),'01_Вводные'!$B$301:$B$307)</f>
        <v/>
      </c>
      <c r="AD5" s="152">
        <f>SUMIF('01_Вводные'!$A$301:$A$307,YEAR(AD$3),'01_Вводные'!$B$301:$B$307)</f>
        <v/>
      </c>
      <c r="AE5" s="152">
        <f>SUMIF('01_Вводные'!$A$301:$A$307,YEAR(AE$3),'01_Вводные'!$B$301:$B$307)</f>
        <v/>
      </c>
      <c r="AF5" s="152">
        <f>SUMIF('01_Вводные'!$A$301:$A$307,YEAR(AF$3),'01_Вводные'!$B$301:$B$307)</f>
        <v/>
      </c>
      <c r="AG5" s="152">
        <f>SUMIF('01_Вводные'!$A$301:$A$307,YEAR(AG$3),'01_Вводные'!$B$301:$B$307)</f>
        <v/>
      </c>
      <c r="AH5" s="152">
        <f>SUMIF('01_Вводные'!$A$301:$A$307,YEAR(AH$3),'01_Вводные'!$B$301:$B$307)</f>
        <v/>
      </c>
      <c r="AI5" s="152">
        <f>SUMIF('01_Вводные'!$A$301:$A$307,YEAR(AI$3),'01_Вводные'!$B$301:$B$307)</f>
        <v/>
      </c>
      <c r="AJ5" s="152">
        <f>SUMIF('01_Вводные'!$A$301:$A$307,YEAR(AJ$3),'01_Вводные'!$B$301:$B$307)</f>
        <v/>
      </c>
      <c r="AK5" s="152">
        <f>SUMIF('01_Вводные'!$A$301:$A$307,YEAR(AK$3),'01_Вводные'!$B$301:$B$307)</f>
        <v/>
      </c>
      <c r="AL5" s="152">
        <f>SUMIF('01_Вводные'!$A$301:$A$307,YEAR(AL$3),'01_Вводные'!$B$301:$B$307)</f>
        <v/>
      </c>
      <c r="AM5" s="152">
        <f>SUMIF('01_Вводные'!$A$301:$A$307,YEAR(AM$3),'01_Вводные'!$B$301:$B$307)</f>
        <v/>
      </c>
      <c r="AN5" s="152">
        <f>SUMIF('01_Вводные'!$A$301:$A$307,YEAR(AN$3),'01_Вводные'!$B$301:$B$307)</f>
        <v/>
      </c>
      <c r="AO5" s="152">
        <f>SUMIF('01_Вводные'!$A$301:$A$307,YEAR(AO$3),'01_Вводные'!$B$301:$B$307)</f>
        <v/>
      </c>
      <c r="AP5" s="152">
        <f>SUMIF('01_Вводные'!$A$301:$A$307,YEAR(AP$3),'01_Вводные'!$B$301:$B$307)</f>
        <v/>
      </c>
      <c r="AQ5" s="152">
        <f>SUMIF('01_Вводные'!$A$301:$A$307,YEAR(AQ$3),'01_Вводные'!$B$301:$B$307)</f>
        <v/>
      </c>
      <c r="AR5" s="152">
        <f>SUMIF('01_Вводные'!$A$301:$A$307,YEAR(AR$3),'01_Вводные'!$B$301:$B$307)</f>
        <v/>
      </c>
      <c r="AS5" s="152">
        <f>SUMIF('01_Вводные'!$A$301:$A$307,YEAR(AS$3),'01_Вводные'!$B$301:$B$307)</f>
        <v/>
      </c>
      <c r="AT5" s="152">
        <f>SUMIF('01_Вводные'!$A$301:$A$307,YEAR(AT$3),'01_Вводные'!$B$301:$B$307)</f>
        <v/>
      </c>
      <c r="AU5" s="152">
        <f>SUMIF('01_Вводные'!$A$301:$A$307,YEAR(AU$3),'01_Вводные'!$B$301:$B$307)</f>
        <v/>
      </c>
      <c r="AV5" s="152">
        <f>SUMIF('01_Вводные'!$A$301:$A$307,YEAR(AV$3),'01_Вводные'!$B$301:$B$307)</f>
        <v/>
      </c>
      <c r="AW5" s="152">
        <f>SUMIF('01_Вводные'!$A$301:$A$307,YEAR(AW$3),'01_Вводные'!$B$301:$B$307)</f>
        <v/>
      </c>
      <c r="AX5" s="152">
        <f>SUMIF('01_Вводные'!$A$301:$A$307,YEAR(AX$3),'01_Вводные'!$B$301:$B$307)</f>
        <v/>
      </c>
      <c r="AY5" s="152">
        <f>SUMIF('01_Вводные'!$A$301:$A$307,YEAR(AY$3),'01_Вводные'!$B$301:$B$307)</f>
        <v/>
      </c>
      <c r="AZ5" s="152">
        <f>SUMIF('01_Вводные'!$A$301:$A$307,YEAR(AZ$3),'01_Вводные'!$B$301:$B$307)</f>
        <v/>
      </c>
      <c r="BA5" s="152">
        <f>SUMIF('01_Вводные'!$A$301:$A$307,YEAR(BA$3),'01_Вводные'!$B$301:$B$307)</f>
        <v/>
      </c>
      <c r="BB5" s="152">
        <f>SUMIF('01_Вводные'!$A$301:$A$307,YEAR(BB$3),'01_Вводные'!$B$301:$B$307)</f>
        <v/>
      </c>
      <c r="BC5" s="152">
        <f>SUMIF('01_Вводные'!$A$301:$A$307,YEAR(BC$3),'01_Вводные'!$B$301:$B$307)</f>
        <v/>
      </c>
      <c r="BD5" s="152">
        <f>SUMIF('01_Вводные'!$A$301:$A$307,YEAR(BD$3),'01_Вводные'!$B$301:$B$307)</f>
        <v/>
      </c>
      <c r="BE5" s="152">
        <f>SUMIF('01_Вводные'!$A$301:$A$307,YEAR(BE$3),'01_Вводные'!$B$301:$B$307)</f>
        <v/>
      </c>
      <c r="BF5" s="152">
        <f>SUMIF('01_Вводные'!$A$301:$A$307,YEAR(BF$3),'01_Вводные'!$B$301:$B$307)</f>
        <v/>
      </c>
      <c r="BG5" s="152">
        <f>SUMIF('01_Вводные'!$A$301:$A$307,YEAR(BG$3),'01_Вводные'!$B$301:$B$307)</f>
        <v/>
      </c>
      <c r="BH5" s="152">
        <f>SUMIF('01_Вводные'!$A$301:$A$307,YEAR(BH$3),'01_Вводные'!$B$301:$B$307)</f>
        <v/>
      </c>
      <c r="BI5" s="152">
        <f>SUMIF('01_Вводные'!$A$301:$A$307,YEAR(BI$3),'01_Вводные'!$B$301:$B$307)</f>
        <v/>
      </c>
      <c r="BJ5" s="152">
        <f>SUMIF('01_Вводные'!$A$301:$A$307,YEAR(BJ$3),'01_Вводные'!$B$301:$B$307)</f>
        <v/>
      </c>
      <c r="BK5" s="152">
        <f>SUMIF('01_Вводные'!$A$301:$A$307,YEAR(BK$3),'01_Вводные'!$B$301:$B$307)</f>
        <v/>
      </c>
      <c r="BL5" s="152">
        <f>SUMIF('01_Вводные'!$A$301:$A$307,YEAR(BL$3),'01_Вводные'!$B$301:$B$307)</f>
        <v/>
      </c>
      <c r="BM5" s="152">
        <f>SUMIF('01_Вводные'!$A$301:$A$307,YEAR(BM$3),'01_Вводные'!$B$301:$B$307)</f>
        <v/>
      </c>
      <c r="BN5" s="152">
        <f>SUMIF('01_Вводные'!$A$301:$A$307,YEAR(BN$3),'01_Вводные'!$B$301:$B$307)</f>
        <v/>
      </c>
      <c r="BO5" s="152">
        <f>SUMIF('01_Вводные'!$A$301:$A$307,YEAR(BO$3),'01_Вводные'!$B$301:$B$307)</f>
        <v/>
      </c>
    </row>
    <row r="6">
      <c r="A6" s="150" t="inlineStr">
        <is>
          <t>Паушальный, с НДС</t>
        </is>
      </c>
      <c r="B6" s="152">
        <f>INDEX('01_Вводные'!$B$63:$B$67,MIN(5,INT(0/12)+1),1)*B4</f>
        <v/>
      </c>
      <c r="C6" s="152">
        <f>INDEX('01_Вводные'!$B$63:$B$67,MIN(5,INT(1/12)+1),1)*C4</f>
        <v/>
      </c>
      <c r="D6" s="152">
        <f>INDEX('01_Вводные'!$B$63:$B$67,MIN(5,INT(2/12)+1),1)*D4</f>
        <v/>
      </c>
      <c r="E6" s="152">
        <f>INDEX('01_Вводные'!$B$63:$B$67,MIN(5,INT(3/12)+1),1)*E4</f>
        <v/>
      </c>
      <c r="F6" s="152">
        <f>INDEX('01_Вводные'!$B$63:$B$67,MIN(5,INT(4/12)+1),1)*F4</f>
        <v/>
      </c>
      <c r="G6" s="152">
        <f>INDEX('01_Вводные'!$B$63:$B$67,MIN(5,INT(5/12)+1),1)*G4</f>
        <v/>
      </c>
      <c r="H6" s="152">
        <f>INDEX('01_Вводные'!$B$63:$B$67,MIN(5,INT(6/12)+1),1)*H4</f>
        <v/>
      </c>
      <c r="I6" s="152">
        <f>INDEX('01_Вводные'!$B$63:$B$67,MIN(5,INT(7/12)+1),1)*I4</f>
        <v/>
      </c>
      <c r="J6" s="152">
        <f>INDEX('01_Вводные'!$B$63:$B$67,MIN(5,INT(8/12)+1),1)*J4</f>
        <v/>
      </c>
      <c r="K6" s="152">
        <f>INDEX('01_Вводные'!$B$63:$B$67,MIN(5,INT(9/12)+1),1)*K4</f>
        <v/>
      </c>
      <c r="L6" s="152">
        <f>INDEX('01_Вводные'!$B$63:$B$67,MIN(5,INT(10/12)+1),1)*L4</f>
        <v/>
      </c>
      <c r="M6" s="152">
        <f>INDEX('01_Вводные'!$B$63:$B$67,MIN(5,INT(11/12)+1),1)*M4</f>
        <v/>
      </c>
      <c r="N6" s="152">
        <f>INDEX('01_Вводные'!$B$63:$B$67,MIN(5,INT(12/12)+1),1)*N4</f>
        <v/>
      </c>
      <c r="O6" s="152">
        <f>INDEX('01_Вводные'!$B$63:$B$67,MIN(5,INT(13/12)+1),1)*O4</f>
        <v/>
      </c>
      <c r="P6" s="152">
        <f>INDEX('01_Вводные'!$B$63:$B$67,MIN(5,INT(14/12)+1),1)*P4</f>
        <v/>
      </c>
      <c r="Q6" s="152">
        <f>INDEX('01_Вводные'!$B$63:$B$67,MIN(5,INT(15/12)+1),1)*Q4</f>
        <v/>
      </c>
      <c r="R6" s="152">
        <f>INDEX('01_Вводные'!$B$63:$B$67,MIN(5,INT(16/12)+1),1)*R4</f>
        <v/>
      </c>
      <c r="S6" s="152">
        <f>INDEX('01_Вводные'!$B$63:$B$67,MIN(5,INT(17/12)+1),1)*S4</f>
        <v/>
      </c>
      <c r="T6" s="152">
        <f>INDEX('01_Вводные'!$B$63:$B$67,MIN(5,INT(18/12)+1),1)*T4</f>
        <v/>
      </c>
      <c r="U6" s="152">
        <f>INDEX('01_Вводные'!$B$63:$B$67,MIN(5,INT(19/12)+1),1)*U4</f>
        <v/>
      </c>
      <c r="V6" s="152">
        <f>INDEX('01_Вводные'!$B$63:$B$67,MIN(5,INT(20/12)+1),1)*V4</f>
        <v/>
      </c>
      <c r="W6" s="152">
        <f>INDEX('01_Вводные'!$B$63:$B$67,MIN(5,INT(21/12)+1),1)*W4</f>
        <v/>
      </c>
      <c r="X6" s="152">
        <f>INDEX('01_Вводные'!$B$63:$B$67,MIN(5,INT(22/12)+1),1)*X4</f>
        <v/>
      </c>
      <c r="Y6" s="152">
        <f>INDEX('01_Вводные'!$B$63:$B$67,MIN(5,INT(23/12)+1),1)*Y4</f>
        <v/>
      </c>
      <c r="Z6" s="152">
        <f>INDEX('01_Вводные'!$B$63:$B$67,MIN(5,INT(24/12)+1),1)*Z4</f>
        <v/>
      </c>
      <c r="AA6" s="152">
        <f>INDEX('01_Вводные'!$B$63:$B$67,MIN(5,INT(25/12)+1),1)*AA4</f>
        <v/>
      </c>
      <c r="AB6" s="152">
        <f>INDEX('01_Вводные'!$B$63:$B$67,MIN(5,INT(26/12)+1),1)*AB4</f>
        <v/>
      </c>
      <c r="AC6" s="152">
        <f>INDEX('01_Вводные'!$B$63:$B$67,MIN(5,INT(27/12)+1),1)*AC4</f>
        <v/>
      </c>
      <c r="AD6" s="152">
        <f>INDEX('01_Вводные'!$B$63:$B$67,MIN(5,INT(28/12)+1),1)*AD4</f>
        <v/>
      </c>
      <c r="AE6" s="152">
        <f>INDEX('01_Вводные'!$B$63:$B$67,MIN(5,INT(29/12)+1),1)*AE4</f>
        <v/>
      </c>
      <c r="AF6" s="152">
        <f>INDEX('01_Вводные'!$B$63:$B$67,MIN(5,INT(30/12)+1),1)*AF4</f>
        <v/>
      </c>
      <c r="AG6" s="152">
        <f>INDEX('01_Вводные'!$B$63:$B$67,MIN(5,INT(31/12)+1),1)*AG4</f>
        <v/>
      </c>
      <c r="AH6" s="152">
        <f>INDEX('01_Вводные'!$B$63:$B$67,MIN(5,INT(32/12)+1),1)*AH4</f>
        <v/>
      </c>
      <c r="AI6" s="152">
        <f>INDEX('01_Вводные'!$B$63:$B$67,MIN(5,INT(33/12)+1),1)*AI4</f>
        <v/>
      </c>
      <c r="AJ6" s="152">
        <f>INDEX('01_Вводные'!$B$63:$B$67,MIN(5,INT(34/12)+1),1)*AJ4</f>
        <v/>
      </c>
      <c r="AK6" s="152">
        <f>INDEX('01_Вводные'!$B$63:$B$67,MIN(5,INT(35/12)+1),1)*AK4</f>
        <v/>
      </c>
      <c r="AL6" s="152">
        <f>INDEX('01_Вводные'!$B$63:$B$67,MIN(5,INT(36/12)+1),1)*AL4</f>
        <v/>
      </c>
      <c r="AM6" s="152">
        <f>INDEX('01_Вводные'!$B$63:$B$67,MIN(5,INT(37/12)+1),1)*AM4</f>
        <v/>
      </c>
      <c r="AN6" s="152">
        <f>INDEX('01_Вводные'!$B$63:$B$67,MIN(5,INT(38/12)+1),1)*AN4</f>
        <v/>
      </c>
      <c r="AO6" s="152">
        <f>INDEX('01_Вводные'!$B$63:$B$67,MIN(5,INT(39/12)+1),1)*AO4</f>
        <v/>
      </c>
      <c r="AP6" s="152">
        <f>INDEX('01_Вводные'!$B$63:$B$67,MIN(5,INT(40/12)+1),1)*AP4</f>
        <v/>
      </c>
      <c r="AQ6" s="152">
        <f>INDEX('01_Вводные'!$B$63:$B$67,MIN(5,INT(41/12)+1),1)*AQ4</f>
        <v/>
      </c>
      <c r="AR6" s="152">
        <f>INDEX('01_Вводные'!$B$63:$B$67,MIN(5,INT(42/12)+1),1)*AR4</f>
        <v/>
      </c>
      <c r="AS6" s="152">
        <f>INDEX('01_Вводные'!$B$63:$B$67,MIN(5,INT(43/12)+1),1)*AS4</f>
        <v/>
      </c>
      <c r="AT6" s="152">
        <f>INDEX('01_Вводные'!$B$63:$B$67,MIN(5,INT(44/12)+1),1)*AT4</f>
        <v/>
      </c>
      <c r="AU6" s="152">
        <f>INDEX('01_Вводные'!$B$63:$B$67,MIN(5,INT(45/12)+1),1)*AU4</f>
        <v/>
      </c>
      <c r="AV6" s="152">
        <f>INDEX('01_Вводные'!$B$63:$B$67,MIN(5,INT(46/12)+1),1)*AV4</f>
        <v/>
      </c>
      <c r="AW6" s="152">
        <f>INDEX('01_Вводные'!$B$63:$B$67,MIN(5,INT(47/12)+1),1)*AW4</f>
        <v/>
      </c>
      <c r="AX6" s="152">
        <f>INDEX('01_Вводные'!$B$63:$B$67,MIN(5,INT(48/12)+1),1)*AX4</f>
        <v/>
      </c>
      <c r="AY6" s="152">
        <f>INDEX('01_Вводные'!$B$63:$B$67,MIN(5,INT(49/12)+1),1)*AY4</f>
        <v/>
      </c>
      <c r="AZ6" s="152">
        <f>INDEX('01_Вводные'!$B$63:$B$67,MIN(5,INT(50/12)+1),1)*AZ4</f>
        <v/>
      </c>
      <c r="BA6" s="152">
        <f>INDEX('01_Вводные'!$B$63:$B$67,MIN(5,INT(51/12)+1),1)*BA4</f>
        <v/>
      </c>
      <c r="BB6" s="152">
        <f>INDEX('01_Вводные'!$B$63:$B$67,MIN(5,INT(52/12)+1),1)*BB4</f>
        <v/>
      </c>
      <c r="BC6" s="152">
        <f>INDEX('01_Вводные'!$B$63:$B$67,MIN(5,INT(53/12)+1),1)*BC4</f>
        <v/>
      </c>
      <c r="BD6" s="152">
        <f>INDEX('01_Вводные'!$B$63:$B$67,MIN(5,INT(54/12)+1),1)*BD4</f>
        <v/>
      </c>
      <c r="BE6" s="152">
        <f>INDEX('01_Вводные'!$B$63:$B$67,MIN(5,INT(55/12)+1),1)*BE4</f>
        <v/>
      </c>
      <c r="BF6" s="152">
        <f>INDEX('01_Вводные'!$B$63:$B$67,MIN(5,INT(56/12)+1),1)*BF4</f>
        <v/>
      </c>
      <c r="BG6" s="152">
        <f>INDEX('01_Вводные'!$B$63:$B$67,MIN(5,INT(57/12)+1),1)*BG4</f>
        <v/>
      </c>
      <c r="BH6" s="152">
        <f>INDEX('01_Вводные'!$B$63:$B$67,MIN(5,INT(58/12)+1),1)*BH4</f>
        <v/>
      </c>
      <c r="BI6" s="152">
        <f>INDEX('01_Вводные'!$B$63:$B$67,MIN(5,INT(59/12)+1),1)*BI4</f>
        <v/>
      </c>
      <c r="BJ6" s="152">
        <f>INDEX('01_Вводные'!$B$63:$B$67,MIN(5,INT(60/12)+1),1)*BJ4</f>
        <v/>
      </c>
      <c r="BK6" s="152">
        <f>INDEX('01_Вводные'!$B$63:$B$67,MIN(5,INT(61/12)+1),1)*BK4</f>
        <v/>
      </c>
      <c r="BL6" s="152">
        <f>INDEX('01_Вводные'!$B$63:$B$67,MIN(5,INT(62/12)+1),1)*BL4</f>
        <v/>
      </c>
      <c r="BM6" s="152">
        <f>INDEX('01_Вводные'!$B$63:$B$67,MIN(5,INT(63/12)+1),1)*BM4</f>
        <v/>
      </c>
      <c r="BN6" s="152">
        <f>INDEX('01_Вводные'!$B$63:$B$67,MIN(5,INT(64/12)+1),1)*BN4</f>
        <v/>
      </c>
      <c r="BO6" s="152">
        <f>INDEX('01_Вводные'!$B$63:$B$67,MIN(5,INT(65/12)+1),1)*BO4</f>
        <v/>
      </c>
    </row>
    <row r="7">
      <c r="A7" s="150" t="inlineStr">
        <is>
          <t>Абонемент новой школы</t>
        </is>
      </c>
      <c r="B7" s="152">
        <f>INDEX('01_Вводные'!$C$63:$C$67,MIN(5,INT(0/12)+1),1)*B4</f>
        <v/>
      </c>
      <c r="C7" s="152">
        <f>INDEX('01_Вводные'!$C$63:$C$67,MIN(5,INT(1/12)+1),1)*C4</f>
        <v/>
      </c>
      <c r="D7" s="152">
        <f>INDEX('01_Вводные'!$C$63:$C$67,MIN(5,INT(2/12)+1),1)*D4</f>
        <v/>
      </c>
      <c r="E7" s="152">
        <f>INDEX('01_Вводные'!$C$63:$C$67,MIN(5,INT(3/12)+1),1)*E4</f>
        <v/>
      </c>
      <c r="F7" s="152">
        <f>INDEX('01_Вводные'!$C$63:$C$67,MIN(5,INT(4/12)+1),1)*F4</f>
        <v/>
      </c>
      <c r="G7" s="152">
        <f>INDEX('01_Вводные'!$C$63:$C$67,MIN(5,INT(5/12)+1),1)*G4</f>
        <v/>
      </c>
      <c r="H7" s="152">
        <f>INDEX('01_Вводные'!$C$63:$C$67,MIN(5,INT(6/12)+1),1)*H4</f>
        <v/>
      </c>
      <c r="I7" s="152">
        <f>INDEX('01_Вводные'!$C$63:$C$67,MIN(5,INT(7/12)+1),1)*I4</f>
        <v/>
      </c>
      <c r="J7" s="152">
        <f>INDEX('01_Вводные'!$C$63:$C$67,MIN(5,INT(8/12)+1),1)*J4</f>
        <v/>
      </c>
      <c r="K7" s="152">
        <f>INDEX('01_Вводные'!$C$63:$C$67,MIN(5,INT(9/12)+1),1)*K4</f>
        <v/>
      </c>
      <c r="L7" s="152">
        <f>INDEX('01_Вводные'!$C$63:$C$67,MIN(5,INT(10/12)+1),1)*L4</f>
        <v/>
      </c>
      <c r="M7" s="152">
        <f>INDEX('01_Вводные'!$C$63:$C$67,MIN(5,INT(11/12)+1),1)*M4</f>
        <v/>
      </c>
      <c r="N7" s="152">
        <f>INDEX('01_Вводные'!$C$63:$C$67,MIN(5,INT(12/12)+1),1)*N4</f>
        <v/>
      </c>
      <c r="O7" s="152">
        <f>INDEX('01_Вводные'!$C$63:$C$67,MIN(5,INT(13/12)+1),1)*O4</f>
        <v/>
      </c>
      <c r="P7" s="152">
        <f>INDEX('01_Вводные'!$C$63:$C$67,MIN(5,INT(14/12)+1),1)*P4</f>
        <v/>
      </c>
      <c r="Q7" s="152">
        <f>INDEX('01_Вводные'!$C$63:$C$67,MIN(5,INT(15/12)+1),1)*Q4</f>
        <v/>
      </c>
      <c r="R7" s="152">
        <f>INDEX('01_Вводные'!$C$63:$C$67,MIN(5,INT(16/12)+1),1)*R4</f>
        <v/>
      </c>
      <c r="S7" s="152">
        <f>INDEX('01_Вводные'!$C$63:$C$67,MIN(5,INT(17/12)+1),1)*S4</f>
        <v/>
      </c>
      <c r="T7" s="152">
        <f>INDEX('01_Вводные'!$C$63:$C$67,MIN(5,INT(18/12)+1),1)*T4</f>
        <v/>
      </c>
      <c r="U7" s="152">
        <f>INDEX('01_Вводные'!$C$63:$C$67,MIN(5,INT(19/12)+1),1)*U4</f>
        <v/>
      </c>
      <c r="V7" s="152">
        <f>INDEX('01_Вводные'!$C$63:$C$67,MIN(5,INT(20/12)+1),1)*V4</f>
        <v/>
      </c>
      <c r="W7" s="152">
        <f>INDEX('01_Вводные'!$C$63:$C$67,MIN(5,INT(21/12)+1),1)*W4</f>
        <v/>
      </c>
      <c r="X7" s="152">
        <f>INDEX('01_Вводные'!$C$63:$C$67,MIN(5,INT(22/12)+1),1)*X4</f>
        <v/>
      </c>
      <c r="Y7" s="152">
        <f>INDEX('01_Вводные'!$C$63:$C$67,MIN(5,INT(23/12)+1),1)*Y4</f>
        <v/>
      </c>
      <c r="Z7" s="152">
        <f>INDEX('01_Вводные'!$C$63:$C$67,MIN(5,INT(24/12)+1),1)*Z4</f>
        <v/>
      </c>
      <c r="AA7" s="152">
        <f>INDEX('01_Вводные'!$C$63:$C$67,MIN(5,INT(25/12)+1),1)*AA4</f>
        <v/>
      </c>
      <c r="AB7" s="152">
        <f>INDEX('01_Вводные'!$C$63:$C$67,MIN(5,INT(26/12)+1),1)*AB4</f>
        <v/>
      </c>
      <c r="AC7" s="152">
        <f>INDEX('01_Вводные'!$C$63:$C$67,MIN(5,INT(27/12)+1),1)*AC4</f>
        <v/>
      </c>
      <c r="AD7" s="152">
        <f>INDEX('01_Вводные'!$C$63:$C$67,MIN(5,INT(28/12)+1),1)*AD4</f>
        <v/>
      </c>
      <c r="AE7" s="152">
        <f>INDEX('01_Вводные'!$C$63:$C$67,MIN(5,INT(29/12)+1),1)*AE4</f>
        <v/>
      </c>
      <c r="AF7" s="152">
        <f>INDEX('01_Вводные'!$C$63:$C$67,MIN(5,INT(30/12)+1),1)*AF4</f>
        <v/>
      </c>
      <c r="AG7" s="152">
        <f>INDEX('01_Вводные'!$C$63:$C$67,MIN(5,INT(31/12)+1),1)*AG4</f>
        <v/>
      </c>
      <c r="AH7" s="152">
        <f>INDEX('01_Вводные'!$C$63:$C$67,MIN(5,INT(32/12)+1),1)*AH4</f>
        <v/>
      </c>
      <c r="AI7" s="152">
        <f>INDEX('01_Вводные'!$C$63:$C$67,MIN(5,INT(33/12)+1),1)*AI4</f>
        <v/>
      </c>
      <c r="AJ7" s="152">
        <f>INDEX('01_Вводные'!$C$63:$C$67,MIN(5,INT(34/12)+1),1)*AJ4</f>
        <v/>
      </c>
      <c r="AK7" s="152">
        <f>INDEX('01_Вводные'!$C$63:$C$67,MIN(5,INT(35/12)+1),1)*AK4</f>
        <v/>
      </c>
      <c r="AL7" s="152">
        <f>INDEX('01_Вводные'!$C$63:$C$67,MIN(5,INT(36/12)+1),1)*AL4</f>
        <v/>
      </c>
      <c r="AM7" s="152">
        <f>INDEX('01_Вводные'!$C$63:$C$67,MIN(5,INT(37/12)+1),1)*AM4</f>
        <v/>
      </c>
      <c r="AN7" s="152">
        <f>INDEX('01_Вводные'!$C$63:$C$67,MIN(5,INT(38/12)+1),1)*AN4</f>
        <v/>
      </c>
      <c r="AO7" s="152">
        <f>INDEX('01_Вводные'!$C$63:$C$67,MIN(5,INT(39/12)+1),1)*AO4</f>
        <v/>
      </c>
      <c r="AP7" s="152">
        <f>INDEX('01_Вводные'!$C$63:$C$67,MIN(5,INT(40/12)+1),1)*AP4</f>
        <v/>
      </c>
      <c r="AQ7" s="152">
        <f>INDEX('01_Вводные'!$C$63:$C$67,MIN(5,INT(41/12)+1),1)*AQ4</f>
        <v/>
      </c>
      <c r="AR7" s="152">
        <f>INDEX('01_Вводные'!$C$63:$C$67,MIN(5,INT(42/12)+1),1)*AR4</f>
        <v/>
      </c>
      <c r="AS7" s="152">
        <f>INDEX('01_Вводные'!$C$63:$C$67,MIN(5,INT(43/12)+1),1)*AS4</f>
        <v/>
      </c>
      <c r="AT7" s="152">
        <f>INDEX('01_Вводные'!$C$63:$C$67,MIN(5,INT(44/12)+1),1)*AT4</f>
        <v/>
      </c>
      <c r="AU7" s="152">
        <f>INDEX('01_Вводные'!$C$63:$C$67,MIN(5,INT(45/12)+1),1)*AU4</f>
        <v/>
      </c>
      <c r="AV7" s="152">
        <f>INDEX('01_Вводные'!$C$63:$C$67,MIN(5,INT(46/12)+1),1)*AV4</f>
        <v/>
      </c>
      <c r="AW7" s="152">
        <f>INDEX('01_Вводные'!$C$63:$C$67,MIN(5,INT(47/12)+1),1)*AW4</f>
        <v/>
      </c>
      <c r="AX7" s="152">
        <f>INDEX('01_Вводные'!$C$63:$C$67,MIN(5,INT(48/12)+1),1)*AX4</f>
        <v/>
      </c>
      <c r="AY7" s="152">
        <f>INDEX('01_Вводные'!$C$63:$C$67,MIN(5,INT(49/12)+1),1)*AY4</f>
        <v/>
      </c>
      <c r="AZ7" s="152">
        <f>INDEX('01_Вводные'!$C$63:$C$67,MIN(5,INT(50/12)+1),1)*AZ4</f>
        <v/>
      </c>
      <c r="BA7" s="152">
        <f>INDEX('01_Вводные'!$C$63:$C$67,MIN(5,INT(51/12)+1),1)*BA4</f>
        <v/>
      </c>
      <c r="BB7" s="152">
        <f>INDEX('01_Вводные'!$C$63:$C$67,MIN(5,INT(52/12)+1),1)*BB4</f>
        <v/>
      </c>
      <c r="BC7" s="152">
        <f>INDEX('01_Вводные'!$C$63:$C$67,MIN(5,INT(53/12)+1),1)*BC4</f>
        <v/>
      </c>
      <c r="BD7" s="152">
        <f>INDEX('01_Вводные'!$C$63:$C$67,MIN(5,INT(54/12)+1),1)*BD4</f>
        <v/>
      </c>
      <c r="BE7" s="152">
        <f>INDEX('01_Вводные'!$C$63:$C$67,MIN(5,INT(55/12)+1),1)*BE4</f>
        <v/>
      </c>
      <c r="BF7" s="152">
        <f>INDEX('01_Вводные'!$C$63:$C$67,MIN(5,INT(56/12)+1),1)*BF4</f>
        <v/>
      </c>
      <c r="BG7" s="152">
        <f>INDEX('01_Вводные'!$C$63:$C$67,MIN(5,INT(57/12)+1),1)*BG4</f>
        <v/>
      </c>
      <c r="BH7" s="152">
        <f>INDEX('01_Вводные'!$C$63:$C$67,MIN(5,INT(58/12)+1),1)*BH4</f>
        <v/>
      </c>
      <c r="BI7" s="152">
        <f>INDEX('01_Вводные'!$C$63:$C$67,MIN(5,INT(59/12)+1),1)*BI4</f>
        <v/>
      </c>
      <c r="BJ7" s="152">
        <f>INDEX('01_Вводные'!$C$63:$C$67,MIN(5,INT(60/12)+1),1)*BJ4</f>
        <v/>
      </c>
      <c r="BK7" s="152">
        <f>INDEX('01_Вводные'!$C$63:$C$67,MIN(5,INT(61/12)+1),1)*BK4</f>
        <v/>
      </c>
      <c r="BL7" s="152">
        <f>INDEX('01_Вводные'!$C$63:$C$67,MIN(5,INT(62/12)+1),1)*BL4</f>
        <v/>
      </c>
      <c r="BM7" s="152">
        <f>INDEX('01_Вводные'!$C$63:$C$67,MIN(5,INT(63/12)+1),1)*BM4</f>
        <v/>
      </c>
      <c r="BN7" s="152">
        <f>INDEX('01_Вводные'!$C$63:$C$67,MIN(5,INT(64/12)+1),1)*BN4</f>
        <v/>
      </c>
      <c r="BO7" s="152">
        <f>INDEX('01_Вводные'!$C$63:$C$67,MIN(5,INT(65/12)+1),1)*BO4</f>
        <v/>
      </c>
    </row>
    <row r="8">
      <c r="A8" s="150" t="inlineStr">
        <is>
          <t>Абонемент действующей сети</t>
        </is>
      </c>
      <c r="B8" s="152">
        <f>'01_Вводные'!$B$51*B4</f>
        <v/>
      </c>
      <c r="C8" s="152">
        <f>'01_Вводные'!$B$51*C4</f>
        <v/>
      </c>
      <c r="D8" s="152">
        <f>'01_Вводные'!$B$51*D4</f>
        <v/>
      </c>
      <c r="E8" s="152">
        <f>'01_Вводные'!$B$51*E4</f>
        <v/>
      </c>
      <c r="F8" s="152">
        <f>'01_Вводные'!$B$51*F4</f>
        <v/>
      </c>
      <c r="G8" s="152">
        <f>'01_Вводные'!$B$51*G4</f>
        <v/>
      </c>
      <c r="H8" s="152">
        <f>'01_Вводные'!$B$51*H4</f>
        <v/>
      </c>
      <c r="I8" s="152">
        <f>'01_Вводные'!$B$51*I4</f>
        <v/>
      </c>
      <c r="J8" s="152">
        <f>'01_Вводные'!$B$51*J4</f>
        <v/>
      </c>
      <c r="K8" s="152">
        <f>'01_Вводные'!$B$51*K4</f>
        <v/>
      </c>
      <c r="L8" s="152">
        <f>'01_Вводные'!$B$51*L4</f>
        <v/>
      </c>
      <c r="M8" s="152">
        <f>'01_Вводные'!$B$51*M4</f>
        <v/>
      </c>
      <c r="N8" s="152">
        <f>'01_Вводные'!$B$51*N4</f>
        <v/>
      </c>
      <c r="O8" s="152">
        <f>'01_Вводные'!$B$51*O4</f>
        <v/>
      </c>
      <c r="P8" s="152">
        <f>'01_Вводные'!$B$51*P4</f>
        <v/>
      </c>
      <c r="Q8" s="152">
        <f>'01_Вводные'!$B$51*Q4</f>
        <v/>
      </c>
      <c r="R8" s="152">
        <f>'01_Вводные'!$B$51*R4</f>
        <v/>
      </c>
      <c r="S8" s="152">
        <f>'01_Вводные'!$B$51*S4</f>
        <v/>
      </c>
      <c r="T8" s="152">
        <f>'01_Вводные'!$B$51*T4</f>
        <v/>
      </c>
      <c r="U8" s="152">
        <f>'01_Вводные'!$B$51*U4</f>
        <v/>
      </c>
      <c r="V8" s="152">
        <f>'01_Вводные'!$B$51*V4</f>
        <v/>
      </c>
      <c r="W8" s="152">
        <f>'01_Вводные'!$B$51*W4</f>
        <v/>
      </c>
      <c r="X8" s="152">
        <f>'01_Вводные'!$B$51*X4</f>
        <v/>
      </c>
      <c r="Y8" s="152">
        <f>'01_Вводные'!$B$51*Y4</f>
        <v/>
      </c>
      <c r="Z8" s="152">
        <f>'01_Вводные'!$B$51*Z4</f>
        <v/>
      </c>
      <c r="AA8" s="152">
        <f>'01_Вводные'!$B$51*AA4</f>
        <v/>
      </c>
      <c r="AB8" s="152">
        <f>'01_Вводные'!$B$51*AB4</f>
        <v/>
      </c>
      <c r="AC8" s="152">
        <f>'01_Вводные'!$B$51*AC4</f>
        <v/>
      </c>
      <c r="AD8" s="152">
        <f>'01_Вводные'!$B$51*AD4</f>
        <v/>
      </c>
      <c r="AE8" s="152">
        <f>'01_Вводные'!$B$51*AE4</f>
        <v/>
      </c>
      <c r="AF8" s="152">
        <f>'01_Вводные'!$B$51*AF4</f>
        <v/>
      </c>
      <c r="AG8" s="152">
        <f>'01_Вводные'!$B$51*AG4</f>
        <v/>
      </c>
      <c r="AH8" s="152">
        <f>'01_Вводные'!$B$51*AH4</f>
        <v/>
      </c>
      <c r="AI8" s="152">
        <f>'01_Вводные'!$B$51*AI4</f>
        <v/>
      </c>
      <c r="AJ8" s="152">
        <f>'01_Вводные'!$B$51*AJ4</f>
        <v/>
      </c>
      <c r="AK8" s="152">
        <f>'01_Вводные'!$B$51*AK4</f>
        <v/>
      </c>
      <c r="AL8" s="152">
        <f>'01_Вводные'!$B$51*AL4</f>
        <v/>
      </c>
      <c r="AM8" s="152">
        <f>'01_Вводные'!$B$51*AM4</f>
        <v/>
      </c>
      <c r="AN8" s="152">
        <f>'01_Вводные'!$B$51*AN4</f>
        <v/>
      </c>
      <c r="AO8" s="152">
        <f>'01_Вводные'!$B$51*AO4</f>
        <v/>
      </c>
      <c r="AP8" s="152">
        <f>'01_Вводные'!$B$51*AP4</f>
        <v/>
      </c>
      <c r="AQ8" s="152">
        <f>'01_Вводные'!$B$51*AQ4</f>
        <v/>
      </c>
      <c r="AR8" s="152">
        <f>'01_Вводные'!$B$51*AR4</f>
        <v/>
      </c>
      <c r="AS8" s="152">
        <f>'01_Вводные'!$B$51*AS4</f>
        <v/>
      </c>
      <c r="AT8" s="152">
        <f>'01_Вводные'!$B$51*AT4</f>
        <v/>
      </c>
      <c r="AU8" s="152">
        <f>'01_Вводные'!$B$51*AU4</f>
        <v/>
      </c>
      <c r="AV8" s="152">
        <f>'01_Вводные'!$B$51*AV4</f>
        <v/>
      </c>
      <c r="AW8" s="152">
        <f>'01_Вводные'!$B$51*AW4</f>
        <v/>
      </c>
      <c r="AX8" s="152">
        <f>'01_Вводные'!$B$51*AX4</f>
        <v/>
      </c>
      <c r="AY8" s="152">
        <f>'01_Вводные'!$B$51*AY4</f>
        <v/>
      </c>
      <c r="AZ8" s="152">
        <f>'01_Вводные'!$B$51*AZ4</f>
        <v/>
      </c>
      <c r="BA8" s="152">
        <f>'01_Вводные'!$B$51*BA4</f>
        <v/>
      </c>
      <c r="BB8" s="152">
        <f>'01_Вводные'!$B$51*BB4</f>
        <v/>
      </c>
      <c r="BC8" s="152">
        <f>'01_Вводные'!$B$51*BC4</f>
        <v/>
      </c>
      <c r="BD8" s="152">
        <f>'01_Вводные'!$B$51*BD4</f>
        <v/>
      </c>
      <c r="BE8" s="152">
        <f>'01_Вводные'!$B$51*BE4</f>
        <v/>
      </c>
      <c r="BF8" s="152">
        <f>'01_Вводные'!$B$51*BF4</f>
        <v/>
      </c>
      <c r="BG8" s="152">
        <f>'01_Вводные'!$B$51*BG4</f>
        <v/>
      </c>
      <c r="BH8" s="152">
        <f>'01_Вводные'!$B$51*BH4</f>
        <v/>
      </c>
      <c r="BI8" s="152">
        <f>'01_Вводные'!$B$51*BI4</f>
        <v/>
      </c>
      <c r="BJ8" s="152">
        <f>'01_Вводные'!$B$51*BJ4</f>
        <v/>
      </c>
      <c r="BK8" s="152">
        <f>'01_Вводные'!$B$51*BK4</f>
        <v/>
      </c>
      <c r="BL8" s="152">
        <f>'01_Вводные'!$B$51*BL4</f>
        <v/>
      </c>
      <c r="BM8" s="152">
        <f>'01_Вводные'!$B$51*BM4</f>
        <v/>
      </c>
      <c r="BN8" s="152">
        <f>'01_Вводные'!$B$51*BN4</f>
        <v/>
      </c>
      <c r="BO8" s="152">
        <f>'01_Вводные'!$B$51*BO4</f>
        <v/>
      </c>
    </row>
    <row r="9">
      <c r="A9" s="150" t="inlineStr">
        <is>
          <t>Себестоимость комплекта</t>
        </is>
      </c>
      <c r="B9" s="152">
        <f>'01_Вводные'!$B$71*B4</f>
        <v/>
      </c>
      <c r="C9" s="152">
        <f>'01_Вводные'!$B$71*C4</f>
        <v/>
      </c>
      <c r="D9" s="152">
        <f>'01_Вводные'!$B$71*D4</f>
        <v/>
      </c>
      <c r="E9" s="152">
        <f>'01_Вводные'!$B$71*E4</f>
        <v/>
      </c>
      <c r="F9" s="152">
        <f>'01_Вводные'!$B$71*F4</f>
        <v/>
      </c>
      <c r="G9" s="152">
        <f>'01_Вводные'!$B$71*G4</f>
        <v/>
      </c>
      <c r="H9" s="152">
        <f>'01_Вводные'!$B$71*H4</f>
        <v/>
      </c>
      <c r="I9" s="152">
        <f>'01_Вводные'!$B$71*I4</f>
        <v/>
      </c>
      <c r="J9" s="152">
        <f>'01_Вводные'!$B$71*J4</f>
        <v/>
      </c>
      <c r="K9" s="152">
        <f>'01_Вводные'!$B$71*K4</f>
        <v/>
      </c>
      <c r="L9" s="152">
        <f>'01_Вводные'!$B$71*L4</f>
        <v/>
      </c>
      <c r="M9" s="152">
        <f>'01_Вводные'!$B$71*M4</f>
        <v/>
      </c>
      <c r="N9" s="152">
        <f>'01_Вводные'!$B$71*N4</f>
        <v/>
      </c>
      <c r="O9" s="152">
        <f>'01_Вводные'!$B$71*O4</f>
        <v/>
      </c>
      <c r="P9" s="152">
        <f>'01_Вводные'!$B$71*P4</f>
        <v/>
      </c>
      <c r="Q9" s="152">
        <f>'01_Вводные'!$B$71*Q4</f>
        <v/>
      </c>
      <c r="R9" s="152">
        <f>'01_Вводные'!$B$71*R4</f>
        <v/>
      </c>
      <c r="S9" s="152">
        <f>'01_Вводные'!$B$71*S4</f>
        <v/>
      </c>
      <c r="T9" s="152">
        <f>'01_Вводные'!$B$71*T4</f>
        <v/>
      </c>
      <c r="U9" s="152">
        <f>'01_Вводные'!$B$71*U4</f>
        <v/>
      </c>
      <c r="V9" s="152">
        <f>'01_Вводные'!$B$71*V4</f>
        <v/>
      </c>
      <c r="W9" s="152">
        <f>'01_Вводные'!$B$71*W4</f>
        <v/>
      </c>
      <c r="X9" s="152">
        <f>'01_Вводные'!$B$71*X4</f>
        <v/>
      </c>
      <c r="Y9" s="152">
        <f>'01_Вводные'!$B$71*Y4</f>
        <v/>
      </c>
      <c r="Z9" s="152">
        <f>'01_Вводные'!$B$71*Z4</f>
        <v/>
      </c>
      <c r="AA9" s="152">
        <f>'01_Вводные'!$B$71*AA4</f>
        <v/>
      </c>
      <c r="AB9" s="152">
        <f>'01_Вводные'!$B$71*AB4</f>
        <v/>
      </c>
      <c r="AC9" s="152">
        <f>'01_Вводные'!$B$71*AC4</f>
        <v/>
      </c>
      <c r="AD9" s="152">
        <f>'01_Вводные'!$B$71*AD4</f>
        <v/>
      </c>
      <c r="AE9" s="152">
        <f>'01_Вводные'!$B$71*AE4</f>
        <v/>
      </c>
      <c r="AF9" s="152">
        <f>'01_Вводные'!$B$71*AF4</f>
        <v/>
      </c>
      <c r="AG9" s="152">
        <f>'01_Вводные'!$B$71*AG4</f>
        <v/>
      </c>
      <c r="AH9" s="152">
        <f>'01_Вводные'!$B$71*AH4</f>
        <v/>
      </c>
      <c r="AI9" s="152">
        <f>'01_Вводные'!$B$71*AI4</f>
        <v/>
      </c>
      <c r="AJ9" s="152">
        <f>'01_Вводные'!$B$71*AJ4</f>
        <v/>
      </c>
      <c r="AK9" s="152">
        <f>'01_Вводные'!$B$71*AK4</f>
        <v/>
      </c>
      <c r="AL9" s="152">
        <f>'01_Вводные'!$B$71*AL4</f>
        <v/>
      </c>
      <c r="AM9" s="152">
        <f>'01_Вводные'!$B$71*AM4</f>
        <v/>
      </c>
      <c r="AN9" s="152">
        <f>'01_Вводные'!$B$71*AN4</f>
        <v/>
      </c>
      <c r="AO9" s="152">
        <f>'01_Вводные'!$B$71*AO4</f>
        <v/>
      </c>
      <c r="AP9" s="152">
        <f>'01_Вводные'!$B$71*AP4</f>
        <v/>
      </c>
      <c r="AQ9" s="152">
        <f>'01_Вводные'!$B$71*AQ4</f>
        <v/>
      </c>
      <c r="AR9" s="152">
        <f>'01_Вводные'!$B$71*AR4</f>
        <v/>
      </c>
      <c r="AS9" s="152">
        <f>'01_Вводные'!$B$71*AS4</f>
        <v/>
      </c>
      <c r="AT9" s="152">
        <f>'01_Вводные'!$B$71*AT4</f>
        <v/>
      </c>
      <c r="AU9" s="152">
        <f>'01_Вводные'!$B$71*AU4</f>
        <v/>
      </c>
      <c r="AV9" s="152">
        <f>'01_Вводные'!$B$71*AV4</f>
        <v/>
      </c>
      <c r="AW9" s="152">
        <f>'01_Вводные'!$B$71*AW4</f>
        <v/>
      </c>
      <c r="AX9" s="152">
        <f>'01_Вводные'!$B$71*AX4</f>
        <v/>
      </c>
      <c r="AY9" s="152">
        <f>'01_Вводные'!$B$71*AY4</f>
        <v/>
      </c>
      <c r="AZ9" s="152">
        <f>'01_Вводные'!$B$71*AZ4</f>
        <v/>
      </c>
      <c r="BA9" s="152">
        <f>'01_Вводные'!$B$71*BA4</f>
        <v/>
      </c>
      <c r="BB9" s="152">
        <f>'01_Вводные'!$B$71*BB4</f>
        <v/>
      </c>
      <c r="BC9" s="152">
        <f>'01_Вводные'!$B$71*BC4</f>
        <v/>
      </c>
      <c r="BD9" s="152">
        <f>'01_Вводные'!$B$71*BD4</f>
        <v/>
      </c>
      <c r="BE9" s="152">
        <f>'01_Вводные'!$B$71*BE4</f>
        <v/>
      </c>
      <c r="BF9" s="152">
        <f>'01_Вводные'!$B$71*BF4</f>
        <v/>
      </c>
      <c r="BG9" s="152">
        <f>'01_Вводные'!$B$71*BG4</f>
        <v/>
      </c>
      <c r="BH9" s="152">
        <f>'01_Вводные'!$B$71*BH4</f>
        <v/>
      </c>
      <c r="BI9" s="152">
        <f>'01_Вводные'!$B$71*BI4</f>
        <v/>
      </c>
      <c r="BJ9" s="152">
        <f>'01_Вводные'!$B$71*BJ4</f>
        <v/>
      </c>
      <c r="BK9" s="152">
        <f>'01_Вводные'!$B$71*BK4</f>
        <v/>
      </c>
      <c r="BL9" s="152">
        <f>'01_Вводные'!$B$71*BL4</f>
        <v/>
      </c>
      <c r="BM9" s="152">
        <f>'01_Вводные'!$B$71*BM4</f>
        <v/>
      </c>
      <c r="BN9" s="152">
        <f>'01_Вводные'!$B$71*BN4</f>
        <v/>
      </c>
      <c r="BO9" s="152">
        <f>'01_Вводные'!$B$71*BO4</f>
        <v/>
      </c>
    </row>
    <row r="10">
      <c r="A10" s="150" t="inlineStr">
        <is>
          <t>Цена комплекта</t>
        </is>
      </c>
      <c r="B10" s="152">
        <f>'01_Вводные'!$B$73*B4</f>
        <v/>
      </c>
      <c r="C10" s="152">
        <f>'01_Вводные'!$B$73*C4</f>
        <v/>
      </c>
      <c r="D10" s="152">
        <f>'01_Вводные'!$B$73*D4</f>
        <v/>
      </c>
      <c r="E10" s="152">
        <f>'01_Вводные'!$B$73*E4</f>
        <v/>
      </c>
      <c r="F10" s="152">
        <f>'01_Вводные'!$B$73*F4</f>
        <v/>
      </c>
      <c r="G10" s="152">
        <f>'01_Вводные'!$B$73*G4</f>
        <v/>
      </c>
      <c r="H10" s="152">
        <f>'01_Вводные'!$B$73*H4</f>
        <v/>
      </c>
      <c r="I10" s="152">
        <f>'01_Вводные'!$B$73*I4</f>
        <v/>
      </c>
      <c r="J10" s="152">
        <f>'01_Вводные'!$B$73*J4</f>
        <v/>
      </c>
      <c r="K10" s="152">
        <f>'01_Вводные'!$B$73*K4</f>
        <v/>
      </c>
      <c r="L10" s="152">
        <f>'01_Вводные'!$B$73*L4</f>
        <v/>
      </c>
      <c r="M10" s="152">
        <f>'01_Вводные'!$B$73*M4</f>
        <v/>
      </c>
      <c r="N10" s="152">
        <f>'01_Вводные'!$B$73*N4</f>
        <v/>
      </c>
      <c r="O10" s="152">
        <f>'01_Вводные'!$B$73*O4</f>
        <v/>
      </c>
      <c r="P10" s="152">
        <f>'01_Вводные'!$B$73*P4</f>
        <v/>
      </c>
      <c r="Q10" s="152">
        <f>'01_Вводные'!$B$73*Q4</f>
        <v/>
      </c>
      <c r="R10" s="152">
        <f>'01_Вводные'!$B$73*R4</f>
        <v/>
      </c>
      <c r="S10" s="152">
        <f>'01_Вводные'!$B$73*S4</f>
        <v/>
      </c>
      <c r="T10" s="152">
        <f>'01_Вводные'!$B$73*T4</f>
        <v/>
      </c>
      <c r="U10" s="152">
        <f>'01_Вводные'!$B$73*U4</f>
        <v/>
      </c>
      <c r="V10" s="152">
        <f>'01_Вводные'!$B$73*V4</f>
        <v/>
      </c>
      <c r="W10" s="152">
        <f>'01_Вводные'!$B$73*W4</f>
        <v/>
      </c>
      <c r="X10" s="152">
        <f>'01_Вводные'!$B$73*X4</f>
        <v/>
      </c>
      <c r="Y10" s="152">
        <f>'01_Вводные'!$B$73*Y4</f>
        <v/>
      </c>
      <c r="Z10" s="152">
        <f>'01_Вводные'!$B$73*Z4</f>
        <v/>
      </c>
      <c r="AA10" s="152">
        <f>'01_Вводные'!$B$73*AA4</f>
        <v/>
      </c>
      <c r="AB10" s="152">
        <f>'01_Вводные'!$B$73*AB4</f>
        <v/>
      </c>
      <c r="AC10" s="152">
        <f>'01_Вводные'!$B$73*AC4</f>
        <v/>
      </c>
      <c r="AD10" s="152">
        <f>'01_Вводные'!$B$73*AD4</f>
        <v/>
      </c>
      <c r="AE10" s="152">
        <f>'01_Вводные'!$B$73*AE4</f>
        <v/>
      </c>
      <c r="AF10" s="152">
        <f>'01_Вводные'!$B$73*AF4</f>
        <v/>
      </c>
      <c r="AG10" s="152">
        <f>'01_Вводные'!$B$73*AG4</f>
        <v/>
      </c>
      <c r="AH10" s="152">
        <f>'01_Вводные'!$B$73*AH4</f>
        <v/>
      </c>
      <c r="AI10" s="152">
        <f>'01_Вводные'!$B$73*AI4</f>
        <v/>
      </c>
      <c r="AJ10" s="152">
        <f>'01_Вводные'!$B$73*AJ4</f>
        <v/>
      </c>
      <c r="AK10" s="152">
        <f>'01_Вводные'!$B$73*AK4</f>
        <v/>
      </c>
      <c r="AL10" s="152">
        <f>'01_Вводные'!$B$73*AL4</f>
        <v/>
      </c>
      <c r="AM10" s="152">
        <f>'01_Вводные'!$B$73*AM4</f>
        <v/>
      </c>
      <c r="AN10" s="152">
        <f>'01_Вводные'!$B$73*AN4</f>
        <v/>
      </c>
      <c r="AO10" s="152">
        <f>'01_Вводные'!$B$73*AO4</f>
        <v/>
      </c>
      <c r="AP10" s="152">
        <f>'01_Вводные'!$B$73*AP4</f>
        <v/>
      </c>
      <c r="AQ10" s="152">
        <f>'01_Вводные'!$B$73*AQ4</f>
        <v/>
      </c>
      <c r="AR10" s="152">
        <f>'01_Вводные'!$B$73*AR4</f>
        <v/>
      </c>
      <c r="AS10" s="152">
        <f>'01_Вводные'!$B$73*AS4</f>
        <v/>
      </c>
      <c r="AT10" s="152">
        <f>'01_Вводные'!$B$73*AT4</f>
        <v/>
      </c>
      <c r="AU10" s="152">
        <f>'01_Вводные'!$B$73*AU4</f>
        <v/>
      </c>
      <c r="AV10" s="152">
        <f>'01_Вводные'!$B$73*AV4</f>
        <v/>
      </c>
      <c r="AW10" s="152">
        <f>'01_Вводные'!$B$73*AW4</f>
        <v/>
      </c>
      <c r="AX10" s="152">
        <f>'01_Вводные'!$B$73*AX4</f>
        <v/>
      </c>
      <c r="AY10" s="152">
        <f>'01_Вводные'!$B$73*AY4</f>
        <v/>
      </c>
      <c r="AZ10" s="152">
        <f>'01_Вводные'!$B$73*AZ4</f>
        <v/>
      </c>
      <c r="BA10" s="152">
        <f>'01_Вводные'!$B$73*BA4</f>
        <v/>
      </c>
      <c r="BB10" s="152">
        <f>'01_Вводные'!$B$73*BB4</f>
        <v/>
      </c>
      <c r="BC10" s="152">
        <f>'01_Вводные'!$B$73*BC4</f>
        <v/>
      </c>
      <c r="BD10" s="152">
        <f>'01_Вводные'!$B$73*BD4</f>
        <v/>
      </c>
      <c r="BE10" s="152">
        <f>'01_Вводные'!$B$73*BE4</f>
        <v/>
      </c>
      <c r="BF10" s="152">
        <f>'01_Вводные'!$B$73*BF4</f>
        <v/>
      </c>
      <c r="BG10" s="152">
        <f>'01_Вводные'!$B$73*BG4</f>
        <v/>
      </c>
      <c r="BH10" s="152">
        <f>'01_Вводные'!$B$73*BH4</f>
        <v/>
      </c>
      <c r="BI10" s="152">
        <f>'01_Вводные'!$B$73*BI4</f>
        <v/>
      </c>
      <c r="BJ10" s="152">
        <f>'01_Вводные'!$B$73*BJ4</f>
        <v/>
      </c>
      <c r="BK10" s="152">
        <f>'01_Вводные'!$B$73*BK4</f>
        <v/>
      </c>
      <c r="BL10" s="152">
        <f>'01_Вводные'!$B$73*BL4</f>
        <v/>
      </c>
      <c r="BM10" s="152">
        <f>'01_Вводные'!$B$73*BM4</f>
        <v/>
      </c>
      <c r="BN10" s="152">
        <f>'01_Вводные'!$B$73*BN4</f>
        <v/>
      </c>
      <c r="BO10" s="152">
        <f>'01_Вводные'!$B$73*BO4</f>
        <v/>
      </c>
    </row>
    <row r="11">
      <c r="A11" s="150" t="inlineStr">
        <is>
          <t>Таргет на продажу</t>
        </is>
      </c>
      <c r="B11" s="152">
        <f>'01_Вводные'!$B$26*B4</f>
        <v/>
      </c>
      <c r="C11" s="152">
        <f>'01_Вводные'!$B$26*C4</f>
        <v/>
      </c>
      <c r="D11" s="152">
        <f>'01_Вводные'!$B$26*D4</f>
        <v/>
      </c>
      <c r="E11" s="152">
        <f>'01_Вводные'!$B$26*E4</f>
        <v/>
      </c>
      <c r="F11" s="152">
        <f>'01_Вводные'!$B$26*F4</f>
        <v/>
      </c>
      <c r="G11" s="152">
        <f>'01_Вводные'!$B$26*G4</f>
        <v/>
      </c>
      <c r="H11" s="152">
        <f>'01_Вводные'!$B$26*H4</f>
        <v/>
      </c>
      <c r="I11" s="152">
        <f>'01_Вводные'!$B$26*I4</f>
        <v/>
      </c>
      <c r="J11" s="152">
        <f>'01_Вводные'!$B$26*J4</f>
        <v/>
      </c>
      <c r="K11" s="152">
        <f>'01_Вводные'!$B$26*K4</f>
        <v/>
      </c>
      <c r="L11" s="152">
        <f>'01_Вводные'!$B$26*L4</f>
        <v/>
      </c>
      <c r="M11" s="152">
        <f>'01_Вводные'!$B$26*M4</f>
        <v/>
      </c>
      <c r="N11" s="152">
        <f>'01_Вводные'!$B$26*N4</f>
        <v/>
      </c>
      <c r="O11" s="152">
        <f>'01_Вводные'!$B$26*O4</f>
        <v/>
      </c>
      <c r="P11" s="152">
        <f>'01_Вводные'!$B$26*P4</f>
        <v/>
      </c>
      <c r="Q11" s="152">
        <f>'01_Вводные'!$B$26*Q4</f>
        <v/>
      </c>
      <c r="R11" s="152">
        <f>'01_Вводные'!$B$26*R4</f>
        <v/>
      </c>
      <c r="S11" s="152">
        <f>'01_Вводные'!$B$26*S4</f>
        <v/>
      </c>
      <c r="T11" s="152">
        <f>'01_Вводные'!$B$26*T4</f>
        <v/>
      </c>
      <c r="U11" s="152">
        <f>'01_Вводные'!$B$26*U4</f>
        <v/>
      </c>
      <c r="V11" s="152">
        <f>'01_Вводные'!$B$26*V4</f>
        <v/>
      </c>
      <c r="W11" s="152">
        <f>'01_Вводные'!$B$26*W4</f>
        <v/>
      </c>
      <c r="X11" s="152">
        <f>'01_Вводные'!$B$26*X4</f>
        <v/>
      </c>
      <c r="Y11" s="152">
        <f>'01_Вводные'!$B$26*Y4</f>
        <v/>
      </c>
      <c r="Z11" s="152">
        <f>'01_Вводные'!$B$26*Z4</f>
        <v/>
      </c>
      <c r="AA11" s="152">
        <f>'01_Вводные'!$B$26*AA4</f>
        <v/>
      </c>
      <c r="AB11" s="152">
        <f>'01_Вводные'!$B$26*AB4</f>
        <v/>
      </c>
      <c r="AC11" s="152">
        <f>'01_Вводные'!$B$26*AC4</f>
        <v/>
      </c>
      <c r="AD11" s="152">
        <f>'01_Вводные'!$B$26*AD4</f>
        <v/>
      </c>
      <c r="AE11" s="152">
        <f>'01_Вводные'!$B$26*AE4</f>
        <v/>
      </c>
      <c r="AF11" s="152">
        <f>'01_Вводные'!$B$26*AF4</f>
        <v/>
      </c>
      <c r="AG11" s="152">
        <f>'01_Вводные'!$B$26*AG4</f>
        <v/>
      </c>
      <c r="AH11" s="152">
        <f>'01_Вводные'!$B$26*AH4</f>
        <v/>
      </c>
      <c r="AI11" s="152">
        <f>'01_Вводные'!$B$26*AI4</f>
        <v/>
      </c>
      <c r="AJ11" s="152">
        <f>'01_Вводные'!$B$26*AJ4</f>
        <v/>
      </c>
      <c r="AK11" s="152">
        <f>'01_Вводные'!$B$26*AK4</f>
        <v/>
      </c>
      <c r="AL11" s="152">
        <f>'01_Вводные'!$B$26*AL4</f>
        <v/>
      </c>
      <c r="AM11" s="152">
        <f>'01_Вводные'!$B$26*AM4</f>
        <v/>
      </c>
      <c r="AN11" s="152">
        <f>'01_Вводные'!$B$26*AN4</f>
        <v/>
      </c>
      <c r="AO11" s="152">
        <f>'01_Вводные'!$B$26*AO4</f>
        <v/>
      </c>
      <c r="AP11" s="152">
        <f>'01_Вводные'!$B$26*AP4</f>
        <v/>
      </c>
      <c r="AQ11" s="152">
        <f>'01_Вводные'!$B$26*AQ4</f>
        <v/>
      </c>
      <c r="AR11" s="152">
        <f>'01_Вводные'!$B$26*AR4</f>
        <v/>
      </c>
      <c r="AS11" s="152">
        <f>'01_Вводные'!$B$26*AS4</f>
        <v/>
      </c>
      <c r="AT11" s="152">
        <f>'01_Вводные'!$B$26*AT4</f>
        <v/>
      </c>
      <c r="AU11" s="152">
        <f>'01_Вводные'!$B$26*AU4</f>
        <v/>
      </c>
      <c r="AV11" s="152">
        <f>'01_Вводные'!$B$26*AV4</f>
        <v/>
      </c>
      <c r="AW11" s="152">
        <f>'01_Вводные'!$B$26*AW4</f>
        <v/>
      </c>
      <c r="AX11" s="152">
        <f>'01_Вводные'!$B$26*AX4</f>
        <v/>
      </c>
      <c r="AY11" s="152">
        <f>'01_Вводные'!$B$26*AY4</f>
        <v/>
      </c>
      <c r="AZ11" s="152">
        <f>'01_Вводные'!$B$26*AZ4</f>
        <v/>
      </c>
      <c r="BA11" s="152">
        <f>'01_Вводные'!$B$26*BA4</f>
        <v/>
      </c>
      <c r="BB11" s="152">
        <f>'01_Вводные'!$B$26*BB4</f>
        <v/>
      </c>
      <c r="BC11" s="152">
        <f>'01_Вводные'!$B$26*BC4</f>
        <v/>
      </c>
      <c r="BD11" s="152">
        <f>'01_Вводные'!$B$26*BD4</f>
        <v/>
      </c>
      <c r="BE11" s="152">
        <f>'01_Вводные'!$B$26*BE4</f>
        <v/>
      </c>
      <c r="BF11" s="152">
        <f>'01_Вводные'!$B$26*BF4</f>
        <v/>
      </c>
      <c r="BG11" s="152">
        <f>'01_Вводные'!$B$26*BG4</f>
        <v/>
      </c>
      <c r="BH11" s="152">
        <f>'01_Вводные'!$B$26*BH4</f>
        <v/>
      </c>
      <c r="BI11" s="152">
        <f>'01_Вводные'!$B$26*BI4</f>
        <v/>
      </c>
      <c r="BJ11" s="152">
        <f>'01_Вводные'!$B$26*BJ4</f>
        <v/>
      </c>
      <c r="BK11" s="152">
        <f>'01_Вводные'!$B$26*BK4</f>
        <v/>
      </c>
      <c r="BL11" s="152">
        <f>'01_Вводные'!$B$26*BL4</f>
        <v/>
      </c>
      <c r="BM11" s="152">
        <f>'01_Вводные'!$B$26*BM4</f>
        <v/>
      </c>
      <c r="BN11" s="152">
        <f>'01_Вводные'!$B$26*BN4</f>
        <v/>
      </c>
      <c r="BO11" s="152">
        <f>'01_Вводные'!$B$26*BO4</f>
        <v/>
      </c>
    </row>
    <row r="12">
      <c r="B12" s="153" t="n"/>
      <c r="C12" s="153" t="n"/>
      <c r="D12" s="153" t="n"/>
      <c r="E12" s="153" t="n"/>
      <c r="F12" s="153" t="n"/>
      <c r="G12" s="153" t="n"/>
      <c r="H12" s="153" t="n"/>
      <c r="I12" s="153" t="n"/>
      <c r="J12" s="153" t="n"/>
      <c r="K12" s="153" t="n"/>
      <c r="L12" s="153" t="n"/>
      <c r="M12" s="153" t="n"/>
      <c r="N12" s="153" t="n"/>
      <c r="O12" s="153" t="n"/>
      <c r="P12" s="153" t="n"/>
      <c r="Q12" s="153" t="n"/>
      <c r="R12" s="153" t="n"/>
      <c r="S12" s="153" t="n"/>
      <c r="T12" s="153" t="n"/>
      <c r="U12" s="153" t="n"/>
      <c r="V12" s="153" t="n"/>
      <c r="W12" s="153" t="n"/>
      <c r="X12" s="153" t="n"/>
      <c r="Y12" s="153" t="n"/>
      <c r="Z12" s="153" t="n"/>
      <c r="AA12" s="153" t="n"/>
      <c r="AB12" s="153" t="n"/>
      <c r="AC12" s="153" t="n"/>
      <c r="AD12" s="153" t="n"/>
      <c r="AE12" s="153" t="n"/>
      <c r="AF12" s="153" t="n"/>
      <c r="AG12" s="153" t="n"/>
      <c r="AH12" s="153" t="n"/>
      <c r="AI12" s="153" t="n"/>
      <c r="AJ12" s="153" t="n"/>
      <c r="AK12" s="153" t="n"/>
      <c r="AL12" s="153" t="n"/>
      <c r="AM12" s="153" t="n"/>
      <c r="AN12" s="153" t="n"/>
      <c r="AO12" s="153" t="n"/>
      <c r="AP12" s="153" t="n"/>
      <c r="AQ12" s="153" t="n"/>
      <c r="AR12" s="153" t="n"/>
      <c r="AS12" s="153" t="n"/>
      <c r="AT12" s="153" t="n"/>
      <c r="AU12" s="153" t="n"/>
      <c r="AV12" s="153" t="n"/>
      <c r="AW12" s="153" t="n"/>
      <c r="AX12" s="153" t="n"/>
      <c r="AY12" s="153" t="n"/>
      <c r="AZ12" s="153" t="n"/>
      <c r="BA12" s="153" t="n"/>
      <c r="BB12" s="153" t="n"/>
      <c r="BC12" s="153" t="n"/>
      <c r="BD12" s="153" t="n"/>
      <c r="BE12" s="153" t="n"/>
      <c r="BF12" s="153" t="n"/>
      <c r="BG12" s="153" t="n"/>
      <c r="BH12" s="153" t="n"/>
      <c r="BI12" s="153" t="n"/>
      <c r="BJ12" s="153" t="n"/>
      <c r="BK12" s="153" t="n"/>
      <c r="BL12" s="153" t="n"/>
      <c r="BM12" s="153" t="n"/>
      <c r="BN12" s="153" t="n"/>
      <c r="BO12" s="153" t="n"/>
    </row>
    <row r="13">
      <c r="A13" s="150" t="inlineStr">
        <is>
          <t>SMM-подрядчики</t>
        </is>
      </c>
      <c r="B13" s="152">
        <f>IF(B$3&lt;'01_Вводные'!$B$248,'01_Вводные'!$B$111*B4,'01_Вводные'!$B$112*B4/$B$16)</f>
        <v/>
      </c>
      <c r="C13" s="152">
        <f>IF(C$3&lt;'01_Вводные'!$B$248,'01_Вводные'!$B$111*C4,'01_Вводные'!$B$112*C4/$B$16)</f>
        <v/>
      </c>
      <c r="D13" s="152">
        <f>IF(D$3&lt;'01_Вводные'!$B$248,'01_Вводные'!$B$111*D4,'01_Вводные'!$B$112*D4/$B$16)</f>
        <v/>
      </c>
      <c r="E13" s="152">
        <f>IF(E$3&lt;'01_Вводные'!$B$248,'01_Вводные'!$B$111*E4,'01_Вводные'!$B$112*E4/$B$16)</f>
        <v/>
      </c>
      <c r="F13" s="152">
        <f>IF(F$3&lt;'01_Вводные'!$B$248,'01_Вводные'!$B$111*F4,'01_Вводные'!$B$112*F4/$B$16)</f>
        <v/>
      </c>
      <c r="G13" s="152">
        <f>IF(G$3&lt;'01_Вводные'!$B$248,'01_Вводные'!$B$111*G4,'01_Вводные'!$B$112*G4/$B$16)</f>
        <v/>
      </c>
      <c r="H13" s="152">
        <f>IF(H$3&lt;'01_Вводные'!$B$248,'01_Вводные'!$B$111*H4,'01_Вводные'!$B$112*H4/$B$16)</f>
        <v/>
      </c>
      <c r="I13" s="152">
        <f>IF(I$3&lt;'01_Вводные'!$B$248,'01_Вводные'!$B$111*I4,'01_Вводные'!$B$112*I4/$B$16)</f>
        <v/>
      </c>
      <c r="J13" s="152">
        <f>IF(J$3&lt;'01_Вводные'!$B$248,'01_Вводные'!$B$111*J4,'01_Вводные'!$B$112*J4/$B$16)</f>
        <v/>
      </c>
      <c r="K13" s="152">
        <f>IF(K$3&lt;'01_Вводные'!$B$248,'01_Вводные'!$B$111*K4,'01_Вводные'!$B$112*K4/$B$16)</f>
        <v/>
      </c>
      <c r="L13" s="152">
        <f>IF(L$3&lt;'01_Вводные'!$B$248,'01_Вводные'!$B$111*L4,'01_Вводные'!$B$112*L4/$B$16)</f>
        <v/>
      </c>
      <c r="M13" s="152">
        <f>IF(M$3&lt;'01_Вводные'!$B$248,'01_Вводные'!$B$111*M4,'01_Вводные'!$B$112*M4/$B$16)</f>
        <v/>
      </c>
      <c r="N13" s="152">
        <f>IF(N$3&lt;'01_Вводные'!$B$248,'01_Вводные'!$B$111*N4,'01_Вводные'!$B$112*N4/$B$16)</f>
        <v/>
      </c>
      <c r="O13" s="152">
        <f>IF(O$3&lt;'01_Вводные'!$B$248,'01_Вводные'!$B$111*O4,'01_Вводные'!$B$112*O4/$B$16)</f>
        <v/>
      </c>
      <c r="P13" s="152">
        <f>IF(P$3&lt;'01_Вводные'!$B$248,'01_Вводные'!$B$111*P4,'01_Вводные'!$B$112*P4/$B$16)</f>
        <v/>
      </c>
      <c r="Q13" s="152">
        <f>IF(Q$3&lt;'01_Вводные'!$B$248,'01_Вводные'!$B$111*Q4,'01_Вводные'!$B$112*Q4/$B$16)</f>
        <v/>
      </c>
      <c r="R13" s="152">
        <f>IF(R$3&lt;'01_Вводные'!$B$248,'01_Вводные'!$B$111*R4,'01_Вводные'!$B$112*R4/$B$16)</f>
        <v/>
      </c>
      <c r="S13" s="152">
        <f>IF(S$3&lt;'01_Вводные'!$B$248,'01_Вводные'!$B$111*S4,'01_Вводные'!$B$112*S4/$B$16)</f>
        <v/>
      </c>
      <c r="T13" s="152">
        <f>IF(T$3&lt;'01_Вводные'!$B$248,'01_Вводные'!$B$111*T4,'01_Вводные'!$B$112*T4/$B$16)</f>
        <v/>
      </c>
      <c r="U13" s="152">
        <f>IF(U$3&lt;'01_Вводные'!$B$248,'01_Вводные'!$B$111*U4,'01_Вводные'!$B$112*U4/$B$16)</f>
        <v/>
      </c>
      <c r="V13" s="152">
        <f>IF(V$3&lt;'01_Вводные'!$B$248,'01_Вводные'!$B$111*V4,'01_Вводные'!$B$112*V4/$B$16)</f>
        <v/>
      </c>
      <c r="W13" s="152">
        <f>IF(W$3&lt;'01_Вводные'!$B$248,'01_Вводные'!$B$111*W4,'01_Вводные'!$B$112*W4/$B$16)</f>
        <v/>
      </c>
      <c r="X13" s="152">
        <f>IF(X$3&lt;'01_Вводные'!$B$248,'01_Вводные'!$B$111*X4,'01_Вводные'!$B$112*X4/$B$16)</f>
        <v/>
      </c>
      <c r="Y13" s="152">
        <f>IF(Y$3&lt;'01_Вводные'!$B$248,'01_Вводные'!$B$111*Y4,'01_Вводные'!$B$112*Y4/$B$16)</f>
        <v/>
      </c>
      <c r="Z13" s="152">
        <f>IF(Z$3&lt;'01_Вводные'!$B$248,'01_Вводные'!$B$111*Z4,'01_Вводные'!$B$112*Z4/$B$16)</f>
        <v/>
      </c>
      <c r="AA13" s="152">
        <f>IF(AA$3&lt;'01_Вводные'!$B$248,'01_Вводные'!$B$111*AA4,'01_Вводные'!$B$112*AA4/$B$16)</f>
        <v/>
      </c>
      <c r="AB13" s="152">
        <f>IF(AB$3&lt;'01_Вводные'!$B$248,'01_Вводные'!$B$111*AB4,'01_Вводные'!$B$112*AB4/$B$16)</f>
        <v/>
      </c>
      <c r="AC13" s="152">
        <f>IF(AC$3&lt;'01_Вводные'!$B$248,'01_Вводные'!$B$111*AC4,'01_Вводные'!$B$112*AC4/$B$16)</f>
        <v/>
      </c>
      <c r="AD13" s="152">
        <f>IF(AD$3&lt;'01_Вводные'!$B$248,'01_Вводные'!$B$111*AD4,'01_Вводные'!$B$112*AD4/$B$16)</f>
        <v/>
      </c>
      <c r="AE13" s="152">
        <f>IF(AE$3&lt;'01_Вводные'!$B$248,'01_Вводные'!$B$111*AE4,'01_Вводные'!$B$112*AE4/$B$16)</f>
        <v/>
      </c>
      <c r="AF13" s="152">
        <f>IF(AF$3&lt;'01_Вводные'!$B$248,'01_Вводные'!$B$111*AF4,'01_Вводные'!$B$112*AF4/$B$16)</f>
        <v/>
      </c>
      <c r="AG13" s="152">
        <f>IF(AG$3&lt;'01_Вводные'!$B$248,'01_Вводные'!$B$111*AG4,'01_Вводные'!$B$112*AG4/$B$16)</f>
        <v/>
      </c>
      <c r="AH13" s="152">
        <f>IF(AH$3&lt;'01_Вводные'!$B$248,'01_Вводные'!$B$111*AH4,'01_Вводные'!$B$112*AH4/$B$16)</f>
        <v/>
      </c>
      <c r="AI13" s="152">
        <f>IF(AI$3&lt;'01_Вводные'!$B$248,'01_Вводные'!$B$111*AI4,'01_Вводные'!$B$112*AI4/$B$16)</f>
        <v/>
      </c>
      <c r="AJ13" s="152">
        <f>IF(AJ$3&lt;'01_Вводные'!$B$248,'01_Вводные'!$B$111*AJ4,'01_Вводные'!$B$112*AJ4/$B$16)</f>
        <v/>
      </c>
      <c r="AK13" s="152">
        <f>IF(AK$3&lt;'01_Вводные'!$B$248,'01_Вводные'!$B$111*AK4,'01_Вводные'!$B$112*AK4/$B$16)</f>
        <v/>
      </c>
      <c r="AL13" s="152">
        <f>IF(AL$3&lt;'01_Вводные'!$B$248,'01_Вводные'!$B$111*AL4,'01_Вводные'!$B$112*AL4/$B$16)</f>
        <v/>
      </c>
      <c r="AM13" s="152">
        <f>IF(AM$3&lt;'01_Вводные'!$B$248,'01_Вводные'!$B$111*AM4,'01_Вводные'!$B$112*AM4/$B$16)</f>
        <v/>
      </c>
      <c r="AN13" s="152">
        <f>IF(AN$3&lt;'01_Вводные'!$B$248,'01_Вводные'!$B$111*AN4,'01_Вводные'!$B$112*AN4/$B$16)</f>
        <v/>
      </c>
      <c r="AO13" s="152">
        <f>IF(AO$3&lt;'01_Вводные'!$B$248,'01_Вводные'!$B$111*AO4,'01_Вводные'!$B$112*AO4/$B$16)</f>
        <v/>
      </c>
      <c r="AP13" s="152">
        <f>IF(AP$3&lt;'01_Вводные'!$B$248,'01_Вводные'!$B$111*AP4,'01_Вводные'!$B$112*AP4/$B$16)</f>
        <v/>
      </c>
      <c r="AQ13" s="152">
        <f>IF(AQ$3&lt;'01_Вводные'!$B$248,'01_Вводные'!$B$111*AQ4,'01_Вводные'!$B$112*AQ4/$B$16)</f>
        <v/>
      </c>
      <c r="AR13" s="152">
        <f>IF(AR$3&lt;'01_Вводные'!$B$248,'01_Вводные'!$B$111*AR4,'01_Вводные'!$B$112*AR4/$B$16)</f>
        <v/>
      </c>
      <c r="AS13" s="152">
        <f>IF(AS$3&lt;'01_Вводные'!$B$248,'01_Вводные'!$B$111*AS4,'01_Вводные'!$B$112*AS4/$B$16)</f>
        <v/>
      </c>
      <c r="AT13" s="152">
        <f>IF(AT$3&lt;'01_Вводные'!$B$248,'01_Вводные'!$B$111*AT4,'01_Вводные'!$B$112*AT4/$B$16)</f>
        <v/>
      </c>
      <c r="AU13" s="152">
        <f>IF(AU$3&lt;'01_Вводные'!$B$248,'01_Вводные'!$B$111*AU4,'01_Вводные'!$B$112*AU4/$B$16)</f>
        <v/>
      </c>
      <c r="AV13" s="152">
        <f>IF(AV$3&lt;'01_Вводные'!$B$248,'01_Вводные'!$B$111*AV4,'01_Вводные'!$B$112*AV4/$B$16)</f>
        <v/>
      </c>
      <c r="AW13" s="152">
        <f>IF(AW$3&lt;'01_Вводные'!$B$248,'01_Вводные'!$B$111*AW4,'01_Вводные'!$B$112*AW4/$B$16)</f>
        <v/>
      </c>
      <c r="AX13" s="152">
        <f>IF(AX$3&lt;'01_Вводные'!$B$248,'01_Вводные'!$B$111*AX4,'01_Вводные'!$B$112*AX4/$B$16)</f>
        <v/>
      </c>
      <c r="AY13" s="152">
        <f>IF(AY$3&lt;'01_Вводные'!$B$248,'01_Вводные'!$B$111*AY4,'01_Вводные'!$B$112*AY4/$B$16)</f>
        <v/>
      </c>
      <c r="AZ13" s="152">
        <f>IF(AZ$3&lt;'01_Вводные'!$B$248,'01_Вводные'!$B$111*AZ4,'01_Вводные'!$B$112*AZ4/$B$16)</f>
        <v/>
      </c>
      <c r="BA13" s="152">
        <f>IF(BA$3&lt;'01_Вводные'!$B$248,'01_Вводные'!$B$111*BA4,'01_Вводные'!$B$112*BA4/$B$16)</f>
        <v/>
      </c>
      <c r="BB13" s="152">
        <f>IF(BB$3&lt;'01_Вводные'!$B$248,'01_Вводные'!$B$111*BB4,'01_Вводные'!$B$112*BB4/$B$16)</f>
        <v/>
      </c>
      <c r="BC13" s="152">
        <f>IF(BC$3&lt;'01_Вводные'!$B$248,'01_Вводные'!$B$111*BC4,'01_Вводные'!$B$112*BC4/$B$16)</f>
        <v/>
      </c>
      <c r="BD13" s="152">
        <f>IF(BD$3&lt;'01_Вводные'!$B$248,'01_Вводные'!$B$111*BD4,'01_Вводные'!$B$112*BD4/$B$16)</f>
        <v/>
      </c>
      <c r="BE13" s="152">
        <f>IF(BE$3&lt;'01_Вводные'!$B$248,'01_Вводные'!$B$111*BE4,'01_Вводные'!$B$112*BE4/$B$16)</f>
        <v/>
      </c>
      <c r="BF13" s="152">
        <f>IF(BF$3&lt;'01_Вводные'!$B$248,'01_Вводные'!$B$111*BF4,'01_Вводные'!$B$112*BF4/$B$16)</f>
        <v/>
      </c>
      <c r="BG13" s="152">
        <f>IF(BG$3&lt;'01_Вводные'!$B$248,'01_Вводные'!$B$111*BG4,'01_Вводные'!$B$112*BG4/$B$16)</f>
        <v/>
      </c>
      <c r="BH13" s="152">
        <f>IF(BH$3&lt;'01_Вводные'!$B$248,'01_Вводные'!$B$111*BH4,'01_Вводные'!$B$112*BH4/$B$16)</f>
        <v/>
      </c>
      <c r="BI13" s="152">
        <f>IF(BI$3&lt;'01_Вводные'!$B$248,'01_Вводные'!$B$111*BI4,'01_Вводные'!$B$112*BI4/$B$16)</f>
        <v/>
      </c>
      <c r="BJ13" s="152">
        <f>IF(BJ$3&lt;'01_Вводные'!$B$248,'01_Вводные'!$B$111*BJ4,'01_Вводные'!$B$112*BJ4/$B$16)</f>
        <v/>
      </c>
      <c r="BK13" s="152">
        <f>IF(BK$3&lt;'01_Вводные'!$B$248,'01_Вводные'!$B$111*BK4,'01_Вводные'!$B$112*BK4/$B$16)</f>
        <v/>
      </c>
      <c r="BL13" s="152">
        <f>IF(BL$3&lt;'01_Вводные'!$B$248,'01_Вводные'!$B$111*BL4,'01_Вводные'!$B$112*BL4/$B$16)</f>
        <v/>
      </c>
      <c r="BM13" s="152">
        <f>IF(BM$3&lt;'01_Вводные'!$B$248,'01_Вводные'!$B$111*BM4,'01_Вводные'!$B$112*BM4/$B$16)</f>
        <v/>
      </c>
      <c r="BN13" s="152">
        <f>IF(BN$3&lt;'01_Вводные'!$B$248,'01_Вводные'!$B$111*BN4,'01_Вводные'!$B$112*BN4/$B$16)</f>
        <v/>
      </c>
      <c r="BO13" s="152">
        <f>IF(BO$3&lt;'01_Вводные'!$B$248,'01_Вводные'!$B$111*BO4,'01_Вводные'!$B$112*BO4/$B$16)</f>
        <v/>
      </c>
    </row>
    <row r="14">
      <c r="A14" s="150" t="inlineStr">
        <is>
          <t>Резерв ротации</t>
        </is>
      </c>
      <c r="B14" s="152">
        <f>'01_Вводные'!$B$122*B4</f>
        <v/>
      </c>
      <c r="C14" s="152">
        <f>'01_Вводные'!$B$122*C4</f>
        <v/>
      </c>
      <c r="D14" s="152">
        <f>'01_Вводные'!$B$122*D4</f>
        <v/>
      </c>
      <c r="E14" s="152">
        <f>'01_Вводные'!$B$122*E4</f>
        <v/>
      </c>
      <c r="F14" s="152">
        <f>'01_Вводные'!$B$122*F4</f>
        <v/>
      </c>
      <c r="G14" s="152">
        <f>'01_Вводные'!$B$122*G4</f>
        <v/>
      </c>
      <c r="H14" s="152">
        <f>'01_Вводные'!$B$122*H4</f>
        <v/>
      </c>
      <c r="I14" s="152">
        <f>'01_Вводные'!$B$122*I4</f>
        <v/>
      </c>
      <c r="J14" s="152">
        <f>'01_Вводные'!$B$122*J4</f>
        <v/>
      </c>
      <c r="K14" s="152">
        <f>'01_Вводные'!$B$122*K4</f>
        <v/>
      </c>
      <c r="L14" s="152">
        <f>'01_Вводные'!$B$122*L4</f>
        <v/>
      </c>
      <c r="M14" s="152">
        <f>'01_Вводные'!$B$122*M4</f>
        <v/>
      </c>
      <c r="N14" s="152">
        <f>'01_Вводные'!$B$122*N4</f>
        <v/>
      </c>
      <c r="O14" s="152">
        <f>'01_Вводные'!$B$122*O4</f>
        <v/>
      </c>
      <c r="P14" s="152">
        <f>'01_Вводные'!$B$122*P4</f>
        <v/>
      </c>
      <c r="Q14" s="152">
        <f>'01_Вводные'!$B$122*Q4</f>
        <v/>
      </c>
      <c r="R14" s="152">
        <f>'01_Вводные'!$B$122*R4</f>
        <v/>
      </c>
      <c r="S14" s="152">
        <f>'01_Вводные'!$B$122*S4</f>
        <v/>
      </c>
      <c r="T14" s="152">
        <f>'01_Вводные'!$B$122*T4</f>
        <v/>
      </c>
      <c r="U14" s="152">
        <f>'01_Вводные'!$B$122*U4</f>
        <v/>
      </c>
      <c r="V14" s="152">
        <f>'01_Вводные'!$B$122*V4</f>
        <v/>
      </c>
      <c r="W14" s="152">
        <f>'01_Вводные'!$B$122*W4</f>
        <v/>
      </c>
      <c r="X14" s="152">
        <f>'01_Вводные'!$B$122*X4</f>
        <v/>
      </c>
      <c r="Y14" s="152">
        <f>'01_Вводные'!$B$122*Y4</f>
        <v/>
      </c>
      <c r="Z14" s="152">
        <f>'01_Вводные'!$B$122*Z4</f>
        <v/>
      </c>
      <c r="AA14" s="152">
        <f>'01_Вводные'!$B$122*AA4</f>
        <v/>
      </c>
      <c r="AB14" s="152">
        <f>'01_Вводные'!$B$122*AB4</f>
        <v/>
      </c>
      <c r="AC14" s="152">
        <f>'01_Вводные'!$B$122*AC4</f>
        <v/>
      </c>
      <c r="AD14" s="152">
        <f>'01_Вводные'!$B$122*AD4</f>
        <v/>
      </c>
      <c r="AE14" s="152">
        <f>'01_Вводные'!$B$122*AE4</f>
        <v/>
      </c>
      <c r="AF14" s="152">
        <f>'01_Вводные'!$B$122*AF4</f>
        <v/>
      </c>
      <c r="AG14" s="152">
        <f>'01_Вводные'!$B$122*AG4</f>
        <v/>
      </c>
      <c r="AH14" s="152">
        <f>'01_Вводные'!$B$122*AH4</f>
        <v/>
      </c>
      <c r="AI14" s="152">
        <f>'01_Вводные'!$B$122*AI4</f>
        <v/>
      </c>
      <c r="AJ14" s="152">
        <f>'01_Вводные'!$B$122*AJ4</f>
        <v/>
      </c>
      <c r="AK14" s="152">
        <f>'01_Вводные'!$B$122*AK4</f>
        <v/>
      </c>
      <c r="AL14" s="152">
        <f>'01_Вводные'!$B$122*AL4</f>
        <v/>
      </c>
      <c r="AM14" s="152">
        <f>'01_Вводные'!$B$122*AM4</f>
        <v/>
      </c>
      <c r="AN14" s="152">
        <f>'01_Вводные'!$B$122*AN4</f>
        <v/>
      </c>
      <c r="AO14" s="152">
        <f>'01_Вводные'!$B$122*AO4</f>
        <v/>
      </c>
      <c r="AP14" s="152">
        <f>'01_Вводные'!$B$122*AP4</f>
        <v/>
      </c>
      <c r="AQ14" s="152">
        <f>'01_Вводные'!$B$122*AQ4</f>
        <v/>
      </c>
      <c r="AR14" s="152">
        <f>'01_Вводные'!$B$122*AR4</f>
        <v/>
      </c>
      <c r="AS14" s="152">
        <f>'01_Вводные'!$B$122*AS4</f>
        <v/>
      </c>
      <c r="AT14" s="152">
        <f>'01_Вводные'!$B$122*AT4</f>
        <v/>
      </c>
      <c r="AU14" s="152">
        <f>'01_Вводные'!$B$122*AU4</f>
        <v/>
      </c>
      <c r="AV14" s="152">
        <f>'01_Вводные'!$B$122*AV4</f>
        <v/>
      </c>
      <c r="AW14" s="152">
        <f>'01_Вводные'!$B$122*AW4</f>
        <v/>
      </c>
      <c r="AX14" s="152">
        <f>'01_Вводные'!$B$122*AX4</f>
        <v/>
      </c>
      <c r="AY14" s="152">
        <f>'01_Вводные'!$B$122*AY4</f>
        <v/>
      </c>
      <c r="AZ14" s="152">
        <f>'01_Вводные'!$B$122*AZ4</f>
        <v/>
      </c>
      <c r="BA14" s="152">
        <f>'01_Вводные'!$B$122*BA4</f>
        <v/>
      </c>
      <c r="BB14" s="152">
        <f>'01_Вводные'!$B$122*BB4</f>
        <v/>
      </c>
      <c r="BC14" s="152">
        <f>'01_Вводные'!$B$122*BC4</f>
        <v/>
      </c>
      <c r="BD14" s="152">
        <f>'01_Вводные'!$B$122*BD4</f>
        <v/>
      </c>
      <c r="BE14" s="152">
        <f>'01_Вводные'!$B$122*BE4</f>
        <v/>
      </c>
      <c r="BF14" s="152">
        <f>'01_Вводные'!$B$122*BF4</f>
        <v/>
      </c>
      <c r="BG14" s="152">
        <f>'01_Вводные'!$B$122*BG4</f>
        <v/>
      </c>
      <c r="BH14" s="152">
        <f>'01_Вводные'!$B$122*BH4</f>
        <v/>
      </c>
      <c r="BI14" s="152">
        <f>'01_Вводные'!$B$122*BI4</f>
        <v/>
      </c>
      <c r="BJ14" s="152">
        <f>'01_Вводные'!$B$122*BJ4</f>
        <v/>
      </c>
      <c r="BK14" s="152">
        <f>'01_Вводные'!$B$122*BK4</f>
        <v/>
      </c>
      <c r="BL14" s="152">
        <f>'01_Вводные'!$B$122*BL4</f>
        <v/>
      </c>
      <c r="BM14" s="152">
        <f>'01_Вводные'!$B$122*BM4</f>
        <v/>
      </c>
      <c r="BN14" s="152">
        <f>'01_Вводные'!$B$122*BN4</f>
        <v/>
      </c>
      <c r="BO14" s="152">
        <f>'01_Вводные'!$B$122*BO4</f>
        <v/>
      </c>
    </row>
    <row r="16">
      <c r="A16" s="150" t="inlineStr">
        <is>
          <t>Индекс на дату нового SMM-тарифа</t>
        </is>
      </c>
      <c r="B16" s="152">
        <f>INDEX($B$4:$BO$4,1,MAX(1,MIN(66,(YEAR('01_Вводные'!$B$248)-YEAR('01_Вводные'!$B$7))*12+MONTH('01_Вводные'!$B$248)-MONTH('01_Вводные'!$B$7)+1)))</f>
        <v/>
      </c>
    </row>
    <row r="22">
      <c r="A22" s="150" t="inlineStr">
        <is>
          <t>Веса тарифов</t>
        </is>
      </c>
      <c r="B22" s="152">
        <f>'01_Вводные'!$C$263/'01_Вводные'!$C$283</f>
        <v/>
      </c>
      <c r="C22" s="152">
        <f>'01_Вводные'!$C$264/'01_Вводные'!$C$283</f>
        <v/>
      </c>
      <c r="D22" s="152">
        <f>'01_Вводные'!$C$265/'01_Вводные'!$C$283</f>
        <v/>
      </c>
      <c r="E22" s="152">
        <f>'01_Вводные'!$C$266/'01_Вводные'!$C$283</f>
        <v/>
      </c>
      <c r="F22" s="152">
        <f>'01_Вводные'!$C$267/'01_Вводные'!$C$283</f>
        <v/>
      </c>
      <c r="G22" s="152">
        <f>'01_Вводные'!$C$268/'01_Вводные'!$C$283</f>
        <v/>
      </c>
      <c r="H22" s="152">
        <f>'01_Вводные'!$C$269/'01_Вводные'!$C$283</f>
        <v/>
      </c>
      <c r="I22" s="152">
        <f>'01_Вводные'!$C$270/'01_Вводные'!$C$283</f>
        <v/>
      </c>
      <c r="J22" s="152">
        <f>'01_Вводные'!$C$271/'01_Вводные'!$C$283</f>
        <v/>
      </c>
      <c r="K22" s="152">
        <f>'01_Вводные'!$C$272/'01_Вводные'!$C$283</f>
        <v/>
      </c>
      <c r="L22" s="152">
        <f>'01_Вводные'!$C$273/'01_Вводные'!$C$283</f>
        <v/>
      </c>
      <c r="M22" s="152">
        <f>'01_Вводные'!$C$274/'01_Вводные'!$C$283</f>
        <v/>
      </c>
      <c r="N22" s="152">
        <f>'01_Вводные'!$C$275/'01_Вводные'!$C$283</f>
        <v/>
      </c>
      <c r="O22" s="152">
        <f>'01_Вводные'!$C$276/'01_Вводные'!$C$283</f>
        <v/>
      </c>
      <c r="P22" s="152">
        <f>'01_Вводные'!$C$277/'01_Вводные'!$C$283</f>
        <v/>
      </c>
      <c r="Q22" s="152">
        <f>'01_Вводные'!$C$278/'01_Вводные'!$C$283</f>
        <v/>
      </c>
      <c r="R22" s="152">
        <f>'01_Вводные'!$C$279/'01_Вводные'!$C$283</f>
        <v/>
      </c>
      <c r="S22" s="152">
        <f>'01_Вводные'!$C$280/'01_Вводные'!$C$283</f>
        <v/>
      </c>
      <c r="T22" s="152">
        <f>'01_Вводные'!$C$281/'01_Вводные'!$C$283</f>
        <v/>
      </c>
      <c r="U22" s="152">
        <f>'01_Вводные'!$C$282/'01_Вводные'!$C$283</f>
        <v/>
      </c>
    </row>
    <row r="24">
      <c r="A24" s="150" t="inlineStr">
        <is>
          <t>1</t>
        </is>
      </c>
      <c r="B24" s="152">
        <f>B86*'01_Вводные'!$H$263</f>
        <v/>
      </c>
      <c r="C24" s="152">
        <f>C86*'01_Вводные'!$H$264</f>
        <v/>
      </c>
      <c r="D24" s="152">
        <f>D86*'01_Вводные'!$H$265</f>
        <v/>
      </c>
      <c r="E24" s="152">
        <f>E86*'01_Вводные'!$H$266</f>
        <v/>
      </c>
      <c r="F24" s="152">
        <f>F86*'01_Вводные'!$H$267</f>
        <v/>
      </c>
      <c r="G24" s="152">
        <f>G86*'01_Вводные'!$H$268</f>
        <v/>
      </c>
      <c r="H24" s="152">
        <f>H86*'01_Вводные'!$H$269</f>
        <v/>
      </c>
      <c r="I24" s="152">
        <f>I86*'01_Вводные'!$H$270</f>
        <v/>
      </c>
      <c r="J24" s="152">
        <f>J86*'01_Вводные'!$H$271</f>
        <v/>
      </c>
      <c r="K24" s="152">
        <f>K86*'01_Вводные'!$H$272</f>
        <v/>
      </c>
      <c r="L24" s="152">
        <f>L86*'01_Вводные'!$H$273</f>
        <v/>
      </c>
      <c r="M24" s="152">
        <f>M86*'01_Вводные'!$H$274</f>
        <v/>
      </c>
      <c r="N24" s="152">
        <f>N86*'01_Вводные'!$H$275</f>
        <v/>
      </c>
      <c r="O24" s="152">
        <f>O86*'01_Вводные'!$H$276</f>
        <v/>
      </c>
      <c r="P24" s="152">
        <f>P86*'01_Вводные'!$H$277</f>
        <v/>
      </c>
      <c r="Q24" s="152">
        <f>Q86*'01_Вводные'!$H$278</f>
        <v/>
      </c>
      <c r="R24" s="152">
        <f>R86*'01_Вводные'!$H$279</f>
        <v/>
      </c>
      <c r="S24" s="152">
        <f>S86*'01_Вводные'!$H$280</f>
        <v/>
      </c>
      <c r="T24" s="152">
        <f>T86*'01_Вводные'!$H$281</f>
        <v/>
      </c>
      <c r="U24" s="152">
        <f>U86*'01_Вводные'!$H$282</f>
        <v/>
      </c>
      <c r="W24" s="154">
        <f>SUMPRODUCT($B$22:$U$22,B86:U86)</f>
        <v/>
      </c>
      <c r="X24" s="154">
        <f>SUMPRODUCT($B$22:$U$22,B54:U54)</f>
        <v/>
      </c>
    </row>
    <row r="25">
      <c r="A25" s="150" t="inlineStr">
        <is>
          <t>2</t>
        </is>
      </c>
      <c r="B25" s="152">
        <f>B87*'01_Вводные'!$H$263</f>
        <v/>
      </c>
      <c r="C25" s="152">
        <f>C87*'01_Вводные'!$H$264</f>
        <v/>
      </c>
      <c r="D25" s="152">
        <f>D87*'01_Вводные'!$H$265</f>
        <v/>
      </c>
      <c r="E25" s="152">
        <f>E87*'01_Вводные'!$H$266</f>
        <v/>
      </c>
      <c r="F25" s="152">
        <f>F87*'01_Вводные'!$H$267</f>
        <v/>
      </c>
      <c r="G25" s="152">
        <f>G87*'01_Вводные'!$H$268</f>
        <v/>
      </c>
      <c r="H25" s="152">
        <f>H87*'01_Вводные'!$H$269</f>
        <v/>
      </c>
      <c r="I25" s="152">
        <f>I87*'01_Вводные'!$H$270</f>
        <v/>
      </c>
      <c r="J25" s="152">
        <f>J87*'01_Вводные'!$H$271</f>
        <v/>
      </c>
      <c r="K25" s="152">
        <f>K87*'01_Вводные'!$H$272</f>
        <v/>
      </c>
      <c r="L25" s="152">
        <f>L87*'01_Вводные'!$H$273</f>
        <v/>
      </c>
      <c r="M25" s="152">
        <f>M87*'01_Вводные'!$H$274</f>
        <v/>
      </c>
      <c r="N25" s="152">
        <f>N87*'01_Вводные'!$H$275</f>
        <v/>
      </c>
      <c r="O25" s="152">
        <f>O87*'01_Вводные'!$H$276</f>
        <v/>
      </c>
      <c r="P25" s="152">
        <f>P87*'01_Вводные'!$H$277</f>
        <v/>
      </c>
      <c r="Q25" s="152">
        <f>Q87*'01_Вводные'!$H$278</f>
        <v/>
      </c>
      <c r="R25" s="152">
        <f>R87*'01_Вводные'!$H$279</f>
        <v/>
      </c>
      <c r="S25" s="152">
        <f>S87*'01_Вводные'!$H$280</f>
        <v/>
      </c>
      <c r="T25" s="152">
        <f>T87*'01_Вводные'!$H$281</f>
        <v/>
      </c>
      <c r="U25" s="152">
        <f>U87*'01_Вводные'!$H$282</f>
        <v/>
      </c>
      <c r="W25" s="154">
        <f>SUMPRODUCT($B$22:$U$22,B87:U87)</f>
        <v/>
      </c>
      <c r="X25" s="154">
        <f>SUMPRODUCT($B$22:$U$22,B55:U55)</f>
        <v/>
      </c>
    </row>
    <row r="26">
      <c r="A26" s="150" t="inlineStr">
        <is>
          <t>3</t>
        </is>
      </c>
      <c r="B26" s="152">
        <f>B88*'01_Вводные'!$H$263</f>
        <v/>
      </c>
      <c r="C26" s="152">
        <f>C88*'01_Вводные'!$H$264</f>
        <v/>
      </c>
      <c r="D26" s="152">
        <f>D88*'01_Вводные'!$H$265</f>
        <v/>
      </c>
      <c r="E26" s="152">
        <f>E88*'01_Вводные'!$H$266</f>
        <v/>
      </c>
      <c r="F26" s="152">
        <f>F88*'01_Вводные'!$H$267</f>
        <v/>
      </c>
      <c r="G26" s="152">
        <f>G88*'01_Вводные'!$H$268</f>
        <v/>
      </c>
      <c r="H26" s="152">
        <f>H88*'01_Вводные'!$H$269</f>
        <v/>
      </c>
      <c r="I26" s="152">
        <f>I88*'01_Вводные'!$H$270</f>
        <v/>
      </c>
      <c r="J26" s="152">
        <f>J88*'01_Вводные'!$H$271</f>
        <v/>
      </c>
      <c r="K26" s="152">
        <f>K88*'01_Вводные'!$H$272</f>
        <v/>
      </c>
      <c r="L26" s="152">
        <f>L88*'01_Вводные'!$H$273</f>
        <v/>
      </c>
      <c r="M26" s="152">
        <f>M88*'01_Вводные'!$H$274</f>
        <v/>
      </c>
      <c r="N26" s="152">
        <f>N88*'01_Вводные'!$H$275</f>
        <v/>
      </c>
      <c r="O26" s="152">
        <f>O88*'01_Вводные'!$H$276</f>
        <v/>
      </c>
      <c r="P26" s="152">
        <f>P88*'01_Вводные'!$H$277</f>
        <v/>
      </c>
      <c r="Q26" s="152">
        <f>Q88*'01_Вводные'!$H$278</f>
        <v/>
      </c>
      <c r="R26" s="152">
        <f>R88*'01_Вводные'!$H$279</f>
        <v/>
      </c>
      <c r="S26" s="152">
        <f>S88*'01_Вводные'!$H$280</f>
        <v/>
      </c>
      <c r="T26" s="152">
        <f>T88*'01_Вводные'!$H$281</f>
        <v/>
      </c>
      <c r="U26" s="152">
        <f>U88*'01_Вводные'!$H$282</f>
        <v/>
      </c>
      <c r="W26" s="154">
        <f>SUMPRODUCT($B$22:$U$22,B88:U88)</f>
        <v/>
      </c>
      <c r="X26" s="154">
        <f>SUMPRODUCT($B$22:$U$22,B56:U56)</f>
        <v/>
      </c>
    </row>
    <row r="27">
      <c r="A27" s="150" t="inlineStr">
        <is>
          <t>4</t>
        </is>
      </c>
      <c r="B27" s="152">
        <f>B89*'01_Вводные'!$H$263</f>
        <v/>
      </c>
      <c r="C27" s="152">
        <f>C89*'01_Вводные'!$H$264</f>
        <v/>
      </c>
      <c r="D27" s="152">
        <f>D89*'01_Вводные'!$H$265</f>
        <v/>
      </c>
      <c r="E27" s="152">
        <f>E89*'01_Вводные'!$H$266</f>
        <v/>
      </c>
      <c r="F27" s="152">
        <f>F89*'01_Вводные'!$H$267</f>
        <v/>
      </c>
      <c r="G27" s="152">
        <f>G89*'01_Вводные'!$H$268</f>
        <v/>
      </c>
      <c r="H27" s="152">
        <f>H89*'01_Вводные'!$H$269</f>
        <v/>
      </c>
      <c r="I27" s="152">
        <f>I89*'01_Вводные'!$H$270</f>
        <v/>
      </c>
      <c r="J27" s="152">
        <f>J89*'01_Вводные'!$H$271</f>
        <v/>
      </c>
      <c r="K27" s="152">
        <f>K89*'01_Вводные'!$H$272</f>
        <v/>
      </c>
      <c r="L27" s="152">
        <f>L89*'01_Вводные'!$H$273</f>
        <v/>
      </c>
      <c r="M27" s="152">
        <f>M89*'01_Вводные'!$H$274</f>
        <v/>
      </c>
      <c r="N27" s="152">
        <f>N89*'01_Вводные'!$H$275</f>
        <v/>
      </c>
      <c r="O27" s="152">
        <f>O89*'01_Вводные'!$H$276</f>
        <v/>
      </c>
      <c r="P27" s="152">
        <f>P89*'01_Вводные'!$H$277</f>
        <v/>
      </c>
      <c r="Q27" s="152">
        <f>Q89*'01_Вводные'!$H$278</f>
        <v/>
      </c>
      <c r="R27" s="152">
        <f>R89*'01_Вводные'!$H$279</f>
        <v/>
      </c>
      <c r="S27" s="152">
        <f>S89*'01_Вводные'!$H$280</f>
        <v/>
      </c>
      <c r="T27" s="152">
        <f>T89*'01_Вводные'!$H$281</f>
        <v/>
      </c>
      <c r="U27" s="152">
        <f>U89*'01_Вводные'!$H$282</f>
        <v/>
      </c>
      <c r="W27" s="154">
        <f>SUMPRODUCT($B$22:$U$22,B89:U89)</f>
        <v/>
      </c>
      <c r="X27" s="154">
        <f>SUMPRODUCT($B$22:$U$22,B57:U57)</f>
        <v/>
      </c>
    </row>
    <row r="28">
      <c r="A28" s="150" t="inlineStr">
        <is>
          <t>5</t>
        </is>
      </c>
      <c r="B28" s="152">
        <f>B90*'01_Вводные'!$H$263</f>
        <v/>
      </c>
      <c r="C28" s="152">
        <f>C90*'01_Вводные'!$H$264</f>
        <v/>
      </c>
      <c r="D28" s="152">
        <f>D90*'01_Вводные'!$H$265</f>
        <v/>
      </c>
      <c r="E28" s="152">
        <f>E90*'01_Вводные'!$H$266</f>
        <v/>
      </c>
      <c r="F28" s="152">
        <f>F90*'01_Вводные'!$H$267</f>
        <v/>
      </c>
      <c r="G28" s="152">
        <f>G90*'01_Вводные'!$H$268</f>
        <v/>
      </c>
      <c r="H28" s="152">
        <f>H90*'01_Вводные'!$H$269</f>
        <v/>
      </c>
      <c r="I28" s="152">
        <f>I90*'01_Вводные'!$H$270</f>
        <v/>
      </c>
      <c r="J28" s="152">
        <f>J90*'01_Вводные'!$H$271</f>
        <v/>
      </c>
      <c r="K28" s="152">
        <f>K90*'01_Вводные'!$H$272</f>
        <v/>
      </c>
      <c r="L28" s="152">
        <f>L90*'01_Вводные'!$H$273</f>
        <v/>
      </c>
      <c r="M28" s="152">
        <f>M90*'01_Вводные'!$H$274</f>
        <v/>
      </c>
      <c r="N28" s="152">
        <f>N90*'01_Вводные'!$H$275</f>
        <v/>
      </c>
      <c r="O28" s="152">
        <f>O90*'01_Вводные'!$H$276</f>
        <v/>
      </c>
      <c r="P28" s="152">
        <f>P90*'01_Вводные'!$H$277</f>
        <v/>
      </c>
      <c r="Q28" s="152">
        <f>Q90*'01_Вводные'!$H$278</f>
        <v/>
      </c>
      <c r="R28" s="152">
        <f>R90*'01_Вводные'!$H$279</f>
        <v/>
      </c>
      <c r="S28" s="152">
        <f>S90*'01_Вводные'!$H$280</f>
        <v/>
      </c>
      <c r="T28" s="152">
        <f>T90*'01_Вводные'!$H$281</f>
        <v/>
      </c>
      <c r="U28" s="152">
        <f>U90*'01_Вводные'!$H$282</f>
        <v/>
      </c>
      <c r="W28" s="154">
        <f>SUMPRODUCT($B$22:$U$22,B90:U90)</f>
        <v/>
      </c>
      <c r="X28" s="154">
        <f>SUMPRODUCT($B$22:$U$22,B58:U58)</f>
        <v/>
      </c>
    </row>
    <row r="29">
      <c r="A29" s="150" t="inlineStr">
        <is>
          <t>6</t>
        </is>
      </c>
      <c r="B29" s="152">
        <f>B91*'01_Вводные'!$H$263</f>
        <v/>
      </c>
      <c r="C29" s="152">
        <f>C91*'01_Вводные'!$H$264</f>
        <v/>
      </c>
      <c r="D29" s="152">
        <f>D91*'01_Вводные'!$H$265</f>
        <v/>
      </c>
      <c r="E29" s="152">
        <f>E91*'01_Вводные'!$H$266</f>
        <v/>
      </c>
      <c r="F29" s="152">
        <f>F91*'01_Вводные'!$H$267</f>
        <v/>
      </c>
      <c r="G29" s="152">
        <f>G91*'01_Вводные'!$H$268</f>
        <v/>
      </c>
      <c r="H29" s="152">
        <f>H91*'01_Вводные'!$H$269</f>
        <v/>
      </c>
      <c r="I29" s="152">
        <f>I91*'01_Вводные'!$H$270</f>
        <v/>
      </c>
      <c r="J29" s="152">
        <f>J91*'01_Вводные'!$H$271</f>
        <v/>
      </c>
      <c r="K29" s="152">
        <f>K91*'01_Вводные'!$H$272</f>
        <v/>
      </c>
      <c r="L29" s="152">
        <f>L91*'01_Вводные'!$H$273</f>
        <v/>
      </c>
      <c r="M29" s="152">
        <f>M91*'01_Вводные'!$H$274</f>
        <v/>
      </c>
      <c r="N29" s="152">
        <f>N91*'01_Вводные'!$H$275</f>
        <v/>
      </c>
      <c r="O29" s="152">
        <f>O91*'01_Вводные'!$H$276</f>
        <v/>
      </c>
      <c r="P29" s="152">
        <f>P91*'01_Вводные'!$H$277</f>
        <v/>
      </c>
      <c r="Q29" s="152">
        <f>Q91*'01_Вводные'!$H$278</f>
        <v/>
      </c>
      <c r="R29" s="152">
        <f>R91*'01_Вводные'!$H$279</f>
        <v/>
      </c>
      <c r="S29" s="152">
        <f>S91*'01_Вводные'!$H$280</f>
        <v/>
      </c>
      <c r="T29" s="152">
        <f>T91*'01_Вводные'!$H$281</f>
        <v/>
      </c>
      <c r="U29" s="152">
        <f>U91*'01_Вводные'!$H$282</f>
        <v/>
      </c>
      <c r="W29" s="154">
        <f>SUMPRODUCT($B$22:$U$22,B91:U91)</f>
        <v/>
      </c>
      <c r="X29" s="154">
        <f>SUMPRODUCT($B$22:$U$22,B59:U59)</f>
        <v/>
      </c>
    </row>
    <row r="30">
      <c r="A30" s="150" t="inlineStr">
        <is>
          <t>7</t>
        </is>
      </c>
      <c r="B30" s="152">
        <f>B92*'01_Вводные'!$H$263</f>
        <v/>
      </c>
      <c r="C30" s="152">
        <f>C92*'01_Вводные'!$H$264</f>
        <v/>
      </c>
      <c r="D30" s="152">
        <f>D92*'01_Вводные'!$H$265</f>
        <v/>
      </c>
      <c r="E30" s="152">
        <f>E92*'01_Вводные'!$H$266</f>
        <v/>
      </c>
      <c r="F30" s="152">
        <f>F92*'01_Вводные'!$H$267</f>
        <v/>
      </c>
      <c r="G30" s="152">
        <f>G92*'01_Вводные'!$H$268</f>
        <v/>
      </c>
      <c r="H30" s="152">
        <f>H92*'01_Вводные'!$H$269</f>
        <v/>
      </c>
      <c r="I30" s="152">
        <f>I92*'01_Вводные'!$H$270</f>
        <v/>
      </c>
      <c r="J30" s="152">
        <f>J92*'01_Вводные'!$H$271</f>
        <v/>
      </c>
      <c r="K30" s="152">
        <f>K92*'01_Вводные'!$H$272</f>
        <v/>
      </c>
      <c r="L30" s="152">
        <f>L92*'01_Вводные'!$H$273</f>
        <v/>
      </c>
      <c r="M30" s="152">
        <f>M92*'01_Вводные'!$H$274</f>
        <v/>
      </c>
      <c r="N30" s="152">
        <f>N92*'01_Вводные'!$H$275</f>
        <v/>
      </c>
      <c r="O30" s="152">
        <f>O92*'01_Вводные'!$H$276</f>
        <v/>
      </c>
      <c r="P30" s="152">
        <f>P92*'01_Вводные'!$H$277</f>
        <v/>
      </c>
      <c r="Q30" s="152">
        <f>Q92*'01_Вводные'!$H$278</f>
        <v/>
      </c>
      <c r="R30" s="152">
        <f>R92*'01_Вводные'!$H$279</f>
        <v/>
      </c>
      <c r="S30" s="152">
        <f>S92*'01_Вводные'!$H$280</f>
        <v/>
      </c>
      <c r="T30" s="152">
        <f>T92*'01_Вводные'!$H$281</f>
        <v/>
      </c>
      <c r="U30" s="152">
        <f>U92*'01_Вводные'!$H$282</f>
        <v/>
      </c>
      <c r="W30" s="154">
        <f>SUMPRODUCT($B$22:$U$22,B92:U92)</f>
        <v/>
      </c>
      <c r="X30" s="154">
        <f>SUMPRODUCT($B$22:$U$22,B60:U60)</f>
        <v/>
      </c>
    </row>
    <row r="31">
      <c r="A31" s="150" t="inlineStr">
        <is>
          <t>8</t>
        </is>
      </c>
      <c r="B31" s="152">
        <f>B93*'01_Вводные'!$H$263</f>
        <v/>
      </c>
      <c r="C31" s="152">
        <f>C93*'01_Вводные'!$H$264</f>
        <v/>
      </c>
      <c r="D31" s="152">
        <f>D93*'01_Вводные'!$H$265</f>
        <v/>
      </c>
      <c r="E31" s="152">
        <f>E93*'01_Вводные'!$H$266</f>
        <v/>
      </c>
      <c r="F31" s="152">
        <f>F93*'01_Вводные'!$H$267</f>
        <v/>
      </c>
      <c r="G31" s="152">
        <f>G93*'01_Вводные'!$H$268</f>
        <v/>
      </c>
      <c r="H31" s="152">
        <f>H93*'01_Вводные'!$H$269</f>
        <v/>
      </c>
      <c r="I31" s="152">
        <f>I93*'01_Вводные'!$H$270</f>
        <v/>
      </c>
      <c r="J31" s="152">
        <f>J93*'01_Вводные'!$H$271</f>
        <v/>
      </c>
      <c r="K31" s="152">
        <f>K93*'01_Вводные'!$H$272</f>
        <v/>
      </c>
      <c r="L31" s="152">
        <f>L93*'01_Вводные'!$H$273</f>
        <v/>
      </c>
      <c r="M31" s="152">
        <f>M93*'01_Вводные'!$H$274</f>
        <v/>
      </c>
      <c r="N31" s="152">
        <f>N93*'01_Вводные'!$H$275</f>
        <v/>
      </c>
      <c r="O31" s="152">
        <f>O93*'01_Вводные'!$H$276</f>
        <v/>
      </c>
      <c r="P31" s="152">
        <f>P93*'01_Вводные'!$H$277</f>
        <v/>
      </c>
      <c r="Q31" s="152">
        <f>Q93*'01_Вводные'!$H$278</f>
        <v/>
      </c>
      <c r="R31" s="152">
        <f>R93*'01_Вводные'!$H$279</f>
        <v/>
      </c>
      <c r="S31" s="152">
        <f>S93*'01_Вводные'!$H$280</f>
        <v/>
      </c>
      <c r="T31" s="152">
        <f>T93*'01_Вводные'!$H$281</f>
        <v/>
      </c>
      <c r="U31" s="152">
        <f>U93*'01_Вводные'!$H$282</f>
        <v/>
      </c>
      <c r="W31" s="154">
        <f>SUMPRODUCT($B$22:$U$22,B93:U93)</f>
        <v/>
      </c>
      <c r="X31" s="154">
        <f>SUMPRODUCT($B$22:$U$22,B61:U61)</f>
        <v/>
      </c>
    </row>
    <row r="32">
      <c r="A32" s="150" t="inlineStr">
        <is>
          <t>9</t>
        </is>
      </c>
      <c r="B32" s="152">
        <f>B94*'01_Вводные'!$H$263</f>
        <v/>
      </c>
      <c r="C32" s="152">
        <f>C94*'01_Вводные'!$H$264</f>
        <v/>
      </c>
      <c r="D32" s="152">
        <f>D94*'01_Вводные'!$H$265</f>
        <v/>
      </c>
      <c r="E32" s="152">
        <f>E94*'01_Вводные'!$H$266</f>
        <v/>
      </c>
      <c r="F32" s="152">
        <f>F94*'01_Вводные'!$H$267</f>
        <v/>
      </c>
      <c r="G32" s="152">
        <f>G94*'01_Вводные'!$H$268</f>
        <v/>
      </c>
      <c r="H32" s="152">
        <f>H94*'01_Вводные'!$H$269</f>
        <v/>
      </c>
      <c r="I32" s="152">
        <f>I94*'01_Вводные'!$H$270</f>
        <v/>
      </c>
      <c r="J32" s="152">
        <f>J94*'01_Вводные'!$H$271</f>
        <v/>
      </c>
      <c r="K32" s="152">
        <f>K94*'01_Вводные'!$H$272</f>
        <v/>
      </c>
      <c r="L32" s="152">
        <f>L94*'01_Вводные'!$H$273</f>
        <v/>
      </c>
      <c r="M32" s="152">
        <f>M94*'01_Вводные'!$H$274</f>
        <v/>
      </c>
      <c r="N32" s="152">
        <f>N94*'01_Вводные'!$H$275</f>
        <v/>
      </c>
      <c r="O32" s="152">
        <f>O94*'01_Вводные'!$H$276</f>
        <v/>
      </c>
      <c r="P32" s="152">
        <f>P94*'01_Вводные'!$H$277</f>
        <v/>
      </c>
      <c r="Q32" s="152">
        <f>Q94*'01_Вводные'!$H$278</f>
        <v/>
      </c>
      <c r="R32" s="152">
        <f>R94*'01_Вводные'!$H$279</f>
        <v/>
      </c>
      <c r="S32" s="152">
        <f>S94*'01_Вводные'!$H$280</f>
        <v/>
      </c>
      <c r="T32" s="152">
        <f>T94*'01_Вводные'!$H$281</f>
        <v/>
      </c>
      <c r="U32" s="152">
        <f>U94*'01_Вводные'!$H$282</f>
        <v/>
      </c>
      <c r="W32" s="154">
        <f>SUMPRODUCT($B$22:$U$22,B94:U94)</f>
        <v/>
      </c>
      <c r="X32" s="154">
        <f>SUMPRODUCT($B$22:$U$22,B62:U62)</f>
        <v/>
      </c>
    </row>
    <row r="33">
      <c r="A33" s="150" t="inlineStr">
        <is>
          <t>10</t>
        </is>
      </c>
      <c r="B33" s="152">
        <f>B95*'01_Вводные'!$H$263</f>
        <v/>
      </c>
      <c r="C33" s="152">
        <f>C95*'01_Вводные'!$H$264</f>
        <v/>
      </c>
      <c r="D33" s="152">
        <f>D95*'01_Вводные'!$H$265</f>
        <v/>
      </c>
      <c r="E33" s="152">
        <f>E95*'01_Вводные'!$H$266</f>
        <v/>
      </c>
      <c r="F33" s="152">
        <f>F95*'01_Вводные'!$H$267</f>
        <v/>
      </c>
      <c r="G33" s="152">
        <f>G95*'01_Вводные'!$H$268</f>
        <v/>
      </c>
      <c r="H33" s="152">
        <f>H95*'01_Вводные'!$H$269</f>
        <v/>
      </c>
      <c r="I33" s="152">
        <f>I95*'01_Вводные'!$H$270</f>
        <v/>
      </c>
      <c r="J33" s="152">
        <f>J95*'01_Вводные'!$H$271</f>
        <v/>
      </c>
      <c r="K33" s="152">
        <f>K95*'01_Вводные'!$H$272</f>
        <v/>
      </c>
      <c r="L33" s="152">
        <f>L95*'01_Вводные'!$H$273</f>
        <v/>
      </c>
      <c r="M33" s="152">
        <f>M95*'01_Вводные'!$H$274</f>
        <v/>
      </c>
      <c r="N33" s="152">
        <f>N95*'01_Вводные'!$H$275</f>
        <v/>
      </c>
      <c r="O33" s="152">
        <f>O95*'01_Вводные'!$H$276</f>
        <v/>
      </c>
      <c r="P33" s="152">
        <f>P95*'01_Вводные'!$H$277</f>
        <v/>
      </c>
      <c r="Q33" s="152">
        <f>Q95*'01_Вводные'!$H$278</f>
        <v/>
      </c>
      <c r="R33" s="152">
        <f>R95*'01_Вводные'!$H$279</f>
        <v/>
      </c>
      <c r="S33" s="152">
        <f>S95*'01_Вводные'!$H$280</f>
        <v/>
      </c>
      <c r="T33" s="152">
        <f>T95*'01_Вводные'!$H$281</f>
        <v/>
      </c>
      <c r="U33" s="152">
        <f>U95*'01_Вводные'!$H$282</f>
        <v/>
      </c>
      <c r="W33" s="154">
        <f>SUMPRODUCT($B$22:$U$22,B95:U95)</f>
        <v/>
      </c>
      <c r="X33" s="154">
        <f>SUMPRODUCT($B$22:$U$22,B63:U63)</f>
        <v/>
      </c>
    </row>
    <row r="34">
      <c r="A34" s="150" t="inlineStr">
        <is>
          <t>11</t>
        </is>
      </c>
      <c r="B34" s="152">
        <f>B96*'01_Вводные'!$H$263</f>
        <v/>
      </c>
      <c r="C34" s="152">
        <f>C96*'01_Вводные'!$H$264</f>
        <v/>
      </c>
      <c r="D34" s="152">
        <f>D96*'01_Вводные'!$H$265</f>
        <v/>
      </c>
      <c r="E34" s="152">
        <f>E96*'01_Вводные'!$H$266</f>
        <v/>
      </c>
      <c r="F34" s="152">
        <f>F96*'01_Вводные'!$H$267</f>
        <v/>
      </c>
      <c r="G34" s="152">
        <f>G96*'01_Вводные'!$H$268</f>
        <v/>
      </c>
      <c r="H34" s="152">
        <f>H96*'01_Вводные'!$H$269</f>
        <v/>
      </c>
      <c r="I34" s="152">
        <f>I96*'01_Вводные'!$H$270</f>
        <v/>
      </c>
      <c r="J34" s="152">
        <f>J96*'01_Вводные'!$H$271</f>
        <v/>
      </c>
      <c r="K34" s="152">
        <f>K96*'01_Вводные'!$H$272</f>
        <v/>
      </c>
      <c r="L34" s="152">
        <f>L96*'01_Вводные'!$H$273</f>
        <v/>
      </c>
      <c r="M34" s="152">
        <f>M96*'01_Вводные'!$H$274</f>
        <v/>
      </c>
      <c r="N34" s="152">
        <f>N96*'01_Вводные'!$H$275</f>
        <v/>
      </c>
      <c r="O34" s="152">
        <f>O96*'01_Вводные'!$H$276</f>
        <v/>
      </c>
      <c r="P34" s="152">
        <f>P96*'01_Вводные'!$H$277</f>
        <v/>
      </c>
      <c r="Q34" s="152">
        <f>Q96*'01_Вводные'!$H$278</f>
        <v/>
      </c>
      <c r="R34" s="152">
        <f>R96*'01_Вводные'!$H$279</f>
        <v/>
      </c>
      <c r="S34" s="152">
        <f>S96*'01_Вводные'!$H$280</f>
        <v/>
      </c>
      <c r="T34" s="152">
        <f>T96*'01_Вводные'!$H$281</f>
        <v/>
      </c>
      <c r="U34" s="152">
        <f>U96*'01_Вводные'!$H$282</f>
        <v/>
      </c>
      <c r="W34" s="154">
        <f>SUMPRODUCT($B$22:$U$22,B96:U96)</f>
        <v/>
      </c>
      <c r="X34" s="154">
        <f>SUMPRODUCT($B$22:$U$22,B64:U64)</f>
        <v/>
      </c>
    </row>
    <row r="35">
      <c r="A35" s="150" t="inlineStr">
        <is>
          <t>12</t>
        </is>
      </c>
      <c r="B35" s="152">
        <f>B97*'01_Вводные'!$H$263</f>
        <v/>
      </c>
      <c r="C35" s="152">
        <f>C97*'01_Вводные'!$H$264</f>
        <v/>
      </c>
      <c r="D35" s="152">
        <f>D97*'01_Вводные'!$H$265</f>
        <v/>
      </c>
      <c r="E35" s="152">
        <f>E97*'01_Вводные'!$H$266</f>
        <v/>
      </c>
      <c r="F35" s="152">
        <f>F97*'01_Вводные'!$H$267</f>
        <v/>
      </c>
      <c r="G35" s="152">
        <f>G97*'01_Вводные'!$H$268</f>
        <v/>
      </c>
      <c r="H35" s="152">
        <f>H97*'01_Вводные'!$H$269</f>
        <v/>
      </c>
      <c r="I35" s="152">
        <f>I97*'01_Вводные'!$H$270</f>
        <v/>
      </c>
      <c r="J35" s="152">
        <f>J97*'01_Вводные'!$H$271</f>
        <v/>
      </c>
      <c r="K35" s="152">
        <f>K97*'01_Вводные'!$H$272</f>
        <v/>
      </c>
      <c r="L35" s="152">
        <f>L97*'01_Вводные'!$H$273</f>
        <v/>
      </c>
      <c r="M35" s="152">
        <f>M97*'01_Вводные'!$H$274</f>
        <v/>
      </c>
      <c r="N35" s="152">
        <f>N97*'01_Вводные'!$H$275</f>
        <v/>
      </c>
      <c r="O35" s="152">
        <f>O97*'01_Вводные'!$H$276</f>
        <v/>
      </c>
      <c r="P35" s="152">
        <f>P97*'01_Вводные'!$H$277</f>
        <v/>
      </c>
      <c r="Q35" s="152">
        <f>Q97*'01_Вводные'!$H$278</f>
        <v/>
      </c>
      <c r="R35" s="152">
        <f>R97*'01_Вводные'!$H$279</f>
        <v/>
      </c>
      <c r="S35" s="152">
        <f>S97*'01_Вводные'!$H$280</f>
        <v/>
      </c>
      <c r="T35" s="152">
        <f>T97*'01_Вводные'!$H$281</f>
        <v/>
      </c>
      <c r="U35" s="152">
        <f>U97*'01_Вводные'!$H$282</f>
        <v/>
      </c>
      <c r="W35" s="154">
        <f>SUMPRODUCT($B$22:$U$22,B97:U97)</f>
        <v/>
      </c>
      <c r="X35" s="154">
        <f>SUMPRODUCT($B$22:$U$22,B65:U65)</f>
        <v/>
      </c>
    </row>
    <row r="36">
      <c r="A36" s="150" t="inlineStr">
        <is>
          <t>13</t>
        </is>
      </c>
      <c r="B36" s="152">
        <f>B98*'01_Вводные'!$H$263</f>
        <v/>
      </c>
      <c r="C36" s="152">
        <f>C98*'01_Вводные'!$H$264</f>
        <v/>
      </c>
      <c r="D36" s="152">
        <f>D98*'01_Вводные'!$H$265</f>
        <v/>
      </c>
      <c r="E36" s="152">
        <f>E98*'01_Вводные'!$H$266</f>
        <v/>
      </c>
      <c r="F36" s="152">
        <f>F98*'01_Вводные'!$H$267</f>
        <v/>
      </c>
      <c r="G36" s="152">
        <f>G98*'01_Вводные'!$H$268</f>
        <v/>
      </c>
      <c r="H36" s="152">
        <f>H98*'01_Вводные'!$H$269</f>
        <v/>
      </c>
      <c r="I36" s="152">
        <f>I98*'01_Вводные'!$H$270</f>
        <v/>
      </c>
      <c r="J36" s="152">
        <f>J98*'01_Вводные'!$H$271</f>
        <v/>
      </c>
      <c r="K36" s="152">
        <f>K98*'01_Вводные'!$H$272</f>
        <v/>
      </c>
      <c r="L36" s="152">
        <f>L98*'01_Вводные'!$H$273</f>
        <v/>
      </c>
      <c r="M36" s="152">
        <f>M98*'01_Вводные'!$H$274</f>
        <v/>
      </c>
      <c r="N36" s="152">
        <f>N98*'01_Вводные'!$H$275</f>
        <v/>
      </c>
      <c r="O36" s="152">
        <f>O98*'01_Вводные'!$H$276</f>
        <v/>
      </c>
      <c r="P36" s="152">
        <f>P98*'01_Вводные'!$H$277</f>
        <v/>
      </c>
      <c r="Q36" s="152">
        <f>Q98*'01_Вводные'!$H$278</f>
        <v/>
      </c>
      <c r="R36" s="152">
        <f>R98*'01_Вводные'!$H$279</f>
        <v/>
      </c>
      <c r="S36" s="152">
        <f>S98*'01_Вводные'!$H$280</f>
        <v/>
      </c>
      <c r="T36" s="152">
        <f>T98*'01_Вводные'!$H$281</f>
        <v/>
      </c>
      <c r="U36" s="152">
        <f>U98*'01_Вводные'!$H$282</f>
        <v/>
      </c>
      <c r="W36" s="154">
        <f>SUMPRODUCT($B$22:$U$22,B98:U98)</f>
        <v/>
      </c>
      <c r="X36" s="154">
        <f>SUMPRODUCT($B$22:$U$22,B66:U66)</f>
        <v/>
      </c>
    </row>
    <row r="37">
      <c r="A37" s="150" t="inlineStr">
        <is>
          <t>14</t>
        </is>
      </c>
      <c r="B37" s="152">
        <f>B99*'01_Вводные'!$H$263</f>
        <v/>
      </c>
      <c r="C37" s="152">
        <f>C99*'01_Вводные'!$H$264</f>
        <v/>
      </c>
      <c r="D37" s="152">
        <f>D99*'01_Вводные'!$H$265</f>
        <v/>
      </c>
      <c r="E37" s="152">
        <f>E99*'01_Вводные'!$H$266</f>
        <v/>
      </c>
      <c r="F37" s="152">
        <f>F99*'01_Вводные'!$H$267</f>
        <v/>
      </c>
      <c r="G37" s="152">
        <f>G99*'01_Вводные'!$H$268</f>
        <v/>
      </c>
      <c r="H37" s="152">
        <f>H99*'01_Вводные'!$H$269</f>
        <v/>
      </c>
      <c r="I37" s="152">
        <f>I99*'01_Вводные'!$H$270</f>
        <v/>
      </c>
      <c r="J37" s="152">
        <f>J99*'01_Вводные'!$H$271</f>
        <v/>
      </c>
      <c r="K37" s="152">
        <f>K99*'01_Вводные'!$H$272</f>
        <v/>
      </c>
      <c r="L37" s="152">
        <f>L99*'01_Вводные'!$H$273</f>
        <v/>
      </c>
      <c r="M37" s="152">
        <f>M99*'01_Вводные'!$H$274</f>
        <v/>
      </c>
      <c r="N37" s="152">
        <f>N99*'01_Вводные'!$H$275</f>
        <v/>
      </c>
      <c r="O37" s="152">
        <f>O99*'01_Вводные'!$H$276</f>
        <v/>
      </c>
      <c r="P37" s="152">
        <f>P99*'01_Вводные'!$H$277</f>
        <v/>
      </c>
      <c r="Q37" s="152">
        <f>Q99*'01_Вводные'!$H$278</f>
        <v/>
      </c>
      <c r="R37" s="152">
        <f>R99*'01_Вводные'!$H$279</f>
        <v/>
      </c>
      <c r="S37" s="152">
        <f>S99*'01_Вводные'!$H$280</f>
        <v/>
      </c>
      <c r="T37" s="152">
        <f>T99*'01_Вводные'!$H$281</f>
        <v/>
      </c>
      <c r="U37" s="152">
        <f>U99*'01_Вводные'!$H$282</f>
        <v/>
      </c>
      <c r="W37" s="154">
        <f>SUMPRODUCT($B$22:$U$22,B99:U99)</f>
        <v/>
      </c>
      <c r="X37" s="154">
        <f>SUMPRODUCT($B$22:$U$22,B67:U67)</f>
        <v/>
      </c>
    </row>
    <row r="38">
      <c r="A38" s="150" t="inlineStr">
        <is>
          <t>15</t>
        </is>
      </c>
      <c r="B38" s="152">
        <f>B100*'01_Вводные'!$H$263</f>
        <v/>
      </c>
      <c r="C38" s="152">
        <f>C100*'01_Вводные'!$H$264</f>
        <v/>
      </c>
      <c r="D38" s="152">
        <f>D100*'01_Вводные'!$H$265</f>
        <v/>
      </c>
      <c r="E38" s="152">
        <f>E100*'01_Вводные'!$H$266</f>
        <v/>
      </c>
      <c r="F38" s="152">
        <f>F100*'01_Вводные'!$H$267</f>
        <v/>
      </c>
      <c r="G38" s="152">
        <f>G100*'01_Вводные'!$H$268</f>
        <v/>
      </c>
      <c r="H38" s="152">
        <f>H100*'01_Вводные'!$H$269</f>
        <v/>
      </c>
      <c r="I38" s="152">
        <f>I100*'01_Вводные'!$H$270</f>
        <v/>
      </c>
      <c r="J38" s="152">
        <f>J100*'01_Вводные'!$H$271</f>
        <v/>
      </c>
      <c r="K38" s="152">
        <f>K100*'01_Вводные'!$H$272</f>
        <v/>
      </c>
      <c r="L38" s="152">
        <f>L100*'01_Вводные'!$H$273</f>
        <v/>
      </c>
      <c r="M38" s="152">
        <f>M100*'01_Вводные'!$H$274</f>
        <v/>
      </c>
      <c r="N38" s="152">
        <f>N100*'01_Вводные'!$H$275</f>
        <v/>
      </c>
      <c r="O38" s="152">
        <f>O100*'01_Вводные'!$H$276</f>
        <v/>
      </c>
      <c r="P38" s="152">
        <f>P100*'01_Вводные'!$H$277</f>
        <v/>
      </c>
      <c r="Q38" s="152">
        <f>Q100*'01_Вводные'!$H$278</f>
        <v/>
      </c>
      <c r="R38" s="152">
        <f>R100*'01_Вводные'!$H$279</f>
        <v/>
      </c>
      <c r="S38" s="152">
        <f>S100*'01_Вводные'!$H$280</f>
        <v/>
      </c>
      <c r="T38" s="152">
        <f>T100*'01_Вводные'!$H$281</f>
        <v/>
      </c>
      <c r="U38" s="152">
        <f>U100*'01_Вводные'!$H$282</f>
        <v/>
      </c>
      <c r="W38" s="154">
        <f>SUMPRODUCT($B$22:$U$22,B100:U100)</f>
        <v/>
      </c>
      <c r="X38" s="154">
        <f>SUMPRODUCT($B$22:$U$22,B68:U68)</f>
        <v/>
      </c>
    </row>
    <row r="39">
      <c r="A39" s="150" t="inlineStr">
        <is>
          <t>16</t>
        </is>
      </c>
      <c r="B39" s="152">
        <f>B101*'01_Вводные'!$H$263</f>
        <v/>
      </c>
      <c r="C39" s="152">
        <f>C101*'01_Вводные'!$H$264</f>
        <v/>
      </c>
      <c r="D39" s="152">
        <f>D101*'01_Вводные'!$H$265</f>
        <v/>
      </c>
      <c r="E39" s="152">
        <f>E101*'01_Вводные'!$H$266</f>
        <v/>
      </c>
      <c r="F39" s="152">
        <f>F101*'01_Вводные'!$H$267</f>
        <v/>
      </c>
      <c r="G39" s="152">
        <f>G101*'01_Вводные'!$H$268</f>
        <v/>
      </c>
      <c r="H39" s="152">
        <f>H101*'01_Вводные'!$H$269</f>
        <v/>
      </c>
      <c r="I39" s="152">
        <f>I101*'01_Вводные'!$H$270</f>
        <v/>
      </c>
      <c r="J39" s="152">
        <f>J101*'01_Вводные'!$H$271</f>
        <v/>
      </c>
      <c r="K39" s="152">
        <f>K101*'01_Вводные'!$H$272</f>
        <v/>
      </c>
      <c r="L39" s="152">
        <f>L101*'01_Вводные'!$H$273</f>
        <v/>
      </c>
      <c r="M39" s="152">
        <f>M101*'01_Вводные'!$H$274</f>
        <v/>
      </c>
      <c r="N39" s="152">
        <f>N101*'01_Вводные'!$H$275</f>
        <v/>
      </c>
      <c r="O39" s="152">
        <f>O101*'01_Вводные'!$H$276</f>
        <v/>
      </c>
      <c r="P39" s="152">
        <f>P101*'01_Вводные'!$H$277</f>
        <v/>
      </c>
      <c r="Q39" s="152">
        <f>Q101*'01_Вводные'!$H$278</f>
        <v/>
      </c>
      <c r="R39" s="152">
        <f>R101*'01_Вводные'!$H$279</f>
        <v/>
      </c>
      <c r="S39" s="152">
        <f>S101*'01_Вводные'!$H$280</f>
        <v/>
      </c>
      <c r="T39" s="152">
        <f>T101*'01_Вводные'!$H$281</f>
        <v/>
      </c>
      <c r="U39" s="152">
        <f>U101*'01_Вводные'!$H$282</f>
        <v/>
      </c>
      <c r="W39" s="154">
        <f>SUMPRODUCT($B$22:$U$22,B101:U101)</f>
        <v/>
      </c>
      <c r="X39" s="154">
        <f>SUMPRODUCT($B$22:$U$22,B69:U69)</f>
        <v/>
      </c>
    </row>
    <row r="40">
      <c r="A40" s="150" t="inlineStr">
        <is>
          <t>17</t>
        </is>
      </c>
      <c r="B40" s="152">
        <f>B102*'01_Вводные'!$H$263</f>
        <v/>
      </c>
      <c r="C40" s="152">
        <f>C102*'01_Вводные'!$H$264</f>
        <v/>
      </c>
      <c r="D40" s="152">
        <f>D102*'01_Вводные'!$H$265</f>
        <v/>
      </c>
      <c r="E40" s="152">
        <f>E102*'01_Вводные'!$H$266</f>
        <v/>
      </c>
      <c r="F40" s="152">
        <f>F102*'01_Вводные'!$H$267</f>
        <v/>
      </c>
      <c r="G40" s="152">
        <f>G102*'01_Вводные'!$H$268</f>
        <v/>
      </c>
      <c r="H40" s="152">
        <f>H102*'01_Вводные'!$H$269</f>
        <v/>
      </c>
      <c r="I40" s="152">
        <f>I102*'01_Вводные'!$H$270</f>
        <v/>
      </c>
      <c r="J40" s="152">
        <f>J102*'01_Вводные'!$H$271</f>
        <v/>
      </c>
      <c r="K40" s="152">
        <f>K102*'01_Вводные'!$H$272</f>
        <v/>
      </c>
      <c r="L40" s="152">
        <f>L102*'01_Вводные'!$H$273</f>
        <v/>
      </c>
      <c r="M40" s="152">
        <f>M102*'01_Вводные'!$H$274</f>
        <v/>
      </c>
      <c r="N40" s="152">
        <f>N102*'01_Вводные'!$H$275</f>
        <v/>
      </c>
      <c r="O40" s="152">
        <f>O102*'01_Вводные'!$H$276</f>
        <v/>
      </c>
      <c r="P40" s="152">
        <f>P102*'01_Вводные'!$H$277</f>
        <v/>
      </c>
      <c r="Q40" s="152">
        <f>Q102*'01_Вводные'!$H$278</f>
        <v/>
      </c>
      <c r="R40" s="152">
        <f>R102*'01_Вводные'!$H$279</f>
        <v/>
      </c>
      <c r="S40" s="152">
        <f>S102*'01_Вводные'!$H$280</f>
        <v/>
      </c>
      <c r="T40" s="152">
        <f>T102*'01_Вводные'!$H$281</f>
        <v/>
      </c>
      <c r="U40" s="152">
        <f>U102*'01_Вводные'!$H$282</f>
        <v/>
      </c>
      <c r="W40" s="154">
        <f>SUMPRODUCT($B$22:$U$22,B102:U102)</f>
        <v/>
      </c>
      <c r="X40" s="154">
        <f>SUMPRODUCT($B$22:$U$22,B70:U70)</f>
        <v/>
      </c>
    </row>
    <row r="41">
      <c r="A41" s="150" t="inlineStr">
        <is>
          <t>18</t>
        </is>
      </c>
      <c r="B41" s="152">
        <f>B103*'01_Вводные'!$H$263</f>
        <v/>
      </c>
      <c r="C41" s="152">
        <f>C103*'01_Вводные'!$H$264</f>
        <v/>
      </c>
      <c r="D41" s="152">
        <f>D103*'01_Вводные'!$H$265</f>
        <v/>
      </c>
      <c r="E41" s="152">
        <f>E103*'01_Вводные'!$H$266</f>
        <v/>
      </c>
      <c r="F41" s="152">
        <f>F103*'01_Вводные'!$H$267</f>
        <v/>
      </c>
      <c r="G41" s="152">
        <f>G103*'01_Вводные'!$H$268</f>
        <v/>
      </c>
      <c r="H41" s="152">
        <f>H103*'01_Вводные'!$H$269</f>
        <v/>
      </c>
      <c r="I41" s="152">
        <f>I103*'01_Вводные'!$H$270</f>
        <v/>
      </c>
      <c r="J41" s="152">
        <f>J103*'01_Вводные'!$H$271</f>
        <v/>
      </c>
      <c r="K41" s="152">
        <f>K103*'01_Вводные'!$H$272</f>
        <v/>
      </c>
      <c r="L41" s="152">
        <f>L103*'01_Вводные'!$H$273</f>
        <v/>
      </c>
      <c r="M41" s="152">
        <f>M103*'01_Вводные'!$H$274</f>
        <v/>
      </c>
      <c r="N41" s="152">
        <f>N103*'01_Вводные'!$H$275</f>
        <v/>
      </c>
      <c r="O41" s="152">
        <f>O103*'01_Вводные'!$H$276</f>
        <v/>
      </c>
      <c r="P41" s="152">
        <f>P103*'01_Вводные'!$H$277</f>
        <v/>
      </c>
      <c r="Q41" s="152">
        <f>Q103*'01_Вводные'!$H$278</f>
        <v/>
      </c>
      <c r="R41" s="152">
        <f>R103*'01_Вводные'!$H$279</f>
        <v/>
      </c>
      <c r="S41" s="152">
        <f>S103*'01_Вводные'!$H$280</f>
        <v/>
      </c>
      <c r="T41" s="152">
        <f>T103*'01_Вводные'!$H$281</f>
        <v/>
      </c>
      <c r="U41" s="152">
        <f>U103*'01_Вводные'!$H$282</f>
        <v/>
      </c>
      <c r="W41" s="154">
        <f>SUMPRODUCT($B$22:$U$22,B103:U103)</f>
        <v/>
      </c>
      <c r="X41" s="154">
        <f>SUMPRODUCT($B$22:$U$22,B71:U71)</f>
        <v/>
      </c>
    </row>
    <row r="42">
      <c r="A42" s="150" t="inlineStr">
        <is>
          <t>19</t>
        </is>
      </c>
      <c r="B42" s="152">
        <f>B104*'01_Вводные'!$H$263</f>
        <v/>
      </c>
      <c r="C42" s="152">
        <f>C104*'01_Вводные'!$H$264</f>
        <v/>
      </c>
      <c r="D42" s="152">
        <f>D104*'01_Вводные'!$H$265</f>
        <v/>
      </c>
      <c r="E42" s="152">
        <f>E104*'01_Вводные'!$H$266</f>
        <v/>
      </c>
      <c r="F42" s="152">
        <f>F104*'01_Вводные'!$H$267</f>
        <v/>
      </c>
      <c r="G42" s="152">
        <f>G104*'01_Вводные'!$H$268</f>
        <v/>
      </c>
      <c r="H42" s="152">
        <f>H104*'01_Вводные'!$H$269</f>
        <v/>
      </c>
      <c r="I42" s="152">
        <f>I104*'01_Вводные'!$H$270</f>
        <v/>
      </c>
      <c r="J42" s="152">
        <f>J104*'01_Вводные'!$H$271</f>
        <v/>
      </c>
      <c r="K42" s="152">
        <f>K104*'01_Вводные'!$H$272</f>
        <v/>
      </c>
      <c r="L42" s="152">
        <f>L104*'01_Вводные'!$H$273</f>
        <v/>
      </c>
      <c r="M42" s="152">
        <f>M104*'01_Вводные'!$H$274</f>
        <v/>
      </c>
      <c r="N42" s="152">
        <f>N104*'01_Вводные'!$H$275</f>
        <v/>
      </c>
      <c r="O42" s="152">
        <f>O104*'01_Вводные'!$H$276</f>
        <v/>
      </c>
      <c r="P42" s="152">
        <f>P104*'01_Вводные'!$H$277</f>
        <v/>
      </c>
      <c r="Q42" s="152">
        <f>Q104*'01_Вводные'!$H$278</f>
        <v/>
      </c>
      <c r="R42" s="152">
        <f>R104*'01_Вводные'!$H$279</f>
        <v/>
      </c>
      <c r="S42" s="152">
        <f>S104*'01_Вводные'!$H$280</f>
        <v/>
      </c>
      <c r="T42" s="152">
        <f>T104*'01_Вводные'!$H$281</f>
        <v/>
      </c>
      <c r="U42" s="152">
        <f>U104*'01_Вводные'!$H$282</f>
        <v/>
      </c>
      <c r="W42" s="154">
        <f>SUMPRODUCT($B$22:$U$22,B104:U104)</f>
        <v/>
      </c>
      <c r="X42" s="154">
        <f>SUMPRODUCT($B$22:$U$22,B72:U72)</f>
        <v/>
      </c>
    </row>
    <row r="43">
      <c r="A43" s="150" t="inlineStr">
        <is>
          <t>20</t>
        </is>
      </c>
      <c r="B43" s="152">
        <f>B105*'01_Вводные'!$H$263</f>
        <v/>
      </c>
      <c r="C43" s="152">
        <f>C105*'01_Вводные'!$H$264</f>
        <v/>
      </c>
      <c r="D43" s="152">
        <f>D105*'01_Вводные'!$H$265</f>
        <v/>
      </c>
      <c r="E43" s="152">
        <f>E105*'01_Вводные'!$H$266</f>
        <v/>
      </c>
      <c r="F43" s="152">
        <f>F105*'01_Вводные'!$H$267</f>
        <v/>
      </c>
      <c r="G43" s="152">
        <f>G105*'01_Вводные'!$H$268</f>
        <v/>
      </c>
      <c r="H43" s="152">
        <f>H105*'01_Вводные'!$H$269</f>
        <v/>
      </c>
      <c r="I43" s="152">
        <f>I105*'01_Вводные'!$H$270</f>
        <v/>
      </c>
      <c r="J43" s="152">
        <f>J105*'01_Вводные'!$H$271</f>
        <v/>
      </c>
      <c r="K43" s="152">
        <f>K105*'01_Вводные'!$H$272</f>
        <v/>
      </c>
      <c r="L43" s="152">
        <f>L105*'01_Вводные'!$H$273</f>
        <v/>
      </c>
      <c r="M43" s="152">
        <f>M105*'01_Вводные'!$H$274</f>
        <v/>
      </c>
      <c r="N43" s="152">
        <f>N105*'01_Вводные'!$H$275</f>
        <v/>
      </c>
      <c r="O43" s="152">
        <f>O105*'01_Вводные'!$H$276</f>
        <v/>
      </c>
      <c r="P43" s="152">
        <f>P105*'01_Вводные'!$H$277</f>
        <v/>
      </c>
      <c r="Q43" s="152">
        <f>Q105*'01_Вводные'!$H$278</f>
        <v/>
      </c>
      <c r="R43" s="152">
        <f>R105*'01_Вводные'!$H$279</f>
        <v/>
      </c>
      <c r="S43" s="152">
        <f>S105*'01_Вводные'!$H$280</f>
        <v/>
      </c>
      <c r="T43" s="152">
        <f>T105*'01_Вводные'!$H$281</f>
        <v/>
      </c>
      <c r="U43" s="152">
        <f>U105*'01_Вводные'!$H$282</f>
        <v/>
      </c>
      <c r="W43" s="154">
        <f>SUMPRODUCT($B$22:$U$22,B105:U105)</f>
        <v/>
      </c>
      <c r="X43" s="154">
        <f>SUMPRODUCT($B$22:$U$22,B73:U73)</f>
        <v/>
      </c>
    </row>
    <row r="44">
      <c r="A44" s="150" t="inlineStr">
        <is>
          <t>21</t>
        </is>
      </c>
      <c r="B44" s="152">
        <f>B106*'01_Вводные'!$H$263</f>
        <v/>
      </c>
      <c r="C44" s="152">
        <f>C106*'01_Вводные'!$H$264</f>
        <v/>
      </c>
      <c r="D44" s="152">
        <f>D106*'01_Вводные'!$H$265</f>
        <v/>
      </c>
      <c r="E44" s="152">
        <f>E106*'01_Вводные'!$H$266</f>
        <v/>
      </c>
      <c r="F44" s="152">
        <f>F106*'01_Вводные'!$H$267</f>
        <v/>
      </c>
      <c r="G44" s="152">
        <f>G106*'01_Вводные'!$H$268</f>
        <v/>
      </c>
      <c r="H44" s="152">
        <f>H106*'01_Вводные'!$H$269</f>
        <v/>
      </c>
      <c r="I44" s="152">
        <f>I106*'01_Вводные'!$H$270</f>
        <v/>
      </c>
      <c r="J44" s="152">
        <f>J106*'01_Вводные'!$H$271</f>
        <v/>
      </c>
      <c r="K44" s="152">
        <f>K106*'01_Вводные'!$H$272</f>
        <v/>
      </c>
      <c r="L44" s="152">
        <f>L106*'01_Вводные'!$H$273</f>
        <v/>
      </c>
      <c r="M44" s="152">
        <f>M106*'01_Вводные'!$H$274</f>
        <v/>
      </c>
      <c r="N44" s="152">
        <f>N106*'01_Вводные'!$H$275</f>
        <v/>
      </c>
      <c r="O44" s="152">
        <f>O106*'01_Вводные'!$H$276</f>
        <v/>
      </c>
      <c r="P44" s="152">
        <f>P106*'01_Вводные'!$H$277</f>
        <v/>
      </c>
      <c r="Q44" s="152">
        <f>Q106*'01_Вводные'!$H$278</f>
        <v/>
      </c>
      <c r="R44" s="152">
        <f>R106*'01_Вводные'!$H$279</f>
        <v/>
      </c>
      <c r="S44" s="152">
        <f>S106*'01_Вводные'!$H$280</f>
        <v/>
      </c>
      <c r="T44" s="152">
        <f>T106*'01_Вводные'!$H$281</f>
        <v/>
      </c>
      <c r="U44" s="152">
        <f>U106*'01_Вводные'!$H$282</f>
        <v/>
      </c>
      <c r="W44" s="154">
        <f>SUMPRODUCT($B$22:$U$22,B106:U106)</f>
        <v/>
      </c>
      <c r="X44" s="154">
        <f>SUMPRODUCT($B$22:$U$22,B74:U74)</f>
        <v/>
      </c>
    </row>
    <row r="45">
      <c r="A45" s="150" t="inlineStr">
        <is>
          <t>22</t>
        </is>
      </c>
      <c r="B45" s="152">
        <f>B107*'01_Вводные'!$H$263</f>
        <v/>
      </c>
      <c r="C45" s="152">
        <f>C107*'01_Вводные'!$H$264</f>
        <v/>
      </c>
      <c r="D45" s="152">
        <f>D107*'01_Вводные'!$H$265</f>
        <v/>
      </c>
      <c r="E45" s="152">
        <f>E107*'01_Вводные'!$H$266</f>
        <v/>
      </c>
      <c r="F45" s="152">
        <f>F107*'01_Вводные'!$H$267</f>
        <v/>
      </c>
      <c r="G45" s="152">
        <f>G107*'01_Вводные'!$H$268</f>
        <v/>
      </c>
      <c r="H45" s="152">
        <f>H107*'01_Вводные'!$H$269</f>
        <v/>
      </c>
      <c r="I45" s="152">
        <f>I107*'01_Вводные'!$H$270</f>
        <v/>
      </c>
      <c r="J45" s="152">
        <f>J107*'01_Вводные'!$H$271</f>
        <v/>
      </c>
      <c r="K45" s="152">
        <f>K107*'01_Вводные'!$H$272</f>
        <v/>
      </c>
      <c r="L45" s="152">
        <f>L107*'01_Вводные'!$H$273</f>
        <v/>
      </c>
      <c r="M45" s="152">
        <f>M107*'01_Вводные'!$H$274</f>
        <v/>
      </c>
      <c r="N45" s="152">
        <f>N107*'01_Вводные'!$H$275</f>
        <v/>
      </c>
      <c r="O45" s="152">
        <f>O107*'01_Вводные'!$H$276</f>
        <v/>
      </c>
      <c r="P45" s="152">
        <f>P107*'01_Вводные'!$H$277</f>
        <v/>
      </c>
      <c r="Q45" s="152">
        <f>Q107*'01_Вводные'!$H$278</f>
        <v/>
      </c>
      <c r="R45" s="152">
        <f>R107*'01_Вводные'!$H$279</f>
        <v/>
      </c>
      <c r="S45" s="152">
        <f>S107*'01_Вводные'!$H$280</f>
        <v/>
      </c>
      <c r="T45" s="152">
        <f>T107*'01_Вводные'!$H$281</f>
        <v/>
      </c>
      <c r="U45" s="152">
        <f>U107*'01_Вводные'!$H$282</f>
        <v/>
      </c>
      <c r="W45" s="154">
        <f>SUMPRODUCT($B$22:$U$22,B107:U107)</f>
        <v/>
      </c>
      <c r="X45" s="154">
        <f>SUMPRODUCT($B$22:$U$22,B75:U75)</f>
        <v/>
      </c>
    </row>
    <row r="46">
      <c r="A46" s="150" t="inlineStr">
        <is>
          <t>23</t>
        </is>
      </c>
      <c r="B46" s="152">
        <f>B108*'01_Вводные'!$H$263</f>
        <v/>
      </c>
      <c r="C46" s="152">
        <f>C108*'01_Вводные'!$H$264</f>
        <v/>
      </c>
      <c r="D46" s="152">
        <f>D108*'01_Вводные'!$H$265</f>
        <v/>
      </c>
      <c r="E46" s="152">
        <f>E108*'01_Вводные'!$H$266</f>
        <v/>
      </c>
      <c r="F46" s="152">
        <f>F108*'01_Вводные'!$H$267</f>
        <v/>
      </c>
      <c r="G46" s="152">
        <f>G108*'01_Вводные'!$H$268</f>
        <v/>
      </c>
      <c r="H46" s="152">
        <f>H108*'01_Вводные'!$H$269</f>
        <v/>
      </c>
      <c r="I46" s="152">
        <f>I108*'01_Вводные'!$H$270</f>
        <v/>
      </c>
      <c r="J46" s="152">
        <f>J108*'01_Вводные'!$H$271</f>
        <v/>
      </c>
      <c r="K46" s="152">
        <f>K108*'01_Вводные'!$H$272</f>
        <v/>
      </c>
      <c r="L46" s="152">
        <f>L108*'01_Вводные'!$H$273</f>
        <v/>
      </c>
      <c r="M46" s="152">
        <f>M108*'01_Вводные'!$H$274</f>
        <v/>
      </c>
      <c r="N46" s="152">
        <f>N108*'01_Вводные'!$H$275</f>
        <v/>
      </c>
      <c r="O46" s="152">
        <f>O108*'01_Вводные'!$H$276</f>
        <v/>
      </c>
      <c r="P46" s="152">
        <f>P108*'01_Вводные'!$H$277</f>
        <v/>
      </c>
      <c r="Q46" s="152">
        <f>Q108*'01_Вводные'!$H$278</f>
        <v/>
      </c>
      <c r="R46" s="152">
        <f>R108*'01_Вводные'!$H$279</f>
        <v/>
      </c>
      <c r="S46" s="152">
        <f>S108*'01_Вводные'!$H$280</f>
        <v/>
      </c>
      <c r="T46" s="152">
        <f>T108*'01_Вводные'!$H$281</f>
        <v/>
      </c>
      <c r="U46" s="152">
        <f>U108*'01_Вводные'!$H$282</f>
        <v/>
      </c>
      <c r="W46" s="154">
        <f>SUMPRODUCT($B$22:$U$22,B108:U108)</f>
        <v/>
      </c>
      <c r="X46" s="154">
        <f>SUMPRODUCT($B$22:$U$22,B76:U76)</f>
        <v/>
      </c>
    </row>
    <row r="47">
      <c r="A47" s="150" t="inlineStr">
        <is>
          <t>24</t>
        </is>
      </c>
      <c r="B47" s="152">
        <f>B109*'01_Вводные'!$H$263</f>
        <v/>
      </c>
      <c r="C47" s="152">
        <f>C109*'01_Вводные'!$H$264</f>
        <v/>
      </c>
      <c r="D47" s="152">
        <f>D109*'01_Вводные'!$H$265</f>
        <v/>
      </c>
      <c r="E47" s="152">
        <f>E109*'01_Вводные'!$H$266</f>
        <v/>
      </c>
      <c r="F47" s="152">
        <f>F109*'01_Вводные'!$H$267</f>
        <v/>
      </c>
      <c r="G47" s="152">
        <f>G109*'01_Вводные'!$H$268</f>
        <v/>
      </c>
      <c r="H47" s="152">
        <f>H109*'01_Вводные'!$H$269</f>
        <v/>
      </c>
      <c r="I47" s="152">
        <f>I109*'01_Вводные'!$H$270</f>
        <v/>
      </c>
      <c r="J47" s="152">
        <f>J109*'01_Вводные'!$H$271</f>
        <v/>
      </c>
      <c r="K47" s="152">
        <f>K109*'01_Вводные'!$H$272</f>
        <v/>
      </c>
      <c r="L47" s="152">
        <f>L109*'01_Вводные'!$H$273</f>
        <v/>
      </c>
      <c r="M47" s="152">
        <f>M109*'01_Вводные'!$H$274</f>
        <v/>
      </c>
      <c r="N47" s="152">
        <f>N109*'01_Вводные'!$H$275</f>
        <v/>
      </c>
      <c r="O47" s="152">
        <f>O109*'01_Вводные'!$H$276</f>
        <v/>
      </c>
      <c r="P47" s="152">
        <f>P109*'01_Вводные'!$H$277</f>
        <v/>
      </c>
      <c r="Q47" s="152">
        <f>Q109*'01_Вводные'!$H$278</f>
        <v/>
      </c>
      <c r="R47" s="152">
        <f>R109*'01_Вводные'!$H$279</f>
        <v/>
      </c>
      <c r="S47" s="152">
        <f>S109*'01_Вводные'!$H$280</f>
        <v/>
      </c>
      <c r="T47" s="152">
        <f>T109*'01_Вводные'!$H$281</f>
        <v/>
      </c>
      <c r="U47" s="152">
        <f>U109*'01_Вводные'!$H$282</f>
        <v/>
      </c>
      <c r="W47" s="154">
        <f>SUMPRODUCT($B$22:$U$22,B109:U109)</f>
        <v/>
      </c>
      <c r="X47" s="154">
        <f>SUMPRODUCT($B$22:$U$22,B77:U77)</f>
        <v/>
      </c>
    </row>
    <row r="48">
      <c r="A48" s="150" t="inlineStr">
        <is>
          <t>25+</t>
        </is>
      </c>
      <c r="B48" s="152">
        <f>B110*'01_Вводные'!$H$263</f>
        <v/>
      </c>
      <c r="C48" s="152">
        <f>C110*'01_Вводные'!$H$264</f>
        <v/>
      </c>
      <c r="D48" s="152">
        <f>D110*'01_Вводные'!$H$265</f>
        <v/>
      </c>
      <c r="E48" s="152">
        <f>E110*'01_Вводные'!$H$266</f>
        <v/>
      </c>
      <c r="F48" s="152">
        <f>F110*'01_Вводные'!$H$267</f>
        <v/>
      </c>
      <c r="G48" s="152">
        <f>G110*'01_Вводные'!$H$268</f>
        <v/>
      </c>
      <c r="H48" s="152">
        <f>H110*'01_Вводные'!$H$269</f>
        <v/>
      </c>
      <c r="I48" s="152">
        <f>I110*'01_Вводные'!$H$270</f>
        <v/>
      </c>
      <c r="J48" s="152">
        <f>J110*'01_Вводные'!$H$271</f>
        <v/>
      </c>
      <c r="K48" s="152">
        <f>K110*'01_Вводные'!$H$272</f>
        <v/>
      </c>
      <c r="L48" s="152">
        <f>L110*'01_Вводные'!$H$273</f>
        <v/>
      </c>
      <c r="M48" s="152">
        <f>M110*'01_Вводные'!$H$274</f>
        <v/>
      </c>
      <c r="N48" s="152">
        <f>N110*'01_Вводные'!$H$275</f>
        <v/>
      </c>
      <c r="O48" s="152">
        <f>O110*'01_Вводные'!$H$276</f>
        <v/>
      </c>
      <c r="P48" s="152">
        <f>P110*'01_Вводные'!$H$277</f>
        <v/>
      </c>
      <c r="Q48" s="152">
        <f>Q110*'01_Вводные'!$H$278</f>
        <v/>
      </c>
      <c r="R48" s="152">
        <f>R110*'01_Вводные'!$H$279</f>
        <v/>
      </c>
      <c r="S48" s="152">
        <f>S110*'01_Вводные'!$H$280</f>
        <v/>
      </c>
      <c r="T48" s="152">
        <f>T110*'01_Вводные'!$H$281</f>
        <v/>
      </c>
      <c r="U48" s="152">
        <f>U110*'01_Вводные'!$H$282</f>
        <v/>
      </c>
      <c r="W48" s="154">
        <f>SUMPRODUCT($B$22:$U$22,B110:U110)</f>
        <v/>
      </c>
      <c r="X48" s="154">
        <f>SUMPRODUCT($B$22:$U$22,B78:U78)</f>
        <v/>
      </c>
    </row>
    <row r="54">
      <c r="A54" s="150" t="inlineStr">
        <is>
          <t>1</t>
        </is>
      </c>
      <c r="B54" s="152">
        <f>'01_Вводные'!$I$263</f>
        <v/>
      </c>
      <c r="C54" s="152">
        <f>'01_Вводные'!$I$264</f>
        <v/>
      </c>
      <c r="D54" s="152">
        <f>'01_Вводные'!$I$265</f>
        <v/>
      </c>
      <c r="E54" s="152">
        <f>'01_Вводные'!$I$266</f>
        <v/>
      </c>
      <c r="F54" s="152">
        <f>'01_Вводные'!$I$267</f>
        <v/>
      </c>
      <c r="G54" s="152">
        <f>'01_Вводные'!$I$268</f>
        <v/>
      </c>
      <c r="H54" s="152">
        <f>'01_Вводные'!$I$269</f>
        <v/>
      </c>
      <c r="I54" s="152">
        <f>'01_Вводные'!$I$270</f>
        <v/>
      </c>
      <c r="J54" s="152">
        <f>'01_Вводные'!$I$271</f>
        <v/>
      </c>
      <c r="K54" s="152">
        <f>'01_Вводные'!$I$272</f>
        <v/>
      </c>
      <c r="L54" s="152">
        <f>'01_Вводные'!$I$273</f>
        <v/>
      </c>
      <c r="M54" s="152">
        <f>'01_Вводные'!$I$274</f>
        <v/>
      </c>
      <c r="N54" s="152">
        <f>'01_Вводные'!$I$275</f>
        <v/>
      </c>
      <c r="O54" s="152">
        <f>'01_Вводные'!$I$276</f>
        <v/>
      </c>
      <c r="P54" s="152">
        <f>'01_Вводные'!$I$277</f>
        <v/>
      </c>
      <c r="Q54" s="152">
        <f>'01_Вводные'!$I$278</f>
        <v/>
      </c>
      <c r="R54" s="152">
        <f>'01_Вводные'!$I$279</f>
        <v/>
      </c>
      <c r="S54" s="152">
        <f>'01_Вводные'!$I$280</f>
        <v/>
      </c>
      <c r="T54" s="152">
        <f>'01_Вводные'!$I$281</f>
        <v/>
      </c>
      <c r="U54" s="152">
        <f>'01_Вводные'!$I$282</f>
        <v/>
      </c>
    </row>
    <row r="55">
      <c r="A55" s="150" t="inlineStr">
        <is>
          <t>2</t>
        </is>
      </c>
      <c r="B55" s="152">
        <f>'01_Вводные'!$I$263</f>
        <v/>
      </c>
      <c r="C55" s="152">
        <f>'01_Вводные'!$I$264</f>
        <v/>
      </c>
      <c r="D55" s="152">
        <f>'01_Вводные'!$I$265</f>
        <v/>
      </c>
      <c r="E55" s="152">
        <f>'01_Вводные'!$I$266</f>
        <v/>
      </c>
      <c r="F55" s="152">
        <f>'01_Вводные'!$I$267</f>
        <v/>
      </c>
      <c r="G55" s="152">
        <f>'01_Вводные'!$I$268</f>
        <v/>
      </c>
      <c r="H55" s="152">
        <f>'01_Вводные'!$I$269</f>
        <v/>
      </c>
      <c r="I55" s="152">
        <f>'01_Вводные'!$I$270</f>
        <v/>
      </c>
      <c r="J55" s="152">
        <f>'01_Вводные'!$I$271</f>
        <v/>
      </c>
      <c r="K55" s="152">
        <f>'01_Вводные'!$I$272</f>
        <v/>
      </c>
      <c r="L55" s="152">
        <f>'01_Вводные'!$I$273</f>
        <v/>
      </c>
      <c r="M55" s="152">
        <f>'01_Вводные'!$I$274</f>
        <v/>
      </c>
      <c r="N55" s="152">
        <f>'01_Вводные'!$I$275</f>
        <v/>
      </c>
      <c r="O55" s="152">
        <f>'01_Вводные'!$I$276</f>
        <v/>
      </c>
      <c r="P55" s="152">
        <f>'01_Вводные'!$I$277</f>
        <v/>
      </c>
      <c r="Q55" s="152">
        <f>'01_Вводные'!$I$278</f>
        <v/>
      </c>
      <c r="R55" s="152">
        <f>'01_Вводные'!$I$279</f>
        <v/>
      </c>
      <c r="S55" s="152">
        <f>'01_Вводные'!$I$280</f>
        <v/>
      </c>
      <c r="T55" s="152">
        <f>'01_Вводные'!$I$281</f>
        <v/>
      </c>
      <c r="U55" s="152">
        <f>'01_Вводные'!$I$282</f>
        <v/>
      </c>
    </row>
    <row r="56">
      <c r="A56" s="150" t="inlineStr">
        <is>
          <t>3</t>
        </is>
      </c>
      <c r="B56" s="152">
        <f>'01_Вводные'!$I$263</f>
        <v/>
      </c>
      <c r="C56" s="152">
        <f>'01_Вводные'!$I$264</f>
        <v/>
      </c>
      <c r="D56" s="152">
        <f>'01_Вводные'!$I$265</f>
        <v/>
      </c>
      <c r="E56" s="152">
        <f>'01_Вводные'!$I$266</f>
        <v/>
      </c>
      <c r="F56" s="152">
        <f>'01_Вводные'!$I$267</f>
        <v/>
      </c>
      <c r="G56" s="152">
        <f>'01_Вводные'!$I$268</f>
        <v/>
      </c>
      <c r="H56" s="152">
        <f>'01_Вводные'!$I$269</f>
        <v/>
      </c>
      <c r="I56" s="152">
        <f>'01_Вводные'!$I$270</f>
        <v/>
      </c>
      <c r="J56" s="152">
        <f>'01_Вводные'!$I$271</f>
        <v/>
      </c>
      <c r="K56" s="152">
        <f>'01_Вводные'!$I$272</f>
        <v/>
      </c>
      <c r="L56" s="152">
        <f>'01_Вводные'!$I$273</f>
        <v/>
      </c>
      <c r="M56" s="152">
        <f>'01_Вводные'!$I$274</f>
        <v/>
      </c>
      <c r="N56" s="152">
        <f>'01_Вводные'!$I$275</f>
        <v/>
      </c>
      <c r="O56" s="152">
        <f>'01_Вводные'!$I$276</f>
        <v/>
      </c>
      <c r="P56" s="152">
        <f>'01_Вводные'!$I$277</f>
        <v/>
      </c>
      <c r="Q56" s="152">
        <f>'01_Вводные'!$I$278</f>
        <v/>
      </c>
      <c r="R56" s="152">
        <f>'01_Вводные'!$I$279</f>
        <v/>
      </c>
      <c r="S56" s="152">
        <f>'01_Вводные'!$I$280</f>
        <v/>
      </c>
      <c r="T56" s="152">
        <f>'01_Вводные'!$I$281</f>
        <v/>
      </c>
      <c r="U56" s="152">
        <f>'01_Вводные'!$I$282</f>
        <v/>
      </c>
    </row>
    <row r="57">
      <c r="A57" s="150" t="inlineStr">
        <is>
          <t>4</t>
        </is>
      </c>
      <c r="B57" s="152">
        <f>'01_Вводные'!$I$263</f>
        <v/>
      </c>
      <c r="C57" s="152">
        <f>'01_Вводные'!$I$264</f>
        <v/>
      </c>
      <c r="D57" s="152">
        <f>'01_Вводные'!$I$265</f>
        <v/>
      </c>
      <c r="E57" s="152">
        <f>'01_Вводные'!$I$266</f>
        <v/>
      </c>
      <c r="F57" s="152">
        <f>'01_Вводные'!$I$267</f>
        <v/>
      </c>
      <c r="G57" s="152">
        <f>'01_Вводные'!$I$268</f>
        <v/>
      </c>
      <c r="H57" s="152">
        <f>'01_Вводные'!$I$269</f>
        <v/>
      </c>
      <c r="I57" s="152">
        <f>'01_Вводные'!$I$270</f>
        <v/>
      </c>
      <c r="J57" s="152">
        <f>'01_Вводные'!$I$271</f>
        <v/>
      </c>
      <c r="K57" s="152">
        <f>'01_Вводные'!$I$272</f>
        <v/>
      </c>
      <c r="L57" s="152">
        <f>'01_Вводные'!$I$273</f>
        <v/>
      </c>
      <c r="M57" s="152">
        <f>'01_Вводные'!$I$274</f>
        <v/>
      </c>
      <c r="N57" s="152">
        <f>'01_Вводные'!$I$275</f>
        <v/>
      </c>
      <c r="O57" s="152">
        <f>'01_Вводные'!$I$276</f>
        <v/>
      </c>
      <c r="P57" s="152">
        <f>'01_Вводные'!$I$277</f>
        <v/>
      </c>
      <c r="Q57" s="152">
        <f>'01_Вводные'!$I$278</f>
        <v/>
      </c>
      <c r="R57" s="152">
        <f>'01_Вводные'!$I$279</f>
        <v/>
      </c>
      <c r="S57" s="152">
        <f>'01_Вводные'!$I$280</f>
        <v/>
      </c>
      <c r="T57" s="152">
        <f>'01_Вводные'!$I$281</f>
        <v/>
      </c>
      <c r="U57" s="152">
        <f>'01_Вводные'!$I$282</f>
        <v/>
      </c>
    </row>
    <row r="58">
      <c r="A58" s="150" t="inlineStr">
        <is>
          <t>5</t>
        </is>
      </c>
      <c r="B58" s="152">
        <f>'01_Вводные'!$I$263</f>
        <v/>
      </c>
      <c r="C58" s="152">
        <f>'01_Вводные'!$I$264</f>
        <v/>
      </c>
      <c r="D58" s="152">
        <f>'01_Вводные'!$I$265</f>
        <v/>
      </c>
      <c r="E58" s="152">
        <f>'01_Вводные'!$I$266</f>
        <v/>
      </c>
      <c r="F58" s="152">
        <f>'01_Вводные'!$I$267</f>
        <v/>
      </c>
      <c r="G58" s="152">
        <f>'01_Вводные'!$I$268</f>
        <v/>
      </c>
      <c r="H58" s="152">
        <f>'01_Вводные'!$I$269</f>
        <v/>
      </c>
      <c r="I58" s="152">
        <f>'01_Вводные'!$I$270</f>
        <v/>
      </c>
      <c r="J58" s="152">
        <f>'01_Вводные'!$I$271</f>
        <v/>
      </c>
      <c r="K58" s="152">
        <f>'01_Вводные'!$I$272</f>
        <v/>
      </c>
      <c r="L58" s="152">
        <f>'01_Вводные'!$I$273</f>
        <v/>
      </c>
      <c r="M58" s="152">
        <f>'01_Вводные'!$I$274</f>
        <v/>
      </c>
      <c r="N58" s="152">
        <f>'01_Вводные'!$I$275</f>
        <v/>
      </c>
      <c r="O58" s="152">
        <f>'01_Вводные'!$I$276</f>
        <v/>
      </c>
      <c r="P58" s="152">
        <f>'01_Вводные'!$I$277</f>
        <v/>
      </c>
      <c r="Q58" s="152">
        <f>'01_Вводные'!$I$278</f>
        <v/>
      </c>
      <c r="R58" s="152">
        <f>'01_Вводные'!$I$279</f>
        <v/>
      </c>
      <c r="S58" s="152">
        <f>'01_Вводные'!$I$280</f>
        <v/>
      </c>
      <c r="T58" s="152">
        <f>'01_Вводные'!$I$281</f>
        <v/>
      </c>
      <c r="U58" s="152">
        <f>'01_Вводные'!$I$282</f>
        <v/>
      </c>
    </row>
    <row r="59">
      <c r="A59" s="150" t="inlineStr">
        <is>
          <t>6</t>
        </is>
      </c>
      <c r="B59" s="152">
        <f>'01_Вводные'!$I$263</f>
        <v/>
      </c>
      <c r="C59" s="152">
        <f>'01_Вводные'!$I$264</f>
        <v/>
      </c>
      <c r="D59" s="152">
        <f>'01_Вводные'!$I$265</f>
        <v/>
      </c>
      <c r="E59" s="152">
        <f>'01_Вводные'!$I$266</f>
        <v/>
      </c>
      <c r="F59" s="152">
        <f>'01_Вводные'!$I$267</f>
        <v/>
      </c>
      <c r="G59" s="152">
        <f>'01_Вводные'!$I$268</f>
        <v/>
      </c>
      <c r="H59" s="152">
        <f>'01_Вводные'!$I$269</f>
        <v/>
      </c>
      <c r="I59" s="152">
        <f>'01_Вводные'!$I$270</f>
        <v/>
      </c>
      <c r="J59" s="152">
        <f>'01_Вводные'!$I$271</f>
        <v/>
      </c>
      <c r="K59" s="152">
        <f>'01_Вводные'!$I$272</f>
        <v/>
      </c>
      <c r="L59" s="152">
        <f>'01_Вводные'!$I$273</f>
        <v/>
      </c>
      <c r="M59" s="152">
        <f>'01_Вводные'!$I$274</f>
        <v/>
      </c>
      <c r="N59" s="152">
        <f>'01_Вводные'!$I$275</f>
        <v/>
      </c>
      <c r="O59" s="152">
        <f>'01_Вводные'!$I$276</f>
        <v/>
      </c>
      <c r="P59" s="152">
        <f>'01_Вводные'!$I$277</f>
        <v/>
      </c>
      <c r="Q59" s="152">
        <f>'01_Вводные'!$I$278</f>
        <v/>
      </c>
      <c r="R59" s="152">
        <f>'01_Вводные'!$I$279</f>
        <v/>
      </c>
      <c r="S59" s="152">
        <f>'01_Вводные'!$I$280</f>
        <v/>
      </c>
      <c r="T59" s="152">
        <f>'01_Вводные'!$I$281</f>
        <v/>
      </c>
      <c r="U59" s="152">
        <f>'01_Вводные'!$I$282</f>
        <v/>
      </c>
    </row>
    <row r="60">
      <c r="A60" s="150" t="inlineStr">
        <is>
          <t>7</t>
        </is>
      </c>
      <c r="B60" s="152">
        <f>'01_Вводные'!$I$263</f>
        <v/>
      </c>
      <c r="C60" s="152">
        <f>'01_Вводные'!$I$264</f>
        <v/>
      </c>
      <c r="D60" s="152">
        <f>'01_Вводные'!$I$265</f>
        <v/>
      </c>
      <c r="E60" s="152">
        <f>'01_Вводные'!$I$266</f>
        <v/>
      </c>
      <c r="F60" s="152">
        <f>'01_Вводные'!$I$267</f>
        <v/>
      </c>
      <c r="G60" s="152">
        <f>'01_Вводные'!$I$268</f>
        <v/>
      </c>
      <c r="H60" s="152">
        <f>'01_Вводные'!$I$269</f>
        <v/>
      </c>
      <c r="I60" s="152">
        <f>'01_Вводные'!$I$270</f>
        <v/>
      </c>
      <c r="J60" s="152">
        <f>'01_Вводные'!$I$271</f>
        <v/>
      </c>
      <c r="K60" s="152">
        <f>'01_Вводные'!$I$272</f>
        <v/>
      </c>
      <c r="L60" s="152">
        <f>'01_Вводные'!$I$273</f>
        <v/>
      </c>
      <c r="M60" s="152">
        <f>'01_Вводные'!$I$274</f>
        <v/>
      </c>
      <c r="N60" s="152">
        <f>'01_Вводные'!$I$275</f>
        <v/>
      </c>
      <c r="O60" s="152">
        <f>'01_Вводные'!$I$276</f>
        <v/>
      </c>
      <c r="P60" s="152">
        <f>'01_Вводные'!$I$277</f>
        <v/>
      </c>
      <c r="Q60" s="152">
        <f>'01_Вводные'!$I$278</f>
        <v/>
      </c>
      <c r="R60" s="152">
        <f>'01_Вводные'!$I$279</f>
        <v/>
      </c>
      <c r="S60" s="152">
        <f>'01_Вводные'!$I$280</f>
        <v/>
      </c>
      <c r="T60" s="152">
        <f>'01_Вводные'!$I$281</f>
        <v/>
      </c>
      <c r="U60" s="152">
        <f>'01_Вводные'!$I$282</f>
        <v/>
      </c>
    </row>
    <row r="61">
      <c r="A61" s="150" t="inlineStr">
        <is>
          <t>8</t>
        </is>
      </c>
      <c r="B61" s="152">
        <f>'01_Вводные'!$I$263</f>
        <v/>
      </c>
      <c r="C61" s="152">
        <f>'01_Вводные'!$I$264</f>
        <v/>
      </c>
      <c r="D61" s="152">
        <f>'01_Вводные'!$I$265</f>
        <v/>
      </c>
      <c r="E61" s="152">
        <f>'01_Вводные'!$I$266</f>
        <v/>
      </c>
      <c r="F61" s="152">
        <f>'01_Вводные'!$I$267</f>
        <v/>
      </c>
      <c r="G61" s="152">
        <f>'01_Вводные'!$I$268</f>
        <v/>
      </c>
      <c r="H61" s="152">
        <f>'01_Вводные'!$I$269</f>
        <v/>
      </c>
      <c r="I61" s="152">
        <f>'01_Вводные'!$I$270</f>
        <v/>
      </c>
      <c r="J61" s="152">
        <f>'01_Вводные'!$I$271</f>
        <v/>
      </c>
      <c r="K61" s="152">
        <f>'01_Вводные'!$I$272</f>
        <v/>
      </c>
      <c r="L61" s="152">
        <f>'01_Вводные'!$I$273</f>
        <v/>
      </c>
      <c r="M61" s="152">
        <f>'01_Вводные'!$I$274</f>
        <v/>
      </c>
      <c r="N61" s="152">
        <f>'01_Вводные'!$I$275</f>
        <v/>
      </c>
      <c r="O61" s="152">
        <f>'01_Вводные'!$I$276</f>
        <v/>
      </c>
      <c r="P61" s="152">
        <f>'01_Вводные'!$I$277</f>
        <v/>
      </c>
      <c r="Q61" s="152">
        <f>'01_Вводные'!$I$278</f>
        <v/>
      </c>
      <c r="R61" s="152">
        <f>'01_Вводные'!$I$279</f>
        <v/>
      </c>
      <c r="S61" s="152">
        <f>'01_Вводные'!$I$280</f>
        <v/>
      </c>
      <c r="T61" s="152">
        <f>'01_Вводные'!$I$281</f>
        <v/>
      </c>
      <c r="U61" s="152">
        <f>'01_Вводные'!$I$282</f>
        <v/>
      </c>
    </row>
    <row r="62">
      <c r="A62" s="150" t="inlineStr">
        <is>
          <t>9</t>
        </is>
      </c>
      <c r="B62" s="152">
        <f>'01_Вводные'!$I$263</f>
        <v/>
      </c>
      <c r="C62" s="152">
        <f>'01_Вводные'!$I$264</f>
        <v/>
      </c>
      <c r="D62" s="152">
        <f>'01_Вводные'!$I$265</f>
        <v/>
      </c>
      <c r="E62" s="152">
        <f>'01_Вводные'!$I$266</f>
        <v/>
      </c>
      <c r="F62" s="152">
        <f>'01_Вводные'!$I$267</f>
        <v/>
      </c>
      <c r="G62" s="152">
        <f>'01_Вводные'!$I$268</f>
        <v/>
      </c>
      <c r="H62" s="152">
        <f>'01_Вводные'!$I$269</f>
        <v/>
      </c>
      <c r="I62" s="152">
        <f>'01_Вводные'!$I$270</f>
        <v/>
      </c>
      <c r="J62" s="152">
        <f>'01_Вводные'!$I$271</f>
        <v/>
      </c>
      <c r="K62" s="152">
        <f>'01_Вводные'!$I$272</f>
        <v/>
      </c>
      <c r="L62" s="152">
        <f>'01_Вводные'!$I$273</f>
        <v/>
      </c>
      <c r="M62" s="152">
        <f>'01_Вводные'!$I$274</f>
        <v/>
      </c>
      <c r="N62" s="152">
        <f>'01_Вводные'!$I$275</f>
        <v/>
      </c>
      <c r="O62" s="152">
        <f>'01_Вводные'!$I$276</f>
        <v/>
      </c>
      <c r="P62" s="152">
        <f>'01_Вводные'!$I$277</f>
        <v/>
      </c>
      <c r="Q62" s="152">
        <f>'01_Вводные'!$I$278</f>
        <v/>
      </c>
      <c r="R62" s="152">
        <f>'01_Вводные'!$I$279</f>
        <v/>
      </c>
      <c r="S62" s="152">
        <f>'01_Вводные'!$I$280</f>
        <v/>
      </c>
      <c r="T62" s="152">
        <f>'01_Вводные'!$I$281</f>
        <v/>
      </c>
      <c r="U62" s="152">
        <f>'01_Вводные'!$I$282</f>
        <v/>
      </c>
    </row>
    <row r="63">
      <c r="A63" s="150" t="inlineStr">
        <is>
          <t>10</t>
        </is>
      </c>
      <c r="B63" s="152">
        <f>'01_Вводные'!$I$263</f>
        <v/>
      </c>
      <c r="C63" s="152">
        <f>'01_Вводные'!$I$264</f>
        <v/>
      </c>
      <c r="D63" s="152">
        <f>'01_Вводные'!$I$265</f>
        <v/>
      </c>
      <c r="E63" s="152">
        <f>'01_Вводные'!$I$266</f>
        <v/>
      </c>
      <c r="F63" s="152">
        <f>'01_Вводные'!$I$267</f>
        <v/>
      </c>
      <c r="G63" s="152">
        <f>'01_Вводные'!$I$268</f>
        <v/>
      </c>
      <c r="H63" s="152">
        <f>'01_Вводные'!$I$269</f>
        <v/>
      </c>
      <c r="I63" s="152">
        <f>'01_Вводные'!$I$270</f>
        <v/>
      </c>
      <c r="J63" s="152">
        <f>'01_Вводные'!$I$271</f>
        <v/>
      </c>
      <c r="K63" s="152">
        <f>'01_Вводные'!$I$272</f>
        <v/>
      </c>
      <c r="L63" s="152">
        <f>'01_Вводные'!$I$273</f>
        <v/>
      </c>
      <c r="M63" s="152">
        <f>'01_Вводные'!$I$274</f>
        <v/>
      </c>
      <c r="N63" s="152">
        <f>'01_Вводные'!$I$275</f>
        <v/>
      </c>
      <c r="O63" s="152">
        <f>'01_Вводные'!$I$276</f>
        <v/>
      </c>
      <c r="P63" s="152">
        <f>'01_Вводные'!$I$277</f>
        <v/>
      </c>
      <c r="Q63" s="152">
        <f>'01_Вводные'!$I$278</f>
        <v/>
      </c>
      <c r="R63" s="152">
        <f>'01_Вводные'!$I$279</f>
        <v/>
      </c>
      <c r="S63" s="152">
        <f>'01_Вводные'!$I$280</f>
        <v/>
      </c>
      <c r="T63" s="152">
        <f>'01_Вводные'!$I$281</f>
        <v/>
      </c>
      <c r="U63" s="152">
        <f>'01_Вводные'!$I$282</f>
        <v/>
      </c>
    </row>
    <row r="64">
      <c r="A64" s="150" t="inlineStr">
        <is>
          <t>11</t>
        </is>
      </c>
      <c r="B64" s="152">
        <f>'01_Вводные'!$I$263</f>
        <v/>
      </c>
      <c r="C64" s="152">
        <f>'01_Вводные'!$I$264</f>
        <v/>
      </c>
      <c r="D64" s="152">
        <f>'01_Вводные'!$I$265</f>
        <v/>
      </c>
      <c r="E64" s="152">
        <f>'01_Вводные'!$I$266</f>
        <v/>
      </c>
      <c r="F64" s="152">
        <f>'01_Вводные'!$I$267</f>
        <v/>
      </c>
      <c r="G64" s="152">
        <f>'01_Вводные'!$I$268</f>
        <v/>
      </c>
      <c r="H64" s="152">
        <f>'01_Вводные'!$I$269</f>
        <v/>
      </c>
      <c r="I64" s="152">
        <f>'01_Вводные'!$I$270</f>
        <v/>
      </c>
      <c r="J64" s="152">
        <f>'01_Вводные'!$I$271</f>
        <v/>
      </c>
      <c r="K64" s="152">
        <f>'01_Вводные'!$I$272</f>
        <v/>
      </c>
      <c r="L64" s="152">
        <f>'01_Вводные'!$I$273</f>
        <v/>
      </c>
      <c r="M64" s="152">
        <f>'01_Вводные'!$I$274</f>
        <v/>
      </c>
      <c r="N64" s="152">
        <f>'01_Вводные'!$I$275</f>
        <v/>
      </c>
      <c r="O64" s="152">
        <f>'01_Вводные'!$I$276</f>
        <v/>
      </c>
      <c r="P64" s="152">
        <f>'01_Вводные'!$I$277</f>
        <v/>
      </c>
      <c r="Q64" s="152">
        <f>'01_Вводные'!$I$278</f>
        <v/>
      </c>
      <c r="R64" s="152">
        <f>'01_Вводные'!$I$279</f>
        <v/>
      </c>
      <c r="S64" s="152">
        <f>'01_Вводные'!$I$280</f>
        <v/>
      </c>
      <c r="T64" s="152">
        <f>'01_Вводные'!$I$281</f>
        <v/>
      </c>
      <c r="U64" s="152">
        <f>'01_Вводные'!$I$282</f>
        <v/>
      </c>
    </row>
    <row r="65">
      <c r="A65" s="150" t="inlineStr">
        <is>
          <t>12</t>
        </is>
      </c>
      <c r="B65" s="152">
        <f>'01_Вводные'!$I$263</f>
        <v/>
      </c>
      <c r="C65" s="152">
        <f>'01_Вводные'!$I$264</f>
        <v/>
      </c>
      <c r="D65" s="152">
        <f>'01_Вводные'!$I$265</f>
        <v/>
      </c>
      <c r="E65" s="152">
        <f>'01_Вводные'!$I$266</f>
        <v/>
      </c>
      <c r="F65" s="152">
        <f>'01_Вводные'!$I$267</f>
        <v/>
      </c>
      <c r="G65" s="152">
        <f>'01_Вводные'!$I$268</f>
        <v/>
      </c>
      <c r="H65" s="152">
        <f>'01_Вводные'!$I$269</f>
        <v/>
      </c>
      <c r="I65" s="152">
        <f>'01_Вводные'!$I$270</f>
        <v/>
      </c>
      <c r="J65" s="152">
        <f>'01_Вводные'!$I$271</f>
        <v/>
      </c>
      <c r="K65" s="152">
        <f>'01_Вводные'!$I$272</f>
        <v/>
      </c>
      <c r="L65" s="152">
        <f>'01_Вводные'!$I$273</f>
        <v/>
      </c>
      <c r="M65" s="152">
        <f>'01_Вводные'!$I$274</f>
        <v/>
      </c>
      <c r="N65" s="152">
        <f>'01_Вводные'!$I$275</f>
        <v/>
      </c>
      <c r="O65" s="152">
        <f>'01_Вводные'!$I$276</f>
        <v/>
      </c>
      <c r="P65" s="152">
        <f>'01_Вводные'!$I$277</f>
        <v/>
      </c>
      <c r="Q65" s="152">
        <f>'01_Вводные'!$I$278</f>
        <v/>
      </c>
      <c r="R65" s="152">
        <f>'01_Вводные'!$I$279</f>
        <v/>
      </c>
      <c r="S65" s="152">
        <f>'01_Вводные'!$I$280</f>
        <v/>
      </c>
      <c r="T65" s="152">
        <f>'01_Вводные'!$I$281</f>
        <v/>
      </c>
      <c r="U65" s="152">
        <f>'01_Вводные'!$I$282</f>
        <v/>
      </c>
    </row>
    <row r="66">
      <c r="A66" s="150" t="inlineStr">
        <is>
          <t>13</t>
        </is>
      </c>
      <c r="B66" s="152">
        <f>'01_Вводные'!$J$263</f>
        <v/>
      </c>
      <c r="C66" s="152">
        <f>'01_Вводные'!$J$264</f>
        <v/>
      </c>
      <c r="D66" s="152">
        <f>'01_Вводные'!$J$265</f>
        <v/>
      </c>
      <c r="E66" s="152">
        <f>'01_Вводные'!$J$266</f>
        <v/>
      </c>
      <c r="F66" s="152">
        <f>'01_Вводные'!$J$267</f>
        <v/>
      </c>
      <c r="G66" s="152">
        <f>'01_Вводные'!$J$268</f>
        <v/>
      </c>
      <c r="H66" s="152">
        <f>'01_Вводные'!$J$269</f>
        <v/>
      </c>
      <c r="I66" s="152">
        <f>'01_Вводные'!$J$270</f>
        <v/>
      </c>
      <c r="J66" s="152">
        <f>'01_Вводные'!$J$271</f>
        <v/>
      </c>
      <c r="K66" s="152">
        <f>'01_Вводные'!$J$272</f>
        <v/>
      </c>
      <c r="L66" s="152">
        <f>'01_Вводные'!$J$273</f>
        <v/>
      </c>
      <c r="M66" s="152">
        <f>'01_Вводные'!$J$274</f>
        <v/>
      </c>
      <c r="N66" s="152">
        <f>'01_Вводные'!$J$275</f>
        <v/>
      </c>
      <c r="O66" s="152">
        <f>'01_Вводные'!$J$276</f>
        <v/>
      </c>
      <c r="P66" s="152">
        <f>'01_Вводные'!$J$277</f>
        <v/>
      </c>
      <c r="Q66" s="152">
        <f>'01_Вводные'!$J$278</f>
        <v/>
      </c>
      <c r="R66" s="152">
        <f>'01_Вводные'!$J$279</f>
        <v/>
      </c>
      <c r="S66" s="152">
        <f>'01_Вводные'!$J$280</f>
        <v/>
      </c>
      <c r="T66" s="152">
        <f>'01_Вводные'!$J$281</f>
        <v/>
      </c>
      <c r="U66" s="152">
        <f>'01_Вводные'!$J$282</f>
        <v/>
      </c>
    </row>
    <row r="67">
      <c r="A67" s="150" t="inlineStr">
        <is>
          <t>14</t>
        </is>
      </c>
      <c r="B67" s="152">
        <f>'01_Вводные'!$J$263</f>
        <v/>
      </c>
      <c r="C67" s="152">
        <f>'01_Вводные'!$J$264</f>
        <v/>
      </c>
      <c r="D67" s="152">
        <f>'01_Вводные'!$J$265</f>
        <v/>
      </c>
      <c r="E67" s="152">
        <f>'01_Вводные'!$J$266</f>
        <v/>
      </c>
      <c r="F67" s="152">
        <f>'01_Вводные'!$J$267</f>
        <v/>
      </c>
      <c r="G67" s="152">
        <f>'01_Вводные'!$J$268</f>
        <v/>
      </c>
      <c r="H67" s="152">
        <f>'01_Вводные'!$J$269</f>
        <v/>
      </c>
      <c r="I67" s="152">
        <f>'01_Вводные'!$J$270</f>
        <v/>
      </c>
      <c r="J67" s="152">
        <f>'01_Вводные'!$J$271</f>
        <v/>
      </c>
      <c r="K67" s="152">
        <f>'01_Вводные'!$J$272</f>
        <v/>
      </c>
      <c r="L67" s="152">
        <f>'01_Вводные'!$J$273</f>
        <v/>
      </c>
      <c r="M67" s="152">
        <f>'01_Вводные'!$J$274</f>
        <v/>
      </c>
      <c r="N67" s="152">
        <f>'01_Вводные'!$J$275</f>
        <v/>
      </c>
      <c r="O67" s="152">
        <f>'01_Вводные'!$J$276</f>
        <v/>
      </c>
      <c r="P67" s="152">
        <f>'01_Вводные'!$J$277</f>
        <v/>
      </c>
      <c r="Q67" s="152">
        <f>'01_Вводные'!$J$278</f>
        <v/>
      </c>
      <c r="R67" s="152">
        <f>'01_Вводные'!$J$279</f>
        <v/>
      </c>
      <c r="S67" s="152">
        <f>'01_Вводные'!$J$280</f>
        <v/>
      </c>
      <c r="T67" s="152">
        <f>'01_Вводные'!$J$281</f>
        <v/>
      </c>
      <c r="U67" s="152">
        <f>'01_Вводные'!$J$282</f>
        <v/>
      </c>
    </row>
    <row r="68">
      <c r="A68" s="150" t="inlineStr">
        <is>
          <t>15</t>
        </is>
      </c>
      <c r="B68" s="152">
        <f>'01_Вводные'!$J$263</f>
        <v/>
      </c>
      <c r="C68" s="152">
        <f>'01_Вводные'!$J$264</f>
        <v/>
      </c>
      <c r="D68" s="152">
        <f>'01_Вводные'!$J$265</f>
        <v/>
      </c>
      <c r="E68" s="152">
        <f>'01_Вводные'!$J$266</f>
        <v/>
      </c>
      <c r="F68" s="152">
        <f>'01_Вводные'!$J$267</f>
        <v/>
      </c>
      <c r="G68" s="152">
        <f>'01_Вводные'!$J$268</f>
        <v/>
      </c>
      <c r="H68" s="152">
        <f>'01_Вводные'!$J$269</f>
        <v/>
      </c>
      <c r="I68" s="152">
        <f>'01_Вводные'!$J$270</f>
        <v/>
      </c>
      <c r="J68" s="152">
        <f>'01_Вводные'!$J$271</f>
        <v/>
      </c>
      <c r="K68" s="152">
        <f>'01_Вводные'!$J$272</f>
        <v/>
      </c>
      <c r="L68" s="152">
        <f>'01_Вводные'!$J$273</f>
        <v/>
      </c>
      <c r="M68" s="152">
        <f>'01_Вводные'!$J$274</f>
        <v/>
      </c>
      <c r="N68" s="152">
        <f>'01_Вводные'!$J$275</f>
        <v/>
      </c>
      <c r="O68" s="152">
        <f>'01_Вводные'!$J$276</f>
        <v/>
      </c>
      <c r="P68" s="152">
        <f>'01_Вводные'!$J$277</f>
        <v/>
      </c>
      <c r="Q68" s="152">
        <f>'01_Вводные'!$J$278</f>
        <v/>
      </c>
      <c r="R68" s="152">
        <f>'01_Вводные'!$J$279</f>
        <v/>
      </c>
      <c r="S68" s="152">
        <f>'01_Вводные'!$J$280</f>
        <v/>
      </c>
      <c r="T68" s="152">
        <f>'01_Вводные'!$J$281</f>
        <v/>
      </c>
      <c r="U68" s="152">
        <f>'01_Вводные'!$J$282</f>
        <v/>
      </c>
    </row>
    <row r="69">
      <c r="A69" s="150" t="inlineStr">
        <is>
          <t>16</t>
        </is>
      </c>
      <c r="B69" s="152">
        <f>'01_Вводные'!$J$263</f>
        <v/>
      </c>
      <c r="C69" s="152">
        <f>'01_Вводные'!$J$264</f>
        <v/>
      </c>
      <c r="D69" s="152">
        <f>'01_Вводные'!$J$265</f>
        <v/>
      </c>
      <c r="E69" s="152">
        <f>'01_Вводные'!$J$266</f>
        <v/>
      </c>
      <c r="F69" s="152">
        <f>'01_Вводные'!$J$267</f>
        <v/>
      </c>
      <c r="G69" s="152">
        <f>'01_Вводные'!$J$268</f>
        <v/>
      </c>
      <c r="H69" s="152">
        <f>'01_Вводные'!$J$269</f>
        <v/>
      </c>
      <c r="I69" s="152">
        <f>'01_Вводные'!$J$270</f>
        <v/>
      </c>
      <c r="J69" s="152">
        <f>'01_Вводные'!$J$271</f>
        <v/>
      </c>
      <c r="K69" s="152">
        <f>'01_Вводные'!$J$272</f>
        <v/>
      </c>
      <c r="L69" s="152">
        <f>'01_Вводные'!$J$273</f>
        <v/>
      </c>
      <c r="M69" s="152">
        <f>'01_Вводные'!$J$274</f>
        <v/>
      </c>
      <c r="N69" s="152">
        <f>'01_Вводные'!$J$275</f>
        <v/>
      </c>
      <c r="O69" s="152">
        <f>'01_Вводные'!$J$276</f>
        <v/>
      </c>
      <c r="P69" s="152">
        <f>'01_Вводные'!$J$277</f>
        <v/>
      </c>
      <c r="Q69" s="152">
        <f>'01_Вводные'!$J$278</f>
        <v/>
      </c>
      <c r="R69" s="152">
        <f>'01_Вводные'!$J$279</f>
        <v/>
      </c>
      <c r="S69" s="152">
        <f>'01_Вводные'!$J$280</f>
        <v/>
      </c>
      <c r="T69" s="152">
        <f>'01_Вводные'!$J$281</f>
        <v/>
      </c>
      <c r="U69" s="152">
        <f>'01_Вводные'!$J$282</f>
        <v/>
      </c>
    </row>
    <row r="70">
      <c r="A70" s="150" t="inlineStr">
        <is>
          <t>17</t>
        </is>
      </c>
      <c r="B70" s="152">
        <f>'01_Вводные'!$J$263</f>
        <v/>
      </c>
      <c r="C70" s="152">
        <f>'01_Вводные'!$J$264</f>
        <v/>
      </c>
      <c r="D70" s="152">
        <f>'01_Вводные'!$J$265</f>
        <v/>
      </c>
      <c r="E70" s="152">
        <f>'01_Вводные'!$J$266</f>
        <v/>
      </c>
      <c r="F70" s="152">
        <f>'01_Вводные'!$J$267</f>
        <v/>
      </c>
      <c r="G70" s="152">
        <f>'01_Вводные'!$J$268</f>
        <v/>
      </c>
      <c r="H70" s="152">
        <f>'01_Вводные'!$J$269</f>
        <v/>
      </c>
      <c r="I70" s="152">
        <f>'01_Вводные'!$J$270</f>
        <v/>
      </c>
      <c r="J70" s="152">
        <f>'01_Вводные'!$J$271</f>
        <v/>
      </c>
      <c r="K70" s="152">
        <f>'01_Вводные'!$J$272</f>
        <v/>
      </c>
      <c r="L70" s="152">
        <f>'01_Вводные'!$J$273</f>
        <v/>
      </c>
      <c r="M70" s="152">
        <f>'01_Вводные'!$J$274</f>
        <v/>
      </c>
      <c r="N70" s="152">
        <f>'01_Вводные'!$J$275</f>
        <v/>
      </c>
      <c r="O70" s="152">
        <f>'01_Вводные'!$J$276</f>
        <v/>
      </c>
      <c r="P70" s="152">
        <f>'01_Вводные'!$J$277</f>
        <v/>
      </c>
      <c r="Q70" s="152">
        <f>'01_Вводные'!$J$278</f>
        <v/>
      </c>
      <c r="R70" s="152">
        <f>'01_Вводные'!$J$279</f>
        <v/>
      </c>
      <c r="S70" s="152">
        <f>'01_Вводные'!$J$280</f>
        <v/>
      </c>
      <c r="T70" s="152">
        <f>'01_Вводные'!$J$281</f>
        <v/>
      </c>
      <c r="U70" s="152">
        <f>'01_Вводные'!$J$282</f>
        <v/>
      </c>
    </row>
    <row r="71">
      <c r="A71" s="150" t="inlineStr">
        <is>
          <t>18</t>
        </is>
      </c>
      <c r="B71" s="152">
        <f>'01_Вводные'!$J$263</f>
        <v/>
      </c>
      <c r="C71" s="152">
        <f>'01_Вводные'!$J$264</f>
        <v/>
      </c>
      <c r="D71" s="152">
        <f>'01_Вводные'!$J$265</f>
        <v/>
      </c>
      <c r="E71" s="152">
        <f>'01_Вводные'!$J$266</f>
        <v/>
      </c>
      <c r="F71" s="152">
        <f>'01_Вводные'!$J$267</f>
        <v/>
      </c>
      <c r="G71" s="152">
        <f>'01_Вводные'!$J$268</f>
        <v/>
      </c>
      <c r="H71" s="152">
        <f>'01_Вводные'!$J$269</f>
        <v/>
      </c>
      <c r="I71" s="152">
        <f>'01_Вводные'!$J$270</f>
        <v/>
      </c>
      <c r="J71" s="152">
        <f>'01_Вводные'!$J$271</f>
        <v/>
      </c>
      <c r="K71" s="152">
        <f>'01_Вводные'!$J$272</f>
        <v/>
      </c>
      <c r="L71" s="152">
        <f>'01_Вводные'!$J$273</f>
        <v/>
      </c>
      <c r="M71" s="152">
        <f>'01_Вводные'!$J$274</f>
        <v/>
      </c>
      <c r="N71" s="152">
        <f>'01_Вводные'!$J$275</f>
        <v/>
      </c>
      <c r="O71" s="152">
        <f>'01_Вводные'!$J$276</f>
        <v/>
      </c>
      <c r="P71" s="152">
        <f>'01_Вводные'!$J$277</f>
        <v/>
      </c>
      <c r="Q71" s="152">
        <f>'01_Вводные'!$J$278</f>
        <v/>
      </c>
      <c r="R71" s="152">
        <f>'01_Вводные'!$J$279</f>
        <v/>
      </c>
      <c r="S71" s="152">
        <f>'01_Вводные'!$J$280</f>
        <v/>
      </c>
      <c r="T71" s="152">
        <f>'01_Вводные'!$J$281</f>
        <v/>
      </c>
      <c r="U71" s="152">
        <f>'01_Вводные'!$J$282</f>
        <v/>
      </c>
    </row>
    <row r="72">
      <c r="A72" s="150" t="inlineStr">
        <is>
          <t>19</t>
        </is>
      </c>
      <c r="B72" s="152">
        <f>'01_Вводные'!$J$263</f>
        <v/>
      </c>
      <c r="C72" s="152">
        <f>'01_Вводные'!$J$264</f>
        <v/>
      </c>
      <c r="D72" s="152">
        <f>'01_Вводные'!$J$265</f>
        <v/>
      </c>
      <c r="E72" s="152">
        <f>'01_Вводные'!$J$266</f>
        <v/>
      </c>
      <c r="F72" s="152">
        <f>'01_Вводные'!$J$267</f>
        <v/>
      </c>
      <c r="G72" s="152">
        <f>'01_Вводные'!$J$268</f>
        <v/>
      </c>
      <c r="H72" s="152">
        <f>'01_Вводные'!$J$269</f>
        <v/>
      </c>
      <c r="I72" s="152">
        <f>'01_Вводные'!$J$270</f>
        <v/>
      </c>
      <c r="J72" s="152">
        <f>'01_Вводные'!$J$271</f>
        <v/>
      </c>
      <c r="K72" s="152">
        <f>'01_Вводные'!$J$272</f>
        <v/>
      </c>
      <c r="L72" s="152">
        <f>'01_Вводные'!$J$273</f>
        <v/>
      </c>
      <c r="M72" s="152">
        <f>'01_Вводные'!$J$274</f>
        <v/>
      </c>
      <c r="N72" s="152">
        <f>'01_Вводные'!$J$275</f>
        <v/>
      </c>
      <c r="O72" s="152">
        <f>'01_Вводные'!$J$276</f>
        <v/>
      </c>
      <c r="P72" s="152">
        <f>'01_Вводные'!$J$277</f>
        <v/>
      </c>
      <c r="Q72" s="152">
        <f>'01_Вводные'!$J$278</f>
        <v/>
      </c>
      <c r="R72" s="152">
        <f>'01_Вводные'!$J$279</f>
        <v/>
      </c>
      <c r="S72" s="152">
        <f>'01_Вводные'!$J$280</f>
        <v/>
      </c>
      <c r="T72" s="152">
        <f>'01_Вводные'!$J$281</f>
        <v/>
      </c>
      <c r="U72" s="152">
        <f>'01_Вводные'!$J$282</f>
        <v/>
      </c>
    </row>
    <row r="73">
      <c r="A73" s="150" t="inlineStr">
        <is>
          <t>20</t>
        </is>
      </c>
      <c r="B73" s="152">
        <f>'01_Вводные'!$J$263</f>
        <v/>
      </c>
      <c r="C73" s="152">
        <f>'01_Вводные'!$J$264</f>
        <v/>
      </c>
      <c r="D73" s="152">
        <f>'01_Вводные'!$J$265</f>
        <v/>
      </c>
      <c r="E73" s="152">
        <f>'01_Вводные'!$J$266</f>
        <v/>
      </c>
      <c r="F73" s="152">
        <f>'01_Вводные'!$J$267</f>
        <v/>
      </c>
      <c r="G73" s="152">
        <f>'01_Вводные'!$J$268</f>
        <v/>
      </c>
      <c r="H73" s="152">
        <f>'01_Вводные'!$J$269</f>
        <v/>
      </c>
      <c r="I73" s="152">
        <f>'01_Вводные'!$J$270</f>
        <v/>
      </c>
      <c r="J73" s="152">
        <f>'01_Вводные'!$J$271</f>
        <v/>
      </c>
      <c r="K73" s="152">
        <f>'01_Вводные'!$J$272</f>
        <v/>
      </c>
      <c r="L73" s="152">
        <f>'01_Вводные'!$J$273</f>
        <v/>
      </c>
      <c r="M73" s="152">
        <f>'01_Вводные'!$J$274</f>
        <v/>
      </c>
      <c r="N73" s="152">
        <f>'01_Вводные'!$J$275</f>
        <v/>
      </c>
      <c r="O73" s="152">
        <f>'01_Вводные'!$J$276</f>
        <v/>
      </c>
      <c r="P73" s="152">
        <f>'01_Вводные'!$J$277</f>
        <v/>
      </c>
      <c r="Q73" s="152">
        <f>'01_Вводные'!$J$278</f>
        <v/>
      </c>
      <c r="R73" s="152">
        <f>'01_Вводные'!$J$279</f>
        <v/>
      </c>
      <c r="S73" s="152">
        <f>'01_Вводные'!$J$280</f>
        <v/>
      </c>
      <c r="T73" s="152">
        <f>'01_Вводные'!$J$281</f>
        <v/>
      </c>
      <c r="U73" s="152">
        <f>'01_Вводные'!$J$282</f>
        <v/>
      </c>
    </row>
    <row r="74">
      <c r="A74" s="150" t="inlineStr">
        <is>
          <t>21</t>
        </is>
      </c>
      <c r="B74" s="152">
        <f>'01_Вводные'!$J$263</f>
        <v/>
      </c>
      <c r="C74" s="152">
        <f>'01_Вводные'!$J$264</f>
        <v/>
      </c>
      <c r="D74" s="152">
        <f>'01_Вводные'!$J$265</f>
        <v/>
      </c>
      <c r="E74" s="152">
        <f>'01_Вводные'!$J$266</f>
        <v/>
      </c>
      <c r="F74" s="152">
        <f>'01_Вводные'!$J$267</f>
        <v/>
      </c>
      <c r="G74" s="152">
        <f>'01_Вводные'!$J$268</f>
        <v/>
      </c>
      <c r="H74" s="152">
        <f>'01_Вводные'!$J$269</f>
        <v/>
      </c>
      <c r="I74" s="152">
        <f>'01_Вводные'!$J$270</f>
        <v/>
      </c>
      <c r="J74" s="152">
        <f>'01_Вводные'!$J$271</f>
        <v/>
      </c>
      <c r="K74" s="152">
        <f>'01_Вводные'!$J$272</f>
        <v/>
      </c>
      <c r="L74" s="152">
        <f>'01_Вводные'!$J$273</f>
        <v/>
      </c>
      <c r="M74" s="152">
        <f>'01_Вводные'!$J$274</f>
        <v/>
      </c>
      <c r="N74" s="152">
        <f>'01_Вводные'!$J$275</f>
        <v/>
      </c>
      <c r="O74" s="152">
        <f>'01_Вводные'!$J$276</f>
        <v/>
      </c>
      <c r="P74" s="152">
        <f>'01_Вводные'!$J$277</f>
        <v/>
      </c>
      <c r="Q74" s="152">
        <f>'01_Вводные'!$J$278</f>
        <v/>
      </c>
      <c r="R74" s="152">
        <f>'01_Вводные'!$J$279</f>
        <v/>
      </c>
      <c r="S74" s="152">
        <f>'01_Вводные'!$J$280</f>
        <v/>
      </c>
      <c r="T74" s="152">
        <f>'01_Вводные'!$J$281</f>
        <v/>
      </c>
      <c r="U74" s="152">
        <f>'01_Вводные'!$J$282</f>
        <v/>
      </c>
    </row>
    <row r="75">
      <c r="A75" s="150" t="inlineStr">
        <is>
          <t>22</t>
        </is>
      </c>
      <c r="B75" s="152">
        <f>'01_Вводные'!$J$263</f>
        <v/>
      </c>
      <c r="C75" s="152">
        <f>'01_Вводные'!$J$264</f>
        <v/>
      </c>
      <c r="D75" s="152">
        <f>'01_Вводные'!$J$265</f>
        <v/>
      </c>
      <c r="E75" s="152">
        <f>'01_Вводные'!$J$266</f>
        <v/>
      </c>
      <c r="F75" s="152">
        <f>'01_Вводные'!$J$267</f>
        <v/>
      </c>
      <c r="G75" s="152">
        <f>'01_Вводные'!$J$268</f>
        <v/>
      </c>
      <c r="H75" s="152">
        <f>'01_Вводные'!$J$269</f>
        <v/>
      </c>
      <c r="I75" s="152">
        <f>'01_Вводные'!$J$270</f>
        <v/>
      </c>
      <c r="J75" s="152">
        <f>'01_Вводные'!$J$271</f>
        <v/>
      </c>
      <c r="K75" s="152">
        <f>'01_Вводные'!$J$272</f>
        <v/>
      </c>
      <c r="L75" s="152">
        <f>'01_Вводные'!$J$273</f>
        <v/>
      </c>
      <c r="M75" s="152">
        <f>'01_Вводные'!$J$274</f>
        <v/>
      </c>
      <c r="N75" s="152">
        <f>'01_Вводные'!$J$275</f>
        <v/>
      </c>
      <c r="O75" s="152">
        <f>'01_Вводные'!$J$276</f>
        <v/>
      </c>
      <c r="P75" s="152">
        <f>'01_Вводные'!$J$277</f>
        <v/>
      </c>
      <c r="Q75" s="152">
        <f>'01_Вводные'!$J$278</f>
        <v/>
      </c>
      <c r="R75" s="152">
        <f>'01_Вводные'!$J$279</f>
        <v/>
      </c>
      <c r="S75" s="152">
        <f>'01_Вводные'!$J$280</f>
        <v/>
      </c>
      <c r="T75" s="152">
        <f>'01_Вводные'!$J$281</f>
        <v/>
      </c>
      <c r="U75" s="152">
        <f>'01_Вводные'!$J$282</f>
        <v/>
      </c>
    </row>
    <row r="76">
      <c r="A76" s="150" t="inlineStr">
        <is>
          <t>23</t>
        </is>
      </c>
      <c r="B76" s="152">
        <f>'01_Вводные'!$J$263</f>
        <v/>
      </c>
      <c r="C76" s="152">
        <f>'01_Вводные'!$J$264</f>
        <v/>
      </c>
      <c r="D76" s="152">
        <f>'01_Вводные'!$J$265</f>
        <v/>
      </c>
      <c r="E76" s="152">
        <f>'01_Вводные'!$J$266</f>
        <v/>
      </c>
      <c r="F76" s="152">
        <f>'01_Вводные'!$J$267</f>
        <v/>
      </c>
      <c r="G76" s="152">
        <f>'01_Вводные'!$J$268</f>
        <v/>
      </c>
      <c r="H76" s="152">
        <f>'01_Вводные'!$J$269</f>
        <v/>
      </c>
      <c r="I76" s="152">
        <f>'01_Вводные'!$J$270</f>
        <v/>
      </c>
      <c r="J76" s="152">
        <f>'01_Вводные'!$J$271</f>
        <v/>
      </c>
      <c r="K76" s="152">
        <f>'01_Вводные'!$J$272</f>
        <v/>
      </c>
      <c r="L76" s="152">
        <f>'01_Вводные'!$J$273</f>
        <v/>
      </c>
      <c r="M76" s="152">
        <f>'01_Вводные'!$J$274</f>
        <v/>
      </c>
      <c r="N76" s="152">
        <f>'01_Вводные'!$J$275</f>
        <v/>
      </c>
      <c r="O76" s="152">
        <f>'01_Вводные'!$J$276</f>
        <v/>
      </c>
      <c r="P76" s="152">
        <f>'01_Вводные'!$J$277</f>
        <v/>
      </c>
      <c r="Q76" s="152">
        <f>'01_Вводные'!$J$278</f>
        <v/>
      </c>
      <c r="R76" s="152">
        <f>'01_Вводные'!$J$279</f>
        <v/>
      </c>
      <c r="S76" s="152">
        <f>'01_Вводные'!$J$280</f>
        <v/>
      </c>
      <c r="T76" s="152">
        <f>'01_Вводные'!$J$281</f>
        <v/>
      </c>
      <c r="U76" s="152">
        <f>'01_Вводные'!$J$282</f>
        <v/>
      </c>
    </row>
    <row r="77">
      <c r="A77" s="150" t="inlineStr">
        <is>
          <t>24</t>
        </is>
      </c>
      <c r="B77" s="152">
        <f>'01_Вводные'!$J$263</f>
        <v/>
      </c>
      <c r="C77" s="152">
        <f>'01_Вводные'!$J$264</f>
        <v/>
      </c>
      <c r="D77" s="152">
        <f>'01_Вводные'!$J$265</f>
        <v/>
      </c>
      <c r="E77" s="152">
        <f>'01_Вводные'!$J$266</f>
        <v/>
      </c>
      <c r="F77" s="152">
        <f>'01_Вводные'!$J$267</f>
        <v/>
      </c>
      <c r="G77" s="152">
        <f>'01_Вводные'!$J$268</f>
        <v/>
      </c>
      <c r="H77" s="152">
        <f>'01_Вводные'!$J$269</f>
        <v/>
      </c>
      <c r="I77" s="152">
        <f>'01_Вводные'!$J$270</f>
        <v/>
      </c>
      <c r="J77" s="152">
        <f>'01_Вводные'!$J$271</f>
        <v/>
      </c>
      <c r="K77" s="152">
        <f>'01_Вводные'!$J$272</f>
        <v/>
      </c>
      <c r="L77" s="152">
        <f>'01_Вводные'!$J$273</f>
        <v/>
      </c>
      <c r="M77" s="152">
        <f>'01_Вводные'!$J$274</f>
        <v/>
      </c>
      <c r="N77" s="152">
        <f>'01_Вводные'!$J$275</f>
        <v/>
      </c>
      <c r="O77" s="152">
        <f>'01_Вводные'!$J$276</f>
        <v/>
      </c>
      <c r="P77" s="152">
        <f>'01_Вводные'!$J$277</f>
        <v/>
      </c>
      <c r="Q77" s="152">
        <f>'01_Вводные'!$J$278</f>
        <v/>
      </c>
      <c r="R77" s="152">
        <f>'01_Вводные'!$J$279</f>
        <v/>
      </c>
      <c r="S77" s="152">
        <f>'01_Вводные'!$J$280</f>
        <v/>
      </c>
      <c r="T77" s="152">
        <f>'01_Вводные'!$J$281</f>
        <v/>
      </c>
      <c r="U77" s="152">
        <f>'01_Вводные'!$J$282</f>
        <v/>
      </c>
    </row>
    <row r="78">
      <c r="A78" s="150" t="inlineStr">
        <is>
          <t>25+</t>
        </is>
      </c>
      <c r="B78" s="152">
        <f>'01_Вводные'!$J$263</f>
        <v/>
      </c>
      <c r="C78" s="152">
        <f>'01_Вводные'!$J$264</f>
        <v/>
      </c>
      <c r="D78" s="152">
        <f>'01_Вводные'!$J$265</f>
        <v/>
      </c>
      <c r="E78" s="152">
        <f>'01_Вводные'!$J$266</f>
        <v/>
      </c>
      <c r="F78" s="152">
        <f>'01_Вводные'!$J$267</f>
        <v/>
      </c>
      <c r="G78" s="152">
        <f>'01_Вводные'!$J$268</f>
        <v/>
      </c>
      <c r="H78" s="152">
        <f>'01_Вводные'!$J$269</f>
        <v/>
      </c>
      <c r="I78" s="152">
        <f>'01_Вводные'!$J$270</f>
        <v/>
      </c>
      <c r="J78" s="152">
        <f>'01_Вводные'!$J$271</f>
        <v/>
      </c>
      <c r="K78" s="152">
        <f>'01_Вводные'!$J$272</f>
        <v/>
      </c>
      <c r="L78" s="152">
        <f>'01_Вводные'!$J$273</f>
        <v/>
      </c>
      <c r="M78" s="152">
        <f>'01_Вводные'!$J$274</f>
        <v/>
      </c>
      <c r="N78" s="152">
        <f>'01_Вводные'!$J$275</f>
        <v/>
      </c>
      <c r="O78" s="152">
        <f>'01_Вводные'!$J$276</f>
        <v/>
      </c>
      <c r="P78" s="152">
        <f>'01_Вводные'!$J$277</f>
        <v/>
      </c>
      <c r="Q78" s="152">
        <f>'01_Вводные'!$J$278</f>
        <v/>
      </c>
      <c r="R78" s="152">
        <f>'01_Вводные'!$J$279</f>
        <v/>
      </c>
      <c r="S78" s="152">
        <f>'01_Вводные'!$J$280</f>
        <v/>
      </c>
      <c r="T78" s="152">
        <f>'01_Вводные'!$J$281</f>
        <v/>
      </c>
      <c r="U78" s="152">
        <f>'01_Вводные'!$J$282</f>
        <v/>
      </c>
    </row>
    <row r="86">
      <c r="A86" s="150" t="inlineStr">
        <is>
          <t>1</t>
        </is>
      </c>
      <c r="B86" s="152">
        <f>'01_Вводные'!$E$263*IF('01_Вводные'!$B$295="Да",1/12,1)</f>
        <v/>
      </c>
      <c r="C86" s="152">
        <f>'01_Вводные'!$E$264*IF('01_Вводные'!$B$295="Да",1/12,1)</f>
        <v/>
      </c>
      <c r="D86" s="152">
        <f>'01_Вводные'!$E$265*IF('01_Вводные'!$B$295="Да",1/12,1)</f>
        <v/>
      </c>
      <c r="E86" s="152">
        <f>'01_Вводные'!$E$266*IF('01_Вводные'!$B$295="Да",1/12,1)</f>
        <v/>
      </c>
      <c r="F86" s="152">
        <f>'01_Вводные'!$E$267*IF('01_Вводные'!$B$295="Да",1/12,1)</f>
        <v/>
      </c>
      <c r="G86" s="152">
        <f>'01_Вводные'!$E$268*IF('01_Вводные'!$B$295="Да",1/12,1)</f>
        <v/>
      </c>
      <c r="H86" s="152">
        <f>'01_Вводные'!$E$269*IF('01_Вводные'!$B$295="Да",1/12,1)</f>
        <v/>
      </c>
      <c r="I86" s="152">
        <f>'01_Вводные'!$E$270*IF('01_Вводные'!$B$295="Да",1/12,1)</f>
        <v/>
      </c>
      <c r="J86" s="152">
        <f>'01_Вводные'!$E$271*IF('01_Вводные'!$B$295="Да",1/12,1)</f>
        <v/>
      </c>
      <c r="K86" s="152">
        <f>'01_Вводные'!$E$272*IF('01_Вводные'!$B$295="Да",1/12,1)</f>
        <v/>
      </c>
      <c r="L86" s="152">
        <f>'01_Вводные'!$E$273*IF('01_Вводные'!$B$295="Да",1/12,1)</f>
        <v/>
      </c>
      <c r="M86" s="152">
        <f>'01_Вводные'!$E$274*IF('01_Вводные'!$B$295="Да",1/12,1)</f>
        <v/>
      </c>
      <c r="N86" s="152">
        <f>'01_Вводные'!$E$275*IF('01_Вводные'!$B$295="Да",1/12,1)</f>
        <v/>
      </c>
      <c r="O86" s="152">
        <f>'01_Вводные'!$E$276*IF('01_Вводные'!$B$295="Да",1/12,1)</f>
        <v/>
      </c>
      <c r="P86" s="152">
        <f>'01_Вводные'!$E$277*IF('01_Вводные'!$B$295="Да",1/12,1)</f>
        <v/>
      </c>
      <c r="Q86" s="152">
        <f>'01_Вводные'!$E$278*IF('01_Вводные'!$B$295="Да",1/12,1)</f>
        <v/>
      </c>
      <c r="R86" s="152">
        <f>'01_Вводные'!$E$279*IF('01_Вводные'!$B$295="Да",1/12,1)</f>
        <v/>
      </c>
      <c r="S86" s="152">
        <f>'01_Вводные'!$E$280*IF('01_Вводные'!$B$295="Да",1/12,1)</f>
        <v/>
      </c>
      <c r="T86" s="152">
        <f>'01_Вводные'!$E$281*IF('01_Вводные'!$B$295="Да",1/12,1)</f>
        <v/>
      </c>
      <c r="U86" s="152">
        <f>'01_Вводные'!$E$282*IF('01_Вводные'!$B$295="Да",1/12,1)</f>
        <v/>
      </c>
    </row>
    <row r="87">
      <c r="A87" s="150" t="inlineStr">
        <is>
          <t>2</t>
        </is>
      </c>
      <c r="B87" s="152">
        <f>'01_Вводные'!$E$263*IF('01_Вводные'!$B$295="Да",2/12,1)</f>
        <v/>
      </c>
      <c r="C87" s="152">
        <f>'01_Вводные'!$E$264*IF('01_Вводные'!$B$295="Да",2/12,1)</f>
        <v/>
      </c>
      <c r="D87" s="152">
        <f>'01_Вводные'!$E$265*IF('01_Вводные'!$B$295="Да",2/12,1)</f>
        <v/>
      </c>
      <c r="E87" s="152">
        <f>'01_Вводные'!$E$266*IF('01_Вводные'!$B$295="Да",2/12,1)</f>
        <v/>
      </c>
      <c r="F87" s="152">
        <f>'01_Вводные'!$E$267*IF('01_Вводные'!$B$295="Да",2/12,1)</f>
        <v/>
      </c>
      <c r="G87" s="152">
        <f>'01_Вводные'!$E$268*IF('01_Вводные'!$B$295="Да",2/12,1)</f>
        <v/>
      </c>
      <c r="H87" s="152">
        <f>'01_Вводные'!$E$269*IF('01_Вводные'!$B$295="Да",2/12,1)</f>
        <v/>
      </c>
      <c r="I87" s="152">
        <f>'01_Вводные'!$E$270*IF('01_Вводные'!$B$295="Да",2/12,1)</f>
        <v/>
      </c>
      <c r="J87" s="152">
        <f>'01_Вводные'!$E$271*IF('01_Вводные'!$B$295="Да",2/12,1)</f>
        <v/>
      </c>
      <c r="K87" s="152">
        <f>'01_Вводные'!$E$272*IF('01_Вводные'!$B$295="Да",2/12,1)</f>
        <v/>
      </c>
      <c r="L87" s="152">
        <f>'01_Вводные'!$E$273*IF('01_Вводные'!$B$295="Да",2/12,1)</f>
        <v/>
      </c>
      <c r="M87" s="152">
        <f>'01_Вводные'!$E$274*IF('01_Вводные'!$B$295="Да",2/12,1)</f>
        <v/>
      </c>
      <c r="N87" s="152">
        <f>'01_Вводные'!$E$275*IF('01_Вводные'!$B$295="Да",2/12,1)</f>
        <v/>
      </c>
      <c r="O87" s="152">
        <f>'01_Вводные'!$E$276*IF('01_Вводные'!$B$295="Да",2/12,1)</f>
        <v/>
      </c>
      <c r="P87" s="152">
        <f>'01_Вводные'!$E$277*IF('01_Вводные'!$B$295="Да",2/12,1)</f>
        <v/>
      </c>
      <c r="Q87" s="152">
        <f>'01_Вводные'!$E$278*IF('01_Вводные'!$B$295="Да",2/12,1)</f>
        <v/>
      </c>
      <c r="R87" s="152">
        <f>'01_Вводные'!$E$279*IF('01_Вводные'!$B$295="Да",2/12,1)</f>
        <v/>
      </c>
      <c r="S87" s="152">
        <f>'01_Вводные'!$E$280*IF('01_Вводные'!$B$295="Да",2/12,1)</f>
        <v/>
      </c>
      <c r="T87" s="152">
        <f>'01_Вводные'!$E$281*IF('01_Вводные'!$B$295="Да",2/12,1)</f>
        <v/>
      </c>
      <c r="U87" s="152">
        <f>'01_Вводные'!$E$282*IF('01_Вводные'!$B$295="Да",2/12,1)</f>
        <v/>
      </c>
    </row>
    <row r="88">
      <c r="A88" s="150" t="inlineStr">
        <is>
          <t>3</t>
        </is>
      </c>
      <c r="B88" s="152">
        <f>'01_Вводные'!$E$263*IF('01_Вводные'!$B$295="Да",3/12,1)</f>
        <v/>
      </c>
      <c r="C88" s="152">
        <f>'01_Вводные'!$E$264*IF('01_Вводные'!$B$295="Да",3/12,1)</f>
        <v/>
      </c>
      <c r="D88" s="152">
        <f>'01_Вводные'!$E$265*IF('01_Вводные'!$B$295="Да",3/12,1)</f>
        <v/>
      </c>
      <c r="E88" s="152">
        <f>'01_Вводные'!$E$266*IF('01_Вводные'!$B$295="Да",3/12,1)</f>
        <v/>
      </c>
      <c r="F88" s="152">
        <f>'01_Вводные'!$E$267*IF('01_Вводные'!$B$295="Да",3/12,1)</f>
        <v/>
      </c>
      <c r="G88" s="152">
        <f>'01_Вводные'!$E$268*IF('01_Вводные'!$B$295="Да",3/12,1)</f>
        <v/>
      </c>
      <c r="H88" s="152">
        <f>'01_Вводные'!$E$269*IF('01_Вводные'!$B$295="Да",3/12,1)</f>
        <v/>
      </c>
      <c r="I88" s="152">
        <f>'01_Вводные'!$E$270*IF('01_Вводные'!$B$295="Да",3/12,1)</f>
        <v/>
      </c>
      <c r="J88" s="152">
        <f>'01_Вводные'!$E$271*IF('01_Вводные'!$B$295="Да",3/12,1)</f>
        <v/>
      </c>
      <c r="K88" s="152">
        <f>'01_Вводные'!$E$272*IF('01_Вводные'!$B$295="Да",3/12,1)</f>
        <v/>
      </c>
      <c r="L88" s="152">
        <f>'01_Вводные'!$E$273*IF('01_Вводные'!$B$295="Да",3/12,1)</f>
        <v/>
      </c>
      <c r="M88" s="152">
        <f>'01_Вводные'!$E$274*IF('01_Вводные'!$B$295="Да",3/12,1)</f>
        <v/>
      </c>
      <c r="N88" s="152">
        <f>'01_Вводные'!$E$275*IF('01_Вводные'!$B$295="Да",3/12,1)</f>
        <v/>
      </c>
      <c r="O88" s="152">
        <f>'01_Вводные'!$E$276*IF('01_Вводные'!$B$295="Да",3/12,1)</f>
        <v/>
      </c>
      <c r="P88" s="152">
        <f>'01_Вводные'!$E$277*IF('01_Вводные'!$B$295="Да",3/12,1)</f>
        <v/>
      </c>
      <c r="Q88" s="152">
        <f>'01_Вводные'!$E$278*IF('01_Вводные'!$B$295="Да",3/12,1)</f>
        <v/>
      </c>
      <c r="R88" s="152">
        <f>'01_Вводные'!$E$279*IF('01_Вводные'!$B$295="Да",3/12,1)</f>
        <v/>
      </c>
      <c r="S88" s="152">
        <f>'01_Вводные'!$E$280*IF('01_Вводные'!$B$295="Да",3/12,1)</f>
        <v/>
      </c>
      <c r="T88" s="152">
        <f>'01_Вводные'!$E$281*IF('01_Вводные'!$B$295="Да",3/12,1)</f>
        <v/>
      </c>
      <c r="U88" s="152">
        <f>'01_Вводные'!$E$282*IF('01_Вводные'!$B$295="Да",3/12,1)</f>
        <v/>
      </c>
    </row>
    <row r="89">
      <c r="A89" s="150" t="inlineStr">
        <is>
          <t>4</t>
        </is>
      </c>
      <c r="B89" s="152">
        <f>'01_Вводные'!$E$263*IF('01_Вводные'!$B$295="Да",4/12,1)</f>
        <v/>
      </c>
      <c r="C89" s="152">
        <f>'01_Вводные'!$E$264*IF('01_Вводные'!$B$295="Да",4/12,1)</f>
        <v/>
      </c>
      <c r="D89" s="152">
        <f>'01_Вводные'!$E$265*IF('01_Вводные'!$B$295="Да",4/12,1)</f>
        <v/>
      </c>
      <c r="E89" s="152">
        <f>'01_Вводные'!$E$266*IF('01_Вводные'!$B$295="Да",4/12,1)</f>
        <v/>
      </c>
      <c r="F89" s="152">
        <f>'01_Вводные'!$E$267*IF('01_Вводные'!$B$295="Да",4/12,1)</f>
        <v/>
      </c>
      <c r="G89" s="152">
        <f>'01_Вводные'!$E$268*IF('01_Вводные'!$B$295="Да",4/12,1)</f>
        <v/>
      </c>
      <c r="H89" s="152">
        <f>'01_Вводные'!$E$269*IF('01_Вводные'!$B$295="Да",4/12,1)</f>
        <v/>
      </c>
      <c r="I89" s="152">
        <f>'01_Вводные'!$E$270*IF('01_Вводные'!$B$295="Да",4/12,1)</f>
        <v/>
      </c>
      <c r="J89" s="152">
        <f>'01_Вводные'!$E$271*IF('01_Вводные'!$B$295="Да",4/12,1)</f>
        <v/>
      </c>
      <c r="K89" s="152">
        <f>'01_Вводные'!$E$272*IF('01_Вводные'!$B$295="Да",4/12,1)</f>
        <v/>
      </c>
      <c r="L89" s="152">
        <f>'01_Вводные'!$E$273*IF('01_Вводные'!$B$295="Да",4/12,1)</f>
        <v/>
      </c>
      <c r="M89" s="152">
        <f>'01_Вводные'!$E$274*IF('01_Вводные'!$B$295="Да",4/12,1)</f>
        <v/>
      </c>
      <c r="N89" s="152">
        <f>'01_Вводные'!$E$275*IF('01_Вводные'!$B$295="Да",4/12,1)</f>
        <v/>
      </c>
      <c r="O89" s="152">
        <f>'01_Вводные'!$E$276*IF('01_Вводные'!$B$295="Да",4/12,1)</f>
        <v/>
      </c>
      <c r="P89" s="152">
        <f>'01_Вводные'!$E$277*IF('01_Вводные'!$B$295="Да",4/12,1)</f>
        <v/>
      </c>
      <c r="Q89" s="152">
        <f>'01_Вводные'!$E$278*IF('01_Вводные'!$B$295="Да",4/12,1)</f>
        <v/>
      </c>
      <c r="R89" s="152">
        <f>'01_Вводные'!$E$279*IF('01_Вводные'!$B$295="Да",4/12,1)</f>
        <v/>
      </c>
      <c r="S89" s="152">
        <f>'01_Вводные'!$E$280*IF('01_Вводные'!$B$295="Да",4/12,1)</f>
        <v/>
      </c>
      <c r="T89" s="152">
        <f>'01_Вводные'!$E$281*IF('01_Вводные'!$B$295="Да",4/12,1)</f>
        <v/>
      </c>
      <c r="U89" s="152">
        <f>'01_Вводные'!$E$282*IF('01_Вводные'!$B$295="Да",4/12,1)</f>
        <v/>
      </c>
    </row>
    <row r="90">
      <c r="A90" s="150" t="inlineStr">
        <is>
          <t>5</t>
        </is>
      </c>
      <c r="B90" s="152">
        <f>'01_Вводные'!$E$263*IF('01_Вводные'!$B$295="Да",5/12,1)</f>
        <v/>
      </c>
      <c r="C90" s="152">
        <f>'01_Вводные'!$E$264*IF('01_Вводные'!$B$295="Да",5/12,1)</f>
        <v/>
      </c>
      <c r="D90" s="152">
        <f>'01_Вводные'!$E$265*IF('01_Вводные'!$B$295="Да",5/12,1)</f>
        <v/>
      </c>
      <c r="E90" s="152">
        <f>'01_Вводные'!$E$266*IF('01_Вводные'!$B$295="Да",5/12,1)</f>
        <v/>
      </c>
      <c r="F90" s="152">
        <f>'01_Вводные'!$E$267*IF('01_Вводные'!$B$295="Да",5/12,1)</f>
        <v/>
      </c>
      <c r="G90" s="152">
        <f>'01_Вводные'!$E$268*IF('01_Вводные'!$B$295="Да",5/12,1)</f>
        <v/>
      </c>
      <c r="H90" s="152">
        <f>'01_Вводные'!$E$269*IF('01_Вводные'!$B$295="Да",5/12,1)</f>
        <v/>
      </c>
      <c r="I90" s="152">
        <f>'01_Вводные'!$E$270*IF('01_Вводные'!$B$295="Да",5/12,1)</f>
        <v/>
      </c>
      <c r="J90" s="152">
        <f>'01_Вводные'!$E$271*IF('01_Вводные'!$B$295="Да",5/12,1)</f>
        <v/>
      </c>
      <c r="K90" s="152">
        <f>'01_Вводные'!$E$272*IF('01_Вводные'!$B$295="Да",5/12,1)</f>
        <v/>
      </c>
      <c r="L90" s="152">
        <f>'01_Вводные'!$E$273*IF('01_Вводные'!$B$295="Да",5/12,1)</f>
        <v/>
      </c>
      <c r="M90" s="152">
        <f>'01_Вводные'!$E$274*IF('01_Вводные'!$B$295="Да",5/12,1)</f>
        <v/>
      </c>
      <c r="N90" s="152">
        <f>'01_Вводные'!$E$275*IF('01_Вводные'!$B$295="Да",5/12,1)</f>
        <v/>
      </c>
      <c r="O90" s="152">
        <f>'01_Вводные'!$E$276*IF('01_Вводные'!$B$295="Да",5/12,1)</f>
        <v/>
      </c>
      <c r="P90" s="152">
        <f>'01_Вводные'!$E$277*IF('01_Вводные'!$B$295="Да",5/12,1)</f>
        <v/>
      </c>
      <c r="Q90" s="152">
        <f>'01_Вводные'!$E$278*IF('01_Вводные'!$B$295="Да",5/12,1)</f>
        <v/>
      </c>
      <c r="R90" s="152">
        <f>'01_Вводные'!$E$279*IF('01_Вводные'!$B$295="Да",5/12,1)</f>
        <v/>
      </c>
      <c r="S90" s="152">
        <f>'01_Вводные'!$E$280*IF('01_Вводные'!$B$295="Да",5/12,1)</f>
        <v/>
      </c>
      <c r="T90" s="152">
        <f>'01_Вводные'!$E$281*IF('01_Вводные'!$B$295="Да",5/12,1)</f>
        <v/>
      </c>
      <c r="U90" s="152">
        <f>'01_Вводные'!$E$282*IF('01_Вводные'!$B$295="Да",5/12,1)</f>
        <v/>
      </c>
    </row>
    <row r="91">
      <c r="A91" s="150" t="inlineStr">
        <is>
          <t>6</t>
        </is>
      </c>
      <c r="B91" s="152">
        <f>'01_Вводные'!$E$263*IF('01_Вводные'!$B$295="Да",6/12,1)</f>
        <v/>
      </c>
      <c r="C91" s="152">
        <f>'01_Вводные'!$E$264*IF('01_Вводные'!$B$295="Да",6/12,1)</f>
        <v/>
      </c>
      <c r="D91" s="152">
        <f>'01_Вводные'!$E$265*IF('01_Вводные'!$B$295="Да",6/12,1)</f>
        <v/>
      </c>
      <c r="E91" s="152">
        <f>'01_Вводные'!$E$266*IF('01_Вводные'!$B$295="Да",6/12,1)</f>
        <v/>
      </c>
      <c r="F91" s="152">
        <f>'01_Вводные'!$E$267*IF('01_Вводные'!$B$295="Да",6/12,1)</f>
        <v/>
      </c>
      <c r="G91" s="152">
        <f>'01_Вводные'!$E$268*IF('01_Вводные'!$B$295="Да",6/12,1)</f>
        <v/>
      </c>
      <c r="H91" s="152">
        <f>'01_Вводные'!$E$269*IF('01_Вводные'!$B$295="Да",6/12,1)</f>
        <v/>
      </c>
      <c r="I91" s="152">
        <f>'01_Вводные'!$E$270*IF('01_Вводные'!$B$295="Да",6/12,1)</f>
        <v/>
      </c>
      <c r="J91" s="152">
        <f>'01_Вводные'!$E$271*IF('01_Вводные'!$B$295="Да",6/12,1)</f>
        <v/>
      </c>
      <c r="K91" s="152">
        <f>'01_Вводные'!$E$272*IF('01_Вводные'!$B$295="Да",6/12,1)</f>
        <v/>
      </c>
      <c r="L91" s="152">
        <f>'01_Вводные'!$E$273*IF('01_Вводные'!$B$295="Да",6/12,1)</f>
        <v/>
      </c>
      <c r="M91" s="152">
        <f>'01_Вводные'!$E$274*IF('01_Вводные'!$B$295="Да",6/12,1)</f>
        <v/>
      </c>
      <c r="N91" s="152">
        <f>'01_Вводные'!$E$275*IF('01_Вводные'!$B$295="Да",6/12,1)</f>
        <v/>
      </c>
      <c r="O91" s="152">
        <f>'01_Вводные'!$E$276*IF('01_Вводные'!$B$295="Да",6/12,1)</f>
        <v/>
      </c>
      <c r="P91" s="152">
        <f>'01_Вводные'!$E$277*IF('01_Вводные'!$B$295="Да",6/12,1)</f>
        <v/>
      </c>
      <c r="Q91" s="152">
        <f>'01_Вводные'!$E$278*IF('01_Вводные'!$B$295="Да",6/12,1)</f>
        <v/>
      </c>
      <c r="R91" s="152">
        <f>'01_Вводные'!$E$279*IF('01_Вводные'!$B$295="Да",6/12,1)</f>
        <v/>
      </c>
      <c r="S91" s="152">
        <f>'01_Вводные'!$E$280*IF('01_Вводные'!$B$295="Да",6/12,1)</f>
        <v/>
      </c>
      <c r="T91" s="152">
        <f>'01_Вводные'!$E$281*IF('01_Вводные'!$B$295="Да",6/12,1)</f>
        <v/>
      </c>
      <c r="U91" s="152">
        <f>'01_Вводные'!$E$282*IF('01_Вводные'!$B$295="Да",6/12,1)</f>
        <v/>
      </c>
    </row>
    <row r="92">
      <c r="A92" s="150" t="inlineStr">
        <is>
          <t>7</t>
        </is>
      </c>
      <c r="B92" s="152">
        <f>'01_Вводные'!$E$263*IF('01_Вводные'!$B$295="Да",7/12,1)</f>
        <v/>
      </c>
      <c r="C92" s="152">
        <f>'01_Вводные'!$E$264*IF('01_Вводные'!$B$295="Да",7/12,1)</f>
        <v/>
      </c>
      <c r="D92" s="152">
        <f>'01_Вводные'!$E$265*IF('01_Вводные'!$B$295="Да",7/12,1)</f>
        <v/>
      </c>
      <c r="E92" s="152">
        <f>'01_Вводные'!$E$266*IF('01_Вводные'!$B$295="Да",7/12,1)</f>
        <v/>
      </c>
      <c r="F92" s="152">
        <f>'01_Вводные'!$E$267*IF('01_Вводные'!$B$295="Да",7/12,1)</f>
        <v/>
      </c>
      <c r="G92" s="152">
        <f>'01_Вводные'!$E$268*IF('01_Вводные'!$B$295="Да",7/12,1)</f>
        <v/>
      </c>
      <c r="H92" s="152">
        <f>'01_Вводные'!$E$269*IF('01_Вводные'!$B$295="Да",7/12,1)</f>
        <v/>
      </c>
      <c r="I92" s="152">
        <f>'01_Вводные'!$E$270*IF('01_Вводные'!$B$295="Да",7/12,1)</f>
        <v/>
      </c>
      <c r="J92" s="152">
        <f>'01_Вводные'!$E$271*IF('01_Вводные'!$B$295="Да",7/12,1)</f>
        <v/>
      </c>
      <c r="K92" s="152">
        <f>'01_Вводные'!$E$272*IF('01_Вводные'!$B$295="Да",7/12,1)</f>
        <v/>
      </c>
      <c r="L92" s="152">
        <f>'01_Вводные'!$E$273*IF('01_Вводные'!$B$295="Да",7/12,1)</f>
        <v/>
      </c>
      <c r="M92" s="152">
        <f>'01_Вводные'!$E$274*IF('01_Вводные'!$B$295="Да",7/12,1)</f>
        <v/>
      </c>
      <c r="N92" s="152">
        <f>'01_Вводные'!$E$275*IF('01_Вводные'!$B$295="Да",7/12,1)</f>
        <v/>
      </c>
      <c r="O92" s="152">
        <f>'01_Вводные'!$E$276*IF('01_Вводные'!$B$295="Да",7/12,1)</f>
        <v/>
      </c>
      <c r="P92" s="152">
        <f>'01_Вводные'!$E$277*IF('01_Вводные'!$B$295="Да",7/12,1)</f>
        <v/>
      </c>
      <c r="Q92" s="152">
        <f>'01_Вводные'!$E$278*IF('01_Вводные'!$B$295="Да",7/12,1)</f>
        <v/>
      </c>
      <c r="R92" s="152">
        <f>'01_Вводные'!$E$279*IF('01_Вводные'!$B$295="Да",7/12,1)</f>
        <v/>
      </c>
      <c r="S92" s="152">
        <f>'01_Вводные'!$E$280*IF('01_Вводные'!$B$295="Да",7/12,1)</f>
        <v/>
      </c>
      <c r="T92" s="152">
        <f>'01_Вводные'!$E$281*IF('01_Вводные'!$B$295="Да",7/12,1)</f>
        <v/>
      </c>
      <c r="U92" s="152">
        <f>'01_Вводные'!$E$282*IF('01_Вводные'!$B$295="Да",7/12,1)</f>
        <v/>
      </c>
    </row>
    <row r="93">
      <c r="A93" s="150" t="inlineStr">
        <is>
          <t>8</t>
        </is>
      </c>
      <c r="B93" s="152">
        <f>'01_Вводные'!$E$263*IF('01_Вводные'!$B$295="Да",8/12,1)</f>
        <v/>
      </c>
      <c r="C93" s="152">
        <f>'01_Вводные'!$E$264*IF('01_Вводные'!$B$295="Да",8/12,1)</f>
        <v/>
      </c>
      <c r="D93" s="152">
        <f>'01_Вводные'!$E$265*IF('01_Вводные'!$B$295="Да",8/12,1)</f>
        <v/>
      </c>
      <c r="E93" s="152">
        <f>'01_Вводные'!$E$266*IF('01_Вводные'!$B$295="Да",8/12,1)</f>
        <v/>
      </c>
      <c r="F93" s="152">
        <f>'01_Вводные'!$E$267*IF('01_Вводные'!$B$295="Да",8/12,1)</f>
        <v/>
      </c>
      <c r="G93" s="152">
        <f>'01_Вводные'!$E$268*IF('01_Вводные'!$B$295="Да",8/12,1)</f>
        <v/>
      </c>
      <c r="H93" s="152">
        <f>'01_Вводные'!$E$269*IF('01_Вводные'!$B$295="Да",8/12,1)</f>
        <v/>
      </c>
      <c r="I93" s="152">
        <f>'01_Вводные'!$E$270*IF('01_Вводные'!$B$295="Да",8/12,1)</f>
        <v/>
      </c>
      <c r="J93" s="152">
        <f>'01_Вводные'!$E$271*IF('01_Вводные'!$B$295="Да",8/12,1)</f>
        <v/>
      </c>
      <c r="K93" s="152">
        <f>'01_Вводные'!$E$272*IF('01_Вводные'!$B$295="Да",8/12,1)</f>
        <v/>
      </c>
      <c r="L93" s="152">
        <f>'01_Вводные'!$E$273*IF('01_Вводные'!$B$295="Да",8/12,1)</f>
        <v/>
      </c>
      <c r="M93" s="152">
        <f>'01_Вводные'!$E$274*IF('01_Вводные'!$B$295="Да",8/12,1)</f>
        <v/>
      </c>
      <c r="N93" s="152">
        <f>'01_Вводные'!$E$275*IF('01_Вводные'!$B$295="Да",8/12,1)</f>
        <v/>
      </c>
      <c r="O93" s="152">
        <f>'01_Вводные'!$E$276*IF('01_Вводные'!$B$295="Да",8/12,1)</f>
        <v/>
      </c>
      <c r="P93" s="152">
        <f>'01_Вводные'!$E$277*IF('01_Вводные'!$B$295="Да",8/12,1)</f>
        <v/>
      </c>
      <c r="Q93" s="152">
        <f>'01_Вводные'!$E$278*IF('01_Вводные'!$B$295="Да",8/12,1)</f>
        <v/>
      </c>
      <c r="R93" s="152">
        <f>'01_Вводные'!$E$279*IF('01_Вводные'!$B$295="Да",8/12,1)</f>
        <v/>
      </c>
      <c r="S93" s="152">
        <f>'01_Вводные'!$E$280*IF('01_Вводные'!$B$295="Да",8/12,1)</f>
        <v/>
      </c>
      <c r="T93" s="152">
        <f>'01_Вводные'!$E$281*IF('01_Вводные'!$B$295="Да",8/12,1)</f>
        <v/>
      </c>
      <c r="U93" s="152">
        <f>'01_Вводные'!$E$282*IF('01_Вводные'!$B$295="Да",8/12,1)</f>
        <v/>
      </c>
    </row>
    <row r="94">
      <c r="A94" s="150" t="inlineStr">
        <is>
          <t>9</t>
        </is>
      </c>
      <c r="B94" s="152">
        <f>'01_Вводные'!$E$263*IF('01_Вводные'!$B$295="Да",9/12,1)</f>
        <v/>
      </c>
      <c r="C94" s="152">
        <f>'01_Вводные'!$E$264*IF('01_Вводные'!$B$295="Да",9/12,1)</f>
        <v/>
      </c>
      <c r="D94" s="152">
        <f>'01_Вводные'!$E$265*IF('01_Вводные'!$B$295="Да",9/12,1)</f>
        <v/>
      </c>
      <c r="E94" s="152">
        <f>'01_Вводные'!$E$266*IF('01_Вводные'!$B$295="Да",9/12,1)</f>
        <v/>
      </c>
      <c r="F94" s="152">
        <f>'01_Вводные'!$E$267*IF('01_Вводные'!$B$295="Да",9/12,1)</f>
        <v/>
      </c>
      <c r="G94" s="152">
        <f>'01_Вводные'!$E$268*IF('01_Вводные'!$B$295="Да",9/12,1)</f>
        <v/>
      </c>
      <c r="H94" s="152">
        <f>'01_Вводные'!$E$269*IF('01_Вводные'!$B$295="Да",9/12,1)</f>
        <v/>
      </c>
      <c r="I94" s="152">
        <f>'01_Вводные'!$E$270*IF('01_Вводные'!$B$295="Да",9/12,1)</f>
        <v/>
      </c>
      <c r="J94" s="152">
        <f>'01_Вводные'!$E$271*IF('01_Вводные'!$B$295="Да",9/12,1)</f>
        <v/>
      </c>
      <c r="K94" s="152">
        <f>'01_Вводные'!$E$272*IF('01_Вводные'!$B$295="Да",9/12,1)</f>
        <v/>
      </c>
      <c r="L94" s="152">
        <f>'01_Вводные'!$E$273*IF('01_Вводные'!$B$295="Да",9/12,1)</f>
        <v/>
      </c>
      <c r="M94" s="152">
        <f>'01_Вводные'!$E$274*IF('01_Вводные'!$B$295="Да",9/12,1)</f>
        <v/>
      </c>
      <c r="N94" s="152">
        <f>'01_Вводные'!$E$275*IF('01_Вводные'!$B$295="Да",9/12,1)</f>
        <v/>
      </c>
      <c r="O94" s="152">
        <f>'01_Вводные'!$E$276*IF('01_Вводные'!$B$295="Да",9/12,1)</f>
        <v/>
      </c>
      <c r="P94" s="152">
        <f>'01_Вводные'!$E$277*IF('01_Вводные'!$B$295="Да",9/12,1)</f>
        <v/>
      </c>
      <c r="Q94" s="152">
        <f>'01_Вводные'!$E$278*IF('01_Вводные'!$B$295="Да",9/12,1)</f>
        <v/>
      </c>
      <c r="R94" s="152">
        <f>'01_Вводные'!$E$279*IF('01_Вводные'!$B$295="Да",9/12,1)</f>
        <v/>
      </c>
      <c r="S94" s="152">
        <f>'01_Вводные'!$E$280*IF('01_Вводные'!$B$295="Да",9/12,1)</f>
        <v/>
      </c>
      <c r="T94" s="152">
        <f>'01_Вводные'!$E$281*IF('01_Вводные'!$B$295="Да",9/12,1)</f>
        <v/>
      </c>
      <c r="U94" s="152">
        <f>'01_Вводные'!$E$282*IF('01_Вводные'!$B$295="Да",9/12,1)</f>
        <v/>
      </c>
    </row>
    <row r="95">
      <c r="A95" s="150" t="inlineStr">
        <is>
          <t>10</t>
        </is>
      </c>
      <c r="B95" s="152">
        <f>'01_Вводные'!$E$263*IF('01_Вводные'!$B$295="Да",10/12,1)</f>
        <v/>
      </c>
      <c r="C95" s="152">
        <f>'01_Вводные'!$E$264*IF('01_Вводные'!$B$295="Да",10/12,1)</f>
        <v/>
      </c>
      <c r="D95" s="152">
        <f>'01_Вводные'!$E$265*IF('01_Вводные'!$B$295="Да",10/12,1)</f>
        <v/>
      </c>
      <c r="E95" s="152">
        <f>'01_Вводные'!$E$266*IF('01_Вводные'!$B$295="Да",10/12,1)</f>
        <v/>
      </c>
      <c r="F95" s="152">
        <f>'01_Вводные'!$E$267*IF('01_Вводные'!$B$295="Да",10/12,1)</f>
        <v/>
      </c>
      <c r="G95" s="152">
        <f>'01_Вводные'!$E$268*IF('01_Вводные'!$B$295="Да",10/12,1)</f>
        <v/>
      </c>
      <c r="H95" s="152">
        <f>'01_Вводные'!$E$269*IF('01_Вводные'!$B$295="Да",10/12,1)</f>
        <v/>
      </c>
      <c r="I95" s="152">
        <f>'01_Вводные'!$E$270*IF('01_Вводные'!$B$295="Да",10/12,1)</f>
        <v/>
      </c>
      <c r="J95" s="152">
        <f>'01_Вводные'!$E$271*IF('01_Вводные'!$B$295="Да",10/12,1)</f>
        <v/>
      </c>
      <c r="K95" s="152">
        <f>'01_Вводные'!$E$272*IF('01_Вводные'!$B$295="Да",10/12,1)</f>
        <v/>
      </c>
      <c r="L95" s="152">
        <f>'01_Вводные'!$E$273*IF('01_Вводные'!$B$295="Да",10/12,1)</f>
        <v/>
      </c>
      <c r="M95" s="152">
        <f>'01_Вводные'!$E$274*IF('01_Вводные'!$B$295="Да",10/12,1)</f>
        <v/>
      </c>
      <c r="N95" s="152">
        <f>'01_Вводные'!$E$275*IF('01_Вводные'!$B$295="Да",10/12,1)</f>
        <v/>
      </c>
      <c r="O95" s="152">
        <f>'01_Вводные'!$E$276*IF('01_Вводные'!$B$295="Да",10/12,1)</f>
        <v/>
      </c>
      <c r="P95" s="152">
        <f>'01_Вводные'!$E$277*IF('01_Вводные'!$B$295="Да",10/12,1)</f>
        <v/>
      </c>
      <c r="Q95" s="152">
        <f>'01_Вводные'!$E$278*IF('01_Вводные'!$B$295="Да",10/12,1)</f>
        <v/>
      </c>
      <c r="R95" s="152">
        <f>'01_Вводные'!$E$279*IF('01_Вводные'!$B$295="Да",10/12,1)</f>
        <v/>
      </c>
      <c r="S95" s="152">
        <f>'01_Вводные'!$E$280*IF('01_Вводные'!$B$295="Да",10/12,1)</f>
        <v/>
      </c>
      <c r="T95" s="152">
        <f>'01_Вводные'!$E$281*IF('01_Вводные'!$B$295="Да",10/12,1)</f>
        <v/>
      </c>
      <c r="U95" s="152">
        <f>'01_Вводные'!$E$282*IF('01_Вводные'!$B$295="Да",10/12,1)</f>
        <v/>
      </c>
    </row>
    <row r="96">
      <c r="A96" s="150" t="inlineStr">
        <is>
          <t>11</t>
        </is>
      </c>
      <c r="B96" s="152">
        <f>'01_Вводные'!$E$263*IF('01_Вводные'!$B$295="Да",11/12,1)</f>
        <v/>
      </c>
      <c r="C96" s="152">
        <f>'01_Вводные'!$E$264*IF('01_Вводные'!$B$295="Да",11/12,1)</f>
        <v/>
      </c>
      <c r="D96" s="152">
        <f>'01_Вводные'!$E$265*IF('01_Вводные'!$B$295="Да",11/12,1)</f>
        <v/>
      </c>
      <c r="E96" s="152">
        <f>'01_Вводные'!$E$266*IF('01_Вводные'!$B$295="Да",11/12,1)</f>
        <v/>
      </c>
      <c r="F96" s="152">
        <f>'01_Вводные'!$E$267*IF('01_Вводные'!$B$295="Да",11/12,1)</f>
        <v/>
      </c>
      <c r="G96" s="152">
        <f>'01_Вводные'!$E$268*IF('01_Вводные'!$B$295="Да",11/12,1)</f>
        <v/>
      </c>
      <c r="H96" s="152">
        <f>'01_Вводные'!$E$269*IF('01_Вводные'!$B$295="Да",11/12,1)</f>
        <v/>
      </c>
      <c r="I96" s="152">
        <f>'01_Вводные'!$E$270*IF('01_Вводные'!$B$295="Да",11/12,1)</f>
        <v/>
      </c>
      <c r="J96" s="152">
        <f>'01_Вводные'!$E$271*IF('01_Вводные'!$B$295="Да",11/12,1)</f>
        <v/>
      </c>
      <c r="K96" s="152">
        <f>'01_Вводные'!$E$272*IF('01_Вводные'!$B$295="Да",11/12,1)</f>
        <v/>
      </c>
      <c r="L96" s="152">
        <f>'01_Вводные'!$E$273*IF('01_Вводные'!$B$295="Да",11/12,1)</f>
        <v/>
      </c>
      <c r="M96" s="152">
        <f>'01_Вводные'!$E$274*IF('01_Вводные'!$B$295="Да",11/12,1)</f>
        <v/>
      </c>
      <c r="N96" s="152">
        <f>'01_Вводные'!$E$275*IF('01_Вводные'!$B$295="Да",11/12,1)</f>
        <v/>
      </c>
      <c r="O96" s="152">
        <f>'01_Вводные'!$E$276*IF('01_Вводные'!$B$295="Да",11/12,1)</f>
        <v/>
      </c>
      <c r="P96" s="152">
        <f>'01_Вводные'!$E$277*IF('01_Вводные'!$B$295="Да",11/12,1)</f>
        <v/>
      </c>
      <c r="Q96" s="152">
        <f>'01_Вводные'!$E$278*IF('01_Вводные'!$B$295="Да",11/12,1)</f>
        <v/>
      </c>
      <c r="R96" s="152">
        <f>'01_Вводные'!$E$279*IF('01_Вводные'!$B$295="Да",11/12,1)</f>
        <v/>
      </c>
      <c r="S96" s="152">
        <f>'01_Вводные'!$E$280*IF('01_Вводные'!$B$295="Да",11/12,1)</f>
        <v/>
      </c>
      <c r="T96" s="152">
        <f>'01_Вводные'!$E$281*IF('01_Вводные'!$B$295="Да",11/12,1)</f>
        <v/>
      </c>
      <c r="U96" s="152">
        <f>'01_Вводные'!$E$282*IF('01_Вводные'!$B$295="Да",11/12,1)</f>
        <v/>
      </c>
    </row>
    <row r="97">
      <c r="A97" s="150" t="inlineStr">
        <is>
          <t>12</t>
        </is>
      </c>
      <c r="B97" s="152">
        <f>'01_Вводные'!$E$263*IF('01_Вводные'!$B$295="Да",12/12,1)</f>
        <v/>
      </c>
      <c r="C97" s="152">
        <f>'01_Вводные'!$E$264*IF('01_Вводные'!$B$295="Да",12/12,1)</f>
        <v/>
      </c>
      <c r="D97" s="152">
        <f>'01_Вводные'!$E$265*IF('01_Вводные'!$B$295="Да",12/12,1)</f>
        <v/>
      </c>
      <c r="E97" s="152">
        <f>'01_Вводные'!$E$266*IF('01_Вводные'!$B$295="Да",12/12,1)</f>
        <v/>
      </c>
      <c r="F97" s="152">
        <f>'01_Вводные'!$E$267*IF('01_Вводные'!$B$295="Да",12/12,1)</f>
        <v/>
      </c>
      <c r="G97" s="152">
        <f>'01_Вводные'!$E$268*IF('01_Вводные'!$B$295="Да",12/12,1)</f>
        <v/>
      </c>
      <c r="H97" s="152">
        <f>'01_Вводные'!$E$269*IF('01_Вводные'!$B$295="Да",12/12,1)</f>
        <v/>
      </c>
      <c r="I97" s="152">
        <f>'01_Вводные'!$E$270*IF('01_Вводные'!$B$295="Да",12/12,1)</f>
        <v/>
      </c>
      <c r="J97" s="152">
        <f>'01_Вводные'!$E$271*IF('01_Вводные'!$B$295="Да",12/12,1)</f>
        <v/>
      </c>
      <c r="K97" s="152">
        <f>'01_Вводные'!$E$272*IF('01_Вводные'!$B$295="Да",12/12,1)</f>
        <v/>
      </c>
      <c r="L97" s="152">
        <f>'01_Вводные'!$E$273*IF('01_Вводные'!$B$295="Да",12/12,1)</f>
        <v/>
      </c>
      <c r="M97" s="152">
        <f>'01_Вводные'!$E$274*IF('01_Вводные'!$B$295="Да",12/12,1)</f>
        <v/>
      </c>
      <c r="N97" s="152">
        <f>'01_Вводные'!$E$275*IF('01_Вводные'!$B$295="Да",12/12,1)</f>
        <v/>
      </c>
      <c r="O97" s="152">
        <f>'01_Вводные'!$E$276*IF('01_Вводные'!$B$295="Да",12/12,1)</f>
        <v/>
      </c>
      <c r="P97" s="152">
        <f>'01_Вводные'!$E$277*IF('01_Вводные'!$B$295="Да",12/12,1)</f>
        <v/>
      </c>
      <c r="Q97" s="152">
        <f>'01_Вводные'!$E$278*IF('01_Вводные'!$B$295="Да",12/12,1)</f>
        <v/>
      </c>
      <c r="R97" s="152">
        <f>'01_Вводные'!$E$279*IF('01_Вводные'!$B$295="Да",12/12,1)</f>
        <v/>
      </c>
      <c r="S97" s="152">
        <f>'01_Вводные'!$E$280*IF('01_Вводные'!$B$295="Да",12/12,1)</f>
        <v/>
      </c>
      <c r="T97" s="152">
        <f>'01_Вводные'!$E$281*IF('01_Вводные'!$B$295="Да",12/12,1)</f>
        <v/>
      </c>
      <c r="U97" s="152">
        <f>'01_Вводные'!$E$282*IF('01_Вводные'!$B$295="Да",12/12,1)</f>
        <v/>
      </c>
    </row>
    <row r="98">
      <c r="A98" s="150" t="inlineStr">
        <is>
          <t>13</t>
        </is>
      </c>
      <c r="B98" s="152">
        <f>IF('01_Вводные'!$B$295="Да",'01_Вводные'!$E$263+('01_Вводные'!$F$263-'01_Вводные'!$E$263)*1/12,'01_Вводные'!$F$263)</f>
        <v/>
      </c>
      <c r="C98" s="152">
        <f>IF('01_Вводные'!$B$295="Да",'01_Вводные'!$E$264+('01_Вводные'!$F$264-'01_Вводные'!$E$264)*1/12,'01_Вводные'!$F$264)</f>
        <v/>
      </c>
      <c r="D98" s="152">
        <f>IF('01_Вводные'!$B$295="Да",'01_Вводные'!$E$265+('01_Вводные'!$F$265-'01_Вводные'!$E$265)*1/12,'01_Вводные'!$F$265)</f>
        <v/>
      </c>
      <c r="E98" s="152">
        <f>IF('01_Вводные'!$B$295="Да",'01_Вводные'!$E$266+('01_Вводные'!$F$266-'01_Вводные'!$E$266)*1/12,'01_Вводные'!$F$266)</f>
        <v/>
      </c>
      <c r="F98" s="152">
        <f>IF('01_Вводные'!$B$295="Да",'01_Вводные'!$E$267+('01_Вводные'!$F$267-'01_Вводные'!$E$267)*1/12,'01_Вводные'!$F$267)</f>
        <v/>
      </c>
      <c r="G98" s="152">
        <f>IF('01_Вводные'!$B$295="Да",'01_Вводные'!$E$268+('01_Вводные'!$F$268-'01_Вводные'!$E$268)*1/12,'01_Вводные'!$F$268)</f>
        <v/>
      </c>
      <c r="H98" s="152">
        <f>IF('01_Вводные'!$B$295="Да",'01_Вводные'!$E$269+('01_Вводные'!$F$269-'01_Вводные'!$E$269)*1/12,'01_Вводные'!$F$269)</f>
        <v/>
      </c>
      <c r="I98" s="152">
        <f>IF('01_Вводные'!$B$295="Да",'01_Вводные'!$E$270+('01_Вводные'!$F$270-'01_Вводные'!$E$270)*1/12,'01_Вводные'!$F$270)</f>
        <v/>
      </c>
      <c r="J98" s="152">
        <f>IF('01_Вводные'!$B$295="Да",'01_Вводные'!$E$271+('01_Вводные'!$F$271-'01_Вводные'!$E$271)*1/12,'01_Вводные'!$F$271)</f>
        <v/>
      </c>
      <c r="K98" s="152">
        <f>IF('01_Вводные'!$B$295="Да",'01_Вводные'!$E$272+('01_Вводные'!$F$272-'01_Вводные'!$E$272)*1/12,'01_Вводные'!$F$272)</f>
        <v/>
      </c>
      <c r="L98" s="152">
        <f>IF('01_Вводные'!$B$295="Да",'01_Вводные'!$E$273+('01_Вводные'!$F$273-'01_Вводные'!$E$273)*1/12,'01_Вводные'!$F$273)</f>
        <v/>
      </c>
      <c r="M98" s="152">
        <f>IF('01_Вводные'!$B$295="Да",'01_Вводные'!$E$274+('01_Вводные'!$F$274-'01_Вводные'!$E$274)*1/12,'01_Вводные'!$F$274)</f>
        <v/>
      </c>
      <c r="N98" s="152">
        <f>IF('01_Вводные'!$B$295="Да",'01_Вводные'!$E$275+('01_Вводные'!$F$275-'01_Вводные'!$E$275)*1/12,'01_Вводные'!$F$275)</f>
        <v/>
      </c>
      <c r="O98" s="152">
        <f>IF('01_Вводные'!$B$295="Да",'01_Вводные'!$E$276+('01_Вводные'!$F$276-'01_Вводные'!$E$276)*1/12,'01_Вводные'!$F$276)</f>
        <v/>
      </c>
      <c r="P98" s="152">
        <f>IF('01_Вводные'!$B$295="Да",'01_Вводные'!$E$277+('01_Вводные'!$F$277-'01_Вводные'!$E$277)*1/12,'01_Вводные'!$F$277)</f>
        <v/>
      </c>
      <c r="Q98" s="152">
        <f>IF('01_Вводные'!$B$295="Да",'01_Вводные'!$E$278+('01_Вводные'!$F$278-'01_Вводные'!$E$278)*1/12,'01_Вводные'!$F$278)</f>
        <v/>
      </c>
      <c r="R98" s="152">
        <f>IF('01_Вводные'!$B$295="Да",'01_Вводные'!$E$279+('01_Вводные'!$F$279-'01_Вводные'!$E$279)*1/12,'01_Вводные'!$F$279)</f>
        <v/>
      </c>
      <c r="S98" s="152">
        <f>IF('01_Вводные'!$B$295="Да",'01_Вводные'!$E$280+('01_Вводные'!$F$280-'01_Вводные'!$E$280)*1/12,'01_Вводные'!$F$280)</f>
        <v/>
      </c>
      <c r="T98" s="152">
        <f>IF('01_Вводные'!$B$295="Да",'01_Вводные'!$E$281+('01_Вводные'!$F$281-'01_Вводные'!$E$281)*1/12,'01_Вводные'!$F$281)</f>
        <v/>
      </c>
      <c r="U98" s="152">
        <f>IF('01_Вводные'!$B$295="Да",'01_Вводные'!$E$282+('01_Вводные'!$F$282-'01_Вводные'!$E$282)*1/12,'01_Вводные'!$F$282)</f>
        <v/>
      </c>
    </row>
    <row r="99">
      <c r="A99" s="150" t="inlineStr">
        <is>
          <t>14</t>
        </is>
      </c>
      <c r="B99" s="152">
        <f>IF('01_Вводные'!$B$295="Да",'01_Вводные'!$E$263+('01_Вводные'!$F$263-'01_Вводные'!$E$263)*2/12,'01_Вводные'!$F$263)</f>
        <v/>
      </c>
      <c r="C99" s="152">
        <f>IF('01_Вводные'!$B$295="Да",'01_Вводные'!$E$264+('01_Вводные'!$F$264-'01_Вводные'!$E$264)*2/12,'01_Вводные'!$F$264)</f>
        <v/>
      </c>
      <c r="D99" s="152">
        <f>IF('01_Вводные'!$B$295="Да",'01_Вводные'!$E$265+('01_Вводные'!$F$265-'01_Вводные'!$E$265)*2/12,'01_Вводные'!$F$265)</f>
        <v/>
      </c>
      <c r="E99" s="152">
        <f>IF('01_Вводные'!$B$295="Да",'01_Вводные'!$E$266+('01_Вводные'!$F$266-'01_Вводные'!$E$266)*2/12,'01_Вводные'!$F$266)</f>
        <v/>
      </c>
      <c r="F99" s="152">
        <f>IF('01_Вводные'!$B$295="Да",'01_Вводные'!$E$267+('01_Вводные'!$F$267-'01_Вводные'!$E$267)*2/12,'01_Вводные'!$F$267)</f>
        <v/>
      </c>
      <c r="G99" s="152">
        <f>IF('01_Вводные'!$B$295="Да",'01_Вводные'!$E$268+('01_Вводные'!$F$268-'01_Вводные'!$E$268)*2/12,'01_Вводные'!$F$268)</f>
        <v/>
      </c>
      <c r="H99" s="152">
        <f>IF('01_Вводные'!$B$295="Да",'01_Вводные'!$E$269+('01_Вводные'!$F$269-'01_Вводные'!$E$269)*2/12,'01_Вводные'!$F$269)</f>
        <v/>
      </c>
      <c r="I99" s="152">
        <f>IF('01_Вводные'!$B$295="Да",'01_Вводные'!$E$270+('01_Вводные'!$F$270-'01_Вводные'!$E$270)*2/12,'01_Вводные'!$F$270)</f>
        <v/>
      </c>
      <c r="J99" s="152">
        <f>IF('01_Вводные'!$B$295="Да",'01_Вводные'!$E$271+('01_Вводные'!$F$271-'01_Вводные'!$E$271)*2/12,'01_Вводные'!$F$271)</f>
        <v/>
      </c>
      <c r="K99" s="152">
        <f>IF('01_Вводные'!$B$295="Да",'01_Вводные'!$E$272+('01_Вводные'!$F$272-'01_Вводные'!$E$272)*2/12,'01_Вводные'!$F$272)</f>
        <v/>
      </c>
      <c r="L99" s="152">
        <f>IF('01_Вводные'!$B$295="Да",'01_Вводные'!$E$273+('01_Вводные'!$F$273-'01_Вводные'!$E$273)*2/12,'01_Вводные'!$F$273)</f>
        <v/>
      </c>
      <c r="M99" s="152">
        <f>IF('01_Вводные'!$B$295="Да",'01_Вводные'!$E$274+('01_Вводные'!$F$274-'01_Вводные'!$E$274)*2/12,'01_Вводные'!$F$274)</f>
        <v/>
      </c>
      <c r="N99" s="152">
        <f>IF('01_Вводные'!$B$295="Да",'01_Вводные'!$E$275+('01_Вводные'!$F$275-'01_Вводные'!$E$275)*2/12,'01_Вводные'!$F$275)</f>
        <v/>
      </c>
      <c r="O99" s="152">
        <f>IF('01_Вводные'!$B$295="Да",'01_Вводные'!$E$276+('01_Вводные'!$F$276-'01_Вводные'!$E$276)*2/12,'01_Вводные'!$F$276)</f>
        <v/>
      </c>
      <c r="P99" s="152">
        <f>IF('01_Вводные'!$B$295="Да",'01_Вводные'!$E$277+('01_Вводные'!$F$277-'01_Вводные'!$E$277)*2/12,'01_Вводные'!$F$277)</f>
        <v/>
      </c>
      <c r="Q99" s="152">
        <f>IF('01_Вводные'!$B$295="Да",'01_Вводные'!$E$278+('01_Вводные'!$F$278-'01_Вводные'!$E$278)*2/12,'01_Вводные'!$F$278)</f>
        <v/>
      </c>
      <c r="R99" s="152">
        <f>IF('01_Вводные'!$B$295="Да",'01_Вводные'!$E$279+('01_Вводные'!$F$279-'01_Вводные'!$E$279)*2/12,'01_Вводные'!$F$279)</f>
        <v/>
      </c>
      <c r="S99" s="152">
        <f>IF('01_Вводные'!$B$295="Да",'01_Вводные'!$E$280+('01_Вводные'!$F$280-'01_Вводные'!$E$280)*2/12,'01_Вводные'!$F$280)</f>
        <v/>
      </c>
      <c r="T99" s="152">
        <f>IF('01_Вводные'!$B$295="Да",'01_Вводные'!$E$281+('01_Вводные'!$F$281-'01_Вводные'!$E$281)*2/12,'01_Вводные'!$F$281)</f>
        <v/>
      </c>
      <c r="U99" s="152">
        <f>IF('01_Вводные'!$B$295="Да",'01_Вводные'!$E$282+('01_Вводные'!$F$282-'01_Вводные'!$E$282)*2/12,'01_Вводные'!$F$282)</f>
        <v/>
      </c>
    </row>
    <row r="100">
      <c r="A100" s="150" t="inlineStr">
        <is>
          <t>15</t>
        </is>
      </c>
      <c r="B100" s="152">
        <f>IF('01_Вводные'!$B$295="Да",'01_Вводные'!$E$263+('01_Вводные'!$F$263-'01_Вводные'!$E$263)*3/12,'01_Вводные'!$F$263)</f>
        <v/>
      </c>
      <c r="C100" s="152">
        <f>IF('01_Вводные'!$B$295="Да",'01_Вводные'!$E$264+('01_Вводные'!$F$264-'01_Вводные'!$E$264)*3/12,'01_Вводные'!$F$264)</f>
        <v/>
      </c>
      <c r="D100" s="152">
        <f>IF('01_Вводные'!$B$295="Да",'01_Вводные'!$E$265+('01_Вводные'!$F$265-'01_Вводные'!$E$265)*3/12,'01_Вводные'!$F$265)</f>
        <v/>
      </c>
      <c r="E100" s="152">
        <f>IF('01_Вводные'!$B$295="Да",'01_Вводные'!$E$266+('01_Вводные'!$F$266-'01_Вводные'!$E$266)*3/12,'01_Вводные'!$F$266)</f>
        <v/>
      </c>
      <c r="F100" s="152">
        <f>IF('01_Вводные'!$B$295="Да",'01_Вводные'!$E$267+('01_Вводные'!$F$267-'01_Вводные'!$E$267)*3/12,'01_Вводные'!$F$267)</f>
        <v/>
      </c>
      <c r="G100" s="152">
        <f>IF('01_Вводные'!$B$295="Да",'01_Вводные'!$E$268+('01_Вводные'!$F$268-'01_Вводные'!$E$268)*3/12,'01_Вводные'!$F$268)</f>
        <v/>
      </c>
      <c r="H100" s="152">
        <f>IF('01_Вводные'!$B$295="Да",'01_Вводные'!$E$269+('01_Вводные'!$F$269-'01_Вводные'!$E$269)*3/12,'01_Вводные'!$F$269)</f>
        <v/>
      </c>
      <c r="I100" s="152">
        <f>IF('01_Вводные'!$B$295="Да",'01_Вводные'!$E$270+('01_Вводные'!$F$270-'01_Вводные'!$E$270)*3/12,'01_Вводные'!$F$270)</f>
        <v/>
      </c>
      <c r="J100" s="152">
        <f>IF('01_Вводные'!$B$295="Да",'01_Вводные'!$E$271+('01_Вводные'!$F$271-'01_Вводные'!$E$271)*3/12,'01_Вводные'!$F$271)</f>
        <v/>
      </c>
      <c r="K100" s="152">
        <f>IF('01_Вводные'!$B$295="Да",'01_Вводные'!$E$272+('01_Вводные'!$F$272-'01_Вводные'!$E$272)*3/12,'01_Вводные'!$F$272)</f>
        <v/>
      </c>
      <c r="L100" s="152">
        <f>IF('01_Вводные'!$B$295="Да",'01_Вводные'!$E$273+('01_Вводные'!$F$273-'01_Вводные'!$E$273)*3/12,'01_Вводные'!$F$273)</f>
        <v/>
      </c>
      <c r="M100" s="152">
        <f>IF('01_Вводные'!$B$295="Да",'01_Вводные'!$E$274+('01_Вводные'!$F$274-'01_Вводные'!$E$274)*3/12,'01_Вводные'!$F$274)</f>
        <v/>
      </c>
      <c r="N100" s="152">
        <f>IF('01_Вводные'!$B$295="Да",'01_Вводные'!$E$275+('01_Вводные'!$F$275-'01_Вводные'!$E$275)*3/12,'01_Вводные'!$F$275)</f>
        <v/>
      </c>
      <c r="O100" s="152">
        <f>IF('01_Вводные'!$B$295="Да",'01_Вводные'!$E$276+('01_Вводные'!$F$276-'01_Вводные'!$E$276)*3/12,'01_Вводные'!$F$276)</f>
        <v/>
      </c>
      <c r="P100" s="152">
        <f>IF('01_Вводные'!$B$295="Да",'01_Вводные'!$E$277+('01_Вводные'!$F$277-'01_Вводные'!$E$277)*3/12,'01_Вводные'!$F$277)</f>
        <v/>
      </c>
      <c r="Q100" s="152">
        <f>IF('01_Вводные'!$B$295="Да",'01_Вводные'!$E$278+('01_Вводные'!$F$278-'01_Вводные'!$E$278)*3/12,'01_Вводные'!$F$278)</f>
        <v/>
      </c>
      <c r="R100" s="152">
        <f>IF('01_Вводные'!$B$295="Да",'01_Вводные'!$E$279+('01_Вводные'!$F$279-'01_Вводные'!$E$279)*3/12,'01_Вводные'!$F$279)</f>
        <v/>
      </c>
      <c r="S100" s="152">
        <f>IF('01_Вводные'!$B$295="Да",'01_Вводные'!$E$280+('01_Вводные'!$F$280-'01_Вводные'!$E$280)*3/12,'01_Вводные'!$F$280)</f>
        <v/>
      </c>
      <c r="T100" s="152">
        <f>IF('01_Вводные'!$B$295="Да",'01_Вводные'!$E$281+('01_Вводные'!$F$281-'01_Вводные'!$E$281)*3/12,'01_Вводные'!$F$281)</f>
        <v/>
      </c>
      <c r="U100" s="152">
        <f>IF('01_Вводные'!$B$295="Да",'01_Вводные'!$E$282+('01_Вводные'!$F$282-'01_Вводные'!$E$282)*3/12,'01_Вводные'!$F$282)</f>
        <v/>
      </c>
    </row>
    <row r="101">
      <c r="A101" s="150" t="inlineStr">
        <is>
          <t>16</t>
        </is>
      </c>
      <c r="B101" s="152">
        <f>IF('01_Вводные'!$B$295="Да",'01_Вводные'!$E$263+('01_Вводные'!$F$263-'01_Вводные'!$E$263)*4/12,'01_Вводные'!$F$263)</f>
        <v/>
      </c>
      <c r="C101" s="152">
        <f>IF('01_Вводные'!$B$295="Да",'01_Вводные'!$E$264+('01_Вводные'!$F$264-'01_Вводные'!$E$264)*4/12,'01_Вводные'!$F$264)</f>
        <v/>
      </c>
      <c r="D101" s="152">
        <f>IF('01_Вводные'!$B$295="Да",'01_Вводные'!$E$265+('01_Вводные'!$F$265-'01_Вводные'!$E$265)*4/12,'01_Вводные'!$F$265)</f>
        <v/>
      </c>
      <c r="E101" s="152">
        <f>IF('01_Вводные'!$B$295="Да",'01_Вводные'!$E$266+('01_Вводные'!$F$266-'01_Вводные'!$E$266)*4/12,'01_Вводные'!$F$266)</f>
        <v/>
      </c>
      <c r="F101" s="152">
        <f>IF('01_Вводные'!$B$295="Да",'01_Вводные'!$E$267+('01_Вводные'!$F$267-'01_Вводные'!$E$267)*4/12,'01_Вводные'!$F$267)</f>
        <v/>
      </c>
      <c r="G101" s="152">
        <f>IF('01_Вводные'!$B$295="Да",'01_Вводные'!$E$268+('01_Вводные'!$F$268-'01_Вводные'!$E$268)*4/12,'01_Вводные'!$F$268)</f>
        <v/>
      </c>
      <c r="H101" s="152">
        <f>IF('01_Вводные'!$B$295="Да",'01_Вводные'!$E$269+('01_Вводные'!$F$269-'01_Вводные'!$E$269)*4/12,'01_Вводные'!$F$269)</f>
        <v/>
      </c>
      <c r="I101" s="152">
        <f>IF('01_Вводные'!$B$295="Да",'01_Вводные'!$E$270+('01_Вводные'!$F$270-'01_Вводные'!$E$270)*4/12,'01_Вводные'!$F$270)</f>
        <v/>
      </c>
      <c r="J101" s="152">
        <f>IF('01_Вводные'!$B$295="Да",'01_Вводные'!$E$271+('01_Вводные'!$F$271-'01_Вводные'!$E$271)*4/12,'01_Вводные'!$F$271)</f>
        <v/>
      </c>
      <c r="K101" s="152">
        <f>IF('01_Вводные'!$B$295="Да",'01_Вводные'!$E$272+('01_Вводные'!$F$272-'01_Вводные'!$E$272)*4/12,'01_Вводные'!$F$272)</f>
        <v/>
      </c>
      <c r="L101" s="152">
        <f>IF('01_Вводные'!$B$295="Да",'01_Вводные'!$E$273+('01_Вводные'!$F$273-'01_Вводные'!$E$273)*4/12,'01_Вводные'!$F$273)</f>
        <v/>
      </c>
      <c r="M101" s="152">
        <f>IF('01_Вводные'!$B$295="Да",'01_Вводные'!$E$274+('01_Вводные'!$F$274-'01_Вводные'!$E$274)*4/12,'01_Вводные'!$F$274)</f>
        <v/>
      </c>
      <c r="N101" s="152">
        <f>IF('01_Вводные'!$B$295="Да",'01_Вводные'!$E$275+('01_Вводные'!$F$275-'01_Вводные'!$E$275)*4/12,'01_Вводные'!$F$275)</f>
        <v/>
      </c>
      <c r="O101" s="152">
        <f>IF('01_Вводные'!$B$295="Да",'01_Вводные'!$E$276+('01_Вводные'!$F$276-'01_Вводные'!$E$276)*4/12,'01_Вводные'!$F$276)</f>
        <v/>
      </c>
      <c r="P101" s="152">
        <f>IF('01_Вводные'!$B$295="Да",'01_Вводные'!$E$277+('01_Вводные'!$F$277-'01_Вводные'!$E$277)*4/12,'01_Вводные'!$F$277)</f>
        <v/>
      </c>
      <c r="Q101" s="152">
        <f>IF('01_Вводные'!$B$295="Да",'01_Вводные'!$E$278+('01_Вводные'!$F$278-'01_Вводные'!$E$278)*4/12,'01_Вводные'!$F$278)</f>
        <v/>
      </c>
      <c r="R101" s="152">
        <f>IF('01_Вводные'!$B$295="Да",'01_Вводные'!$E$279+('01_Вводные'!$F$279-'01_Вводные'!$E$279)*4/12,'01_Вводные'!$F$279)</f>
        <v/>
      </c>
      <c r="S101" s="152">
        <f>IF('01_Вводные'!$B$295="Да",'01_Вводные'!$E$280+('01_Вводные'!$F$280-'01_Вводные'!$E$280)*4/12,'01_Вводные'!$F$280)</f>
        <v/>
      </c>
      <c r="T101" s="152">
        <f>IF('01_Вводные'!$B$295="Да",'01_Вводные'!$E$281+('01_Вводные'!$F$281-'01_Вводные'!$E$281)*4/12,'01_Вводные'!$F$281)</f>
        <v/>
      </c>
      <c r="U101" s="152">
        <f>IF('01_Вводные'!$B$295="Да",'01_Вводные'!$E$282+('01_Вводные'!$F$282-'01_Вводные'!$E$282)*4/12,'01_Вводные'!$F$282)</f>
        <v/>
      </c>
    </row>
    <row r="102">
      <c r="A102" s="150" t="inlineStr">
        <is>
          <t>17</t>
        </is>
      </c>
      <c r="B102" s="152">
        <f>IF('01_Вводные'!$B$295="Да",'01_Вводные'!$E$263+('01_Вводные'!$F$263-'01_Вводные'!$E$263)*5/12,'01_Вводные'!$F$263)</f>
        <v/>
      </c>
      <c r="C102" s="152">
        <f>IF('01_Вводные'!$B$295="Да",'01_Вводные'!$E$264+('01_Вводные'!$F$264-'01_Вводные'!$E$264)*5/12,'01_Вводные'!$F$264)</f>
        <v/>
      </c>
      <c r="D102" s="152">
        <f>IF('01_Вводные'!$B$295="Да",'01_Вводные'!$E$265+('01_Вводные'!$F$265-'01_Вводные'!$E$265)*5/12,'01_Вводные'!$F$265)</f>
        <v/>
      </c>
      <c r="E102" s="152">
        <f>IF('01_Вводные'!$B$295="Да",'01_Вводные'!$E$266+('01_Вводные'!$F$266-'01_Вводные'!$E$266)*5/12,'01_Вводные'!$F$266)</f>
        <v/>
      </c>
      <c r="F102" s="152">
        <f>IF('01_Вводные'!$B$295="Да",'01_Вводные'!$E$267+('01_Вводные'!$F$267-'01_Вводные'!$E$267)*5/12,'01_Вводные'!$F$267)</f>
        <v/>
      </c>
      <c r="G102" s="152">
        <f>IF('01_Вводные'!$B$295="Да",'01_Вводные'!$E$268+('01_Вводные'!$F$268-'01_Вводные'!$E$268)*5/12,'01_Вводные'!$F$268)</f>
        <v/>
      </c>
      <c r="H102" s="152">
        <f>IF('01_Вводные'!$B$295="Да",'01_Вводные'!$E$269+('01_Вводные'!$F$269-'01_Вводные'!$E$269)*5/12,'01_Вводные'!$F$269)</f>
        <v/>
      </c>
      <c r="I102" s="152">
        <f>IF('01_Вводные'!$B$295="Да",'01_Вводные'!$E$270+('01_Вводные'!$F$270-'01_Вводные'!$E$270)*5/12,'01_Вводные'!$F$270)</f>
        <v/>
      </c>
      <c r="J102" s="152">
        <f>IF('01_Вводные'!$B$295="Да",'01_Вводные'!$E$271+('01_Вводные'!$F$271-'01_Вводные'!$E$271)*5/12,'01_Вводные'!$F$271)</f>
        <v/>
      </c>
      <c r="K102" s="152">
        <f>IF('01_Вводные'!$B$295="Да",'01_Вводные'!$E$272+('01_Вводные'!$F$272-'01_Вводные'!$E$272)*5/12,'01_Вводные'!$F$272)</f>
        <v/>
      </c>
      <c r="L102" s="152">
        <f>IF('01_Вводные'!$B$295="Да",'01_Вводные'!$E$273+('01_Вводные'!$F$273-'01_Вводные'!$E$273)*5/12,'01_Вводные'!$F$273)</f>
        <v/>
      </c>
      <c r="M102" s="152">
        <f>IF('01_Вводные'!$B$295="Да",'01_Вводные'!$E$274+('01_Вводные'!$F$274-'01_Вводные'!$E$274)*5/12,'01_Вводные'!$F$274)</f>
        <v/>
      </c>
      <c r="N102" s="152">
        <f>IF('01_Вводные'!$B$295="Да",'01_Вводные'!$E$275+('01_Вводные'!$F$275-'01_Вводные'!$E$275)*5/12,'01_Вводные'!$F$275)</f>
        <v/>
      </c>
      <c r="O102" s="152">
        <f>IF('01_Вводные'!$B$295="Да",'01_Вводные'!$E$276+('01_Вводные'!$F$276-'01_Вводные'!$E$276)*5/12,'01_Вводные'!$F$276)</f>
        <v/>
      </c>
      <c r="P102" s="152">
        <f>IF('01_Вводные'!$B$295="Да",'01_Вводные'!$E$277+('01_Вводные'!$F$277-'01_Вводные'!$E$277)*5/12,'01_Вводные'!$F$277)</f>
        <v/>
      </c>
      <c r="Q102" s="152">
        <f>IF('01_Вводные'!$B$295="Да",'01_Вводные'!$E$278+('01_Вводные'!$F$278-'01_Вводные'!$E$278)*5/12,'01_Вводные'!$F$278)</f>
        <v/>
      </c>
      <c r="R102" s="152">
        <f>IF('01_Вводные'!$B$295="Да",'01_Вводные'!$E$279+('01_Вводные'!$F$279-'01_Вводные'!$E$279)*5/12,'01_Вводные'!$F$279)</f>
        <v/>
      </c>
      <c r="S102" s="152">
        <f>IF('01_Вводные'!$B$295="Да",'01_Вводные'!$E$280+('01_Вводные'!$F$280-'01_Вводные'!$E$280)*5/12,'01_Вводные'!$F$280)</f>
        <v/>
      </c>
      <c r="T102" s="152">
        <f>IF('01_Вводные'!$B$295="Да",'01_Вводные'!$E$281+('01_Вводные'!$F$281-'01_Вводные'!$E$281)*5/12,'01_Вводные'!$F$281)</f>
        <v/>
      </c>
      <c r="U102" s="152">
        <f>IF('01_Вводные'!$B$295="Да",'01_Вводные'!$E$282+('01_Вводные'!$F$282-'01_Вводные'!$E$282)*5/12,'01_Вводные'!$F$282)</f>
        <v/>
      </c>
    </row>
    <row r="103">
      <c r="A103" s="150" t="inlineStr">
        <is>
          <t>18</t>
        </is>
      </c>
      <c r="B103" s="152">
        <f>IF('01_Вводные'!$B$295="Да",'01_Вводные'!$E$263+('01_Вводные'!$F$263-'01_Вводные'!$E$263)*6/12,'01_Вводные'!$F$263)</f>
        <v/>
      </c>
      <c r="C103" s="152">
        <f>IF('01_Вводные'!$B$295="Да",'01_Вводные'!$E$264+('01_Вводные'!$F$264-'01_Вводные'!$E$264)*6/12,'01_Вводные'!$F$264)</f>
        <v/>
      </c>
      <c r="D103" s="152">
        <f>IF('01_Вводные'!$B$295="Да",'01_Вводные'!$E$265+('01_Вводные'!$F$265-'01_Вводные'!$E$265)*6/12,'01_Вводные'!$F$265)</f>
        <v/>
      </c>
      <c r="E103" s="152">
        <f>IF('01_Вводные'!$B$295="Да",'01_Вводные'!$E$266+('01_Вводные'!$F$266-'01_Вводные'!$E$266)*6/12,'01_Вводные'!$F$266)</f>
        <v/>
      </c>
      <c r="F103" s="152">
        <f>IF('01_Вводные'!$B$295="Да",'01_Вводные'!$E$267+('01_Вводные'!$F$267-'01_Вводные'!$E$267)*6/12,'01_Вводные'!$F$267)</f>
        <v/>
      </c>
      <c r="G103" s="152">
        <f>IF('01_Вводные'!$B$295="Да",'01_Вводные'!$E$268+('01_Вводные'!$F$268-'01_Вводные'!$E$268)*6/12,'01_Вводные'!$F$268)</f>
        <v/>
      </c>
      <c r="H103" s="152">
        <f>IF('01_Вводные'!$B$295="Да",'01_Вводные'!$E$269+('01_Вводные'!$F$269-'01_Вводные'!$E$269)*6/12,'01_Вводные'!$F$269)</f>
        <v/>
      </c>
      <c r="I103" s="152">
        <f>IF('01_Вводные'!$B$295="Да",'01_Вводные'!$E$270+('01_Вводные'!$F$270-'01_Вводные'!$E$270)*6/12,'01_Вводные'!$F$270)</f>
        <v/>
      </c>
      <c r="J103" s="152">
        <f>IF('01_Вводные'!$B$295="Да",'01_Вводные'!$E$271+('01_Вводные'!$F$271-'01_Вводные'!$E$271)*6/12,'01_Вводные'!$F$271)</f>
        <v/>
      </c>
      <c r="K103" s="152">
        <f>IF('01_Вводные'!$B$295="Да",'01_Вводные'!$E$272+('01_Вводные'!$F$272-'01_Вводные'!$E$272)*6/12,'01_Вводные'!$F$272)</f>
        <v/>
      </c>
      <c r="L103" s="152">
        <f>IF('01_Вводные'!$B$295="Да",'01_Вводные'!$E$273+('01_Вводные'!$F$273-'01_Вводные'!$E$273)*6/12,'01_Вводные'!$F$273)</f>
        <v/>
      </c>
      <c r="M103" s="152">
        <f>IF('01_Вводные'!$B$295="Да",'01_Вводные'!$E$274+('01_Вводные'!$F$274-'01_Вводные'!$E$274)*6/12,'01_Вводные'!$F$274)</f>
        <v/>
      </c>
      <c r="N103" s="152">
        <f>IF('01_Вводные'!$B$295="Да",'01_Вводные'!$E$275+('01_Вводные'!$F$275-'01_Вводные'!$E$275)*6/12,'01_Вводные'!$F$275)</f>
        <v/>
      </c>
      <c r="O103" s="152">
        <f>IF('01_Вводные'!$B$295="Да",'01_Вводные'!$E$276+('01_Вводные'!$F$276-'01_Вводные'!$E$276)*6/12,'01_Вводные'!$F$276)</f>
        <v/>
      </c>
      <c r="P103" s="152">
        <f>IF('01_Вводные'!$B$295="Да",'01_Вводные'!$E$277+('01_Вводные'!$F$277-'01_Вводные'!$E$277)*6/12,'01_Вводные'!$F$277)</f>
        <v/>
      </c>
      <c r="Q103" s="152">
        <f>IF('01_Вводные'!$B$295="Да",'01_Вводные'!$E$278+('01_Вводные'!$F$278-'01_Вводные'!$E$278)*6/12,'01_Вводные'!$F$278)</f>
        <v/>
      </c>
      <c r="R103" s="152">
        <f>IF('01_Вводные'!$B$295="Да",'01_Вводные'!$E$279+('01_Вводные'!$F$279-'01_Вводные'!$E$279)*6/12,'01_Вводные'!$F$279)</f>
        <v/>
      </c>
      <c r="S103" s="152">
        <f>IF('01_Вводные'!$B$295="Да",'01_Вводные'!$E$280+('01_Вводные'!$F$280-'01_Вводные'!$E$280)*6/12,'01_Вводные'!$F$280)</f>
        <v/>
      </c>
      <c r="T103" s="152">
        <f>IF('01_Вводные'!$B$295="Да",'01_Вводные'!$E$281+('01_Вводные'!$F$281-'01_Вводные'!$E$281)*6/12,'01_Вводные'!$F$281)</f>
        <v/>
      </c>
      <c r="U103" s="152">
        <f>IF('01_Вводные'!$B$295="Да",'01_Вводные'!$E$282+('01_Вводные'!$F$282-'01_Вводные'!$E$282)*6/12,'01_Вводные'!$F$282)</f>
        <v/>
      </c>
    </row>
    <row r="104">
      <c r="A104" s="150" t="inlineStr">
        <is>
          <t>19</t>
        </is>
      </c>
      <c r="B104" s="152">
        <f>IF('01_Вводные'!$B$295="Да",'01_Вводные'!$E$263+('01_Вводные'!$F$263-'01_Вводные'!$E$263)*7/12,'01_Вводные'!$F$263)</f>
        <v/>
      </c>
      <c r="C104" s="152">
        <f>IF('01_Вводные'!$B$295="Да",'01_Вводные'!$E$264+('01_Вводные'!$F$264-'01_Вводные'!$E$264)*7/12,'01_Вводные'!$F$264)</f>
        <v/>
      </c>
      <c r="D104" s="152">
        <f>IF('01_Вводные'!$B$295="Да",'01_Вводные'!$E$265+('01_Вводные'!$F$265-'01_Вводные'!$E$265)*7/12,'01_Вводные'!$F$265)</f>
        <v/>
      </c>
      <c r="E104" s="152">
        <f>IF('01_Вводные'!$B$295="Да",'01_Вводные'!$E$266+('01_Вводные'!$F$266-'01_Вводные'!$E$266)*7/12,'01_Вводные'!$F$266)</f>
        <v/>
      </c>
      <c r="F104" s="152">
        <f>IF('01_Вводные'!$B$295="Да",'01_Вводные'!$E$267+('01_Вводные'!$F$267-'01_Вводные'!$E$267)*7/12,'01_Вводные'!$F$267)</f>
        <v/>
      </c>
      <c r="G104" s="152">
        <f>IF('01_Вводные'!$B$295="Да",'01_Вводные'!$E$268+('01_Вводные'!$F$268-'01_Вводные'!$E$268)*7/12,'01_Вводные'!$F$268)</f>
        <v/>
      </c>
      <c r="H104" s="152">
        <f>IF('01_Вводные'!$B$295="Да",'01_Вводные'!$E$269+('01_Вводные'!$F$269-'01_Вводные'!$E$269)*7/12,'01_Вводные'!$F$269)</f>
        <v/>
      </c>
      <c r="I104" s="152">
        <f>IF('01_Вводные'!$B$295="Да",'01_Вводные'!$E$270+('01_Вводные'!$F$270-'01_Вводные'!$E$270)*7/12,'01_Вводные'!$F$270)</f>
        <v/>
      </c>
      <c r="J104" s="152">
        <f>IF('01_Вводные'!$B$295="Да",'01_Вводные'!$E$271+('01_Вводные'!$F$271-'01_Вводные'!$E$271)*7/12,'01_Вводные'!$F$271)</f>
        <v/>
      </c>
      <c r="K104" s="152">
        <f>IF('01_Вводные'!$B$295="Да",'01_Вводные'!$E$272+('01_Вводные'!$F$272-'01_Вводные'!$E$272)*7/12,'01_Вводные'!$F$272)</f>
        <v/>
      </c>
      <c r="L104" s="152">
        <f>IF('01_Вводные'!$B$295="Да",'01_Вводные'!$E$273+('01_Вводные'!$F$273-'01_Вводные'!$E$273)*7/12,'01_Вводные'!$F$273)</f>
        <v/>
      </c>
      <c r="M104" s="152">
        <f>IF('01_Вводные'!$B$295="Да",'01_Вводные'!$E$274+('01_Вводные'!$F$274-'01_Вводные'!$E$274)*7/12,'01_Вводные'!$F$274)</f>
        <v/>
      </c>
      <c r="N104" s="152">
        <f>IF('01_Вводные'!$B$295="Да",'01_Вводные'!$E$275+('01_Вводные'!$F$275-'01_Вводные'!$E$275)*7/12,'01_Вводные'!$F$275)</f>
        <v/>
      </c>
      <c r="O104" s="152">
        <f>IF('01_Вводные'!$B$295="Да",'01_Вводные'!$E$276+('01_Вводные'!$F$276-'01_Вводные'!$E$276)*7/12,'01_Вводные'!$F$276)</f>
        <v/>
      </c>
      <c r="P104" s="152">
        <f>IF('01_Вводные'!$B$295="Да",'01_Вводные'!$E$277+('01_Вводные'!$F$277-'01_Вводные'!$E$277)*7/12,'01_Вводные'!$F$277)</f>
        <v/>
      </c>
      <c r="Q104" s="152">
        <f>IF('01_Вводные'!$B$295="Да",'01_Вводные'!$E$278+('01_Вводные'!$F$278-'01_Вводные'!$E$278)*7/12,'01_Вводные'!$F$278)</f>
        <v/>
      </c>
      <c r="R104" s="152">
        <f>IF('01_Вводные'!$B$295="Да",'01_Вводные'!$E$279+('01_Вводные'!$F$279-'01_Вводные'!$E$279)*7/12,'01_Вводные'!$F$279)</f>
        <v/>
      </c>
      <c r="S104" s="152">
        <f>IF('01_Вводные'!$B$295="Да",'01_Вводные'!$E$280+('01_Вводные'!$F$280-'01_Вводные'!$E$280)*7/12,'01_Вводные'!$F$280)</f>
        <v/>
      </c>
      <c r="T104" s="152">
        <f>IF('01_Вводные'!$B$295="Да",'01_Вводные'!$E$281+('01_Вводные'!$F$281-'01_Вводные'!$E$281)*7/12,'01_Вводные'!$F$281)</f>
        <v/>
      </c>
      <c r="U104" s="152">
        <f>IF('01_Вводные'!$B$295="Да",'01_Вводные'!$E$282+('01_Вводные'!$F$282-'01_Вводные'!$E$282)*7/12,'01_Вводные'!$F$282)</f>
        <v/>
      </c>
    </row>
    <row r="105">
      <c r="A105" s="150" t="inlineStr">
        <is>
          <t>20</t>
        </is>
      </c>
      <c r="B105" s="152">
        <f>IF('01_Вводные'!$B$295="Да",'01_Вводные'!$E$263+('01_Вводные'!$F$263-'01_Вводные'!$E$263)*8/12,'01_Вводные'!$F$263)</f>
        <v/>
      </c>
      <c r="C105" s="152">
        <f>IF('01_Вводные'!$B$295="Да",'01_Вводные'!$E$264+('01_Вводные'!$F$264-'01_Вводные'!$E$264)*8/12,'01_Вводные'!$F$264)</f>
        <v/>
      </c>
      <c r="D105" s="152">
        <f>IF('01_Вводные'!$B$295="Да",'01_Вводные'!$E$265+('01_Вводные'!$F$265-'01_Вводные'!$E$265)*8/12,'01_Вводные'!$F$265)</f>
        <v/>
      </c>
      <c r="E105" s="152">
        <f>IF('01_Вводные'!$B$295="Да",'01_Вводные'!$E$266+('01_Вводные'!$F$266-'01_Вводные'!$E$266)*8/12,'01_Вводные'!$F$266)</f>
        <v/>
      </c>
      <c r="F105" s="152">
        <f>IF('01_Вводные'!$B$295="Да",'01_Вводные'!$E$267+('01_Вводные'!$F$267-'01_Вводные'!$E$267)*8/12,'01_Вводные'!$F$267)</f>
        <v/>
      </c>
      <c r="G105" s="152">
        <f>IF('01_Вводные'!$B$295="Да",'01_Вводные'!$E$268+('01_Вводные'!$F$268-'01_Вводные'!$E$268)*8/12,'01_Вводные'!$F$268)</f>
        <v/>
      </c>
      <c r="H105" s="152">
        <f>IF('01_Вводные'!$B$295="Да",'01_Вводные'!$E$269+('01_Вводные'!$F$269-'01_Вводные'!$E$269)*8/12,'01_Вводные'!$F$269)</f>
        <v/>
      </c>
      <c r="I105" s="152">
        <f>IF('01_Вводные'!$B$295="Да",'01_Вводные'!$E$270+('01_Вводные'!$F$270-'01_Вводные'!$E$270)*8/12,'01_Вводные'!$F$270)</f>
        <v/>
      </c>
      <c r="J105" s="152">
        <f>IF('01_Вводные'!$B$295="Да",'01_Вводные'!$E$271+('01_Вводные'!$F$271-'01_Вводные'!$E$271)*8/12,'01_Вводные'!$F$271)</f>
        <v/>
      </c>
      <c r="K105" s="152">
        <f>IF('01_Вводные'!$B$295="Да",'01_Вводные'!$E$272+('01_Вводные'!$F$272-'01_Вводные'!$E$272)*8/12,'01_Вводные'!$F$272)</f>
        <v/>
      </c>
      <c r="L105" s="152">
        <f>IF('01_Вводные'!$B$295="Да",'01_Вводные'!$E$273+('01_Вводные'!$F$273-'01_Вводные'!$E$273)*8/12,'01_Вводные'!$F$273)</f>
        <v/>
      </c>
      <c r="M105" s="152">
        <f>IF('01_Вводные'!$B$295="Да",'01_Вводные'!$E$274+('01_Вводные'!$F$274-'01_Вводные'!$E$274)*8/12,'01_Вводные'!$F$274)</f>
        <v/>
      </c>
      <c r="N105" s="152">
        <f>IF('01_Вводные'!$B$295="Да",'01_Вводные'!$E$275+('01_Вводные'!$F$275-'01_Вводные'!$E$275)*8/12,'01_Вводные'!$F$275)</f>
        <v/>
      </c>
      <c r="O105" s="152">
        <f>IF('01_Вводные'!$B$295="Да",'01_Вводные'!$E$276+('01_Вводные'!$F$276-'01_Вводные'!$E$276)*8/12,'01_Вводные'!$F$276)</f>
        <v/>
      </c>
      <c r="P105" s="152">
        <f>IF('01_Вводные'!$B$295="Да",'01_Вводные'!$E$277+('01_Вводные'!$F$277-'01_Вводные'!$E$277)*8/12,'01_Вводные'!$F$277)</f>
        <v/>
      </c>
      <c r="Q105" s="152">
        <f>IF('01_Вводные'!$B$295="Да",'01_Вводные'!$E$278+('01_Вводные'!$F$278-'01_Вводные'!$E$278)*8/12,'01_Вводные'!$F$278)</f>
        <v/>
      </c>
      <c r="R105" s="152">
        <f>IF('01_Вводные'!$B$295="Да",'01_Вводные'!$E$279+('01_Вводные'!$F$279-'01_Вводные'!$E$279)*8/12,'01_Вводные'!$F$279)</f>
        <v/>
      </c>
      <c r="S105" s="152">
        <f>IF('01_Вводные'!$B$295="Да",'01_Вводные'!$E$280+('01_Вводные'!$F$280-'01_Вводные'!$E$280)*8/12,'01_Вводные'!$F$280)</f>
        <v/>
      </c>
      <c r="T105" s="152">
        <f>IF('01_Вводные'!$B$295="Да",'01_Вводные'!$E$281+('01_Вводные'!$F$281-'01_Вводные'!$E$281)*8/12,'01_Вводные'!$F$281)</f>
        <v/>
      </c>
      <c r="U105" s="152">
        <f>IF('01_Вводные'!$B$295="Да",'01_Вводные'!$E$282+('01_Вводные'!$F$282-'01_Вводные'!$E$282)*8/12,'01_Вводные'!$F$282)</f>
        <v/>
      </c>
    </row>
    <row r="106">
      <c r="A106" s="150" t="inlineStr">
        <is>
          <t>21</t>
        </is>
      </c>
      <c r="B106" s="152">
        <f>IF('01_Вводные'!$B$295="Да",'01_Вводные'!$E$263+('01_Вводные'!$F$263-'01_Вводные'!$E$263)*9/12,'01_Вводные'!$F$263)</f>
        <v/>
      </c>
      <c r="C106" s="152">
        <f>IF('01_Вводные'!$B$295="Да",'01_Вводные'!$E$264+('01_Вводные'!$F$264-'01_Вводные'!$E$264)*9/12,'01_Вводные'!$F$264)</f>
        <v/>
      </c>
      <c r="D106" s="152">
        <f>IF('01_Вводные'!$B$295="Да",'01_Вводные'!$E$265+('01_Вводные'!$F$265-'01_Вводные'!$E$265)*9/12,'01_Вводные'!$F$265)</f>
        <v/>
      </c>
      <c r="E106" s="152">
        <f>IF('01_Вводные'!$B$295="Да",'01_Вводные'!$E$266+('01_Вводные'!$F$266-'01_Вводные'!$E$266)*9/12,'01_Вводные'!$F$266)</f>
        <v/>
      </c>
      <c r="F106" s="152">
        <f>IF('01_Вводные'!$B$295="Да",'01_Вводные'!$E$267+('01_Вводные'!$F$267-'01_Вводные'!$E$267)*9/12,'01_Вводные'!$F$267)</f>
        <v/>
      </c>
      <c r="G106" s="152">
        <f>IF('01_Вводные'!$B$295="Да",'01_Вводные'!$E$268+('01_Вводные'!$F$268-'01_Вводные'!$E$268)*9/12,'01_Вводные'!$F$268)</f>
        <v/>
      </c>
      <c r="H106" s="152">
        <f>IF('01_Вводные'!$B$295="Да",'01_Вводные'!$E$269+('01_Вводные'!$F$269-'01_Вводные'!$E$269)*9/12,'01_Вводные'!$F$269)</f>
        <v/>
      </c>
      <c r="I106" s="152">
        <f>IF('01_Вводные'!$B$295="Да",'01_Вводные'!$E$270+('01_Вводные'!$F$270-'01_Вводные'!$E$270)*9/12,'01_Вводные'!$F$270)</f>
        <v/>
      </c>
      <c r="J106" s="152">
        <f>IF('01_Вводные'!$B$295="Да",'01_Вводные'!$E$271+('01_Вводные'!$F$271-'01_Вводные'!$E$271)*9/12,'01_Вводные'!$F$271)</f>
        <v/>
      </c>
      <c r="K106" s="152">
        <f>IF('01_Вводные'!$B$295="Да",'01_Вводные'!$E$272+('01_Вводные'!$F$272-'01_Вводные'!$E$272)*9/12,'01_Вводные'!$F$272)</f>
        <v/>
      </c>
      <c r="L106" s="152">
        <f>IF('01_Вводные'!$B$295="Да",'01_Вводные'!$E$273+('01_Вводные'!$F$273-'01_Вводные'!$E$273)*9/12,'01_Вводные'!$F$273)</f>
        <v/>
      </c>
      <c r="M106" s="152">
        <f>IF('01_Вводные'!$B$295="Да",'01_Вводные'!$E$274+('01_Вводные'!$F$274-'01_Вводные'!$E$274)*9/12,'01_Вводные'!$F$274)</f>
        <v/>
      </c>
      <c r="N106" s="152">
        <f>IF('01_Вводные'!$B$295="Да",'01_Вводные'!$E$275+('01_Вводные'!$F$275-'01_Вводные'!$E$275)*9/12,'01_Вводные'!$F$275)</f>
        <v/>
      </c>
      <c r="O106" s="152">
        <f>IF('01_Вводные'!$B$295="Да",'01_Вводные'!$E$276+('01_Вводные'!$F$276-'01_Вводные'!$E$276)*9/12,'01_Вводные'!$F$276)</f>
        <v/>
      </c>
      <c r="P106" s="152">
        <f>IF('01_Вводные'!$B$295="Да",'01_Вводные'!$E$277+('01_Вводные'!$F$277-'01_Вводные'!$E$277)*9/12,'01_Вводные'!$F$277)</f>
        <v/>
      </c>
      <c r="Q106" s="152">
        <f>IF('01_Вводные'!$B$295="Да",'01_Вводные'!$E$278+('01_Вводные'!$F$278-'01_Вводные'!$E$278)*9/12,'01_Вводные'!$F$278)</f>
        <v/>
      </c>
      <c r="R106" s="152">
        <f>IF('01_Вводные'!$B$295="Да",'01_Вводные'!$E$279+('01_Вводные'!$F$279-'01_Вводные'!$E$279)*9/12,'01_Вводные'!$F$279)</f>
        <v/>
      </c>
      <c r="S106" s="152">
        <f>IF('01_Вводные'!$B$295="Да",'01_Вводные'!$E$280+('01_Вводные'!$F$280-'01_Вводные'!$E$280)*9/12,'01_Вводные'!$F$280)</f>
        <v/>
      </c>
      <c r="T106" s="152">
        <f>IF('01_Вводные'!$B$295="Да",'01_Вводные'!$E$281+('01_Вводные'!$F$281-'01_Вводные'!$E$281)*9/12,'01_Вводные'!$F$281)</f>
        <v/>
      </c>
      <c r="U106" s="152">
        <f>IF('01_Вводные'!$B$295="Да",'01_Вводные'!$E$282+('01_Вводные'!$F$282-'01_Вводные'!$E$282)*9/12,'01_Вводные'!$F$282)</f>
        <v/>
      </c>
    </row>
    <row r="107">
      <c r="A107" s="150" t="inlineStr">
        <is>
          <t>22</t>
        </is>
      </c>
      <c r="B107" s="152">
        <f>IF('01_Вводные'!$B$295="Да",'01_Вводные'!$E$263+('01_Вводные'!$F$263-'01_Вводные'!$E$263)*10/12,'01_Вводные'!$F$263)</f>
        <v/>
      </c>
      <c r="C107" s="152">
        <f>IF('01_Вводные'!$B$295="Да",'01_Вводные'!$E$264+('01_Вводные'!$F$264-'01_Вводные'!$E$264)*10/12,'01_Вводные'!$F$264)</f>
        <v/>
      </c>
      <c r="D107" s="152">
        <f>IF('01_Вводные'!$B$295="Да",'01_Вводные'!$E$265+('01_Вводные'!$F$265-'01_Вводные'!$E$265)*10/12,'01_Вводные'!$F$265)</f>
        <v/>
      </c>
      <c r="E107" s="152">
        <f>IF('01_Вводные'!$B$295="Да",'01_Вводные'!$E$266+('01_Вводные'!$F$266-'01_Вводные'!$E$266)*10/12,'01_Вводные'!$F$266)</f>
        <v/>
      </c>
      <c r="F107" s="152">
        <f>IF('01_Вводные'!$B$295="Да",'01_Вводные'!$E$267+('01_Вводные'!$F$267-'01_Вводные'!$E$267)*10/12,'01_Вводные'!$F$267)</f>
        <v/>
      </c>
      <c r="G107" s="152">
        <f>IF('01_Вводные'!$B$295="Да",'01_Вводные'!$E$268+('01_Вводные'!$F$268-'01_Вводные'!$E$268)*10/12,'01_Вводные'!$F$268)</f>
        <v/>
      </c>
      <c r="H107" s="152">
        <f>IF('01_Вводные'!$B$295="Да",'01_Вводные'!$E$269+('01_Вводные'!$F$269-'01_Вводные'!$E$269)*10/12,'01_Вводные'!$F$269)</f>
        <v/>
      </c>
      <c r="I107" s="152">
        <f>IF('01_Вводные'!$B$295="Да",'01_Вводные'!$E$270+('01_Вводные'!$F$270-'01_Вводные'!$E$270)*10/12,'01_Вводные'!$F$270)</f>
        <v/>
      </c>
      <c r="J107" s="152">
        <f>IF('01_Вводные'!$B$295="Да",'01_Вводные'!$E$271+('01_Вводные'!$F$271-'01_Вводные'!$E$271)*10/12,'01_Вводные'!$F$271)</f>
        <v/>
      </c>
      <c r="K107" s="152">
        <f>IF('01_Вводные'!$B$295="Да",'01_Вводные'!$E$272+('01_Вводные'!$F$272-'01_Вводные'!$E$272)*10/12,'01_Вводные'!$F$272)</f>
        <v/>
      </c>
      <c r="L107" s="152">
        <f>IF('01_Вводные'!$B$295="Да",'01_Вводные'!$E$273+('01_Вводные'!$F$273-'01_Вводные'!$E$273)*10/12,'01_Вводные'!$F$273)</f>
        <v/>
      </c>
      <c r="M107" s="152">
        <f>IF('01_Вводные'!$B$295="Да",'01_Вводные'!$E$274+('01_Вводные'!$F$274-'01_Вводные'!$E$274)*10/12,'01_Вводные'!$F$274)</f>
        <v/>
      </c>
      <c r="N107" s="152">
        <f>IF('01_Вводные'!$B$295="Да",'01_Вводные'!$E$275+('01_Вводные'!$F$275-'01_Вводные'!$E$275)*10/12,'01_Вводные'!$F$275)</f>
        <v/>
      </c>
      <c r="O107" s="152">
        <f>IF('01_Вводные'!$B$295="Да",'01_Вводные'!$E$276+('01_Вводные'!$F$276-'01_Вводные'!$E$276)*10/12,'01_Вводные'!$F$276)</f>
        <v/>
      </c>
      <c r="P107" s="152">
        <f>IF('01_Вводные'!$B$295="Да",'01_Вводные'!$E$277+('01_Вводные'!$F$277-'01_Вводные'!$E$277)*10/12,'01_Вводные'!$F$277)</f>
        <v/>
      </c>
      <c r="Q107" s="152">
        <f>IF('01_Вводные'!$B$295="Да",'01_Вводные'!$E$278+('01_Вводные'!$F$278-'01_Вводные'!$E$278)*10/12,'01_Вводные'!$F$278)</f>
        <v/>
      </c>
      <c r="R107" s="152">
        <f>IF('01_Вводные'!$B$295="Да",'01_Вводные'!$E$279+('01_Вводные'!$F$279-'01_Вводные'!$E$279)*10/12,'01_Вводные'!$F$279)</f>
        <v/>
      </c>
      <c r="S107" s="152">
        <f>IF('01_Вводные'!$B$295="Да",'01_Вводные'!$E$280+('01_Вводные'!$F$280-'01_Вводные'!$E$280)*10/12,'01_Вводные'!$F$280)</f>
        <v/>
      </c>
      <c r="T107" s="152">
        <f>IF('01_Вводные'!$B$295="Да",'01_Вводные'!$E$281+('01_Вводные'!$F$281-'01_Вводные'!$E$281)*10/12,'01_Вводные'!$F$281)</f>
        <v/>
      </c>
      <c r="U107" s="152">
        <f>IF('01_Вводные'!$B$295="Да",'01_Вводные'!$E$282+('01_Вводные'!$F$282-'01_Вводные'!$E$282)*10/12,'01_Вводные'!$F$282)</f>
        <v/>
      </c>
    </row>
    <row r="108">
      <c r="A108" s="150" t="inlineStr">
        <is>
          <t>23</t>
        </is>
      </c>
      <c r="B108" s="152">
        <f>IF('01_Вводные'!$B$295="Да",'01_Вводные'!$E$263+('01_Вводные'!$F$263-'01_Вводные'!$E$263)*11/12,'01_Вводные'!$F$263)</f>
        <v/>
      </c>
      <c r="C108" s="152">
        <f>IF('01_Вводные'!$B$295="Да",'01_Вводные'!$E$264+('01_Вводные'!$F$264-'01_Вводные'!$E$264)*11/12,'01_Вводные'!$F$264)</f>
        <v/>
      </c>
      <c r="D108" s="152">
        <f>IF('01_Вводные'!$B$295="Да",'01_Вводные'!$E$265+('01_Вводные'!$F$265-'01_Вводные'!$E$265)*11/12,'01_Вводные'!$F$265)</f>
        <v/>
      </c>
      <c r="E108" s="152">
        <f>IF('01_Вводные'!$B$295="Да",'01_Вводные'!$E$266+('01_Вводные'!$F$266-'01_Вводные'!$E$266)*11/12,'01_Вводные'!$F$266)</f>
        <v/>
      </c>
      <c r="F108" s="152">
        <f>IF('01_Вводные'!$B$295="Да",'01_Вводные'!$E$267+('01_Вводные'!$F$267-'01_Вводные'!$E$267)*11/12,'01_Вводные'!$F$267)</f>
        <v/>
      </c>
      <c r="G108" s="152">
        <f>IF('01_Вводные'!$B$295="Да",'01_Вводные'!$E$268+('01_Вводные'!$F$268-'01_Вводные'!$E$268)*11/12,'01_Вводные'!$F$268)</f>
        <v/>
      </c>
      <c r="H108" s="152">
        <f>IF('01_Вводные'!$B$295="Да",'01_Вводные'!$E$269+('01_Вводные'!$F$269-'01_Вводные'!$E$269)*11/12,'01_Вводные'!$F$269)</f>
        <v/>
      </c>
      <c r="I108" s="152">
        <f>IF('01_Вводные'!$B$295="Да",'01_Вводные'!$E$270+('01_Вводные'!$F$270-'01_Вводные'!$E$270)*11/12,'01_Вводные'!$F$270)</f>
        <v/>
      </c>
      <c r="J108" s="152">
        <f>IF('01_Вводные'!$B$295="Да",'01_Вводные'!$E$271+('01_Вводные'!$F$271-'01_Вводные'!$E$271)*11/12,'01_Вводные'!$F$271)</f>
        <v/>
      </c>
      <c r="K108" s="152">
        <f>IF('01_Вводные'!$B$295="Да",'01_Вводные'!$E$272+('01_Вводные'!$F$272-'01_Вводные'!$E$272)*11/12,'01_Вводные'!$F$272)</f>
        <v/>
      </c>
      <c r="L108" s="152">
        <f>IF('01_Вводные'!$B$295="Да",'01_Вводные'!$E$273+('01_Вводные'!$F$273-'01_Вводные'!$E$273)*11/12,'01_Вводные'!$F$273)</f>
        <v/>
      </c>
      <c r="M108" s="152">
        <f>IF('01_Вводные'!$B$295="Да",'01_Вводные'!$E$274+('01_Вводные'!$F$274-'01_Вводные'!$E$274)*11/12,'01_Вводные'!$F$274)</f>
        <v/>
      </c>
      <c r="N108" s="152">
        <f>IF('01_Вводные'!$B$295="Да",'01_Вводные'!$E$275+('01_Вводные'!$F$275-'01_Вводные'!$E$275)*11/12,'01_Вводные'!$F$275)</f>
        <v/>
      </c>
      <c r="O108" s="152">
        <f>IF('01_Вводные'!$B$295="Да",'01_Вводные'!$E$276+('01_Вводные'!$F$276-'01_Вводные'!$E$276)*11/12,'01_Вводные'!$F$276)</f>
        <v/>
      </c>
      <c r="P108" s="152">
        <f>IF('01_Вводные'!$B$295="Да",'01_Вводные'!$E$277+('01_Вводные'!$F$277-'01_Вводные'!$E$277)*11/12,'01_Вводные'!$F$277)</f>
        <v/>
      </c>
      <c r="Q108" s="152">
        <f>IF('01_Вводные'!$B$295="Да",'01_Вводные'!$E$278+('01_Вводные'!$F$278-'01_Вводные'!$E$278)*11/12,'01_Вводные'!$F$278)</f>
        <v/>
      </c>
      <c r="R108" s="152">
        <f>IF('01_Вводные'!$B$295="Да",'01_Вводные'!$E$279+('01_Вводные'!$F$279-'01_Вводные'!$E$279)*11/12,'01_Вводные'!$F$279)</f>
        <v/>
      </c>
      <c r="S108" s="152">
        <f>IF('01_Вводные'!$B$295="Да",'01_Вводные'!$E$280+('01_Вводные'!$F$280-'01_Вводные'!$E$280)*11/12,'01_Вводные'!$F$280)</f>
        <v/>
      </c>
      <c r="T108" s="152">
        <f>IF('01_Вводные'!$B$295="Да",'01_Вводные'!$E$281+('01_Вводные'!$F$281-'01_Вводные'!$E$281)*11/12,'01_Вводные'!$F$281)</f>
        <v/>
      </c>
      <c r="U108" s="152">
        <f>IF('01_Вводные'!$B$295="Да",'01_Вводные'!$E$282+('01_Вводные'!$F$282-'01_Вводные'!$E$282)*11/12,'01_Вводные'!$F$282)</f>
        <v/>
      </c>
    </row>
    <row r="109">
      <c r="A109" s="150" t="inlineStr">
        <is>
          <t>24</t>
        </is>
      </c>
      <c r="B109" s="152">
        <f>IF('01_Вводные'!$B$295="Да",'01_Вводные'!$E$263+('01_Вводные'!$F$263-'01_Вводные'!$E$263)*12/12,'01_Вводные'!$F$263)</f>
        <v/>
      </c>
      <c r="C109" s="152">
        <f>IF('01_Вводные'!$B$295="Да",'01_Вводные'!$E$264+('01_Вводные'!$F$264-'01_Вводные'!$E$264)*12/12,'01_Вводные'!$F$264)</f>
        <v/>
      </c>
      <c r="D109" s="152">
        <f>IF('01_Вводные'!$B$295="Да",'01_Вводные'!$E$265+('01_Вводные'!$F$265-'01_Вводные'!$E$265)*12/12,'01_Вводные'!$F$265)</f>
        <v/>
      </c>
      <c r="E109" s="152">
        <f>IF('01_Вводные'!$B$295="Да",'01_Вводные'!$E$266+('01_Вводные'!$F$266-'01_Вводные'!$E$266)*12/12,'01_Вводные'!$F$266)</f>
        <v/>
      </c>
      <c r="F109" s="152">
        <f>IF('01_Вводные'!$B$295="Да",'01_Вводные'!$E$267+('01_Вводные'!$F$267-'01_Вводные'!$E$267)*12/12,'01_Вводные'!$F$267)</f>
        <v/>
      </c>
      <c r="G109" s="152">
        <f>IF('01_Вводные'!$B$295="Да",'01_Вводные'!$E$268+('01_Вводные'!$F$268-'01_Вводные'!$E$268)*12/12,'01_Вводные'!$F$268)</f>
        <v/>
      </c>
      <c r="H109" s="152">
        <f>IF('01_Вводные'!$B$295="Да",'01_Вводные'!$E$269+('01_Вводные'!$F$269-'01_Вводные'!$E$269)*12/12,'01_Вводные'!$F$269)</f>
        <v/>
      </c>
      <c r="I109" s="152">
        <f>IF('01_Вводные'!$B$295="Да",'01_Вводные'!$E$270+('01_Вводные'!$F$270-'01_Вводные'!$E$270)*12/12,'01_Вводные'!$F$270)</f>
        <v/>
      </c>
      <c r="J109" s="152">
        <f>IF('01_Вводные'!$B$295="Да",'01_Вводные'!$E$271+('01_Вводные'!$F$271-'01_Вводные'!$E$271)*12/12,'01_Вводные'!$F$271)</f>
        <v/>
      </c>
      <c r="K109" s="152">
        <f>IF('01_Вводные'!$B$295="Да",'01_Вводные'!$E$272+('01_Вводные'!$F$272-'01_Вводные'!$E$272)*12/12,'01_Вводные'!$F$272)</f>
        <v/>
      </c>
      <c r="L109" s="152">
        <f>IF('01_Вводные'!$B$295="Да",'01_Вводные'!$E$273+('01_Вводные'!$F$273-'01_Вводные'!$E$273)*12/12,'01_Вводные'!$F$273)</f>
        <v/>
      </c>
      <c r="M109" s="152">
        <f>IF('01_Вводные'!$B$295="Да",'01_Вводные'!$E$274+('01_Вводные'!$F$274-'01_Вводные'!$E$274)*12/12,'01_Вводные'!$F$274)</f>
        <v/>
      </c>
      <c r="N109" s="152">
        <f>IF('01_Вводные'!$B$295="Да",'01_Вводные'!$E$275+('01_Вводные'!$F$275-'01_Вводные'!$E$275)*12/12,'01_Вводные'!$F$275)</f>
        <v/>
      </c>
      <c r="O109" s="152">
        <f>IF('01_Вводные'!$B$295="Да",'01_Вводные'!$E$276+('01_Вводные'!$F$276-'01_Вводные'!$E$276)*12/12,'01_Вводные'!$F$276)</f>
        <v/>
      </c>
      <c r="P109" s="152">
        <f>IF('01_Вводные'!$B$295="Да",'01_Вводные'!$E$277+('01_Вводные'!$F$277-'01_Вводные'!$E$277)*12/12,'01_Вводные'!$F$277)</f>
        <v/>
      </c>
      <c r="Q109" s="152">
        <f>IF('01_Вводные'!$B$295="Да",'01_Вводные'!$E$278+('01_Вводные'!$F$278-'01_Вводные'!$E$278)*12/12,'01_Вводные'!$F$278)</f>
        <v/>
      </c>
      <c r="R109" s="152">
        <f>IF('01_Вводные'!$B$295="Да",'01_Вводные'!$E$279+('01_Вводные'!$F$279-'01_Вводные'!$E$279)*12/12,'01_Вводные'!$F$279)</f>
        <v/>
      </c>
      <c r="S109" s="152">
        <f>IF('01_Вводные'!$B$295="Да",'01_Вводные'!$E$280+('01_Вводные'!$F$280-'01_Вводные'!$E$280)*12/12,'01_Вводные'!$F$280)</f>
        <v/>
      </c>
      <c r="T109" s="152">
        <f>IF('01_Вводные'!$B$295="Да",'01_Вводные'!$E$281+('01_Вводные'!$F$281-'01_Вводные'!$E$281)*12/12,'01_Вводные'!$F$281)</f>
        <v/>
      </c>
      <c r="U109" s="152">
        <f>IF('01_Вводные'!$B$295="Да",'01_Вводные'!$E$282+('01_Вводные'!$F$282-'01_Вводные'!$E$282)*12/12,'01_Вводные'!$F$282)</f>
        <v/>
      </c>
    </row>
    <row r="110">
      <c r="A110" s="150" t="inlineStr">
        <is>
          <t>25+</t>
        </is>
      </c>
      <c r="B110" s="152">
        <f>'01_Вводные'!$G$263</f>
        <v/>
      </c>
      <c r="C110" s="152">
        <f>'01_Вводные'!$G$264</f>
        <v/>
      </c>
      <c r="D110" s="152">
        <f>'01_Вводные'!$G$265</f>
        <v/>
      </c>
      <c r="E110" s="152">
        <f>'01_Вводные'!$G$266</f>
        <v/>
      </c>
      <c r="F110" s="152">
        <f>'01_Вводные'!$G$267</f>
        <v/>
      </c>
      <c r="G110" s="152">
        <f>'01_Вводные'!$G$268</f>
        <v/>
      </c>
      <c r="H110" s="152">
        <f>'01_Вводные'!$G$269</f>
        <v/>
      </c>
      <c r="I110" s="152">
        <f>'01_Вводные'!$G$270</f>
        <v/>
      </c>
      <c r="J110" s="152">
        <f>'01_Вводные'!$G$271</f>
        <v/>
      </c>
      <c r="K110" s="152">
        <f>'01_Вводные'!$G$272</f>
        <v/>
      </c>
      <c r="L110" s="152">
        <f>'01_Вводные'!$G$273</f>
        <v/>
      </c>
      <c r="M110" s="152">
        <f>'01_Вводные'!$G$274</f>
        <v/>
      </c>
      <c r="N110" s="152">
        <f>'01_Вводные'!$G$275</f>
        <v/>
      </c>
      <c r="O110" s="152">
        <f>'01_Вводные'!$G$276</f>
        <v/>
      </c>
      <c r="P110" s="152">
        <f>'01_Вводные'!$G$277</f>
        <v/>
      </c>
      <c r="Q110" s="152">
        <f>'01_Вводные'!$G$278</f>
        <v/>
      </c>
      <c r="R110" s="152">
        <f>'01_Вводные'!$G$279</f>
        <v/>
      </c>
      <c r="S110" s="152">
        <f>'01_Вводные'!$G$280</f>
        <v/>
      </c>
      <c r="T110" s="152">
        <f>'01_Вводные'!$G$281</f>
        <v/>
      </c>
      <c r="U110" s="152">
        <f>'01_Вводные'!$G$282</f>
        <v/>
      </c>
    </row>
    <row r="114">
      <c r="B114" s="154">
        <f>IF(B24&gt;0,B54/B24,1E99)</f>
        <v/>
      </c>
      <c r="C114" s="154">
        <f>IF(C24&gt;0,C54/C24,1E99)</f>
        <v/>
      </c>
      <c r="D114" s="154">
        <f>IF(D24&gt;0,D54/D24,1E99)</f>
        <v/>
      </c>
      <c r="E114" s="154">
        <f>IF(E24&gt;0,E54/E24,1E99)</f>
        <v/>
      </c>
      <c r="F114" s="154">
        <f>IF(F24&gt;0,F54/F24,1E99)</f>
        <v/>
      </c>
      <c r="G114" s="154">
        <f>IF(G24&gt;0,G54/G24,1E99)</f>
        <v/>
      </c>
      <c r="H114" s="154">
        <f>IF(H24&gt;0,H54/H24,1E99)</f>
        <v/>
      </c>
      <c r="I114" s="154">
        <f>IF(I24&gt;0,I54/I24,1E99)</f>
        <v/>
      </c>
      <c r="J114" s="154">
        <f>IF(J24&gt;0,J54/J24,1E99)</f>
        <v/>
      </c>
      <c r="K114" s="154">
        <f>IF(K24&gt;0,K54/K24,1E99)</f>
        <v/>
      </c>
      <c r="L114" s="154">
        <f>IF(L24&gt;0,L54/L24,1E99)</f>
        <v/>
      </c>
      <c r="M114" s="154">
        <f>IF(M24&gt;0,M54/M24,1E99)</f>
        <v/>
      </c>
      <c r="N114" s="154">
        <f>IF(N24&gt;0,N54/N24,1E99)</f>
        <v/>
      </c>
      <c r="O114" s="154">
        <f>IF(O24&gt;0,O54/O24,1E99)</f>
        <v/>
      </c>
      <c r="P114" s="154">
        <f>IF(P24&gt;0,P54/P24,1E99)</f>
        <v/>
      </c>
      <c r="Q114" s="154">
        <f>IF(Q24&gt;0,Q54/Q24,1E99)</f>
        <v/>
      </c>
      <c r="R114" s="154">
        <f>IF(R24&gt;0,R54/R24,1E99)</f>
        <v/>
      </c>
      <c r="S114" s="154">
        <f>IF(S24&gt;0,S54/S24,1E99)</f>
        <v/>
      </c>
      <c r="T114" s="154">
        <f>IF(T24&gt;0,T54/T24,1E99)</f>
        <v/>
      </c>
      <c r="U114" s="154">
        <f>IF(U24&gt;0,U54/U24,1E99)</f>
        <v/>
      </c>
    </row>
    <row r="115">
      <c r="B115" s="154">
        <f>IF(B25&gt;0,B55/B25,1E99)</f>
        <v/>
      </c>
      <c r="C115" s="154">
        <f>IF(C25&gt;0,C55/C25,1E99)</f>
        <v/>
      </c>
      <c r="D115" s="154">
        <f>IF(D25&gt;0,D55/D25,1E99)</f>
        <v/>
      </c>
      <c r="E115" s="154">
        <f>IF(E25&gt;0,E55/E25,1E99)</f>
        <v/>
      </c>
      <c r="F115" s="154">
        <f>IF(F25&gt;0,F55/F25,1E99)</f>
        <v/>
      </c>
      <c r="G115" s="154">
        <f>IF(G25&gt;0,G55/G25,1E99)</f>
        <v/>
      </c>
      <c r="H115" s="154">
        <f>IF(H25&gt;0,H55/H25,1E99)</f>
        <v/>
      </c>
      <c r="I115" s="154">
        <f>IF(I25&gt;0,I55/I25,1E99)</f>
        <v/>
      </c>
      <c r="J115" s="154">
        <f>IF(J25&gt;0,J55/J25,1E99)</f>
        <v/>
      </c>
      <c r="K115" s="154">
        <f>IF(K25&gt;0,K55/K25,1E99)</f>
        <v/>
      </c>
      <c r="L115" s="154">
        <f>IF(L25&gt;0,L55/L25,1E99)</f>
        <v/>
      </c>
      <c r="M115" s="154">
        <f>IF(M25&gt;0,M55/M25,1E99)</f>
        <v/>
      </c>
      <c r="N115" s="154">
        <f>IF(N25&gt;0,N55/N25,1E99)</f>
        <v/>
      </c>
      <c r="O115" s="154">
        <f>IF(O25&gt;0,O55/O25,1E99)</f>
        <v/>
      </c>
      <c r="P115" s="154">
        <f>IF(P25&gt;0,P55/P25,1E99)</f>
        <v/>
      </c>
      <c r="Q115" s="154">
        <f>IF(Q25&gt;0,Q55/Q25,1E99)</f>
        <v/>
      </c>
      <c r="R115" s="154">
        <f>IF(R25&gt;0,R55/R25,1E99)</f>
        <v/>
      </c>
      <c r="S115" s="154">
        <f>IF(S25&gt;0,S55/S25,1E99)</f>
        <v/>
      </c>
      <c r="T115" s="154">
        <f>IF(T25&gt;0,T55/T25,1E99)</f>
        <v/>
      </c>
      <c r="U115" s="154">
        <f>IF(U25&gt;0,U55/U25,1E99)</f>
        <v/>
      </c>
    </row>
    <row r="116">
      <c r="B116" s="154">
        <f>IF(B26&gt;0,B56/B26,1E99)</f>
        <v/>
      </c>
      <c r="C116" s="154">
        <f>IF(C26&gt;0,C56/C26,1E99)</f>
        <v/>
      </c>
      <c r="D116" s="154">
        <f>IF(D26&gt;0,D56/D26,1E99)</f>
        <v/>
      </c>
      <c r="E116" s="154">
        <f>IF(E26&gt;0,E56/E26,1E99)</f>
        <v/>
      </c>
      <c r="F116" s="154">
        <f>IF(F26&gt;0,F56/F26,1E99)</f>
        <v/>
      </c>
      <c r="G116" s="154">
        <f>IF(G26&gt;0,G56/G26,1E99)</f>
        <v/>
      </c>
      <c r="H116" s="154">
        <f>IF(H26&gt;0,H56/H26,1E99)</f>
        <v/>
      </c>
      <c r="I116" s="154">
        <f>IF(I26&gt;0,I56/I26,1E99)</f>
        <v/>
      </c>
      <c r="J116" s="154">
        <f>IF(J26&gt;0,J56/J26,1E99)</f>
        <v/>
      </c>
      <c r="K116" s="154">
        <f>IF(K26&gt;0,K56/K26,1E99)</f>
        <v/>
      </c>
      <c r="L116" s="154">
        <f>IF(L26&gt;0,L56/L26,1E99)</f>
        <v/>
      </c>
      <c r="M116" s="154">
        <f>IF(M26&gt;0,M56/M26,1E99)</f>
        <v/>
      </c>
      <c r="N116" s="154">
        <f>IF(N26&gt;0,N56/N26,1E99)</f>
        <v/>
      </c>
      <c r="O116" s="154">
        <f>IF(O26&gt;0,O56/O26,1E99)</f>
        <v/>
      </c>
      <c r="P116" s="154">
        <f>IF(P26&gt;0,P56/P26,1E99)</f>
        <v/>
      </c>
      <c r="Q116" s="154">
        <f>IF(Q26&gt;0,Q56/Q26,1E99)</f>
        <v/>
      </c>
      <c r="R116" s="154">
        <f>IF(R26&gt;0,R56/R26,1E99)</f>
        <v/>
      </c>
      <c r="S116" s="154">
        <f>IF(S26&gt;0,S56/S26,1E99)</f>
        <v/>
      </c>
      <c r="T116" s="154">
        <f>IF(T26&gt;0,T56/T26,1E99)</f>
        <v/>
      </c>
      <c r="U116" s="154">
        <f>IF(U26&gt;0,U56/U26,1E99)</f>
        <v/>
      </c>
    </row>
    <row r="117">
      <c r="B117" s="154">
        <f>IF(B27&gt;0,B57/B27,1E99)</f>
        <v/>
      </c>
      <c r="C117" s="154">
        <f>IF(C27&gt;0,C57/C27,1E99)</f>
        <v/>
      </c>
      <c r="D117" s="154">
        <f>IF(D27&gt;0,D57/D27,1E99)</f>
        <v/>
      </c>
      <c r="E117" s="154">
        <f>IF(E27&gt;0,E57/E27,1E99)</f>
        <v/>
      </c>
      <c r="F117" s="154">
        <f>IF(F27&gt;0,F57/F27,1E99)</f>
        <v/>
      </c>
      <c r="G117" s="154">
        <f>IF(G27&gt;0,G57/G27,1E99)</f>
        <v/>
      </c>
      <c r="H117" s="154">
        <f>IF(H27&gt;0,H57/H27,1E99)</f>
        <v/>
      </c>
      <c r="I117" s="154">
        <f>IF(I27&gt;0,I57/I27,1E99)</f>
        <v/>
      </c>
      <c r="J117" s="154">
        <f>IF(J27&gt;0,J57/J27,1E99)</f>
        <v/>
      </c>
      <c r="K117" s="154">
        <f>IF(K27&gt;0,K57/K27,1E99)</f>
        <v/>
      </c>
      <c r="L117" s="154">
        <f>IF(L27&gt;0,L57/L27,1E99)</f>
        <v/>
      </c>
      <c r="M117" s="154">
        <f>IF(M27&gt;0,M57/M27,1E99)</f>
        <v/>
      </c>
      <c r="N117" s="154">
        <f>IF(N27&gt;0,N57/N27,1E99)</f>
        <v/>
      </c>
      <c r="O117" s="154">
        <f>IF(O27&gt;0,O57/O27,1E99)</f>
        <v/>
      </c>
      <c r="P117" s="154">
        <f>IF(P27&gt;0,P57/P27,1E99)</f>
        <v/>
      </c>
      <c r="Q117" s="154">
        <f>IF(Q27&gt;0,Q57/Q27,1E99)</f>
        <v/>
      </c>
      <c r="R117" s="154">
        <f>IF(R27&gt;0,R57/R27,1E99)</f>
        <v/>
      </c>
      <c r="S117" s="154">
        <f>IF(S27&gt;0,S57/S27,1E99)</f>
        <v/>
      </c>
      <c r="T117" s="154">
        <f>IF(T27&gt;0,T57/T27,1E99)</f>
        <v/>
      </c>
      <c r="U117" s="154">
        <f>IF(U27&gt;0,U57/U27,1E99)</f>
        <v/>
      </c>
    </row>
    <row r="118">
      <c r="B118" s="154">
        <f>IF(B28&gt;0,B58/B28,1E99)</f>
        <v/>
      </c>
      <c r="C118" s="154">
        <f>IF(C28&gt;0,C58/C28,1E99)</f>
        <v/>
      </c>
      <c r="D118" s="154">
        <f>IF(D28&gt;0,D58/D28,1E99)</f>
        <v/>
      </c>
      <c r="E118" s="154">
        <f>IF(E28&gt;0,E58/E28,1E99)</f>
        <v/>
      </c>
      <c r="F118" s="154">
        <f>IF(F28&gt;0,F58/F28,1E99)</f>
        <v/>
      </c>
      <c r="G118" s="154">
        <f>IF(G28&gt;0,G58/G28,1E99)</f>
        <v/>
      </c>
      <c r="H118" s="154">
        <f>IF(H28&gt;0,H58/H28,1E99)</f>
        <v/>
      </c>
      <c r="I118" s="154">
        <f>IF(I28&gt;0,I58/I28,1E99)</f>
        <v/>
      </c>
      <c r="J118" s="154">
        <f>IF(J28&gt;0,J58/J28,1E99)</f>
        <v/>
      </c>
      <c r="K118" s="154">
        <f>IF(K28&gt;0,K58/K28,1E99)</f>
        <v/>
      </c>
      <c r="L118" s="154">
        <f>IF(L28&gt;0,L58/L28,1E99)</f>
        <v/>
      </c>
      <c r="M118" s="154">
        <f>IF(M28&gt;0,M58/M28,1E99)</f>
        <v/>
      </c>
      <c r="N118" s="154">
        <f>IF(N28&gt;0,N58/N28,1E99)</f>
        <v/>
      </c>
      <c r="O118" s="154">
        <f>IF(O28&gt;0,O58/O28,1E99)</f>
        <v/>
      </c>
      <c r="P118" s="154">
        <f>IF(P28&gt;0,P58/P28,1E99)</f>
        <v/>
      </c>
      <c r="Q118" s="154">
        <f>IF(Q28&gt;0,Q58/Q28,1E99)</f>
        <v/>
      </c>
      <c r="R118" s="154">
        <f>IF(R28&gt;0,R58/R28,1E99)</f>
        <v/>
      </c>
      <c r="S118" s="154">
        <f>IF(S28&gt;0,S58/S28,1E99)</f>
        <v/>
      </c>
      <c r="T118" s="154">
        <f>IF(T28&gt;0,T58/T28,1E99)</f>
        <v/>
      </c>
      <c r="U118" s="154">
        <f>IF(U28&gt;0,U58/U28,1E99)</f>
        <v/>
      </c>
    </row>
    <row r="119">
      <c r="B119" s="154">
        <f>IF(B29&gt;0,B59/B29,1E99)</f>
        <v/>
      </c>
      <c r="C119" s="154">
        <f>IF(C29&gt;0,C59/C29,1E99)</f>
        <v/>
      </c>
      <c r="D119" s="154">
        <f>IF(D29&gt;0,D59/D29,1E99)</f>
        <v/>
      </c>
      <c r="E119" s="154">
        <f>IF(E29&gt;0,E59/E29,1E99)</f>
        <v/>
      </c>
      <c r="F119" s="154">
        <f>IF(F29&gt;0,F59/F29,1E99)</f>
        <v/>
      </c>
      <c r="G119" s="154">
        <f>IF(G29&gt;0,G59/G29,1E99)</f>
        <v/>
      </c>
      <c r="H119" s="154">
        <f>IF(H29&gt;0,H59/H29,1E99)</f>
        <v/>
      </c>
      <c r="I119" s="154">
        <f>IF(I29&gt;0,I59/I29,1E99)</f>
        <v/>
      </c>
      <c r="J119" s="154">
        <f>IF(J29&gt;0,J59/J29,1E99)</f>
        <v/>
      </c>
      <c r="K119" s="154">
        <f>IF(K29&gt;0,K59/K29,1E99)</f>
        <v/>
      </c>
      <c r="L119" s="154">
        <f>IF(L29&gt;0,L59/L29,1E99)</f>
        <v/>
      </c>
      <c r="M119" s="154">
        <f>IF(M29&gt;0,M59/M29,1E99)</f>
        <v/>
      </c>
      <c r="N119" s="154">
        <f>IF(N29&gt;0,N59/N29,1E99)</f>
        <v/>
      </c>
      <c r="O119" s="154">
        <f>IF(O29&gt;0,O59/O29,1E99)</f>
        <v/>
      </c>
      <c r="P119" s="154">
        <f>IF(P29&gt;0,P59/P29,1E99)</f>
        <v/>
      </c>
      <c r="Q119" s="154">
        <f>IF(Q29&gt;0,Q59/Q29,1E99)</f>
        <v/>
      </c>
      <c r="R119" s="154">
        <f>IF(R29&gt;0,R59/R29,1E99)</f>
        <v/>
      </c>
      <c r="S119" s="154">
        <f>IF(S29&gt;0,S59/S29,1E99)</f>
        <v/>
      </c>
      <c r="T119" s="154">
        <f>IF(T29&gt;0,T59/T29,1E99)</f>
        <v/>
      </c>
      <c r="U119" s="154">
        <f>IF(U29&gt;0,U59/U29,1E99)</f>
        <v/>
      </c>
    </row>
    <row r="120">
      <c r="B120" s="154">
        <f>IF(B30&gt;0,B60/B30,1E99)</f>
        <v/>
      </c>
      <c r="C120" s="154">
        <f>IF(C30&gt;0,C60/C30,1E99)</f>
        <v/>
      </c>
      <c r="D120" s="154">
        <f>IF(D30&gt;0,D60/D30,1E99)</f>
        <v/>
      </c>
      <c r="E120" s="154">
        <f>IF(E30&gt;0,E60/E30,1E99)</f>
        <v/>
      </c>
      <c r="F120" s="154">
        <f>IF(F30&gt;0,F60/F30,1E99)</f>
        <v/>
      </c>
      <c r="G120" s="154">
        <f>IF(G30&gt;0,G60/G30,1E99)</f>
        <v/>
      </c>
      <c r="H120" s="154">
        <f>IF(H30&gt;0,H60/H30,1E99)</f>
        <v/>
      </c>
      <c r="I120" s="154">
        <f>IF(I30&gt;0,I60/I30,1E99)</f>
        <v/>
      </c>
      <c r="J120" s="154">
        <f>IF(J30&gt;0,J60/J30,1E99)</f>
        <v/>
      </c>
      <c r="K120" s="154">
        <f>IF(K30&gt;0,K60/K30,1E99)</f>
        <v/>
      </c>
      <c r="L120" s="154">
        <f>IF(L30&gt;0,L60/L30,1E99)</f>
        <v/>
      </c>
      <c r="M120" s="154">
        <f>IF(M30&gt;0,M60/M30,1E99)</f>
        <v/>
      </c>
      <c r="N120" s="154">
        <f>IF(N30&gt;0,N60/N30,1E99)</f>
        <v/>
      </c>
      <c r="O120" s="154">
        <f>IF(O30&gt;0,O60/O30,1E99)</f>
        <v/>
      </c>
      <c r="P120" s="154">
        <f>IF(P30&gt;0,P60/P30,1E99)</f>
        <v/>
      </c>
      <c r="Q120" s="154">
        <f>IF(Q30&gt;0,Q60/Q30,1E99)</f>
        <v/>
      </c>
      <c r="R120" s="154">
        <f>IF(R30&gt;0,R60/R30,1E99)</f>
        <v/>
      </c>
      <c r="S120" s="154">
        <f>IF(S30&gt;0,S60/S30,1E99)</f>
        <v/>
      </c>
      <c r="T120" s="154">
        <f>IF(T30&gt;0,T60/T30,1E99)</f>
        <v/>
      </c>
      <c r="U120" s="154">
        <f>IF(U30&gt;0,U60/U30,1E99)</f>
        <v/>
      </c>
    </row>
    <row r="121">
      <c r="B121" s="154">
        <f>IF(B31&gt;0,B61/B31,1E99)</f>
        <v/>
      </c>
      <c r="C121" s="154">
        <f>IF(C31&gt;0,C61/C31,1E99)</f>
        <v/>
      </c>
      <c r="D121" s="154">
        <f>IF(D31&gt;0,D61/D31,1E99)</f>
        <v/>
      </c>
      <c r="E121" s="154">
        <f>IF(E31&gt;0,E61/E31,1E99)</f>
        <v/>
      </c>
      <c r="F121" s="154">
        <f>IF(F31&gt;0,F61/F31,1E99)</f>
        <v/>
      </c>
      <c r="G121" s="154">
        <f>IF(G31&gt;0,G61/G31,1E99)</f>
        <v/>
      </c>
      <c r="H121" s="154">
        <f>IF(H31&gt;0,H61/H31,1E99)</f>
        <v/>
      </c>
      <c r="I121" s="154">
        <f>IF(I31&gt;0,I61/I31,1E99)</f>
        <v/>
      </c>
      <c r="J121" s="154">
        <f>IF(J31&gt;0,J61/J31,1E99)</f>
        <v/>
      </c>
      <c r="K121" s="154">
        <f>IF(K31&gt;0,K61/K31,1E99)</f>
        <v/>
      </c>
      <c r="L121" s="154">
        <f>IF(L31&gt;0,L61/L31,1E99)</f>
        <v/>
      </c>
      <c r="M121" s="154">
        <f>IF(M31&gt;0,M61/M31,1E99)</f>
        <v/>
      </c>
      <c r="N121" s="154">
        <f>IF(N31&gt;0,N61/N31,1E99)</f>
        <v/>
      </c>
      <c r="O121" s="154">
        <f>IF(O31&gt;0,O61/O31,1E99)</f>
        <v/>
      </c>
      <c r="P121" s="154">
        <f>IF(P31&gt;0,P61/P31,1E99)</f>
        <v/>
      </c>
      <c r="Q121" s="154">
        <f>IF(Q31&gt;0,Q61/Q31,1E99)</f>
        <v/>
      </c>
      <c r="R121" s="154">
        <f>IF(R31&gt;0,R61/R31,1E99)</f>
        <v/>
      </c>
      <c r="S121" s="154">
        <f>IF(S31&gt;0,S61/S31,1E99)</f>
        <v/>
      </c>
      <c r="T121" s="154">
        <f>IF(T31&gt;0,T61/T31,1E99)</f>
        <v/>
      </c>
      <c r="U121" s="154">
        <f>IF(U31&gt;0,U61/U31,1E99)</f>
        <v/>
      </c>
    </row>
    <row r="122">
      <c r="B122" s="154">
        <f>IF(B32&gt;0,B62/B32,1E99)</f>
        <v/>
      </c>
      <c r="C122" s="154">
        <f>IF(C32&gt;0,C62/C32,1E99)</f>
        <v/>
      </c>
      <c r="D122" s="154">
        <f>IF(D32&gt;0,D62/D32,1E99)</f>
        <v/>
      </c>
      <c r="E122" s="154">
        <f>IF(E32&gt;0,E62/E32,1E99)</f>
        <v/>
      </c>
      <c r="F122" s="154">
        <f>IF(F32&gt;0,F62/F32,1E99)</f>
        <v/>
      </c>
      <c r="G122" s="154">
        <f>IF(G32&gt;0,G62/G32,1E99)</f>
        <v/>
      </c>
      <c r="H122" s="154">
        <f>IF(H32&gt;0,H62/H32,1E99)</f>
        <v/>
      </c>
      <c r="I122" s="154">
        <f>IF(I32&gt;0,I62/I32,1E99)</f>
        <v/>
      </c>
      <c r="J122" s="154">
        <f>IF(J32&gt;0,J62/J32,1E99)</f>
        <v/>
      </c>
      <c r="K122" s="154">
        <f>IF(K32&gt;0,K62/K32,1E99)</f>
        <v/>
      </c>
      <c r="L122" s="154">
        <f>IF(L32&gt;0,L62/L32,1E99)</f>
        <v/>
      </c>
      <c r="M122" s="154">
        <f>IF(M32&gt;0,M62/M32,1E99)</f>
        <v/>
      </c>
      <c r="N122" s="154">
        <f>IF(N32&gt;0,N62/N32,1E99)</f>
        <v/>
      </c>
      <c r="O122" s="154">
        <f>IF(O32&gt;0,O62/O32,1E99)</f>
        <v/>
      </c>
      <c r="P122" s="154">
        <f>IF(P32&gt;0,P62/P32,1E99)</f>
        <v/>
      </c>
      <c r="Q122" s="154">
        <f>IF(Q32&gt;0,Q62/Q32,1E99)</f>
        <v/>
      </c>
      <c r="R122" s="154">
        <f>IF(R32&gt;0,R62/R32,1E99)</f>
        <v/>
      </c>
      <c r="S122" s="154">
        <f>IF(S32&gt;0,S62/S32,1E99)</f>
        <v/>
      </c>
      <c r="T122" s="154">
        <f>IF(T32&gt;0,T62/T32,1E99)</f>
        <v/>
      </c>
      <c r="U122" s="154">
        <f>IF(U32&gt;0,U62/U32,1E99)</f>
        <v/>
      </c>
    </row>
    <row r="123">
      <c r="B123" s="154">
        <f>IF(B33&gt;0,B63/B33,1E99)</f>
        <v/>
      </c>
      <c r="C123" s="154">
        <f>IF(C33&gt;0,C63/C33,1E99)</f>
        <v/>
      </c>
      <c r="D123" s="154">
        <f>IF(D33&gt;0,D63/D33,1E99)</f>
        <v/>
      </c>
      <c r="E123" s="154">
        <f>IF(E33&gt;0,E63/E33,1E99)</f>
        <v/>
      </c>
      <c r="F123" s="154">
        <f>IF(F33&gt;0,F63/F33,1E99)</f>
        <v/>
      </c>
      <c r="G123" s="154">
        <f>IF(G33&gt;0,G63/G33,1E99)</f>
        <v/>
      </c>
      <c r="H123" s="154">
        <f>IF(H33&gt;0,H63/H33,1E99)</f>
        <v/>
      </c>
      <c r="I123" s="154">
        <f>IF(I33&gt;0,I63/I33,1E99)</f>
        <v/>
      </c>
      <c r="J123" s="154">
        <f>IF(J33&gt;0,J63/J33,1E99)</f>
        <v/>
      </c>
      <c r="K123" s="154">
        <f>IF(K33&gt;0,K63/K33,1E99)</f>
        <v/>
      </c>
      <c r="L123" s="154">
        <f>IF(L33&gt;0,L63/L33,1E99)</f>
        <v/>
      </c>
      <c r="M123" s="154">
        <f>IF(M33&gt;0,M63/M33,1E99)</f>
        <v/>
      </c>
      <c r="N123" s="154">
        <f>IF(N33&gt;0,N63/N33,1E99)</f>
        <v/>
      </c>
      <c r="O123" s="154">
        <f>IF(O33&gt;0,O63/O33,1E99)</f>
        <v/>
      </c>
      <c r="P123" s="154">
        <f>IF(P33&gt;0,P63/P33,1E99)</f>
        <v/>
      </c>
      <c r="Q123" s="154">
        <f>IF(Q33&gt;0,Q63/Q33,1E99)</f>
        <v/>
      </c>
      <c r="R123" s="154">
        <f>IF(R33&gt;0,R63/R33,1E99)</f>
        <v/>
      </c>
      <c r="S123" s="154">
        <f>IF(S33&gt;0,S63/S33,1E99)</f>
        <v/>
      </c>
      <c r="T123" s="154">
        <f>IF(T33&gt;0,T63/T33,1E99)</f>
        <v/>
      </c>
      <c r="U123" s="154">
        <f>IF(U33&gt;0,U63/U33,1E99)</f>
        <v/>
      </c>
    </row>
    <row r="124">
      <c r="B124" s="154">
        <f>IF(B34&gt;0,B64/B34,1E99)</f>
        <v/>
      </c>
      <c r="C124" s="154">
        <f>IF(C34&gt;0,C64/C34,1E99)</f>
        <v/>
      </c>
      <c r="D124" s="154">
        <f>IF(D34&gt;0,D64/D34,1E99)</f>
        <v/>
      </c>
      <c r="E124" s="154">
        <f>IF(E34&gt;0,E64/E34,1E99)</f>
        <v/>
      </c>
      <c r="F124" s="154">
        <f>IF(F34&gt;0,F64/F34,1E99)</f>
        <v/>
      </c>
      <c r="G124" s="154">
        <f>IF(G34&gt;0,G64/G34,1E99)</f>
        <v/>
      </c>
      <c r="H124" s="154">
        <f>IF(H34&gt;0,H64/H34,1E99)</f>
        <v/>
      </c>
      <c r="I124" s="154">
        <f>IF(I34&gt;0,I64/I34,1E99)</f>
        <v/>
      </c>
      <c r="J124" s="154">
        <f>IF(J34&gt;0,J64/J34,1E99)</f>
        <v/>
      </c>
      <c r="K124" s="154">
        <f>IF(K34&gt;0,K64/K34,1E99)</f>
        <v/>
      </c>
      <c r="L124" s="154">
        <f>IF(L34&gt;0,L64/L34,1E99)</f>
        <v/>
      </c>
      <c r="M124" s="154">
        <f>IF(M34&gt;0,M64/M34,1E99)</f>
        <v/>
      </c>
      <c r="N124" s="154">
        <f>IF(N34&gt;0,N64/N34,1E99)</f>
        <v/>
      </c>
      <c r="O124" s="154">
        <f>IF(O34&gt;0,O64/O34,1E99)</f>
        <v/>
      </c>
      <c r="P124" s="154">
        <f>IF(P34&gt;0,P64/P34,1E99)</f>
        <v/>
      </c>
      <c r="Q124" s="154">
        <f>IF(Q34&gt;0,Q64/Q34,1E99)</f>
        <v/>
      </c>
      <c r="R124" s="154">
        <f>IF(R34&gt;0,R64/R34,1E99)</f>
        <v/>
      </c>
      <c r="S124" s="154">
        <f>IF(S34&gt;0,S64/S34,1E99)</f>
        <v/>
      </c>
      <c r="T124" s="154">
        <f>IF(T34&gt;0,T64/T34,1E99)</f>
        <v/>
      </c>
      <c r="U124" s="154">
        <f>IF(U34&gt;0,U64/U34,1E99)</f>
        <v/>
      </c>
    </row>
    <row r="125">
      <c r="B125" s="154">
        <f>IF(B35&gt;0,B65/B35,1E99)</f>
        <v/>
      </c>
      <c r="C125" s="154">
        <f>IF(C35&gt;0,C65/C35,1E99)</f>
        <v/>
      </c>
      <c r="D125" s="154">
        <f>IF(D35&gt;0,D65/D35,1E99)</f>
        <v/>
      </c>
      <c r="E125" s="154">
        <f>IF(E35&gt;0,E65/E35,1E99)</f>
        <v/>
      </c>
      <c r="F125" s="154">
        <f>IF(F35&gt;0,F65/F35,1E99)</f>
        <v/>
      </c>
      <c r="G125" s="154">
        <f>IF(G35&gt;0,G65/G35,1E99)</f>
        <v/>
      </c>
      <c r="H125" s="154">
        <f>IF(H35&gt;0,H65/H35,1E99)</f>
        <v/>
      </c>
      <c r="I125" s="154">
        <f>IF(I35&gt;0,I65/I35,1E99)</f>
        <v/>
      </c>
      <c r="J125" s="154">
        <f>IF(J35&gt;0,J65/J35,1E99)</f>
        <v/>
      </c>
      <c r="K125" s="154">
        <f>IF(K35&gt;0,K65/K35,1E99)</f>
        <v/>
      </c>
      <c r="L125" s="154">
        <f>IF(L35&gt;0,L65/L35,1E99)</f>
        <v/>
      </c>
      <c r="M125" s="154">
        <f>IF(M35&gt;0,M65/M35,1E99)</f>
        <v/>
      </c>
      <c r="N125" s="154">
        <f>IF(N35&gt;0,N65/N35,1E99)</f>
        <v/>
      </c>
      <c r="O125" s="154">
        <f>IF(O35&gt;0,O65/O35,1E99)</f>
        <v/>
      </c>
      <c r="P125" s="154">
        <f>IF(P35&gt;0,P65/P35,1E99)</f>
        <v/>
      </c>
      <c r="Q125" s="154">
        <f>IF(Q35&gt;0,Q65/Q35,1E99)</f>
        <v/>
      </c>
      <c r="R125" s="154">
        <f>IF(R35&gt;0,R65/R35,1E99)</f>
        <v/>
      </c>
      <c r="S125" s="154">
        <f>IF(S35&gt;0,S65/S35,1E99)</f>
        <v/>
      </c>
      <c r="T125" s="154">
        <f>IF(T35&gt;0,T65/T35,1E99)</f>
        <v/>
      </c>
      <c r="U125" s="154">
        <f>IF(U35&gt;0,U65/U35,1E99)</f>
        <v/>
      </c>
    </row>
    <row r="126">
      <c r="B126" s="154">
        <f>IF(B36&gt;0,B66/B36,1E99)</f>
        <v/>
      </c>
      <c r="C126" s="154">
        <f>IF(C36&gt;0,C66/C36,1E99)</f>
        <v/>
      </c>
      <c r="D126" s="154">
        <f>IF(D36&gt;0,D66/D36,1E99)</f>
        <v/>
      </c>
      <c r="E126" s="154">
        <f>IF(E36&gt;0,E66/E36,1E99)</f>
        <v/>
      </c>
      <c r="F126" s="154">
        <f>IF(F36&gt;0,F66/F36,1E99)</f>
        <v/>
      </c>
      <c r="G126" s="154">
        <f>IF(G36&gt;0,G66/G36,1E99)</f>
        <v/>
      </c>
      <c r="H126" s="154">
        <f>IF(H36&gt;0,H66/H36,1E99)</f>
        <v/>
      </c>
      <c r="I126" s="154">
        <f>IF(I36&gt;0,I66/I36,1E99)</f>
        <v/>
      </c>
      <c r="J126" s="154">
        <f>IF(J36&gt;0,J66/J36,1E99)</f>
        <v/>
      </c>
      <c r="K126" s="154">
        <f>IF(K36&gt;0,K66/K36,1E99)</f>
        <v/>
      </c>
      <c r="L126" s="154">
        <f>IF(L36&gt;0,L66/L36,1E99)</f>
        <v/>
      </c>
      <c r="M126" s="154">
        <f>IF(M36&gt;0,M66/M36,1E99)</f>
        <v/>
      </c>
      <c r="N126" s="154">
        <f>IF(N36&gt;0,N66/N36,1E99)</f>
        <v/>
      </c>
      <c r="O126" s="154">
        <f>IF(O36&gt;0,O66/O36,1E99)</f>
        <v/>
      </c>
      <c r="P126" s="154">
        <f>IF(P36&gt;0,P66/P36,1E99)</f>
        <v/>
      </c>
      <c r="Q126" s="154">
        <f>IF(Q36&gt;0,Q66/Q36,1E99)</f>
        <v/>
      </c>
      <c r="R126" s="154">
        <f>IF(R36&gt;0,R66/R36,1E99)</f>
        <v/>
      </c>
      <c r="S126" s="154">
        <f>IF(S36&gt;0,S66/S36,1E99)</f>
        <v/>
      </c>
      <c r="T126" s="154">
        <f>IF(T36&gt;0,T66/T36,1E99)</f>
        <v/>
      </c>
      <c r="U126" s="154">
        <f>IF(U36&gt;0,U66/U36,1E99)</f>
        <v/>
      </c>
    </row>
    <row r="127">
      <c r="B127" s="154">
        <f>IF(B37&gt;0,B67/B37,1E99)</f>
        <v/>
      </c>
      <c r="C127" s="154">
        <f>IF(C37&gt;0,C67/C37,1E99)</f>
        <v/>
      </c>
      <c r="D127" s="154">
        <f>IF(D37&gt;0,D67/D37,1E99)</f>
        <v/>
      </c>
      <c r="E127" s="154">
        <f>IF(E37&gt;0,E67/E37,1E99)</f>
        <v/>
      </c>
      <c r="F127" s="154">
        <f>IF(F37&gt;0,F67/F37,1E99)</f>
        <v/>
      </c>
      <c r="G127" s="154">
        <f>IF(G37&gt;0,G67/G37,1E99)</f>
        <v/>
      </c>
      <c r="H127" s="154">
        <f>IF(H37&gt;0,H67/H37,1E99)</f>
        <v/>
      </c>
      <c r="I127" s="154">
        <f>IF(I37&gt;0,I67/I37,1E99)</f>
        <v/>
      </c>
      <c r="J127" s="154">
        <f>IF(J37&gt;0,J67/J37,1E99)</f>
        <v/>
      </c>
      <c r="K127" s="154">
        <f>IF(K37&gt;0,K67/K37,1E99)</f>
        <v/>
      </c>
      <c r="L127" s="154">
        <f>IF(L37&gt;0,L67/L37,1E99)</f>
        <v/>
      </c>
      <c r="M127" s="154">
        <f>IF(M37&gt;0,M67/M37,1E99)</f>
        <v/>
      </c>
      <c r="N127" s="154">
        <f>IF(N37&gt;0,N67/N37,1E99)</f>
        <v/>
      </c>
      <c r="O127" s="154">
        <f>IF(O37&gt;0,O67/O37,1E99)</f>
        <v/>
      </c>
      <c r="P127" s="154">
        <f>IF(P37&gt;0,P67/P37,1E99)</f>
        <v/>
      </c>
      <c r="Q127" s="154">
        <f>IF(Q37&gt;0,Q67/Q37,1E99)</f>
        <v/>
      </c>
      <c r="R127" s="154">
        <f>IF(R37&gt;0,R67/R37,1E99)</f>
        <v/>
      </c>
      <c r="S127" s="154">
        <f>IF(S37&gt;0,S67/S37,1E99)</f>
        <v/>
      </c>
      <c r="T127" s="154">
        <f>IF(T37&gt;0,T67/T37,1E99)</f>
        <v/>
      </c>
      <c r="U127" s="154">
        <f>IF(U37&gt;0,U67/U37,1E99)</f>
        <v/>
      </c>
    </row>
    <row r="128">
      <c r="B128" s="154">
        <f>IF(B38&gt;0,B68/B38,1E99)</f>
        <v/>
      </c>
      <c r="C128" s="154">
        <f>IF(C38&gt;0,C68/C38,1E99)</f>
        <v/>
      </c>
      <c r="D128" s="154">
        <f>IF(D38&gt;0,D68/D38,1E99)</f>
        <v/>
      </c>
      <c r="E128" s="154">
        <f>IF(E38&gt;0,E68/E38,1E99)</f>
        <v/>
      </c>
      <c r="F128" s="154">
        <f>IF(F38&gt;0,F68/F38,1E99)</f>
        <v/>
      </c>
      <c r="G128" s="154">
        <f>IF(G38&gt;0,G68/G38,1E99)</f>
        <v/>
      </c>
      <c r="H128" s="154">
        <f>IF(H38&gt;0,H68/H38,1E99)</f>
        <v/>
      </c>
      <c r="I128" s="154">
        <f>IF(I38&gt;0,I68/I38,1E99)</f>
        <v/>
      </c>
      <c r="J128" s="154">
        <f>IF(J38&gt;0,J68/J38,1E99)</f>
        <v/>
      </c>
      <c r="K128" s="154">
        <f>IF(K38&gt;0,K68/K38,1E99)</f>
        <v/>
      </c>
      <c r="L128" s="154">
        <f>IF(L38&gt;0,L68/L38,1E99)</f>
        <v/>
      </c>
      <c r="M128" s="154">
        <f>IF(M38&gt;0,M68/M38,1E99)</f>
        <v/>
      </c>
      <c r="N128" s="154">
        <f>IF(N38&gt;0,N68/N38,1E99)</f>
        <v/>
      </c>
      <c r="O128" s="154">
        <f>IF(O38&gt;0,O68/O38,1E99)</f>
        <v/>
      </c>
      <c r="P128" s="154">
        <f>IF(P38&gt;0,P68/P38,1E99)</f>
        <v/>
      </c>
      <c r="Q128" s="154">
        <f>IF(Q38&gt;0,Q68/Q38,1E99)</f>
        <v/>
      </c>
      <c r="R128" s="154">
        <f>IF(R38&gt;0,R68/R38,1E99)</f>
        <v/>
      </c>
      <c r="S128" s="154">
        <f>IF(S38&gt;0,S68/S38,1E99)</f>
        <v/>
      </c>
      <c r="T128" s="154">
        <f>IF(T38&gt;0,T68/T38,1E99)</f>
        <v/>
      </c>
      <c r="U128" s="154">
        <f>IF(U38&gt;0,U68/U38,1E99)</f>
        <v/>
      </c>
    </row>
    <row r="129">
      <c r="B129" s="154">
        <f>IF(B39&gt;0,B69/B39,1E99)</f>
        <v/>
      </c>
      <c r="C129" s="154">
        <f>IF(C39&gt;0,C69/C39,1E99)</f>
        <v/>
      </c>
      <c r="D129" s="154">
        <f>IF(D39&gt;0,D69/D39,1E99)</f>
        <v/>
      </c>
      <c r="E129" s="154">
        <f>IF(E39&gt;0,E69/E39,1E99)</f>
        <v/>
      </c>
      <c r="F129" s="154">
        <f>IF(F39&gt;0,F69/F39,1E99)</f>
        <v/>
      </c>
      <c r="G129" s="154">
        <f>IF(G39&gt;0,G69/G39,1E99)</f>
        <v/>
      </c>
      <c r="H129" s="154">
        <f>IF(H39&gt;0,H69/H39,1E99)</f>
        <v/>
      </c>
      <c r="I129" s="154">
        <f>IF(I39&gt;0,I69/I39,1E99)</f>
        <v/>
      </c>
      <c r="J129" s="154">
        <f>IF(J39&gt;0,J69/J39,1E99)</f>
        <v/>
      </c>
      <c r="K129" s="154">
        <f>IF(K39&gt;0,K69/K39,1E99)</f>
        <v/>
      </c>
      <c r="L129" s="154">
        <f>IF(L39&gt;0,L69/L39,1E99)</f>
        <v/>
      </c>
      <c r="M129" s="154">
        <f>IF(M39&gt;0,M69/M39,1E99)</f>
        <v/>
      </c>
      <c r="N129" s="154">
        <f>IF(N39&gt;0,N69/N39,1E99)</f>
        <v/>
      </c>
      <c r="O129" s="154">
        <f>IF(O39&gt;0,O69/O39,1E99)</f>
        <v/>
      </c>
      <c r="P129" s="154">
        <f>IF(P39&gt;0,P69/P39,1E99)</f>
        <v/>
      </c>
      <c r="Q129" s="154">
        <f>IF(Q39&gt;0,Q69/Q39,1E99)</f>
        <v/>
      </c>
      <c r="R129" s="154">
        <f>IF(R39&gt;0,R69/R39,1E99)</f>
        <v/>
      </c>
      <c r="S129" s="154">
        <f>IF(S39&gt;0,S69/S39,1E99)</f>
        <v/>
      </c>
      <c r="T129" s="154">
        <f>IF(T39&gt;0,T69/T39,1E99)</f>
        <v/>
      </c>
      <c r="U129" s="154">
        <f>IF(U39&gt;0,U69/U39,1E99)</f>
        <v/>
      </c>
    </row>
    <row r="130">
      <c r="B130" s="154">
        <f>IF(B40&gt;0,B70/B40,1E99)</f>
        <v/>
      </c>
      <c r="C130" s="154">
        <f>IF(C40&gt;0,C70/C40,1E99)</f>
        <v/>
      </c>
      <c r="D130" s="154">
        <f>IF(D40&gt;0,D70/D40,1E99)</f>
        <v/>
      </c>
      <c r="E130" s="154">
        <f>IF(E40&gt;0,E70/E40,1E99)</f>
        <v/>
      </c>
      <c r="F130" s="154">
        <f>IF(F40&gt;0,F70/F40,1E99)</f>
        <v/>
      </c>
      <c r="G130" s="154">
        <f>IF(G40&gt;0,G70/G40,1E99)</f>
        <v/>
      </c>
      <c r="H130" s="154">
        <f>IF(H40&gt;0,H70/H40,1E99)</f>
        <v/>
      </c>
      <c r="I130" s="154">
        <f>IF(I40&gt;0,I70/I40,1E99)</f>
        <v/>
      </c>
      <c r="J130" s="154">
        <f>IF(J40&gt;0,J70/J40,1E99)</f>
        <v/>
      </c>
      <c r="K130" s="154">
        <f>IF(K40&gt;0,K70/K40,1E99)</f>
        <v/>
      </c>
      <c r="L130" s="154">
        <f>IF(L40&gt;0,L70/L40,1E99)</f>
        <v/>
      </c>
      <c r="M130" s="154">
        <f>IF(M40&gt;0,M70/M40,1E99)</f>
        <v/>
      </c>
      <c r="N130" s="154">
        <f>IF(N40&gt;0,N70/N40,1E99)</f>
        <v/>
      </c>
      <c r="O130" s="154">
        <f>IF(O40&gt;0,O70/O40,1E99)</f>
        <v/>
      </c>
      <c r="P130" s="154">
        <f>IF(P40&gt;0,P70/P40,1E99)</f>
        <v/>
      </c>
      <c r="Q130" s="154">
        <f>IF(Q40&gt;0,Q70/Q40,1E99)</f>
        <v/>
      </c>
      <c r="R130" s="154">
        <f>IF(R40&gt;0,R70/R40,1E99)</f>
        <v/>
      </c>
      <c r="S130" s="154">
        <f>IF(S40&gt;0,S70/S40,1E99)</f>
        <v/>
      </c>
      <c r="T130" s="154">
        <f>IF(T40&gt;0,T70/T40,1E99)</f>
        <v/>
      </c>
      <c r="U130" s="154">
        <f>IF(U40&gt;0,U70/U40,1E99)</f>
        <v/>
      </c>
    </row>
    <row r="131">
      <c r="B131" s="154">
        <f>IF(B41&gt;0,B71/B41,1E99)</f>
        <v/>
      </c>
      <c r="C131" s="154">
        <f>IF(C41&gt;0,C71/C41,1E99)</f>
        <v/>
      </c>
      <c r="D131" s="154">
        <f>IF(D41&gt;0,D71/D41,1E99)</f>
        <v/>
      </c>
      <c r="E131" s="154">
        <f>IF(E41&gt;0,E71/E41,1E99)</f>
        <v/>
      </c>
      <c r="F131" s="154">
        <f>IF(F41&gt;0,F71/F41,1E99)</f>
        <v/>
      </c>
      <c r="G131" s="154">
        <f>IF(G41&gt;0,G71/G41,1E99)</f>
        <v/>
      </c>
      <c r="H131" s="154">
        <f>IF(H41&gt;0,H71/H41,1E99)</f>
        <v/>
      </c>
      <c r="I131" s="154">
        <f>IF(I41&gt;0,I71/I41,1E99)</f>
        <v/>
      </c>
      <c r="J131" s="154">
        <f>IF(J41&gt;0,J71/J41,1E99)</f>
        <v/>
      </c>
      <c r="K131" s="154">
        <f>IF(K41&gt;0,K71/K41,1E99)</f>
        <v/>
      </c>
      <c r="L131" s="154">
        <f>IF(L41&gt;0,L71/L41,1E99)</f>
        <v/>
      </c>
      <c r="M131" s="154">
        <f>IF(M41&gt;0,M71/M41,1E99)</f>
        <v/>
      </c>
      <c r="N131" s="154">
        <f>IF(N41&gt;0,N71/N41,1E99)</f>
        <v/>
      </c>
      <c r="O131" s="154">
        <f>IF(O41&gt;0,O71/O41,1E99)</f>
        <v/>
      </c>
      <c r="P131" s="154">
        <f>IF(P41&gt;0,P71/P41,1E99)</f>
        <v/>
      </c>
      <c r="Q131" s="154">
        <f>IF(Q41&gt;0,Q71/Q41,1E99)</f>
        <v/>
      </c>
      <c r="R131" s="154">
        <f>IF(R41&gt;0,R71/R41,1E99)</f>
        <v/>
      </c>
      <c r="S131" s="154">
        <f>IF(S41&gt;0,S71/S41,1E99)</f>
        <v/>
      </c>
      <c r="T131" s="154">
        <f>IF(T41&gt;0,T71/T41,1E99)</f>
        <v/>
      </c>
      <c r="U131" s="154">
        <f>IF(U41&gt;0,U71/U41,1E99)</f>
        <v/>
      </c>
    </row>
    <row r="132">
      <c r="B132" s="154">
        <f>IF(B42&gt;0,B72/B42,1E99)</f>
        <v/>
      </c>
      <c r="C132" s="154">
        <f>IF(C42&gt;0,C72/C42,1E99)</f>
        <v/>
      </c>
      <c r="D132" s="154">
        <f>IF(D42&gt;0,D72/D42,1E99)</f>
        <v/>
      </c>
      <c r="E132" s="154">
        <f>IF(E42&gt;0,E72/E42,1E99)</f>
        <v/>
      </c>
      <c r="F132" s="154">
        <f>IF(F42&gt;0,F72/F42,1E99)</f>
        <v/>
      </c>
      <c r="G132" s="154">
        <f>IF(G42&gt;0,G72/G42,1E99)</f>
        <v/>
      </c>
      <c r="H132" s="154">
        <f>IF(H42&gt;0,H72/H42,1E99)</f>
        <v/>
      </c>
      <c r="I132" s="154">
        <f>IF(I42&gt;0,I72/I42,1E99)</f>
        <v/>
      </c>
      <c r="J132" s="154">
        <f>IF(J42&gt;0,J72/J42,1E99)</f>
        <v/>
      </c>
      <c r="K132" s="154">
        <f>IF(K42&gt;0,K72/K42,1E99)</f>
        <v/>
      </c>
      <c r="L132" s="154">
        <f>IF(L42&gt;0,L72/L42,1E99)</f>
        <v/>
      </c>
      <c r="M132" s="154">
        <f>IF(M42&gt;0,M72/M42,1E99)</f>
        <v/>
      </c>
      <c r="N132" s="154">
        <f>IF(N42&gt;0,N72/N42,1E99)</f>
        <v/>
      </c>
      <c r="O132" s="154">
        <f>IF(O42&gt;0,O72/O42,1E99)</f>
        <v/>
      </c>
      <c r="P132" s="154">
        <f>IF(P42&gt;0,P72/P42,1E99)</f>
        <v/>
      </c>
      <c r="Q132" s="154">
        <f>IF(Q42&gt;0,Q72/Q42,1E99)</f>
        <v/>
      </c>
      <c r="R132" s="154">
        <f>IF(R42&gt;0,R72/R42,1E99)</f>
        <v/>
      </c>
      <c r="S132" s="154">
        <f>IF(S42&gt;0,S72/S42,1E99)</f>
        <v/>
      </c>
      <c r="T132" s="154">
        <f>IF(T42&gt;0,T72/T42,1E99)</f>
        <v/>
      </c>
      <c r="U132" s="154">
        <f>IF(U42&gt;0,U72/U42,1E99)</f>
        <v/>
      </c>
    </row>
    <row r="133">
      <c r="B133" s="154">
        <f>IF(B43&gt;0,B73/B43,1E99)</f>
        <v/>
      </c>
      <c r="C133" s="154">
        <f>IF(C43&gt;0,C73/C43,1E99)</f>
        <v/>
      </c>
      <c r="D133" s="154">
        <f>IF(D43&gt;0,D73/D43,1E99)</f>
        <v/>
      </c>
      <c r="E133" s="154">
        <f>IF(E43&gt;0,E73/E43,1E99)</f>
        <v/>
      </c>
      <c r="F133" s="154">
        <f>IF(F43&gt;0,F73/F43,1E99)</f>
        <v/>
      </c>
      <c r="G133" s="154">
        <f>IF(G43&gt;0,G73/G43,1E99)</f>
        <v/>
      </c>
      <c r="H133" s="154">
        <f>IF(H43&gt;0,H73/H43,1E99)</f>
        <v/>
      </c>
      <c r="I133" s="154">
        <f>IF(I43&gt;0,I73/I43,1E99)</f>
        <v/>
      </c>
      <c r="J133" s="154">
        <f>IF(J43&gt;0,J73/J43,1E99)</f>
        <v/>
      </c>
      <c r="K133" s="154">
        <f>IF(K43&gt;0,K73/K43,1E99)</f>
        <v/>
      </c>
      <c r="L133" s="154">
        <f>IF(L43&gt;0,L73/L43,1E99)</f>
        <v/>
      </c>
      <c r="M133" s="154">
        <f>IF(M43&gt;0,M73/M43,1E99)</f>
        <v/>
      </c>
      <c r="N133" s="154">
        <f>IF(N43&gt;0,N73/N43,1E99)</f>
        <v/>
      </c>
      <c r="O133" s="154">
        <f>IF(O43&gt;0,O73/O43,1E99)</f>
        <v/>
      </c>
      <c r="P133" s="154">
        <f>IF(P43&gt;0,P73/P43,1E99)</f>
        <v/>
      </c>
      <c r="Q133" s="154">
        <f>IF(Q43&gt;0,Q73/Q43,1E99)</f>
        <v/>
      </c>
      <c r="R133" s="154">
        <f>IF(R43&gt;0,R73/R43,1E99)</f>
        <v/>
      </c>
      <c r="S133" s="154">
        <f>IF(S43&gt;0,S73/S43,1E99)</f>
        <v/>
      </c>
      <c r="T133" s="154">
        <f>IF(T43&gt;0,T73/T43,1E99)</f>
        <v/>
      </c>
      <c r="U133" s="154">
        <f>IF(U43&gt;0,U73/U43,1E99)</f>
        <v/>
      </c>
    </row>
    <row r="134">
      <c r="B134" s="154">
        <f>IF(B44&gt;0,B74/B44,1E99)</f>
        <v/>
      </c>
      <c r="C134" s="154">
        <f>IF(C44&gt;0,C74/C44,1E99)</f>
        <v/>
      </c>
      <c r="D134" s="154">
        <f>IF(D44&gt;0,D74/D44,1E99)</f>
        <v/>
      </c>
      <c r="E134" s="154">
        <f>IF(E44&gt;0,E74/E44,1E99)</f>
        <v/>
      </c>
      <c r="F134" s="154">
        <f>IF(F44&gt;0,F74/F44,1E99)</f>
        <v/>
      </c>
      <c r="G134" s="154">
        <f>IF(G44&gt;0,G74/G44,1E99)</f>
        <v/>
      </c>
      <c r="H134" s="154">
        <f>IF(H44&gt;0,H74/H44,1E99)</f>
        <v/>
      </c>
      <c r="I134" s="154">
        <f>IF(I44&gt;0,I74/I44,1E99)</f>
        <v/>
      </c>
      <c r="J134" s="154">
        <f>IF(J44&gt;0,J74/J44,1E99)</f>
        <v/>
      </c>
      <c r="K134" s="154">
        <f>IF(K44&gt;0,K74/K44,1E99)</f>
        <v/>
      </c>
      <c r="L134" s="154">
        <f>IF(L44&gt;0,L74/L44,1E99)</f>
        <v/>
      </c>
      <c r="M134" s="154">
        <f>IF(M44&gt;0,M74/M44,1E99)</f>
        <v/>
      </c>
      <c r="N134" s="154">
        <f>IF(N44&gt;0,N74/N44,1E99)</f>
        <v/>
      </c>
      <c r="O134" s="154">
        <f>IF(O44&gt;0,O74/O44,1E99)</f>
        <v/>
      </c>
      <c r="P134" s="154">
        <f>IF(P44&gt;0,P74/P44,1E99)</f>
        <v/>
      </c>
      <c r="Q134" s="154">
        <f>IF(Q44&gt;0,Q74/Q44,1E99)</f>
        <v/>
      </c>
      <c r="R134" s="154">
        <f>IF(R44&gt;0,R74/R44,1E99)</f>
        <v/>
      </c>
      <c r="S134" s="154">
        <f>IF(S44&gt;0,S74/S44,1E99)</f>
        <v/>
      </c>
      <c r="T134" s="154">
        <f>IF(T44&gt;0,T74/T44,1E99)</f>
        <v/>
      </c>
      <c r="U134" s="154">
        <f>IF(U44&gt;0,U74/U44,1E99)</f>
        <v/>
      </c>
    </row>
    <row r="135">
      <c r="B135" s="154">
        <f>IF(B45&gt;0,B75/B45,1E99)</f>
        <v/>
      </c>
      <c r="C135" s="154">
        <f>IF(C45&gt;0,C75/C45,1E99)</f>
        <v/>
      </c>
      <c r="D135" s="154">
        <f>IF(D45&gt;0,D75/D45,1E99)</f>
        <v/>
      </c>
      <c r="E135" s="154">
        <f>IF(E45&gt;0,E75/E45,1E99)</f>
        <v/>
      </c>
      <c r="F135" s="154">
        <f>IF(F45&gt;0,F75/F45,1E99)</f>
        <v/>
      </c>
      <c r="G135" s="154">
        <f>IF(G45&gt;0,G75/G45,1E99)</f>
        <v/>
      </c>
      <c r="H135" s="154">
        <f>IF(H45&gt;0,H75/H45,1E99)</f>
        <v/>
      </c>
      <c r="I135" s="154">
        <f>IF(I45&gt;0,I75/I45,1E99)</f>
        <v/>
      </c>
      <c r="J135" s="154">
        <f>IF(J45&gt;0,J75/J45,1E99)</f>
        <v/>
      </c>
      <c r="K135" s="154">
        <f>IF(K45&gt;0,K75/K45,1E99)</f>
        <v/>
      </c>
      <c r="L135" s="154">
        <f>IF(L45&gt;0,L75/L45,1E99)</f>
        <v/>
      </c>
      <c r="M135" s="154">
        <f>IF(M45&gt;0,M75/M45,1E99)</f>
        <v/>
      </c>
      <c r="N135" s="154">
        <f>IF(N45&gt;0,N75/N45,1E99)</f>
        <v/>
      </c>
      <c r="O135" s="154">
        <f>IF(O45&gt;0,O75/O45,1E99)</f>
        <v/>
      </c>
      <c r="P135" s="154">
        <f>IF(P45&gt;0,P75/P45,1E99)</f>
        <v/>
      </c>
      <c r="Q135" s="154">
        <f>IF(Q45&gt;0,Q75/Q45,1E99)</f>
        <v/>
      </c>
      <c r="R135" s="154">
        <f>IF(R45&gt;0,R75/R45,1E99)</f>
        <v/>
      </c>
      <c r="S135" s="154">
        <f>IF(S45&gt;0,S75/S45,1E99)</f>
        <v/>
      </c>
      <c r="T135" s="154">
        <f>IF(T45&gt;0,T75/T45,1E99)</f>
        <v/>
      </c>
      <c r="U135" s="154">
        <f>IF(U45&gt;0,U75/U45,1E99)</f>
        <v/>
      </c>
    </row>
    <row r="136">
      <c r="B136" s="154">
        <f>IF(B46&gt;0,B76/B46,1E99)</f>
        <v/>
      </c>
      <c r="C136" s="154">
        <f>IF(C46&gt;0,C76/C46,1E99)</f>
        <v/>
      </c>
      <c r="D136" s="154">
        <f>IF(D46&gt;0,D76/D46,1E99)</f>
        <v/>
      </c>
      <c r="E136" s="154">
        <f>IF(E46&gt;0,E76/E46,1E99)</f>
        <v/>
      </c>
      <c r="F136" s="154">
        <f>IF(F46&gt;0,F76/F46,1E99)</f>
        <v/>
      </c>
      <c r="G136" s="154">
        <f>IF(G46&gt;0,G76/G46,1E99)</f>
        <v/>
      </c>
      <c r="H136" s="154">
        <f>IF(H46&gt;0,H76/H46,1E99)</f>
        <v/>
      </c>
      <c r="I136" s="154">
        <f>IF(I46&gt;0,I76/I46,1E99)</f>
        <v/>
      </c>
      <c r="J136" s="154">
        <f>IF(J46&gt;0,J76/J46,1E99)</f>
        <v/>
      </c>
      <c r="K136" s="154">
        <f>IF(K46&gt;0,K76/K46,1E99)</f>
        <v/>
      </c>
      <c r="L136" s="154">
        <f>IF(L46&gt;0,L76/L46,1E99)</f>
        <v/>
      </c>
      <c r="M136" s="154">
        <f>IF(M46&gt;0,M76/M46,1E99)</f>
        <v/>
      </c>
      <c r="N136" s="154">
        <f>IF(N46&gt;0,N76/N46,1E99)</f>
        <v/>
      </c>
      <c r="O136" s="154">
        <f>IF(O46&gt;0,O76/O46,1E99)</f>
        <v/>
      </c>
      <c r="P136" s="154">
        <f>IF(P46&gt;0,P76/P46,1E99)</f>
        <v/>
      </c>
      <c r="Q136" s="154">
        <f>IF(Q46&gt;0,Q76/Q46,1E99)</f>
        <v/>
      </c>
      <c r="R136" s="154">
        <f>IF(R46&gt;0,R76/R46,1E99)</f>
        <v/>
      </c>
      <c r="S136" s="154">
        <f>IF(S46&gt;0,S76/S46,1E99)</f>
        <v/>
      </c>
      <c r="T136" s="154">
        <f>IF(T46&gt;0,T76/T46,1E99)</f>
        <v/>
      </c>
      <c r="U136" s="154">
        <f>IF(U46&gt;0,U76/U46,1E99)</f>
        <v/>
      </c>
    </row>
    <row r="137">
      <c r="B137" s="154">
        <f>IF(B47&gt;0,B77/B47,1E99)</f>
        <v/>
      </c>
      <c r="C137" s="154">
        <f>IF(C47&gt;0,C77/C47,1E99)</f>
        <v/>
      </c>
      <c r="D137" s="154">
        <f>IF(D47&gt;0,D77/D47,1E99)</f>
        <v/>
      </c>
      <c r="E137" s="154">
        <f>IF(E47&gt;0,E77/E47,1E99)</f>
        <v/>
      </c>
      <c r="F137" s="154">
        <f>IF(F47&gt;0,F77/F47,1E99)</f>
        <v/>
      </c>
      <c r="G137" s="154">
        <f>IF(G47&gt;0,G77/G47,1E99)</f>
        <v/>
      </c>
      <c r="H137" s="154">
        <f>IF(H47&gt;0,H77/H47,1E99)</f>
        <v/>
      </c>
      <c r="I137" s="154">
        <f>IF(I47&gt;0,I77/I47,1E99)</f>
        <v/>
      </c>
      <c r="J137" s="154">
        <f>IF(J47&gt;0,J77/J47,1E99)</f>
        <v/>
      </c>
      <c r="K137" s="154">
        <f>IF(K47&gt;0,K77/K47,1E99)</f>
        <v/>
      </c>
      <c r="L137" s="154">
        <f>IF(L47&gt;0,L77/L47,1E99)</f>
        <v/>
      </c>
      <c r="M137" s="154">
        <f>IF(M47&gt;0,M77/M47,1E99)</f>
        <v/>
      </c>
      <c r="N137" s="154">
        <f>IF(N47&gt;0,N77/N47,1E99)</f>
        <v/>
      </c>
      <c r="O137" s="154">
        <f>IF(O47&gt;0,O77/O47,1E99)</f>
        <v/>
      </c>
      <c r="P137" s="154">
        <f>IF(P47&gt;0,P77/P47,1E99)</f>
        <v/>
      </c>
      <c r="Q137" s="154">
        <f>IF(Q47&gt;0,Q77/Q47,1E99)</f>
        <v/>
      </c>
      <c r="R137" s="154">
        <f>IF(R47&gt;0,R77/R47,1E99)</f>
        <v/>
      </c>
      <c r="S137" s="154">
        <f>IF(S47&gt;0,S77/S47,1E99)</f>
        <v/>
      </c>
      <c r="T137" s="154">
        <f>IF(T47&gt;0,T77/T47,1E99)</f>
        <v/>
      </c>
      <c r="U137" s="154">
        <f>IF(U47&gt;0,U77/U47,1E99)</f>
        <v/>
      </c>
    </row>
    <row r="138">
      <c r="B138" s="154">
        <f>IF(B48&gt;0,B78/B48,1E99)</f>
        <v/>
      </c>
      <c r="C138" s="154">
        <f>IF(C48&gt;0,C78/C48,1E99)</f>
        <v/>
      </c>
      <c r="D138" s="154">
        <f>IF(D48&gt;0,D78/D48,1E99)</f>
        <v/>
      </c>
      <c r="E138" s="154">
        <f>IF(E48&gt;0,E78/E48,1E99)</f>
        <v/>
      </c>
      <c r="F138" s="154">
        <f>IF(F48&gt;0,F78/F48,1E99)</f>
        <v/>
      </c>
      <c r="G138" s="154">
        <f>IF(G48&gt;0,G78/G48,1E99)</f>
        <v/>
      </c>
      <c r="H138" s="154">
        <f>IF(H48&gt;0,H78/H48,1E99)</f>
        <v/>
      </c>
      <c r="I138" s="154">
        <f>IF(I48&gt;0,I78/I48,1E99)</f>
        <v/>
      </c>
      <c r="J138" s="154">
        <f>IF(J48&gt;0,J78/J48,1E99)</f>
        <v/>
      </c>
      <c r="K138" s="154">
        <f>IF(K48&gt;0,K78/K48,1E99)</f>
        <v/>
      </c>
      <c r="L138" s="154">
        <f>IF(L48&gt;0,L78/L48,1E99)</f>
        <v/>
      </c>
      <c r="M138" s="154">
        <f>IF(M48&gt;0,M78/M48,1E99)</f>
        <v/>
      </c>
      <c r="N138" s="154">
        <f>IF(N48&gt;0,N78/N48,1E99)</f>
        <v/>
      </c>
      <c r="O138" s="154">
        <f>IF(O48&gt;0,O78/O48,1E99)</f>
        <v/>
      </c>
      <c r="P138" s="154">
        <f>IF(P48&gt;0,P78/P48,1E99)</f>
        <v/>
      </c>
      <c r="Q138" s="154">
        <f>IF(Q48&gt;0,Q78/Q48,1E99)</f>
        <v/>
      </c>
      <c r="R138" s="154">
        <f>IF(R48&gt;0,R78/R48,1E99)</f>
        <v/>
      </c>
      <c r="S138" s="154">
        <f>IF(S48&gt;0,S78/S48,1E99)</f>
        <v/>
      </c>
      <c r="T138" s="154">
        <f>IF(T48&gt;0,T78/T48,1E99)</f>
        <v/>
      </c>
      <c r="U138" s="154">
        <f>IF(U48&gt;0,U78/U48,1E99)</f>
        <v/>
      </c>
    </row>
    <row r="144">
      <c r="B144" s="154">
        <f>B24*B$22</f>
        <v/>
      </c>
      <c r="C144" s="154">
        <f>C24*C$22</f>
        <v/>
      </c>
      <c r="D144" s="154">
        <f>D24*D$22</f>
        <v/>
      </c>
      <c r="E144" s="154">
        <f>E24*E$22</f>
        <v/>
      </c>
      <c r="F144" s="154">
        <f>F24*F$22</f>
        <v/>
      </c>
      <c r="G144" s="154">
        <f>G24*G$22</f>
        <v/>
      </c>
      <c r="H144" s="154">
        <f>H24*H$22</f>
        <v/>
      </c>
      <c r="I144" s="154">
        <f>I24*I$22</f>
        <v/>
      </c>
      <c r="J144" s="154">
        <f>J24*J$22</f>
        <v/>
      </c>
      <c r="K144" s="154">
        <f>K24*K$22</f>
        <v/>
      </c>
      <c r="L144" s="154">
        <f>L24*L$22</f>
        <v/>
      </c>
      <c r="M144" s="154">
        <f>M24*M$22</f>
        <v/>
      </c>
      <c r="N144" s="154">
        <f>N24*N$22</f>
        <v/>
      </c>
      <c r="O144" s="154">
        <f>O24*O$22</f>
        <v/>
      </c>
      <c r="P144" s="154">
        <f>P24*P$22</f>
        <v/>
      </c>
      <c r="Q144" s="154">
        <f>Q24*Q$22</f>
        <v/>
      </c>
      <c r="R144" s="154">
        <f>R24*R$22</f>
        <v/>
      </c>
      <c r="S144" s="154">
        <f>S24*S$22</f>
        <v/>
      </c>
      <c r="T144" s="154">
        <f>T24*T$22</f>
        <v/>
      </c>
      <c r="U144" s="154">
        <f>U24*U$22</f>
        <v/>
      </c>
    </row>
    <row r="145">
      <c r="B145" s="154">
        <f>B25*B$22</f>
        <v/>
      </c>
      <c r="C145" s="154">
        <f>C25*C$22</f>
        <v/>
      </c>
      <c r="D145" s="154">
        <f>D25*D$22</f>
        <v/>
      </c>
      <c r="E145" s="154">
        <f>E25*E$22</f>
        <v/>
      </c>
      <c r="F145" s="154">
        <f>F25*F$22</f>
        <v/>
      </c>
      <c r="G145" s="154">
        <f>G25*G$22</f>
        <v/>
      </c>
      <c r="H145" s="154">
        <f>H25*H$22</f>
        <v/>
      </c>
      <c r="I145" s="154">
        <f>I25*I$22</f>
        <v/>
      </c>
      <c r="J145" s="154">
        <f>J25*J$22</f>
        <v/>
      </c>
      <c r="K145" s="154">
        <f>K25*K$22</f>
        <v/>
      </c>
      <c r="L145" s="154">
        <f>L25*L$22</f>
        <v/>
      </c>
      <c r="M145" s="154">
        <f>M25*M$22</f>
        <v/>
      </c>
      <c r="N145" s="154">
        <f>N25*N$22</f>
        <v/>
      </c>
      <c r="O145" s="154">
        <f>O25*O$22</f>
        <v/>
      </c>
      <c r="P145" s="154">
        <f>P25*P$22</f>
        <v/>
      </c>
      <c r="Q145" s="154">
        <f>Q25*Q$22</f>
        <v/>
      </c>
      <c r="R145" s="154">
        <f>R25*R$22</f>
        <v/>
      </c>
      <c r="S145" s="154">
        <f>S25*S$22</f>
        <v/>
      </c>
      <c r="T145" s="154">
        <f>T25*T$22</f>
        <v/>
      </c>
      <c r="U145" s="154">
        <f>U25*U$22</f>
        <v/>
      </c>
    </row>
    <row r="146">
      <c r="B146" s="154">
        <f>B26*B$22</f>
        <v/>
      </c>
      <c r="C146" s="154">
        <f>C26*C$22</f>
        <v/>
      </c>
      <c r="D146" s="154">
        <f>D26*D$22</f>
        <v/>
      </c>
      <c r="E146" s="154">
        <f>E26*E$22</f>
        <v/>
      </c>
      <c r="F146" s="154">
        <f>F26*F$22</f>
        <v/>
      </c>
      <c r="G146" s="154">
        <f>G26*G$22</f>
        <v/>
      </c>
      <c r="H146" s="154">
        <f>H26*H$22</f>
        <v/>
      </c>
      <c r="I146" s="154">
        <f>I26*I$22</f>
        <v/>
      </c>
      <c r="J146" s="154">
        <f>J26*J$22</f>
        <v/>
      </c>
      <c r="K146" s="154">
        <f>K26*K$22</f>
        <v/>
      </c>
      <c r="L146" s="154">
        <f>L26*L$22</f>
        <v/>
      </c>
      <c r="M146" s="154">
        <f>M26*M$22</f>
        <v/>
      </c>
      <c r="N146" s="154">
        <f>N26*N$22</f>
        <v/>
      </c>
      <c r="O146" s="154">
        <f>O26*O$22</f>
        <v/>
      </c>
      <c r="P146" s="154">
        <f>P26*P$22</f>
        <v/>
      </c>
      <c r="Q146" s="154">
        <f>Q26*Q$22</f>
        <v/>
      </c>
      <c r="R146" s="154">
        <f>R26*R$22</f>
        <v/>
      </c>
      <c r="S146" s="154">
        <f>S26*S$22</f>
        <v/>
      </c>
      <c r="T146" s="154">
        <f>T26*T$22</f>
        <v/>
      </c>
      <c r="U146" s="154">
        <f>U26*U$22</f>
        <v/>
      </c>
    </row>
    <row r="147">
      <c r="B147" s="154">
        <f>B27*B$22</f>
        <v/>
      </c>
      <c r="C147" s="154">
        <f>C27*C$22</f>
        <v/>
      </c>
      <c r="D147" s="154">
        <f>D27*D$22</f>
        <v/>
      </c>
      <c r="E147" s="154">
        <f>E27*E$22</f>
        <v/>
      </c>
      <c r="F147" s="154">
        <f>F27*F$22</f>
        <v/>
      </c>
      <c r="G147" s="154">
        <f>G27*G$22</f>
        <v/>
      </c>
      <c r="H147" s="154">
        <f>H27*H$22</f>
        <v/>
      </c>
      <c r="I147" s="154">
        <f>I27*I$22</f>
        <v/>
      </c>
      <c r="J147" s="154">
        <f>J27*J$22</f>
        <v/>
      </c>
      <c r="K147" s="154">
        <f>K27*K$22</f>
        <v/>
      </c>
      <c r="L147" s="154">
        <f>L27*L$22</f>
        <v/>
      </c>
      <c r="M147" s="154">
        <f>M27*M$22</f>
        <v/>
      </c>
      <c r="N147" s="154">
        <f>N27*N$22</f>
        <v/>
      </c>
      <c r="O147" s="154">
        <f>O27*O$22</f>
        <v/>
      </c>
      <c r="P147" s="154">
        <f>P27*P$22</f>
        <v/>
      </c>
      <c r="Q147" s="154">
        <f>Q27*Q$22</f>
        <v/>
      </c>
      <c r="R147" s="154">
        <f>R27*R$22</f>
        <v/>
      </c>
      <c r="S147" s="154">
        <f>S27*S$22</f>
        <v/>
      </c>
      <c r="T147" s="154">
        <f>T27*T$22</f>
        <v/>
      </c>
      <c r="U147" s="154">
        <f>U27*U$22</f>
        <v/>
      </c>
    </row>
    <row r="148">
      <c r="B148" s="154">
        <f>B28*B$22</f>
        <v/>
      </c>
      <c r="C148" s="154">
        <f>C28*C$22</f>
        <v/>
      </c>
      <c r="D148" s="154">
        <f>D28*D$22</f>
        <v/>
      </c>
      <c r="E148" s="154">
        <f>E28*E$22</f>
        <v/>
      </c>
      <c r="F148" s="154">
        <f>F28*F$22</f>
        <v/>
      </c>
      <c r="G148" s="154">
        <f>G28*G$22</f>
        <v/>
      </c>
      <c r="H148" s="154">
        <f>H28*H$22</f>
        <v/>
      </c>
      <c r="I148" s="154">
        <f>I28*I$22</f>
        <v/>
      </c>
      <c r="J148" s="154">
        <f>J28*J$22</f>
        <v/>
      </c>
      <c r="K148" s="154">
        <f>K28*K$22</f>
        <v/>
      </c>
      <c r="L148" s="154">
        <f>L28*L$22</f>
        <v/>
      </c>
      <c r="M148" s="154">
        <f>M28*M$22</f>
        <v/>
      </c>
      <c r="N148" s="154">
        <f>N28*N$22</f>
        <v/>
      </c>
      <c r="O148" s="154">
        <f>O28*O$22</f>
        <v/>
      </c>
      <c r="P148" s="154">
        <f>P28*P$22</f>
        <v/>
      </c>
      <c r="Q148" s="154">
        <f>Q28*Q$22</f>
        <v/>
      </c>
      <c r="R148" s="154">
        <f>R28*R$22</f>
        <v/>
      </c>
      <c r="S148" s="154">
        <f>S28*S$22</f>
        <v/>
      </c>
      <c r="T148" s="154">
        <f>T28*T$22</f>
        <v/>
      </c>
      <c r="U148" s="154">
        <f>U28*U$22</f>
        <v/>
      </c>
    </row>
    <row r="149">
      <c r="B149" s="154">
        <f>B29*B$22</f>
        <v/>
      </c>
      <c r="C149" s="154">
        <f>C29*C$22</f>
        <v/>
      </c>
      <c r="D149" s="154">
        <f>D29*D$22</f>
        <v/>
      </c>
      <c r="E149" s="154">
        <f>E29*E$22</f>
        <v/>
      </c>
      <c r="F149" s="154">
        <f>F29*F$22</f>
        <v/>
      </c>
      <c r="G149" s="154">
        <f>G29*G$22</f>
        <v/>
      </c>
      <c r="H149" s="154">
        <f>H29*H$22</f>
        <v/>
      </c>
      <c r="I149" s="154">
        <f>I29*I$22</f>
        <v/>
      </c>
      <c r="J149" s="154">
        <f>J29*J$22</f>
        <v/>
      </c>
      <c r="K149" s="154">
        <f>K29*K$22</f>
        <v/>
      </c>
      <c r="L149" s="154">
        <f>L29*L$22</f>
        <v/>
      </c>
      <c r="M149" s="154">
        <f>M29*M$22</f>
        <v/>
      </c>
      <c r="N149" s="154">
        <f>N29*N$22</f>
        <v/>
      </c>
      <c r="O149" s="154">
        <f>O29*O$22</f>
        <v/>
      </c>
      <c r="P149" s="154">
        <f>P29*P$22</f>
        <v/>
      </c>
      <c r="Q149" s="154">
        <f>Q29*Q$22</f>
        <v/>
      </c>
      <c r="R149" s="154">
        <f>R29*R$22</f>
        <v/>
      </c>
      <c r="S149" s="154">
        <f>S29*S$22</f>
        <v/>
      </c>
      <c r="T149" s="154">
        <f>T29*T$22</f>
        <v/>
      </c>
      <c r="U149" s="154">
        <f>U29*U$22</f>
        <v/>
      </c>
    </row>
    <row r="150">
      <c r="B150" s="154">
        <f>B30*B$22</f>
        <v/>
      </c>
      <c r="C150" s="154">
        <f>C30*C$22</f>
        <v/>
      </c>
      <c r="D150" s="154">
        <f>D30*D$22</f>
        <v/>
      </c>
      <c r="E150" s="154">
        <f>E30*E$22</f>
        <v/>
      </c>
      <c r="F150" s="154">
        <f>F30*F$22</f>
        <v/>
      </c>
      <c r="G150" s="154">
        <f>G30*G$22</f>
        <v/>
      </c>
      <c r="H150" s="154">
        <f>H30*H$22</f>
        <v/>
      </c>
      <c r="I150" s="154">
        <f>I30*I$22</f>
        <v/>
      </c>
      <c r="J150" s="154">
        <f>J30*J$22</f>
        <v/>
      </c>
      <c r="K150" s="154">
        <f>K30*K$22</f>
        <v/>
      </c>
      <c r="L150" s="154">
        <f>L30*L$22</f>
        <v/>
      </c>
      <c r="M150" s="154">
        <f>M30*M$22</f>
        <v/>
      </c>
      <c r="N150" s="154">
        <f>N30*N$22</f>
        <v/>
      </c>
      <c r="O150" s="154">
        <f>O30*O$22</f>
        <v/>
      </c>
      <c r="P150" s="154">
        <f>P30*P$22</f>
        <v/>
      </c>
      <c r="Q150" s="154">
        <f>Q30*Q$22</f>
        <v/>
      </c>
      <c r="R150" s="154">
        <f>R30*R$22</f>
        <v/>
      </c>
      <c r="S150" s="154">
        <f>S30*S$22</f>
        <v/>
      </c>
      <c r="T150" s="154">
        <f>T30*T$22</f>
        <v/>
      </c>
      <c r="U150" s="154">
        <f>U30*U$22</f>
        <v/>
      </c>
    </row>
    <row r="151">
      <c r="B151" s="154">
        <f>B31*B$22</f>
        <v/>
      </c>
      <c r="C151" s="154">
        <f>C31*C$22</f>
        <v/>
      </c>
      <c r="D151" s="154">
        <f>D31*D$22</f>
        <v/>
      </c>
      <c r="E151" s="154">
        <f>E31*E$22</f>
        <v/>
      </c>
      <c r="F151" s="154">
        <f>F31*F$22</f>
        <v/>
      </c>
      <c r="G151" s="154">
        <f>G31*G$22</f>
        <v/>
      </c>
      <c r="H151" s="154">
        <f>H31*H$22</f>
        <v/>
      </c>
      <c r="I151" s="154">
        <f>I31*I$22</f>
        <v/>
      </c>
      <c r="J151" s="154">
        <f>J31*J$22</f>
        <v/>
      </c>
      <c r="K151" s="154">
        <f>K31*K$22</f>
        <v/>
      </c>
      <c r="L151" s="154">
        <f>L31*L$22</f>
        <v/>
      </c>
      <c r="M151" s="154">
        <f>M31*M$22</f>
        <v/>
      </c>
      <c r="N151" s="154">
        <f>N31*N$22</f>
        <v/>
      </c>
      <c r="O151" s="154">
        <f>O31*O$22</f>
        <v/>
      </c>
      <c r="P151" s="154">
        <f>P31*P$22</f>
        <v/>
      </c>
      <c r="Q151" s="154">
        <f>Q31*Q$22</f>
        <v/>
      </c>
      <c r="R151" s="154">
        <f>R31*R$22</f>
        <v/>
      </c>
      <c r="S151" s="154">
        <f>S31*S$22</f>
        <v/>
      </c>
      <c r="T151" s="154">
        <f>T31*T$22</f>
        <v/>
      </c>
      <c r="U151" s="154">
        <f>U31*U$22</f>
        <v/>
      </c>
    </row>
    <row r="152">
      <c r="B152" s="154">
        <f>B32*B$22</f>
        <v/>
      </c>
      <c r="C152" s="154">
        <f>C32*C$22</f>
        <v/>
      </c>
      <c r="D152" s="154">
        <f>D32*D$22</f>
        <v/>
      </c>
      <c r="E152" s="154">
        <f>E32*E$22</f>
        <v/>
      </c>
      <c r="F152" s="154">
        <f>F32*F$22</f>
        <v/>
      </c>
      <c r="G152" s="154">
        <f>G32*G$22</f>
        <v/>
      </c>
      <c r="H152" s="154">
        <f>H32*H$22</f>
        <v/>
      </c>
      <c r="I152" s="154">
        <f>I32*I$22</f>
        <v/>
      </c>
      <c r="J152" s="154">
        <f>J32*J$22</f>
        <v/>
      </c>
      <c r="K152" s="154">
        <f>K32*K$22</f>
        <v/>
      </c>
      <c r="L152" s="154">
        <f>L32*L$22</f>
        <v/>
      </c>
      <c r="M152" s="154">
        <f>M32*M$22</f>
        <v/>
      </c>
      <c r="N152" s="154">
        <f>N32*N$22</f>
        <v/>
      </c>
      <c r="O152" s="154">
        <f>O32*O$22</f>
        <v/>
      </c>
      <c r="P152" s="154">
        <f>P32*P$22</f>
        <v/>
      </c>
      <c r="Q152" s="154">
        <f>Q32*Q$22</f>
        <v/>
      </c>
      <c r="R152" s="154">
        <f>R32*R$22</f>
        <v/>
      </c>
      <c r="S152" s="154">
        <f>S32*S$22</f>
        <v/>
      </c>
      <c r="T152" s="154">
        <f>T32*T$22</f>
        <v/>
      </c>
      <c r="U152" s="154">
        <f>U32*U$22</f>
        <v/>
      </c>
    </row>
    <row r="153">
      <c r="B153" s="154">
        <f>B33*B$22</f>
        <v/>
      </c>
      <c r="C153" s="154">
        <f>C33*C$22</f>
        <v/>
      </c>
      <c r="D153" s="154">
        <f>D33*D$22</f>
        <v/>
      </c>
      <c r="E153" s="154">
        <f>E33*E$22</f>
        <v/>
      </c>
      <c r="F153" s="154">
        <f>F33*F$22</f>
        <v/>
      </c>
      <c r="G153" s="154">
        <f>G33*G$22</f>
        <v/>
      </c>
      <c r="H153" s="154">
        <f>H33*H$22</f>
        <v/>
      </c>
      <c r="I153" s="154">
        <f>I33*I$22</f>
        <v/>
      </c>
      <c r="J153" s="154">
        <f>J33*J$22</f>
        <v/>
      </c>
      <c r="K153" s="154">
        <f>K33*K$22</f>
        <v/>
      </c>
      <c r="L153" s="154">
        <f>L33*L$22</f>
        <v/>
      </c>
      <c r="M153" s="154">
        <f>M33*M$22</f>
        <v/>
      </c>
      <c r="N153" s="154">
        <f>N33*N$22</f>
        <v/>
      </c>
      <c r="O153" s="154">
        <f>O33*O$22</f>
        <v/>
      </c>
      <c r="P153" s="154">
        <f>P33*P$22</f>
        <v/>
      </c>
      <c r="Q153" s="154">
        <f>Q33*Q$22</f>
        <v/>
      </c>
      <c r="R153" s="154">
        <f>R33*R$22</f>
        <v/>
      </c>
      <c r="S153" s="154">
        <f>S33*S$22</f>
        <v/>
      </c>
      <c r="T153" s="154">
        <f>T33*T$22</f>
        <v/>
      </c>
      <c r="U153" s="154">
        <f>U33*U$22</f>
        <v/>
      </c>
    </row>
    <row r="154">
      <c r="B154" s="154">
        <f>B34*B$22</f>
        <v/>
      </c>
      <c r="C154" s="154">
        <f>C34*C$22</f>
        <v/>
      </c>
      <c r="D154" s="154">
        <f>D34*D$22</f>
        <v/>
      </c>
      <c r="E154" s="154">
        <f>E34*E$22</f>
        <v/>
      </c>
      <c r="F154" s="154">
        <f>F34*F$22</f>
        <v/>
      </c>
      <c r="G154" s="154">
        <f>G34*G$22</f>
        <v/>
      </c>
      <c r="H154" s="154">
        <f>H34*H$22</f>
        <v/>
      </c>
      <c r="I154" s="154">
        <f>I34*I$22</f>
        <v/>
      </c>
      <c r="J154" s="154">
        <f>J34*J$22</f>
        <v/>
      </c>
      <c r="K154" s="154">
        <f>K34*K$22</f>
        <v/>
      </c>
      <c r="L154" s="154">
        <f>L34*L$22</f>
        <v/>
      </c>
      <c r="M154" s="154">
        <f>M34*M$22</f>
        <v/>
      </c>
      <c r="N154" s="154">
        <f>N34*N$22</f>
        <v/>
      </c>
      <c r="O154" s="154">
        <f>O34*O$22</f>
        <v/>
      </c>
      <c r="P154" s="154">
        <f>P34*P$22</f>
        <v/>
      </c>
      <c r="Q154" s="154">
        <f>Q34*Q$22</f>
        <v/>
      </c>
      <c r="R154" s="154">
        <f>R34*R$22</f>
        <v/>
      </c>
      <c r="S154" s="154">
        <f>S34*S$22</f>
        <v/>
      </c>
      <c r="T154" s="154">
        <f>T34*T$22</f>
        <v/>
      </c>
      <c r="U154" s="154">
        <f>U34*U$22</f>
        <v/>
      </c>
    </row>
    <row r="155">
      <c r="B155" s="154">
        <f>B35*B$22</f>
        <v/>
      </c>
      <c r="C155" s="154">
        <f>C35*C$22</f>
        <v/>
      </c>
      <c r="D155" s="154">
        <f>D35*D$22</f>
        <v/>
      </c>
      <c r="E155" s="154">
        <f>E35*E$22</f>
        <v/>
      </c>
      <c r="F155" s="154">
        <f>F35*F$22</f>
        <v/>
      </c>
      <c r="G155" s="154">
        <f>G35*G$22</f>
        <v/>
      </c>
      <c r="H155" s="154">
        <f>H35*H$22</f>
        <v/>
      </c>
      <c r="I155" s="154">
        <f>I35*I$22</f>
        <v/>
      </c>
      <c r="J155" s="154">
        <f>J35*J$22</f>
        <v/>
      </c>
      <c r="K155" s="154">
        <f>K35*K$22</f>
        <v/>
      </c>
      <c r="L155" s="154">
        <f>L35*L$22</f>
        <v/>
      </c>
      <c r="M155" s="154">
        <f>M35*M$22</f>
        <v/>
      </c>
      <c r="N155" s="154">
        <f>N35*N$22</f>
        <v/>
      </c>
      <c r="O155" s="154">
        <f>O35*O$22</f>
        <v/>
      </c>
      <c r="P155" s="154">
        <f>P35*P$22</f>
        <v/>
      </c>
      <c r="Q155" s="154">
        <f>Q35*Q$22</f>
        <v/>
      </c>
      <c r="R155" s="154">
        <f>R35*R$22</f>
        <v/>
      </c>
      <c r="S155" s="154">
        <f>S35*S$22</f>
        <v/>
      </c>
      <c r="T155" s="154">
        <f>T35*T$22</f>
        <v/>
      </c>
      <c r="U155" s="154">
        <f>U35*U$22</f>
        <v/>
      </c>
    </row>
    <row r="156">
      <c r="B156" s="154">
        <f>B36*B$22</f>
        <v/>
      </c>
      <c r="C156" s="154">
        <f>C36*C$22</f>
        <v/>
      </c>
      <c r="D156" s="154">
        <f>D36*D$22</f>
        <v/>
      </c>
      <c r="E156" s="154">
        <f>E36*E$22</f>
        <v/>
      </c>
      <c r="F156" s="154">
        <f>F36*F$22</f>
        <v/>
      </c>
      <c r="G156" s="154">
        <f>G36*G$22</f>
        <v/>
      </c>
      <c r="H156" s="154">
        <f>H36*H$22</f>
        <v/>
      </c>
      <c r="I156" s="154">
        <f>I36*I$22</f>
        <v/>
      </c>
      <c r="J156" s="154">
        <f>J36*J$22</f>
        <v/>
      </c>
      <c r="K156" s="154">
        <f>K36*K$22</f>
        <v/>
      </c>
      <c r="L156" s="154">
        <f>L36*L$22</f>
        <v/>
      </c>
      <c r="M156" s="154">
        <f>M36*M$22</f>
        <v/>
      </c>
      <c r="N156" s="154">
        <f>N36*N$22</f>
        <v/>
      </c>
      <c r="O156" s="154">
        <f>O36*O$22</f>
        <v/>
      </c>
      <c r="P156" s="154">
        <f>P36*P$22</f>
        <v/>
      </c>
      <c r="Q156" s="154">
        <f>Q36*Q$22</f>
        <v/>
      </c>
      <c r="R156" s="154">
        <f>R36*R$22</f>
        <v/>
      </c>
      <c r="S156" s="154">
        <f>S36*S$22</f>
        <v/>
      </c>
      <c r="T156" s="154">
        <f>T36*T$22</f>
        <v/>
      </c>
      <c r="U156" s="154">
        <f>U36*U$22</f>
        <v/>
      </c>
    </row>
    <row r="157">
      <c r="B157" s="154">
        <f>B37*B$22</f>
        <v/>
      </c>
      <c r="C157" s="154">
        <f>C37*C$22</f>
        <v/>
      </c>
      <c r="D157" s="154">
        <f>D37*D$22</f>
        <v/>
      </c>
      <c r="E157" s="154">
        <f>E37*E$22</f>
        <v/>
      </c>
      <c r="F157" s="154">
        <f>F37*F$22</f>
        <v/>
      </c>
      <c r="G157" s="154">
        <f>G37*G$22</f>
        <v/>
      </c>
      <c r="H157" s="154">
        <f>H37*H$22</f>
        <v/>
      </c>
      <c r="I157" s="154">
        <f>I37*I$22</f>
        <v/>
      </c>
      <c r="J157" s="154">
        <f>J37*J$22</f>
        <v/>
      </c>
      <c r="K157" s="154">
        <f>K37*K$22</f>
        <v/>
      </c>
      <c r="L157" s="154">
        <f>L37*L$22</f>
        <v/>
      </c>
      <c r="M157" s="154">
        <f>M37*M$22</f>
        <v/>
      </c>
      <c r="N157" s="154">
        <f>N37*N$22</f>
        <v/>
      </c>
      <c r="O157" s="154">
        <f>O37*O$22</f>
        <v/>
      </c>
      <c r="P157" s="154">
        <f>P37*P$22</f>
        <v/>
      </c>
      <c r="Q157" s="154">
        <f>Q37*Q$22</f>
        <v/>
      </c>
      <c r="R157" s="154">
        <f>R37*R$22</f>
        <v/>
      </c>
      <c r="S157" s="154">
        <f>S37*S$22</f>
        <v/>
      </c>
      <c r="T157" s="154">
        <f>T37*T$22</f>
        <v/>
      </c>
      <c r="U157" s="154">
        <f>U37*U$22</f>
        <v/>
      </c>
    </row>
    <row r="158">
      <c r="B158" s="154">
        <f>B38*B$22</f>
        <v/>
      </c>
      <c r="C158" s="154">
        <f>C38*C$22</f>
        <v/>
      </c>
      <c r="D158" s="154">
        <f>D38*D$22</f>
        <v/>
      </c>
      <c r="E158" s="154">
        <f>E38*E$22</f>
        <v/>
      </c>
      <c r="F158" s="154">
        <f>F38*F$22</f>
        <v/>
      </c>
      <c r="G158" s="154">
        <f>G38*G$22</f>
        <v/>
      </c>
      <c r="H158" s="154">
        <f>H38*H$22</f>
        <v/>
      </c>
      <c r="I158" s="154">
        <f>I38*I$22</f>
        <v/>
      </c>
      <c r="J158" s="154">
        <f>J38*J$22</f>
        <v/>
      </c>
      <c r="K158" s="154">
        <f>K38*K$22</f>
        <v/>
      </c>
      <c r="L158" s="154">
        <f>L38*L$22</f>
        <v/>
      </c>
      <c r="M158" s="154">
        <f>M38*M$22</f>
        <v/>
      </c>
      <c r="N158" s="154">
        <f>N38*N$22</f>
        <v/>
      </c>
      <c r="O158" s="154">
        <f>O38*O$22</f>
        <v/>
      </c>
      <c r="P158" s="154">
        <f>P38*P$22</f>
        <v/>
      </c>
      <c r="Q158" s="154">
        <f>Q38*Q$22</f>
        <v/>
      </c>
      <c r="R158" s="154">
        <f>R38*R$22</f>
        <v/>
      </c>
      <c r="S158" s="154">
        <f>S38*S$22</f>
        <v/>
      </c>
      <c r="T158" s="154">
        <f>T38*T$22</f>
        <v/>
      </c>
      <c r="U158" s="154">
        <f>U38*U$22</f>
        <v/>
      </c>
    </row>
    <row r="159">
      <c r="B159" s="154">
        <f>B39*B$22</f>
        <v/>
      </c>
      <c r="C159" s="154">
        <f>C39*C$22</f>
        <v/>
      </c>
      <c r="D159" s="154">
        <f>D39*D$22</f>
        <v/>
      </c>
      <c r="E159" s="154">
        <f>E39*E$22</f>
        <v/>
      </c>
      <c r="F159" s="154">
        <f>F39*F$22</f>
        <v/>
      </c>
      <c r="G159" s="154">
        <f>G39*G$22</f>
        <v/>
      </c>
      <c r="H159" s="154">
        <f>H39*H$22</f>
        <v/>
      </c>
      <c r="I159" s="154">
        <f>I39*I$22</f>
        <v/>
      </c>
      <c r="J159" s="154">
        <f>J39*J$22</f>
        <v/>
      </c>
      <c r="K159" s="154">
        <f>K39*K$22</f>
        <v/>
      </c>
      <c r="L159" s="154">
        <f>L39*L$22</f>
        <v/>
      </c>
      <c r="M159" s="154">
        <f>M39*M$22</f>
        <v/>
      </c>
      <c r="N159" s="154">
        <f>N39*N$22</f>
        <v/>
      </c>
      <c r="O159" s="154">
        <f>O39*O$22</f>
        <v/>
      </c>
      <c r="P159" s="154">
        <f>P39*P$22</f>
        <v/>
      </c>
      <c r="Q159" s="154">
        <f>Q39*Q$22</f>
        <v/>
      </c>
      <c r="R159" s="154">
        <f>R39*R$22</f>
        <v/>
      </c>
      <c r="S159" s="154">
        <f>S39*S$22</f>
        <v/>
      </c>
      <c r="T159" s="154">
        <f>T39*T$22</f>
        <v/>
      </c>
      <c r="U159" s="154">
        <f>U39*U$22</f>
        <v/>
      </c>
    </row>
    <row r="160">
      <c r="B160" s="154">
        <f>B40*B$22</f>
        <v/>
      </c>
      <c r="C160" s="154">
        <f>C40*C$22</f>
        <v/>
      </c>
      <c r="D160" s="154">
        <f>D40*D$22</f>
        <v/>
      </c>
      <c r="E160" s="154">
        <f>E40*E$22</f>
        <v/>
      </c>
      <c r="F160" s="154">
        <f>F40*F$22</f>
        <v/>
      </c>
      <c r="G160" s="154">
        <f>G40*G$22</f>
        <v/>
      </c>
      <c r="H160" s="154">
        <f>H40*H$22</f>
        <v/>
      </c>
      <c r="I160" s="154">
        <f>I40*I$22</f>
        <v/>
      </c>
      <c r="J160" s="154">
        <f>J40*J$22</f>
        <v/>
      </c>
      <c r="K160" s="154">
        <f>K40*K$22</f>
        <v/>
      </c>
      <c r="L160" s="154">
        <f>L40*L$22</f>
        <v/>
      </c>
      <c r="M160" s="154">
        <f>M40*M$22</f>
        <v/>
      </c>
      <c r="N160" s="154">
        <f>N40*N$22</f>
        <v/>
      </c>
      <c r="O160" s="154">
        <f>O40*O$22</f>
        <v/>
      </c>
      <c r="P160" s="154">
        <f>P40*P$22</f>
        <v/>
      </c>
      <c r="Q160" s="154">
        <f>Q40*Q$22</f>
        <v/>
      </c>
      <c r="R160" s="154">
        <f>R40*R$22</f>
        <v/>
      </c>
      <c r="S160" s="154">
        <f>S40*S$22</f>
        <v/>
      </c>
      <c r="T160" s="154">
        <f>T40*T$22</f>
        <v/>
      </c>
      <c r="U160" s="154">
        <f>U40*U$22</f>
        <v/>
      </c>
    </row>
    <row r="161">
      <c r="B161" s="154">
        <f>B41*B$22</f>
        <v/>
      </c>
      <c r="C161" s="154">
        <f>C41*C$22</f>
        <v/>
      </c>
      <c r="D161" s="154">
        <f>D41*D$22</f>
        <v/>
      </c>
      <c r="E161" s="154">
        <f>E41*E$22</f>
        <v/>
      </c>
      <c r="F161" s="154">
        <f>F41*F$22</f>
        <v/>
      </c>
      <c r="G161" s="154">
        <f>G41*G$22</f>
        <v/>
      </c>
      <c r="H161" s="154">
        <f>H41*H$22</f>
        <v/>
      </c>
      <c r="I161" s="154">
        <f>I41*I$22</f>
        <v/>
      </c>
      <c r="J161" s="154">
        <f>J41*J$22</f>
        <v/>
      </c>
      <c r="K161" s="154">
        <f>K41*K$22</f>
        <v/>
      </c>
      <c r="L161" s="154">
        <f>L41*L$22</f>
        <v/>
      </c>
      <c r="M161" s="154">
        <f>M41*M$22</f>
        <v/>
      </c>
      <c r="N161" s="154">
        <f>N41*N$22</f>
        <v/>
      </c>
      <c r="O161" s="154">
        <f>O41*O$22</f>
        <v/>
      </c>
      <c r="P161" s="154">
        <f>P41*P$22</f>
        <v/>
      </c>
      <c r="Q161" s="154">
        <f>Q41*Q$22</f>
        <v/>
      </c>
      <c r="R161" s="154">
        <f>R41*R$22</f>
        <v/>
      </c>
      <c r="S161" s="154">
        <f>S41*S$22</f>
        <v/>
      </c>
      <c r="T161" s="154">
        <f>T41*T$22</f>
        <v/>
      </c>
      <c r="U161" s="154">
        <f>U41*U$22</f>
        <v/>
      </c>
    </row>
    <row r="162">
      <c r="B162" s="154">
        <f>B42*B$22</f>
        <v/>
      </c>
      <c r="C162" s="154">
        <f>C42*C$22</f>
        <v/>
      </c>
      <c r="D162" s="154">
        <f>D42*D$22</f>
        <v/>
      </c>
      <c r="E162" s="154">
        <f>E42*E$22</f>
        <v/>
      </c>
      <c r="F162" s="154">
        <f>F42*F$22</f>
        <v/>
      </c>
      <c r="G162" s="154">
        <f>G42*G$22</f>
        <v/>
      </c>
      <c r="H162" s="154">
        <f>H42*H$22</f>
        <v/>
      </c>
      <c r="I162" s="154">
        <f>I42*I$22</f>
        <v/>
      </c>
      <c r="J162" s="154">
        <f>J42*J$22</f>
        <v/>
      </c>
      <c r="K162" s="154">
        <f>K42*K$22</f>
        <v/>
      </c>
      <c r="L162" s="154">
        <f>L42*L$22</f>
        <v/>
      </c>
      <c r="M162" s="154">
        <f>M42*M$22</f>
        <v/>
      </c>
      <c r="N162" s="154">
        <f>N42*N$22</f>
        <v/>
      </c>
      <c r="O162" s="154">
        <f>O42*O$22</f>
        <v/>
      </c>
      <c r="P162" s="154">
        <f>P42*P$22</f>
        <v/>
      </c>
      <c r="Q162" s="154">
        <f>Q42*Q$22</f>
        <v/>
      </c>
      <c r="R162" s="154">
        <f>R42*R$22</f>
        <v/>
      </c>
      <c r="S162" s="154">
        <f>S42*S$22</f>
        <v/>
      </c>
      <c r="T162" s="154">
        <f>T42*T$22</f>
        <v/>
      </c>
      <c r="U162" s="154">
        <f>U42*U$22</f>
        <v/>
      </c>
    </row>
    <row r="163">
      <c r="B163" s="154">
        <f>B43*B$22</f>
        <v/>
      </c>
      <c r="C163" s="154">
        <f>C43*C$22</f>
        <v/>
      </c>
      <c r="D163" s="154">
        <f>D43*D$22</f>
        <v/>
      </c>
      <c r="E163" s="154">
        <f>E43*E$22</f>
        <v/>
      </c>
      <c r="F163" s="154">
        <f>F43*F$22</f>
        <v/>
      </c>
      <c r="G163" s="154">
        <f>G43*G$22</f>
        <v/>
      </c>
      <c r="H163" s="154">
        <f>H43*H$22</f>
        <v/>
      </c>
      <c r="I163" s="154">
        <f>I43*I$22</f>
        <v/>
      </c>
      <c r="J163" s="154">
        <f>J43*J$22</f>
        <v/>
      </c>
      <c r="K163" s="154">
        <f>K43*K$22</f>
        <v/>
      </c>
      <c r="L163" s="154">
        <f>L43*L$22</f>
        <v/>
      </c>
      <c r="M163" s="154">
        <f>M43*M$22</f>
        <v/>
      </c>
      <c r="N163" s="154">
        <f>N43*N$22</f>
        <v/>
      </c>
      <c r="O163" s="154">
        <f>O43*O$22</f>
        <v/>
      </c>
      <c r="P163" s="154">
        <f>P43*P$22</f>
        <v/>
      </c>
      <c r="Q163" s="154">
        <f>Q43*Q$22</f>
        <v/>
      </c>
      <c r="R163" s="154">
        <f>R43*R$22</f>
        <v/>
      </c>
      <c r="S163" s="154">
        <f>S43*S$22</f>
        <v/>
      </c>
      <c r="T163" s="154">
        <f>T43*T$22</f>
        <v/>
      </c>
      <c r="U163" s="154">
        <f>U43*U$22</f>
        <v/>
      </c>
    </row>
    <row r="164">
      <c r="B164" s="154">
        <f>B44*B$22</f>
        <v/>
      </c>
      <c r="C164" s="154">
        <f>C44*C$22</f>
        <v/>
      </c>
      <c r="D164" s="154">
        <f>D44*D$22</f>
        <v/>
      </c>
      <c r="E164" s="154">
        <f>E44*E$22</f>
        <v/>
      </c>
      <c r="F164" s="154">
        <f>F44*F$22</f>
        <v/>
      </c>
      <c r="G164" s="154">
        <f>G44*G$22</f>
        <v/>
      </c>
      <c r="H164" s="154">
        <f>H44*H$22</f>
        <v/>
      </c>
      <c r="I164" s="154">
        <f>I44*I$22</f>
        <v/>
      </c>
      <c r="J164" s="154">
        <f>J44*J$22</f>
        <v/>
      </c>
      <c r="K164" s="154">
        <f>K44*K$22</f>
        <v/>
      </c>
      <c r="L164" s="154">
        <f>L44*L$22</f>
        <v/>
      </c>
      <c r="M164" s="154">
        <f>M44*M$22</f>
        <v/>
      </c>
      <c r="N164" s="154">
        <f>N44*N$22</f>
        <v/>
      </c>
      <c r="O164" s="154">
        <f>O44*O$22</f>
        <v/>
      </c>
      <c r="P164" s="154">
        <f>P44*P$22</f>
        <v/>
      </c>
      <c r="Q164" s="154">
        <f>Q44*Q$22</f>
        <v/>
      </c>
      <c r="R164" s="154">
        <f>R44*R$22</f>
        <v/>
      </c>
      <c r="S164" s="154">
        <f>S44*S$22</f>
        <v/>
      </c>
      <c r="T164" s="154">
        <f>T44*T$22</f>
        <v/>
      </c>
      <c r="U164" s="154">
        <f>U44*U$22</f>
        <v/>
      </c>
    </row>
    <row r="165">
      <c r="B165" s="154">
        <f>B45*B$22</f>
        <v/>
      </c>
      <c r="C165" s="154">
        <f>C45*C$22</f>
        <v/>
      </c>
      <c r="D165" s="154">
        <f>D45*D$22</f>
        <v/>
      </c>
      <c r="E165" s="154">
        <f>E45*E$22</f>
        <v/>
      </c>
      <c r="F165" s="154">
        <f>F45*F$22</f>
        <v/>
      </c>
      <c r="G165" s="154">
        <f>G45*G$22</f>
        <v/>
      </c>
      <c r="H165" s="154">
        <f>H45*H$22</f>
        <v/>
      </c>
      <c r="I165" s="154">
        <f>I45*I$22</f>
        <v/>
      </c>
      <c r="J165" s="154">
        <f>J45*J$22</f>
        <v/>
      </c>
      <c r="K165" s="154">
        <f>K45*K$22</f>
        <v/>
      </c>
      <c r="L165" s="154">
        <f>L45*L$22</f>
        <v/>
      </c>
      <c r="M165" s="154">
        <f>M45*M$22</f>
        <v/>
      </c>
      <c r="N165" s="154">
        <f>N45*N$22</f>
        <v/>
      </c>
      <c r="O165" s="154">
        <f>O45*O$22</f>
        <v/>
      </c>
      <c r="P165" s="154">
        <f>P45*P$22</f>
        <v/>
      </c>
      <c r="Q165" s="154">
        <f>Q45*Q$22</f>
        <v/>
      </c>
      <c r="R165" s="154">
        <f>R45*R$22</f>
        <v/>
      </c>
      <c r="S165" s="154">
        <f>S45*S$22</f>
        <v/>
      </c>
      <c r="T165" s="154">
        <f>T45*T$22</f>
        <v/>
      </c>
      <c r="U165" s="154">
        <f>U45*U$22</f>
        <v/>
      </c>
    </row>
    <row r="166">
      <c r="B166" s="154">
        <f>B46*B$22</f>
        <v/>
      </c>
      <c r="C166" s="154">
        <f>C46*C$22</f>
        <v/>
      </c>
      <c r="D166" s="154">
        <f>D46*D$22</f>
        <v/>
      </c>
      <c r="E166" s="154">
        <f>E46*E$22</f>
        <v/>
      </c>
      <c r="F166" s="154">
        <f>F46*F$22</f>
        <v/>
      </c>
      <c r="G166" s="154">
        <f>G46*G$22</f>
        <v/>
      </c>
      <c r="H166" s="154">
        <f>H46*H$22</f>
        <v/>
      </c>
      <c r="I166" s="154">
        <f>I46*I$22</f>
        <v/>
      </c>
      <c r="J166" s="154">
        <f>J46*J$22</f>
        <v/>
      </c>
      <c r="K166" s="154">
        <f>K46*K$22</f>
        <v/>
      </c>
      <c r="L166" s="154">
        <f>L46*L$22</f>
        <v/>
      </c>
      <c r="M166" s="154">
        <f>M46*M$22</f>
        <v/>
      </c>
      <c r="N166" s="154">
        <f>N46*N$22</f>
        <v/>
      </c>
      <c r="O166" s="154">
        <f>O46*O$22</f>
        <v/>
      </c>
      <c r="P166" s="154">
        <f>P46*P$22</f>
        <v/>
      </c>
      <c r="Q166" s="154">
        <f>Q46*Q$22</f>
        <v/>
      </c>
      <c r="R166" s="154">
        <f>R46*R$22</f>
        <v/>
      </c>
      <c r="S166" s="154">
        <f>S46*S$22</f>
        <v/>
      </c>
      <c r="T166" s="154">
        <f>T46*T$22</f>
        <v/>
      </c>
      <c r="U166" s="154">
        <f>U46*U$22</f>
        <v/>
      </c>
    </row>
    <row r="167">
      <c r="B167" s="154">
        <f>B47*B$22</f>
        <v/>
      </c>
      <c r="C167" s="154">
        <f>C47*C$22</f>
        <v/>
      </c>
      <c r="D167" s="154">
        <f>D47*D$22</f>
        <v/>
      </c>
      <c r="E167" s="154">
        <f>E47*E$22</f>
        <v/>
      </c>
      <c r="F167" s="154">
        <f>F47*F$22</f>
        <v/>
      </c>
      <c r="G167" s="154">
        <f>G47*G$22</f>
        <v/>
      </c>
      <c r="H167" s="154">
        <f>H47*H$22</f>
        <v/>
      </c>
      <c r="I167" s="154">
        <f>I47*I$22</f>
        <v/>
      </c>
      <c r="J167" s="154">
        <f>J47*J$22</f>
        <v/>
      </c>
      <c r="K167" s="154">
        <f>K47*K$22</f>
        <v/>
      </c>
      <c r="L167" s="154">
        <f>L47*L$22</f>
        <v/>
      </c>
      <c r="M167" s="154">
        <f>M47*M$22</f>
        <v/>
      </c>
      <c r="N167" s="154">
        <f>N47*N$22</f>
        <v/>
      </c>
      <c r="O167" s="154">
        <f>O47*O$22</f>
        <v/>
      </c>
      <c r="P167" s="154">
        <f>P47*P$22</f>
        <v/>
      </c>
      <c r="Q167" s="154">
        <f>Q47*Q$22</f>
        <v/>
      </c>
      <c r="R167" s="154">
        <f>R47*R$22</f>
        <v/>
      </c>
      <c r="S167" s="154">
        <f>S47*S$22</f>
        <v/>
      </c>
      <c r="T167" s="154">
        <f>T47*T$22</f>
        <v/>
      </c>
      <c r="U167" s="154">
        <f>U47*U$22</f>
        <v/>
      </c>
    </row>
    <row r="168">
      <c r="B168" s="154">
        <f>B48*B$22</f>
        <v/>
      </c>
      <c r="C168" s="154">
        <f>C48*C$22</f>
        <v/>
      </c>
      <c r="D168" s="154">
        <f>D48*D$22</f>
        <v/>
      </c>
      <c r="E168" s="154">
        <f>E48*E$22</f>
        <v/>
      </c>
      <c r="F168" s="154">
        <f>F48*F$22</f>
        <v/>
      </c>
      <c r="G168" s="154">
        <f>G48*G$22</f>
        <v/>
      </c>
      <c r="H168" s="154">
        <f>H48*H$22</f>
        <v/>
      </c>
      <c r="I168" s="154">
        <f>I48*I$22</f>
        <v/>
      </c>
      <c r="J168" s="154">
        <f>J48*J$22</f>
        <v/>
      </c>
      <c r="K168" s="154">
        <f>K48*K$22</f>
        <v/>
      </c>
      <c r="L168" s="154">
        <f>L48*L$22</f>
        <v/>
      </c>
      <c r="M168" s="154">
        <f>M48*M$22</f>
        <v/>
      </c>
      <c r="N168" s="154">
        <f>N48*N$22</f>
        <v/>
      </c>
      <c r="O168" s="154">
        <f>O48*O$22</f>
        <v/>
      </c>
      <c r="P168" s="154">
        <f>P48*P$22</f>
        <v/>
      </c>
      <c r="Q168" s="154">
        <f>Q48*Q$22</f>
        <v/>
      </c>
      <c r="R168" s="154">
        <f>R48*R$22</f>
        <v/>
      </c>
      <c r="S168" s="154">
        <f>S48*S$22</f>
        <v/>
      </c>
      <c r="T168" s="154">
        <f>T48*T$22</f>
        <v/>
      </c>
      <c r="U168" s="154">
        <f>U48*U$22</f>
        <v/>
      </c>
    </row>
    <row r="174">
      <c r="B174" s="154">
        <f>B54*B$22</f>
        <v/>
      </c>
      <c r="C174" s="154">
        <f>C54*C$22</f>
        <v/>
      </c>
      <c r="D174" s="154">
        <f>D54*D$22</f>
        <v/>
      </c>
      <c r="E174" s="154">
        <f>E54*E$22</f>
        <v/>
      </c>
      <c r="F174" s="154">
        <f>F54*F$22</f>
        <v/>
      </c>
      <c r="G174" s="154">
        <f>G54*G$22</f>
        <v/>
      </c>
      <c r="H174" s="154">
        <f>H54*H$22</f>
        <v/>
      </c>
      <c r="I174" s="154">
        <f>I54*I$22</f>
        <v/>
      </c>
      <c r="J174" s="154">
        <f>J54*J$22</f>
        <v/>
      </c>
      <c r="K174" s="154">
        <f>K54*K$22</f>
        <v/>
      </c>
      <c r="L174" s="154">
        <f>L54*L$22</f>
        <v/>
      </c>
      <c r="M174" s="154">
        <f>M54*M$22</f>
        <v/>
      </c>
      <c r="N174" s="154">
        <f>N54*N$22</f>
        <v/>
      </c>
      <c r="O174" s="154">
        <f>O54*O$22</f>
        <v/>
      </c>
      <c r="P174" s="154">
        <f>P54*P$22</f>
        <v/>
      </c>
      <c r="Q174" s="154">
        <f>Q54*Q$22</f>
        <v/>
      </c>
      <c r="R174" s="154">
        <f>R54*R$22</f>
        <v/>
      </c>
      <c r="S174" s="154">
        <f>S54*S$22</f>
        <v/>
      </c>
      <c r="T174" s="154">
        <f>T54*T$22</f>
        <v/>
      </c>
      <c r="U174" s="154">
        <f>U54*U$22</f>
        <v/>
      </c>
    </row>
    <row r="175">
      <c r="B175" s="154">
        <f>B55*B$22</f>
        <v/>
      </c>
      <c r="C175" s="154">
        <f>C55*C$22</f>
        <v/>
      </c>
      <c r="D175" s="154">
        <f>D55*D$22</f>
        <v/>
      </c>
      <c r="E175" s="154">
        <f>E55*E$22</f>
        <v/>
      </c>
      <c r="F175" s="154">
        <f>F55*F$22</f>
        <v/>
      </c>
      <c r="G175" s="154">
        <f>G55*G$22</f>
        <v/>
      </c>
      <c r="H175" s="154">
        <f>H55*H$22</f>
        <v/>
      </c>
      <c r="I175" s="154">
        <f>I55*I$22</f>
        <v/>
      </c>
      <c r="J175" s="154">
        <f>J55*J$22</f>
        <v/>
      </c>
      <c r="K175" s="154">
        <f>K55*K$22</f>
        <v/>
      </c>
      <c r="L175" s="154">
        <f>L55*L$22</f>
        <v/>
      </c>
      <c r="M175" s="154">
        <f>M55*M$22</f>
        <v/>
      </c>
      <c r="N175" s="154">
        <f>N55*N$22</f>
        <v/>
      </c>
      <c r="O175" s="154">
        <f>O55*O$22</f>
        <v/>
      </c>
      <c r="P175" s="154">
        <f>P55*P$22</f>
        <v/>
      </c>
      <c r="Q175" s="154">
        <f>Q55*Q$22</f>
        <v/>
      </c>
      <c r="R175" s="154">
        <f>R55*R$22</f>
        <v/>
      </c>
      <c r="S175" s="154">
        <f>S55*S$22</f>
        <v/>
      </c>
      <c r="T175" s="154">
        <f>T55*T$22</f>
        <v/>
      </c>
      <c r="U175" s="154">
        <f>U55*U$22</f>
        <v/>
      </c>
    </row>
    <row r="176">
      <c r="B176" s="154">
        <f>B56*B$22</f>
        <v/>
      </c>
      <c r="C176" s="154">
        <f>C56*C$22</f>
        <v/>
      </c>
      <c r="D176" s="154">
        <f>D56*D$22</f>
        <v/>
      </c>
      <c r="E176" s="154">
        <f>E56*E$22</f>
        <v/>
      </c>
      <c r="F176" s="154">
        <f>F56*F$22</f>
        <v/>
      </c>
      <c r="G176" s="154">
        <f>G56*G$22</f>
        <v/>
      </c>
      <c r="H176" s="154">
        <f>H56*H$22</f>
        <v/>
      </c>
      <c r="I176" s="154">
        <f>I56*I$22</f>
        <v/>
      </c>
      <c r="J176" s="154">
        <f>J56*J$22</f>
        <v/>
      </c>
      <c r="K176" s="154">
        <f>K56*K$22</f>
        <v/>
      </c>
      <c r="L176" s="154">
        <f>L56*L$22</f>
        <v/>
      </c>
      <c r="M176" s="154">
        <f>M56*M$22</f>
        <v/>
      </c>
      <c r="N176" s="154">
        <f>N56*N$22</f>
        <v/>
      </c>
      <c r="O176" s="154">
        <f>O56*O$22</f>
        <v/>
      </c>
      <c r="P176" s="154">
        <f>P56*P$22</f>
        <v/>
      </c>
      <c r="Q176" s="154">
        <f>Q56*Q$22</f>
        <v/>
      </c>
      <c r="R176" s="154">
        <f>R56*R$22</f>
        <v/>
      </c>
      <c r="S176" s="154">
        <f>S56*S$22</f>
        <v/>
      </c>
      <c r="T176" s="154">
        <f>T56*T$22</f>
        <v/>
      </c>
      <c r="U176" s="154">
        <f>U56*U$22</f>
        <v/>
      </c>
    </row>
    <row r="177">
      <c r="B177" s="154">
        <f>B57*B$22</f>
        <v/>
      </c>
      <c r="C177" s="154">
        <f>C57*C$22</f>
        <v/>
      </c>
      <c r="D177" s="154">
        <f>D57*D$22</f>
        <v/>
      </c>
      <c r="E177" s="154">
        <f>E57*E$22</f>
        <v/>
      </c>
      <c r="F177" s="154">
        <f>F57*F$22</f>
        <v/>
      </c>
      <c r="G177" s="154">
        <f>G57*G$22</f>
        <v/>
      </c>
      <c r="H177" s="154">
        <f>H57*H$22</f>
        <v/>
      </c>
      <c r="I177" s="154">
        <f>I57*I$22</f>
        <v/>
      </c>
      <c r="J177" s="154">
        <f>J57*J$22</f>
        <v/>
      </c>
      <c r="K177" s="154">
        <f>K57*K$22</f>
        <v/>
      </c>
      <c r="L177" s="154">
        <f>L57*L$22</f>
        <v/>
      </c>
      <c r="M177" s="154">
        <f>M57*M$22</f>
        <v/>
      </c>
      <c r="N177" s="154">
        <f>N57*N$22</f>
        <v/>
      </c>
      <c r="O177" s="154">
        <f>O57*O$22</f>
        <v/>
      </c>
      <c r="P177" s="154">
        <f>P57*P$22</f>
        <v/>
      </c>
      <c r="Q177" s="154">
        <f>Q57*Q$22</f>
        <v/>
      </c>
      <c r="R177" s="154">
        <f>R57*R$22</f>
        <v/>
      </c>
      <c r="S177" s="154">
        <f>S57*S$22</f>
        <v/>
      </c>
      <c r="T177" s="154">
        <f>T57*T$22</f>
        <v/>
      </c>
      <c r="U177" s="154">
        <f>U57*U$22</f>
        <v/>
      </c>
    </row>
    <row r="178">
      <c r="B178" s="154">
        <f>B58*B$22</f>
        <v/>
      </c>
      <c r="C178" s="154">
        <f>C58*C$22</f>
        <v/>
      </c>
      <c r="D178" s="154">
        <f>D58*D$22</f>
        <v/>
      </c>
      <c r="E178" s="154">
        <f>E58*E$22</f>
        <v/>
      </c>
      <c r="F178" s="154">
        <f>F58*F$22</f>
        <v/>
      </c>
      <c r="G178" s="154">
        <f>G58*G$22</f>
        <v/>
      </c>
      <c r="H178" s="154">
        <f>H58*H$22</f>
        <v/>
      </c>
      <c r="I178" s="154">
        <f>I58*I$22</f>
        <v/>
      </c>
      <c r="J178" s="154">
        <f>J58*J$22</f>
        <v/>
      </c>
      <c r="K178" s="154">
        <f>K58*K$22</f>
        <v/>
      </c>
      <c r="L178" s="154">
        <f>L58*L$22</f>
        <v/>
      </c>
      <c r="M178" s="154">
        <f>M58*M$22</f>
        <v/>
      </c>
      <c r="N178" s="154">
        <f>N58*N$22</f>
        <v/>
      </c>
      <c r="O178" s="154">
        <f>O58*O$22</f>
        <v/>
      </c>
      <c r="P178" s="154">
        <f>P58*P$22</f>
        <v/>
      </c>
      <c r="Q178" s="154">
        <f>Q58*Q$22</f>
        <v/>
      </c>
      <c r="R178" s="154">
        <f>R58*R$22</f>
        <v/>
      </c>
      <c r="S178" s="154">
        <f>S58*S$22</f>
        <v/>
      </c>
      <c r="T178" s="154">
        <f>T58*T$22</f>
        <v/>
      </c>
      <c r="U178" s="154">
        <f>U58*U$22</f>
        <v/>
      </c>
    </row>
    <row r="179">
      <c r="B179" s="154">
        <f>B59*B$22</f>
        <v/>
      </c>
      <c r="C179" s="154">
        <f>C59*C$22</f>
        <v/>
      </c>
      <c r="D179" s="154">
        <f>D59*D$22</f>
        <v/>
      </c>
      <c r="E179" s="154">
        <f>E59*E$22</f>
        <v/>
      </c>
      <c r="F179" s="154">
        <f>F59*F$22</f>
        <v/>
      </c>
      <c r="G179" s="154">
        <f>G59*G$22</f>
        <v/>
      </c>
      <c r="H179" s="154">
        <f>H59*H$22</f>
        <v/>
      </c>
      <c r="I179" s="154">
        <f>I59*I$22</f>
        <v/>
      </c>
      <c r="J179" s="154">
        <f>J59*J$22</f>
        <v/>
      </c>
      <c r="K179" s="154">
        <f>K59*K$22</f>
        <v/>
      </c>
      <c r="L179" s="154">
        <f>L59*L$22</f>
        <v/>
      </c>
      <c r="M179" s="154">
        <f>M59*M$22</f>
        <v/>
      </c>
      <c r="N179" s="154">
        <f>N59*N$22</f>
        <v/>
      </c>
      <c r="O179" s="154">
        <f>O59*O$22</f>
        <v/>
      </c>
      <c r="P179" s="154">
        <f>P59*P$22</f>
        <v/>
      </c>
      <c r="Q179" s="154">
        <f>Q59*Q$22</f>
        <v/>
      </c>
      <c r="R179" s="154">
        <f>R59*R$22</f>
        <v/>
      </c>
      <c r="S179" s="154">
        <f>S59*S$22</f>
        <v/>
      </c>
      <c r="T179" s="154">
        <f>T59*T$22</f>
        <v/>
      </c>
      <c r="U179" s="154">
        <f>U59*U$22</f>
        <v/>
      </c>
    </row>
    <row r="180">
      <c r="B180" s="154">
        <f>B60*B$22</f>
        <v/>
      </c>
      <c r="C180" s="154">
        <f>C60*C$22</f>
        <v/>
      </c>
      <c r="D180" s="154">
        <f>D60*D$22</f>
        <v/>
      </c>
      <c r="E180" s="154">
        <f>E60*E$22</f>
        <v/>
      </c>
      <c r="F180" s="154">
        <f>F60*F$22</f>
        <v/>
      </c>
      <c r="G180" s="154">
        <f>G60*G$22</f>
        <v/>
      </c>
      <c r="H180" s="154">
        <f>H60*H$22</f>
        <v/>
      </c>
      <c r="I180" s="154">
        <f>I60*I$22</f>
        <v/>
      </c>
      <c r="J180" s="154">
        <f>J60*J$22</f>
        <v/>
      </c>
      <c r="K180" s="154">
        <f>K60*K$22</f>
        <v/>
      </c>
      <c r="L180" s="154">
        <f>L60*L$22</f>
        <v/>
      </c>
      <c r="M180" s="154">
        <f>M60*M$22</f>
        <v/>
      </c>
      <c r="N180" s="154">
        <f>N60*N$22</f>
        <v/>
      </c>
      <c r="O180" s="154">
        <f>O60*O$22</f>
        <v/>
      </c>
      <c r="P180" s="154">
        <f>P60*P$22</f>
        <v/>
      </c>
      <c r="Q180" s="154">
        <f>Q60*Q$22</f>
        <v/>
      </c>
      <c r="R180" s="154">
        <f>R60*R$22</f>
        <v/>
      </c>
      <c r="S180" s="154">
        <f>S60*S$22</f>
        <v/>
      </c>
      <c r="T180" s="154">
        <f>T60*T$22</f>
        <v/>
      </c>
      <c r="U180" s="154">
        <f>U60*U$22</f>
        <v/>
      </c>
    </row>
    <row r="181">
      <c r="B181" s="154">
        <f>B61*B$22</f>
        <v/>
      </c>
      <c r="C181" s="154">
        <f>C61*C$22</f>
        <v/>
      </c>
      <c r="D181" s="154">
        <f>D61*D$22</f>
        <v/>
      </c>
      <c r="E181" s="154">
        <f>E61*E$22</f>
        <v/>
      </c>
      <c r="F181" s="154">
        <f>F61*F$22</f>
        <v/>
      </c>
      <c r="G181" s="154">
        <f>G61*G$22</f>
        <v/>
      </c>
      <c r="H181" s="154">
        <f>H61*H$22</f>
        <v/>
      </c>
      <c r="I181" s="154">
        <f>I61*I$22</f>
        <v/>
      </c>
      <c r="J181" s="154">
        <f>J61*J$22</f>
        <v/>
      </c>
      <c r="K181" s="154">
        <f>K61*K$22</f>
        <v/>
      </c>
      <c r="L181" s="154">
        <f>L61*L$22</f>
        <v/>
      </c>
      <c r="M181" s="154">
        <f>M61*M$22</f>
        <v/>
      </c>
      <c r="N181" s="154">
        <f>N61*N$22</f>
        <v/>
      </c>
      <c r="O181" s="154">
        <f>O61*O$22</f>
        <v/>
      </c>
      <c r="P181" s="154">
        <f>P61*P$22</f>
        <v/>
      </c>
      <c r="Q181" s="154">
        <f>Q61*Q$22</f>
        <v/>
      </c>
      <c r="R181" s="154">
        <f>R61*R$22</f>
        <v/>
      </c>
      <c r="S181" s="154">
        <f>S61*S$22</f>
        <v/>
      </c>
      <c r="T181" s="154">
        <f>T61*T$22</f>
        <v/>
      </c>
      <c r="U181" s="154">
        <f>U61*U$22</f>
        <v/>
      </c>
    </row>
    <row r="182">
      <c r="B182" s="154">
        <f>B62*B$22</f>
        <v/>
      </c>
      <c r="C182" s="154">
        <f>C62*C$22</f>
        <v/>
      </c>
      <c r="D182" s="154">
        <f>D62*D$22</f>
        <v/>
      </c>
      <c r="E182" s="154">
        <f>E62*E$22</f>
        <v/>
      </c>
      <c r="F182" s="154">
        <f>F62*F$22</f>
        <v/>
      </c>
      <c r="G182" s="154">
        <f>G62*G$22</f>
        <v/>
      </c>
      <c r="H182" s="154">
        <f>H62*H$22</f>
        <v/>
      </c>
      <c r="I182" s="154">
        <f>I62*I$22</f>
        <v/>
      </c>
      <c r="J182" s="154">
        <f>J62*J$22</f>
        <v/>
      </c>
      <c r="K182" s="154">
        <f>K62*K$22</f>
        <v/>
      </c>
      <c r="L182" s="154">
        <f>L62*L$22</f>
        <v/>
      </c>
      <c r="M182" s="154">
        <f>M62*M$22</f>
        <v/>
      </c>
      <c r="N182" s="154">
        <f>N62*N$22</f>
        <v/>
      </c>
      <c r="O182" s="154">
        <f>O62*O$22</f>
        <v/>
      </c>
      <c r="P182" s="154">
        <f>P62*P$22</f>
        <v/>
      </c>
      <c r="Q182" s="154">
        <f>Q62*Q$22</f>
        <v/>
      </c>
      <c r="R182" s="154">
        <f>R62*R$22</f>
        <v/>
      </c>
      <c r="S182" s="154">
        <f>S62*S$22</f>
        <v/>
      </c>
      <c r="T182" s="154">
        <f>T62*T$22</f>
        <v/>
      </c>
      <c r="U182" s="154">
        <f>U62*U$22</f>
        <v/>
      </c>
    </row>
    <row r="183">
      <c r="B183" s="154">
        <f>B63*B$22</f>
        <v/>
      </c>
      <c r="C183" s="154">
        <f>C63*C$22</f>
        <v/>
      </c>
      <c r="D183" s="154">
        <f>D63*D$22</f>
        <v/>
      </c>
      <c r="E183" s="154">
        <f>E63*E$22</f>
        <v/>
      </c>
      <c r="F183" s="154">
        <f>F63*F$22</f>
        <v/>
      </c>
      <c r="G183" s="154">
        <f>G63*G$22</f>
        <v/>
      </c>
      <c r="H183" s="154">
        <f>H63*H$22</f>
        <v/>
      </c>
      <c r="I183" s="154">
        <f>I63*I$22</f>
        <v/>
      </c>
      <c r="J183" s="154">
        <f>J63*J$22</f>
        <v/>
      </c>
      <c r="K183" s="154">
        <f>K63*K$22</f>
        <v/>
      </c>
      <c r="L183" s="154">
        <f>L63*L$22</f>
        <v/>
      </c>
      <c r="M183" s="154">
        <f>M63*M$22</f>
        <v/>
      </c>
      <c r="N183" s="154">
        <f>N63*N$22</f>
        <v/>
      </c>
      <c r="O183" s="154">
        <f>O63*O$22</f>
        <v/>
      </c>
      <c r="P183" s="154">
        <f>P63*P$22</f>
        <v/>
      </c>
      <c r="Q183" s="154">
        <f>Q63*Q$22</f>
        <v/>
      </c>
      <c r="R183" s="154">
        <f>R63*R$22</f>
        <v/>
      </c>
      <c r="S183" s="154">
        <f>S63*S$22</f>
        <v/>
      </c>
      <c r="T183" s="154">
        <f>T63*T$22</f>
        <v/>
      </c>
      <c r="U183" s="154">
        <f>U63*U$22</f>
        <v/>
      </c>
    </row>
    <row r="184">
      <c r="B184" s="154">
        <f>B64*B$22</f>
        <v/>
      </c>
      <c r="C184" s="154">
        <f>C64*C$22</f>
        <v/>
      </c>
      <c r="D184" s="154">
        <f>D64*D$22</f>
        <v/>
      </c>
      <c r="E184" s="154">
        <f>E64*E$22</f>
        <v/>
      </c>
      <c r="F184" s="154">
        <f>F64*F$22</f>
        <v/>
      </c>
      <c r="G184" s="154">
        <f>G64*G$22</f>
        <v/>
      </c>
      <c r="H184" s="154">
        <f>H64*H$22</f>
        <v/>
      </c>
      <c r="I184" s="154">
        <f>I64*I$22</f>
        <v/>
      </c>
      <c r="J184" s="154">
        <f>J64*J$22</f>
        <v/>
      </c>
      <c r="K184" s="154">
        <f>K64*K$22</f>
        <v/>
      </c>
      <c r="L184" s="154">
        <f>L64*L$22</f>
        <v/>
      </c>
      <c r="M184" s="154">
        <f>M64*M$22</f>
        <v/>
      </c>
      <c r="N184" s="154">
        <f>N64*N$22</f>
        <v/>
      </c>
      <c r="O184" s="154">
        <f>O64*O$22</f>
        <v/>
      </c>
      <c r="P184" s="154">
        <f>P64*P$22</f>
        <v/>
      </c>
      <c r="Q184" s="154">
        <f>Q64*Q$22</f>
        <v/>
      </c>
      <c r="R184" s="154">
        <f>R64*R$22</f>
        <v/>
      </c>
      <c r="S184" s="154">
        <f>S64*S$22</f>
        <v/>
      </c>
      <c r="T184" s="154">
        <f>T64*T$22</f>
        <v/>
      </c>
      <c r="U184" s="154">
        <f>U64*U$22</f>
        <v/>
      </c>
    </row>
    <row r="185">
      <c r="B185" s="154">
        <f>B65*B$22</f>
        <v/>
      </c>
      <c r="C185" s="154">
        <f>C65*C$22</f>
        <v/>
      </c>
      <c r="D185" s="154">
        <f>D65*D$22</f>
        <v/>
      </c>
      <c r="E185" s="154">
        <f>E65*E$22</f>
        <v/>
      </c>
      <c r="F185" s="154">
        <f>F65*F$22</f>
        <v/>
      </c>
      <c r="G185" s="154">
        <f>G65*G$22</f>
        <v/>
      </c>
      <c r="H185" s="154">
        <f>H65*H$22</f>
        <v/>
      </c>
      <c r="I185" s="154">
        <f>I65*I$22</f>
        <v/>
      </c>
      <c r="J185" s="154">
        <f>J65*J$22</f>
        <v/>
      </c>
      <c r="K185" s="154">
        <f>K65*K$22</f>
        <v/>
      </c>
      <c r="L185" s="154">
        <f>L65*L$22</f>
        <v/>
      </c>
      <c r="M185" s="154">
        <f>M65*M$22</f>
        <v/>
      </c>
      <c r="N185" s="154">
        <f>N65*N$22</f>
        <v/>
      </c>
      <c r="O185" s="154">
        <f>O65*O$22</f>
        <v/>
      </c>
      <c r="P185" s="154">
        <f>P65*P$22</f>
        <v/>
      </c>
      <c r="Q185" s="154">
        <f>Q65*Q$22</f>
        <v/>
      </c>
      <c r="R185" s="154">
        <f>R65*R$22</f>
        <v/>
      </c>
      <c r="S185" s="154">
        <f>S65*S$22</f>
        <v/>
      </c>
      <c r="T185" s="154">
        <f>T65*T$22</f>
        <v/>
      </c>
      <c r="U185" s="154">
        <f>U65*U$22</f>
        <v/>
      </c>
    </row>
    <row r="186">
      <c r="B186" s="154">
        <f>B66*B$22</f>
        <v/>
      </c>
      <c r="C186" s="154">
        <f>C66*C$22</f>
        <v/>
      </c>
      <c r="D186" s="154">
        <f>D66*D$22</f>
        <v/>
      </c>
      <c r="E186" s="154">
        <f>E66*E$22</f>
        <v/>
      </c>
      <c r="F186" s="154">
        <f>F66*F$22</f>
        <v/>
      </c>
      <c r="G186" s="154">
        <f>G66*G$22</f>
        <v/>
      </c>
      <c r="H186" s="154">
        <f>H66*H$22</f>
        <v/>
      </c>
      <c r="I186" s="154">
        <f>I66*I$22</f>
        <v/>
      </c>
      <c r="J186" s="154">
        <f>J66*J$22</f>
        <v/>
      </c>
      <c r="K186" s="154">
        <f>K66*K$22</f>
        <v/>
      </c>
      <c r="L186" s="154">
        <f>L66*L$22</f>
        <v/>
      </c>
      <c r="M186" s="154">
        <f>M66*M$22</f>
        <v/>
      </c>
      <c r="N186" s="154">
        <f>N66*N$22</f>
        <v/>
      </c>
      <c r="O186" s="154">
        <f>O66*O$22</f>
        <v/>
      </c>
      <c r="P186" s="154">
        <f>P66*P$22</f>
        <v/>
      </c>
      <c r="Q186" s="154">
        <f>Q66*Q$22</f>
        <v/>
      </c>
      <c r="R186" s="154">
        <f>R66*R$22</f>
        <v/>
      </c>
      <c r="S186" s="154">
        <f>S66*S$22</f>
        <v/>
      </c>
      <c r="T186" s="154">
        <f>T66*T$22</f>
        <v/>
      </c>
      <c r="U186" s="154">
        <f>U66*U$22</f>
        <v/>
      </c>
    </row>
    <row r="187">
      <c r="B187" s="154">
        <f>B67*B$22</f>
        <v/>
      </c>
      <c r="C187" s="154">
        <f>C67*C$22</f>
        <v/>
      </c>
      <c r="D187" s="154">
        <f>D67*D$22</f>
        <v/>
      </c>
      <c r="E187" s="154">
        <f>E67*E$22</f>
        <v/>
      </c>
      <c r="F187" s="154">
        <f>F67*F$22</f>
        <v/>
      </c>
      <c r="G187" s="154">
        <f>G67*G$22</f>
        <v/>
      </c>
      <c r="H187" s="154">
        <f>H67*H$22</f>
        <v/>
      </c>
      <c r="I187" s="154">
        <f>I67*I$22</f>
        <v/>
      </c>
      <c r="J187" s="154">
        <f>J67*J$22</f>
        <v/>
      </c>
      <c r="K187" s="154">
        <f>K67*K$22</f>
        <v/>
      </c>
      <c r="L187" s="154">
        <f>L67*L$22</f>
        <v/>
      </c>
      <c r="M187" s="154">
        <f>M67*M$22</f>
        <v/>
      </c>
      <c r="N187" s="154">
        <f>N67*N$22</f>
        <v/>
      </c>
      <c r="O187" s="154">
        <f>O67*O$22</f>
        <v/>
      </c>
      <c r="P187" s="154">
        <f>P67*P$22</f>
        <v/>
      </c>
      <c r="Q187" s="154">
        <f>Q67*Q$22</f>
        <v/>
      </c>
      <c r="R187" s="154">
        <f>R67*R$22</f>
        <v/>
      </c>
      <c r="S187" s="154">
        <f>S67*S$22</f>
        <v/>
      </c>
      <c r="T187" s="154">
        <f>T67*T$22</f>
        <v/>
      </c>
      <c r="U187" s="154">
        <f>U67*U$22</f>
        <v/>
      </c>
    </row>
    <row r="188">
      <c r="B188" s="154">
        <f>B68*B$22</f>
        <v/>
      </c>
      <c r="C188" s="154">
        <f>C68*C$22</f>
        <v/>
      </c>
      <c r="D188" s="154">
        <f>D68*D$22</f>
        <v/>
      </c>
      <c r="E188" s="154">
        <f>E68*E$22</f>
        <v/>
      </c>
      <c r="F188" s="154">
        <f>F68*F$22</f>
        <v/>
      </c>
      <c r="G188" s="154">
        <f>G68*G$22</f>
        <v/>
      </c>
      <c r="H188" s="154">
        <f>H68*H$22</f>
        <v/>
      </c>
      <c r="I188" s="154">
        <f>I68*I$22</f>
        <v/>
      </c>
      <c r="J188" s="154">
        <f>J68*J$22</f>
        <v/>
      </c>
      <c r="K188" s="154">
        <f>K68*K$22</f>
        <v/>
      </c>
      <c r="L188" s="154">
        <f>L68*L$22</f>
        <v/>
      </c>
      <c r="M188" s="154">
        <f>M68*M$22</f>
        <v/>
      </c>
      <c r="N188" s="154">
        <f>N68*N$22</f>
        <v/>
      </c>
      <c r="O188" s="154">
        <f>O68*O$22</f>
        <v/>
      </c>
      <c r="P188" s="154">
        <f>P68*P$22</f>
        <v/>
      </c>
      <c r="Q188" s="154">
        <f>Q68*Q$22</f>
        <v/>
      </c>
      <c r="R188" s="154">
        <f>R68*R$22</f>
        <v/>
      </c>
      <c r="S188" s="154">
        <f>S68*S$22</f>
        <v/>
      </c>
      <c r="T188" s="154">
        <f>T68*T$22</f>
        <v/>
      </c>
      <c r="U188" s="154">
        <f>U68*U$22</f>
        <v/>
      </c>
    </row>
    <row r="189">
      <c r="B189" s="154">
        <f>B69*B$22</f>
        <v/>
      </c>
      <c r="C189" s="154">
        <f>C69*C$22</f>
        <v/>
      </c>
      <c r="D189" s="154">
        <f>D69*D$22</f>
        <v/>
      </c>
      <c r="E189" s="154">
        <f>E69*E$22</f>
        <v/>
      </c>
      <c r="F189" s="154">
        <f>F69*F$22</f>
        <v/>
      </c>
      <c r="G189" s="154">
        <f>G69*G$22</f>
        <v/>
      </c>
      <c r="H189" s="154">
        <f>H69*H$22</f>
        <v/>
      </c>
      <c r="I189" s="154">
        <f>I69*I$22</f>
        <v/>
      </c>
      <c r="J189" s="154">
        <f>J69*J$22</f>
        <v/>
      </c>
      <c r="K189" s="154">
        <f>K69*K$22</f>
        <v/>
      </c>
      <c r="L189" s="154">
        <f>L69*L$22</f>
        <v/>
      </c>
      <c r="M189" s="154">
        <f>M69*M$22</f>
        <v/>
      </c>
      <c r="N189" s="154">
        <f>N69*N$22</f>
        <v/>
      </c>
      <c r="O189" s="154">
        <f>O69*O$22</f>
        <v/>
      </c>
      <c r="P189" s="154">
        <f>P69*P$22</f>
        <v/>
      </c>
      <c r="Q189" s="154">
        <f>Q69*Q$22</f>
        <v/>
      </c>
      <c r="R189" s="154">
        <f>R69*R$22</f>
        <v/>
      </c>
      <c r="S189" s="154">
        <f>S69*S$22</f>
        <v/>
      </c>
      <c r="T189" s="154">
        <f>T69*T$22</f>
        <v/>
      </c>
      <c r="U189" s="154">
        <f>U69*U$22</f>
        <v/>
      </c>
    </row>
    <row r="190">
      <c r="B190" s="154">
        <f>B70*B$22</f>
        <v/>
      </c>
      <c r="C190" s="154">
        <f>C70*C$22</f>
        <v/>
      </c>
      <c r="D190" s="154">
        <f>D70*D$22</f>
        <v/>
      </c>
      <c r="E190" s="154">
        <f>E70*E$22</f>
        <v/>
      </c>
      <c r="F190" s="154">
        <f>F70*F$22</f>
        <v/>
      </c>
      <c r="G190" s="154">
        <f>G70*G$22</f>
        <v/>
      </c>
      <c r="H190" s="154">
        <f>H70*H$22</f>
        <v/>
      </c>
      <c r="I190" s="154">
        <f>I70*I$22</f>
        <v/>
      </c>
      <c r="J190" s="154">
        <f>J70*J$22</f>
        <v/>
      </c>
      <c r="K190" s="154">
        <f>K70*K$22</f>
        <v/>
      </c>
      <c r="L190" s="154">
        <f>L70*L$22</f>
        <v/>
      </c>
      <c r="M190" s="154">
        <f>M70*M$22</f>
        <v/>
      </c>
      <c r="N190" s="154">
        <f>N70*N$22</f>
        <v/>
      </c>
      <c r="O190" s="154">
        <f>O70*O$22</f>
        <v/>
      </c>
      <c r="P190" s="154">
        <f>P70*P$22</f>
        <v/>
      </c>
      <c r="Q190" s="154">
        <f>Q70*Q$22</f>
        <v/>
      </c>
      <c r="R190" s="154">
        <f>R70*R$22</f>
        <v/>
      </c>
      <c r="S190" s="154">
        <f>S70*S$22</f>
        <v/>
      </c>
      <c r="T190" s="154">
        <f>T70*T$22</f>
        <v/>
      </c>
      <c r="U190" s="154">
        <f>U70*U$22</f>
        <v/>
      </c>
    </row>
    <row r="191">
      <c r="B191" s="154">
        <f>B71*B$22</f>
        <v/>
      </c>
      <c r="C191" s="154">
        <f>C71*C$22</f>
        <v/>
      </c>
      <c r="D191" s="154">
        <f>D71*D$22</f>
        <v/>
      </c>
      <c r="E191" s="154">
        <f>E71*E$22</f>
        <v/>
      </c>
      <c r="F191" s="154">
        <f>F71*F$22</f>
        <v/>
      </c>
      <c r="G191" s="154">
        <f>G71*G$22</f>
        <v/>
      </c>
      <c r="H191" s="154">
        <f>H71*H$22</f>
        <v/>
      </c>
      <c r="I191" s="154">
        <f>I71*I$22</f>
        <v/>
      </c>
      <c r="J191" s="154">
        <f>J71*J$22</f>
        <v/>
      </c>
      <c r="K191" s="154">
        <f>K71*K$22</f>
        <v/>
      </c>
      <c r="L191" s="154">
        <f>L71*L$22</f>
        <v/>
      </c>
      <c r="M191" s="154">
        <f>M71*M$22</f>
        <v/>
      </c>
      <c r="N191" s="154">
        <f>N71*N$22</f>
        <v/>
      </c>
      <c r="O191" s="154">
        <f>O71*O$22</f>
        <v/>
      </c>
      <c r="P191" s="154">
        <f>P71*P$22</f>
        <v/>
      </c>
      <c r="Q191" s="154">
        <f>Q71*Q$22</f>
        <v/>
      </c>
      <c r="R191" s="154">
        <f>R71*R$22</f>
        <v/>
      </c>
      <c r="S191" s="154">
        <f>S71*S$22</f>
        <v/>
      </c>
      <c r="T191" s="154">
        <f>T71*T$22</f>
        <v/>
      </c>
      <c r="U191" s="154">
        <f>U71*U$22</f>
        <v/>
      </c>
    </row>
    <row r="192">
      <c r="B192" s="154">
        <f>B72*B$22</f>
        <v/>
      </c>
      <c r="C192" s="154">
        <f>C72*C$22</f>
        <v/>
      </c>
      <c r="D192" s="154">
        <f>D72*D$22</f>
        <v/>
      </c>
      <c r="E192" s="154">
        <f>E72*E$22</f>
        <v/>
      </c>
      <c r="F192" s="154">
        <f>F72*F$22</f>
        <v/>
      </c>
      <c r="G192" s="154">
        <f>G72*G$22</f>
        <v/>
      </c>
      <c r="H192" s="154">
        <f>H72*H$22</f>
        <v/>
      </c>
      <c r="I192" s="154">
        <f>I72*I$22</f>
        <v/>
      </c>
      <c r="J192" s="154">
        <f>J72*J$22</f>
        <v/>
      </c>
      <c r="K192" s="154">
        <f>K72*K$22</f>
        <v/>
      </c>
      <c r="L192" s="154">
        <f>L72*L$22</f>
        <v/>
      </c>
      <c r="M192" s="154">
        <f>M72*M$22</f>
        <v/>
      </c>
      <c r="N192" s="154">
        <f>N72*N$22</f>
        <v/>
      </c>
      <c r="O192" s="154">
        <f>O72*O$22</f>
        <v/>
      </c>
      <c r="P192" s="154">
        <f>P72*P$22</f>
        <v/>
      </c>
      <c r="Q192" s="154">
        <f>Q72*Q$22</f>
        <v/>
      </c>
      <c r="R192" s="154">
        <f>R72*R$22</f>
        <v/>
      </c>
      <c r="S192" s="154">
        <f>S72*S$22</f>
        <v/>
      </c>
      <c r="T192" s="154">
        <f>T72*T$22</f>
        <v/>
      </c>
      <c r="U192" s="154">
        <f>U72*U$22</f>
        <v/>
      </c>
    </row>
    <row r="193">
      <c r="B193" s="154">
        <f>B73*B$22</f>
        <v/>
      </c>
      <c r="C193" s="154">
        <f>C73*C$22</f>
        <v/>
      </c>
      <c r="D193" s="154">
        <f>D73*D$22</f>
        <v/>
      </c>
      <c r="E193" s="154">
        <f>E73*E$22</f>
        <v/>
      </c>
      <c r="F193" s="154">
        <f>F73*F$22</f>
        <v/>
      </c>
      <c r="G193" s="154">
        <f>G73*G$22</f>
        <v/>
      </c>
      <c r="H193" s="154">
        <f>H73*H$22</f>
        <v/>
      </c>
      <c r="I193" s="154">
        <f>I73*I$22</f>
        <v/>
      </c>
      <c r="J193" s="154">
        <f>J73*J$22</f>
        <v/>
      </c>
      <c r="K193" s="154">
        <f>K73*K$22</f>
        <v/>
      </c>
      <c r="L193" s="154">
        <f>L73*L$22</f>
        <v/>
      </c>
      <c r="M193" s="154">
        <f>M73*M$22</f>
        <v/>
      </c>
      <c r="N193" s="154">
        <f>N73*N$22</f>
        <v/>
      </c>
      <c r="O193" s="154">
        <f>O73*O$22</f>
        <v/>
      </c>
      <c r="P193" s="154">
        <f>P73*P$22</f>
        <v/>
      </c>
      <c r="Q193" s="154">
        <f>Q73*Q$22</f>
        <v/>
      </c>
      <c r="R193" s="154">
        <f>R73*R$22</f>
        <v/>
      </c>
      <c r="S193" s="154">
        <f>S73*S$22</f>
        <v/>
      </c>
      <c r="T193" s="154">
        <f>T73*T$22</f>
        <v/>
      </c>
      <c r="U193" s="154">
        <f>U73*U$22</f>
        <v/>
      </c>
    </row>
    <row r="194">
      <c r="B194" s="154">
        <f>B74*B$22</f>
        <v/>
      </c>
      <c r="C194" s="154">
        <f>C74*C$22</f>
        <v/>
      </c>
      <c r="D194" s="154">
        <f>D74*D$22</f>
        <v/>
      </c>
      <c r="E194" s="154">
        <f>E74*E$22</f>
        <v/>
      </c>
      <c r="F194" s="154">
        <f>F74*F$22</f>
        <v/>
      </c>
      <c r="G194" s="154">
        <f>G74*G$22</f>
        <v/>
      </c>
      <c r="H194" s="154">
        <f>H74*H$22</f>
        <v/>
      </c>
      <c r="I194" s="154">
        <f>I74*I$22</f>
        <v/>
      </c>
      <c r="J194" s="154">
        <f>J74*J$22</f>
        <v/>
      </c>
      <c r="K194" s="154">
        <f>K74*K$22</f>
        <v/>
      </c>
      <c r="L194" s="154">
        <f>L74*L$22</f>
        <v/>
      </c>
      <c r="M194" s="154">
        <f>M74*M$22</f>
        <v/>
      </c>
      <c r="N194" s="154">
        <f>N74*N$22</f>
        <v/>
      </c>
      <c r="O194" s="154">
        <f>O74*O$22</f>
        <v/>
      </c>
      <c r="P194" s="154">
        <f>P74*P$22</f>
        <v/>
      </c>
      <c r="Q194" s="154">
        <f>Q74*Q$22</f>
        <v/>
      </c>
      <c r="R194" s="154">
        <f>R74*R$22</f>
        <v/>
      </c>
      <c r="S194" s="154">
        <f>S74*S$22</f>
        <v/>
      </c>
      <c r="T194" s="154">
        <f>T74*T$22</f>
        <v/>
      </c>
      <c r="U194" s="154">
        <f>U74*U$22</f>
        <v/>
      </c>
    </row>
    <row r="195">
      <c r="B195" s="154">
        <f>B75*B$22</f>
        <v/>
      </c>
      <c r="C195" s="154">
        <f>C75*C$22</f>
        <v/>
      </c>
      <c r="D195" s="154">
        <f>D75*D$22</f>
        <v/>
      </c>
      <c r="E195" s="154">
        <f>E75*E$22</f>
        <v/>
      </c>
      <c r="F195" s="154">
        <f>F75*F$22</f>
        <v/>
      </c>
      <c r="G195" s="154">
        <f>G75*G$22</f>
        <v/>
      </c>
      <c r="H195" s="154">
        <f>H75*H$22</f>
        <v/>
      </c>
      <c r="I195" s="154">
        <f>I75*I$22</f>
        <v/>
      </c>
      <c r="J195" s="154">
        <f>J75*J$22</f>
        <v/>
      </c>
      <c r="K195" s="154">
        <f>K75*K$22</f>
        <v/>
      </c>
      <c r="L195" s="154">
        <f>L75*L$22</f>
        <v/>
      </c>
      <c r="M195" s="154">
        <f>M75*M$22</f>
        <v/>
      </c>
      <c r="N195" s="154">
        <f>N75*N$22</f>
        <v/>
      </c>
      <c r="O195" s="154">
        <f>O75*O$22</f>
        <v/>
      </c>
      <c r="P195" s="154">
        <f>P75*P$22</f>
        <v/>
      </c>
      <c r="Q195" s="154">
        <f>Q75*Q$22</f>
        <v/>
      </c>
      <c r="R195" s="154">
        <f>R75*R$22</f>
        <v/>
      </c>
      <c r="S195" s="154">
        <f>S75*S$22</f>
        <v/>
      </c>
      <c r="T195" s="154">
        <f>T75*T$22</f>
        <v/>
      </c>
      <c r="U195" s="154">
        <f>U75*U$22</f>
        <v/>
      </c>
    </row>
    <row r="196">
      <c r="B196" s="154">
        <f>B76*B$22</f>
        <v/>
      </c>
      <c r="C196" s="154">
        <f>C76*C$22</f>
        <v/>
      </c>
      <c r="D196" s="154">
        <f>D76*D$22</f>
        <v/>
      </c>
      <c r="E196" s="154">
        <f>E76*E$22</f>
        <v/>
      </c>
      <c r="F196" s="154">
        <f>F76*F$22</f>
        <v/>
      </c>
      <c r="G196" s="154">
        <f>G76*G$22</f>
        <v/>
      </c>
      <c r="H196" s="154">
        <f>H76*H$22</f>
        <v/>
      </c>
      <c r="I196" s="154">
        <f>I76*I$22</f>
        <v/>
      </c>
      <c r="J196" s="154">
        <f>J76*J$22</f>
        <v/>
      </c>
      <c r="K196" s="154">
        <f>K76*K$22</f>
        <v/>
      </c>
      <c r="L196" s="154">
        <f>L76*L$22</f>
        <v/>
      </c>
      <c r="M196" s="154">
        <f>M76*M$22</f>
        <v/>
      </c>
      <c r="N196" s="154">
        <f>N76*N$22</f>
        <v/>
      </c>
      <c r="O196" s="154">
        <f>O76*O$22</f>
        <v/>
      </c>
      <c r="P196" s="154">
        <f>P76*P$22</f>
        <v/>
      </c>
      <c r="Q196" s="154">
        <f>Q76*Q$22</f>
        <v/>
      </c>
      <c r="R196" s="154">
        <f>R76*R$22</f>
        <v/>
      </c>
      <c r="S196" s="154">
        <f>S76*S$22</f>
        <v/>
      </c>
      <c r="T196" s="154">
        <f>T76*T$22</f>
        <v/>
      </c>
      <c r="U196" s="154">
        <f>U76*U$22</f>
        <v/>
      </c>
    </row>
    <row r="197">
      <c r="B197" s="154">
        <f>B77*B$22</f>
        <v/>
      </c>
      <c r="C197" s="154">
        <f>C77*C$22</f>
        <v/>
      </c>
      <c r="D197" s="154">
        <f>D77*D$22</f>
        <v/>
      </c>
      <c r="E197" s="154">
        <f>E77*E$22</f>
        <v/>
      </c>
      <c r="F197" s="154">
        <f>F77*F$22</f>
        <v/>
      </c>
      <c r="G197" s="154">
        <f>G77*G$22</f>
        <v/>
      </c>
      <c r="H197" s="154">
        <f>H77*H$22</f>
        <v/>
      </c>
      <c r="I197" s="154">
        <f>I77*I$22</f>
        <v/>
      </c>
      <c r="J197" s="154">
        <f>J77*J$22</f>
        <v/>
      </c>
      <c r="K197" s="154">
        <f>K77*K$22</f>
        <v/>
      </c>
      <c r="L197" s="154">
        <f>L77*L$22</f>
        <v/>
      </c>
      <c r="M197" s="154">
        <f>M77*M$22</f>
        <v/>
      </c>
      <c r="N197" s="154">
        <f>N77*N$22</f>
        <v/>
      </c>
      <c r="O197" s="154">
        <f>O77*O$22</f>
        <v/>
      </c>
      <c r="P197" s="154">
        <f>P77*P$22</f>
        <v/>
      </c>
      <c r="Q197" s="154">
        <f>Q77*Q$22</f>
        <v/>
      </c>
      <c r="R197" s="154">
        <f>R77*R$22</f>
        <v/>
      </c>
      <c r="S197" s="154">
        <f>S77*S$22</f>
        <v/>
      </c>
      <c r="T197" s="154">
        <f>T77*T$22</f>
        <v/>
      </c>
      <c r="U197" s="154">
        <f>U77*U$22</f>
        <v/>
      </c>
    </row>
    <row r="198">
      <c r="B198" s="154">
        <f>B78*B$22</f>
        <v/>
      </c>
      <c r="C198" s="154">
        <f>C78*C$22</f>
        <v/>
      </c>
      <c r="D198" s="154">
        <f>D78*D$22</f>
        <v/>
      </c>
      <c r="E198" s="154">
        <f>E78*E$22</f>
        <v/>
      </c>
      <c r="F198" s="154">
        <f>F78*F$22</f>
        <v/>
      </c>
      <c r="G198" s="154">
        <f>G78*G$22</f>
        <v/>
      </c>
      <c r="H198" s="154">
        <f>H78*H$22</f>
        <v/>
      </c>
      <c r="I198" s="154">
        <f>I78*I$22</f>
        <v/>
      </c>
      <c r="J198" s="154">
        <f>J78*J$22</f>
        <v/>
      </c>
      <c r="K198" s="154">
        <f>K78*K$22</f>
        <v/>
      </c>
      <c r="L198" s="154">
        <f>L78*L$22</f>
        <v/>
      </c>
      <c r="M198" s="154">
        <f>M78*M$22</f>
        <v/>
      </c>
      <c r="N198" s="154">
        <f>N78*N$22</f>
        <v/>
      </c>
      <c r="O198" s="154">
        <f>O78*O$22</f>
        <v/>
      </c>
      <c r="P198" s="154">
        <f>P78*P$22</f>
        <v/>
      </c>
      <c r="Q198" s="154">
        <f>Q78*Q$22</f>
        <v/>
      </c>
      <c r="R198" s="154">
        <f>R78*R$22</f>
        <v/>
      </c>
      <c r="S198" s="154">
        <f>S78*S$22</f>
        <v/>
      </c>
      <c r="T198" s="154">
        <f>T78*T$22</f>
        <v/>
      </c>
      <c r="U198" s="154">
        <f>U78*U$22</f>
        <v/>
      </c>
    </row>
  </sheetData>
  <printOptions horizontalCentered="0"/>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B2:E12"/>
  <sheetViews>
    <sheetView showGridLines="0" workbookViewId="0">
      <selection activeCell="A1" sqref="A1"/>
    </sheetView>
  </sheetViews>
  <sheetFormatPr baseColWidth="8" defaultRowHeight="15"/>
  <cols>
    <col width="3" customWidth="1" min="1" max="1"/>
    <col width="52" customWidth="1" min="2" max="2"/>
    <col width="20" customWidth="1" min="3" max="3"/>
    <col width="14" customWidth="1" min="4" max="4"/>
    <col width="62" customWidth="1" min="5" max="5"/>
  </cols>
  <sheetData>
    <row r="2">
      <c r="B2" s="1" t="inlineStr">
        <is>
          <t>Проверки</t>
        </is>
      </c>
    </row>
    <row r="3">
      <c r="B3" s="2" t="inlineStr">
        <is>
          <t>Их намеренно немного. Каждая ловит ошибку, из-за которой модели нельзя верить.</t>
        </is>
      </c>
    </row>
    <row r="5">
      <c r="B5" s="155" t="inlineStr">
        <is>
          <t>Что проверяем</t>
        </is>
      </c>
      <c r="C5" s="155" t="inlineStr">
        <is>
          <t>Расхождение</t>
        </is>
      </c>
      <c r="D5" s="155" t="inlineStr">
        <is>
          <t>Статус</t>
        </is>
      </c>
      <c r="E5" s="155" t="inlineStr">
        <is>
          <t>Почему это важно</t>
        </is>
      </c>
    </row>
    <row r="6">
      <c r="B6" t="inlineStr">
        <is>
          <t>Деньги сходятся: остаток = начало + поток</t>
        </is>
      </c>
      <c r="C6" s="156">
        <f>SUMPRODUCT(ABS('02_Результат'!L59:'02_Результат'!BS59-'02_Результат'!L56:'02_Результат'!BS56+'06_Деньги'!L17:'06_Деньги'!BS17))</f>
        <v/>
      </c>
      <c r="D6" s="7">
        <f>IF(ABS(C6)&lt;0.01,"OK","ПРОВЕРИТЬ")</f>
        <v/>
      </c>
      <c r="E6" s="17" t="inlineStr">
        <is>
          <t>Если не ноль, деньги в модели берутся из воздуха</t>
        </is>
      </c>
    </row>
    <row r="7">
      <c r="B7" t="inlineStr">
        <is>
          <t>Склад не уходит в минус</t>
        </is>
      </c>
      <c r="C7" s="156">
        <f>SUMIF('06_Деньги'!L11:'06_Деньги'!BS11,"&lt;0")</f>
        <v/>
      </c>
      <c r="D7" s="7">
        <f>IF(ABS(C7)&lt;0.01,"OK","ПРОВЕРИТЬ")</f>
        <v/>
      </c>
      <c r="E7" s="17" t="inlineStr">
        <is>
          <t>Минус означает, что сети не хватает формы</t>
        </is>
      </c>
    </row>
    <row r="8">
      <c r="B8" t="inlineStr">
        <is>
          <t>Займ не уходит в минус</t>
        </is>
      </c>
      <c r="C8" s="156">
        <f>SUMIF('06_Деньги'!L18:'06_Деньги'!BS18,"&lt;0")</f>
        <v/>
      </c>
      <c r="D8" s="7">
        <f>IF(ABS(C8)&lt;0.01,"OK","ПРОВЕРИТЬ")</f>
        <v/>
      </c>
      <c r="E8" s="17" t="inlineStr">
        <is>
          <t>Минус означает переплату клубу</t>
        </is>
      </c>
    </row>
    <row r="9">
      <c r="B9" t="inlineStr">
        <is>
          <t>Партнёров не больше, чем школ</t>
        </is>
      </c>
      <c r="C9" s="156">
        <f>SUMPRODUCT(--('03_Сеть'!L61:'03_Сеть'!BS61&gt;'03_Сеть'!L60:'03_Сеть'!BS60))</f>
        <v/>
      </c>
      <c r="D9" s="7">
        <f>IF(ABS(C9)&lt;0.01,"OK","ПРОВЕРИТЬ")</f>
        <v/>
      </c>
      <c r="E9" s="17" t="inlineStr">
        <is>
          <t>Один партнёр держит несколько школ, обратное невозможно</t>
        </is>
      </c>
    </row>
    <row r="10">
      <c r="B10" t="inlineStr">
        <is>
          <t>Дети всего = действующая сеть + новые школы</t>
        </is>
      </c>
      <c r="C10" s="156">
        <f>SUMPRODUCT(ABS('03_Сеть'!L62:'03_Сеть'!BS62-'03_Сеть'!L20:'03_Сеть'!BS20-'03_Сеть'!L57:'03_Сеть'!BS57))</f>
        <v/>
      </c>
      <c r="D10" s="7">
        <f>IF(ABS(C10)&lt;0.01,"OK","ПРОВЕРИТЬ")</f>
        <v/>
      </c>
      <c r="E10" s="17" t="inlineStr">
        <is>
          <t>Сумма частей должна давать целое</t>
        </is>
      </c>
    </row>
    <row r="11">
      <c r="B11" t="inlineStr">
        <is>
          <t>История: если включена, факт сезона 25/26 заполнен</t>
        </is>
      </c>
      <c r="C11" s="156">
        <f>IF(УчитыватьИсторию&lt;&gt;"Да",0,COUNTIF('01_Вводные'!$B$327:$B$339,0))</f>
        <v/>
      </c>
      <c r="D11" s="7">
        <f>IF(ABS(C11)&lt;0.01,"OK","ПРОВЕРИТЬ")</f>
        <v/>
      </c>
      <c r="E11" s="17" t="inlineStr">
        <is>
          <t>Включённая история с нулями в факте молча занижает итог за шесть сезонов. Заполните раздел 17 листа вводных или выключите историю</t>
        </is>
      </c>
    </row>
    <row r="12">
      <c r="B12" t="inlineStr">
        <is>
          <t>EBITDA не равна денежному потоку</t>
        </is>
      </c>
      <c r="C12" s="156">
        <f>IF(ABS(SUM('02_Результат'!L33:'02_Результат'!BS33)-SUM('02_Результат'!L58:'02_Результат'!BS58))&lt;1,1,0)</f>
        <v/>
      </c>
      <c r="D12" s="7">
        <f>IF(ABS(C12)&lt;0.01,"OK","ПРОВЕРИТЬ")</f>
        <v/>
      </c>
      <c r="E12" s="17" t="inlineStr">
        <is>
          <t>Совпадение означало бы, что БДР подменили БДДС</t>
        </is>
      </c>
    </row>
  </sheetData>
  <conditionalFormatting sqref="D6:D12">
    <cfRule type="cellIs" priority="1" operator="equal" dxfId="0">
      <formula>"OK"</formula>
    </cfRule>
    <cfRule type="cellIs" priority="2" operator="notEqual" dxfId="1">
      <formula>"OK"</formula>
    </cfRule>
  </conditionalFormatting>
  <printOptions horizontalCentered="0"/>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B2:C55"/>
  <sheetViews>
    <sheetView showGridLines="0" workbookViewId="0">
      <selection activeCell="A1" sqref="A1"/>
    </sheetView>
  </sheetViews>
  <sheetFormatPr baseColWidth="8" defaultRowHeight="15"/>
  <cols>
    <col width="3" customWidth="1" min="1" max="1"/>
    <col width="34" customWidth="1" min="2" max="2"/>
    <col width="96" customWidth="1" min="3" max="3"/>
  </cols>
  <sheetData>
    <row r="2">
      <c r="B2" s="1" t="inlineStr">
        <is>
          <t>Как пользоваться моделью</t>
        </is>
      </c>
    </row>
    <row r="4">
      <c r="B4" s="157" t="inlineStr">
        <is>
          <t>Порядок работы</t>
        </is>
      </c>
      <c r="C4" s="126" t="n"/>
    </row>
    <row r="5">
      <c r="B5" s="158" t="inlineStr">
        <is>
          <t>1. Посмотреть итог</t>
        </is>
      </c>
      <c r="C5" s="159" t="inlineStr">
        <is>
          <t>Лист «00_Дашборд»: пять лет в одном экране — выручка, EBITDA, деньги, сеть.</t>
        </is>
      </c>
    </row>
    <row r="6">
      <c r="B6" s="158" t="inlineStr">
        <is>
          <t>2. Разобраться в цифре</t>
        </is>
      </c>
      <c r="C6" s="159" t="inlineStr">
        <is>
          <t>Лист «02_Результат»: БДР и БДДС. Слева итоги по годам, дальше вправо — те же строки по месяцам.</t>
        </is>
      </c>
    </row>
    <row r="7">
      <c r="B7" s="158" t="inlineStr">
        <is>
          <t>3. Дойти до причины</t>
        </is>
      </c>
      <c r="C7" s="159" t="inlineStr">
        <is>
          <t>Листы «03_Сеть», «04_Доходы», «05_Расходы», «06_Деньги» — расшифровки. В колонке «Как считается» написано словами, откуда берётся строка.</t>
        </is>
      </c>
    </row>
    <row r="8">
      <c r="B8" s="158" t="inlineStr">
        <is>
          <t>4. Поменять допущение</t>
        </is>
      </c>
      <c r="C8" s="159" t="inlineStr">
        <is>
          <t>Только на листе «01_Вводные». Больше нигде в книге ничего вводить руками нельзя.</t>
        </is>
      </c>
    </row>
    <row r="9">
      <c r="B9" s="158" t="inlineStr">
        <is>
          <t>5. Убедиться, что цело</t>
        </is>
      </c>
      <c r="C9" s="159" t="inlineStr">
        <is>
          <t>Лист «08_Проверки»: семь контролей. Если все OK — модели можно верить.</t>
        </is>
      </c>
    </row>
    <row r="10">
      <c r="B10" s="158" t="inlineStr">
        <is>
          <t>Что было до прогноза</t>
        </is>
      </c>
      <c r="C10" s="159" t="inlineStr">
        <is>
          <t>Лист «10_История»: сезон 25/26 в виде отчёта о финансовых результатах. Часть строк — оценка по двум месяцам P&amp;L, у каждой написано, откуда она. Чтобы этот сезон попал в итог на дашборде, поставьте «Да» в 01_Вводные!B322.</t>
        </is>
      </c>
    </row>
    <row r="11">
      <c r="B11" s="158" t="inlineStr">
        <is>
          <t>Графики</t>
        </is>
      </c>
      <c r="C11" s="159" t="inlineStr">
        <is>
          <t>На «00_Дашборде» под таблицей — восемь помесячных графиков: сеть, продажи и открытия, выручка и EBITDA, роялти, форма, займ клубу, деньги и склад. Они для экрана: на печать уходит только таблица, чтобы итог помещался на один лист.</t>
        </is>
      </c>
    </row>
    <row r="13">
      <c r="B13" s="157" t="inlineStr">
        <is>
          <t>Где что вводится</t>
        </is>
      </c>
      <c r="C13" s="126" t="n"/>
    </row>
    <row r="14">
      <c r="B14" s="158" t="inlineStr">
        <is>
          <t>Дата старта — 01_Вводные!B7</t>
        </is>
      </c>
      <c r="C14" s="159" t="inlineStr">
        <is>
          <t>Первая строка блока «1. Календарь». Только 1 сентября: модель живёт сезонами сентябрь–август. Имя «СтартМодели» в формулах — это ссылка на неё, своего значения у имени нет.</t>
        </is>
      </c>
    </row>
    <row r="15">
      <c r="B15" s="158" t="inlineStr">
        <is>
          <t>Сценарий — 01_Вводные!B192</t>
        </is>
      </c>
      <c r="C15" s="159" t="inlineStr">
        <is>
          <t>Выбирается словом из списка: Негативный / Базовый / Позитивный. Номер вместо слова молча даёт позитивный сценарий.</t>
        </is>
      </c>
    </row>
    <row r="16">
      <c r="B16" s="158" t="inlineStr">
        <is>
          <t>Стартовая сеть — 01_Вводные!B9 и B10</t>
        </is>
      </c>
      <c r="C16" s="159" t="inlineStr">
        <is>
          <t>B9 — школы (104), B10 — партнёры (51). Это разные числа.</t>
        </is>
      </c>
    </row>
    <row r="17">
      <c r="B17" s="158" t="inlineStr">
        <is>
          <t>Горизонт — 01_Вводные!B8</t>
        </is>
      </c>
      <c r="C17" s="159" t="inlineStr">
        <is>
          <t>60 месяцев. Ширина листов свёрстана под него, менять нельзя.</t>
        </is>
      </c>
    </row>
    <row r="18">
      <c r="B18" s="158" t="inlineStr">
        <is>
          <t>История сезона 25/26 — 01_Вводные!B322</t>
        </is>
      </c>
      <c r="C18" s="159" t="inlineStr">
        <is>
          <t>«Да» добавляет на дашборд колонку факта сезона 25/26 и итог за шесть сезонов. Сам прогноз при этом не меняется: сезон 25/26 — факт, его итоги вводятся числами в разделе 17.</t>
        </is>
      </c>
    </row>
    <row r="20">
      <c r="B20" s="157" t="inlineStr">
        <is>
          <t>Чего делать нельзя</t>
        </is>
      </c>
      <c r="C20" s="126" t="n"/>
    </row>
    <row r="21">
      <c r="B21" s="158" t="inlineStr">
        <is>
          <t>Не вводить числа в расчётных листах</t>
        </is>
      </c>
      <c r="C21" s="159" t="inlineStr">
        <is>
          <t>Любое число поверх формулы разрывает связь, и модель начинает врать молча. Все вводные — на «01_Вводные».</t>
        </is>
      </c>
    </row>
    <row r="22">
      <c r="B22" s="158" t="inlineStr">
        <is>
          <t>Не приравнивать партнёров к школам</t>
        </is>
      </c>
      <c r="C22" s="159" t="inlineStr">
        <is>
          <t>Один партнёр держит несколько школ: на старте 51 партнёр и 104 школы.</t>
        </is>
      </c>
    </row>
    <row r="23">
      <c r="B23" s="158" t="inlineStr">
        <is>
          <t>Не заменять постепенный набор полной загрузкой</t>
        </is>
      </c>
      <c r="C23" s="159" t="inlineStr">
        <is>
          <t>Новая школа выходит на мощность за два года: 1–12 мес., 13–24 мес., затем зрелая.</t>
        </is>
      </c>
    </row>
    <row r="24">
      <c r="B24" s="158" t="inlineStr">
        <is>
          <t>Не смешивать БДР и БДДС</t>
        </is>
      </c>
      <c r="C24" s="159" t="inlineStr">
        <is>
          <t>Начисление и деньги расходятся из-за склада, займа и отсрочек. Это нормально и показано в блоке БДДС.</t>
        </is>
      </c>
    </row>
    <row r="26">
      <c r="B26" s="122" t="inlineStr">
        <is>
          <t>На чём стоит модель</t>
        </is>
      </c>
    </row>
    <row r="28">
      <c r="B28" s="157" t="inlineStr">
        <is>
          <t>Главные гипотезы</t>
        </is>
      </c>
      <c r="C28" s="126" t="n"/>
    </row>
    <row r="29">
      <c r="B29" s="158" t="inlineStr">
        <is>
          <t>Продажи франшиз</t>
        </is>
      </c>
      <c r="C29" s="159" t="inlineStr">
        <is>
          <t>Планы по сезонам 66 / 72 / 72 / 60 / 50, разложены по месяцам весами сезонности. Сентябрь 2026 — без продаж.</t>
        </is>
      </c>
    </row>
    <row r="30">
      <c r="B30" s="158" t="inlineStr">
        <is>
          <t>От продажи до школы</t>
        </is>
      </c>
      <c r="C30" s="159" t="inlineStr">
        <is>
          <t>Два месяца лага. Один партнёр открывает 1,5 школы — коэффициент согласован 11.09.2026.</t>
        </is>
      </c>
    </row>
    <row r="31">
      <c r="B31" s="158" t="inlineStr">
        <is>
          <t>Дети</t>
        </is>
      </c>
      <c r="C31" s="159" t="inlineStr">
        <is>
          <t>Действующая сеть: 5 200 детей, рост 10 % в год. Новая школа выходит примерно на 75 детей в первый год и 165 во второй.</t>
        </is>
      </c>
    </row>
    <row r="32">
      <c r="B32" s="158" t="inlineStr">
        <is>
          <t>Закрытие</t>
        </is>
      </c>
      <c r="C32" s="159" t="inlineStr">
        <is>
          <t>3 % школ и партнёров в год, помесячно через коэффициент сохранения. Уменьшает детей, роялти и ERP.</t>
        </is>
      </c>
    </row>
    <row r="33">
      <c r="B33" s="158" t="inlineStr">
        <is>
          <t>Роялти</t>
        </is>
      </c>
      <c r="C33" s="159" t="inlineStr">
        <is>
          <t>6,5 % для договоров до 31.12.2026, 8,5 % для новых, с 01.01.2030 все на 10 %. Не ниже минимального платежа за школу.</t>
        </is>
      </c>
    </row>
    <row r="34">
      <c r="B34" s="158" t="inlineStr">
        <is>
          <t>Мерч</t>
        </is>
      </c>
      <c r="C34" s="159" t="inlineStr">
        <is>
          <t>Себестоимость комплекта 2 100 ₽, наценка 85 %. Первичная закупка новой школы растянута на три месяца: 50 / 30 / 20 %.</t>
        </is>
      </c>
    </row>
    <row r="35">
      <c r="B35" s="158" t="inlineStr">
        <is>
          <t>Склад</t>
        </is>
      </c>
      <c r="C35" s="159" t="inlineStr">
        <is>
          <t>Закупка четыре раза в год до целевого запаса в 4 месяца будущих продаж. Возврат займа клубу — 60 % себестоимости продаж.</t>
        </is>
      </c>
    </row>
    <row r="36">
      <c r="B36" s="158" t="inlineStr">
        <is>
          <t>Налоги</t>
        </is>
      </c>
      <c r="C36" s="159" t="inlineStr">
        <is>
          <t>УСН либо минимальный налог с выручки — что больше. Страховые взносы 30 %, льгот нет.</t>
        </is>
      </c>
    </row>
    <row r="37">
      <c r="B37" s="158" t="inlineStr">
        <is>
          <t>Лагеря</t>
        </is>
      </c>
      <c r="C37" s="159" t="inlineStr">
        <is>
          <t>Блок отключён переключателем с 09.09.2026 и в этой версии не считается.</t>
        </is>
      </c>
    </row>
    <row r="39">
      <c r="B39" s="122" t="inlineStr">
        <is>
          <t>Словарь</t>
        </is>
      </c>
    </row>
    <row r="41">
      <c r="B41" s="157" t="inlineStr">
        <is>
          <t>Что значат слова в этой книге</t>
        </is>
      </c>
      <c r="C41" s="126" t="n"/>
    </row>
    <row r="42">
      <c r="B42" s="158" t="inlineStr">
        <is>
          <t>БДР</t>
        </is>
      </c>
      <c r="C42" s="159" t="inlineStr">
        <is>
          <t>Бюджет доходов и расходов: начисления. Выручка признаётся, когда услуга оказана, а не когда пришли деньги.</t>
        </is>
      </c>
    </row>
    <row r="43">
      <c r="B43" s="158" t="inlineStr">
        <is>
          <t>БДДС</t>
        </is>
      </c>
      <c r="C43" s="159" t="inlineStr">
        <is>
          <t>Бюджет движения денежных средств: реальные поступления и платежи по датам.</t>
        </is>
      </c>
    </row>
    <row r="44">
      <c r="B44" s="158" t="inlineStr">
        <is>
          <t>EBITDA</t>
        </is>
      </c>
      <c r="C44" s="159" t="inlineStr">
        <is>
          <t>Прибыль до процентов, налогов и амортизации. В этой модели = валовая прибыль минус OPEX.</t>
        </is>
      </c>
    </row>
    <row r="45">
      <c r="B45" s="158" t="inlineStr">
        <is>
          <t>OPEX</t>
        </is>
      </c>
      <c r="C45" s="159" t="inlineStr">
        <is>
          <t>Операционные расходы: ФОТ, ERP, офис, юристы, IT, SMM, маркетинг привлечения.</t>
        </is>
      </c>
    </row>
    <row r="46">
      <c r="B46" s="158" t="inlineStr">
        <is>
          <t>COGS</t>
        </is>
      </c>
      <c r="C46" s="159" t="inlineStr">
        <is>
          <t>Себестоимость проданного мерча.</t>
        </is>
      </c>
    </row>
    <row r="47">
      <c r="B47" s="158" t="inlineStr">
        <is>
          <t>Паушальный взнос</t>
        </is>
      </c>
      <c r="C47" s="159" t="inlineStr">
        <is>
          <t>Разовый платёж партнёра при покупке франшизы.</t>
        </is>
      </c>
    </row>
    <row r="48">
      <c r="B48" s="158" t="inlineStr">
        <is>
          <t>Роялти</t>
        </is>
      </c>
      <c r="C48" s="159" t="inlineStr">
        <is>
          <t>Регулярный платёж партнёра — процент с абонементов, но не ниже минимума за школу.</t>
        </is>
      </c>
    </row>
    <row r="49">
      <c r="B49" s="158" t="inlineStr">
        <is>
          <t>Когорта</t>
        </is>
      </c>
      <c r="C49" s="159" t="inlineStr">
        <is>
          <t>Группа школ одного возраста. Школы 7-го месяца жизни — одна когорта, 20-го — другая.</t>
        </is>
      </c>
    </row>
    <row r="50">
      <c r="B50" s="158" t="inlineStr">
        <is>
          <t>Целевой запас</t>
        </is>
      </c>
      <c r="C50" s="159" t="inlineStr">
        <is>
          <t>Сколько месяцев будущих продаж должно лежать на складе. Задаётся вводной.</t>
        </is>
      </c>
    </row>
    <row r="51">
      <c r="B51" s="158" t="inlineStr">
        <is>
          <t>Оборотный капитал</t>
        </is>
      </c>
      <c r="C51" s="159" t="inlineStr">
        <is>
          <t>Деньги, замороженные в складе и дебиторке. Из-за него EBITDA не равна денежному потоку.</t>
        </is>
      </c>
    </row>
    <row r="52">
      <c r="B52" s="158" t="inlineStr">
        <is>
          <t>Дебиторка</t>
        </is>
      </c>
      <c r="C52" s="159" t="inlineStr">
        <is>
          <t>Начислили, но ещё не получили.</t>
        </is>
      </c>
    </row>
    <row r="53">
      <c r="B53" s="158" t="inlineStr">
        <is>
          <t>Кредиторка</t>
        </is>
      </c>
      <c r="C53" s="159" t="inlineStr">
        <is>
          <t>Начислили, но ещё не заплатили.</t>
        </is>
      </c>
    </row>
    <row r="54">
      <c r="B54" s="158" t="inlineStr">
        <is>
          <t>Технические месяцы</t>
        </is>
      </c>
      <c r="C54" s="159" t="inlineStr">
        <is>
          <t>Шесть скрытых столбцов после 60-го месяца. Нужны, чтобы посчитать целевой запас склада на конец горизонта.</t>
        </is>
      </c>
    </row>
    <row r="55">
      <c r="B55" s="158" t="inlineStr">
        <is>
          <t>Сезон</t>
        </is>
      </c>
      <c r="C55" s="159" t="inlineStr">
        <is>
          <t>Год модели: с сентября по август. Сезон 1 — 2026/27.</t>
        </is>
      </c>
    </row>
  </sheetData>
  <printOptions horizontalCentered="0"/>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B2:G58"/>
  <sheetViews>
    <sheetView showGridLines="0" workbookViewId="0">
      <selection activeCell="A1" sqref="A1"/>
    </sheetView>
  </sheetViews>
  <sheetFormatPr baseColWidth="8" defaultRowHeight="15"/>
  <cols>
    <col width="3" customWidth="1" min="1" max="1"/>
    <col width="40" customWidth="1" min="2" max="2"/>
    <col width="21" customWidth="1" min="3" max="3"/>
    <col width="26" customWidth="1" min="4" max="4"/>
    <col width="18" customWidth="1" min="5" max="5"/>
    <col width="26" customWidth="1" min="6" max="6"/>
    <col width="70" customWidth="1" min="7" max="7"/>
  </cols>
  <sheetData>
    <row r="2">
      <c r="B2" s="1" t="inlineStr">
        <is>
          <t>Сезон 25/26 — что было на самом деле</t>
        </is>
      </c>
    </row>
    <row r="3">
      <c r="B3" s="2" t="inlineStr">
        <is>
          <t>Прогноз начинается с сентября 2026. Этот лист — то, что ему предшествовало. Ничего не считает: вводится в разделе 17 листа «01_Вводные», сюда попадает ссылками.</t>
        </is>
      </c>
    </row>
    <row r="5">
      <c r="B5" s="16" t="inlineStr">
        <is>
          <t>Отчёт о финансовых результатах, 11 месяцев (окт.25 — авг.26)</t>
        </is>
      </c>
    </row>
    <row r="6">
      <c r="B6" s="160" t="inlineStr">
        <is>
          <t>Статья</t>
        </is>
      </c>
      <c r="C6" s="160" t="inlineStr">
        <is>
          <t>Сезон 25/26</t>
        </is>
      </c>
      <c r="D6" s="160" t="inlineStr">
        <is>
          <t>Откуда</t>
        </is>
      </c>
      <c r="E6" s="160" t="inlineStr"/>
      <c r="F6" s="160" t="inlineStr">
        <is>
          <t>Комментарий</t>
        </is>
      </c>
    </row>
    <row r="7">
      <c r="B7" t="inlineStr">
        <is>
          <t>Паушальные взносы</t>
        </is>
      </c>
      <c r="C7" s="5">
        <f>'01_Вводные'!$B$324</f>
        <v/>
      </c>
      <c r="D7" s="161">
        <f>'01_Вводные'!$D$324</f>
        <v/>
      </c>
      <c r="F7" s="127">
        <f>IF('01_Вводные'!$E$324="","",'01_Вводные'!$E$324)</f>
        <v/>
      </c>
    </row>
    <row r="8">
      <c r="B8" t="inlineStr">
        <is>
          <t>Роялти</t>
        </is>
      </c>
      <c r="C8" s="5">
        <f>'01_Вводные'!$B$325</f>
        <v/>
      </c>
      <c r="D8" s="161">
        <f>'01_Вводные'!$D$325</f>
        <v/>
      </c>
      <c r="F8" s="127">
        <f>IF('01_Вводные'!$E$325="","",'01_Вводные'!$E$325)</f>
        <v/>
      </c>
    </row>
    <row r="9">
      <c r="B9" t="inlineStr">
        <is>
          <t>Мерч (спортивная форма)</t>
        </is>
      </c>
      <c r="C9" s="5">
        <f>'01_Вводные'!$B$326</f>
        <v/>
      </c>
      <c r="D9" s="161">
        <f>'01_Вводные'!$D$326</f>
        <v/>
      </c>
      <c r="F9" s="127">
        <f>IF('01_Вводные'!$E$326="","",'01_Вводные'!$E$326)</f>
        <v/>
      </c>
    </row>
    <row r="10">
      <c r="B10" s="162" t="inlineStr">
        <is>
          <t>Выручка без НДС</t>
        </is>
      </c>
      <c r="C10" s="9">
        <f>'01_Вводные'!$B$327</f>
        <v/>
      </c>
      <c r="D10" s="7">
        <f>'01_Вводные'!$D$327</f>
        <v/>
      </c>
      <c r="F10" s="127">
        <f>IF('01_Вводные'!$E$327="","",'01_Вводные'!$E$327)</f>
        <v/>
      </c>
    </row>
    <row r="12">
      <c r="B12" t="inlineStr">
        <is>
          <t>Прямые расходы</t>
        </is>
      </c>
      <c r="C12" s="5">
        <f>'01_Вводные'!$B$328</f>
        <v/>
      </c>
      <c r="D12" s="161">
        <f>'01_Вводные'!$D$328</f>
        <v/>
      </c>
      <c r="F12" s="127">
        <f>IF('01_Вводные'!$E$328="","",'01_Вводные'!$E$328)</f>
        <v/>
      </c>
    </row>
    <row r="13">
      <c r="B13" s="162" t="inlineStr">
        <is>
          <t>Валовая прибыль</t>
        </is>
      </c>
      <c r="C13" s="9">
        <f>'01_Вводные'!$B$329</f>
        <v/>
      </c>
      <c r="D13" s="7">
        <f>'01_Вводные'!$D$329</f>
        <v/>
      </c>
      <c r="F13" s="127">
        <f>IF('01_Вводные'!$E$329="","",'01_Вводные'!$E$329)</f>
        <v/>
      </c>
    </row>
    <row r="15">
      <c r="B15" t="inlineStr">
        <is>
          <t>ФОТ и кадровые расходы</t>
        </is>
      </c>
      <c r="C15" s="5">
        <f>'01_Вводные'!$B$330</f>
        <v/>
      </c>
      <c r="D15" s="161">
        <f>'01_Вводные'!$D$330</f>
        <v/>
      </c>
      <c r="F15" s="127">
        <f>IF('01_Вводные'!$E$330="","",'01_Вводные'!$E$330)</f>
        <v/>
      </c>
    </row>
    <row r="16">
      <c r="B16" t="inlineStr">
        <is>
          <t>OPEX — прочие</t>
        </is>
      </c>
      <c r="C16" s="5">
        <f>'01_Вводные'!$B$331</f>
        <v/>
      </c>
      <c r="D16" s="161">
        <f>'01_Вводные'!$D$331</f>
        <v/>
      </c>
      <c r="F16" s="127">
        <f>IF('01_Вводные'!$E$331="","",'01_Вводные'!$E$331)</f>
        <v/>
      </c>
    </row>
    <row r="17">
      <c r="B17" s="162" t="inlineStr">
        <is>
          <t>EBITDA</t>
        </is>
      </c>
      <c r="C17" s="9">
        <f>'01_Вводные'!$B$332</f>
        <v/>
      </c>
      <c r="D17" s="7">
        <f>'01_Вводные'!$D$332</f>
        <v/>
      </c>
      <c r="F17" s="127">
        <f>IF('01_Вводные'!$E$332="","",'01_Вводные'!$E$332)</f>
        <v/>
      </c>
    </row>
    <row r="19">
      <c r="B19" t="inlineStr">
        <is>
          <t>УСН / минимальный налог</t>
        </is>
      </c>
      <c r="C19" s="5">
        <f>'01_Вводные'!$B$333</f>
        <v/>
      </c>
      <c r="D19" s="161">
        <f>'01_Вводные'!$D$333</f>
        <v/>
      </c>
      <c r="F19" s="127">
        <f>IF('01_Вводные'!$E$333="","",'01_Вводные'!$E$333)</f>
        <v/>
      </c>
    </row>
    <row r="20">
      <c r="B20" s="162" t="inlineStr">
        <is>
          <t>Прибыль после налога</t>
        </is>
      </c>
      <c r="C20" s="9">
        <f>'01_Вводные'!$B$334</f>
        <v/>
      </c>
      <c r="D20" s="7">
        <f>'01_Вводные'!$D$334</f>
        <v/>
      </c>
      <c r="F20" s="127">
        <f>IF('01_Вводные'!$E$334="","",'01_Вводные'!$E$334)</f>
        <v/>
      </c>
    </row>
    <row r="23">
      <c r="B23" s="16" t="inlineStr">
        <is>
          <t>Сеть на конец сезона</t>
        </is>
      </c>
    </row>
    <row r="24">
      <c r="B24" s="160" t="inlineStr">
        <is>
          <t>Показатель</t>
        </is>
      </c>
      <c r="C24" s="160" t="inlineStr">
        <is>
          <t>Значение</t>
        </is>
      </c>
      <c r="D24" s="160" t="inlineStr">
        <is>
          <t>Откуда</t>
        </is>
      </c>
      <c r="E24" s="160" t="inlineStr"/>
      <c r="F24" s="160" t="inlineStr">
        <is>
          <t>Комментарий</t>
        </is>
      </c>
    </row>
    <row r="25">
      <c r="B25" t="inlineStr">
        <is>
          <t>Школы на конец сезона</t>
        </is>
      </c>
      <c r="C25" s="5">
        <f>'01_Вводные'!$B$337</f>
        <v/>
      </c>
      <c r="D25" s="161">
        <f>'01_Вводные'!$D$337</f>
        <v/>
      </c>
      <c r="F25" s="17">
        <f>IF('01_Вводные'!$E$337="","",'01_Вводные'!$E$337)</f>
        <v/>
      </c>
    </row>
    <row r="26">
      <c r="B26" t="inlineStr">
        <is>
          <t>Партнёры на конец сезона</t>
        </is>
      </c>
      <c r="C26" s="5">
        <f>'01_Вводные'!$B$338</f>
        <v/>
      </c>
      <c r="D26" s="161">
        <f>'01_Вводные'!$D$338</f>
        <v/>
      </c>
      <c r="F26" s="17">
        <f>IF('01_Вводные'!$E$338="","",'01_Вводные'!$E$338)</f>
        <v/>
      </c>
    </row>
    <row r="27">
      <c r="B27" t="inlineStr">
        <is>
          <t>Дети на конец сезона</t>
        </is>
      </c>
      <c r="C27" s="5">
        <f>'01_Вводные'!$B$339</f>
        <v/>
      </c>
      <c r="D27" s="161">
        <f>'01_Вводные'!$D$339</f>
        <v/>
      </c>
      <c r="F27" s="17">
        <f>IF('01_Вводные'!$E$339="","",'01_Вводные'!$E$339)</f>
        <v/>
      </c>
    </row>
    <row r="28">
      <c r="B28" t="inlineStr">
        <is>
          <t>Деньги на конец сезона</t>
        </is>
      </c>
      <c r="C28" s="5">
        <f>'01_Вводные'!$B$336</f>
        <v/>
      </c>
      <c r="D28" s="161">
        <f>'01_Вводные'!$D$336</f>
        <v/>
      </c>
      <c r="F28" s="17">
        <f>IF('01_Вводные'!$E$336="","",'01_Вводные'!$E$336)</f>
        <v/>
      </c>
    </row>
    <row r="29">
      <c r="B29" t="inlineStr">
        <is>
          <t>Денежный поток за сезон</t>
        </is>
      </c>
      <c r="C29" s="5">
        <f>'01_Вводные'!$B$335</f>
        <v/>
      </c>
      <c r="D29" s="161">
        <f>'01_Вводные'!$D$335</f>
        <v/>
      </c>
      <c r="F29" s="17">
        <f>IF('01_Вводные'!$E$335="","",'01_Вводные'!$E$335)</f>
        <v/>
      </c>
    </row>
    <row r="32">
      <c r="B32" s="16" t="inlineStr">
        <is>
          <t>Реестр начислений помесячно — единственный полный ряд</t>
        </is>
      </c>
    </row>
    <row r="33">
      <c r="B33" s="160" t="inlineStr">
        <is>
          <t>Месяц</t>
        </is>
      </c>
      <c r="C33" s="160" t="inlineStr">
        <is>
          <t>Оборот сети, ₽</t>
        </is>
      </c>
      <c r="D33" s="160" t="inlineStr">
        <is>
          <t>Роялти начислено, ₽</t>
        </is>
      </c>
      <c r="E33" s="160" t="inlineStr">
        <is>
          <t>Эффективная ставка</t>
        </is>
      </c>
    </row>
    <row r="34">
      <c r="B34" s="136">
        <f>'01_Вводные'!$A$343</f>
        <v/>
      </c>
      <c r="C34" s="5">
        <f>'01_Вводные'!$B$343</f>
        <v/>
      </c>
      <c r="D34" s="5">
        <f>'01_Вводные'!$C$343</f>
        <v/>
      </c>
      <c r="E34" s="15">
        <f>IF(C34=0,0,D34/C34)</f>
        <v/>
      </c>
    </row>
    <row r="35">
      <c r="B35" s="136">
        <f>'01_Вводные'!$A$344</f>
        <v/>
      </c>
      <c r="C35" s="5">
        <f>'01_Вводные'!$B$344</f>
        <v/>
      </c>
      <c r="D35" s="5">
        <f>'01_Вводные'!$C$344</f>
        <v/>
      </c>
      <c r="E35" s="15">
        <f>IF(C35=0,0,D35/C35)</f>
        <v/>
      </c>
    </row>
    <row r="36">
      <c r="B36" s="136">
        <f>'01_Вводные'!$A$345</f>
        <v/>
      </c>
      <c r="C36" s="5">
        <f>'01_Вводные'!$B$345</f>
        <v/>
      </c>
      <c r="D36" s="5">
        <f>'01_Вводные'!$C$345</f>
        <v/>
      </c>
      <c r="E36" s="15">
        <f>IF(C36=0,0,D36/C36)</f>
        <v/>
      </c>
    </row>
    <row r="37">
      <c r="B37" s="136">
        <f>'01_Вводные'!$A$346</f>
        <v/>
      </c>
      <c r="C37" s="5">
        <f>'01_Вводные'!$B$346</f>
        <v/>
      </c>
      <c r="D37" s="5">
        <f>'01_Вводные'!$C$346</f>
        <v/>
      </c>
      <c r="E37" s="15">
        <f>IF(C37=0,0,D37/C37)</f>
        <v/>
      </c>
    </row>
    <row r="38">
      <c r="B38" s="136">
        <f>'01_Вводные'!$A$347</f>
        <v/>
      </c>
      <c r="C38" s="5">
        <f>'01_Вводные'!$B$347</f>
        <v/>
      </c>
      <c r="D38" s="5">
        <f>'01_Вводные'!$C$347</f>
        <v/>
      </c>
      <c r="E38" s="15">
        <f>IF(C38=0,0,D38/C38)</f>
        <v/>
      </c>
    </row>
    <row r="39">
      <c r="B39" s="136">
        <f>'01_Вводные'!$A$348</f>
        <v/>
      </c>
      <c r="C39" s="5">
        <f>'01_Вводные'!$B$348</f>
        <v/>
      </c>
      <c r="D39" s="5">
        <f>'01_Вводные'!$C$348</f>
        <v/>
      </c>
      <c r="E39" s="15">
        <f>IF(C39=0,0,D39/C39)</f>
        <v/>
      </c>
    </row>
    <row r="40">
      <c r="B40" s="136">
        <f>'01_Вводные'!$A$349</f>
        <v/>
      </c>
      <c r="C40" s="5">
        <f>'01_Вводные'!$B$349</f>
        <v/>
      </c>
      <c r="D40" s="5">
        <f>'01_Вводные'!$C$349</f>
        <v/>
      </c>
      <c r="E40" s="15">
        <f>IF(C40=0,0,D40/C40)</f>
        <v/>
      </c>
    </row>
    <row r="41">
      <c r="B41" s="136">
        <f>'01_Вводные'!$A$350</f>
        <v/>
      </c>
      <c r="C41" s="5">
        <f>'01_Вводные'!$B$350</f>
        <v/>
      </c>
      <c r="D41" s="5">
        <f>'01_Вводные'!$C$350</f>
        <v/>
      </c>
      <c r="E41" s="15">
        <f>IF(C41=0,0,D41/C41)</f>
        <v/>
      </c>
    </row>
    <row r="42">
      <c r="B42" s="136">
        <f>'01_Вводные'!$A$351</f>
        <v/>
      </c>
      <c r="C42" s="5">
        <f>'01_Вводные'!$B$351</f>
        <v/>
      </c>
      <c r="D42" s="5">
        <f>'01_Вводные'!$C$351</f>
        <v/>
      </c>
      <c r="E42" s="15">
        <f>IF(C42=0,0,D42/C42)</f>
        <v/>
      </c>
    </row>
    <row r="43">
      <c r="B43" s="136">
        <f>'01_Вводные'!$A$352</f>
        <v/>
      </c>
      <c r="C43" s="5">
        <f>'01_Вводные'!$B$352</f>
        <v/>
      </c>
      <c r="D43" s="5">
        <f>'01_Вводные'!$C$352</f>
        <v/>
      </c>
      <c r="E43" s="15">
        <f>IF(C43=0,0,D43/C43)</f>
        <v/>
      </c>
    </row>
    <row r="44">
      <c r="B44" s="136">
        <f>'01_Вводные'!$A$353</f>
        <v/>
      </c>
      <c r="C44" s="5">
        <f>'01_Вводные'!$B$353</f>
        <v/>
      </c>
      <c r="D44" s="5">
        <f>'01_Вводные'!$C$353</f>
        <v/>
      </c>
      <c r="E44" s="15">
        <f>IF(C44=0,0,D44/C44)</f>
        <v/>
      </c>
    </row>
    <row r="45">
      <c r="B45" s="7" t="inlineStr">
        <is>
          <t>Итого за 11 месяцев</t>
        </is>
      </c>
      <c r="C45" s="9">
        <f>SUM(C34:C44)</f>
        <v/>
      </c>
      <c r="D45" s="9">
        <f>SUM(D34:D44)</f>
        <v/>
      </c>
      <c r="E45" s="163">
        <f>IF(C45=0,0,D45/C45)</f>
        <v/>
      </c>
      <c r="G45" s="17" t="inlineStr">
        <is>
          <t>Сентябрь 2025 в переданном реестре отсутствует, поэтому месяцев одиннадцать.</t>
        </is>
      </c>
    </row>
    <row r="48">
      <c r="B48" s="16" t="inlineStr">
        <is>
          <t>P&amp;L управляющей компании — месяцы, по которым есть отчёт</t>
        </is>
      </c>
    </row>
    <row r="49">
      <c r="B49" s="160" t="inlineStr">
        <is>
          <t>Статья</t>
        </is>
      </c>
      <c r="C49" s="160" t="inlineStr">
        <is>
          <t>Июнь 2026</t>
        </is>
      </c>
      <c r="D49" s="160" t="inlineStr">
        <is>
          <t>Июль 2026</t>
        </is>
      </c>
      <c r="E49" s="160" t="inlineStr">
        <is>
          <t>Средний месяц</t>
        </is>
      </c>
    </row>
    <row r="50">
      <c r="B50" t="inlineStr">
        <is>
          <t>Роялти</t>
        </is>
      </c>
      <c r="C50" s="5">
        <f>'01_Вводные'!B$358</f>
        <v/>
      </c>
      <c r="D50" s="5">
        <f>'01_Вводные'!C$358</f>
        <v/>
      </c>
      <c r="E50" s="5">
        <f>AVERAGE(C50:D50)</f>
        <v/>
      </c>
    </row>
    <row r="51">
      <c r="B51" t="inlineStr">
        <is>
          <t>Мерч (спортивная форма)</t>
        </is>
      </c>
      <c r="C51" s="5">
        <f>'01_Вводные'!B$359</f>
        <v/>
      </c>
      <c r="D51" s="5">
        <f>'01_Вводные'!C$359</f>
        <v/>
      </c>
      <c r="E51" s="5">
        <f>AVERAGE(C51:D51)</f>
        <v/>
      </c>
    </row>
    <row r="52">
      <c r="B52" t="inlineStr">
        <is>
          <t>Себестоимость формы</t>
        </is>
      </c>
      <c r="C52" s="5">
        <f>'01_Вводные'!B$360</f>
        <v/>
      </c>
      <c r="D52" s="5">
        <f>'01_Вводные'!C$360</f>
        <v/>
      </c>
      <c r="E52" s="5">
        <f>AVERAGE(C52:D52)</f>
        <v/>
      </c>
    </row>
    <row r="53">
      <c r="B53" t="inlineStr">
        <is>
          <t>Выплаты клубу</t>
        </is>
      </c>
      <c r="C53" s="5">
        <f>'01_Вводные'!B$361</f>
        <v/>
      </c>
      <c r="D53" s="5">
        <f>'01_Вводные'!C$361</f>
        <v/>
      </c>
      <c r="E53" s="5">
        <f>AVERAGE(C53:D53)</f>
        <v/>
      </c>
    </row>
    <row r="54">
      <c r="B54" t="inlineStr">
        <is>
          <t>ФОТ со взносами</t>
        </is>
      </c>
      <c r="C54" s="5">
        <f>'01_Вводные'!B$362</f>
        <v/>
      </c>
      <c r="D54" s="5">
        <f>'01_Вводные'!C$362</f>
        <v/>
      </c>
      <c r="E54" s="5">
        <f>AVERAGE(C54:D54)</f>
        <v/>
      </c>
    </row>
    <row r="55">
      <c r="B55" t="inlineStr">
        <is>
          <t>OPEX — прочие</t>
        </is>
      </c>
      <c r="C55" s="5">
        <f>'01_Вводные'!B$363</f>
        <v/>
      </c>
      <c r="D55" s="5">
        <f>'01_Вводные'!C$363</f>
        <v/>
      </c>
      <c r="E55" s="5">
        <f>AVERAGE(C55:D55)</f>
        <v/>
      </c>
    </row>
    <row r="56">
      <c r="B56" t="inlineStr">
        <is>
          <t>Прочие расходы</t>
        </is>
      </c>
      <c r="C56" s="5">
        <f>'01_Вводные'!B$364</f>
        <v/>
      </c>
      <c r="D56" s="5">
        <f>'01_Вводные'!C$364</f>
        <v/>
      </c>
      <c r="E56" s="5">
        <f>AVERAGE(C56:D56)</f>
        <v/>
      </c>
    </row>
    <row r="57">
      <c r="B57" t="inlineStr">
        <is>
          <t>EBITDA</t>
        </is>
      </c>
      <c r="C57" s="5">
        <f>'01_Вводные'!B$365</f>
        <v/>
      </c>
      <c r="D57" s="5">
        <f>'01_Вводные'!C$365</f>
        <v/>
      </c>
      <c r="E57" s="5">
        <f>AVERAGE(C57:D57)</f>
        <v/>
      </c>
    </row>
    <row r="58">
      <c r="B58" s="17" t="inlineStr">
        <is>
          <t>Оценка сезона = средний месяц x 11. Так посчитаны строки отчёта выше, помеченные «оценка».</t>
        </is>
      </c>
    </row>
  </sheetData>
  <mergeCells count="17">
    <mergeCell ref="F12:G12"/>
    <mergeCell ref="F15:G15"/>
    <mergeCell ref="F10:G10"/>
    <mergeCell ref="F16:G16"/>
    <mergeCell ref="F29:G29"/>
    <mergeCell ref="F19:G19"/>
    <mergeCell ref="F20:G20"/>
    <mergeCell ref="F25:G25"/>
    <mergeCell ref="F28:G28"/>
    <mergeCell ref="B58:G58"/>
    <mergeCell ref="F13:G13"/>
    <mergeCell ref="F26:G26"/>
    <mergeCell ref="F27:G27"/>
    <mergeCell ref="F17:G17"/>
    <mergeCell ref="F9:G9"/>
    <mergeCell ref="F7:G7"/>
    <mergeCell ref="F8:G8"/>
  </mergeCells>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2026-09-11T13:16:10Z</dcterms:created>
  <dcterms:modified xsi:type="dcterms:W3CDTF">2026-09-11T13:16:11Z</dcterms:modified>
</cp:coreProperties>
</file>