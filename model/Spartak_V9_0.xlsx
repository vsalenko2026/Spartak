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</numFmts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  <color rgb="009E1B31"/>
      <sz val="11"/>
    </font>
    <font>
      <i val="1"/>
      <color rgb="00595959"/>
      <sz val="9"/>
    </font>
    <font>
      <b val="1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10" borderId="0" applyAlignment="1" pivotButton="0" quotePrefix="0" xfId="0">
      <alignment horizontal="center" vertical="center" wrapText="1"/>
    </xf>
    <xf numFmtId="0" fontId="33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0" fontId="0" fillId="7" borderId="0" pivotButton="0" quotePrefix="0" xfId="0"/>
    <xf numFmtId="190" fontId="0" fillId="8" borderId="0" pivotButton="0" quotePrefix="0" xfId="0"/>
    <xf numFmtId="190" fontId="0" fillId="0" borderId="0" pivotButton="0" quotePrefix="0" xfId="0"/>
    <xf numFmtId="191" fontId="0" fillId="7" borderId="0" pivotButton="0" quotePrefix="0" xfId="0"/>
    <xf numFmtId="191" fontId="0" fillId="8" borderId="0" pivotButton="0" quotePrefix="0" xfId="0"/>
    <xf numFmtId="191" fontId="0" fillId="0" borderId="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vertical="top" wrapText="1"/>
    </xf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94" fontId="35" fillId="7" borderId="0" pivotButton="0" quotePrefix="0" xfId="0"/>
    <xf numFmtId="194" fontId="35" fillId="8" borderId="0" pivotButton="0" quotePrefix="0" xfId="0"/>
    <xf numFmtId="194" fontId="35" fillId="0" borderId="0" pivotButton="0" quotePrefix="0" xfId="0"/>
    <xf numFmtId="0" fontId="28" fillId="0" borderId="0" applyAlignment="1" pivotButton="0" quotePrefix="0" xfId="0">
      <alignment vertical="center"/>
    </xf>
    <xf numFmtId="17" fontId="29" fillId="0" borderId="0" applyAlignment="1" pivotButton="0" quotePrefix="0" xfId="0">
      <alignment vertical="center"/>
    </xf>
    <xf numFmtId="183" fontId="29" fillId="0" borderId="0" applyAlignment="1" pivotButton="0" quotePrefix="0" xfId="0">
      <alignment vertical="center"/>
    </xf>
    <xf numFmtId="183" fontId="0" fillId="0" borderId="0" pivotButton="0" quotePrefix="0" xfId="0"/>
    <xf numFmtId="183" fontId="2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" t="inlineStr">
        <is>
          <t>Легенда:</t>
        </is>
      </c>
      <c r="B2" s="3" t="inlineStr">
        <is>
          <t>жёлтая — ввод</t>
        </is>
      </c>
      <c r="C2" s="4" t="inlineStr">
        <is>
          <t>уточнить</t>
        </is>
      </c>
      <c r="D2" s="5" t="inlineStr">
        <is>
          <t>переключатель</t>
        </is>
      </c>
      <c r="E2" s="6" t="inlineStr">
        <is>
          <t>блок v4 / ревизии</t>
        </is>
      </c>
      <c r="F2" s="7" t="inlineStr">
        <is>
          <t>серая курсивная — формула, не трогать</t>
        </is>
      </c>
      <c r="G2" s="8" t="inlineStr">
        <is>
          <t>→ 00_Старт: оглавление, переключатели, легенда</t>
        </is>
      </c>
      <c r="H2" s="8" t="inlineStr">
        <is>
          <t>→ 14а_Сверка_с_ТЗ: пункт ТЗ → формула</t>
        </is>
      </c>
    </row>
    <row r="3">
      <c r="A3" s="9" t="inlineStr">
        <is>
          <t>Правило работы</t>
        </is>
      </c>
      <c r="B3" s="10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11" t="inlineStr">
        <is>
          <t>→ Раздел 11: сценарии и чувствительность</t>
        </is>
      </c>
      <c r="H4" s="11" t="inlineStr">
        <is>
          <t>→ Раздел 13: тарифные группы</t>
        </is>
      </c>
    </row>
    <row r="5" ht="20" customHeight="1">
      <c r="A5" s="12" t="inlineStr">
        <is>
          <t>1. Календарь, стартовая сеть и оборотный капитал</t>
        </is>
      </c>
    </row>
    <row r="6">
      <c r="A6" s="13" t="inlineStr">
        <is>
          <t>Параметр</t>
        </is>
      </c>
      <c r="B6" s="13" t="inlineStr">
        <is>
          <t>Значение</t>
        </is>
      </c>
      <c r="C6" s="13" t="inlineStr">
        <is>
          <t>Ед.</t>
        </is>
      </c>
      <c r="D6" s="13" t="inlineStr">
        <is>
          <t>Статус / источник</t>
        </is>
      </c>
      <c r="E6" s="13" t="inlineStr">
        <is>
          <t>Комментарий</t>
        </is>
      </c>
      <c r="G6" s="11" t="inlineStr">
        <is>
          <t>→ Раздел 12: настройки ревизии</t>
        </is>
      </c>
      <c r="H6" s="11" t="inlineStr">
        <is>
          <t>→ Раздел 14–16: CAPEX и индексация</t>
        </is>
      </c>
    </row>
    <row r="7">
      <c r="A7" s="9" t="inlineStr">
        <is>
          <t>Дата старта модели</t>
        </is>
      </c>
      <c r="B7" s="14" t="n">
        <v>46266</v>
      </c>
      <c r="C7" s="15" t="inlineStr">
        <is>
          <t>дата</t>
        </is>
      </c>
      <c r="D7" s="15" t="inlineStr">
        <is>
          <t>ТЗ 5.1</t>
        </is>
      </c>
      <c r="E7" s="16" t="inlineStr">
        <is>
          <t>Единый сезон сентябрь–август</t>
        </is>
      </c>
    </row>
    <row r="8">
      <c r="A8" s="9" t="inlineStr">
        <is>
          <t>Горизонт прогноза</t>
        </is>
      </c>
      <c r="B8" s="17" t="n">
        <v>60</v>
      </c>
      <c r="C8" s="15" t="inlineStr">
        <is>
          <t>мес.</t>
        </is>
      </c>
      <c r="D8" s="15" t="inlineStr">
        <is>
          <t>Фиксированная структура</t>
        </is>
      </c>
      <c r="E8" s="16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9" t="inlineStr">
        <is>
          <t>Активные школы действующей сети на старте</t>
        </is>
      </c>
      <c r="B9" s="18" t="n">
        <v>104</v>
      </c>
      <c r="C9" s="15" t="inlineStr">
        <is>
          <t>шт.</t>
        </is>
      </c>
      <c r="D9" s="15" t="inlineStr">
        <is>
          <t>Фактический реестр на 09.09.2026</t>
        </is>
      </c>
      <c r="E9" s="16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9" t="inlineStr">
        <is>
          <t>Активные юрлица на старте</t>
        </is>
      </c>
      <c r="B10" s="19" t="n">
        <v>51</v>
      </c>
      <c r="C10" s="15" t="inlineStr">
        <is>
          <t>шт.</t>
        </is>
      </c>
      <c r="D10" s="15" t="inlineStr">
        <is>
          <t>Фактический реестр на 09.09.2026</t>
        </is>
      </c>
      <c r="E10" s="16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>
      <c r="A11" s="9" t="inlineStr">
        <is>
          <t>Дети действующей сети, 100% база</t>
        </is>
      </c>
      <c r="B11" s="20" t="n">
        <v>5200</v>
      </c>
      <c r="C11" s="15" t="inlineStr">
        <is>
          <t>чел.</t>
        </is>
      </c>
      <c r="D11" s="15" t="inlineStr">
        <is>
          <t>ТЗ 5.3</t>
        </is>
      </c>
      <c r="E11" s="16" t="inlineStr">
        <is>
          <t>100% загрузка; внутри сезона применяется посещаемость</t>
        </is>
      </c>
    </row>
    <row r="12">
      <c r="A12" s="9" t="inlineStr">
        <is>
          <t>Рост детей действующей сети</t>
        </is>
      </c>
      <c r="B12" s="21" t="n">
        <v>0.1</v>
      </c>
      <c r="C12" s="15" t="inlineStr">
        <is>
          <t>%/год</t>
        </is>
      </c>
      <c r="D12" s="15" t="inlineStr">
        <is>
          <t>ТЗ 5.3</t>
        </is>
      </c>
      <c r="E12" s="16" t="inlineStr">
        <is>
          <t>Сложный рост, пересчёт каждый сентябрь</t>
        </is>
      </c>
    </row>
    <row r="13">
      <c r="A13" s="9" t="inlineStr">
        <is>
          <t>Закрытие школ / юрлиц</t>
        </is>
      </c>
      <c r="B13" s="22" t="n">
        <v>0.03</v>
      </c>
      <c r="C13" s="15" t="inlineStr">
        <is>
          <t>%/год</t>
        </is>
      </c>
      <c r="D13" s="15" t="inlineStr">
        <is>
          <t>Согласовано 11.09.2026</t>
        </is>
      </c>
      <c r="E13" s="16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9" t="inlineStr">
        <is>
          <t>Месячный коэффициент сохранения</t>
        </is>
      </c>
      <c r="B14" s="23">
        <f>(1-B13)^(1/12)</f>
        <v/>
      </c>
      <c r="C14" s="15" t="inlineStr">
        <is>
          <t>коэфф.</t>
        </is>
      </c>
      <c r="D14" s="15" t="inlineStr">
        <is>
          <t>Расчёт</t>
        </is>
      </c>
      <c r="E14" s="15" t="inlineStr">
        <is>
          <t>Технический коэффициент для закрытий</t>
        </is>
      </c>
    </row>
    <row r="15">
      <c r="A15" s="9" t="inlineStr">
        <is>
          <t>Лаг продажа → открытие</t>
        </is>
      </c>
      <c r="B15" s="24" t="n">
        <v>2</v>
      </c>
      <c r="C15" s="15" t="inlineStr">
        <is>
          <t>мес.</t>
        </is>
      </c>
      <c r="D15" s="15" t="inlineStr">
        <is>
          <t>ТЗ 5.2</t>
        </is>
      </c>
      <c r="E15" s="16" t="inlineStr">
        <is>
          <t>Продажа, открытие и ERP — разные события</t>
        </is>
      </c>
    </row>
    <row r="16">
      <c r="A16" s="9" t="inlineStr">
        <is>
          <t>Новых юрлиц на 1 продажу</t>
        </is>
      </c>
      <c r="B16" s="25" t="n">
        <v>1</v>
      </c>
      <c r="C16" s="15" t="inlineStr">
        <is>
          <t>юрлиц/продажу</t>
        </is>
      </c>
      <c r="D16" s="15" t="inlineStr">
        <is>
          <t>Временно</t>
        </is>
      </c>
      <c r="E16" s="16" t="inlineStr">
        <is>
          <t>Связь продаж с новыми юрлицами. Пока 1:1; отдельно от количества школ на партнёра.</t>
        </is>
      </c>
    </row>
    <row r="17">
      <c r="A17" s="9" t="inlineStr">
        <is>
          <t>Стартовый денежный остаток</t>
        </is>
      </c>
      <c r="B17" s="26" t="n">
        <v>187878</v>
      </c>
      <c r="C17" s="15" t="inlineStr">
        <is>
          <t>₽</t>
        </is>
      </c>
      <c r="D17" s="15" t="inlineStr">
        <is>
          <t>ДДС на 02.07.2026</t>
        </is>
      </c>
      <c r="E17" s="16" t="inlineStr">
        <is>
          <t>Обновить на 31.08.2026</t>
        </is>
      </c>
    </row>
    <row r="18">
      <c r="A18" s="9" t="inlineStr">
        <is>
          <t>Дебиторка</t>
        </is>
      </c>
      <c r="B18" s="27">
        <f>$B$225*$F$203</f>
        <v/>
      </c>
      <c r="C18" s="15" t="inlineStr">
        <is>
          <t>дней</t>
        </is>
      </c>
      <c r="D18" s="15" t="inlineStr">
        <is>
          <t>Расчет по сценарию</t>
        </is>
      </c>
      <c r="E18" s="16" t="inlineStr">
        <is>
          <t>Базовое допущение</t>
        </is>
      </c>
      <c r="G18" s="28" t="inlineStr">
        <is>
          <t>← формула; база: B225</t>
        </is>
      </c>
    </row>
    <row r="19">
      <c r="A19" s="9" t="inlineStr">
        <is>
          <t>Кредиторка</t>
        </is>
      </c>
      <c r="B19" s="29" t="n">
        <v>15</v>
      </c>
      <c r="C19" s="15" t="inlineStr">
        <is>
          <t>дней</t>
        </is>
      </c>
      <c r="D19" s="15" t="inlineStr">
        <is>
          <t>ТЗ 8</t>
        </is>
      </c>
      <c r="E19" s="16" t="inlineStr">
        <is>
          <t>Базовое допущение</t>
        </is>
      </c>
    </row>
    <row r="20">
      <c r="A20" s="9" t="inlineStr">
        <is>
          <t>Доля поступления в текущем месяце</t>
        </is>
      </c>
      <c r="B20" s="30">
        <f>MAX(0,MIN(1,(30-B18)/30))</f>
        <v/>
      </c>
      <c r="C20" s="15" t="inlineStr">
        <is>
          <t>%</t>
        </is>
      </c>
      <c r="D20" s="15" t="inlineStr">
        <is>
          <t>Расчёт</t>
        </is>
      </c>
      <c r="E20" s="15" t="inlineStr">
        <is>
          <t>15 дней ≈ 50% текущий / 50% следующий месяц</t>
        </is>
      </c>
    </row>
    <row r="21">
      <c r="A21" s="9" t="inlineStr">
        <is>
          <t>Доля оплаты в текущем месяце</t>
        </is>
      </c>
      <c r="B21" s="30">
        <f>MAX(0,MIN(1,(30-B19)/30))</f>
        <v/>
      </c>
      <c r="C21" s="15" t="inlineStr">
        <is>
          <t>%</t>
        </is>
      </c>
      <c r="D21" s="15" t="inlineStr">
        <is>
          <t>Расчёт</t>
        </is>
      </c>
      <c r="E21" s="15" t="inlineStr">
        <is>
          <t>15 дней ≈ 50% текущий / 50% следующий месяц</t>
        </is>
      </c>
    </row>
    <row r="22">
      <c r="A22" s="9" t="inlineStr">
        <is>
          <t>Новых школ на 1 продажу / нового партнёра</t>
        </is>
      </c>
      <c r="B22" s="31" t="n">
        <v>1.5</v>
      </c>
      <c r="C22" s="15" t="inlineStr">
        <is>
          <t>школ/продажу</t>
        </is>
      </c>
      <c r="D22" s="15" t="inlineStr">
        <is>
          <t>Согласовано 11.09.2026</t>
        </is>
      </c>
      <c r="E22" s="16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12" t="inlineStr">
        <is>
          <t>2. Продажи франшиз и маркетинг</t>
        </is>
      </c>
    </row>
    <row r="24">
      <c r="A24" s="13" t="inlineStr">
        <is>
          <t>Параметр</t>
        </is>
      </c>
      <c r="B24" s="13" t="inlineStr">
        <is>
          <t>Значение</t>
        </is>
      </c>
      <c r="C24" s="13" t="inlineStr">
        <is>
          <t>Ед.</t>
        </is>
      </c>
      <c r="D24" s="13" t="inlineStr">
        <is>
          <t>Статус / источник</t>
        </is>
      </c>
      <c r="E24" s="13" t="inlineStr">
        <is>
          <t>Комментарий</t>
        </is>
      </c>
    </row>
    <row r="25">
      <c r="A25" s="9" t="inlineStr">
        <is>
          <t>Конверсия лид → продажа</t>
        </is>
      </c>
      <c r="B25" s="21" t="n">
        <v>0.03</v>
      </c>
      <c r="C25" s="15" t="inlineStr">
        <is>
          <t>%</t>
        </is>
      </c>
      <c r="D25" s="15" t="inlineStr">
        <is>
          <t>ТЗ 7</t>
        </is>
      </c>
      <c r="E25" s="16" t="n"/>
    </row>
    <row r="26">
      <c r="A26" s="9" t="inlineStr">
        <is>
          <t>Таргет на будущую продажу</t>
        </is>
      </c>
      <c r="B26" s="32">
        <f>$B$224*$F$202</f>
        <v/>
      </c>
      <c r="C26" s="15" t="inlineStr">
        <is>
          <t>₽/продажа</t>
        </is>
      </c>
      <c r="D26" s="15" t="inlineStr">
        <is>
          <t>Расчет по сценарию</t>
        </is>
      </c>
      <c r="E26" s="16" t="inlineStr">
        <is>
          <t>Обычно M-2; для октября 2026 исключение M-1</t>
        </is>
      </c>
      <c r="G26" s="28" t="inlineStr">
        <is>
          <t>← формула; база: B224</t>
        </is>
      </c>
    </row>
    <row r="27">
      <c r="A27" s="9" t="inlineStr">
        <is>
          <t>Лаг таргета до продажи</t>
        </is>
      </c>
      <c r="B27" s="24" t="n">
        <v>2</v>
      </c>
      <c r="C27" s="15" t="inlineStr">
        <is>
          <t>мес.</t>
        </is>
      </c>
      <c r="D27" s="15" t="inlineStr">
        <is>
          <t>ТЗ 7</t>
        </is>
      </c>
      <c r="E27" s="16" t="inlineStr">
        <is>
          <t>Октябрь 2026 — отдельное исключение</t>
        </is>
      </c>
    </row>
    <row r="28">
      <c r="A28" s="9" t="inlineStr">
        <is>
          <t>БИБОСС — сумма</t>
        </is>
      </c>
      <c r="B28" s="33" t="n">
        <v>250000</v>
      </c>
      <c r="C28" s="15" t="inlineStr">
        <is>
          <t>₽</t>
        </is>
      </c>
      <c r="D28" s="15" t="inlineStr">
        <is>
          <t>ТЗ 7</t>
        </is>
      </c>
      <c r="E28" s="16" t="inlineStr">
        <is>
          <t>Ежегодно</t>
        </is>
      </c>
    </row>
    <row r="29">
      <c r="A29" s="9" t="inlineStr">
        <is>
          <t>БИБОСС — месяц</t>
        </is>
      </c>
      <c r="B29" s="34" t="n">
        <v>10</v>
      </c>
      <c r="C29" s="15" t="inlineStr">
        <is>
          <t>номер месяца</t>
        </is>
      </c>
      <c r="D29" s="15" t="inlineStr">
        <is>
          <t>ТЗ 7</t>
        </is>
      </c>
      <c r="E29" s="16" t="inlineStr">
        <is>
          <t>Октябрь</t>
        </is>
      </c>
    </row>
    <row r="30">
      <c r="A30" s="9" t="inlineStr">
        <is>
          <t>TopFranchise — сумма</t>
        </is>
      </c>
      <c r="B30" s="33" t="n">
        <v>250000</v>
      </c>
      <c r="C30" s="15" t="inlineStr">
        <is>
          <t>₽</t>
        </is>
      </c>
      <c r="D30" s="15" t="inlineStr">
        <is>
          <t>ТЗ 7</t>
        </is>
      </c>
      <c r="E30" s="16" t="inlineStr">
        <is>
          <t>Ежегодно</t>
        </is>
      </c>
    </row>
    <row r="31">
      <c r="A31" s="9" t="inlineStr">
        <is>
          <t>TopFranchise — месяц</t>
        </is>
      </c>
      <c r="B31" s="34" t="n">
        <v>11</v>
      </c>
      <c r="C31" s="15" t="inlineStr">
        <is>
          <t>номер месяца</t>
        </is>
      </c>
      <c r="D31" s="15" t="inlineStr">
        <is>
          <t>ТЗ 7</t>
        </is>
      </c>
      <c r="E31" s="16" t="inlineStr">
        <is>
          <t>Ноябрь</t>
        </is>
      </c>
    </row>
    <row r="32">
      <c r="A32" s="9" t="inlineStr">
        <is>
          <t>Forbes — сумма</t>
        </is>
      </c>
      <c r="B32" s="33" t="n">
        <v>250000</v>
      </c>
      <c r="C32" s="15" t="inlineStr">
        <is>
          <t>₽</t>
        </is>
      </c>
      <c r="D32" s="15" t="inlineStr">
        <is>
          <t>ТЗ 7</t>
        </is>
      </c>
      <c r="E32" s="16" t="inlineStr">
        <is>
          <t>Ежегодно</t>
        </is>
      </c>
    </row>
    <row r="33">
      <c r="A33" s="9" t="inlineStr">
        <is>
          <t>Forbes — месяц</t>
        </is>
      </c>
      <c r="B33" s="34" t="n">
        <v>12</v>
      </c>
      <c r="C33" s="15" t="inlineStr">
        <is>
          <t>номер месяца</t>
        </is>
      </c>
      <c r="D33" s="15" t="inlineStr">
        <is>
          <t>ТЗ 7</t>
        </is>
      </c>
      <c r="E33" s="16" t="inlineStr">
        <is>
          <t>Декабрь</t>
        </is>
      </c>
    </row>
    <row r="34" ht="20" customHeight="1">
      <c r="A34" s="35" t="inlineStr">
        <is>
          <t>Планы продаж и сезонность — редактируются только здесь</t>
        </is>
      </c>
    </row>
    <row r="35">
      <c r="A35" s="13" t="inlineStr">
        <is>
          <t>Сезон</t>
        </is>
      </c>
      <c r="B35" s="13" t="inlineStr">
        <is>
          <t>Годовой план</t>
        </is>
      </c>
      <c r="C35" s="13" t="inlineStr">
        <is>
          <t>Сен</t>
        </is>
      </c>
      <c r="D35" s="13" t="inlineStr">
        <is>
          <t>Окт</t>
        </is>
      </c>
      <c r="E35" s="13" t="inlineStr">
        <is>
          <t>Ноя</t>
        </is>
      </c>
      <c r="F35" s="13" t="inlineStr">
        <is>
          <t>Дек</t>
        </is>
      </c>
      <c r="G35" s="13" t="inlineStr">
        <is>
          <t>Янв</t>
        </is>
      </c>
      <c r="H35" s="13" t="inlineStr">
        <is>
          <t>Фев</t>
        </is>
      </c>
      <c r="I35" s="13" t="inlineStr">
        <is>
          <t>Мар</t>
        </is>
      </c>
      <c r="J35" s="13" t="inlineStr">
        <is>
          <t>Апр</t>
        </is>
      </c>
      <c r="K35" s="13" t="inlineStr">
        <is>
          <t>Май</t>
        </is>
      </c>
      <c r="L35" s="13" t="inlineStr">
        <is>
          <t>Июн</t>
        </is>
      </c>
      <c r="M35" s="13" t="inlineStr">
        <is>
          <t>Июл</t>
        </is>
      </c>
      <c r="N35" s="13" t="inlineStr">
        <is>
          <t>Авг</t>
        </is>
      </c>
      <c r="O35" s="13" t="inlineStr">
        <is>
          <t>Контроль</t>
        </is>
      </c>
    </row>
    <row r="36">
      <c r="A36" s="36" t="n">
        <v>1</v>
      </c>
      <c r="B36" s="32">
        <f>$B$210*$F$198</f>
        <v/>
      </c>
      <c r="C36" s="21" t="n">
        <v>0</v>
      </c>
      <c r="D36" s="21" t="n">
        <v>0.1097560975609756</v>
      </c>
      <c r="E36" s="21" t="n">
        <v>0.03658536585365853</v>
      </c>
      <c r="F36" s="21" t="n">
        <v>0.02439024390243902</v>
      </c>
      <c r="G36" s="21" t="n">
        <v>0.09756097560975609</v>
      </c>
      <c r="H36" s="21" t="n">
        <v>0.1585365853658537</v>
      </c>
      <c r="I36" s="21" t="n">
        <v>0.06097560975609756</v>
      </c>
      <c r="J36" s="21" t="n">
        <v>0.07317073170731707</v>
      </c>
      <c r="K36" s="21" t="n">
        <v>0.09756097560975609</v>
      </c>
      <c r="L36" s="21" t="n">
        <v>0.06097560975609756</v>
      </c>
      <c r="M36" s="21" t="n">
        <v>0.1097560975609756</v>
      </c>
      <c r="N36" s="21" t="n">
        <v>0.1707317073170732</v>
      </c>
      <c r="O36" s="30">
        <f>SUM(C36:N36)</f>
        <v/>
      </c>
    </row>
    <row r="37">
      <c r="A37" s="36" t="n">
        <v>2</v>
      </c>
      <c r="B37" s="32">
        <f>$B$211*$F$198</f>
        <v/>
      </c>
      <c r="C37" s="21" t="n">
        <v>0.18</v>
      </c>
      <c r="D37" s="21" t="n">
        <v>0.09</v>
      </c>
      <c r="E37" s="21" t="n">
        <v>0.03</v>
      </c>
      <c r="F37" s="21" t="n">
        <v>0.02</v>
      </c>
      <c r="G37" s="21" t="n">
        <v>0.08</v>
      </c>
      <c r="H37" s="21" t="n">
        <v>0.13</v>
      </c>
      <c r="I37" s="21" t="n">
        <v>0.05</v>
      </c>
      <c r="J37" s="21" t="n">
        <v>0.06</v>
      </c>
      <c r="K37" s="21" t="n">
        <v>0.08</v>
      </c>
      <c r="L37" s="21" t="n">
        <v>0.05</v>
      </c>
      <c r="M37" s="21" t="n">
        <v>0.09</v>
      </c>
      <c r="N37" s="21" t="n">
        <v>0.14</v>
      </c>
      <c r="O37" s="30">
        <f>SUM(C37:N37)</f>
        <v/>
      </c>
    </row>
    <row r="38">
      <c r="A38" s="36" t="n">
        <v>3</v>
      </c>
      <c r="B38" s="32">
        <f>$B$212*$F$198</f>
        <v/>
      </c>
      <c r="C38" s="21" t="n">
        <v>0.18</v>
      </c>
      <c r="D38" s="21" t="n">
        <v>0.09</v>
      </c>
      <c r="E38" s="21" t="n">
        <v>0.03</v>
      </c>
      <c r="F38" s="21" t="n">
        <v>0.02</v>
      </c>
      <c r="G38" s="21" t="n">
        <v>0.08</v>
      </c>
      <c r="H38" s="21" t="n">
        <v>0.13</v>
      </c>
      <c r="I38" s="21" t="n">
        <v>0.05</v>
      </c>
      <c r="J38" s="21" t="n">
        <v>0.06</v>
      </c>
      <c r="K38" s="21" t="n">
        <v>0.08</v>
      </c>
      <c r="L38" s="21" t="n">
        <v>0.05</v>
      </c>
      <c r="M38" s="21" t="n">
        <v>0.09</v>
      </c>
      <c r="N38" s="21" t="n">
        <v>0.14</v>
      </c>
      <c r="O38" s="30">
        <f>SUM(C38:N38)</f>
        <v/>
      </c>
    </row>
    <row r="39">
      <c r="A39" s="36" t="n">
        <v>4</v>
      </c>
      <c r="B39" s="32">
        <f>$B$213*$F$198</f>
        <v/>
      </c>
      <c r="C39" s="21" t="n">
        <v>0.18</v>
      </c>
      <c r="D39" s="21" t="n">
        <v>0.09</v>
      </c>
      <c r="E39" s="21" t="n">
        <v>0.03</v>
      </c>
      <c r="F39" s="21" t="n">
        <v>0.02</v>
      </c>
      <c r="G39" s="21" t="n">
        <v>0.08</v>
      </c>
      <c r="H39" s="21" t="n">
        <v>0.13</v>
      </c>
      <c r="I39" s="21" t="n">
        <v>0.05</v>
      </c>
      <c r="J39" s="21" t="n">
        <v>0.06</v>
      </c>
      <c r="K39" s="21" t="n">
        <v>0.08</v>
      </c>
      <c r="L39" s="21" t="n">
        <v>0.05</v>
      </c>
      <c r="M39" s="21" t="n">
        <v>0.09</v>
      </c>
      <c r="N39" s="21" t="n">
        <v>0.14</v>
      </c>
      <c r="O39" s="30">
        <f>SUM(C39:N39)</f>
        <v/>
      </c>
    </row>
    <row r="40">
      <c r="A40" s="36" t="n">
        <v>5</v>
      </c>
      <c r="B40" s="32">
        <f>$B$214*$F$198</f>
        <v/>
      </c>
      <c r="C40" s="21" t="n">
        <v>0.18</v>
      </c>
      <c r="D40" s="21" t="n">
        <v>0.09</v>
      </c>
      <c r="E40" s="21" t="n">
        <v>0.03</v>
      </c>
      <c r="F40" s="21" t="n">
        <v>0.02</v>
      </c>
      <c r="G40" s="21" t="n">
        <v>0.08</v>
      </c>
      <c r="H40" s="21" t="n">
        <v>0.13</v>
      </c>
      <c r="I40" s="21" t="n">
        <v>0.05</v>
      </c>
      <c r="J40" s="21" t="n">
        <v>0.06</v>
      </c>
      <c r="K40" s="21" t="n">
        <v>0.08</v>
      </c>
      <c r="L40" s="21" t="n">
        <v>0.05</v>
      </c>
      <c r="M40" s="21" t="n">
        <v>0.09</v>
      </c>
      <c r="N40" s="21" t="n">
        <v>0.14</v>
      </c>
      <c r="O40" s="30">
        <f>SUM(C40:N40)</f>
        <v/>
      </c>
    </row>
    <row r="42" ht="20" customHeight="1">
      <c r="A42" s="12" t="inlineStr">
        <is>
          <t>3. Дети и сезонность посещаемости</t>
        </is>
      </c>
    </row>
    <row r="43">
      <c r="A43" s="13" t="inlineStr">
        <is>
          <t>Месяц</t>
        </is>
      </c>
      <c r="B43" s="13" t="inlineStr">
        <is>
          <t>Янв</t>
        </is>
      </c>
      <c r="C43" s="13" t="inlineStr">
        <is>
          <t>Фев</t>
        </is>
      </c>
      <c r="D43" s="13" t="inlineStr">
        <is>
          <t>Мар</t>
        </is>
      </c>
      <c r="E43" s="13" t="inlineStr">
        <is>
          <t>Апр</t>
        </is>
      </c>
      <c r="F43" s="13" t="inlineStr">
        <is>
          <t>Май</t>
        </is>
      </c>
      <c r="G43" s="13" t="inlineStr">
        <is>
          <t>Июн</t>
        </is>
      </c>
      <c r="H43" s="13" t="inlineStr">
        <is>
          <t>Июл</t>
        </is>
      </c>
      <c r="I43" s="13" t="inlineStr">
        <is>
          <t>Авг</t>
        </is>
      </c>
      <c r="J43" s="13" t="inlineStr">
        <is>
          <t>Сен</t>
        </is>
      </c>
      <c r="K43" s="13" t="inlineStr">
        <is>
          <t>Окт</t>
        </is>
      </c>
      <c r="L43" s="13" t="inlineStr">
        <is>
          <t>Ноя</t>
        </is>
      </c>
      <c r="M43" s="13" t="inlineStr">
        <is>
          <t>Дек</t>
        </is>
      </c>
    </row>
    <row r="44">
      <c r="A44" s="9" t="inlineStr">
        <is>
          <t>Индекс посещаемости</t>
        </is>
      </c>
      <c r="B44" s="21" t="n">
        <v>0.963235294117647</v>
      </c>
      <c r="C44" s="21" t="n">
        <v>1</v>
      </c>
      <c r="D44" s="21" t="n">
        <v>0.9926470588235294</v>
      </c>
      <c r="E44" s="21" t="n">
        <v>0.926470588235294</v>
      </c>
      <c r="F44" s="21" t="n">
        <v>0.8235294117647058</v>
      </c>
      <c r="G44" s="21" t="n">
        <v>0.3161764705882353</v>
      </c>
      <c r="H44" s="21" t="n">
        <v>0.1397058823529412</v>
      </c>
      <c r="I44" s="21" t="n">
        <v>0.05882352941176471</v>
      </c>
      <c r="J44" s="21" t="n">
        <v>0.7941176470588235</v>
      </c>
      <c r="K44" s="21" t="n">
        <v>0.9411764705882353</v>
      </c>
      <c r="L44" s="21" t="n">
        <v>0.9411764705882353</v>
      </c>
      <c r="M44" s="21" t="n">
        <v>0.926470588235294</v>
      </c>
    </row>
    <row r="45"/>
    <row r="46">
      <c r="A46" s="37" t="inlineStr">
        <is>
          <t>Дети к концу 12-го месяца, 100%</t>
        </is>
      </c>
      <c r="B46" s="38">
        <f>$B$215*$F$199</f>
        <v/>
      </c>
      <c r="C46" s="15" t="inlineStr">
        <is>
          <t>чел. при 100%</t>
        </is>
      </c>
      <c r="D46" s="15" t="inlineStr">
        <is>
          <t>Расчет по сценарию</t>
        </is>
      </c>
      <c r="E46" s="16" t="inlineStr">
        <is>
          <t>Взвешенное среднее</t>
        </is>
      </c>
      <c r="G46" s="28" t="inlineStr">
        <is>
          <t>← формула; база: B215</t>
        </is>
      </c>
    </row>
    <row r="47">
      <c r="A47" s="37" t="inlineStr">
        <is>
          <t>Дети к концу 24-го месяца, 100%</t>
        </is>
      </c>
      <c r="B47" s="38">
        <f>$B$216*$F$199</f>
        <v/>
      </c>
      <c r="C47" s="15" t="inlineStr">
        <is>
          <t>чел. при 100%</t>
        </is>
      </c>
      <c r="D47" s="15" t="inlineStr">
        <is>
          <t>Роман 10.08.2026 / тарифный микс</t>
        </is>
      </c>
      <c r="E47" s="39" t="inlineStr">
        <is>
          <t>Не полный план с 13-го месяца: плавный рост за месяцы 13-24.</t>
        </is>
      </c>
      <c r="G47" s="28" t="inlineStr">
        <is>
          <t>← формула; база: B216</t>
        </is>
      </c>
    </row>
    <row r="49" ht="20" customHeight="1">
      <c r="A49" s="12" t="inlineStr">
        <is>
          <t>4. Паушальный взнос и роялти</t>
        </is>
      </c>
    </row>
    <row r="50">
      <c r="A50" s="13" t="inlineStr">
        <is>
          <t>Параметр</t>
        </is>
      </c>
      <c r="B50" s="13" t="inlineStr">
        <is>
          <t>Значение</t>
        </is>
      </c>
      <c r="C50" s="13" t="inlineStr">
        <is>
          <t>Ед.</t>
        </is>
      </c>
      <c r="D50" s="13" t="inlineStr">
        <is>
          <t>Статус / источник</t>
        </is>
      </c>
      <c r="E50" s="13" t="inlineStr">
        <is>
          <t>Комментарий</t>
        </is>
      </c>
    </row>
    <row r="51">
      <c r="A51" s="9" t="inlineStr">
        <is>
          <t>Абонемент действующей сети</t>
        </is>
      </c>
      <c r="B51" s="32">
        <f>$B$217*$F$200</f>
        <v/>
      </c>
      <c r="C51" s="15" t="inlineStr">
        <is>
          <t>₽/мес.</t>
        </is>
      </c>
      <c r="D51" s="15" t="inlineStr">
        <is>
          <t>Расчет по сценарию</t>
        </is>
      </c>
      <c r="E51" s="16" t="n"/>
      <c r="G51" s="28" t="inlineStr">
        <is>
          <t>← формула; база: B217</t>
        </is>
      </c>
    </row>
    <row r="52">
      <c r="A52" s="9" t="inlineStr">
        <is>
          <t>Мин. роялти действующей сети</t>
        </is>
      </c>
      <c r="B52" s="26" t="n">
        <v>15000</v>
      </c>
      <c r="C52" s="15" t="inlineStr">
        <is>
          <t>₽/школа/мес.</t>
        </is>
      </c>
      <c r="D52" s="15" t="inlineStr">
        <is>
          <t>V5</t>
        </is>
      </c>
      <c r="E52" s="16" t="inlineStr">
        <is>
          <t>Подтвердить договорную минималку</t>
        </is>
      </c>
    </row>
    <row r="53">
      <c r="A53" s="9" t="inlineStr">
        <is>
          <t>Мин. роялти новой школы — 1-й год</t>
        </is>
      </c>
      <c r="B53" s="40">
        <f>SUMPRODUCT($C$263:$C$282,$I$263:$I$282)/$C$283</f>
        <v/>
      </c>
      <c r="C53" s="15" t="inlineStr">
        <is>
          <t>₽/школа/мес.</t>
        </is>
      </c>
      <c r="D53" s="15" t="inlineStr">
        <is>
          <t>Взвешенный микс</t>
        </is>
      </c>
      <c r="E53" s="16" t="inlineStr">
        <is>
          <t>Минимум применяется по каждой школе</t>
        </is>
      </c>
      <c r="G53" s="28" t="inlineStr">
        <is>
          <t>← формула; база: I263:I282</t>
        </is>
      </c>
    </row>
    <row r="54">
      <c r="A54" s="9" t="inlineStr">
        <is>
          <t>Мин. роялти новой школы — 2-й год+</t>
        </is>
      </c>
      <c r="B54" s="40">
        <f>SUMPRODUCT($C$263:$C$282,$J$263:$J$282)/$C$283</f>
        <v/>
      </c>
      <c r="C54" s="15" t="inlineStr">
        <is>
          <t>₽/школа/мес.</t>
        </is>
      </c>
      <c r="D54" s="15" t="inlineStr">
        <is>
          <t>Взвешенный микс</t>
        </is>
      </c>
      <c r="E54" s="16" t="inlineStr">
        <is>
          <t>Минимум применяется по каждой школе</t>
        </is>
      </c>
      <c r="G54" s="28" t="inlineStr">
        <is>
          <t>← формула; база: J263:J282</t>
        </is>
      </c>
    </row>
    <row r="55">
      <c r="A55" s="9">
        <f>"Роялти старых / продаж до "&amp;TEXT(DAY($B$244),"00")&amp;"."&amp;TEXT(MONTH($B$244),"00")&amp;"."&amp;YEAR($B$244)</f>
        <v/>
      </c>
      <c r="B55" s="21" t="n">
        <v>0.065</v>
      </c>
      <c r="C55" s="15" t="inlineStr">
        <is>
          <t>%</t>
        </is>
      </c>
      <c r="D55" s="15" t="inlineStr">
        <is>
          <t>ТЗ 5.4</t>
        </is>
      </c>
      <c r="E55" s="16" t="inlineStr">
        <is>
          <t>До 31.12.2029</t>
        </is>
      </c>
    </row>
    <row r="56">
      <c r="A56" s="9">
        <f>"Роялти новых с "&amp;TEXT(DAY($B$244+1),"00")&amp;"."&amp;TEXT(MONTH($B$244+1),"00")&amp;"."&amp;YEAR($B$244+1)</f>
        <v/>
      </c>
      <c r="B56" s="21" t="n">
        <v>0.08500000000000001</v>
      </c>
      <c r="C56" s="15" t="inlineStr">
        <is>
          <t>%</t>
        </is>
      </c>
      <c r="D56" s="15" t="inlineStr">
        <is>
          <t>ТЗ 5.4</t>
        </is>
      </c>
      <c r="E56" s="16" t="inlineStr">
        <is>
          <t>До 31.12.2029</t>
        </is>
      </c>
    </row>
    <row r="57">
      <c r="A57" s="9">
        <f>"Роялти всех с "&amp;TEXT(DAY($B$245),"00")&amp;"."&amp;TEXT(MONTH($B$245),"00")&amp;"."&amp;YEAR($B$245)</f>
        <v/>
      </c>
      <c r="B57" s="21" t="n">
        <v>0.1</v>
      </c>
      <c r="C57" s="15" t="inlineStr">
        <is>
          <t>%</t>
        </is>
      </c>
      <c r="D57" s="15" t="inlineStr">
        <is>
          <t>ТЗ 5.4</t>
        </is>
      </c>
      <c r="E57" s="41" t="inlineStr">
        <is>
          <t>Дата перехода задаётся в B245; подпись слева следует за ней.</t>
        </is>
      </c>
    </row>
    <row r="58">
      <c r="A58" s="9" t="inlineStr">
        <is>
          <t>НДС основной деятельности</t>
        </is>
      </c>
      <c r="B58" s="22" t="n">
        <v>0.05</v>
      </c>
      <c r="C58" s="15" t="inlineStr">
        <is>
          <t>%</t>
        </is>
      </c>
      <c r="D58" s="15" t="inlineStr">
        <is>
          <t>Временно</t>
        </is>
      </c>
      <c r="E58" s="16" t="inlineStr">
        <is>
          <t>Требует налоговой сверки</t>
        </is>
      </c>
    </row>
    <row r="59">
      <c r="A59" s="9" t="inlineStr">
        <is>
          <t>Доля ФК от паушального</t>
        </is>
      </c>
      <c r="B59" s="21" t="n">
        <v>0.35</v>
      </c>
      <c r="C59" s="15" t="inlineStr">
        <is>
          <t>% без НДС</t>
        </is>
      </c>
      <c r="D59" s="15" t="inlineStr">
        <is>
          <t>V5</t>
        </is>
      </c>
      <c r="E59" s="16" t="n"/>
      <c r="F59" s="42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9" t="inlineStr">
        <is>
          <t>Доля ФК от роялти</t>
        </is>
      </c>
      <c r="B60" s="21" t="n">
        <v>0.1</v>
      </c>
      <c r="C60" s="15" t="inlineStr">
        <is>
          <t>% без НДС</t>
        </is>
      </c>
      <c r="D60" s="15" t="inlineStr">
        <is>
          <t>V5</t>
        </is>
      </c>
      <c r="E60" s="16" t="n"/>
    </row>
    <row r="61" ht="20" customHeight="1">
      <c r="A61" s="35" t="inlineStr">
        <is>
          <t>Средние по взвешенному миксу продуктов — по сезонам</t>
        </is>
      </c>
    </row>
    <row r="62">
      <c r="A62" s="13" t="inlineStr">
        <is>
          <t>Сезон</t>
        </is>
      </c>
      <c r="B62" s="13" t="inlineStr">
        <is>
          <t>Средний паушальный, ₽ с НДС</t>
        </is>
      </c>
      <c r="C62" s="13" t="inlineStr">
        <is>
          <t>Средний абонемент, ₽/мес.</t>
        </is>
      </c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</row>
    <row r="63">
      <c r="A63" s="36" t="n">
        <v>1</v>
      </c>
      <c r="B63" s="40">
        <f>SUMPRODUCT($C$263:$C$282,$D$263:$D$282)/$C$283</f>
        <v/>
      </c>
      <c r="C63" s="32">
        <f>$B$218*$F$200</f>
        <v/>
      </c>
      <c r="G63" s="28" t="inlineStr">
        <is>
          <t>← формула; база: D263:D282</t>
        </is>
      </c>
    </row>
    <row r="64">
      <c r="A64" s="36" t="n">
        <v>2</v>
      </c>
      <c r="B64" s="40">
        <f>SUMPRODUCT($C$263:$C$282,$D$263:$D$282)/$C$283</f>
        <v/>
      </c>
      <c r="C64" s="32">
        <f>$B$219*$F$200</f>
        <v/>
      </c>
      <c r="G64" s="28" t="inlineStr">
        <is>
          <t>← формула; база: D263:D282</t>
        </is>
      </c>
    </row>
    <row r="65">
      <c r="A65" s="36" t="n">
        <v>3</v>
      </c>
      <c r="B65" s="40">
        <f>SUMPRODUCT($C$263:$C$282,$D$263:$D$282)/$C$283</f>
        <v/>
      </c>
      <c r="C65" s="32">
        <f>$B$220*$F$200</f>
        <v/>
      </c>
      <c r="G65" s="28" t="inlineStr">
        <is>
          <t>← формула; база: D263:D282</t>
        </is>
      </c>
    </row>
    <row r="66">
      <c r="A66" s="36" t="n">
        <v>4</v>
      </c>
      <c r="B66" s="40">
        <f>SUMPRODUCT($C$263:$C$282,$D$263:$D$282)/$C$283</f>
        <v/>
      </c>
      <c r="C66" s="32">
        <f>$B$221*$F$200</f>
        <v/>
      </c>
      <c r="G66" s="28" t="inlineStr">
        <is>
          <t>← формула; база: D263:D282</t>
        </is>
      </c>
    </row>
    <row r="67">
      <c r="A67" s="36" t="n">
        <v>5</v>
      </c>
      <c r="B67" s="40">
        <f>SUMPRODUCT($C$263:$C$282,$D$263:$D$282)/$C$283</f>
        <v/>
      </c>
      <c r="C67" s="32">
        <f>$B$222*$F$200</f>
        <v/>
      </c>
      <c r="G67" s="28" t="inlineStr">
        <is>
          <t>← формула; база: D263:D282</t>
        </is>
      </c>
    </row>
    <row r="69" ht="20" customHeight="1">
      <c r="A69" s="12" t="inlineStr">
        <is>
          <t>5. Мерч, склад и займ</t>
        </is>
      </c>
    </row>
    <row r="70">
      <c r="A70" s="13" t="inlineStr">
        <is>
          <t>Параметр</t>
        </is>
      </c>
      <c r="B70" s="13" t="inlineStr">
        <is>
          <t>Значение</t>
        </is>
      </c>
      <c r="C70" s="13" t="inlineStr">
        <is>
          <t>Ед.</t>
        </is>
      </c>
      <c r="D70" s="13" t="inlineStr">
        <is>
          <t>Статус / источник</t>
        </is>
      </c>
      <c r="E70" s="13" t="inlineStr">
        <is>
          <t>Комментарий</t>
        </is>
      </c>
    </row>
    <row r="71">
      <c r="A71" s="9" t="inlineStr">
        <is>
          <t>Себестоимость комплекта</t>
        </is>
      </c>
      <c r="B71" s="33" t="n">
        <v>2100</v>
      </c>
      <c r="C71" s="15" t="inlineStr">
        <is>
          <t>₽</t>
        </is>
      </c>
      <c r="D71" s="15" t="inlineStr">
        <is>
          <t>ТЗ 5.5</t>
        </is>
      </c>
      <c r="E71" s="16" t="n"/>
    </row>
    <row r="72">
      <c r="A72" s="9" t="inlineStr">
        <is>
          <t>Наценка мерча</t>
        </is>
      </c>
      <c r="B72" s="21" t="n">
        <v>0.85</v>
      </c>
      <c r="C72" s="15" t="inlineStr">
        <is>
          <t>% к COGS</t>
        </is>
      </c>
      <c r="D72" s="15" t="inlineStr">
        <is>
          <t>ТЗ 5.5</t>
        </is>
      </c>
      <c r="E72" s="16" t="n"/>
    </row>
    <row r="73">
      <c r="A73" s="9" t="inlineStr">
        <is>
          <t>Цена комплекта</t>
        </is>
      </c>
      <c r="B73" s="43">
        <f>B71*(1+B72)</f>
        <v/>
      </c>
      <c r="C73" s="15" t="inlineStr">
        <is>
          <t>₽</t>
        </is>
      </c>
      <c r="D73" s="15" t="inlineStr">
        <is>
          <t>Расчёт</t>
        </is>
      </c>
      <c r="E73" s="15" t="inlineStr">
        <is>
          <t>2 100 × 1,85 = 3 885</t>
        </is>
      </c>
    </row>
    <row r="74">
      <c r="A74" s="9" t="inlineStr">
        <is>
          <t>Коэффициент мерча</t>
        </is>
      </c>
      <c r="B74" s="44">
        <f>$B$223*$F$201</f>
        <v/>
      </c>
      <c r="C74" s="15" t="inlineStr">
        <is>
          <t>компл./ребёнок/сезон</t>
        </is>
      </c>
      <c r="D74" s="15" t="inlineStr">
        <is>
          <t>Расчет по сценарию</t>
        </is>
      </c>
      <c r="E74" s="16" t="inlineStr">
        <is>
          <t>Ежегодная докупка</t>
        </is>
      </c>
      <c r="G74" s="28" t="inlineStr">
        <is>
          <t>← формула; база: B223</t>
        </is>
      </c>
    </row>
    <row r="75">
      <c r="A75" s="9" t="inlineStr">
        <is>
          <t>Логистика/возвраты/брак</t>
        </is>
      </c>
      <c r="B75" s="21" t="n">
        <v>0.02</v>
      </c>
      <c r="C75" s="15" t="inlineStr">
        <is>
          <t>% выручки без НДС</t>
        </is>
      </c>
      <c r="D75" s="15" t="inlineStr">
        <is>
          <t>V5</t>
        </is>
      </c>
      <c r="E75" s="16" t="inlineStr">
        <is>
          <t>До уточнения</t>
        </is>
      </c>
    </row>
    <row r="76">
      <c r="A76" s="9" t="inlineStr">
        <is>
          <t>Доля ФК от прибыли мерча</t>
        </is>
      </c>
      <c r="B76" s="21" t="n">
        <v>0.35</v>
      </c>
      <c r="C76" s="15" t="inlineStr">
        <is>
          <t>%</t>
        </is>
      </c>
      <c r="D76" s="15" t="inlineStr">
        <is>
          <t>Подтверждено</t>
        </is>
      </c>
      <c r="E76" s="16" t="inlineStr">
        <is>
          <t>Отдельно от возврата займа</t>
        </is>
      </c>
      <c r="F76" s="42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9" t="inlineStr">
        <is>
          <t>Стартовый товарный запас</t>
        </is>
      </c>
      <c r="B77" s="33" t="n">
        <v>50000000</v>
      </c>
      <c r="C77" s="15" t="inlineStr">
        <is>
          <t>₽ по COGS</t>
        </is>
      </c>
      <c r="D77" s="15" t="inlineStr">
        <is>
          <t>ТЗ 5.6</t>
        </is>
      </c>
      <c r="E77" s="16" t="n"/>
    </row>
    <row r="78">
      <c r="A78" s="9" t="inlineStr">
        <is>
          <t>Стартовый займ на мерч</t>
        </is>
      </c>
      <c r="B78" s="33" t="n">
        <v>50000000</v>
      </c>
      <c r="C78" s="15" t="inlineStr">
        <is>
          <t>₽</t>
        </is>
      </c>
      <c r="D78" s="15" t="inlineStr">
        <is>
          <t>ТЗ 5.6</t>
        </is>
      </c>
      <c r="E78" s="16" t="n"/>
    </row>
    <row r="79">
      <c r="A79" s="9" t="inlineStr">
        <is>
          <t>Доля COGS на погашение займа</t>
        </is>
      </c>
      <c r="B79" s="21" t="n">
        <v>0.6</v>
      </c>
      <c r="C79" s="15" t="inlineStr">
        <is>
          <t>%</t>
        </is>
      </c>
      <c r="D79" s="15" t="inlineStr">
        <is>
          <t>ТЗ 5.6</t>
        </is>
      </c>
      <c r="E79" s="16" t="n"/>
    </row>
    <row r="80">
      <c r="A80" s="9" t="inlineStr">
        <is>
          <t>Целевой запас</t>
        </is>
      </c>
      <c r="B80" s="24" t="n">
        <v>4</v>
      </c>
      <c r="C80" s="15" t="inlineStr">
        <is>
          <t>мес. будущих продаж</t>
        </is>
      </c>
      <c r="D80" s="15" t="inlineStr">
        <is>
          <t>ТЗ 5.6 / уточнено 10.09.2026</t>
        </is>
      </c>
      <c r="E80" s="16">
        <f>"При закупке доводим склад до будущих "&amp;$B$80&amp;" мес. продаж по себестоимости"</f>
        <v/>
      </c>
    </row>
    <row r="81">
      <c r="A81" s="9" t="inlineStr">
        <is>
          <t>Начало регулярного пополнения</t>
        </is>
      </c>
      <c r="B81" s="14" t="n">
        <v>46966</v>
      </c>
      <c r="C81" s="15" t="inlineStr">
        <is>
          <t>дата</t>
        </is>
      </c>
      <c r="D81" s="15" t="inlineStr">
        <is>
          <t>Комментарий Романа</t>
        </is>
      </c>
      <c r="E81" s="16" t="inlineStr">
        <is>
          <t>Стартовые ~50 млн распродаются около 2 лет</t>
        </is>
      </c>
    </row>
    <row r="82">
      <c r="A82" s="9" t="inlineStr">
        <is>
          <t>Месяц проверки закупки 1</t>
        </is>
      </c>
      <c r="B82" s="45" t="n">
        <v>2</v>
      </c>
      <c r="C82" s="15" t="inlineStr">
        <is>
          <t>номер месяца</t>
        </is>
      </c>
      <c r="D82" s="15" t="inlineStr">
        <is>
          <t>Рабочее</t>
        </is>
      </c>
      <c r="E82" s="16" t="inlineStr">
        <is>
          <t>Февраль; уточнить точные месяцы закупок</t>
        </is>
      </c>
    </row>
    <row r="83">
      <c r="A83" s="9" t="inlineStr">
        <is>
          <t>Месяц проверки закупки 2</t>
        </is>
      </c>
      <c r="B83" s="45" t="n">
        <v>5</v>
      </c>
      <c r="C83" s="15" t="inlineStr">
        <is>
          <t>номер месяца</t>
        </is>
      </c>
      <c r="D83" s="15" t="inlineStr">
        <is>
          <t>Рабочее</t>
        </is>
      </c>
      <c r="E83" s="16" t="inlineStr">
        <is>
          <t>Май; уточнить точные месяцы закупок</t>
        </is>
      </c>
    </row>
    <row r="84">
      <c r="A84" s="9" t="inlineStr">
        <is>
          <t>Месяц проверки закупки 3</t>
        </is>
      </c>
      <c r="B84" s="45" t="n">
        <v>8</v>
      </c>
      <c r="C84" s="15" t="inlineStr">
        <is>
          <t>номер месяца</t>
        </is>
      </c>
      <c r="D84" s="15" t="inlineStr">
        <is>
          <t>Рабочее</t>
        </is>
      </c>
      <c r="E84" s="16" t="inlineStr">
        <is>
          <t>Август; уточнить точные месяцы закупок</t>
        </is>
      </c>
    </row>
    <row r="85">
      <c r="A85" s="9" t="inlineStr">
        <is>
          <t>Месяц проверки закупки 4</t>
        </is>
      </c>
      <c r="B85" s="45" t="n">
        <v>11</v>
      </c>
      <c r="C85" s="15" t="inlineStr">
        <is>
          <t>номер месяца</t>
        </is>
      </c>
      <c r="D85" s="15" t="inlineStr">
        <is>
          <t>Рабочее</t>
        </is>
      </c>
      <c r="E85" s="16" t="inlineStr">
        <is>
          <t>Ноябрь; уточнить точные месяцы закупок</t>
        </is>
      </c>
    </row>
    <row r="86" ht="20" customHeight="1">
      <c r="A86" s="35" t="inlineStr">
        <is>
          <t>Первичная закупка новой школы</t>
        </is>
      </c>
    </row>
    <row r="87">
      <c r="A87" s="9" t="inlineStr">
        <is>
          <t>1-й месяц после открытия</t>
        </is>
      </c>
      <c r="B87" s="21" t="n">
        <v>0.5</v>
      </c>
    </row>
    <row r="88">
      <c r="A88" s="9" t="inlineStr">
        <is>
          <t>2-й месяц после открытия</t>
        </is>
      </c>
      <c r="B88" s="21" t="n">
        <v>0.3</v>
      </c>
    </row>
    <row r="89">
      <c r="A89" s="9" t="inlineStr">
        <is>
          <t>3-й месяц после открытия</t>
        </is>
      </c>
      <c r="B89" s="21" t="n">
        <v>0.2</v>
      </c>
    </row>
    <row r="90">
      <c r="A90" s="9" t="inlineStr">
        <is>
          <t>Контроль</t>
        </is>
      </c>
      <c r="B90" s="30">
        <f>SUM(B87:B89)</f>
        <v/>
      </c>
    </row>
    <row r="91"/>
    <row r="92" ht="20" customHeight="1">
      <c r="A92" s="35" t="inlineStr">
        <is>
          <t>Сезонность повторной закупки мерча</t>
        </is>
      </c>
    </row>
    <row r="93">
      <c r="B93" s="13" t="inlineStr">
        <is>
          <t>Янв</t>
        </is>
      </c>
      <c r="C93" s="13" t="inlineStr">
        <is>
          <t>Фев</t>
        </is>
      </c>
      <c r="D93" s="13" t="inlineStr">
        <is>
          <t>Мар</t>
        </is>
      </c>
      <c r="E93" s="13" t="inlineStr">
        <is>
          <t>Апр</t>
        </is>
      </c>
      <c r="F93" s="13" t="inlineStr">
        <is>
          <t>Май</t>
        </is>
      </c>
      <c r="G93" s="13" t="inlineStr">
        <is>
          <t>Июн</t>
        </is>
      </c>
      <c r="H93" s="13" t="inlineStr">
        <is>
          <t>Июл</t>
        </is>
      </c>
      <c r="I93" s="13" t="inlineStr">
        <is>
          <t>Авг</t>
        </is>
      </c>
      <c r="J93" s="13" t="inlineStr">
        <is>
          <t>Сен</t>
        </is>
      </c>
      <c r="K93" s="13" t="inlineStr">
        <is>
          <t>Окт</t>
        </is>
      </c>
      <c r="L93" s="13" t="inlineStr">
        <is>
          <t>Ноя</t>
        </is>
      </c>
      <c r="M93" s="13" t="inlineStr">
        <is>
          <t>Дек</t>
        </is>
      </c>
    </row>
    <row r="94">
      <c r="A94" s="9" t="inlineStr">
        <is>
          <t>Доля годовых повторных продаж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0.25</v>
      </c>
      <c r="J94" s="21" t="n">
        <v>0.4</v>
      </c>
      <c r="K94" s="21" t="n">
        <v>0.25</v>
      </c>
      <c r="L94" s="21" t="n">
        <v>0.1</v>
      </c>
      <c r="M94" s="21" t="n">
        <v>0</v>
      </c>
    </row>
    <row r="95">
      <c r="A95" s="9" t="inlineStr">
        <is>
          <t>Контроль</t>
        </is>
      </c>
      <c r="B95" s="30">
        <f>SUM(B94:M94)</f>
        <v/>
      </c>
    </row>
    <row r="96"/>
    <row r="97" ht="20" customHeight="1">
      <c r="A97" s="35" t="inlineStr">
        <is>
          <t>Согласованный мерч действующей сети — сентябрь–декабрь 2026</t>
        </is>
      </c>
    </row>
    <row r="98">
      <c r="A98" s="13" t="inlineStr">
        <is>
          <t>Показатель</t>
        </is>
      </c>
      <c r="B98" s="13" t="inlineStr">
        <is>
          <t>Сен-26</t>
        </is>
      </c>
      <c r="C98" s="13" t="inlineStr">
        <is>
          <t>Окт-26</t>
        </is>
      </c>
      <c r="D98" s="13" t="inlineStr">
        <is>
          <t>Ноя-26</t>
        </is>
      </c>
      <c r="E98" s="13" t="inlineStr">
        <is>
          <t>Дек-26</t>
        </is>
      </c>
    </row>
    <row r="99">
      <c r="A99" s="9" t="inlineStr">
        <is>
          <t>Комплекты, шт.</t>
        </is>
      </c>
      <c r="B99" s="33" t="n">
        <v>5070</v>
      </c>
      <c r="C99" s="33" t="n">
        <v>2550</v>
      </c>
      <c r="D99" s="33" t="n">
        <v>1260</v>
      </c>
      <c r="E99" s="33" t="n">
        <v>720</v>
      </c>
    </row>
    <row r="100">
      <c r="A100" s="9" t="inlineStr">
        <is>
          <t>Выручка, ₽ с НДС</t>
        </is>
      </c>
      <c r="B100" s="33" t="n">
        <v>10022370</v>
      </c>
      <c r="C100" s="33" t="n">
        <v>4335000</v>
      </c>
      <c r="D100" s="33" t="n">
        <v>2142000</v>
      </c>
      <c r="E100" s="33" t="n">
        <v>1224000</v>
      </c>
    </row>
    <row r="101">
      <c r="A101" s="9" t="inlineStr">
        <is>
          <t>COGS, ₽</t>
        </is>
      </c>
      <c r="B101" s="33" t="n">
        <v>5237418.6</v>
      </c>
      <c r="C101" s="33" t="n">
        <v>2167500</v>
      </c>
      <c r="D101" s="33" t="n">
        <v>1178100</v>
      </c>
      <c r="E101" s="33" t="n">
        <v>673200</v>
      </c>
    </row>
    <row r="103" ht="20" customHeight="1">
      <c r="A103" s="12" t="inlineStr">
        <is>
          <t>6. ERP и операционные расходы</t>
        </is>
      </c>
    </row>
    <row r="104">
      <c r="A104" s="13" t="inlineStr">
        <is>
          <t>Параметр</t>
        </is>
      </c>
      <c r="B104" s="13" t="inlineStr">
        <is>
          <t>Значение</t>
        </is>
      </c>
      <c r="C104" s="13" t="inlineStr">
        <is>
          <t>Ед.</t>
        </is>
      </c>
      <c r="D104" s="13" t="inlineStr">
        <is>
          <t>Статус / источник</t>
        </is>
      </c>
      <c r="E104" s="13" t="inlineStr">
        <is>
          <t>Комментарий</t>
        </is>
      </c>
    </row>
    <row r="105">
      <c r="A105" s="9" t="inlineStr">
        <is>
          <t>ERP база</t>
        </is>
      </c>
      <c r="B105" s="33" t="n">
        <v>80000</v>
      </c>
      <c r="C105" s="15" t="inlineStr">
        <is>
          <t>₽/мес.</t>
        </is>
      </c>
      <c r="D105" s="15" t="inlineStr">
        <is>
          <t>ТЗ 5.7</t>
        </is>
      </c>
      <c r="E105" s="16" t="n"/>
    </row>
    <row r="106">
      <c r="A106" s="9" t="inlineStr">
        <is>
          <t>Школ в ERP-базе</t>
        </is>
      </c>
      <c r="B106" s="18" t="n">
        <v>104</v>
      </c>
      <c r="C106" s="15" t="inlineStr">
        <is>
          <t>шт.</t>
        </is>
      </c>
      <c r="D106" s="15" t="inlineStr">
        <is>
          <t>Фактический реестр на 09.09.2026</t>
        </is>
      </c>
      <c r="E106" s="16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9" t="inlineStr">
        <is>
          <t>ERP на новую активную школу</t>
        </is>
      </c>
      <c r="B107" s="33" t="n">
        <v>3000</v>
      </c>
      <c r="C107" s="15" t="inlineStr">
        <is>
          <t>₽/мес.</t>
        </is>
      </c>
      <c r="D107" s="15" t="inlineStr">
        <is>
          <t>ТЗ 5.7</t>
        </is>
      </c>
      <c r="E107" s="16" t="inlineStr">
        <is>
          <t>С месяца открытия</t>
        </is>
      </c>
    </row>
    <row r="108">
      <c r="A108" s="9" t="inlineStr">
        <is>
          <t>Офис / аренда / уборка / парковка</t>
        </is>
      </c>
      <c r="B108" s="33" t="n">
        <v>390000</v>
      </c>
      <c r="C108" s="15" t="inlineStr">
        <is>
          <t>₽/мес.</t>
        </is>
      </c>
      <c r="D108" s="15" t="inlineStr">
        <is>
          <t>V6 / оставить</t>
        </is>
      </c>
      <c r="E108" s="16" t="inlineStr">
        <is>
          <t>До переезда</t>
        </is>
      </c>
    </row>
    <row r="109">
      <c r="A109" s="9" t="inlineStr">
        <is>
          <t>Юристы / аудит / бухгалтерия</t>
        </is>
      </c>
      <c r="B109" s="33" t="n">
        <v>40000</v>
      </c>
      <c r="C109" s="15" t="inlineStr">
        <is>
          <t>₽/мес.</t>
        </is>
      </c>
      <c r="D109" s="15" t="inlineStr">
        <is>
          <t>ТЗ 5.7</t>
        </is>
      </c>
      <c r="E109" s="16" t="n"/>
    </row>
    <row r="110">
      <c r="A110" s="9" t="inlineStr">
        <is>
          <t>Прочие IT-сервисы</t>
        </is>
      </c>
      <c r="B110" s="33" t="n">
        <v>80000</v>
      </c>
      <c r="C110" s="15" t="inlineStr">
        <is>
          <t>₽/мес.</t>
        </is>
      </c>
      <c r="D110" s="15" t="inlineStr">
        <is>
          <t>ТЗ 5.7</t>
        </is>
      </c>
      <c r="E110" s="16" t="n"/>
    </row>
    <row r="111">
      <c r="A111" s="9" t="inlineStr">
        <is>
          <t>Маркетинг/SMM подрядчики до 31.08.27</t>
        </is>
      </c>
      <c r="B111" s="33" t="n">
        <v>100000</v>
      </c>
      <c r="C111" s="15" t="inlineStr">
        <is>
          <t>₽/мес.</t>
        </is>
      </c>
      <c r="D111" s="15" t="inlineStr">
        <is>
          <t>ТЗ 5.7</t>
        </is>
      </c>
      <c r="E111" s="16" t="n"/>
    </row>
    <row r="112">
      <c r="A112" s="9" t="inlineStr">
        <is>
          <t>Маркетинг/SMM подрядчики с 01.09.27</t>
        </is>
      </c>
      <c r="B112" s="33" t="n">
        <v>40000</v>
      </c>
      <c r="C112" s="15" t="inlineStr">
        <is>
          <t>₽/мес.</t>
        </is>
      </c>
      <c r="D112" s="15" t="inlineStr">
        <is>
          <t>ТЗ 5.7</t>
        </is>
      </c>
      <c r="E112" s="16" t="n"/>
    </row>
    <row r="114" ht="20" customHeight="1">
      <c r="A114" s="12" t="inlineStr">
        <is>
          <t>7. ФОТ, найм и премии</t>
        </is>
      </c>
    </row>
    <row r="115">
      <c r="A115" s="13" t="inlineStr">
        <is>
          <t>Параметр</t>
        </is>
      </c>
      <c r="B115" s="13" t="inlineStr">
        <is>
          <t>Значение</t>
        </is>
      </c>
      <c r="C115" s="13" t="inlineStr">
        <is>
          <t>Ед.</t>
        </is>
      </c>
      <c r="D115" s="13" t="inlineStr">
        <is>
          <t>Статус / источник</t>
        </is>
      </c>
      <c r="E115" s="13" t="inlineStr">
        <is>
          <t>Комментарий</t>
        </is>
      </c>
    </row>
    <row r="116">
      <c r="A116" s="9" t="inlineStr">
        <is>
          <t>Инфляция зарплат</t>
        </is>
      </c>
      <c r="B116" s="21" t="n">
        <v>0.07000000000000001</v>
      </c>
      <c r="C116" s="15" t="inlineStr">
        <is>
          <t>%/год</t>
        </is>
      </c>
      <c r="D116" s="15" t="inlineStr">
        <is>
          <t>ТЗ 6.1 / рабочее</t>
        </is>
      </c>
      <c r="E116" s="16" t="inlineStr">
        <is>
          <t>Каждое 1 сентября</t>
        </is>
      </c>
    </row>
    <row r="117">
      <c r="A117" s="9" t="inlineStr">
        <is>
          <t>Юрлиц на 1 менеджера развития</t>
        </is>
      </c>
      <c r="B117" s="46" t="n">
        <v>35</v>
      </c>
      <c r="C117" s="15" t="inlineStr">
        <is>
          <t>шт.</t>
        </is>
      </c>
      <c r="D117" s="15" t="inlineStr">
        <is>
          <t>ТЗ 6.2</t>
        </is>
      </c>
      <c r="E117" s="16" t="n"/>
    </row>
    <row r="118">
      <c r="A118" s="9" t="inlineStr">
        <is>
          <t>Базовые менеджеры развития</t>
        </is>
      </c>
      <c r="B118" s="47" t="n">
        <v>2</v>
      </c>
      <c r="C118" s="15" t="inlineStr">
        <is>
          <t>чел.</t>
        </is>
      </c>
      <c r="D118" s="15" t="inlineStr">
        <is>
          <t>ТЗ 6.2</t>
        </is>
      </c>
      <c r="E118" s="16" t="inlineStr">
        <is>
          <t>После перевода Левона</t>
        </is>
      </c>
    </row>
    <row r="119">
      <c r="A119" s="9" t="inlineStr">
        <is>
          <t>Оклад нового менеджера развития gross</t>
        </is>
      </c>
      <c r="B119" s="33" t="n">
        <v>114943</v>
      </c>
      <c r="C119" s="15" t="inlineStr">
        <is>
          <t>₽/мес.</t>
        </is>
      </c>
      <c r="D119" s="15" t="inlineStr">
        <is>
          <t>V5</t>
        </is>
      </c>
      <c r="E119" s="16" t="n"/>
    </row>
    <row r="120">
      <c r="A120" s="9" t="inlineStr">
        <is>
          <t>Комиссия кадрового агентства</t>
        </is>
      </c>
      <c r="B120" s="48" t="n">
        <v>1</v>
      </c>
      <c r="C120" s="15" t="inlineStr">
        <is>
          <t>× gross оклада</t>
        </is>
      </c>
      <c r="D120" s="15" t="inlineStr">
        <is>
          <t>ТЗ 6.2</t>
        </is>
      </c>
      <c r="E120" s="16" t="n"/>
    </row>
    <row r="121">
      <c r="A121" s="9" t="inlineStr">
        <is>
          <t>Разовая замена директора маркетинга</t>
        </is>
      </c>
      <c r="B121" s="33" t="n">
        <v>240000</v>
      </c>
      <c r="C121" s="15" t="inlineStr">
        <is>
          <t>₽</t>
        </is>
      </c>
      <c r="D121" s="15" t="inlineStr">
        <is>
          <t>ТЗ 6.3</t>
        </is>
      </c>
      <c r="E121" s="16" t="inlineStr">
        <is>
          <t>Октябрь 2026</t>
        </is>
      </c>
    </row>
    <row r="122">
      <c r="A122" s="9" t="inlineStr">
        <is>
          <t>Резерв на ротацию кадров</t>
        </is>
      </c>
      <c r="B122" s="33" t="n">
        <v>350000</v>
      </c>
      <c r="C122" s="15" t="inlineStr">
        <is>
          <t>₽/год</t>
        </is>
      </c>
      <c r="D122" s="15" t="inlineStr">
        <is>
          <t>ТЗ 6.3</t>
        </is>
      </c>
      <c r="E122" s="16" t="inlineStr">
        <is>
          <t>Каждый сентябрь</t>
        </is>
      </c>
    </row>
    <row r="123">
      <c r="A123" s="9" t="inlineStr">
        <is>
          <t>Премия развития net до 31.12.26</t>
        </is>
      </c>
      <c r="B123" s="33" t="n">
        <v>25000</v>
      </c>
      <c r="C123" s="15" t="inlineStr">
        <is>
          <t>₽/чел./мес.</t>
        </is>
      </c>
      <c r="D123" s="15" t="inlineStr">
        <is>
          <t>ТЗ 6.4</t>
        </is>
      </c>
      <c r="E123" s="16" t="inlineStr">
        <is>
          <t>2 менеджера + Левон</t>
        </is>
      </c>
    </row>
    <row r="124">
      <c r="A124" s="9" t="inlineStr">
        <is>
          <t>Премия развития net с 01.01.27</t>
        </is>
      </c>
      <c r="B124" s="33" t="n">
        <v>30000</v>
      </c>
      <c r="C124" s="15" t="inlineStr">
        <is>
          <t>₽/чел./мес.</t>
        </is>
      </c>
      <c r="D124" s="15" t="inlineStr">
        <is>
          <t>ТЗ 6.4</t>
        </is>
      </c>
      <c r="E124" s="16" t="n"/>
    </row>
    <row r="125">
      <c r="A125" s="9" t="inlineStr">
        <is>
          <t>Премия Евгения</t>
        </is>
      </c>
      <c r="B125" s="21" t="n">
        <v>0.04</v>
      </c>
      <c r="C125" s="15" t="inlineStr">
        <is>
          <t>% паушального без НДС</t>
        </is>
      </c>
      <c r="D125" s="15" t="inlineStr">
        <is>
          <t>ТЗ 6.4</t>
        </is>
      </c>
      <c r="E125" s="16" t="inlineStr">
        <is>
          <t>При 2+ продажах</t>
        </is>
      </c>
    </row>
    <row r="126">
      <c r="A126" s="9" t="inlineStr">
        <is>
          <t>Триггер временного продавца</t>
        </is>
      </c>
      <c r="B126" s="49" t="n">
        <v>5</v>
      </c>
      <c r="C126" s="15" t="inlineStr">
        <is>
          <t>продаж/мес.</t>
        </is>
      </c>
      <c r="D126" s="15" t="inlineStr">
        <is>
          <t>ТЗ 6.4</t>
        </is>
      </c>
      <c r="E126" s="16" t="n"/>
    </row>
    <row r="127">
      <c r="A127" s="9" t="inlineStr">
        <is>
          <t>Временный продавец — фикс</t>
        </is>
      </c>
      <c r="B127" s="33" t="n">
        <v>80000</v>
      </c>
      <c r="C127" s="15" t="inlineStr">
        <is>
          <t>₽/мес.</t>
        </is>
      </c>
      <c r="D127" s="15" t="inlineStr">
        <is>
          <t>ТЗ 6.4</t>
        </is>
      </c>
      <c r="E127" s="16" t="inlineStr">
        <is>
          <t>Пока считаем как ИП</t>
        </is>
      </c>
    </row>
    <row r="128">
      <c r="A128" s="9" t="inlineStr">
        <is>
          <t>Временный продавец — бонус</t>
        </is>
      </c>
      <c r="B128" s="21" t="n">
        <v>0.05</v>
      </c>
      <c r="C128" s="15" t="inlineStr">
        <is>
          <t>% паушального без НДС</t>
        </is>
      </c>
      <c r="D128" s="15" t="inlineStr">
        <is>
          <t>ТЗ 6.4</t>
        </is>
      </c>
      <c r="E128" s="16" t="inlineStr">
        <is>
          <t>Пока считаем как ИП</t>
        </is>
      </c>
    </row>
    <row r="129">
      <c r="A129" s="9" t="inlineStr">
        <is>
          <t>Статус временного продавца</t>
        </is>
      </c>
      <c r="B129" s="50" t="inlineStr">
        <is>
          <t>ИП</t>
        </is>
      </c>
      <c r="C129" s="15" t="inlineStr">
        <is>
          <t>статус</t>
        </is>
      </c>
      <c r="D129" s="15" t="inlineStr">
        <is>
          <t>Временно</t>
        </is>
      </c>
      <c r="E129" s="16" t="inlineStr">
        <is>
          <t>Временно ИП, по последнему указанию пользователя.</t>
        </is>
      </c>
    </row>
    <row r="130">
      <c r="A130" s="9" t="inlineStr">
        <is>
          <t>Квартальная премия</t>
        </is>
      </c>
      <c r="B130" s="48" t="n">
        <v>0.6</v>
      </c>
      <c r="C130" s="15" t="inlineStr">
        <is>
          <t>× месячного gross</t>
        </is>
      </c>
      <c r="D130" s="15" t="inlineStr">
        <is>
          <t>ТЗ 6.4</t>
        </is>
      </c>
      <c r="E130" s="16" t="inlineStr">
        <is>
          <t>С IV кв.2027, первая выплата декабрь 2027</t>
        </is>
      </c>
    </row>
    <row r="131">
      <c r="A131" s="9" t="inlineStr">
        <is>
          <t>Страховые взносы</t>
        </is>
      </c>
      <c r="B131" s="22" t="n">
        <v>0.3</v>
      </c>
      <c r="C131" s="15" t="inlineStr">
        <is>
          <t>% gross</t>
        </is>
      </c>
      <c r="D131" s="15" t="inlineStr">
        <is>
          <t>Подтверждено 11.09.2026</t>
        </is>
      </c>
      <c r="E131" s="16" t="inlineStr">
        <is>
          <t>Льготных режимов нет: полная ставка 30% к gross</t>
        </is>
      </c>
    </row>
    <row r="132">
      <c r="A132" s="9" t="inlineStr">
        <is>
          <t>Net / gross</t>
        </is>
      </c>
      <c r="B132" s="51" t="n">
        <v>0.87</v>
      </c>
      <c r="C132" s="15" t="inlineStr">
        <is>
          <t>коэффициент</t>
        </is>
      </c>
      <c r="D132" s="15" t="inlineStr">
        <is>
          <t>Рабочее</t>
        </is>
      </c>
      <c r="E132" s="16" t="inlineStr">
        <is>
          <t>Используется для новых net-окладов</t>
        </is>
      </c>
    </row>
    <row r="133">
      <c r="A133" s="9" t="inlineStr">
        <is>
          <t>Офис-менеджер net</t>
        </is>
      </c>
      <c r="B133" s="33" t="n">
        <v>70000</v>
      </c>
      <c r="C133" s="15" t="inlineStr">
        <is>
          <t>₽/мес.</t>
        </is>
      </c>
      <c r="D133" s="15" t="inlineStr">
        <is>
          <t>ТЗ 6.1</t>
        </is>
      </c>
      <c r="E133" s="16" t="inlineStr">
        <is>
          <t>С 01.01.2027</t>
        </is>
      </c>
    </row>
    <row r="134">
      <c r="A134" s="9" t="inlineStr">
        <is>
          <t>SMM net</t>
        </is>
      </c>
      <c r="B134" s="33" t="n">
        <v>100000</v>
      </c>
      <c r="C134" s="15" t="inlineStr">
        <is>
          <t>₽/мес.</t>
        </is>
      </c>
      <c r="D134" s="15" t="inlineStr">
        <is>
          <t>ТЗ 6.1</t>
        </is>
      </c>
      <c r="E134" s="16" t="inlineStr">
        <is>
          <t>С 01.09.2027</t>
        </is>
      </c>
    </row>
    <row r="135">
      <c r="A135" s="9" t="inlineStr">
        <is>
          <t>Повышение ГД net</t>
        </is>
      </c>
      <c r="B135" s="33" t="n">
        <v>100000</v>
      </c>
      <c r="C135" s="15" t="inlineStr">
        <is>
          <t>₽/мес.</t>
        </is>
      </c>
      <c r="D135" s="15" t="inlineStr">
        <is>
          <t>ТЗ 6.1</t>
        </is>
      </c>
      <c r="E135" s="16" t="inlineStr">
        <is>
          <t>С 01.01.2028</t>
        </is>
      </c>
    </row>
    <row r="136" ht="20" customHeight="1">
      <c r="A136" s="35" t="inlineStr">
        <is>
          <t>Действующее ядро сотрудников</t>
        </is>
      </c>
    </row>
    <row r="137">
      <c r="A137" s="13" t="inlineStr">
        <is>
          <t>Роль</t>
        </is>
      </c>
      <c r="B137" s="13" t="inlineStr">
        <is>
          <t>Сотрудник</t>
        </is>
      </c>
      <c r="C137" s="13" t="inlineStr">
        <is>
          <t>Gross 01.09.26</t>
        </is>
      </c>
      <c r="D137" s="13" t="inlineStr">
        <is>
          <t>Квартальная премия?</t>
        </is>
      </c>
      <c r="E137" s="13" t="inlineStr">
        <is>
          <t>Комментарий</t>
        </is>
      </c>
    </row>
    <row r="138">
      <c r="A138" s="52" t="inlineStr">
        <is>
          <t>Генеральный директор</t>
        </is>
      </c>
      <c r="B138" s="53" t="inlineStr">
        <is>
          <t>Ермаков Роман Константинович</t>
        </is>
      </c>
      <c r="C138" s="33" t="n">
        <v>402300</v>
      </c>
      <c r="D138" s="54" t="inlineStr">
        <is>
          <t>Да</t>
        </is>
      </c>
      <c r="E138" s="15" t="n"/>
    </row>
    <row r="139">
      <c r="A139" s="52" t="inlineStr">
        <is>
          <t>Главный бухгалтер</t>
        </is>
      </c>
      <c r="B139" s="53" t="inlineStr">
        <is>
          <t>Попова Екатерина Андреевна</t>
        </is>
      </c>
      <c r="C139" s="33" t="n">
        <v>230000</v>
      </c>
      <c r="D139" s="54" t="inlineStr">
        <is>
          <t>Да</t>
        </is>
      </c>
      <c r="E139" s="15" t="n"/>
    </row>
    <row r="140">
      <c r="A140" s="52" t="inlineStr">
        <is>
          <t>Директор по развитию</t>
        </is>
      </c>
      <c r="B140" s="53" t="inlineStr">
        <is>
          <t>Степанов Юрий Александрович</t>
        </is>
      </c>
      <c r="C140" s="33" t="n">
        <v>287360</v>
      </c>
      <c r="D140" s="54" t="inlineStr">
        <is>
          <t>Да</t>
        </is>
      </c>
      <c r="E140" s="15" t="n"/>
    </row>
    <row r="141">
      <c r="A141" s="52" t="inlineStr">
        <is>
          <t>Проектный менеджер</t>
        </is>
      </c>
      <c r="B141" s="53" t="inlineStr">
        <is>
          <t>Авакян Левон</t>
        </is>
      </c>
      <c r="C141" s="33" t="n">
        <v>126436</v>
      </c>
      <c r="D141" s="54" t="inlineStr">
        <is>
          <t>Нет</t>
        </is>
      </c>
      <c r="E141" s="15" t="n"/>
    </row>
    <row r="142">
      <c r="A142" s="52" t="inlineStr">
        <is>
          <t>Менеджер по развитию</t>
        </is>
      </c>
      <c r="B142" s="53" t="inlineStr">
        <is>
          <t>Захаров Ярослав Александрович</t>
        </is>
      </c>
      <c r="C142" s="33" t="n">
        <v>114943</v>
      </c>
      <c r="D142" s="54" t="inlineStr">
        <is>
          <t>Нет</t>
        </is>
      </c>
      <c r="E142" s="15" t="n"/>
    </row>
    <row r="143">
      <c r="A143" s="52" t="inlineStr">
        <is>
          <t>Менеджер по развитию</t>
        </is>
      </c>
      <c r="B143" s="53" t="inlineStr">
        <is>
          <t>Ярков Даниил Антонович</t>
        </is>
      </c>
      <c r="C143" s="33" t="n">
        <v>114943</v>
      </c>
      <c r="D143" s="54" t="inlineStr">
        <is>
          <t>Нет</t>
        </is>
      </c>
      <c r="E143" s="15" t="n"/>
    </row>
    <row r="144">
      <c r="A144" s="52" t="inlineStr">
        <is>
          <t>Юрист</t>
        </is>
      </c>
      <c r="B144" s="53" t="inlineStr">
        <is>
          <t>Эсти Лайла Александровна</t>
        </is>
      </c>
      <c r="C144" s="33" t="n">
        <v>229890</v>
      </c>
      <c r="D144" s="54" t="inlineStr">
        <is>
          <t>Да</t>
        </is>
      </c>
      <c r="E144" s="15" t="n"/>
    </row>
    <row r="145">
      <c r="A145" s="52" t="inlineStr">
        <is>
          <t>Спортивный куратор сети</t>
        </is>
      </c>
      <c r="B145" s="53" t="inlineStr">
        <is>
          <t>Стрижов Роман Сергеевич</t>
        </is>
      </c>
      <c r="C145" s="33" t="n">
        <v>229885</v>
      </c>
      <c r="D145" s="54" t="inlineStr">
        <is>
          <t>Да</t>
        </is>
      </c>
      <c r="E145" s="15" t="n"/>
    </row>
    <row r="146">
      <c r="A146" s="52" t="inlineStr">
        <is>
          <t>Директор по маркетингу</t>
        </is>
      </c>
      <c r="B146" s="53" t="inlineStr">
        <is>
          <t>Печерских Павел Сергеевич</t>
        </is>
      </c>
      <c r="C146" s="33" t="n">
        <v>287360</v>
      </c>
      <c r="D146" s="54" t="inlineStr">
        <is>
          <t>Да</t>
        </is>
      </c>
      <c r="E146" s="15" t="n"/>
    </row>
    <row r="147">
      <c r="A147" s="52" t="inlineStr">
        <is>
          <t>Ведущий финансовый менеджер</t>
        </is>
      </c>
      <c r="B147" s="53" t="inlineStr">
        <is>
          <t>Беренцвейг Мария Сергеевна</t>
        </is>
      </c>
      <c r="C147" s="33" t="n">
        <v>229885</v>
      </c>
      <c r="D147" s="54" t="inlineStr">
        <is>
          <t>Да</t>
        </is>
      </c>
      <c r="E147" s="15" t="n"/>
    </row>
    <row r="148">
      <c r="A148" s="52" t="inlineStr">
        <is>
          <t>Исполнительный директор</t>
        </is>
      </c>
      <c r="B148" s="53" t="inlineStr">
        <is>
          <t>Штеблов Илья Николаевич</t>
        </is>
      </c>
      <c r="C148" s="33" t="n">
        <v>288000</v>
      </c>
      <c r="D148" s="54" t="inlineStr">
        <is>
          <t>Да</t>
        </is>
      </c>
      <c r="E148" s="15" t="n"/>
    </row>
    <row r="149">
      <c r="A149" s="52" t="inlineStr">
        <is>
          <t>Спортивный директор</t>
        </is>
      </c>
      <c r="B149" s="53" t="inlineStr">
        <is>
          <t>Рогов Роман Дмитриевич</t>
        </is>
      </c>
      <c r="C149" s="33" t="n">
        <v>287400</v>
      </c>
      <c r="D149" s="54" t="inlineStr">
        <is>
          <t>Да</t>
        </is>
      </c>
      <c r="E149" s="15" t="n"/>
    </row>
    <row r="150">
      <c r="A150" s="52" t="inlineStr">
        <is>
          <t>Руководитель отдела продаж / менеджер по продажам</t>
        </is>
      </c>
      <c r="B150" s="53" t="inlineStr">
        <is>
          <t>Жосан Евгений</t>
        </is>
      </c>
      <c r="C150" s="33" t="n">
        <v>230000</v>
      </c>
      <c r="D150" s="54" t="inlineStr">
        <is>
          <t>Нет</t>
        </is>
      </c>
      <c r="E150" s="15" t="n"/>
    </row>
    <row r="151">
      <c r="A151" s="9" t="inlineStr">
        <is>
          <t>ФОТ ядра gross — база</t>
        </is>
      </c>
      <c r="B151" s="43">
        <f>SUM(C138:C150)</f>
        <v/>
      </c>
      <c r="D151" s="15" t="inlineStr">
        <is>
          <t>Расчёт</t>
        </is>
      </c>
    </row>
    <row r="152">
      <c r="A152" s="9" t="inlineStr">
        <is>
          <t>База gross для квартальной премии</t>
        </is>
      </c>
      <c r="B152" s="43">
        <f>SUMIF(D138:D150,"Да",C138:C150)</f>
        <v/>
      </c>
      <c r="D152" s="15" t="inlineStr">
        <is>
          <t>Расчёт</t>
        </is>
      </c>
    </row>
    <row r="154" ht="20" customHeight="1">
      <c r="A154" s="12" t="inlineStr">
        <is>
          <t>8. Налоги</t>
        </is>
      </c>
    </row>
    <row r="155">
      <c r="A155" s="13" t="inlineStr">
        <is>
          <t>Параметр</t>
        </is>
      </c>
      <c r="B155" s="13" t="inlineStr">
        <is>
          <t>Значение</t>
        </is>
      </c>
      <c r="C155" s="13" t="inlineStr">
        <is>
          <t>Ед.</t>
        </is>
      </c>
      <c r="D155" s="13" t="inlineStr">
        <is>
          <t>Статус / источник</t>
        </is>
      </c>
      <c r="E155" s="13" t="inlineStr">
        <is>
          <t>Комментарий</t>
        </is>
      </c>
    </row>
    <row r="156">
      <c r="A156" s="9" t="inlineStr">
        <is>
          <t>УСН доходы-расходы</t>
        </is>
      </c>
      <c r="B156" s="22" t="n">
        <v>0.15</v>
      </c>
      <c r="C156" s="15" t="inlineStr">
        <is>
          <t>% прибыли</t>
        </is>
      </c>
      <c r="D156" s="15" t="inlineStr">
        <is>
          <t>Временно</t>
        </is>
      </c>
      <c r="E156" s="16" t="inlineStr">
        <is>
          <t>Помесячно; подтвердить</t>
        </is>
      </c>
    </row>
    <row r="157">
      <c r="A157" s="9" t="inlineStr">
        <is>
          <t>Минимальный УСН</t>
        </is>
      </c>
      <c r="B157" s="22" t="n">
        <v>0.01</v>
      </c>
      <c r="C157" s="15" t="inlineStr">
        <is>
          <t>% дохода</t>
        </is>
      </c>
      <c r="D157" s="15" t="inlineStr">
        <is>
          <t>Временно</t>
        </is>
      </c>
      <c r="E157" s="16" t="inlineStr">
        <is>
          <t>Помесячно; подтвердить</t>
        </is>
      </c>
    </row>
    <row r="159" ht="20" customHeight="1">
      <c r="A159" s="12" t="inlineStr">
        <is>
          <t>9. Лагеря</t>
        </is>
      </c>
    </row>
    <row r="160">
      <c r="A160" s="13" t="inlineStr">
        <is>
          <t>Параметр</t>
        </is>
      </c>
      <c r="B160" s="13" t="inlineStr">
        <is>
          <t>Значение</t>
        </is>
      </c>
      <c r="C160" s="13" t="inlineStr">
        <is>
          <t>Ед.</t>
        </is>
      </c>
      <c r="D160" s="13" t="inlineStr">
        <is>
          <t>Статус / источник</t>
        </is>
      </c>
      <c r="E160" s="13" t="inlineStr">
        <is>
          <t>Комментарий</t>
        </is>
      </c>
    </row>
    <row r="161">
      <c r="A161" s="9" t="inlineStr">
        <is>
          <t>Лагеря — смен в июне</t>
        </is>
      </c>
      <c r="B161" s="55" t="n">
        <v>2</v>
      </c>
      <c r="C161" s="15" t="inlineStr">
        <is>
          <t>шт.</t>
        </is>
      </c>
      <c r="D161" s="15" t="inlineStr">
        <is>
          <t>ТЗ 9</t>
        </is>
      </c>
      <c r="E161" s="16" t="n"/>
    </row>
    <row r="162">
      <c r="A162" s="9" t="inlineStr">
        <is>
          <t>Лагеря — участников без проживания / смена</t>
        </is>
      </c>
      <c r="B162" s="55" t="n">
        <v>50</v>
      </c>
      <c r="C162" s="15" t="inlineStr">
        <is>
          <t>чел.</t>
        </is>
      </c>
      <c r="D162" s="15" t="inlineStr">
        <is>
          <t>Лагеря Спартак Будущее</t>
        </is>
      </c>
      <c r="E162" s="16" t="n"/>
    </row>
    <row r="163">
      <c r="A163" s="9" t="inlineStr">
        <is>
          <t>Лагеря — участников с проживанием / смена</t>
        </is>
      </c>
      <c r="B163" s="55" t="n">
        <v>50</v>
      </c>
      <c r="C163" s="15" t="inlineStr">
        <is>
          <t>чел.</t>
        </is>
      </c>
      <c r="D163" s="15" t="inlineStr">
        <is>
          <t>Лагеря Спартак Будущее</t>
        </is>
      </c>
      <c r="E163" s="16" t="n"/>
    </row>
    <row r="164">
      <c r="A164" s="9" t="inlineStr">
        <is>
          <t>Лагеря — цена без проживания</t>
        </is>
      </c>
      <c r="B164" s="33" t="n">
        <v>80000</v>
      </c>
      <c r="C164" s="15" t="inlineStr">
        <is>
          <t>₽</t>
        </is>
      </c>
      <c r="D164" s="15" t="inlineStr">
        <is>
          <t>Лагеря Спартак Будущее</t>
        </is>
      </c>
      <c r="E164" s="16" t="n"/>
    </row>
    <row r="165">
      <c r="A165" s="9" t="inlineStr">
        <is>
          <t>Лагеря — цена с проживанием</t>
        </is>
      </c>
      <c r="B165" s="33" t="n">
        <v>120000</v>
      </c>
      <c r="C165" s="15" t="inlineStr">
        <is>
          <t>₽</t>
        </is>
      </c>
      <c r="D165" s="15" t="inlineStr">
        <is>
          <t>Лагеря Спартак Будущее</t>
        </is>
      </c>
      <c r="E165" s="16" t="n"/>
    </row>
    <row r="166">
      <c r="A166" s="9" t="inlineStr">
        <is>
          <t>Лагеря — оборот / смена</t>
        </is>
      </c>
      <c r="B166" s="40">
        <f>B162*B164+B163*B165</f>
        <v/>
      </c>
      <c r="C166" s="15" t="inlineStr">
        <is>
          <t>₽</t>
        </is>
      </c>
      <c r="D166" s="15" t="inlineStr">
        <is>
          <t>Лагеря Спартак Будущее</t>
        </is>
      </c>
      <c r="E166" s="16" t="n"/>
    </row>
    <row r="167">
      <c r="A167" s="9" t="inlineStr">
        <is>
          <t>Лагеря — расходы / смена</t>
        </is>
      </c>
      <c r="B167" s="33" t="n">
        <v>5386000</v>
      </c>
      <c r="C167" s="15" t="inlineStr">
        <is>
          <t>₽</t>
        </is>
      </c>
      <c r="D167" s="15" t="inlineStr">
        <is>
          <t>Лагеря Спартак Будущее</t>
        </is>
      </c>
      <c r="E167" s="16" t="n"/>
    </row>
    <row r="168">
      <c r="A168" s="9" t="inlineStr">
        <is>
          <t>Лагеря — НДС</t>
        </is>
      </c>
      <c r="B168" s="56">
        <f>B240</f>
        <v/>
      </c>
      <c r="C168" s="15" t="inlineStr">
        <is>
          <t>%</t>
        </is>
      </c>
      <c r="D168" s="15" t="inlineStr">
        <is>
          <t>Лагеря Спартак Будущее</t>
        </is>
      </c>
      <c r="E168" s="16" t="inlineStr">
        <is>
          <t>Временный резерв 10% от оборота из исходника, не проверенная методика НДС.</t>
        </is>
      </c>
    </row>
    <row r="169">
      <c r="A169" s="9" t="inlineStr">
        <is>
          <t>Лагеря — доля партнёра-продавца</t>
        </is>
      </c>
      <c r="B169" s="21" t="n">
        <v>0.125</v>
      </c>
      <c r="C169" s="15" t="inlineStr">
        <is>
          <t>%</t>
        </is>
      </c>
      <c r="D169" s="15" t="inlineStr">
        <is>
          <t>Лагеря Спартак Будущее</t>
        </is>
      </c>
      <c r="E169" s="16" t="n"/>
    </row>
    <row r="170">
      <c r="A170" s="9" t="inlineStr">
        <is>
          <t>Лагеря — проживание / смена</t>
        </is>
      </c>
      <c r="B170" s="33" t="n">
        <v>700000</v>
      </c>
      <c r="C170" s="15" t="inlineStr">
        <is>
          <t>₽</t>
        </is>
      </c>
      <c r="D170" s="15" t="inlineStr">
        <is>
          <t>Лагеря Спартак Будущее</t>
        </is>
      </c>
      <c r="E170" s="16" t="n"/>
    </row>
    <row r="171">
      <c r="A171" s="9" t="inlineStr">
        <is>
          <t>Лагеря — аванс клиента</t>
        </is>
      </c>
      <c r="B171" s="21" t="n">
        <v>0.4</v>
      </c>
      <c r="C171" s="15" t="inlineStr">
        <is>
          <t>%</t>
        </is>
      </c>
      <c r="D171" s="15" t="inlineStr">
        <is>
          <t>ТЗ 9</t>
        </is>
      </c>
      <c r="E171" s="16" t="n"/>
    </row>
    <row r="172">
      <c r="A172" s="9" t="inlineStr">
        <is>
          <t>Лагеря — финальная оплата клиента</t>
        </is>
      </c>
      <c r="B172" s="21" t="n">
        <v>0.6</v>
      </c>
      <c r="C172" s="15" t="inlineStr">
        <is>
          <t>%</t>
        </is>
      </c>
      <c r="D172" s="15" t="inlineStr">
        <is>
          <t>ТЗ 9</t>
        </is>
      </c>
      <c r="E172" s="16" t="n"/>
    </row>
    <row r="173">
      <c r="A173" s="9" t="inlineStr">
        <is>
          <t>Лагеря — месяц финальной оплаты клиента</t>
        </is>
      </c>
      <c r="B173" s="45" t="n">
        <v>5</v>
      </c>
      <c r="C173" s="15" t="inlineStr">
        <is>
          <t>номер месяца</t>
        </is>
      </c>
      <c r="D173" s="15" t="inlineStr">
        <is>
          <t>Рабочее</t>
        </is>
      </c>
      <c r="E173" s="16" t="inlineStr">
        <is>
          <t>Пока май; уточнить</t>
        </is>
      </c>
    </row>
    <row r="174">
      <c r="A174" s="9" t="inlineStr">
        <is>
          <t>Лагеря — первая оплата проживания</t>
        </is>
      </c>
      <c r="B174" s="21" t="n">
        <v>0.4</v>
      </c>
      <c r="C174" s="15" t="inlineStr">
        <is>
          <t>%</t>
        </is>
      </c>
      <c r="D174" s="15" t="inlineStr">
        <is>
          <t>ТЗ 9</t>
        </is>
      </c>
      <c r="E174" s="16" t="n"/>
    </row>
    <row r="175">
      <c r="A175" s="9" t="inlineStr">
        <is>
          <t>Лагеря — месяц первой оплаты проживания</t>
        </is>
      </c>
      <c r="B175" s="34" t="n">
        <v>3</v>
      </c>
      <c r="C175" s="15" t="inlineStr">
        <is>
          <t>номер месяца</t>
        </is>
      </c>
      <c r="D175" s="15" t="inlineStr">
        <is>
          <t>ТЗ 9</t>
        </is>
      </c>
      <c r="E175" s="16" t="inlineStr">
        <is>
          <t>Март</t>
        </is>
      </c>
    </row>
    <row r="176">
      <c r="A176" s="9" t="inlineStr">
        <is>
          <t>Лагеря — вторая оплата проживания</t>
        </is>
      </c>
      <c r="B176" s="21" t="n">
        <v>0.6</v>
      </c>
      <c r="C176" s="15" t="inlineStr">
        <is>
          <t>%</t>
        </is>
      </c>
      <c r="D176" s="15" t="inlineStr">
        <is>
          <t>ТЗ 9</t>
        </is>
      </c>
      <c r="E176" s="16" t="n"/>
    </row>
    <row r="177">
      <c r="A177" s="9" t="inlineStr">
        <is>
          <t>Лагеря — месяц второй оплаты проживания</t>
        </is>
      </c>
      <c r="B177" s="34" t="n">
        <v>5</v>
      </c>
      <c r="C177" s="15" t="inlineStr">
        <is>
          <t>номер месяца</t>
        </is>
      </c>
      <c r="D177" s="15" t="inlineStr">
        <is>
          <t>Подтверждено</t>
        </is>
      </c>
      <c r="E177" s="16" t="inlineStr">
        <is>
          <t>За месяц до июня = май</t>
        </is>
      </c>
    </row>
    <row r="179" ht="20" customHeight="1">
      <c r="A179" s="12" t="inlineStr">
        <is>
          <t>10. История сезона 2025/26 — ввод факта и режим сравнения</t>
        </is>
      </c>
    </row>
    <row r="180">
      <c r="A180" s="13" t="inlineStr">
        <is>
          <t>Показатель</t>
        </is>
      </c>
      <c r="B180" s="57" t="n">
        <v>45901</v>
      </c>
      <c r="C180" s="57" t="n">
        <v>45931</v>
      </c>
      <c r="D180" s="57" t="n">
        <v>45962</v>
      </c>
      <c r="E180" s="57" t="n">
        <v>45992</v>
      </c>
      <c r="F180" s="57" t="n">
        <v>46023</v>
      </c>
      <c r="G180" s="57" t="n">
        <v>46054</v>
      </c>
      <c r="H180" s="57" t="n">
        <v>46082</v>
      </c>
      <c r="I180" s="57" t="n">
        <v>46113</v>
      </c>
      <c r="J180" s="57" t="n">
        <v>46143</v>
      </c>
      <c r="K180" s="57" t="n">
        <v>46174</v>
      </c>
      <c r="L180" s="57" t="n">
        <v>46204</v>
      </c>
      <c r="M180" s="57" t="n">
        <v>46235</v>
      </c>
      <c r="N180" s="13" t="inlineStr">
        <is>
          <t>Итого доступно</t>
        </is>
      </c>
    </row>
    <row r="181">
      <c r="A181" s="9" t="inlineStr">
        <is>
          <t>Выручка</t>
        </is>
      </c>
      <c r="B181" s="33" t="n">
        <v>0</v>
      </c>
      <c r="C181" s="33" t="n">
        <v>0</v>
      </c>
      <c r="D181" s="33" t="n">
        <v>1888930</v>
      </c>
      <c r="E181" s="33" t="n">
        <v>3136245</v>
      </c>
      <c r="F181" s="33" t="n">
        <v>3278551</v>
      </c>
      <c r="G181" s="33" t="n">
        <v>3661176</v>
      </c>
      <c r="H181" s="33" t="n">
        <v>2746157</v>
      </c>
      <c r="I181" s="33" t="n">
        <v>2794345</v>
      </c>
      <c r="J181" s="33" t="n">
        <v>2057327</v>
      </c>
      <c r="K181" s="33" t="n">
        <v>3743057</v>
      </c>
      <c r="L181" s="58" t="n">
        <v>3136928</v>
      </c>
      <c r="M181" s="58" t="n"/>
      <c r="N181" s="43">
        <f>SUM(B181:M181)</f>
        <v/>
      </c>
    </row>
    <row r="182">
      <c r="A182" s="9" t="inlineStr">
        <is>
          <t>Себестоимость</t>
        </is>
      </c>
      <c r="B182" s="33" t="n">
        <v>0</v>
      </c>
      <c r="C182" s="33" t="n">
        <v>0</v>
      </c>
      <c r="D182" s="33" t="n">
        <v>353026</v>
      </c>
      <c r="E182" s="33" t="n">
        <v>147883</v>
      </c>
      <c r="F182" s="33" t="n">
        <v>42910</v>
      </c>
      <c r="G182" s="33" t="n">
        <v>926633</v>
      </c>
      <c r="H182" s="33" t="n">
        <v>64493</v>
      </c>
      <c r="I182" s="33" t="n">
        <v>86054</v>
      </c>
      <c r="J182" s="33" t="n">
        <v>139894</v>
      </c>
      <c r="K182" s="33" t="n">
        <v>735974</v>
      </c>
      <c r="L182" s="58" t="n">
        <v>44505</v>
      </c>
      <c r="M182" s="58" t="n"/>
      <c r="N182" s="43">
        <f>SUM(B182:M182)</f>
        <v/>
      </c>
    </row>
    <row r="183">
      <c r="A183" s="9" t="inlineStr">
        <is>
          <t>Коммерческие расходы</t>
        </is>
      </c>
      <c r="B183" s="33" t="n">
        <v>0</v>
      </c>
      <c r="C183" s="33" t="n">
        <v>0</v>
      </c>
      <c r="D183" s="33" t="n">
        <v>245843</v>
      </c>
      <c r="E183" s="33" t="n">
        <v>337456</v>
      </c>
      <c r="F183" s="33" t="n">
        <v>332724</v>
      </c>
      <c r="G183" s="33" t="n">
        <v>409047</v>
      </c>
      <c r="H183" s="33" t="n">
        <v>278193</v>
      </c>
      <c r="I183" s="33" t="n">
        <v>286891</v>
      </c>
      <c r="J183" s="33" t="n">
        <v>216975</v>
      </c>
      <c r="K183" s="33" t="n">
        <v>439440</v>
      </c>
      <c r="L183" s="58" t="n">
        <v>314803</v>
      </c>
      <c r="M183" s="58" t="n"/>
      <c r="N183" s="43">
        <f>SUM(B183:M183)</f>
        <v/>
      </c>
    </row>
    <row r="184">
      <c r="A184" s="9" t="inlineStr">
        <is>
          <t>Административные расходы</t>
        </is>
      </c>
      <c r="B184" s="33" t="n">
        <v>2598460</v>
      </c>
      <c r="C184" s="33" t="n">
        <v>3269784</v>
      </c>
      <c r="D184" s="33" t="n">
        <v>3874093</v>
      </c>
      <c r="E184" s="33" t="n">
        <v>4712565</v>
      </c>
      <c r="F184" s="33" t="n">
        <v>3454218</v>
      </c>
      <c r="G184" s="33" t="n">
        <v>4059308</v>
      </c>
      <c r="H184" s="33" t="n">
        <v>3795422</v>
      </c>
      <c r="I184" s="33" t="n">
        <v>4013301</v>
      </c>
      <c r="J184" s="33" t="n">
        <v>4510410</v>
      </c>
      <c r="K184" s="33" t="n">
        <v>4997909</v>
      </c>
      <c r="L184" s="58" t="n">
        <v>5348614</v>
      </c>
      <c r="M184" s="58" t="n"/>
      <c r="N184" s="43">
        <f>SUM(B184:M184)</f>
        <v/>
      </c>
    </row>
    <row r="185">
      <c r="A185" s="9" t="inlineStr">
        <is>
          <t>Прочие расходы</t>
        </is>
      </c>
      <c r="B185" s="33" t="n">
        <v>9335</v>
      </c>
      <c r="C185" s="33" t="n">
        <v>32927</v>
      </c>
      <c r="D185" s="33" t="n">
        <v>5574</v>
      </c>
      <c r="E185" s="33" t="n">
        <v>7214</v>
      </c>
      <c r="F185" s="33" t="n">
        <v>3595</v>
      </c>
      <c r="G185" s="33" t="n">
        <v>4123</v>
      </c>
      <c r="H185" s="33" t="n">
        <v>6990</v>
      </c>
      <c r="I185" s="33" t="n">
        <v>4957</v>
      </c>
      <c r="J185" s="33" t="n">
        <v>3243</v>
      </c>
      <c r="K185" s="33" t="n">
        <v>6449</v>
      </c>
      <c r="L185" s="58" t="n">
        <v>5010</v>
      </c>
      <c r="M185" s="58" t="n"/>
      <c r="N185" s="43">
        <f>SUM(B185:M185)</f>
        <v/>
      </c>
    </row>
    <row r="186">
      <c r="A186" s="9" t="inlineStr">
        <is>
          <t>EBITDA</t>
        </is>
      </c>
      <c r="B186" s="33" t="n">
        <v>-2607796</v>
      </c>
      <c r="C186" s="33" t="n">
        <v>-3302710</v>
      </c>
      <c r="D186" s="33" t="n">
        <v>-2589607</v>
      </c>
      <c r="E186" s="33" t="n">
        <v>-2068872</v>
      </c>
      <c r="F186" s="33" t="n">
        <v>-554897</v>
      </c>
      <c r="G186" s="33" t="n">
        <v>-1737936</v>
      </c>
      <c r="H186" s="33" t="n">
        <v>-1398942</v>
      </c>
      <c r="I186" s="33" t="n">
        <v>-1596856</v>
      </c>
      <c r="J186" s="33" t="n">
        <v>-2813195</v>
      </c>
      <c r="K186" s="33" t="n">
        <v>-2436714</v>
      </c>
      <c r="L186" s="58" t="n">
        <v>-2576003</v>
      </c>
      <c r="M186" s="58" t="n"/>
      <c r="N186" s="43">
        <f>SUM(B186:M186)</f>
        <v/>
      </c>
    </row>
    <row r="187">
      <c r="A187" s="9" t="inlineStr">
        <is>
          <t>Чистый денежный поток</t>
        </is>
      </c>
      <c r="B187" s="58" t="n"/>
      <c r="C187" s="58" t="n"/>
      <c r="D187" s="58" t="n"/>
      <c r="E187" s="58" t="n"/>
      <c r="F187" s="33" t="n">
        <v>40198</v>
      </c>
      <c r="G187" s="33" t="n">
        <v>2070755</v>
      </c>
      <c r="H187" s="33" t="n">
        <v>-1429475</v>
      </c>
      <c r="I187" s="33" t="n">
        <v>61645</v>
      </c>
      <c r="J187" s="33" t="n">
        <v>-517789</v>
      </c>
      <c r="K187" s="33" t="n">
        <v>-345792</v>
      </c>
      <c r="L187" s="33" t="n">
        <v>6862</v>
      </c>
      <c r="M187" s="58" t="n"/>
      <c r="N187" s="43">
        <f>SUM(B187:M187)</f>
        <v/>
      </c>
    </row>
    <row r="188">
      <c r="A188" s="9" t="inlineStr">
        <is>
          <t>Режим просмотра результата на дашборде</t>
        </is>
      </c>
      <c r="B188" s="59" t="inlineStr">
        <is>
          <t>Без истории</t>
        </is>
      </c>
      <c r="C188" s="58" t="inlineStr">
        <is>
          <t>режим</t>
        </is>
      </c>
      <c r="D188" s="58" t="inlineStr">
        <is>
          <t>Управленческий переключатель</t>
        </is>
      </c>
      <c r="E188" s="58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60" t="inlineStr">
        <is>
          <t>11. Сценарии и чувствительность</t>
        </is>
      </c>
    </row>
    <row r="191" ht="38" customHeight="1">
      <c r="A191" s="6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62" t="inlineStr">
        <is>
          <t>Активный сценарий</t>
        </is>
      </c>
      <c r="B192" s="59" t="inlineStr">
        <is>
          <t>Базовый</t>
        </is>
      </c>
      <c r="D192" s="63" t="inlineStr">
        <is>
          <t>03_Сценарии</t>
        </is>
      </c>
      <c r="E192" s="63" t="inlineStr">
        <is>
          <t>12_Чувствительность</t>
        </is>
      </c>
    </row>
    <row r="193"/>
    <row r="194">
      <c r="A194" s="61" t="inlineStr">
        <is>
          <t>Номер сценария</t>
        </is>
      </c>
      <c r="B194" s="64">
        <f>IF(B192=C197,1,IF(B192=D197,2,3))</f>
        <v/>
      </c>
    </row>
    <row r="195" ht="38" customHeight="1">
      <c r="A195" s="6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65" t="inlineStr">
        <is>
          <t>Драйвер</t>
        </is>
      </c>
      <c r="B197" s="65" t="inlineStr">
        <is>
          <t>Ед.</t>
        </is>
      </c>
      <c r="C197" s="65" t="inlineStr">
        <is>
          <t>Негативный</t>
        </is>
      </c>
      <c r="D197" s="65" t="inlineStr">
        <is>
          <t>Базовый</t>
        </is>
      </c>
      <c r="E197" s="65" t="inlineStr">
        <is>
          <t>Позитивный</t>
        </is>
      </c>
      <c r="F197" s="65" t="inlineStr">
        <is>
          <t>В расчете</t>
        </is>
      </c>
      <c r="G197" s="65" t="inlineStr">
        <is>
          <t>Шаг ±</t>
        </is>
      </c>
    </row>
    <row r="198" ht="32" customHeight="1">
      <c r="A198" s="61" t="inlineStr">
        <is>
          <t>План продаж франшиз</t>
        </is>
      </c>
      <c r="B198" s="61" t="inlineStr">
        <is>
          <t>× база</t>
        </is>
      </c>
      <c r="C198" s="66" t="n">
        <v>0.8</v>
      </c>
      <c r="D198" s="67" t="n">
        <v>1</v>
      </c>
      <c r="E198" s="66" t="n">
        <v>1.2</v>
      </c>
      <c r="F198" s="68">
        <f>INDEX(C198:E198,1,$B$194)</f>
        <v/>
      </c>
      <c r="G198" s="69" t="n">
        <v>0.1</v>
      </c>
    </row>
    <row r="199" ht="32" customHeight="1">
      <c r="A199" s="61" t="inlineStr">
        <is>
          <t>Дети новых школ</t>
        </is>
      </c>
      <c r="B199" s="61" t="inlineStr">
        <is>
          <t>× база</t>
        </is>
      </c>
      <c r="C199" s="66" t="n">
        <v>0.9</v>
      </c>
      <c r="D199" s="67" t="n">
        <v>1</v>
      </c>
      <c r="E199" s="66" t="n">
        <v>1.1</v>
      </c>
      <c r="F199" s="68">
        <f>INDEX(C199:E199,1,$B$194)</f>
        <v/>
      </c>
      <c r="G199" s="69" t="n">
        <v>0.1</v>
      </c>
    </row>
    <row r="200" ht="32" customHeight="1">
      <c r="A200" s="61" t="inlineStr">
        <is>
          <t>Цена абонемента</t>
        </is>
      </c>
      <c r="B200" s="61" t="inlineStr">
        <is>
          <t>× база</t>
        </is>
      </c>
      <c r="C200" s="66" t="n">
        <v>0.95</v>
      </c>
      <c r="D200" s="67" t="n">
        <v>1</v>
      </c>
      <c r="E200" s="66" t="n">
        <v>1.05</v>
      </c>
      <c r="F200" s="68">
        <f>INDEX(C200:E200,1,$B$194)</f>
        <v/>
      </c>
      <c r="G200" s="69" t="n">
        <v>0.1</v>
      </c>
    </row>
    <row r="201" ht="32" customHeight="1">
      <c r="A201" s="61" t="inlineStr">
        <is>
          <t>Мерч на ребенка</t>
        </is>
      </c>
      <c r="B201" s="61" t="inlineStr">
        <is>
          <t>× база</t>
        </is>
      </c>
      <c r="C201" s="66" t="n">
        <v>0.9</v>
      </c>
      <c r="D201" s="67" t="n">
        <v>1</v>
      </c>
      <c r="E201" s="66" t="n">
        <v>1.1</v>
      </c>
      <c r="F201" s="68">
        <f>INDEX(C201:E201,1,$B$194)</f>
        <v/>
      </c>
      <c r="G201" s="69" t="n">
        <v>0.1</v>
      </c>
    </row>
    <row r="202" ht="32" customHeight="1">
      <c r="A202" s="61" t="inlineStr">
        <is>
          <t>Таргет на продажу</t>
        </is>
      </c>
      <c r="B202" s="61" t="inlineStr">
        <is>
          <t>× база</t>
        </is>
      </c>
      <c r="C202" s="66" t="n">
        <v>1.2</v>
      </c>
      <c r="D202" s="67" t="n">
        <v>1</v>
      </c>
      <c r="E202" s="66" t="n">
        <v>0.8</v>
      </c>
      <c r="F202" s="68">
        <f>INDEX(C202:E202,1,$B$194)</f>
        <v/>
      </c>
      <c r="G202" s="69" t="n">
        <v>0.1</v>
      </c>
    </row>
    <row r="203" ht="32" customHeight="1">
      <c r="A203" s="61" t="inlineStr">
        <is>
          <t>Срок получения роялти</t>
        </is>
      </c>
      <c r="B203" s="61" t="inlineStr">
        <is>
          <t>× база</t>
        </is>
      </c>
      <c r="C203" s="66" t="n">
        <v>2</v>
      </c>
      <c r="D203" s="67" t="n">
        <v>1</v>
      </c>
      <c r="E203" s="66" t="n">
        <v>0.5</v>
      </c>
      <c r="F203" s="68">
        <f>INDEX(C203:E203,1,$B$194)</f>
        <v/>
      </c>
      <c r="G203" s="69" t="n">
        <v>0.1</v>
      </c>
    </row>
    <row r="204"/>
    <row r="205" ht="38" customHeight="1">
      <c r="A205" s="6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6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6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70" t="inlineStr">
        <is>
          <t>Базовые значения сценарных параметров</t>
        </is>
      </c>
    </row>
    <row r="210" ht="28" customHeight="1">
      <c r="A210" s="61" t="inlineStr">
        <is>
          <t>План продаж: сезон 1</t>
        </is>
      </c>
      <c r="B210" s="71" t="n">
        <v>66</v>
      </c>
      <c r="C210" s="61" t="inlineStr">
        <is>
          <t>01_Вводные!B36</t>
        </is>
      </c>
      <c r="D210" s="61" t="inlineStr">
        <is>
          <t>База V8</t>
        </is>
      </c>
    </row>
    <row r="211" ht="28" customHeight="1">
      <c r="A211" s="61" t="inlineStr">
        <is>
          <t>План продаж: сезон 2</t>
        </is>
      </c>
      <c r="B211" s="71" t="n">
        <v>72</v>
      </c>
      <c r="C211" s="61" t="inlineStr">
        <is>
          <t>01_Вводные!B37</t>
        </is>
      </c>
      <c r="D211" s="61" t="inlineStr">
        <is>
          <t>База V8</t>
        </is>
      </c>
    </row>
    <row r="212" ht="28" customHeight="1">
      <c r="A212" s="61" t="inlineStr">
        <is>
          <t>План продаж: сезон 3</t>
        </is>
      </c>
      <c r="B212" s="71" t="n">
        <v>72</v>
      </c>
      <c r="C212" s="61" t="inlineStr">
        <is>
          <t>01_Вводные!B38</t>
        </is>
      </c>
      <c r="D212" s="61" t="inlineStr">
        <is>
          <t>База V8</t>
        </is>
      </c>
    </row>
    <row r="213" ht="28" customHeight="1">
      <c r="A213" s="61" t="inlineStr">
        <is>
          <t>План продаж: сезон 4</t>
        </is>
      </c>
      <c r="B213" s="71" t="n">
        <v>60</v>
      </c>
      <c r="C213" s="61" t="inlineStr">
        <is>
          <t>01_Вводные!B39</t>
        </is>
      </c>
      <c r="D213" s="61" t="inlineStr">
        <is>
          <t>База V8</t>
        </is>
      </c>
    </row>
    <row r="214" ht="28" customHeight="1">
      <c r="A214" s="61" t="inlineStr">
        <is>
          <t>План продаж: сезон 5</t>
        </is>
      </c>
      <c r="B214" s="71" t="n">
        <v>50</v>
      </c>
      <c r="C214" s="61" t="inlineStr">
        <is>
          <t>01_Вводные!B40</t>
        </is>
      </c>
      <c r="D214" s="61" t="inlineStr">
        <is>
          <t>База V8</t>
        </is>
      </c>
    </row>
    <row r="215" ht="28" customHeight="1">
      <c r="A215" s="72" t="inlineStr">
        <is>
          <t>Мощность новой школы: 12-й месяц</t>
        </is>
      </c>
      <c r="B215" s="38">
        <f>SUMPRODUCT($C$263:$C$282,$E$263:$E$282)/$C$283</f>
        <v/>
      </c>
      <c r="C215" s="61" t="inlineStr">
        <is>
          <t>01_Вводные!B46</t>
        </is>
      </c>
      <c r="D215" s="61" t="inlineStr">
        <is>
          <t>База V8</t>
        </is>
      </c>
      <c r="G215" s="28" t="inlineStr">
        <is>
          <t>← формула; база: E263:E282</t>
        </is>
      </c>
    </row>
    <row r="216" ht="28" customHeight="1">
      <c r="A216" s="72" t="inlineStr">
        <is>
          <t>Мощность новой школы: 24-й месяц</t>
        </is>
      </c>
      <c r="B216" s="38">
        <f>SUMPRODUCT($C$263:$C$282,$F$263:$F$282)/$C$283</f>
        <v/>
      </c>
      <c r="C216" s="61" t="inlineStr">
        <is>
          <t>01_Вводные!B47</t>
        </is>
      </c>
      <c r="D216" s="61" t="inlineStr">
        <is>
          <t>База V8</t>
        </is>
      </c>
      <c r="G216" s="28" t="inlineStr">
        <is>
          <t>← формула; база: F263:F282</t>
        </is>
      </c>
    </row>
    <row r="217" ht="28" customHeight="1">
      <c r="A217" s="61" t="inlineStr">
        <is>
          <t>Абонемент действующей сети</t>
        </is>
      </c>
      <c r="B217" s="71" t="n">
        <v>6000</v>
      </c>
      <c r="C217" s="61" t="inlineStr">
        <is>
          <t>01_Вводные!B51</t>
        </is>
      </c>
      <c r="D217" s="61" t="inlineStr">
        <is>
          <t>База V8</t>
        </is>
      </c>
    </row>
    <row r="218" ht="28" customHeight="1">
      <c r="A218" s="61" t="inlineStr">
        <is>
          <t>Абонемент новых школ: сезон 1</t>
        </is>
      </c>
      <c r="B218" s="32">
        <f>SUMPRODUCT($C$263:$C$282,$H$263:$H$282)/$C$283</f>
        <v/>
      </c>
      <c r="C218" s="61" t="inlineStr">
        <is>
          <t>01_Вводные!C63</t>
        </is>
      </c>
      <c r="D218" s="61" t="inlineStr">
        <is>
          <t>База V8</t>
        </is>
      </c>
      <c r="G218" s="28" t="inlineStr">
        <is>
          <t>← формула; база: H263:H282</t>
        </is>
      </c>
    </row>
    <row r="219" ht="28" customHeight="1">
      <c r="A219" s="61" t="inlineStr">
        <is>
          <t>Абонемент новых школ: сезон 2</t>
        </is>
      </c>
      <c r="B219" s="32">
        <f>SUMPRODUCT($C$263:$C$282,$H$263:$H$282)/$C$283</f>
        <v/>
      </c>
      <c r="C219" s="61" t="inlineStr">
        <is>
          <t>01_Вводные!C64</t>
        </is>
      </c>
      <c r="D219" s="61" t="inlineStr">
        <is>
          <t>База V8</t>
        </is>
      </c>
      <c r="G219" s="28" t="inlineStr">
        <is>
          <t>← формула; база: H263:H282</t>
        </is>
      </c>
    </row>
    <row r="220" ht="28" customHeight="1">
      <c r="A220" s="61" t="inlineStr">
        <is>
          <t>Абонемент новых школ: сезон 3</t>
        </is>
      </c>
      <c r="B220" s="32">
        <f>SUMPRODUCT($C$263:$C$282,$H$263:$H$282)/$C$283</f>
        <v/>
      </c>
      <c r="C220" s="61" t="inlineStr">
        <is>
          <t>01_Вводные!C65</t>
        </is>
      </c>
      <c r="D220" s="61" t="inlineStr">
        <is>
          <t>База V8</t>
        </is>
      </c>
      <c r="G220" s="28" t="inlineStr">
        <is>
          <t>← формула; база: H263:H282</t>
        </is>
      </c>
    </row>
    <row r="221" ht="28" customHeight="1">
      <c r="A221" s="61" t="inlineStr">
        <is>
          <t>Абонемент новых школ: сезон 4</t>
        </is>
      </c>
      <c r="B221" s="32">
        <f>SUMPRODUCT($C$263:$C$282,$H$263:$H$282)/$C$283</f>
        <v/>
      </c>
      <c r="C221" s="61" t="inlineStr">
        <is>
          <t>01_Вводные!C66</t>
        </is>
      </c>
      <c r="D221" s="61" t="inlineStr">
        <is>
          <t>База V8</t>
        </is>
      </c>
      <c r="G221" s="28" t="inlineStr">
        <is>
          <t>← формула; база: H263:H282</t>
        </is>
      </c>
    </row>
    <row r="222" ht="28" customHeight="1">
      <c r="A222" s="61" t="inlineStr">
        <is>
          <t>Абонемент новых школ: сезон 5</t>
        </is>
      </c>
      <c r="B222" s="32">
        <f>SUMPRODUCT($C$263:$C$282,$H$263:$H$282)/$C$283</f>
        <v/>
      </c>
      <c r="C222" s="61" t="inlineStr">
        <is>
          <t>01_Вводные!C67</t>
        </is>
      </c>
      <c r="D222" s="61" t="inlineStr">
        <is>
          <t>База V8</t>
        </is>
      </c>
      <c r="G222" s="28" t="inlineStr">
        <is>
          <t>← формула; база: H263:H282</t>
        </is>
      </c>
    </row>
    <row r="223" ht="28" customHeight="1">
      <c r="A223" s="61" t="inlineStr">
        <is>
          <t>Коэффициент мерча</t>
        </is>
      </c>
      <c r="B223" s="73" t="n">
        <v>1.2</v>
      </c>
      <c r="C223" s="61" t="inlineStr">
        <is>
          <t>01_Вводные!B74</t>
        </is>
      </c>
      <c r="D223" s="61" t="inlineStr">
        <is>
          <t>База V8</t>
        </is>
      </c>
    </row>
    <row r="224" ht="28" customHeight="1">
      <c r="A224" s="61" t="inlineStr">
        <is>
          <t>Таргет на будущую продажу</t>
        </is>
      </c>
      <c r="B224" s="71" t="n">
        <v>160000</v>
      </c>
      <c r="C224" s="61" t="inlineStr">
        <is>
          <t>01_Вводные!B26</t>
        </is>
      </c>
      <c r="D224" s="61" t="inlineStr">
        <is>
          <t>База V8</t>
        </is>
      </c>
    </row>
    <row r="225" ht="28" customHeight="1">
      <c r="A225" s="61" t="inlineStr">
        <is>
          <t>Дебиторка</t>
        </is>
      </c>
      <c r="B225" s="74" t="n">
        <v>15</v>
      </c>
      <c r="C225" s="61" t="inlineStr">
        <is>
          <t>01_Вводные!B18</t>
        </is>
      </c>
      <c r="D225" s="61" t="inlineStr">
        <is>
          <t>База V8</t>
        </is>
      </c>
    </row>
    <row r="226"/>
    <row r="227">
      <c r="A227" s="61" t="inlineStr">
        <is>
          <t>Валидность дебиторки</t>
        </is>
      </c>
      <c r="B227" s="75">
        <f>IF(AND(MIN(C203:E203)*B225&gt;=0,MAX(C203:E203)*B225&lt;=30,(1+G203)*B225&lt;=30,(1-G203)*B225&gt;=0),"OK","CHECK")</f>
        <v/>
      </c>
    </row>
    <row r="228">
      <c r="A228" s="61" t="inlineStr">
        <is>
          <t>Параметры стрессов</t>
        </is>
      </c>
      <c r="B228" s="75">
        <f>IF(AND(MIN(C198:E203)&gt;=0,MIN(G198:G203)&gt;=0,MAX(G198:G203)&lt;1),"OK","CHECK")</f>
        <v/>
      </c>
    </row>
    <row r="230" ht="38" customHeight="1">
      <c r="A230" s="6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76" t="inlineStr">
        <is>
          <t>12. Настройки ревизии и чувствительности</t>
        </is>
      </c>
    </row>
    <row r="233" ht="44" customHeight="1">
      <c r="A233" s="9" t="inlineStr">
        <is>
          <t>Драйвер чувствительности</t>
        </is>
      </c>
      <c r="B233" s="77" t="inlineStr">
        <is>
          <t>Дети новых школ</t>
        </is>
      </c>
      <c r="C233" s="15" t="inlineStr">
        <is>
          <t>выбор</t>
        </is>
      </c>
      <c r="D233" s="15" t="inlineStr">
        <is>
          <t>Ревизия / ТЗ</t>
        </is>
      </c>
      <c r="E233" s="16" t="inlineStr">
        <is>
          <t>Один драйвер за раз; все шесть сохранены в списке.</t>
        </is>
      </c>
    </row>
    <row r="234" ht="44" customHeight="1">
      <c r="A234" s="9" t="inlineStr">
        <is>
          <t>Чувствительность включена</t>
        </is>
      </c>
      <c r="B234" s="77" t="inlineStr">
        <is>
          <t>Да</t>
        </is>
      </c>
      <c r="C234" s="15" t="inlineStr">
        <is>
          <t>Да / Нет</t>
        </is>
      </c>
      <c r="D234" s="15" t="inlineStr">
        <is>
          <t>Ревизия / ТЗ</t>
        </is>
      </c>
      <c r="E234" s="16" t="inlineStr">
        <is>
          <t>При Нет два дополнительных расчёта не выполняются.</t>
        </is>
      </c>
    </row>
    <row r="235" ht="44" customHeight="1">
      <c r="A235" s="9" t="inlineStr">
        <is>
          <t>Лаг открытия → подключения ERP</t>
        </is>
      </c>
      <c r="B235" s="78" t="n">
        <v>0</v>
      </c>
      <c r="C235" s="15" t="inlineStr">
        <is>
          <t>мес.</t>
        </is>
      </c>
      <c r="D235" s="15" t="inlineStr">
        <is>
          <t>Ревизия / ТЗ</t>
        </is>
      </c>
      <c r="E235" s="16" t="inlineStr">
        <is>
          <t>Отдельное событие; до подтверждения подключение в месяц открытия.</t>
        </is>
      </c>
    </row>
    <row r="236" ht="44" customHeight="1">
      <c r="A236" s="9" t="inlineStr">
        <is>
          <t>Дети зрелой школы, база</t>
        </is>
      </c>
      <c r="B236" s="79">
        <f>SUMPRODUCT($C$263:$C$282,$G$263:$G$282)/$C$283</f>
        <v/>
      </c>
      <c r="C236" s="15" t="inlineStr">
        <is>
          <t>чел.</t>
        </is>
      </c>
      <c r="D236" s="15" t="inlineStr">
        <is>
          <t>Ревизия / ТЗ</t>
        </is>
      </c>
      <c r="E236" s="16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9" t="inlineStr">
        <is>
          <t>Минимальный остаток денег при возврате займа</t>
        </is>
      </c>
      <c r="B237" s="80" t="n">
        <v>0</v>
      </c>
      <c r="C237" s="15" t="inlineStr">
        <is>
          <t>₽</t>
        </is>
      </c>
      <c r="D237" s="15" t="inlineStr">
        <is>
          <t>Ревизия / ТЗ</t>
        </is>
      </c>
      <c r="E237" s="16" t="inlineStr">
        <is>
          <t>Рабочее значение 0; можно задать резерв ликвидности.</t>
        </is>
      </c>
    </row>
    <row r="238" ht="44" customHeight="1">
      <c r="A238" s="9" t="inlineStr">
        <is>
          <t>Ограничивать возврат займа запасом</t>
        </is>
      </c>
      <c r="B238" s="77" t="inlineStr">
        <is>
          <t>Да</t>
        </is>
      </c>
      <c r="C238" s="15" t="inlineStr">
        <is>
          <t>Да / Нет</t>
        </is>
      </c>
      <c r="D238" s="15" t="inlineStr">
        <is>
          <t>Ревизия / ТЗ</t>
        </is>
      </c>
      <c r="E238" s="16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9" t="inlineStr">
        <is>
          <t>Роялти по тарифным группам</t>
        </is>
      </c>
      <c r="B239" s="77" t="inlineStr">
        <is>
          <t>Да</t>
        </is>
      </c>
      <c r="C239" s="15" t="inlineStr">
        <is>
          <t>Да / Нет</t>
        </is>
      </c>
      <c r="D239" s="15" t="inlineStr">
        <is>
          <t>Ревизия / ТЗ</t>
        </is>
      </c>
      <c r="E239" s="16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9" t="inlineStr">
        <is>
          <t>Налог лагеря — как в файле-источнике</t>
        </is>
      </c>
      <c r="B240" s="81" t="n">
        <v>0.1</v>
      </c>
      <c r="C240" s="15" t="inlineStr">
        <is>
          <t>% оборота</t>
        </is>
      </c>
      <c r="D240" s="15" t="inlineStr">
        <is>
          <t>Ревизия / ТЗ</t>
        </is>
      </c>
      <c r="E240" s="16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9" t="inlineStr">
        <is>
          <t>Лагеря включены</t>
        </is>
      </c>
      <c r="B241" s="77" t="inlineStr">
        <is>
          <t>Нет</t>
        </is>
      </c>
      <c r="C241" s="15" t="inlineStr">
        <is>
          <t>Да / Нет</t>
        </is>
      </c>
      <c r="D241" s="15" t="inlineStr">
        <is>
          <t>Ревизия / ТЗ</t>
        </is>
      </c>
      <c r="E241" s="16" t="inlineStr">
        <is>
          <t>Отключение лагеря обнуляет продажи, начисления и оплаты.</t>
        </is>
      </c>
    </row>
    <row r="242" ht="44" customHeight="1">
      <c r="A242" s="9" t="inlineStr">
        <is>
          <t>Продажи с особым лагом маркетинга</t>
        </is>
      </c>
      <c r="B242" s="82" t="n">
        <v>46296</v>
      </c>
      <c r="C242" s="15" t="inlineStr">
        <is>
          <t>дата</t>
        </is>
      </c>
      <c r="D242" s="15" t="inlineStr">
        <is>
          <t>Ревизия / ТЗ</t>
        </is>
      </c>
      <c r="E242" s="16" t="inlineStr">
        <is>
          <t>Только октябрь 2026 оплачивается за 1 месяц.</t>
        </is>
      </c>
    </row>
    <row r="243" ht="44" customHeight="1">
      <c r="A243" s="9" t="inlineStr">
        <is>
          <t>Особый лаг маркетинга</t>
        </is>
      </c>
      <c r="B243" s="78" t="n">
        <v>1</v>
      </c>
      <c r="C243" s="15" t="inlineStr">
        <is>
          <t>мес.</t>
        </is>
      </c>
      <c r="D243" s="15" t="inlineStr">
        <is>
          <t>Ревизия / ТЗ</t>
        </is>
      </c>
      <c r="E243" s="16" t="inlineStr">
        <is>
          <t>Для октября 2026; далее обычный лаг B27.</t>
        </is>
      </c>
    </row>
    <row r="244" ht="44" customHeight="1">
      <c r="A244" s="9" t="inlineStr">
        <is>
          <t>Последняя дата старой ставки для продаж</t>
        </is>
      </c>
      <c r="B244" s="82" t="n">
        <v>46387</v>
      </c>
      <c r="C244" s="15" t="inlineStr">
        <is>
          <t>дата</t>
        </is>
      </c>
      <c r="D244" s="15" t="inlineStr">
        <is>
          <t>Ревизия / ТЗ</t>
        </is>
      </c>
      <c r="E244" s="16" t="inlineStr">
        <is>
          <t>6,5% по договорам до этой даты.</t>
        </is>
      </c>
    </row>
    <row r="245" ht="44" customHeight="1">
      <c r="A245" s="9" t="inlineStr">
        <is>
          <t>Дата общей ставки роялти</t>
        </is>
      </c>
      <c r="B245" s="82" t="n">
        <v>47484</v>
      </c>
      <c r="C245" s="15" t="inlineStr">
        <is>
          <t>дата</t>
        </is>
      </c>
      <c r="D245" s="15" t="inlineStr">
        <is>
          <t>Ревизия / ТЗ</t>
        </is>
      </c>
      <c r="E245" s="16" t="inlineStr">
        <is>
          <t>С этой даты применяется B57 ко всем.</t>
        </is>
      </c>
    </row>
    <row r="246" ht="44" customHeight="1">
      <c r="A246" s="9" t="inlineStr">
        <is>
          <t>Первая квартальная премия</t>
        </is>
      </c>
      <c r="B246" s="82" t="n">
        <v>46722</v>
      </c>
      <c r="C246" s="15" t="inlineStr">
        <is>
          <t>дата</t>
        </is>
      </c>
      <c r="D246" s="15" t="inlineStr">
        <is>
          <t>Ревизия / ТЗ</t>
        </is>
      </c>
      <c r="E246" s="16" t="inlineStr">
        <is>
          <t>За IV квартал 2027; далее март/июнь/сентябрь/декабрь.</t>
        </is>
      </c>
    </row>
    <row r="247" ht="44" customHeight="1">
      <c r="A247" s="9" t="inlineStr">
        <is>
          <t>Выход офис-менеджера</t>
        </is>
      </c>
      <c r="B247" s="82" t="n">
        <v>46388</v>
      </c>
      <c r="C247" s="15" t="inlineStr">
        <is>
          <t>дата</t>
        </is>
      </c>
      <c r="D247" s="15" t="inlineStr">
        <is>
          <t>Ревизия / ТЗ</t>
        </is>
      </c>
      <c r="E247" s="16" t="inlineStr">
        <is>
          <t>70 тыс. net по B133.</t>
        </is>
      </c>
    </row>
    <row r="248" ht="44" customHeight="1">
      <c r="A248" s="9" t="inlineStr">
        <is>
          <t>Выход SMM-специалиста</t>
        </is>
      </c>
      <c r="B248" s="82" t="n">
        <v>46631</v>
      </c>
      <c r="C248" s="15" t="inlineStr">
        <is>
          <t>дата</t>
        </is>
      </c>
      <c r="D248" s="15" t="inlineStr">
        <is>
          <t>Ревизия / ТЗ</t>
        </is>
      </c>
      <c r="E248" s="16" t="inlineStr">
        <is>
          <t>100 тыс. net по B134.</t>
        </is>
      </c>
    </row>
    <row r="249" ht="44" customHeight="1">
      <c r="A249" s="9" t="inlineStr">
        <is>
          <t>Повышение оклада генерального директора</t>
        </is>
      </c>
      <c r="B249" s="82" t="n">
        <v>46753</v>
      </c>
      <c r="C249" s="15" t="inlineStr">
        <is>
          <t>дата</t>
        </is>
      </c>
      <c r="D249" s="15" t="inlineStr">
        <is>
          <t>Ревизия / ТЗ</t>
        </is>
      </c>
      <c r="E249" s="16" t="inlineStr">
        <is>
          <t>Повышение участвует в премии при Да у ГД.</t>
        </is>
      </c>
    </row>
    <row r="250" ht="44" customHeight="1">
      <c r="A250" s="9" t="inlineStr">
        <is>
          <t>Повышение ежемесячной премии развития</t>
        </is>
      </c>
      <c r="B250" s="82" t="n">
        <v>46388</v>
      </c>
      <c r="C250" s="15" t="inlineStr">
        <is>
          <t>дата</t>
        </is>
      </c>
      <c r="D250" s="15" t="inlineStr">
        <is>
          <t>Ревизия / ТЗ</t>
        </is>
      </c>
      <c r="E250" s="16" t="inlineStr">
        <is>
          <t>С B123 на B124.</t>
        </is>
      </c>
    </row>
    <row r="251" ht="44" customHeight="1">
      <c r="A251" s="9" t="inlineStr">
        <is>
          <t>Первая общая индексация окладов</t>
        </is>
      </c>
      <c r="B251" s="82" t="n">
        <v>46631</v>
      </c>
      <c r="C251" s="15" t="inlineStr">
        <is>
          <t>дата</t>
        </is>
      </c>
      <c r="D251" s="15" t="inlineStr">
        <is>
          <t>Ревизия / ТЗ</t>
        </is>
      </c>
      <c r="E251" s="16" t="inlineStr">
        <is>
          <t>Далее каждый сентябрь.</t>
        </is>
      </c>
    </row>
    <row r="252" ht="44" customHeight="1">
      <c r="A252" s="9" t="inlineStr">
        <is>
          <t>Месяц проведения лагерей</t>
        </is>
      </c>
      <c r="B252" s="83" t="n">
        <v>6</v>
      </c>
      <c r="C252" s="15" t="inlineStr">
        <is>
          <t>1–12</t>
        </is>
      </c>
      <c r="D252" s="15" t="inlineStr">
        <is>
          <t>Ревизия / ТЗ</t>
        </is>
      </c>
      <c r="E252" s="16" t="inlineStr">
        <is>
          <t>Июнь по ТЗ.</t>
        </is>
      </c>
    </row>
    <row r="253" ht="44" customHeight="1">
      <c r="A253" s="9" t="inlineStr">
        <is>
          <t>Первый месяц продаж лагерей</t>
        </is>
      </c>
      <c r="B253" s="83" t="n">
        <v>2</v>
      </c>
      <c r="C253" s="15" t="inlineStr">
        <is>
          <t>1–12</t>
        </is>
      </c>
      <c r="D253" s="15" t="inlineStr">
        <is>
          <t>Ревизия / ТЗ</t>
        </is>
      </c>
      <c r="E253" s="16" t="inlineStr">
        <is>
          <t>Февраль; равномерно до B254.</t>
        </is>
      </c>
    </row>
    <row r="254" ht="44" customHeight="1">
      <c r="A254" s="9" t="inlineStr">
        <is>
          <t>Последний месяц продаж лагерей</t>
        </is>
      </c>
      <c r="B254" s="83" t="n">
        <v>5</v>
      </c>
      <c r="C254" s="15" t="inlineStr">
        <is>
          <t>1–12</t>
        </is>
      </c>
      <c r="D254" s="15" t="inlineStr">
        <is>
          <t>Ревизия / ТЗ</t>
        </is>
      </c>
      <c r="E254" s="16" t="inlineStr">
        <is>
          <t>Май включительно.</t>
        </is>
      </c>
    </row>
    <row r="255" ht="44" customHeight="1">
      <c r="A255" s="9" t="inlineStr">
        <is>
          <t>Замена директора маркетинга</t>
        </is>
      </c>
      <c r="B255" s="82" t="n">
        <v>46296</v>
      </c>
      <c r="C255" s="15" t="inlineStr">
        <is>
          <t>дата</t>
        </is>
      </c>
      <c r="D255" s="15" t="inlineStr">
        <is>
          <t>Ревизия / ТЗ</t>
        </is>
      </c>
      <c r="E255" s="16" t="inlineStr">
        <is>
          <t>Разовая комиссия B121.</t>
        </is>
      </c>
    </row>
    <row r="256" ht="44" customHeight="1">
      <c r="A256" s="9" t="inlineStr">
        <is>
          <t>Месяц резерва кадровой ротации</t>
        </is>
      </c>
      <c r="B256" s="83" t="n">
        <v>9</v>
      </c>
      <c r="C256" s="15" t="inlineStr">
        <is>
          <t>1–12</t>
        </is>
      </c>
      <c r="D256" s="15" t="inlineStr">
        <is>
          <t>Ревизия / ТЗ</t>
        </is>
      </c>
      <c r="E256" s="16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84">
        <f>IF(B233=A198,1,IF(B233=A199,2,IF(B233=A200,3,IF(B233=A201,4,IF(B233=A202,5,6)))))</f>
        <v/>
      </c>
      <c r="E257" s="16" t="n"/>
    </row>
    <row r="258" ht="44" customHeight="1">
      <c r="A258" t="inlineStr">
        <is>
          <t>Шаг выбранной чувствительности</t>
        </is>
      </c>
      <c r="B258" s="85">
        <f>INDEX(G198:G203,B257,1)</f>
        <v/>
      </c>
      <c r="E258" s="16" t="n"/>
    </row>
    <row r="260" ht="27" customHeight="1">
      <c r="A260" s="76" t="inlineStr">
        <is>
          <t>13. Тарифные группы — исходный микс, без усреднения роялти</t>
        </is>
      </c>
    </row>
    <row r="261"/>
    <row r="262" ht="32" customHeight="1">
      <c r="A262" s="86" t="inlineStr">
        <is>
          <t>Территория</t>
        </is>
      </c>
      <c r="B262" s="86" t="inlineStr">
        <is>
          <t>Формат</t>
        </is>
      </c>
      <c r="C262" s="86" t="inlineStr">
        <is>
          <t>Вес</t>
        </is>
      </c>
      <c r="D262" s="86" t="inlineStr">
        <is>
          <t>Паушальный, с НДС</t>
        </is>
      </c>
      <c r="E262" s="86" t="inlineStr">
        <is>
          <t>Дети 1–12</t>
        </is>
      </c>
      <c r="F262" s="86" t="inlineStr">
        <is>
          <t>Дети 13–24</t>
        </is>
      </c>
      <c r="G262" s="86" t="inlineStr">
        <is>
          <t>Дети зрелые</t>
        </is>
      </c>
      <c r="H262" s="86" t="inlineStr">
        <is>
          <t>Абонемент</t>
        </is>
      </c>
      <c r="I262" s="86" t="inlineStr">
        <is>
          <t>Минимум 1-й год</t>
        </is>
      </c>
      <c r="J262" s="86" t="inlineStr">
        <is>
          <t>Минимум 2-й+</t>
        </is>
      </c>
      <c r="K262" s="86" t="inlineStr">
        <is>
          <t>Источник</t>
        </is>
      </c>
    </row>
    <row r="263" ht="34" customHeight="1">
      <c r="A263" s="16" t="inlineStr">
        <is>
          <t>Москва</t>
        </is>
      </c>
      <c r="B263" s="16" t="inlineStr">
        <is>
          <t>Детский сад</t>
        </is>
      </c>
      <c r="C263" s="87" t="n">
        <v>0.005000000000000001</v>
      </c>
      <c r="D263" s="88" t="n">
        <v>890000</v>
      </c>
      <c r="E263" s="89" t="n">
        <v>25</v>
      </c>
      <c r="F263" s="89" t="n">
        <v>37.5</v>
      </c>
      <c r="G263" s="89" t="n">
        <v>37.5</v>
      </c>
      <c r="H263" s="88" t="n">
        <v>6000</v>
      </c>
      <c r="I263" s="88" t="n">
        <v>20000</v>
      </c>
      <c r="J263" s="88" t="n">
        <v>35000</v>
      </c>
      <c r="K263" s="16" t="inlineStr">
        <is>
          <t>V5.1: Типы_продукта!A14:M14; Микс_продаж!B5; B14</t>
        </is>
      </c>
    </row>
    <row r="264" ht="34" customHeight="1">
      <c r="A264" s="16" t="inlineStr">
        <is>
          <t>Москва</t>
        </is>
      </c>
      <c r="B264" s="16" t="inlineStr">
        <is>
          <t>Школа</t>
        </is>
      </c>
      <c r="C264" s="87" t="n">
        <v>0.02</v>
      </c>
      <c r="D264" s="88" t="n">
        <v>990000</v>
      </c>
      <c r="E264" s="89" t="n">
        <v>75</v>
      </c>
      <c r="F264" s="89" t="n">
        <v>112.5</v>
      </c>
      <c r="G264" s="89" t="n">
        <v>112.5</v>
      </c>
      <c r="H264" s="88" t="n">
        <v>10500</v>
      </c>
      <c r="I264" s="88" t="n">
        <v>20000</v>
      </c>
      <c r="J264" s="88" t="n">
        <v>90000</v>
      </c>
      <c r="K264" s="16" t="inlineStr">
        <is>
          <t>V5.1: Типы_продукта!A15:M15; Микс_продаж!B5; C14</t>
        </is>
      </c>
    </row>
    <row r="265" ht="34" customHeight="1">
      <c r="A265" s="16" t="inlineStr">
        <is>
          <t>Москва</t>
        </is>
      </c>
      <c r="B265" s="16" t="inlineStr">
        <is>
          <t>ФОК/Стадион</t>
        </is>
      </c>
      <c r="C265" s="87" t="n">
        <v>0.05066666666666667</v>
      </c>
      <c r="D265" s="88" t="n">
        <v>1290000</v>
      </c>
      <c r="E265" s="89" t="n">
        <v>87.5</v>
      </c>
      <c r="F265" s="89" t="n">
        <v>187.5</v>
      </c>
      <c r="G265" s="89" t="n">
        <v>187.5</v>
      </c>
      <c r="H265" s="88" t="n">
        <v>11500</v>
      </c>
      <c r="I265" s="88" t="n">
        <v>20000</v>
      </c>
      <c r="J265" s="88" t="n">
        <v>55000</v>
      </c>
      <c r="K265" s="16" t="inlineStr">
        <is>
          <t>V5.1: Типы_продукта!A16:M16; Микс_продаж!B5; D14</t>
        </is>
      </c>
    </row>
    <row r="266" ht="34" customHeight="1">
      <c r="A266" s="16" t="inlineStr">
        <is>
          <t>Москва</t>
        </is>
      </c>
      <c r="B266" s="16" t="inlineStr">
        <is>
          <t>Манеж</t>
        </is>
      </c>
      <c r="C266" s="87" t="n">
        <v>0.02433333333333333</v>
      </c>
      <c r="D266" s="88" t="n">
        <v>1490000</v>
      </c>
      <c r="E266" s="89" t="n">
        <v>87.5</v>
      </c>
      <c r="F266" s="89" t="n">
        <v>250</v>
      </c>
      <c r="G266" s="89" t="n">
        <v>250</v>
      </c>
      <c r="H266" s="88" t="n">
        <v>14000</v>
      </c>
      <c r="I266" s="88" t="n">
        <v>20000</v>
      </c>
      <c r="J266" s="88" t="n">
        <v>90000</v>
      </c>
      <c r="K266" s="16" t="inlineStr">
        <is>
          <t>V5.1: Типы_продукта!A17:M17; Микс_продаж!B5; E14</t>
        </is>
      </c>
    </row>
    <row r="267" ht="34" customHeight="1">
      <c r="A267" s="16" t="inlineStr">
        <is>
          <t>1 000 000+ чел. + МО</t>
        </is>
      </c>
      <c r="B267" s="16" t="inlineStr">
        <is>
          <t>Детский сад</t>
        </is>
      </c>
      <c r="C267" s="87" t="n">
        <v>0.015</v>
      </c>
      <c r="D267" s="88" t="n">
        <v>690000</v>
      </c>
      <c r="E267" s="89" t="n">
        <v>18.75</v>
      </c>
      <c r="F267" s="89" t="n">
        <v>31.25</v>
      </c>
      <c r="G267" s="89" t="n">
        <v>31.25</v>
      </c>
      <c r="H267" s="88" t="n">
        <v>4200</v>
      </c>
      <c r="I267" s="88" t="n">
        <v>12000</v>
      </c>
      <c r="J267" s="88" t="n">
        <v>20000</v>
      </c>
      <c r="K267" s="16" t="inlineStr">
        <is>
          <t>V5.1: Типы_продукта!A18:M18; Микс_продаж!B6; B15</t>
        </is>
      </c>
    </row>
    <row r="268" ht="34" customHeight="1">
      <c r="A268" s="16" t="inlineStr">
        <is>
          <t>1 000 000+ чел. + МО</t>
        </is>
      </c>
      <c r="B268" s="16" t="inlineStr">
        <is>
          <t>Школа</t>
        </is>
      </c>
      <c r="C268" s="87" t="n">
        <v>0.06</v>
      </c>
      <c r="D268" s="88" t="n">
        <v>890000</v>
      </c>
      <c r="E268" s="89" t="n">
        <v>75</v>
      </c>
      <c r="F268" s="89" t="n">
        <v>112.5</v>
      </c>
      <c r="G268" s="89" t="n">
        <v>112.5</v>
      </c>
      <c r="H268" s="88" t="n">
        <v>6750</v>
      </c>
      <c r="I268" s="88" t="n">
        <v>20000</v>
      </c>
      <c r="J268" s="88" t="n">
        <v>60000</v>
      </c>
      <c r="K268" s="16" t="inlineStr">
        <is>
          <t>V5.1: Типы_продукта!A19:M19; Микс_продаж!B6; C15</t>
        </is>
      </c>
    </row>
    <row r="269" ht="34" customHeight="1">
      <c r="A269" s="16" t="inlineStr">
        <is>
          <t>1 000 000+ чел. + МО</t>
        </is>
      </c>
      <c r="B269" s="16" t="inlineStr">
        <is>
          <t>ФОК/Стадион</t>
        </is>
      </c>
      <c r="C269" s="87" t="n">
        <v>0.152</v>
      </c>
      <c r="D269" s="88" t="n">
        <v>1190000</v>
      </c>
      <c r="E269" s="89" t="n">
        <v>87.5</v>
      </c>
      <c r="F269" s="89" t="n">
        <v>187.5</v>
      </c>
      <c r="G269" s="89" t="n">
        <v>187.5</v>
      </c>
      <c r="H269" s="88" t="n">
        <v>7250</v>
      </c>
      <c r="I269" s="88" t="n">
        <v>20000</v>
      </c>
      <c r="J269" s="88" t="n">
        <v>35000</v>
      </c>
      <c r="K269" s="16" t="inlineStr">
        <is>
          <t>V5.1: Типы_продукта!A20:M20; Микс_продаж!B6; D15</t>
        </is>
      </c>
    </row>
    <row r="270" ht="34" customHeight="1">
      <c r="A270" s="16" t="inlineStr">
        <is>
          <t>1 000 000+ чел. + МО</t>
        </is>
      </c>
      <c r="B270" s="16" t="inlineStr">
        <is>
          <t>Манеж</t>
        </is>
      </c>
      <c r="C270" s="87" t="n">
        <v>0.07299999999999998</v>
      </c>
      <c r="D270" s="88" t="n">
        <v>1290000</v>
      </c>
      <c r="E270" s="89" t="n">
        <v>87.5</v>
      </c>
      <c r="F270" s="89" t="n">
        <v>250</v>
      </c>
      <c r="G270" s="89" t="n">
        <v>250</v>
      </c>
      <c r="H270" s="88" t="n">
        <v>7250</v>
      </c>
      <c r="I270" s="88" t="n">
        <v>20000</v>
      </c>
      <c r="J270" s="88" t="n">
        <v>45000</v>
      </c>
      <c r="K270" s="16" t="inlineStr">
        <is>
          <t>V5.1: Типы_продукта!A21:M21; Микс_продаж!B6; E15</t>
        </is>
      </c>
    </row>
    <row r="271" ht="34" customHeight="1">
      <c r="A271" s="16" t="inlineStr">
        <is>
          <t>от 500к до 1 млн чел.</t>
        </is>
      </c>
      <c r="B271" s="16" t="inlineStr">
        <is>
          <t>Детский сад</t>
        </is>
      </c>
      <c r="C271" s="87" t="n">
        <v>0.0125</v>
      </c>
      <c r="D271" s="88" t="n">
        <v>590000</v>
      </c>
      <c r="E271" s="89" t="n">
        <v>12.5</v>
      </c>
      <c r="F271" s="89" t="n">
        <v>25</v>
      </c>
      <c r="G271" s="89" t="n">
        <v>25</v>
      </c>
      <c r="H271" s="88" t="n">
        <v>3800</v>
      </c>
      <c r="I271" s="88" t="n">
        <v>7000</v>
      </c>
      <c r="J271" s="88" t="n">
        <v>14000</v>
      </c>
      <c r="K271" s="16" t="inlineStr">
        <is>
          <t>V5.1: Типы_продукта!A22:M22; Микс_продаж!B7; B16</t>
        </is>
      </c>
    </row>
    <row r="272" ht="34" customHeight="1">
      <c r="A272" s="16" t="inlineStr">
        <is>
          <t>от 500к до 1 млн чел.</t>
        </is>
      </c>
      <c r="B272" s="16" t="inlineStr">
        <is>
          <t>Школа</t>
        </is>
      </c>
      <c r="C272" s="87" t="n">
        <v>0.05</v>
      </c>
      <c r="D272" s="88" t="n">
        <v>790000</v>
      </c>
      <c r="E272" s="89" t="n">
        <v>75</v>
      </c>
      <c r="F272" s="89" t="n">
        <v>112.5</v>
      </c>
      <c r="G272" s="89" t="n">
        <v>112.5</v>
      </c>
      <c r="H272" s="88" t="n">
        <v>4900</v>
      </c>
      <c r="I272" s="88" t="n">
        <v>20000</v>
      </c>
      <c r="J272" s="88" t="n">
        <v>45000</v>
      </c>
      <c r="K272" s="16" t="inlineStr">
        <is>
          <t>V5.1: Типы_продукта!A23:M23; Микс_продаж!B7; C16</t>
        </is>
      </c>
    </row>
    <row r="273" ht="34" customHeight="1">
      <c r="A273" s="16" t="inlineStr">
        <is>
          <t>от 500к до 1 млн чел.</t>
        </is>
      </c>
      <c r="B273" s="16" t="inlineStr">
        <is>
          <t>ФОК/Стадион</t>
        </is>
      </c>
      <c r="C273" s="87" t="n">
        <v>0.1266666666666667</v>
      </c>
      <c r="D273" s="88" t="n">
        <v>890000</v>
      </c>
      <c r="E273" s="89" t="n">
        <v>87.5</v>
      </c>
      <c r="F273" s="89" t="n">
        <v>187.5</v>
      </c>
      <c r="G273" s="89" t="n">
        <v>187.5</v>
      </c>
      <c r="H273" s="88" t="n">
        <v>5750</v>
      </c>
      <c r="I273" s="88" t="n">
        <v>20000</v>
      </c>
      <c r="J273" s="88" t="n">
        <v>30000</v>
      </c>
      <c r="K273" s="16" t="inlineStr">
        <is>
          <t>V5.1: Типы_продукта!A24:M24; Микс_продаж!B7; D16</t>
        </is>
      </c>
    </row>
    <row r="274" ht="34" customHeight="1">
      <c r="A274" s="16" t="inlineStr">
        <is>
          <t>от 500к до 1 млн чел.</t>
        </is>
      </c>
      <c r="B274" s="16" t="inlineStr">
        <is>
          <t>Манеж</t>
        </is>
      </c>
      <c r="C274" s="87" t="n">
        <v>0.06083333333333332</v>
      </c>
      <c r="D274" s="88" t="n">
        <v>990000</v>
      </c>
      <c r="E274" s="89" t="n">
        <v>87.5</v>
      </c>
      <c r="F274" s="89" t="n">
        <v>250</v>
      </c>
      <c r="G274" s="89" t="n">
        <v>250</v>
      </c>
      <c r="H274" s="88" t="n">
        <v>5750</v>
      </c>
      <c r="I274" s="88" t="n">
        <v>20000</v>
      </c>
      <c r="J274" s="88" t="n">
        <v>35000</v>
      </c>
      <c r="K274" s="16" t="inlineStr">
        <is>
          <t>V5.1: Типы_продукта!A25:M25; Микс_продаж!B7; E16</t>
        </is>
      </c>
    </row>
    <row r="275" ht="34" customHeight="1">
      <c r="A275" s="16" t="inlineStr">
        <is>
          <t>от 100к до 500к чел.</t>
        </is>
      </c>
      <c r="B275" s="16" t="inlineStr">
        <is>
          <t>Детский сад</t>
        </is>
      </c>
      <c r="C275" s="87" t="n">
        <v>0.0125</v>
      </c>
      <c r="D275" s="88" t="n">
        <v>490000</v>
      </c>
      <c r="E275" s="89" t="n">
        <v>12.5</v>
      </c>
      <c r="F275" s="89" t="n">
        <v>25</v>
      </c>
      <c r="G275" s="89" t="n">
        <v>25</v>
      </c>
      <c r="H275" s="88" t="n">
        <v>3300</v>
      </c>
      <c r="I275" s="88" t="n">
        <v>6000</v>
      </c>
      <c r="J275" s="88" t="n">
        <v>12000</v>
      </c>
      <c r="K275" s="16" t="inlineStr">
        <is>
          <t>V5.1: Типы_продукта!A26:M26; Микс_продаж!B8; B17</t>
        </is>
      </c>
    </row>
    <row r="276" ht="34" customHeight="1">
      <c r="A276" s="16" t="inlineStr">
        <is>
          <t>от 100к до 500к чел.</t>
        </is>
      </c>
      <c r="B276" s="16" t="inlineStr">
        <is>
          <t>Школа</t>
        </is>
      </c>
      <c r="C276" s="87" t="n">
        <v>0.05</v>
      </c>
      <c r="D276" s="88" t="n">
        <v>690000</v>
      </c>
      <c r="E276" s="89" t="n">
        <v>60</v>
      </c>
      <c r="F276" s="89" t="n">
        <v>90</v>
      </c>
      <c r="G276" s="89" t="n">
        <v>90</v>
      </c>
      <c r="H276" s="88" t="n">
        <v>4650</v>
      </c>
      <c r="I276" s="88" t="n">
        <v>20000</v>
      </c>
      <c r="J276" s="88" t="n">
        <v>30000</v>
      </c>
      <c r="K276" s="16" t="inlineStr">
        <is>
          <t>V5.1: Типы_продукта!A27:M27; Микс_продаж!B8; C17</t>
        </is>
      </c>
    </row>
    <row r="277" ht="34" customHeight="1">
      <c r="A277" s="16" t="inlineStr">
        <is>
          <t>от 100к до 500к чел.</t>
        </is>
      </c>
      <c r="B277" s="16" t="inlineStr">
        <is>
          <t>ФОК/Стадион</t>
        </is>
      </c>
      <c r="C277" s="87" t="n">
        <v>0.1266666666666667</v>
      </c>
      <c r="D277" s="88" t="n">
        <v>790000</v>
      </c>
      <c r="E277" s="89" t="n">
        <v>70</v>
      </c>
      <c r="F277" s="89" t="n">
        <v>150</v>
      </c>
      <c r="G277" s="89" t="n">
        <v>150</v>
      </c>
      <c r="H277" s="88" t="n">
        <v>5750</v>
      </c>
      <c r="I277" s="88" t="n">
        <v>20000</v>
      </c>
      <c r="J277" s="88" t="n">
        <v>25000</v>
      </c>
      <c r="K277" s="16" t="inlineStr">
        <is>
          <t>V5.1: Типы_продукта!A28:M28; Микс_продаж!B8; D17</t>
        </is>
      </c>
    </row>
    <row r="278" ht="34" customHeight="1">
      <c r="A278" s="16" t="inlineStr">
        <is>
          <t>от 100к до 500к чел.</t>
        </is>
      </c>
      <c r="B278" s="16" t="inlineStr">
        <is>
          <t>Манеж</t>
        </is>
      </c>
      <c r="C278" s="87" t="n">
        <v>0.06083333333333332</v>
      </c>
      <c r="D278" s="88" t="n">
        <v>890000</v>
      </c>
      <c r="E278" s="89" t="n">
        <v>70</v>
      </c>
      <c r="F278" s="89" t="n">
        <v>200</v>
      </c>
      <c r="G278" s="89" t="n">
        <v>200</v>
      </c>
      <c r="H278" s="88" t="n">
        <v>5750</v>
      </c>
      <c r="I278" s="88" t="n">
        <v>20000</v>
      </c>
      <c r="J278" s="88" t="n">
        <v>30000</v>
      </c>
      <c r="K278" s="16" t="inlineStr">
        <is>
          <t>V5.1: Типы_продукта!A29:M29; Микс_продаж!B8; E17</t>
        </is>
      </c>
    </row>
    <row r="279" ht="34" customHeight="1">
      <c r="A279" s="16" t="inlineStr">
        <is>
          <t>до 100к чел.</t>
        </is>
      </c>
      <c r="B279" s="16" t="inlineStr">
        <is>
          <t>Детский сад</t>
        </is>
      </c>
      <c r="C279" s="87" t="n">
        <v>0.005000000000000001</v>
      </c>
      <c r="D279" s="88" t="n">
        <v>390000</v>
      </c>
      <c r="E279" s="89" t="n">
        <v>12.5</v>
      </c>
      <c r="F279" s="89" t="n">
        <v>18.75</v>
      </c>
      <c r="G279" s="89" t="n">
        <v>18.75</v>
      </c>
      <c r="H279" s="88" t="n">
        <v>3000</v>
      </c>
      <c r="I279" s="88" t="n">
        <v>5000</v>
      </c>
      <c r="J279" s="88" t="n">
        <v>8000</v>
      </c>
      <c r="K279" s="16" t="inlineStr">
        <is>
          <t>V5.1: Типы_продукта!A30:M30; Микс_продаж!B9; B18</t>
        </is>
      </c>
    </row>
    <row r="280" ht="34" customHeight="1">
      <c r="A280" s="16" t="inlineStr">
        <is>
          <t>до 100к чел.</t>
        </is>
      </c>
      <c r="B280" s="16" t="inlineStr">
        <is>
          <t>Школа</t>
        </is>
      </c>
      <c r="C280" s="87" t="n">
        <v>0.02</v>
      </c>
      <c r="D280" s="88" t="n">
        <v>490000</v>
      </c>
      <c r="E280" s="89" t="n">
        <v>52.5</v>
      </c>
      <c r="F280" s="89" t="n">
        <v>78.75</v>
      </c>
      <c r="G280" s="89" t="n">
        <v>78.75</v>
      </c>
      <c r="H280" s="88" t="n">
        <v>4000</v>
      </c>
      <c r="I280" s="88" t="n">
        <v>20000</v>
      </c>
      <c r="J280" s="88" t="n">
        <v>25000</v>
      </c>
      <c r="K280" s="16" t="inlineStr">
        <is>
          <t>V5.1: Типы_продукта!A31:M31; Микс_продаж!B9; C18</t>
        </is>
      </c>
    </row>
    <row r="281" ht="34" customHeight="1">
      <c r="A281" s="16" t="inlineStr">
        <is>
          <t>до 100к чел.</t>
        </is>
      </c>
      <c r="B281" s="16" t="inlineStr">
        <is>
          <t>ФОК/Стадион</t>
        </is>
      </c>
      <c r="C281" s="87" t="n">
        <v>0.05066666666666667</v>
      </c>
      <c r="D281" s="88" t="n">
        <v>590000</v>
      </c>
      <c r="E281" s="89" t="n">
        <v>62.5</v>
      </c>
      <c r="F281" s="89" t="n">
        <v>125</v>
      </c>
      <c r="G281" s="89" t="n">
        <v>125</v>
      </c>
      <c r="H281" s="88" t="n">
        <v>4500</v>
      </c>
      <c r="I281" s="88" t="n">
        <v>20000</v>
      </c>
      <c r="J281" s="88" t="n">
        <v>25000</v>
      </c>
      <c r="K281" s="16" t="inlineStr">
        <is>
          <t>V5.1: Типы_продукта!A32:M32; Микс_продаж!B9; D18</t>
        </is>
      </c>
    </row>
    <row r="282" ht="34" customHeight="1">
      <c r="A282" s="16" t="inlineStr">
        <is>
          <t>до 100к чел.</t>
        </is>
      </c>
      <c r="B282" s="16" t="inlineStr">
        <is>
          <t>Манеж</t>
        </is>
      </c>
      <c r="C282" s="87" t="n">
        <v>0.02433333333333333</v>
      </c>
      <c r="D282" s="88" t="n">
        <v>690000</v>
      </c>
      <c r="E282" s="89" t="n">
        <v>62.5</v>
      </c>
      <c r="F282" s="89" t="n">
        <v>175</v>
      </c>
      <c r="G282" s="89" t="n">
        <v>175</v>
      </c>
      <c r="H282" s="88" t="n">
        <v>4500</v>
      </c>
      <c r="I282" s="88" t="n">
        <v>20000</v>
      </c>
      <c r="J282" s="88" t="n">
        <v>30000</v>
      </c>
      <c r="K282" s="16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85">
        <f>SUM(C263:C282)</f>
        <v/>
      </c>
    </row>
    <row r="285" ht="28" customHeight="1">
      <c r="A285" s="60" t="inlineStr">
        <is>
          <t>14. CAPEX — вложения в бизнес</t>
        </is>
      </c>
    </row>
    <row r="286" ht="66" customHeight="1">
      <c r="A286" s="9" t="inlineStr">
        <is>
          <t>Поддерживающий CAPEX</t>
        </is>
      </c>
      <c r="B286" s="90" t="n">
        <v>0.01</v>
      </c>
      <c r="C286" s="15" t="inlineStr">
        <is>
          <t>%</t>
        </is>
      </c>
      <c r="D286" s="15" t="inlineStr">
        <is>
          <t>v4: Допущения!B42</t>
        </is>
      </c>
      <c r="E286" s="16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9" t="inlineStr">
        <is>
          <t>Разовый CAPEX</t>
        </is>
      </c>
      <c r="B287" s="91" t="n">
        <v>1000</v>
      </c>
      <c r="C287" s="15" t="inlineStr">
        <is>
          <t>₽</t>
        </is>
      </c>
      <c r="D287" s="15" t="inlineStr">
        <is>
          <t>v4: Допущения!B41</t>
        </is>
      </c>
      <c r="E287" s="16" t="inlineStr">
        <is>
          <t>Как в приложенной v4: 1 000 ₽ разово в первом месяце прогноза.</t>
        </is>
      </c>
    </row>
    <row r="288" ht="66" customHeight="1">
      <c r="A288" s="9" t="inlineStr">
        <is>
          <t>База поддерживающего CAPEX</t>
        </is>
      </c>
      <c r="B288" s="92" t="inlineStr">
        <is>
          <t>С НДС</t>
        </is>
      </c>
      <c r="C288" s="15" t="n"/>
      <c r="D288" s="15" t="inlineStr">
        <is>
          <t>v4: Допущения!B41:B42</t>
        </is>
      </c>
      <c r="E288" s="16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9" t="inlineStr">
        <is>
          <t>Дата разового CAPEX</t>
        </is>
      </c>
      <c r="B289" s="93">
        <f>$B$7</f>
        <v/>
      </c>
      <c r="C289" s="15" t="n"/>
      <c r="D289" s="15" t="inlineStr">
        <is>
          <t>v4: Допущения!B41:B42</t>
        </is>
      </c>
      <c r="E289" s="16" t="inlineStr">
        <is>
          <t>Первый месяц прогноза, как в v4. Дату можно изменить.</t>
        </is>
      </c>
    </row>
    <row r="290" ht="66" customHeight="1">
      <c r="A290" s="9" t="inlineStr">
        <is>
          <t>CAPEX включён</t>
        </is>
      </c>
      <c r="B290" s="92" t="inlineStr">
        <is>
          <t>Да</t>
        </is>
      </c>
      <c r="C290" s="15" t="n"/>
      <c r="D290" s="15" t="inlineStr">
        <is>
          <t>v4: Допущения!B41:B42</t>
        </is>
      </c>
      <c r="E290" s="16" t="inlineStr">
        <is>
          <t>Да — CAPEX вычитается из денег до погашения займа. Нет — расчёт без CAPEX.</t>
        </is>
      </c>
    </row>
    <row r="292" ht="26" customHeight="1">
      <c r="A292" s="60" t="inlineStr">
        <is>
          <t>Постепенный набор, индексация и повтор формы</t>
        </is>
      </c>
    </row>
    <row r="293" ht="62" customHeight="1">
      <c r="A293" s="16" t="inlineStr">
        <is>
          <t>Первая индексация цен / OPEX</t>
        </is>
      </c>
      <c r="B293" s="94" t="n">
        <v>46539</v>
      </c>
      <c r="C293" s="16" t="inlineStr">
        <is>
          <t>дата</t>
        </is>
      </c>
      <c r="D293" s="16" t="inlineStr">
        <is>
          <t>Подтверждено 09.09.2026</t>
        </is>
      </c>
      <c r="E293" s="16" t="inlineStr">
        <is>
          <t>Ежегодно в июне, как в v4; зарплаты отдельно в сентябре.</t>
        </is>
      </c>
    </row>
    <row r="294" ht="90" customHeight="1">
      <c r="A294" s="16" t="inlineStr">
        <is>
          <t>Индексация вне ФОТ включена</t>
        </is>
      </c>
      <c r="B294" s="95" t="inlineStr">
        <is>
          <t>Да</t>
        </is>
      </c>
      <c r="C294" s="16" t="inlineStr">
        <is>
          <t>Да / Нет</t>
        </is>
      </c>
      <c r="D294" s="16" t="inlineStr">
        <is>
          <t>Подтверждено 09.09.2026</t>
        </is>
      </c>
      <c r="E294" s="16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16" t="inlineStr">
        <is>
          <t>Постепенный набор как в v4</t>
        </is>
      </c>
      <c r="B295" s="95" t="inlineStr">
        <is>
          <t>Да</t>
        </is>
      </c>
      <c r="C295" s="16" t="inlineStr">
        <is>
          <t>Да / Нет</t>
        </is>
      </c>
      <c r="D295" s="16" t="inlineStr">
        <is>
          <t>Подтверждено 09.09.2026</t>
        </is>
      </c>
      <c r="E295" s="16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16" t="inlineStr">
        <is>
          <t>Первый повторный заказ</t>
        </is>
      </c>
      <c r="B296" s="95" t="inlineStr">
        <is>
          <t>Новый сезон</t>
        </is>
      </c>
      <c r="C296" s="16" t="inlineStr">
        <is>
          <t>правило</t>
        </is>
      </c>
      <c r="D296" s="16" t="inlineStr">
        <is>
          <t>Подтверждено 09.09.2026</t>
        </is>
      </c>
      <c r="E296" s="16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16" t="inlineStr">
        <is>
          <t>Каникулы по роялти</t>
        </is>
      </c>
      <c r="B297" s="96" t="n">
        <v>0</v>
      </c>
      <c r="C297" s="16" t="inlineStr">
        <is>
          <t>мес.</t>
        </is>
      </c>
      <c r="D297" s="16" t="inlineStr">
        <is>
          <t>Параметр; по умолчанию 0</t>
        </is>
      </c>
      <c r="E297" s="16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16" t="inlineStr">
        <is>
          <t>Конверсия продажа - открытие</t>
        </is>
      </c>
      <c r="B298" s="97" t="n">
        <v>1</v>
      </c>
      <c r="C298" s="16" t="inlineStr">
        <is>
          <t>%</t>
        </is>
      </c>
      <c r="D298" s="16" t="inlineStr">
        <is>
          <t>Уточнить</t>
        </is>
      </c>
      <c r="E298" s="16" t="inlineStr">
        <is>
          <t>В базе первоначальной v4 — 95%; здесь пока 100%. Закрытия отдельно в B13.</t>
        </is>
      </c>
    </row>
    <row r="300" ht="26" customHeight="1">
      <c r="A300" s="60" t="inlineStr">
        <is>
          <t>Инфляция по годам</t>
        </is>
      </c>
    </row>
    <row r="301">
      <c r="A301" t="n">
        <v>2026</v>
      </c>
      <c r="B301" s="98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98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98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98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98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98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98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S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>
      <c r="B1" s="99" t="inlineStr">
        <is>
          <t>Сеть: продажи, школы и дети</t>
        </is>
      </c>
    </row>
    <row r="2">
      <c r="B2" s="100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</row>
    <row r="5">
      <c r="B5" s="102" t="inlineStr">
        <is>
          <t>Календарь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</row>
    <row r="6">
      <c r="B6" t="inlineStr">
        <is>
          <t>Месяц</t>
        </is>
      </c>
      <c r="C6" t="inlineStr">
        <is>
          <t>дата</t>
        </is>
      </c>
      <c r="D6" s="104" t="inlineStr">
        <is>
          <t>Отсчёт от даты старта на листе вводных</t>
        </is>
      </c>
      <c r="E6" s="105">
        <f>W6</f>
        <v/>
      </c>
      <c r="F6" s="105">
        <f>AI6</f>
        <v/>
      </c>
      <c r="G6" s="105">
        <f>AU6</f>
        <v/>
      </c>
      <c r="H6" s="105">
        <f>BG6</f>
        <v/>
      </c>
      <c r="I6" s="105">
        <f>BS6</f>
        <v/>
      </c>
      <c r="J6" s="106">
        <f>BS6</f>
        <v/>
      </c>
      <c r="L6" s="107">
        <f>DATE(YEAR(СтартМодели),MONTH(СтартМодели)+1-1,1)</f>
        <v/>
      </c>
      <c r="M6" s="107">
        <f>DATE(YEAR(СтартМодели),MONTH(СтартМодели)+2-1,1)</f>
        <v/>
      </c>
      <c r="N6" s="107">
        <f>DATE(YEAR(СтартМодели),MONTH(СтартМодели)+3-1,1)</f>
        <v/>
      </c>
      <c r="O6" s="107">
        <f>DATE(YEAR(СтартМодели),MONTH(СтартМодели)+4-1,1)</f>
        <v/>
      </c>
      <c r="P6" s="107">
        <f>DATE(YEAR(СтартМодели),MONTH(СтартМодели)+5-1,1)</f>
        <v/>
      </c>
      <c r="Q6" s="107">
        <f>DATE(YEAR(СтартМодели),MONTH(СтартМодели)+6-1,1)</f>
        <v/>
      </c>
      <c r="R6" s="107">
        <f>DATE(YEAR(СтартМодели),MONTH(СтартМодели)+7-1,1)</f>
        <v/>
      </c>
      <c r="S6" s="107">
        <f>DATE(YEAR(СтартМодели),MONTH(СтартМодели)+8-1,1)</f>
        <v/>
      </c>
      <c r="T6" s="107">
        <f>DATE(YEAR(СтартМодели),MONTH(СтартМодели)+9-1,1)</f>
        <v/>
      </c>
      <c r="U6" s="107">
        <f>DATE(YEAR(СтартМодели),MONTH(СтартМодели)+10-1,1)</f>
        <v/>
      </c>
      <c r="V6" s="107">
        <f>DATE(YEAR(СтартМодели),MONTH(СтартМодели)+11-1,1)</f>
        <v/>
      </c>
      <c r="W6" s="107">
        <f>DATE(YEAR(СтартМодели),MONTH(СтартМодели)+12-1,1)</f>
        <v/>
      </c>
      <c r="X6" s="107">
        <f>DATE(YEAR(СтартМодели),MONTH(СтартМодели)+13-1,1)</f>
        <v/>
      </c>
      <c r="Y6" s="107">
        <f>DATE(YEAR(СтартМодели),MONTH(СтартМодели)+14-1,1)</f>
        <v/>
      </c>
      <c r="Z6" s="107">
        <f>DATE(YEAR(СтартМодели),MONTH(СтартМодели)+15-1,1)</f>
        <v/>
      </c>
      <c r="AA6" s="107">
        <f>DATE(YEAR(СтартМодели),MONTH(СтартМодели)+16-1,1)</f>
        <v/>
      </c>
      <c r="AB6" s="107">
        <f>DATE(YEAR(СтартМодели),MONTH(СтартМодели)+17-1,1)</f>
        <v/>
      </c>
      <c r="AC6" s="107">
        <f>DATE(YEAR(СтартМодели),MONTH(СтартМодели)+18-1,1)</f>
        <v/>
      </c>
      <c r="AD6" s="107">
        <f>DATE(YEAR(СтартМодели),MONTH(СтартМодели)+19-1,1)</f>
        <v/>
      </c>
      <c r="AE6" s="107">
        <f>DATE(YEAR(СтартМодели),MONTH(СтартМодели)+20-1,1)</f>
        <v/>
      </c>
      <c r="AF6" s="107">
        <f>DATE(YEAR(СтартМодели),MONTH(СтартМодели)+21-1,1)</f>
        <v/>
      </c>
      <c r="AG6" s="107">
        <f>DATE(YEAR(СтартМодели),MONTH(СтартМодели)+22-1,1)</f>
        <v/>
      </c>
      <c r="AH6" s="107">
        <f>DATE(YEAR(СтартМодели),MONTH(СтартМодели)+23-1,1)</f>
        <v/>
      </c>
      <c r="AI6" s="107">
        <f>DATE(YEAR(СтартМодели),MONTH(СтартМодели)+24-1,1)</f>
        <v/>
      </c>
      <c r="AJ6" s="107">
        <f>DATE(YEAR(СтартМодели),MONTH(СтартМодели)+25-1,1)</f>
        <v/>
      </c>
      <c r="AK6" s="107">
        <f>DATE(YEAR(СтартМодели),MONTH(СтартМодели)+26-1,1)</f>
        <v/>
      </c>
      <c r="AL6" s="107">
        <f>DATE(YEAR(СтартМодели),MONTH(СтартМодели)+27-1,1)</f>
        <v/>
      </c>
      <c r="AM6" s="107">
        <f>DATE(YEAR(СтартМодели),MONTH(СтартМодели)+28-1,1)</f>
        <v/>
      </c>
      <c r="AN6" s="107">
        <f>DATE(YEAR(СтартМодели),MONTH(СтартМодели)+29-1,1)</f>
        <v/>
      </c>
      <c r="AO6" s="107">
        <f>DATE(YEAR(СтартМодели),MONTH(СтартМодели)+30-1,1)</f>
        <v/>
      </c>
      <c r="AP6" s="107">
        <f>DATE(YEAR(СтартМодели),MONTH(СтартМодели)+31-1,1)</f>
        <v/>
      </c>
      <c r="AQ6" s="107">
        <f>DATE(YEAR(СтартМодели),MONTH(СтартМодели)+32-1,1)</f>
        <v/>
      </c>
      <c r="AR6" s="107">
        <f>DATE(YEAR(СтартМодели),MONTH(СтартМодели)+33-1,1)</f>
        <v/>
      </c>
      <c r="AS6" s="107">
        <f>DATE(YEAR(СтартМодели),MONTH(СтартМодели)+34-1,1)</f>
        <v/>
      </c>
      <c r="AT6" s="107">
        <f>DATE(YEAR(СтартМодели),MONTH(СтартМодели)+35-1,1)</f>
        <v/>
      </c>
      <c r="AU6" s="107">
        <f>DATE(YEAR(СтартМодели),MONTH(СтартМодели)+36-1,1)</f>
        <v/>
      </c>
      <c r="AV6" s="107">
        <f>DATE(YEAR(СтартМодели),MONTH(СтартМодели)+37-1,1)</f>
        <v/>
      </c>
      <c r="AW6" s="107">
        <f>DATE(YEAR(СтартМодели),MONTH(СтартМодели)+38-1,1)</f>
        <v/>
      </c>
      <c r="AX6" s="107">
        <f>DATE(YEAR(СтартМодели),MONTH(СтартМодели)+39-1,1)</f>
        <v/>
      </c>
      <c r="AY6" s="107">
        <f>DATE(YEAR(СтартМодели),MONTH(СтартМодели)+40-1,1)</f>
        <v/>
      </c>
      <c r="AZ6" s="107">
        <f>DATE(YEAR(СтартМодели),MONTH(СтартМодели)+41-1,1)</f>
        <v/>
      </c>
      <c r="BA6" s="107">
        <f>DATE(YEAR(СтартМодели),MONTH(СтартМодели)+42-1,1)</f>
        <v/>
      </c>
      <c r="BB6" s="107">
        <f>DATE(YEAR(СтартМодели),MONTH(СтартМодели)+43-1,1)</f>
        <v/>
      </c>
      <c r="BC6" s="107">
        <f>DATE(YEAR(СтартМодели),MONTH(СтартМодели)+44-1,1)</f>
        <v/>
      </c>
      <c r="BD6" s="107">
        <f>DATE(YEAR(СтартМодели),MONTH(СтартМодели)+45-1,1)</f>
        <v/>
      </c>
      <c r="BE6" s="107">
        <f>DATE(YEAR(СтартМодели),MONTH(СтартМодели)+46-1,1)</f>
        <v/>
      </c>
      <c r="BF6" s="107">
        <f>DATE(YEAR(СтартМодели),MONTH(СтартМодели)+47-1,1)</f>
        <v/>
      </c>
      <c r="BG6" s="107">
        <f>DATE(YEAR(СтартМодели),MONTH(СтартМодели)+48-1,1)</f>
        <v/>
      </c>
      <c r="BH6" s="107">
        <f>DATE(YEAR(СтартМодели),MONTH(СтартМодели)+49-1,1)</f>
        <v/>
      </c>
      <c r="BI6" s="107">
        <f>DATE(YEAR(СтартМодели),MONTH(СтартМодели)+50-1,1)</f>
        <v/>
      </c>
      <c r="BJ6" s="107">
        <f>DATE(YEAR(СтартМодели),MONTH(СтартМодели)+51-1,1)</f>
        <v/>
      </c>
      <c r="BK6" s="107">
        <f>DATE(YEAR(СтартМодели),MONTH(СтартМодели)+52-1,1)</f>
        <v/>
      </c>
      <c r="BL6" s="107">
        <f>DATE(YEAR(СтартМодели),MONTH(СтартМодели)+53-1,1)</f>
        <v/>
      </c>
      <c r="BM6" s="107">
        <f>DATE(YEAR(СтартМодели),MONTH(СтартМодели)+54-1,1)</f>
        <v/>
      </c>
      <c r="BN6" s="107">
        <f>DATE(YEAR(СтартМодели),MONTH(СтартМодели)+55-1,1)</f>
        <v/>
      </c>
      <c r="BO6" s="107">
        <f>DATE(YEAR(СтартМодели),MONTH(СтартМодели)+56-1,1)</f>
        <v/>
      </c>
      <c r="BP6" s="107">
        <f>DATE(YEAR(СтартМодели),MONTH(СтартМодели)+57-1,1)</f>
        <v/>
      </c>
      <c r="BQ6" s="107">
        <f>DATE(YEAR(СтартМодели),MONTH(СтартМодели)+58-1,1)</f>
        <v/>
      </c>
      <c r="BR6" s="107">
        <f>DATE(YEAR(СтартМодели),MONTH(СтартМодели)+59-1,1)</f>
        <v/>
      </c>
      <c r="BS6" s="107">
        <f>DATE(YEAR(СтартМодели),MONTH(СтартМодели)+60-1,1)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04" t="inlineStr">
        <is>
          <t>Сезон длится 12 месяцев от старта</t>
        </is>
      </c>
      <c r="E7" s="108">
        <f>W7</f>
        <v/>
      </c>
      <c r="F7" s="108">
        <f>AI7</f>
        <v/>
      </c>
      <c r="G7" s="108">
        <f>AU7</f>
        <v/>
      </c>
      <c r="H7" s="108">
        <f>BG7</f>
        <v/>
      </c>
      <c r="I7" s="108">
        <f>BS7</f>
        <v/>
      </c>
      <c r="J7" s="109">
        <f>BS7</f>
        <v/>
      </c>
      <c r="L7" s="110">
        <f>INT((1-1)/12)+1</f>
        <v/>
      </c>
      <c r="M7" s="110">
        <f>INT((2-1)/12)+1</f>
        <v/>
      </c>
      <c r="N7" s="110">
        <f>INT((3-1)/12)+1</f>
        <v/>
      </c>
      <c r="O7" s="110">
        <f>INT((4-1)/12)+1</f>
        <v/>
      </c>
      <c r="P7" s="110">
        <f>INT((5-1)/12)+1</f>
        <v/>
      </c>
      <c r="Q7" s="110">
        <f>INT((6-1)/12)+1</f>
        <v/>
      </c>
      <c r="R7" s="110">
        <f>INT((7-1)/12)+1</f>
        <v/>
      </c>
      <c r="S7" s="110">
        <f>INT((8-1)/12)+1</f>
        <v/>
      </c>
      <c r="T7" s="110">
        <f>INT((9-1)/12)+1</f>
        <v/>
      </c>
      <c r="U7" s="110">
        <f>INT((10-1)/12)+1</f>
        <v/>
      </c>
      <c r="V7" s="110">
        <f>INT((11-1)/12)+1</f>
        <v/>
      </c>
      <c r="W7" s="110">
        <f>INT((12-1)/12)+1</f>
        <v/>
      </c>
      <c r="X7" s="110">
        <f>INT((13-1)/12)+1</f>
        <v/>
      </c>
      <c r="Y7" s="110">
        <f>INT((14-1)/12)+1</f>
        <v/>
      </c>
      <c r="Z7" s="110">
        <f>INT((15-1)/12)+1</f>
        <v/>
      </c>
      <c r="AA7" s="110">
        <f>INT((16-1)/12)+1</f>
        <v/>
      </c>
      <c r="AB7" s="110">
        <f>INT((17-1)/12)+1</f>
        <v/>
      </c>
      <c r="AC7" s="110">
        <f>INT((18-1)/12)+1</f>
        <v/>
      </c>
      <c r="AD7" s="110">
        <f>INT((19-1)/12)+1</f>
        <v/>
      </c>
      <c r="AE7" s="110">
        <f>INT((20-1)/12)+1</f>
        <v/>
      </c>
      <c r="AF7" s="110">
        <f>INT((21-1)/12)+1</f>
        <v/>
      </c>
      <c r="AG7" s="110">
        <f>INT((22-1)/12)+1</f>
        <v/>
      </c>
      <c r="AH7" s="110">
        <f>INT((23-1)/12)+1</f>
        <v/>
      </c>
      <c r="AI7" s="110">
        <f>INT((24-1)/12)+1</f>
        <v/>
      </c>
      <c r="AJ7" s="110">
        <f>INT((25-1)/12)+1</f>
        <v/>
      </c>
      <c r="AK7" s="110">
        <f>INT((26-1)/12)+1</f>
        <v/>
      </c>
      <c r="AL7" s="110">
        <f>INT((27-1)/12)+1</f>
        <v/>
      </c>
      <c r="AM7" s="110">
        <f>INT((28-1)/12)+1</f>
        <v/>
      </c>
      <c r="AN7" s="110">
        <f>INT((29-1)/12)+1</f>
        <v/>
      </c>
      <c r="AO7" s="110">
        <f>INT((30-1)/12)+1</f>
        <v/>
      </c>
      <c r="AP7" s="110">
        <f>INT((31-1)/12)+1</f>
        <v/>
      </c>
      <c r="AQ7" s="110">
        <f>INT((32-1)/12)+1</f>
        <v/>
      </c>
      <c r="AR7" s="110">
        <f>INT((33-1)/12)+1</f>
        <v/>
      </c>
      <c r="AS7" s="110">
        <f>INT((34-1)/12)+1</f>
        <v/>
      </c>
      <c r="AT7" s="110">
        <f>INT((35-1)/12)+1</f>
        <v/>
      </c>
      <c r="AU7" s="110">
        <f>INT((36-1)/12)+1</f>
        <v/>
      </c>
      <c r="AV7" s="110">
        <f>INT((37-1)/12)+1</f>
        <v/>
      </c>
      <c r="AW7" s="110">
        <f>INT((38-1)/12)+1</f>
        <v/>
      </c>
      <c r="AX7" s="110">
        <f>INT((39-1)/12)+1</f>
        <v/>
      </c>
      <c r="AY7" s="110">
        <f>INT((40-1)/12)+1</f>
        <v/>
      </c>
      <c r="AZ7" s="110">
        <f>INT((41-1)/12)+1</f>
        <v/>
      </c>
      <c r="BA7" s="110">
        <f>INT((42-1)/12)+1</f>
        <v/>
      </c>
      <c r="BB7" s="110">
        <f>INT((43-1)/12)+1</f>
        <v/>
      </c>
      <c r="BC7" s="110">
        <f>INT((44-1)/12)+1</f>
        <v/>
      </c>
      <c r="BD7" s="110">
        <f>INT((45-1)/12)+1</f>
        <v/>
      </c>
      <c r="BE7" s="110">
        <f>INT((46-1)/12)+1</f>
        <v/>
      </c>
      <c r="BF7" s="110">
        <f>INT((47-1)/12)+1</f>
        <v/>
      </c>
      <c r="BG7" s="110">
        <f>INT((48-1)/12)+1</f>
        <v/>
      </c>
      <c r="BH7" s="110">
        <f>INT((49-1)/12)+1</f>
        <v/>
      </c>
      <c r="BI7" s="110">
        <f>INT((50-1)/12)+1</f>
        <v/>
      </c>
      <c r="BJ7" s="110">
        <f>INT((51-1)/12)+1</f>
        <v/>
      </c>
      <c r="BK7" s="110">
        <f>INT((52-1)/12)+1</f>
        <v/>
      </c>
      <c r="BL7" s="110">
        <f>INT((53-1)/12)+1</f>
        <v/>
      </c>
      <c r="BM7" s="110">
        <f>INT((54-1)/12)+1</f>
        <v/>
      </c>
      <c r="BN7" s="110">
        <f>INT((55-1)/12)+1</f>
        <v/>
      </c>
      <c r="BO7" s="110">
        <f>INT((56-1)/12)+1</f>
        <v/>
      </c>
      <c r="BP7" s="110">
        <f>INT((57-1)/12)+1</f>
        <v/>
      </c>
      <c r="BQ7" s="110">
        <f>INT((58-1)/12)+1</f>
        <v/>
      </c>
      <c r="BR7" s="110">
        <f>INT((59-1)/12)+1</f>
        <v/>
      </c>
      <c r="BS7" s="110">
        <f>INT((60-1)/12)+1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04" t="inlineStr">
        <is>
          <t>1 = первый месяц сезона (сентябрь)</t>
        </is>
      </c>
      <c r="E8" s="108">
        <f>W8</f>
        <v/>
      </c>
      <c r="F8" s="108">
        <f>AI8</f>
        <v/>
      </c>
      <c r="G8" s="108">
        <f>AU8</f>
        <v/>
      </c>
      <c r="H8" s="108">
        <f>BG8</f>
        <v/>
      </c>
      <c r="I8" s="108">
        <f>BS8</f>
        <v/>
      </c>
      <c r="J8" s="109">
        <f>BS8</f>
        <v/>
      </c>
      <c r="L8" s="110">
        <f>MOD(1-1,12)+1</f>
        <v/>
      </c>
      <c r="M8" s="110">
        <f>MOD(2-1,12)+1</f>
        <v/>
      </c>
      <c r="N8" s="110">
        <f>MOD(3-1,12)+1</f>
        <v/>
      </c>
      <c r="O8" s="110">
        <f>MOD(4-1,12)+1</f>
        <v/>
      </c>
      <c r="P8" s="110">
        <f>MOD(5-1,12)+1</f>
        <v/>
      </c>
      <c r="Q8" s="110">
        <f>MOD(6-1,12)+1</f>
        <v/>
      </c>
      <c r="R8" s="110">
        <f>MOD(7-1,12)+1</f>
        <v/>
      </c>
      <c r="S8" s="110">
        <f>MOD(8-1,12)+1</f>
        <v/>
      </c>
      <c r="T8" s="110">
        <f>MOD(9-1,12)+1</f>
        <v/>
      </c>
      <c r="U8" s="110">
        <f>MOD(10-1,12)+1</f>
        <v/>
      </c>
      <c r="V8" s="110">
        <f>MOD(11-1,12)+1</f>
        <v/>
      </c>
      <c r="W8" s="110">
        <f>MOD(12-1,12)+1</f>
        <v/>
      </c>
      <c r="X8" s="110">
        <f>MOD(13-1,12)+1</f>
        <v/>
      </c>
      <c r="Y8" s="110">
        <f>MOD(14-1,12)+1</f>
        <v/>
      </c>
      <c r="Z8" s="110">
        <f>MOD(15-1,12)+1</f>
        <v/>
      </c>
      <c r="AA8" s="110">
        <f>MOD(16-1,12)+1</f>
        <v/>
      </c>
      <c r="AB8" s="110">
        <f>MOD(17-1,12)+1</f>
        <v/>
      </c>
      <c r="AC8" s="110">
        <f>MOD(18-1,12)+1</f>
        <v/>
      </c>
      <c r="AD8" s="110">
        <f>MOD(19-1,12)+1</f>
        <v/>
      </c>
      <c r="AE8" s="110">
        <f>MOD(20-1,12)+1</f>
        <v/>
      </c>
      <c r="AF8" s="110">
        <f>MOD(21-1,12)+1</f>
        <v/>
      </c>
      <c r="AG8" s="110">
        <f>MOD(22-1,12)+1</f>
        <v/>
      </c>
      <c r="AH8" s="110">
        <f>MOD(23-1,12)+1</f>
        <v/>
      </c>
      <c r="AI8" s="110">
        <f>MOD(24-1,12)+1</f>
        <v/>
      </c>
      <c r="AJ8" s="110">
        <f>MOD(25-1,12)+1</f>
        <v/>
      </c>
      <c r="AK8" s="110">
        <f>MOD(26-1,12)+1</f>
        <v/>
      </c>
      <c r="AL8" s="110">
        <f>MOD(27-1,12)+1</f>
        <v/>
      </c>
      <c r="AM8" s="110">
        <f>MOD(28-1,12)+1</f>
        <v/>
      </c>
      <c r="AN8" s="110">
        <f>MOD(29-1,12)+1</f>
        <v/>
      </c>
      <c r="AO8" s="110">
        <f>MOD(30-1,12)+1</f>
        <v/>
      </c>
      <c r="AP8" s="110">
        <f>MOD(31-1,12)+1</f>
        <v/>
      </c>
      <c r="AQ8" s="110">
        <f>MOD(32-1,12)+1</f>
        <v/>
      </c>
      <c r="AR8" s="110">
        <f>MOD(33-1,12)+1</f>
        <v/>
      </c>
      <c r="AS8" s="110">
        <f>MOD(34-1,12)+1</f>
        <v/>
      </c>
      <c r="AT8" s="110">
        <f>MOD(35-1,12)+1</f>
        <v/>
      </c>
      <c r="AU8" s="110">
        <f>MOD(36-1,12)+1</f>
        <v/>
      </c>
      <c r="AV8" s="110">
        <f>MOD(37-1,12)+1</f>
        <v/>
      </c>
      <c r="AW8" s="110">
        <f>MOD(38-1,12)+1</f>
        <v/>
      </c>
      <c r="AX8" s="110">
        <f>MOD(39-1,12)+1</f>
        <v/>
      </c>
      <c r="AY8" s="110">
        <f>MOD(40-1,12)+1</f>
        <v/>
      </c>
      <c r="AZ8" s="110">
        <f>MOD(41-1,12)+1</f>
        <v/>
      </c>
      <c r="BA8" s="110">
        <f>MOD(42-1,12)+1</f>
        <v/>
      </c>
      <c r="BB8" s="110">
        <f>MOD(43-1,12)+1</f>
        <v/>
      </c>
      <c r="BC8" s="110">
        <f>MOD(44-1,12)+1</f>
        <v/>
      </c>
      <c r="BD8" s="110">
        <f>MOD(45-1,12)+1</f>
        <v/>
      </c>
      <c r="BE8" s="110">
        <f>MOD(46-1,12)+1</f>
        <v/>
      </c>
      <c r="BF8" s="110">
        <f>MOD(47-1,12)+1</f>
        <v/>
      </c>
      <c r="BG8" s="110">
        <f>MOD(48-1,12)+1</f>
        <v/>
      </c>
      <c r="BH8" s="110">
        <f>MOD(49-1,12)+1</f>
        <v/>
      </c>
      <c r="BI8" s="110">
        <f>MOD(50-1,12)+1</f>
        <v/>
      </c>
      <c r="BJ8" s="110">
        <f>MOD(51-1,12)+1</f>
        <v/>
      </c>
      <c r="BK8" s="110">
        <f>MOD(52-1,12)+1</f>
        <v/>
      </c>
      <c r="BL8" s="110">
        <f>MOD(53-1,12)+1</f>
        <v/>
      </c>
      <c r="BM8" s="110">
        <f>MOD(54-1,12)+1</f>
        <v/>
      </c>
      <c r="BN8" s="110">
        <f>MOD(55-1,12)+1</f>
        <v/>
      </c>
      <c r="BO8" s="110">
        <f>MOD(56-1,12)+1</f>
        <v/>
      </c>
      <c r="BP8" s="110">
        <f>MOD(57-1,12)+1</f>
        <v/>
      </c>
      <c r="BQ8" s="110">
        <f>MOD(58-1,12)+1</f>
        <v/>
      </c>
      <c r="BR8" s="110">
        <f>MOD(59-1,12)+1</f>
        <v/>
      </c>
      <c r="BS8" s="110">
        <f>MOD(60-1,12)+1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04" t="inlineStr">
        <is>
          <t>Доля детей, посещающих занятия в этом календарном месяце</t>
        </is>
      </c>
      <c r="E9" s="111">
        <f>AVERAGE(L9:W9)</f>
        <v/>
      </c>
      <c r="F9" s="111">
        <f>AVERAGE(X9:AI9)</f>
        <v/>
      </c>
      <c r="G9" s="111">
        <f>AVERAGE(AJ9:AU9)</f>
        <v/>
      </c>
      <c r="H9" s="111">
        <f>AVERAGE(AV9:BG9)</f>
        <v/>
      </c>
      <c r="I9" s="111">
        <f>AVERAGE(BH9:BS9)</f>
        <v/>
      </c>
      <c r="J9" s="112">
        <f>AVERAGE(L9:BS9)</f>
        <v/>
      </c>
      <c r="L9" s="113">
        <f>INDEX('01_Вводные'!$B$44:$M$44,1,MONTH(L6))</f>
        <v/>
      </c>
      <c r="M9" s="113">
        <f>INDEX('01_Вводные'!$B$44:$M$44,1,MONTH(M6))</f>
        <v/>
      </c>
      <c r="N9" s="113">
        <f>INDEX('01_Вводные'!$B$44:$M$44,1,MONTH(N6))</f>
        <v/>
      </c>
      <c r="O9" s="113">
        <f>INDEX('01_Вводные'!$B$44:$M$44,1,MONTH(O6))</f>
        <v/>
      </c>
      <c r="P9" s="113">
        <f>INDEX('01_Вводные'!$B$44:$M$44,1,MONTH(P6))</f>
        <v/>
      </c>
      <c r="Q9" s="113">
        <f>INDEX('01_Вводные'!$B$44:$M$44,1,MONTH(Q6))</f>
        <v/>
      </c>
      <c r="R9" s="113">
        <f>INDEX('01_Вводные'!$B$44:$M$44,1,MONTH(R6))</f>
        <v/>
      </c>
      <c r="S9" s="113">
        <f>INDEX('01_Вводные'!$B$44:$M$44,1,MONTH(S6))</f>
        <v/>
      </c>
      <c r="T9" s="113">
        <f>INDEX('01_Вводные'!$B$44:$M$44,1,MONTH(T6))</f>
        <v/>
      </c>
      <c r="U9" s="113">
        <f>INDEX('01_Вводные'!$B$44:$M$44,1,MONTH(U6))</f>
        <v/>
      </c>
      <c r="V9" s="113">
        <f>INDEX('01_Вводные'!$B$44:$M$44,1,MONTH(V6))</f>
        <v/>
      </c>
      <c r="W9" s="113">
        <f>INDEX('01_Вводные'!$B$44:$M$44,1,MONTH(W6))</f>
        <v/>
      </c>
      <c r="X9" s="113">
        <f>INDEX('01_Вводные'!$B$44:$M$44,1,MONTH(X6))</f>
        <v/>
      </c>
      <c r="Y9" s="113">
        <f>INDEX('01_Вводные'!$B$44:$M$44,1,MONTH(Y6))</f>
        <v/>
      </c>
      <c r="Z9" s="113">
        <f>INDEX('01_Вводные'!$B$44:$M$44,1,MONTH(Z6))</f>
        <v/>
      </c>
      <c r="AA9" s="113">
        <f>INDEX('01_Вводные'!$B$44:$M$44,1,MONTH(AA6))</f>
        <v/>
      </c>
      <c r="AB9" s="113">
        <f>INDEX('01_Вводные'!$B$44:$M$44,1,MONTH(AB6))</f>
        <v/>
      </c>
      <c r="AC9" s="113">
        <f>INDEX('01_Вводные'!$B$44:$M$44,1,MONTH(AC6))</f>
        <v/>
      </c>
      <c r="AD9" s="113">
        <f>INDEX('01_Вводные'!$B$44:$M$44,1,MONTH(AD6))</f>
        <v/>
      </c>
      <c r="AE9" s="113">
        <f>INDEX('01_Вводные'!$B$44:$M$44,1,MONTH(AE6))</f>
        <v/>
      </c>
      <c r="AF9" s="113">
        <f>INDEX('01_Вводные'!$B$44:$M$44,1,MONTH(AF6))</f>
        <v/>
      </c>
      <c r="AG9" s="113">
        <f>INDEX('01_Вводные'!$B$44:$M$44,1,MONTH(AG6))</f>
        <v/>
      </c>
      <c r="AH9" s="113">
        <f>INDEX('01_Вводные'!$B$44:$M$44,1,MONTH(AH6))</f>
        <v/>
      </c>
      <c r="AI9" s="113">
        <f>INDEX('01_Вводные'!$B$44:$M$44,1,MONTH(AI6))</f>
        <v/>
      </c>
      <c r="AJ9" s="113">
        <f>INDEX('01_Вводные'!$B$44:$M$44,1,MONTH(AJ6))</f>
        <v/>
      </c>
      <c r="AK9" s="113">
        <f>INDEX('01_Вводные'!$B$44:$M$44,1,MONTH(AK6))</f>
        <v/>
      </c>
      <c r="AL9" s="113">
        <f>INDEX('01_Вводные'!$B$44:$M$44,1,MONTH(AL6))</f>
        <v/>
      </c>
      <c r="AM9" s="113">
        <f>INDEX('01_Вводные'!$B$44:$M$44,1,MONTH(AM6))</f>
        <v/>
      </c>
      <c r="AN9" s="113">
        <f>INDEX('01_Вводные'!$B$44:$M$44,1,MONTH(AN6))</f>
        <v/>
      </c>
      <c r="AO9" s="113">
        <f>INDEX('01_Вводные'!$B$44:$M$44,1,MONTH(AO6))</f>
        <v/>
      </c>
      <c r="AP9" s="113">
        <f>INDEX('01_Вводные'!$B$44:$M$44,1,MONTH(AP6))</f>
        <v/>
      </c>
      <c r="AQ9" s="113">
        <f>INDEX('01_Вводные'!$B$44:$M$44,1,MONTH(AQ6))</f>
        <v/>
      </c>
      <c r="AR9" s="113">
        <f>INDEX('01_Вводные'!$B$44:$M$44,1,MONTH(AR6))</f>
        <v/>
      </c>
      <c r="AS9" s="113">
        <f>INDEX('01_Вводные'!$B$44:$M$44,1,MONTH(AS6))</f>
        <v/>
      </c>
      <c r="AT9" s="113">
        <f>INDEX('01_Вводные'!$B$44:$M$44,1,MONTH(AT6))</f>
        <v/>
      </c>
      <c r="AU9" s="113">
        <f>INDEX('01_Вводные'!$B$44:$M$44,1,MONTH(AU6))</f>
        <v/>
      </c>
      <c r="AV9" s="113">
        <f>INDEX('01_Вводные'!$B$44:$M$44,1,MONTH(AV6))</f>
        <v/>
      </c>
      <c r="AW9" s="113">
        <f>INDEX('01_Вводные'!$B$44:$M$44,1,MONTH(AW6))</f>
        <v/>
      </c>
      <c r="AX9" s="113">
        <f>INDEX('01_Вводные'!$B$44:$M$44,1,MONTH(AX6))</f>
        <v/>
      </c>
      <c r="AY9" s="113">
        <f>INDEX('01_Вводные'!$B$44:$M$44,1,MONTH(AY6))</f>
        <v/>
      </c>
      <c r="AZ9" s="113">
        <f>INDEX('01_Вводные'!$B$44:$M$44,1,MONTH(AZ6))</f>
        <v/>
      </c>
      <c r="BA9" s="113">
        <f>INDEX('01_Вводные'!$B$44:$M$44,1,MONTH(BA6))</f>
        <v/>
      </c>
      <c r="BB9" s="113">
        <f>INDEX('01_Вводные'!$B$44:$M$44,1,MONTH(BB6))</f>
        <v/>
      </c>
      <c r="BC9" s="113">
        <f>INDEX('01_Вводные'!$B$44:$M$44,1,MONTH(BC6))</f>
        <v/>
      </c>
      <c r="BD9" s="113">
        <f>INDEX('01_Вводные'!$B$44:$M$44,1,MONTH(BD6))</f>
        <v/>
      </c>
      <c r="BE9" s="113">
        <f>INDEX('01_Вводные'!$B$44:$M$44,1,MONTH(BE6))</f>
        <v/>
      </c>
      <c r="BF9" s="113">
        <f>INDEX('01_Вводные'!$B$44:$M$44,1,MONTH(BF6))</f>
        <v/>
      </c>
      <c r="BG9" s="113">
        <f>INDEX('01_Вводные'!$B$44:$M$44,1,MONTH(BG6))</f>
        <v/>
      </c>
      <c r="BH9" s="113">
        <f>INDEX('01_Вводные'!$B$44:$M$44,1,MONTH(BH6))</f>
        <v/>
      </c>
      <c r="BI9" s="113">
        <f>INDEX('01_Вводные'!$B$44:$M$44,1,MONTH(BI6))</f>
        <v/>
      </c>
      <c r="BJ9" s="113">
        <f>INDEX('01_Вводные'!$B$44:$M$44,1,MONTH(BJ6))</f>
        <v/>
      </c>
      <c r="BK9" s="113">
        <f>INDEX('01_Вводные'!$B$44:$M$44,1,MONTH(BK6))</f>
        <v/>
      </c>
      <c r="BL9" s="113">
        <f>INDEX('01_Вводные'!$B$44:$M$44,1,MONTH(BL6))</f>
        <v/>
      </c>
      <c r="BM9" s="113">
        <f>INDEX('01_Вводные'!$B$44:$M$44,1,MONTH(BM6))</f>
        <v/>
      </c>
      <c r="BN9" s="113">
        <f>INDEX('01_Вводные'!$B$44:$M$44,1,MONTH(BN6))</f>
        <v/>
      </c>
      <c r="BO9" s="113">
        <f>INDEX('01_Вводные'!$B$44:$M$44,1,MONTH(BO6))</f>
        <v/>
      </c>
      <c r="BP9" s="113">
        <f>INDEX('01_Вводные'!$B$44:$M$44,1,MONTH(BP6))</f>
        <v/>
      </c>
      <c r="BQ9" s="113">
        <f>INDEX('01_Вводные'!$B$44:$M$44,1,MONTH(BQ6))</f>
        <v/>
      </c>
      <c r="BR9" s="113">
        <f>INDEX('01_Вводные'!$B$44:$M$44,1,MONTH(BR6))</f>
        <v/>
      </c>
      <c r="BS9" s="113">
        <f>INDEX('01_Вводные'!$B$44:$M$44,1,MONTH(BS6))</f>
        <v/>
      </c>
    </row>
    <row r="11">
      <c r="B11" s="102" t="inlineStr">
        <is>
          <t>Продажи франшиз и открытия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</row>
    <row r="12">
      <c r="B12" t="inlineStr">
        <is>
          <t>Продажи франшиз, план</t>
        </is>
      </c>
      <c r="C12" t="inlineStr">
        <is>
          <t>шт.</t>
        </is>
      </c>
      <c r="D12" s="104" t="inlineStr">
        <is>
          <t>Годовой план сезона, разложенный по месяцам весами из таблицы планов на листе вводных</t>
        </is>
      </c>
      <c r="E12" s="114">
        <f>SUM(L12:W12)</f>
        <v/>
      </c>
      <c r="F12" s="114">
        <f>SUM(X12:AI12)</f>
        <v/>
      </c>
      <c r="G12" s="114">
        <f>SUM(AJ12:AU12)</f>
        <v/>
      </c>
      <c r="H12" s="114">
        <f>SUM(AV12:BG12)</f>
        <v/>
      </c>
      <c r="I12" s="114">
        <f>SUM(BH12:BS12)</f>
        <v/>
      </c>
      <c r="J12" s="115">
        <f>SUM(L12:BS12)</f>
        <v/>
      </c>
      <c r="L12" s="116">
        <f>INDEX('01_Вводные'!$B$36:$B$40,L7)*INDEX('01_Вводные'!$C$36:$N$40,L7,L8)/SUM(INDEX('01_Вводные'!$C$36:$N$40,L7,0))</f>
        <v/>
      </c>
      <c r="M12" s="116">
        <f>INDEX('01_Вводные'!$B$36:$B$40,M7)*INDEX('01_Вводные'!$C$36:$N$40,M7,M8)/SUM(INDEX('01_Вводные'!$C$36:$N$40,M7,0))</f>
        <v/>
      </c>
      <c r="N12" s="116">
        <f>INDEX('01_Вводные'!$B$36:$B$40,N7)*INDEX('01_Вводные'!$C$36:$N$40,N7,N8)/SUM(INDEX('01_Вводные'!$C$36:$N$40,N7,0))</f>
        <v/>
      </c>
      <c r="O12" s="116">
        <f>INDEX('01_Вводные'!$B$36:$B$40,O7)*INDEX('01_Вводные'!$C$36:$N$40,O7,O8)/SUM(INDEX('01_Вводные'!$C$36:$N$40,O7,0))</f>
        <v/>
      </c>
      <c r="P12" s="116">
        <f>INDEX('01_Вводные'!$B$36:$B$40,P7)*INDEX('01_Вводные'!$C$36:$N$40,P7,P8)/SUM(INDEX('01_Вводные'!$C$36:$N$40,P7,0))</f>
        <v/>
      </c>
      <c r="Q12" s="116">
        <f>INDEX('01_Вводные'!$B$36:$B$40,Q7)*INDEX('01_Вводные'!$C$36:$N$40,Q7,Q8)/SUM(INDEX('01_Вводные'!$C$36:$N$40,Q7,0))</f>
        <v/>
      </c>
      <c r="R12" s="116">
        <f>INDEX('01_Вводные'!$B$36:$B$40,R7)*INDEX('01_Вводные'!$C$36:$N$40,R7,R8)/SUM(INDEX('01_Вводные'!$C$36:$N$40,R7,0))</f>
        <v/>
      </c>
      <c r="S12" s="116">
        <f>INDEX('01_Вводные'!$B$36:$B$40,S7)*INDEX('01_Вводные'!$C$36:$N$40,S7,S8)/SUM(INDEX('01_Вводные'!$C$36:$N$40,S7,0))</f>
        <v/>
      </c>
      <c r="T12" s="116">
        <f>INDEX('01_Вводные'!$B$36:$B$40,T7)*INDEX('01_Вводные'!$C$36:$N$40,T7,T8)/SUM(INDEX('01_Вводные'!$C$36:$N$40,T7,0))</f>
        <v/>
      </c>
      <c r="U12" s="116">
        <f>INDEX('01_Вводные'!$B$36:$B$40,U7)*INDEX('01_Вводные'!$C$36:$N$40,U7,U8)/SUM(INDEX('01_Вводные'!$C$36:$N$40,U7,0))</f>
        <v/>
      </c>
      <c r="V12" s="116">
        <f>INDEX('01_Вводные'!$B$36:$B$40,V7)*INDEX('01_Вводные'!$C$36:$N$40,V7,V8)/SUM(INDEX('01_Вводные'!$C$36:$N$40,V7,0))</f>
        <v/>
      </c>
      <c r="W12" s="116">
        <f>INDEX('01_Вводные'!$B$36:$B$40,W7)*INDEX('01_Вводные'!$C$36:$N$40,W7,W8)/SUM(INDEX('01_Вводные'!$C$36:$N$40,W7,0))</f>
        <v/>
      </c>
      <c r="X12" s="116">
        <f>INDEX('01_Вводные'!$B$36:$B$40,X7)*INDEX('01_Вводные'!$C$36:$N$40,X7,X8)/SUM(INDEX('01_Вводные'!$C$36:$N$40,X7,0))</f>
        <v/>
      </c>
      <c r="Y12" s="116">
        <f>INDEX('01_Вводные'!$B$36:$B$40,Y7)*INDEX('01_Вводные'!$C$36:$N$40,Y7,Y8)/SUM(INDEX('01_Вводные'!$C$36:$N$40,Y7,0))</f>
        <v/>
      </c>
      <c r="Z12" s="116">
        <f>INDEX('01_Вводные'!$B$36:$B$40,Z7)*INDEX('01_Вводные'!$C$36:$N$40,Z7,Z8)/SUM(INDEX('01_Вводные'!$C$36:$N$40,Z7,0))</f>
        <v/>
      </c>
      <c r="AA12" s="116">
        <f>INDEX('01_Вводные'!$B$36:$B$40,AA7)*INDEX('01_Вводные'!$C$36:$N$40,AA7,AA8)/SUM(INDEX('01_Вводные'!$C$36:$N$40,AA7,0))</f>
        <v/>
      </c>
      <c r="AB12" s="116">
        <f>INDEX('01_Вводные'!$B$36:$B$40,AB7)*INDEX('01_Вводные'!$C$36:$N$40,AB7,AB8)/SUM(INDEX('01_Вводные'!$C$36:$N$40,AB7,0))</f>
        <v/>
      </c>
      <c r="AC12" s="116">
        <f>INDEX('01_Вводные'!$B$36:$B$40,AC7)*INDEX('01_Вводные'!$C$36:$N$40,AC7,AC8)/SUM(INDEX('01_Вводные'!$C$36:$N$40,AC7,0))</f>
        <v/>
      </c>
      <c r="AD12" s="116">
        <f>INDEX('01_Вводные'!$B$36:$B$40,AD7)*INDEX('01_Вводные'!$C$36:$N$40,AD7,AD8)/SUM(INDEX('01_Вводные'!$C$36:$N$40,AD7,0))</f>
        <v/>
      </c>
      <c r="AE12" s="116">
        <f>INDEX('01_Вводные'!$B$36:$B$40,AE7)*INDEX('01_Вводные'!$C$36:$N$40,AE7,AE8)/SUM(INDEX('01_Вводные'!$C$36:$N$40,AE7,0))</f>
        <v/>
      </c>
      <c r="AF12" s="116">
        <f>INDEX('01_Вводные'!$B$36:$B$40,AF7)*INDEX('01_Вводные'!$C$36:$N$40,AF7,AF8)/SUM(INDEX('01_Вводные'!$C$36:$N$40,AF7,0))</f>
        <v/>
      </c>
      <c r="AG12" s="116">
        <f>INDEX('01_Вводные'!$B$36:$B$40,AG7)*INDEX('01_Вводные'!$C$36:$N$40,AG7,AG8)/SUM(INDEX('01_Вводные'!$C$36:$N$40,AG7,0))</f>
        <v/>
      </c>
      <c r="AH12" s="116">
        <f>INDEX('01_Вводные'!$B$36:$B$40,AH7)*INDEX('01_Вводные'!$C$36:$N$40,AH7,AH8)/SUM(INDEX('01_Вводные'!$C$36:$N$40,AH7,0))</f>
        <v/>
      </c>
      <c r="AI12" s="116">
        <f>INDEX('01_Вводные'!$B$36:$B$40,AI7)*INDEX('01_Вводные'!$C$36:$N$40,AI7,AI8)/SUM(INDEX('01_Вводные'!$C$36:$N$40,AI7,0))</f>
        <v/>
      </c>
      <c r="AJ12" s="116">
        <f>INDEX('01_Вводные'!$B$36:$B$40,AJ7)*INDEX('01_Вводные'!$C$36:$N$40,AJ7,AJ8)/SUM(INDEX('01_Вводные'!$C$36:$N$40,AJ7,0))</f>
        <v/>
      </c>
      <c r="AK12" s="116">
        <f>INDEX('01_Вводные'!$B$36:$B$40,AK7)*INDEX('01_Вводные'!$C$36:$N$40,AK7,AK8)/SUM(INDEX('01_Вводные'!$C$36:$N$40,AK7,0))</f>
        <v/>
      </c>
      <c r="AL12" s="116">
        <f>INDEX('01_Вводные'!$B$36:$B$40,AL7)*INDEX('01_Вводные'!$C$36:$N$40,AL7,AL8)/SUM(INDEX('01_Вводные'!$C$36:$N$40,AL7,0))</f>
        <v/>
      </c>
      <c r="AM12" s="116">
        <f>INDEX('01_Вводные'!$B$36:$B$40,AM7)*INDEX('01_Вводные'!$C$36:$N$40,AM7,AM8)/SUM(INDEX('01_Вводные'!$C$36:$N$40,AM7,0))</f>
        <v/>
      </c>
      <c r="AN12" s="116">
        <f>INDEX('01_Вводные'!$B$36:$B$40,AN7)*INDEX('01_Вводные'!$C$36:$N$40,AN7,AN8)/SUM(INDEX('01_Вводные'!$C$36:$N$40,AN7,0))</f>
        <v/>
      </c>
      <c r="AO12" s="116">
        <f>INDEX('01_Вводные'!$B$36:$B$40,AO7)*INDEX('01_Вводные'!$C$36:$N$40,AO7,AO8)/SUM(INDEX('01_Вводные'!$C$36:$N$40,AO7,0))</f>
        <v/>
      </c>
      <c r="AP12" s="116">
        <f>INDEX('01_Вводные'!$B$36:$B$40,AP7)*INDEX('01_Вводные'!$C$36:$N$40,AP7,AP8)/SUM(INDEX('01_Вводные'!$C$36:$N$40,AP7,0))</f>
        <v/>
      </c>
      <c r="AQ12" s="116">
        <f>INDEX('01_Вводные'!$B$36:$B$40,AQ7)*INDEX('01_Вводные'!$C$36:$N$40,AQ7,AQ8)/SUM(INDEX('01_Вводные'!$C$36:$N$40,AQ7,0))</f>
        <v/>
      </c>
      <c r="AR12" s="116">
        <f>INDEX('01_Вводные'!$B$36:$B$40,AR7)*INDEX('01_Вводные'!$C$36:$N$40,AR7,AR8)/SUM(INDEX('01_Вводные'!$C$36:$N$40,AR7,0))</f>
        <v/>
      </c>
      <c r="AS12" s="116">
        <f>INDEX('01_Вводные'!$B$36:$B$40,AS7)*INDEX('01_Вводные'!$C$36:$N$40,AS7,AS8)/SUM(INDEX('01_Вводные'!$C$36:$N$40,AS7,0))</f>
        <v/>
      </c>
      <c r="AT12" s="116">
        <f>INDEX('01_Вводные'!$B$36:$B$40,AT7)*INDEX('01_Вводные'!$C$36:$N$40,AT7,AT8)/SUM(INDEX('01_Вводные'!$C$36:$N$40,AT7,0))</f>
        <v/>
      </c>
      <c r="AU12" s="116">
        <f>INDEX('01_Вводные'!$B$36:$B$40,AU7)*INDEX('01_Вводные'!$C$36:$N$40,AU7,AU8)/SUM(INDEX('01_Вводные'!$C$36:$N$40,AU7,0))</f>
        <v/>
      </c>
      <c r="AV12" s="116">
        <f>INDEX('01_Вводные'!$B$36:$B$40,AV7)*INDEX('01_Вводные'!$C$36:$N$40,AV7,AV8)/SUM(INDEX('01_Вводные'!$C$36:$N$40,AV7,0))</f>
        <v/>
      </c>
      <c r="AW12" s="116">
        <f>INDEX('01_Вводные'!$B$36:$B$40,AW7)*INDEX('01_Вводные'!$C$36:$N$40,AW7,AW8)/SUM(INDEX('01_Вводные'!$C$36:$N$40,AW7,0))</f>
        <v/>
      </c>
      <c r="AX12" s="116">
        <f>INDEX('01_Вводные'!$B$36:$B$40,AX7)*INDEX('01_Вводные'!$C$36:$N$40,AX7,AX8)/SUM(INDEX('01_Вводные'!$C$36:$N$40,AX7,0))</f>
        <v/>
      </c>
      <c r="AY12" s="116">
        <f>INDEX('01_Вводные'!$B$36:$B$40,AY7)*INDEX('01_Вводные'!$C$36:$N$40,AY7,AY8)/SUM(INDEX('01_Вводные'!$C$36:$N$40,AY7,0))</f>
        <v/>
      </c>
      <c r="AZ12" s="116">
        <f>INDEX('01_Вводные'!$B$36:$B$40,AZ7)*INDEX('01_Вводные'!$C$36:$N$40,AZ7,AZ8)/SUM(INDEX('01_Вводные'!$C$36:$N$40,AZ7,0))</f>
        <v/>
      </c>
      <c r="BA12" s="116">
        <f>INDEX('01_Вводные'!$B$36:$B$40,BA7)*INDEX('01_Вводные'!$C$36:$N$40,BA7,BA8)/SUM(INDEX('01_Вводные'!$C$36:$N$40,BA7,0))</f>
        <v/>
      </c>
      <c r="BB12" s="116">
        <f>INDEX('01_Вводные'!$B$36:$B$40,BB7)*INDEX('01_Вводные'!$C$36:$N$40,BB7,BB8)/SUM(INDEX('01_Вводные'!$C$36:$N$40,BB7,0))</f>
        <v/>
      </c>
      <c r="BC12" s="116">
        <f>INDEX('01_Вводные'!$B$36:$B$40,BC7)*INDEX('01_Вводные'!$C$36:$N$40,BC7,BC8)/SUM(INDEX('01_Вводные'!$C$36:$N$40,BC7,0))</f>
        <v/>
      </c>
      <c r="BD12" s="116">
        <f>INDEX('01_Вводные'!$B$36:$B$40,BD7)*INDEX('01_Вводные'!$C$36:$N$40,BD7,BD8)/SUM(INDEX('01_Вводные'!$C$36:$N$40,BD7,0))</f>
        <v/>
      </c>
      <c r="BE12" s="116">
        <f>INDEX('01_Вводные'!$B$36:$B$40,BE7)*INDEX('01_Вводные'!$C$36:$N$40,BE7,BE8)/SUM(INDEX('01_Вводные'!$C$36:$N$40,BE7,0))</f>
        <v/>
      </c>
      <c r="BF12" s="116">
        <f>INDEX('01_Вводные'!$B$36:$B$40,BF7)*INDEX('01_Вводные'!$C$36:$N$40,BF7,BF8)/SUM(INDEX('01_Вводные'!$C$36:$N$40,BF7,0))</f>
        <v/>
      </c>
      <c r="BG12" s="116">
        <f>INDEX('01_Вводные'!$B$36:$B$40,BG7)*INDEX('01_Вводные'!$C$36:$N$40,BG7,BG8)/SUM(INDEX('01_Вводные'!$C$36:$N$40,BG7,0))</f>
        <v/>
      </c>
      <c r="BH12" s="116">
        <f>INDEX('01_Вводные'!$B$36:$B$40,BH7)*INDEX('01_Вводные'!$C$36:$N$40,BH7,BH8)/SUM(INDEX('01_Вводные'!$C$36:$N$40,BH7,0))</f>
        <v/>
      </c>
      <c r="BI12" s="116">
        <f>INDEX('01_Вводные'!$B$36:$B$40,BI7)*INDEX('01_Вводные'!$C$36:$N$40,BI7,BI8)/SUM(INDEX('01_Вводные'!$C$36:$N$40,BI7,0))</f>
        <v/>
      </c>
      <c r="BJ12" s="116">
        <f>INDEX('01_Вводные'!$B$36:$B$40,BJ7)*INDEX('01_Вводные'!$C$36:$N$40,BJ7,BJ8)/SUM(INDEX('01_Вводные'!$C$36:$N$40,BJ7,0))</f>
        <v/>
      </c>
      <c r="BK12" s="116">
        <f>INDEX('01_Вводные'!$B$36:$B$40,BK7)*INDEX('01_Вводные'!$C$36:$N$40,BK7,BK8)/SUM(INDEX('01_Вводные'!$C$36:$N$40,BK7,0))</f>
        <v/>
      </c>
      <c r="BL12" s="116">
        <f>INDEX('01_Вводные'!$B$36:$B$40,BL7)*INDEX('01_Вводные'!$C$36:$N$40,BL7,BL8)/SUM(INDEX('01_Вводные'!$C$36:$N$40,BL7,0))</f>
        <v/>
      </c>
      <c r="BM12" s="116">
        <f>INDEX('01_Вводные'!$B$36:$B$40,BM7)*INDEX('01_Вводные'!$C$36:$N$40,BM7,BM8)/SUM(INDEX('01_Вводные'!$C$36:$N$40,BM7,0))</f>
        <v/>
      </c>
      <c r="BN12" s="116">
        <f>INDEX('01_Вводные'!$B$36:$B$40,BN7)*INDEX('01_Вводные'!$C$36:$N$40,BN7,BN8)/SUM(INDEX('01_Вводные'!$C$36:$N$40,BN7,0))</f>
        <v/>
      </c>
      <c r="BO12" s="116">
        <f>INDEX('01_Вводные'!$B$36:$B$40,BO7)*INDEX('01_Вводные'!$C$36:$N$40,BO7,BO8)/SUM(INDEX('01_Вводные'!$C$36:$N$40,BO7,0))</f>
        <v/>
      </c>
      <c r="BP12" s="116">
        <f>INDEX('01_Вводные'!$B$36:$B$40,BP7)*INDEX('01_Вводные'!$C$36:$N$40,BP7,BP8)/SUM(INDEX('01_Вводные'!$C$36:$N$40,BP7,0))</f>
        <v/>
      </c>
      <c r="BQ12" s="116">
        <f>INDEX('01_Вводные'!$B$36:$B$40,BQ7)*INDEX('01_Вводные'!$C$36:$N$40,BQ7,BQ8)/SUM(INDEX('01_Вводные'!$C$36:$N$40,BQ7,0))</f>
        <v/>
      </c>
      <c r="BR12" s="116">
        <f>INDEX('01_Вводные'!$B$36:$B$40,BR7)*INDEX('01_Вводные'!$C$36:$N$40,BR7,BR8)/SUM(INDEX('01_Вводные'!$C$36:$N$40,BR7,0))</f>
        <v/>
      </c>
      <c r="BS12" s="116">
        <f>INDEX('01_Вводные'!$B$36:$B$40,BS7)*INDEX('01_Вводные'!$C$36:$N$40,BS7,BS8)/SUM(INDEX('01_Вводные'!$C$36:$N$40,BS7,0))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04" t="inlineStr">
        <is>
          <t>Продажи, сдвинутые на лаг открытия, с поправкой на конверсию и число школ на партнёра</t>
        </is>
      </c>
      <c r="E13" s="114">
        <f>SUM(L13:W13)</f>
        <v/>
      </c>
      <c r="F13" s="114">
        <f>SUM(X13:AI13)</f>
        <v/>
      </c>
      <c r="G13" s="114">
        <f>SUM(AJ13:AU13)</f>
        <v/>
      </c>
      <c r="H13" s="114">
        <f>SUM(AV13:BG13)</f>
        <v/>
      </c>
      <c r="I13" s="114">
        <f>SUM(BH13:BS13)</f>
        <v/>
      </c>
      <c r="J13" s="115">
        <f>SUM(L13:BS13)</f>
        <v/>
      </c>
      <c r="L13" s="116">
        <f>IF(1-ЛагОткрытия&lt;1,0,INDEX($L12:$BS12,1,1-ЛагОткрытия))*КонверсияОткрытия*ШколНаПродажу</f>
        <v/>
      </c>
      <c r="M13" s="116">
        <f>IF(2-ЛагОткрытия&lt;1,0,INDEX($L12:$BS12,1,2-ЛагОткрытия))*КонверсияОткрытия*ШколНаПродажу</f>
        <v/>
      </c>
      <c r="N13" s="116">
        <f>IF(3-ЛагОткрытия&lt;1,0,INDEX($L12:$BS12,1,3-ЛагОткрытия))*КонверсияОткрытия*ШколНаПродажу</f>
        <v/>
      </c>
      <c r="O13" s="116">
        <f>IF(4-ЛагОткрытия&lt;1,0,INDEX($L12:$BS12,1,4-ЛагОткрытия))*КонверсияОткрытия*ШколНаПродажу</f>
        <v/>
      </c>
      <c r="P13" s="116">
        <f>IF(5-ЛагОткрытия&lt;1,0,INDEX($L12:$BS12,1,5-ЛагОткрытия))*КонверсияОткрытия*ШколНаПродажу</f>
        <v/>
      </c>
      <c r="Q13" s="116">
        <f>IF(6-ЛагОткрытия&lt;1,0,INDEX($L12:$BS12,1,6-ЛагОткрытия))*КонверсияОткрытия*ШколНаПродажу</f>
        <v/>
      </c>
      <c r="R13" s="116">
        <f>IF(7-ЛагОткрытия&lt;1,0,INDEX($L12:$BS12,1,7-ЛагОткрытия))*КонверсияОткрытия*ШколНаПродажу</f>
        <v/>
      </c>
      <c r="S13" s="116">
        <f>IF(8-ЛагОткрытия&lt;1,0,INDEX($L12:$BS12,1,8-ЛагОткрытия))*КонверсияОткрытия*ШколНаПродажу</f>
        <v/>
      </c>
      <c r="T13" s="116">
        <f>IF(9-ЛагОткрытия&lt;1,0,INDEX($L12:$BS12,1,9-ЛагОткрытия))*КонверсияОткрытия*ШколНаПродажу</f>
        <v/>
      </c>
      <c r="U13" s="116">
        <f>IF(10-ЛагОткрытия&lt;1,0,INDEX($L12:$BS12,1,10-ЛагОткрытия))*КонверсияОткрытия*ШколНаПродажу</f>
        <v/>
      </c>
      <c r="V13" s="116">
        <f>IF(11-ЛагОткрытия&lt;1,0,INDEX($L12:$BS12,1,11-ЛагОткрытия))*КонверсияОткрытия*ШколНаПродажу</f>
        <v/>
      </c>
      <c r="W13" s="116">
        <f>IF(12-ЛагОткрытия&lt;1,0,INDEX($L12:$BS12,1,12-ЛагОткрытия))*КонверсияОткрытия*ШколНаПродажу</f>
        <v/>
      </c>
      <c r="X13" s="116">
        <f>IF(13-ЛагОткрытия&lt;1,0,INDEX($L12:$BS12,1,13-ЛагОткрытия))*КонверсияОткрытия*ШколНаПродажу</f>
        <v/>
      </c>
      <c r="Y13" s="116">
        <f>IF(14-ЛагОткрытия&lt;1,0,INDEX($L12:$BS12,1,14-ЛагОткрытия))*КонверсияОткрытия*ШколНаПродажу</f>
        <v/>
      </c>
      <c r="Z13" s="116">
        <f>IF(15-ЛагОткрытия&lt;1,0,INDEX($L12:$BS12,1,15-ЛагОткрытия))*КонверсияОткрытия*ШколНаПродажу</f>
        <v/>
      </c>
      <c r="AA13" s="116">
        <f>IF(16-ЛагОткрытия&lt;1,0,INDEX($L12:$BS12,1,16-ЛагОткрытия))*КонверсияОткрытия*ШколНаПродажу</f>
        <v/>
      </c>
      <c r="AB13" s="116">
        <f>IF(17-ЛагОткрытия&lt;1,0,INDEX($L12:$BS12,1,17-ЛагОткрытия))*КонверсияОткрытия*ШколНаПродажу</f>
        <v/>
      </c>
      <c r="AC13" s="116">
        <f>IF(18-ЛагОткрытия&lt;1,0,INDEX($L12:$BS12,1,18-ЛагОткрытия))*КонверсияОткрытия*ШколНаПродажу</f>
        <v/>
      </c>
      <c r="AD13" s="116">
        <f>IF(19-ЛагОткрытия&lt;1,0,INDEX($L12:$BS12,1,19-ЛагОткрытия))*КонверсияОткрытия*ШколНаПродажу</f>
        <v/>
      </c>
      <c r="AE13" s="116">
        <f>IF(20-ЛагОткрытия&lt;1,0,INDEX($L12:$BS12,1,20-ЛагОткрытия))*КонверсияОткрытия*ШколНаПродажу</f>
        <v/>
      </c>
      <c r="AF13" s="116">
        <f>IF(21-ЛагОткрытия&lt;1,0,INDEX($L12:$BS12,1,21-ЛагОткрытия))*КонверсияОткрытия*ШколНаПродажу</f>
        <v/>
      </c>
      <c r="AG13" s="116">
        <f>IF(22-ЛагОткрытия&lt;1,0,INDEX($L12:$BS12,1,22-ЛагОткрытия))*КонверсияОткрытия*ШколНаПродажу</f>
        <v/>
      </c>
      <c r="AH13" s="116">
        <f>IF(23-ЛагОткрытия&lt;1,0,INDEX($L12:$BS12,1,23-ЛагОткрытия))*КонверсияОткрытия*ШколНаПродажу</f>
        <v/>
      </c>
      <c r="AI13" s="116">
        <f>IF(24-ЛагОткрытия&lt;1,0,INDEX($L12:$BS12,1,24-ЛагОткрытия))*КонверсияОткрытия*ШколНаПродажу</f>
        <v/>
      </c>
      <c r="AJ13" s="116">
        <f>IF(25-ЛагОткрытия&lt;1,0,INDEX($L12:$BS12,1,25-ЛагОткрытия))*КонверсияОткрытия*ШколНаПродажу</f>
        <v/>
      </c>
      <c r="AK13" s="116">
        <f>IF(26-ЛагОткрытия&lt;1,0,INDEX($L12:$BS12,1,26-ЛагОткрытия))*КонверсияОткрытия*ШколНаПродажу</f>
        <v/>
      </c>
      <c r="AL13" s="116">
        <f>IF(27-ЛагОткрытия&lt;1,0,INDEX($L12:$BS12,1,27-ЛагОткрытия))*КонверсияОткрытия*ШколНаПродажу</f>
        <v/>
      </c>
      <c r="AM13" s="116">
        <f>IF(28-ЛагОткрытия&lt;1,0,INDEX($L12:$BS12,1,28-ЛагОткрытия))*КонверсияОткрытия*ШколНаПродажу</f>
        <v/>
      </c>
      <c r="AN13" s="116">
        <f>IF(29-ЛагОткрытия&lt;1,0,INDEX($L12:$BS12,1,29-ЛагОткрытия))*КонверсияОткрытия*ШколНаПродажу</f>
        <v/>
      </c>
      <c r="AO13" s="116">
        <f>IF(30-ЛагОткрытия&lt;1,0,INDEX($L12:$BS12,1,30-ЛагОткрытия))*КонверсияОткрытия*ШколНаПродажу</f>
        <v/>
      </c>
      <c r="AP13" s="116">
        <f>IF(31-ЛагОткрытия&lt;1,0,INDEX($L12:$BS12,1,31-ЛагОткрытия))*КонверсияОткрытия*ШколНаПродажу</f>
        <v/>
      </c>
      <c r="AQ13" s="116">
        <f>IF(32-ЛагОткрытия&lt;1,0,INDEX($L12:$BS12,1,32-ЛагОткрытия))*КонверсияОткрытия*ШколНаПродажу</f>
        <v/>
      </c>
      <c r="AR13" s="116">
        <f>IF(33-ЛагОткрытия&lt;1,0,INDEX($L12:$BS12,1,33-ЛагОткрытия))*КонверсияОткрытия*ШколНаПродажу</f>
        <v/>
      </c>
      <c r="AS13" s="116">
        <f>IF(34-ЛагОткрытия&lt;1,0,INDEX($L12:$BS12,1,34-ЛагОткрытия))*КонверсияОткрытия*ШколНаПродажу</f>
        <v/>
      </c>
      <c r="AT13" s="116">
        <f>IF(35-ЛагОткрытия&lt;1,0,INDEX($L12:$BS12,1,35-ЛагОткрытия))*КонверсияОткрытия*ШколНаПродажу</f>
        <v/>
      </c>
      <c r="AU13" s="116">
        <f>IF(36-ЛагОткрытия&lt;1,0,INDEX($L12:$BS12,1,36-ЛагОткрытия))*КонверсияОткрытия*ШколНаПродажу</f>
        <v/>
      </c>
      <c r="AV13" s="116">
        <f>IF(37-ЛагОткрытия&lt;1,0,INDEX($L12:$BS12,1,37-ЛагОткрытия))*КонверсияОткрытия*ШколНаПродажу</f>
        <v/>
      </c>
      <c r="AW13" s="116">
        <f>IF(38-ЛагОткрытия&lt;1,0,INDEX($L12:$BS12,1,38-ЛагОткрытия))*КонверсияОткрытия*ШколНаПродажу</f>
        <v/>
      </c>
      <c r="AX13" s="116">
        <f>IF(39-ЛагОткрытия&lt;1,0,INDEX($L12:$BS12,1,39-ЛагОткрытия))*КонверсияОткрытия*ШколНаПродажу</f>
        <v/>
      </c>
      <c r="AY13" s="116">
        <f>IF(40-ЛагОткрытия&lt;1,0,INDEX($L12:$BS12,1,40-ЛагОткрытия))*КонверсияОткрытия*ШколНаПродажу</f>
        <v/>
      </c>
      <c r="AZ13" s="116">
        <f>IF(41-ЛагОткрытия&lt;1,0,INDEX($L12:$BS12,1,41-ЛагОткрытия))*КонверсияОткрытия*ШколНаПродажу</f>
        <v/>
      </c>
      <c r="BA13" s="116">
        <f>IF(42-ЛагОткрытия&lt;1,0,INDEX($L12:$BS12,1,42-ЛагОткрытия))*КонверсияОткрытия*ШколНаПродажу</f>
        <v/>
      </c>
      <c r="BB13" s="116">
        <f>IF(43-ЛагОткрытия&lt;1,0,INDEX($L12:$BS12,1,43-ЛагОткрытия))*КонверсияОткрытия*ШколНаПродажу</f>
        <v/>
      </c>
      <c r="BC13" s="116">
        <f>IF(44-ЛагОткрытия&lt;1,0,INDEX($L12:$BS12,1,44-ЛагОткрытия))*КонверсияОткрытия*ШколНаПродажу</f>
        <v/>
      </c>
      <c r="BD13" s="116">
        <f>IF(45-ЛагОткрытия&lt;1,0,INDEX($L12:$BS12,1,45-ЛагОткрытия))*КонверсияОткрытия*ШколНаПродажу</f>
        <v/>
      </c>
      <c r="BE13" s="116">
        <f>IF(46-ЛагОткрытия&lt;1,0,INDEX($L12:$BS12,1,46-ЛагОткрытия))*КонверсияОткрытия*ШколНаПродажу</f>
        <v/>
      </c>
      <c r="BF13" s="116">
        <f>IF(47-ЛагОткрытия&lt;1,0,INDEX($L12:$BS12,1,47-ЛагОткрытия))*КонверсияОткрытия*ШколНаПродажу</f>
        <v/>
      </c>
      <c r="BG13" s="116">
        <f>IF(48-ЛагОткрытия&lt;1,0,INDEX($L12:$BS12,1,48-ЛагОткрытия))*КонверсияОткрытия*ШколНаПродажу</f>
        <v/>
      </c>
      <c r="BH13" s="116">
        <f>IF(49-ЛагОткрытия&lt;1,0,INDEX($L12:$BS12,1,49-ЛагОткрытия))*КонверсияОткрытия*ШколНаПродажу</f>
        <v/>
      </c>
      <c r="BI13" s="116">
        <f>IF(50-ЛагОткрытия&lt;1,0,INDEX($L12:$BS12,1,50-ЛагОткрытия))*КонверсияОткрытия*ШколНаПродажу</f>
        <v/>
      </c>
      <c r="BJ13" s="116">
        <f>IF(51-ЛагОткрытия&lt;1,0,INDEX($L12:$BS12,1,51-ЛагОткрытия))*КонверсияОткрытия*ШколНаПродажу</f>
        <v/>
      </c>
      <c r="BK13" s="116">
        <f>IF(52-ЛагОткрытия&lt;1,0,INDEX($L12:$BS12,1,52-ЛагОткрытия))*КонверсияОткрытия*ШколНаПродажу</f>
        <v/>
      </c>
      <c r="BL13" s="116">
        <f>IF(53-ЛагОткрытия&lt;1,0,INDEX($L12:$BS12,1,53-ЛагОткрытия))*КонверсияОткрытия*ШколНаПродажу</f>
        <v/>
      </c>
      <c r="BM13" s="116">
        <f>IF(54-ЛагОткрытия&lt;1,0,INDEX($L12:$BS12,1,54-ЛагОткрытия))*КонверсияОткрытия*ШколНаПродажу</f>
        <v/>
      </c>
      <c r="BN13" s="116">
        <f>IF(55-ЛагОткрытия&lt;1,0,INDEX($L12:$BS12,1,55-ЛагОткрытия))*КонверсияОткрытия*ШколНаПродажу</f>
        <v/>
      </c>
      <c r="BO13" s="116">
        <f>IF(56-ЛагОткрытия&lt;1,0,INDEX($L12:$BS12,1,56-ЛагОткрытия))*КонверсияОткрытия*ШколНаПродажу</f>
        <v/>
      </c>
      <c r="BP13" s="116">
        <f>IF(57-ЛагОткрытия&lt;1,0,INDEX($L12:$BS12,1,57-ЛагОткрытия))*КонверсияОткрытия*ШколНаПродажу</f>
        <v/>
      </c>
      <c r="BQ13" s="116">
        <f>IF(58-ЛагОткрытия&lt;1,0,INDEX($L12:$BS12,1,58-ЛагОткрытия))*КонверсияОткрытия*ШколНаПродажу</f>
        <v/>
      </c>
      <c r="BR13" s="116">
        <f>IF(59-ЛагОткрытия&lt;1,0,INDEX($L12:$BS12,1,59-ЛагОткрытия))*КонверсияОткрытия*ШколНаПродажу</f>
        <v/>
      </c>
      <c r="BS13" s="116">
        <f>IF(60-ЛагОткрытия&lt;1,0,INDEX($L12:$BS12,1,60-ЛагОткрытия))*КонверсияОткрытия*ШколНаПродажу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04" t="inlineStr">
        <is>
          <t>Партнёр появляется в месяц покупки франшизы — без лага: лаг нужен школе, а не договору</t>
        </is>
      </c>
      <c r="E14" s="114">
        <f>SUM(L14:W14)</f>
        <v/>
      </c>
      <c r="F14" s="114">
        <f>SUM(X14:AI14)</f>
        <v/>
      </c>
      <c r="G14" s="114">
        <f>SUM(AJ14:AU14)</f>
        <v/>
      </c>
      <c r="H14" s="114">
        <f>SUM(AV14:BG14)</f>
        <v/>
      </c>
      <c r="I14" s="114">
        <f>SUM(BH14:BS14)</f>
        <v/>
      </c>
      <c r="J14" s="115">
        <f>SUM(L14:BS14)</f>
        <v/>
      </c>
      <c r="L14" s="116">
        <f>L12*ЮрлицНаПродажу</f>
        <v/>
      </c>
      <c r="M14" s="116">
        <f>M12*ЮрлицНаПродажу</f>
        <v/>
      </c>
      <c r="N14" s="116">
        <f>N12*ЮрлицНаПродажу</f>
        <v/>
      </c>
      <c r="O14" s="116">
        <f>O12*ЮрлицНаПродажу</f>
        <v/>
      </c>
      <c r="P14" s="116">
        <f>P12*ЮрлицНаПродажу</f>
        <v/>
      </c>
      <c r="Q14" s="116">
        <f>Q12*ЮрлицНаПродажу</f>
        <v/>
      </c>
      <c r="R14" s="116">
        <f>R12*ЮрлицНаПродажу</f>
        <v/>
      </c>
      <c r="S14" s="116">
        <f>S12*ЮрлицНаПродажу</f>
        <v/>
      </c>
      <c r="T14" s="116">
        <f>T12*ЮрлицНаПродажу</f>
        <v/>
      </c>
      <c r="U14" s="116">
        <f>U12*ЮрлицНаПродажу</f>
        <v/>
      </c>
      <c r="V14" s="116">
        <f>V12*ЮрлицНаПродажу</f>
        <v/>
      </c>
      <c r="W14" s="116">
        <f>W12*ЮрлицНаПродажу</f>
        <v/>
      </c>
      <c r="X14" s="116">
        <f>X12*ЮрлицНаПродажу</f>
        <v/>
      </c>
      <c r="Y14" s="116">
        <f>Y12*ЮрлицНаПродажу</f>
        <v/>
      </c>
      <c r="Z14" s="116">
        <f>Z12*ЮрлицНаПродажу</f>
        <v/>
      </c>
      <c r="AA14" s="116">
        <f>AA12*ЮрлицНаПродажу</f>
        <v/>
      </c>
      <c r="AB14" s="116">
        <f>AB12*ЮрлицНаПродажу</f>
        <v/>
      </c>
      <c r="AC14" s="116">
        <f>AC12*ЮрлицНаПродажу</f>
        <v/>
      </c>
      <c r="AD14" s="116">
        <f>AD12*ЮрлицНаПродажу</f>
        <v/>
      </c>
      <c r="AE14" s="116">
        <f>AE12*ЮрлицНаПродажу</f>
        <v/>
      </c>
      <c r="AF14" s="116">
        <f>AF12*ЮрлицНаПродажу</f>
        <v/>
      </c>
      <c r="AG14" s="116">
        <f>AG12*ЮрлицНаПродажу</f>
        <v/>
      </c>
      <c r="AH14" s="116">
        <f>AH12*ЮрлицНаПродажу</f>
        <v/>
      </c>
      <c r="AI14" s="116">
        <f>AI12*ЮрлицНаПродажу</f>
        <v/>
      </c>
      <c r="AJ14" s="116">
        <f>AJ12*ЮрлицНаПродажу</f>
        <v/>
      </c>
      <c r="AK14" s="116">
        <f>AK12*ЮрлицНаПродажу</f>
        <v/>
      </c>
      <c r="AL14" s="116">
        <f>AL12*ЮрлицНаПродажу</f>
        <v/>
      </c>
      <c r="AM14" s="116">
        <f>AM12*ЮрлицНаПродажу</f>
        <v/>
      </c>
      <c r="AN14" s="116">
        <f>AN12*ЮрлицНаПродажу</f>
        <v/>
      </c>
      <c r="AO14" s="116">
        <f>AO12*ЮрлицНаПродажу</f>
        <v/>
      </c>
      <c r="AP14" s="116">
        <f>AP12*ЮрлицНаПродажу</f>
        <v/>
      </c>
      <c r="AQ14" s="116">
        <f>AQ12*ЮрлицНаПродажу</f>
        <v/>
      </c>
      <c r="AR14" s="116">
        <f>AR12*ЮрлицНаПродажу</f>
        <v/>
      </c>
      <c r="AS14" s="116">
        <f>AS12*ЮрлицНаПродажу</f>
        <v/>
      </c>
      <c r="AT14" s="116">
        <f>AT12*ЮрлицНаПродажу</f>
        <v/>
      </c>
      <c r="AU14" s="116">
        <f>AU12*ЮрлицНаПродажу</f>
        <v/>
      </c>
      <c r="AV14" s="116">
        <f>AV12*ЮрлицНаПродажу</f>
        <v/>
      </c>
      <c r="AW14" s="116">
        <f>AW12*ЮрлицНаПродажу</f>
        <v/>
      </c>
      <c r="AX14" s="116">
        <f>AX12*ЮрлицНаПродажу</f>
        <v/>
      </c>
      <c r="AY14" s="116">
        <f>AY12*ЮрлицНаПродажу</f>
        <v/>
      </c>
      <c r="AZ14" s="116">
        <f>AZ12*ЮрлицНаПродажу</f>
        <v/>
      </c>
      <c r="BA14" s="116">
        <f>BA12*ЮрлицНаПродажу</f>
        <v/>
      </c>
      <c r="BB14" s="116">
        <f>BB12*ЮрлицНаПродажу</f>
        <v/>
      </c>
      <c r="BC14" s="116">
        <f>BC12*ЮрлицНаПродажу</f>
        <v/>
      </c>
      <c r="BD14" s="116">
        <f>BD12*ЮрлицНаПродажу</f>
        <v/>
      </c>
      <c r="BE14" s="116">
        <f>BE12*ЮрлицНаПродажу</f>
        <v/>
      </c>
      <c r="BF14" s="116">
        <f>BF12*ЮрлицНаПродажу</f>
        <v/>
      </c>
      <c r="BG14" s="116">
        <f>BG12*ЮрлицНаПродажу</f>
        <v/>
      </c>
      <c r="BH14" s="116">
        <f>BH12*ЮрлицНаПродажу</f>
        <v/>
      </c>
      <c r="BI14" s="116">
        <f>BI12*ЮрлицНаПродажу</f>
        <v/>
      </c>
      <c r="BJ14" s="116">
        <f>BJ12*ЮрлицНаПродажу</f>
        <v/>
      </c>
      <c r="BK14" s="116">
        <f>BK12*ЮрлицНаПродажу</f>
        <v/>
      </c>
      <c r="BL14" s="116">
        <f>BL12*ЮрлицНаПродажу</f>
        <v/>
      </c>
      <c r="BM14" s="116">
        <f>BM12*ЮрлицНаПродажу</f>
        <v/>
      </c>
      <c r="BN14" s="116">
        <f>BN12*ЮрлицНаПродажу</f>
        <v/>
      </c>
      <c r="BO14" s="116">
        <f>BO12*ЮрлицНаПродажу</f>
        <v/>
      </c>
      <c r="BP14" s="116">
        <f>BP12*ЮрлицНаПродажу</f>
        <v/>
      </c>
      <c r="BQ14" s="116">
        <f>BQ12*ЮрлицНаПродажу</f>
        <v/>
      </c>
      <c r="BR14" s="116">
        <f>BR12*ЮрлицНаПродажу</f>
        <v/>
      </c>
      <c r="BS14" s="116">
        <f>BS12*ЮрлицНаПродажу</f>
        <v/>
      </c>
    </row>
    <row r="16">
      <c r="B16" s="102" t="inlineStr">
        <is>
          <t>Действующая сеть (та, что была на старте)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04" t="inlineStr">
        <is>
          <t>Каждый месяц убывает на коэффициент закрытия</t>
        </is>
      </c>
      <c r="E17" s="114">
        <f>W17</f>
        <v/>
      </c>
      <c r="F17" s="114">
        <f>AI17</f>
        <v/>
      </c>
      <c r="G17" s="114">
        <f>AU17</f>
        <v/>
      </c>
      <c r="H17" s="114">
        <f>BG17</f>
        <v/>
      </c>
      <c r="I17" s="114">
        <f>BS17</f>
        <v/>
      </c>
      <c r="J17" s="115">
        <f>BS17</f>
        <v/>
      </c>
      <c r="L17" s="116">
        <f>ШколыСтарт*КоэффСохранения</f>
        <v/>
      </c>
      <c r="M17" s="116">
        <f>L17*КоэффСохранения</f>
        <v/>
      </c>
      <c r="N17" s="116">
        <f>M17*КоэффСохранения</f>
        <v/>
      </c>
      <c r="O17" s="116">
        <f>N17*КоэффСохранения</f>
        <v/>
      </c>
      <c r="P17" s="116">
        <f>O17*КоэффСохранения</f>
        <v/>
      </c>
      <c r="Q17" s="116">
        <f>P17*КоэффСохранения</f>
        <v/>
      </c>
      <c r="R17" s="116">
        <f>Q17*КоэффСохранения</f>
        <v/>
      </c>
      <c r="S17" s="116">
        <f>R17*КоэффСохранения</f>
        <v/>
      </c>
      <c r="T17" s="116">
        <f>S17*КоэффСохранения</f>
        <v/>
      </c>
      <c r="U17" s="116">
        <f>T17*КоэффСохранения</f>
        <v/>
      </c>
      <c r="V17" s="116">
        <f>U17*КоэффСохранения</f>
        <v/>
      </c>
      <c r="W17" s="116">
        <f>V17*КоэффСохранения</f>
        <v/>
      </c>
      <c r="X17" s="116">
        <f>W17*КоэффСохранения</f>
        <v/>
      </c>
      <c r="Y17" s="116">
        <f>X17*КоэффСохранения</f>
        <v/>
      </c>
      <c r="Z17" s="116">
        <f>Y17*КоэффСохранения</f>
        <v/>
      </c>
      <c r="AA17" s="116">
        <f>Z17*КоэффСохранения</f>
        <v/>
      </c>
      <c r="AB17" s="116">
        <f>AA17*КоэффСохранения</f>
        <v/>
      </c>
      <c r="AC17" s="116">
        <f>AB17*КоэффСохранения</f>
        <v/>
      </c>
      <c r="AD17" s="116">
        <f>AC17*КоэффСохранения</f>
        <v/>
      </c>
      <c r="AE17" s="116">
        <f>AD17*КоэффСохранения</f>
        <v/>
      </c>
      <c r="AF17" s="116">
        <f>AE17*КоэффСохранения</f>
        <v/>
      </c>
      <c r="AG17" s="116">
        <f>AF17*КоэффСохранения</f>
        <v/>
      </c>
      <c r="AH17" s="116">
        <f>AG17*КоэффСохранения</f>
        <v/>
      </c>
      <c r="AI17" s="116">
        <f>AH17*КоэффСохранения</f>
        <v/>
      </c>
      <c r="AJ17" s="116">
        <f>AI17*КоэффСохранения</f>
        <v/>
      </c>
      <c r="AK17" s="116">
        <f>AJ17*КоэффСохранения</f>
        <v/>
      </c>
      <c r="AL17" s="116">
        <f>AK17*КоэффСохранения</f>
        <v/>
      </c>
      <c r="AM17" s="116">
        <f>AL17*КоэффСохранения</f>
        <v/>
      </c>
      <c r="AN17" s="116">
        <f>AM17*КоэффСохранения</f>
        <v/>
      </c>
      <c r="AO17" s="116">
        <f>AN17*КоэффСохранения</f>
        <v/>
      </c>
      <c r="AP17" s="116">
        <f>AO17*КоэффСохранения</f>
        <v/>
      </c>
      <c r="AQ17" s="116">
        <f>AP17*КоэффСохранения</f>
        <v/>
      </c>
      <c r="AR17" s="116">
        <f>AQ17*КоэффСохранения</f>
        <v/>
      </c>
      <c r="AS17" s="116">
        <f>AR17*КоэффСохранения</f>
        <v/>
      </c>
      <c r="AT17" s="116">
        <f>AS17*КоэффСохранения</f>
        <v/>
      </c>
      <c r="AU17" s="116">
        <f>AT17*КоэффСохранения</f>
        <v/>
      </c>
      <c r="AV17" s="116">
        <f>AU17*КоэффСохранения</f>
        <v/>
      </c>
      <c r="AW17" s="116">
        <f>AV17*КоэффСохранения</f>
        <v/>
      </c>
      <c r="AX17" s="116">
        <f>AW17*КоэффСохранения</f>
        <v/>
      </c>
      <c r="AY17" s="116">
        <f>AX17*КоэффСохранения</f>
        <v/>
      </c>
      <c r="AZ17" s="116">
        <f>AY17*КоэффСохранения</f>
        <v/>
      </c>
      <c r="BA17" s="116">
        <f>AZ17*КоэффСохранения</f>
        <v/>
      </c>
      <c r="BB17" s="116">
        <f>BA17*КоэффСохранения</f>
        <v/>
      </c>
      <c r="BC17" s="116">
        <f>BB17*КоэффСохранения</f>
        <v/>
      </c>
      <c r="BD17" s="116">
        <f>BC17*КоэффСохранения</f>
        <v/>
      </c>
      <c r="BE17" s="116">
        <f>BD17*КоэффСохранения</f>
        <v/>
      </c>
      <c r="BF17" s="116">
        <f>BE17*КоэффСохранения</f>
        <v/>
      </c>
      <c r="BG17" s="116">
        <f>BF17*КоэффСохранения</f>
        <v/>
      </c>
      <c r="BH17" s="116">
        <f>BG17*КоэффСохранения</f>
        <v/>
      </c>
      <c r="BI17" s="116">
        <f>BH17*КоэффСохранения</f>
        <v/>
      </c>
      <c r="BJ17" s="116">
        <f>BI17*КоэффСохранения</f>
        <v/>
      </c>
      <c r="BK17" s="116">
        <f>BJ17*КоэффСохранения</f>
        <v/>
      </c>
      <c r="BL17" s="116">
        <f>BK17*КоэффСохранения</f>
        <v/>
      </c>
      <c r="BM17" s="116">
        <f>BL17*КоэффСохранения</f>
        <v/>
      </c>
      <c r="BN17" s="116">
        <f>BM17*КоэффСохранения</f>
        <v/>
      </c>
      <c r="BO17" s="116">
        <f>BN17*КоэффСохранения</f>
        <v/>
      </c>
      <c r="BP17" s="116">
        <f>BO17*КоэффСохранения</f>
        <v/>
      </c>
      <c r="BQ17" s="116">
        <f>BP17*КоэффСохранения</f>
        <v/>
      </c>
      <c r="BR17" s="116">
        <f>BQ17*КоэффСохранения</f>
        <v/>
      </c>
      <c r="BS17" s="116">
        <f>BR17*КоэффСохранения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04" t="inlineStr">
        <is>
          <t>База растёт по сезонам и уменьшается вместе с числом школ</t>
        </is>
      </c>
      <c r="E18" s="114">
        <f>W18</f>
        <v/>
      </c>
      <c r="F18" s="114">
        <f>AI18</f>
        <v/>
      </c>
      <c r="G18" s="114">
        <f>AU18</f>
        <v/>
      </c>
      <c r="H18" s="114">
        <f>BG18</f>
        <v/>
      </c>
      <c r="I18" s="114">
        <f>BS18</f>
        <v/>
      </c>
      <c r="J18" s="115">
        <f>BS18</f>
        <v/>
      </c>
      <c r="L18" s="116">
        <f>ДетиСтарт*(1+РостДетей)^(L7-1)*IF(ШколыСтарт=0,0,L17/ШколыСтарт)</f>
        <v/>
      </c>
      <c r="M18" s="116">
        <f>ДетиСтарт*(1+РостДетей)^(M7-1)*IF(ШколыСтарт=0,0,M17/ШколыСтарт)</f>
        <v/>
      </c>
      <c r="N18" s="116">
        <f>ДетиСтарт*(1+РостДетей)^(N7-1)*IF(ШколыСтарт=0,0,N17/ШколыСтарт)</f>
        <v/>
      </c>
      <c r="O18" s="116">
        <f>ДетиСтарт*(1+РостДетей)^(O7-1)*IF(ШколыСтарт=0,0,O17/ШколыСтарт)</f>
        <v/>
      </c>
      <c r="P18" s="116">
        <f>ДетиСтарт*(1+РостДетей)^(P7-1)*IF(ШколыСтарт=0,0,P17/ШколыСтарт)</f>
        <v/>
      </c>
      <c r="Q18" s="116">
        <f>ДетиСтарт*(1+РостДетей)^(Q7-1)*IF(ШколыСтарт=0,0,Q17/ШколыСтарт)</f>
        <v/>
      </c>
      <c r="R18" s="116">
        <f>ДетиСтарт*(1+РостДетей)^(R7-1)*IF(ШколыСтарт=0,0,R17/ШколыСтарт)</f>
        <v/>
      </c>
      <c r="S18" s="116">
        <f>ДетиСтарт*(1+РостДетей)^(S7-1)*IF(ШколыСтарт=0,0,S17/ШколыСтарт)</f>
        <v/>
      </c>
      <c r="T18" s="116">
        <f>ДетиСтарт*(1+РостДетей)^(T7-1)*IF(ШколыСтарт=0,0,T17/ШколыСтарт)</f>
        <v/>
      </c>
      <c r="U18" s="116">
        <f>ДетиСтарт*(1+РостДетей)^(U7-1)*IF(ШколыСтарт=0,0,U17/ШколыСтарт)</f>
        <v/>
      </c>
      <c r="V18" s="116">
        <f>ДетиСтарт*(1+РостДетей)^(V7-1)*IF(ШколыСтарт=0,0,V17/ШколыСтарт)</f>
        <v/>
      </c>
      <c r="W18" s="116">
        <f>ДетиСтарт*(1+РостДетей)^(W7-1)*IF(ШколыСтарт=0,0,W17/ШколыСтарт)</f>
        <v/>
      </c>
      <c r="X18" s="116">
        <f>ДетиСтарт*(1+РостДетей)^(X7-1)*IF(ШколыСтарт=0,0,X17/ШколыСтарт)</f>
        <v/>
      </c>
      <c r="Y18" s="116">
        <f>ДетиСтарт*(1+РостДетей)^(Y7-1)*IF(ШколыСтарт=0,0,Y17/ШколыСтарт)</f>
        <v/>
      </c>
      <c r="Z18" s="116">
        <f>ДетиСтарт*(1+РостДетей)^(Z7-1)*IF(ШколыСтарт=0,0,Z17/ШколыСтарт)</f>
        <v/>
      </c>
      <c r="AA18" s="116">
        <f>ДетиСтарт*(1+РостДетей)^(AA7-1)*IF(ШколыСтарт=0,0,AA17/ШколыСтарт)</f>
        <v/>
      </c>
      <c r="AB18" s="116">
        <f>ДетиСтарт*(1+РостДетей)^(AB7-1)*IF(ШколыСтарт=0,0,AB17/ШколыСтарт)</f>
        <v/>
      </c>
      <c r="AC18" s="116">
        <f>ДетиСтарт*(1+РостДетей)^(AC7-1)*IF(ШколыСтарт=0,0,AC17/ШколыСтарт)</f>
        <v/>
      </c>
      <c r="AD18" s="116">
        <f>ДетиСтарт*(1+РостДетей)^(AD7-1)*IF(ШколыСтарт=0,0,AD17/ШколыСтарт)</f>
        <v/>
      </c>
      <c r="AE18" s="116">
        <f>ДетиСтарт*(1+РостДетей)^(AE7-1)*IF(ШколыСтарт=0,0,AE17/ШколыСтарт)</f>
        <v/>
      </c>
      <c r="AF18" s="116">
        <f>ДетиСтарт*(1+РостДетей)^(AF7-1)*IF(ШколыСтарт=0,0,AF17/ШколыСтарт)</f>
        <v/>
      </c>
      <c r="AG18" s="116">
        <f>ДетиСтарт*(1+РостДетей)^(AG7-1)*IF(ШколыСтарт=0,0,AG17/ШколыСтарт)</f>
        <v/>
      </c>
      <c r="AH18" s="116">
        <f>ДетиСтарт*(1+РостДетей)^(AH7-1)*IF(ШколыСтарт=0,0,AH17/ШколыСтарт)</f>
        <v/>
      </c>
      <c r="AI18" s="116">
        <f>ДетиСтарт*(1+РостДетей)^(AI7-1)*IF(ШколыСтарт=0,0,AI17/ШколыСтарт)</f>
        <v/>
      </c>
      <c r="AJ18" s="116">
        <f>ДетиСтарт*(1+РостДетей)^(AJ7-1)*IF(ШколыСтарт=0,0,AJ17/ШколыСтарт)</f>
        <v/>
      </c>
      <c r="AK18" s="116">
        <f>ДетиСтарт*(1+РостДетей)^(AK7-1)*IF(ШколыСтарт=0,0,AK17/ШколыСтарт)</f>
        <v/>
      </c>
      <c r="AL18" s="116">
        <f>ДетиСтарт*(1+РостДетей)^(AL7-1)*IF(ШколыСтарт=0,0,AL17/ШколыСтарт)</f>
        <v/>
      </c>
      <c r="AM18" s="116">
        <f>ДетиСтарт*(1+РостДетей)^(AM7-1)*IF(ШколыСтарт=0,0,AM17/ШколыСтарт)</f>
        <v/>
      </c>
      <c r="AN18" s="116">
        <f>ДетиСтарт*(1+РостДетей)^(AN7-1)*IF(ШколыСтарт=0,0,AN17/ШколыСтарт)</f>
        <v/>
      </c>
      <c r="AO18" s="116">
        <f>ДетиСтарт*(1+РостДетей)^(AO7-1)*IF(ШколыСтарт=0,0,AO17/ШколыСтарт)</f>
        <v/>
      </c>
      <c r="AP18" s="116">
        <f>ДетиСтарт*(1+РостДетей)^(AP7-1)*IF(ШколыСтарт=0,0,AP17/ШколыСтарт)</f>
        <v/>
      </c>
      <c r="AQ18" s="116">
        <f>ДетиСтарт*(1+РостДетей)^(AQ7-1)*IF(ШколыСтарт=0,0,AQ17/ШколыСтарт)</f>
        <v/>
      </c>
      <c r="AR18" s="116">
        <f>ДетиСтарт*(1+РостДетей)^(AR7-1)*IF(ШколыСтарт=0,0,AR17/ШколыСтарт)</f>
        <v/>
      </c>
      <c r="AS18" s="116">
        <f>ДетиСтарт*(1+РостДетей)^(AS7-1)*IF(ШколыСтарт=0,0,AS17/ШколыСтарт)</f>
        <v/>
      </c>
      <c r="AT18" s="116">
        <f>ДетиСтарт*(1+РостДетей)^(AT7-1)*IF(ШколыСтарт=0,0,AT17/ШколыСтарт)</f>
        <v/>
      </c>
      <c r="AU18" s="116">
        <f>ДетиСтарт*(1+РостДетей)^(AU7-1)*IF(ШколыСтарт=0,0,AU17/ШколыСтарт)</f>
        <v/>
      </c>
      <c r="AV18" s="116">
        <f>ДетиСтарт*(1+РостДетей)^(AV7-1)*IF(ШколыСтарт=0,0,AV17/ШколыСтарт)</f>
        <v/>
      </c>
      <c r="AW18" s="116">
        <f>ДетиСтарт*(1+РостДетей)^(AW7-1)*IF(ШколыСтарт=0,0,AW17/ШколыСтарт)</f>
        <v/>
      </c>
      <c r="AX18" s="116">
        <f>ДетиСтарт*(1+РостДетей)^(AX7-1)*IF(ШколыСтарт=0,0,AX17/ШколыСтарт)</f>
        <v/>
      </c>
      <c r="AY18" s="116">
        <f>ДетиСтарт*(1+РостДетей)^(AY7-1)*IF(ШколыСтарт=0,0,AY17/ШколыСтарт)</f>
        <v/>
      </c>
      <c r="AZ18" s="116">
        <f>ДетиСтарт*(1+РостДетей)^(AZ7-1)*IF(ШколыСтарт=0,0,AZ17/ШколыСтарт)</f>
        <v/>
      </c>
      <c r="BA18" s="116">
        <f>ДетиСтарт*(1+РостДетей)^(BA7-1)*IF(ШколыСтарт=0,0,BA17/ШколыСтарт)</f>
        <v/>
      </c>
      <c r="BB18" s="116">
        <f>ДетиСтарт*(1+РостДетей)^(BB7-1)*IF(ШколыСтарт=0,0,BB17/ШколыСтарт)</f>
        <v/>
      </c>
      <c r="BC18" s="116">
        <f>ДетиСтарт*(1+РостДетей)^(BC7-1)*IF(ШколыСтарт=0,0,BC17/ШколыСтарт)</f>
        <v/>
      </c>
      <c r="BD18" s="116">
        <f>ДетиСтарт*(1+РостДетей)^(BD7-1)*IF(ШколыСтарт=0,0,BD17/ШколыСтарт)</f>
        <v/>
      </c>
      <c r="BE18" s="116">
        <f>ДетиСтарт*(1+РостДетей)^(BE7-1)*IF(ШколыСтарт=0,0,BE17/ШколыСтарт)</f>
        <v/>
      </c>
      <c r="BF18" s="116">
        <f>ДетиСтарт*(1+РостДетей)^(BF7-1)*IF(ШколыСтарт=0,0,BF17/ШколыСтарт)</f>
        <v/>
      </c>
      <c r="BG18" s="116">
        <f>ДетиСтарт*(1+РостДетей)^(BG7-1)*IF(ШколыСтарт=0,0,BG17/ШколыСтарт)</f>
        <v/>
      </c>
      <c r="BH18" s="116">
        <f>ДетиСтарт*(1+РостДетей)^(BH7-1)*IF(ШколыСтарт=0,0,BH17/ШколыСтарт)</f>
        <v/>
      </c>
      <c r="BI18" s="116">
        <f>ДетиСтарт*(1+РостДетей)^(BI7-1)*IF(ШколыСтарт=0,0,BI17/ШколыСтарт)</f>
        <v/>
      </c>
      <c r="BJ18" s="116">
        <f>ДетиСтарт*(1+РостДетей)^(BJ7-1)*IF(ШколыСтарт=0,0,BJ17/ШколыСтарт)</f>
        <v/>
      </c>
      <c r="BK18" s="116">
        <f>ДетиСтарт*(1+РостДетей)^(BK7-1)*IF(ШколыСтарт=0,0,BK17/ШколыСтарт)</f>
        <v/>
      </c>
      <c r="BL18" s="116">
        <f>ДетиСтарт*(1+РостДетей)^(BL7-1)*IF(ШколыСтарт=0,0,BL17/ШколыСтарт)</f>
        <v/>
      </c>
      <c r="BM18" s="116">
        <f>ДетиСтарт*(1+РостДетей)^(BM7-1)*IF(ШколыСтарт=0,0,BM17/ШколыСтарт)</f>
        <v/>
      </c>
      <c r="BN18" s="116">
        <f>ДетиСтарт*(1+РостДетей)^(BN7-1)*IF(ШколыСтарт=0,0,BN17/ШколыСтарт)</f>
        <v/>
      </c>
      <c r="BO18" s="116">
        <f>ДетиСтарт*(1+РостДетей)^(BO7-1)*IF(ШколыСтарт=0,0,BO17/ШколыСтарт)</f>
        <v/>
      </c>
      <c r="BP18" s="116">
        <f>ДетиСтарт*(1+РостДетей)^(BP7-1)*IF(ШколыСтарт=0,0,BP17/ШколыСтарт)</f>
        <v/>
      </c>
      <c r="BQ18" s="116">
        <f>ДетиСтарт*(1+РостДетей)^(BQ7-1)*IF(ШколыСтарт=0,0,BQ17/ШколыСтарт)</f>
        <v/>
      </c>
      <c r="BR18" s="116">
        <f>ДетиСтарт*(1+РостДетей)^(BR7-1)*IF(ШколыСтарт=0,0,BR17/ШколыСтарт)</f>
        <v/>
      </c>
      <c r="BS18" s="116">
        <f>ДетиСтарт*(1+РостДетей)^(BS7-1)*IF(ШколыСтарт=0,0,BS17/ШколыСтарт)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04" t="inlineStr">
        <is>
          <t>База, умноженная на сезонность посещаемости</t>
        </is>
      </c>
      <c r="E19" s="114">
        <f>W19</f>
        <v/>
      </c>
      <c r="F19" s="114">
        <f>AI19</f>
        <v/>
      </c>
      <c r="G19" s="114">
        <f>AU19</f>
        <v/>
      </c>
      <c r="H19" s="114">
        <f>BG19</f>
        <v/>
      </c>
      <c r="I19" s="114">
        <f>BS19</f>
        <v/>
      </c>
      <c r="J19" s="115">
        <f>BS19</f>
        <v/>
      </c>
      <c r="L19" s="116">
        <f>L18*L9</f>
        <v/>
      </c>
      <c r="M19" s="116">
        <f>M18*M9</f>
        <v/>
      </c>
      <c r="N19" s="116">
        <f>N18*N9</f>
        <v/>
      </c>
      <c r="O19" s="116">
        <f>O18*O9</f>
        <v/>
      </c>
      <c r="P19" s="116">
        <f>P18*P9</f>
        <v/>
      </c>
      <c r="Q19" s="116">
        <f>Q18*Q9</f>
        <v/>
      </c>
      <c r="R19" s="116">
        <f>R18*R9</f>
        <v/>
      </c>
      <c r="S19" s="116">
        <f>S18*S9</f>
        <v/>
      </c>
      <c r="T19" s="116">
        <f>T18*T9</f>
        <v/>
      </c>
      <c r="U19" s="116">
        <f>U18*U9</f>
        <v/>
      </c>
      <c r="V19" s="116">
        <f>V18*V9</f>
        <v/>
      </c>
      <c r="W19" s="116">
        <f>W18*W9</f>
        <v/>
      </c>
      <c r="X19" s="116">
        <f>X18*X9</f>
        <v/>
      </c>
      <c r="Y19" s="116">
        <f>Y18*Y9</f>
        <v/>
      </c>
      <c r="Z19" s="116">
        <f>Z18*Z9</f>
        <v/>
      </c>
      <c r="AA19" s="116">
        <f>AA18*AA9</f>
        <v/>
      </c>
      <c r="AB19" s="116">
        <f>AB18*AB9</f>
        <v/>
      </c>
      <c r="AC19" s="116">
        <f>AC18*AC9</f>
        <v/>
      </c>
      <c r="AD19" s="116">
        <f>AD18*AD9</f>
        <v/>
      </c>
      <c r="AE19" s="116">
        <f>AE18*AE9</f>
        <v/>
      </c>
      <c r="AF19" s="116">
        <f>AF18*AF9</f>
        <v/>
      </c>
      <c r="AG19" s="116">
        <f>AG18*AG9</f>
        <v/>
      </c>
      <c r="AH19" s="116">
        <f>AH18*AH9</f>
        <v/>
      </c>
      <c r="AI19" s="116">
        <f>AI18*AI9</f>
        <v/>
      </c>
      <c r="AJ19" s="116">
        <f>AJ18*AJ9</f>
        <v/>
      </c>
      <c r="AK19" s="116">
        <f>AK18*AK9</f>
        <v/>
      </c>
      <c r="AL19" s="116">
        <f>AL18*AL9</f>
        <v/>
      </c>
      <c r="AM19" s="116">
        <f>AM18*AM9</f>
        <v/>
      </c>
      <c r="AN19" s="116">
        <f>AN18*AN9</f>
        <v/>
      </c>
      <c r="AO19" s="116">
        <f>AO18*AO9</f>
        <v/>
      </c>
      <c r="AP19" s="116">
        <f>AP18*AP9</f>
        <v/>
      </c>
      <c r="AQ19" s="116">
        <f>AQ18*AQ9</f>
        <v/>
      </c>
      <c r="AR19" s="116">
        <f>AR18*AR9</f>
        <v/>
      </c>
      <c r="AS19" s="116">
        <f>AS18*AS9</f>
        <v/>
      </c>
      <c r="AT19" s="116">
        <f>AT18*AT9</f>
        <v/>
      </c>
      <c r="AU19" s="116">
        <f>AU18*AU9</f>
        <v/>
      </c>
      <c r="AV19" s="116">
        <f>AV18*AV9</f>
        <v/>
      </c>
      <c r="AW19" s="116">
        <f>AW18*AW9</f>
        <v/>
      </c>
      <c r="AX19" s="116">
        <f>AX18*AX9</f>
        <v/>
      </c>
      <c r="AY19" s="116">
        <f>AY18*AY9</f>
        <v/>
      </c>
      <c r="AZ19" s="116">
        <f>AZ18*AZ9</f>
        <v/>
      </c>
      <c r="BA19" s="116">
        <f>BA18*BA9</f>
        <v/>
      </c>
      <c r="BB19" s="116">
        <f>BB18*BB9</f>
        <v/>
      </c>
      <c r="BC19" s="116">
        <f>BC18*BC9</f>
        <v/>
      </c>
      <c r="BD19" s="116">
        <f>BD18*BD9</f>
        <v/>
      </c>
      <c r="BE19" s="116">
        <f>BE18*BE9</f>
        <v/>
      </c>
      <c r="BF19" s="116">
        <f>BF18*BF9</f>
        <v/>
      </c>
      <c r="BG19" s="116">
        <f>BG18*BG9</f>
        <v/>
      </c>
      <c r="BH19" s="116">
        <f>BH18*BH9</f>
        <v/>
      </c>
      <c r="BI19" s="116">
        <f>BI18*BI9</f>
        <v/>
      </c>
      <c r="BJ19" s="116">
        <f>BJ18*BJ9</f>
        <v/>
      </c>
      <c r="BK19" s="116">
        <f>BK18*BK9</f>
        <v/>
      </c>
      <c r="BL19" s="116">
        <f>BL18*BL9</f>
        <v/>
      </c>
      <c r="BM19" s="116">
        <f>BM18*BM9</f>
        <v/>
      </c>
      <c r="BN19" s="116">
        <f>BN18*BN9</f>
        <v/>
      </c>
      <c r="BO19" s="116">
        <f>BO18*BO9</f>
        <v/>
      </c>
      <c r="BP19" s="116">
        <f>BP18*BP9</f>
        <v/>
      </c>
      <c r="BQ19" s="116">
        <f>BQ18*BQ9</f>
        <v/>
      </c>
      <c r="BR19" s="116">
        <f>BR18*BR9</f>
        <v/>
      </c>
      <c r="BS19" s="116">
        <f>BS18*BS9</f>
        <v/>
      </c>
    </row>
    <row r="21">
      <c r="B21" s="102" t="inlineStr">
        <is>
          <t>Новые школы по месяцам жизни</t>
        </is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3" t="n"/>
      <c r="AI21" s="103" t="n"/>
      <c r="AJ21" s="103" t="n"/>
      <c r="AK21" s="103" t="n"/>
      <c r="AL21" s="103" t="n"/>
      <c r="AM21" s="103" t="n"/>
      <c r="AN21" s="103" t="n"/>
      <c r="AO21" s="103" t="n"/>
      <c r="AP21" s="103" t="n"/>
      <c r="AQ21" s="103" t="n"/>
      <c r="AR21" s="103" t="n"/>
      <c r="AS21" s="103" t="n"/>
      <c r="AT21" s="103" t="n"/>
      <c r="AU21" s="103" t="n"/>
      <c r="AV21" s="103" t="n"/>
      <c r="AW21" s="103" t="n"/>
      <c r="AX21" s="103" t="n"/>
      <c r="AY21" s="103" t="n"/>
      <c r="AZ21" s="103" t="n"/>
      <c r="BA21" s="103" t="n"/>
      <c r="BB21" s="103" t="n"/>
      <c r="BC21" s="103" t="n"/>
      <c r="BD21" s="103" t="n"/>
      <c r="BE21" s="103" t="n"/>
      <c r="BF21" s="103" t="n"/>
      <c r="BG21" s="103" t="n"/>
      <c r="BH21" s="103" t="n"/>
      <c r="BI21" s="103" t="n"/>
      <c r="BJ21" s="103" t="n"/>
      <c r="BK21" s="103" t="n"/>
      <c r="BL21" s="103" t="n"/>
      <c r="BM21" s="103" t="n"/>
      <c r="BN21" s="103" t="n"/>
      <c r="BO21" s="103" t="n"/>
      <c r="BP21" s="103" t="n"/>
      <c r="BQ21" s="103" t="n"/>
      <c r="BR21" s="103" t="n"/>
      <c r="BS21" s="103" t="n"/>
    </row>
    <row r="22">
      <c r="B22" t="inlineStr">
        <is>
          <t>1 мес.</t>
        </is>
      </c>
      <c r="C22" t="inlineStr">
        <is>
          <t>шт.</t>
        </is>
      </c>
      <c r="D22" s="104" t="inlineStr">
        <is>
          <t>Школы, открывшиеся в этом месяце</t>
        </is>
      </c>
      <c r="E22" s="114">
        <f>W22</f>
        <v/>
      </c>
      <c r="F22" s="114">
        <f>AI22</f>
        <v/>
      </c>
      <c r="G22" s="114">
        <f>AU22</f>
        <v/>
      </c>
      <c r="H22" s="114">
        <f>BG22</f>
        <v/>
      </c>
      <c r="I22" s="114">
        <f>BS22</f>
        <v/>
      </c>
      <c r="J22" s="115">
        <f>BS22</f>
        <v/>
      </c>
      <c r="L22" s="116">
        <f>L13</f>
        <v/>
      </c>
      <c r="M22" s="116">
        <f>M13</f>
        <v/>
      </c>
      <c r="N22" s="116">
        <f>N13</f>
        <v/>
      </c>
      <c r="O22" s="116">
        <f>O13</f>
        <v/>
      </c>
      <c r="P22" s="116">
        <f>P13</f>
        <v/>
      </c>
      <c r="Q22" s="116">
        <f>Q13</f>
        <v/>
      </c>
      <c r="R22" s="116">
        <f>R13</f>
        <v/>
      </c>
      <c r="S22" s="116">
        <f>S13</f>
        <v/>
      </c>
      <c r="T22" s="116">
        <f>T13</f>
        <v/>
      </c>
      <c r="U22" s="116">
        <f>U13</f>
        <v/>
      </c>
      <c r="V22" s="116">
        <f>V13</f>
        <v/>
      </c>
      <c r="W22" s="116">
        <f>W13</f>
        <v/>
      </c>
      <c r="X22" s="116">
        <f>X13</f>
        <v/>
      </c>
      <c r="Y22" s="116">
        <f>Y13</f>
        <v/>
      </c>
      <c r="Z22" s="116">
        <f>Z13</f>
        <v/>
      </c>
      <c r="AA22" s="116">
        <f>AA13</f>
        <v/>
      </c>
      <c r="AB22" s="116">
        <f>AB13</f>
        <v/>
      </c>
      <c r="AC22" s="116">
        <f>AC13</f>
        <v/>
      </c>
      <c r="AD22" s="116">
        <f>AD13</f>
        <v/>
      </c>
      <c r="AE22" s="116">
        <f>AE13</f>
        <v/>
      </c>
      <c r="AF22" s="116">
        <f>AF13</f>
        <v/>
      </c>
      <c r="AG22" s="116">
        <f>AG13</f>
        <v/>
      </c>
      <c r="AH22" s="116">
        <f>AH13</f>
        <v/>
      </c>
      <c r="AI22" s="116">
        <f>AI13</f>
        <v/>
      </c>
      <c r="AJ22" s="116">
        <f>AJ13</f>
        <v/>
      </c>
      <c r="AK22" s="116">
        <f>AK13</f>
        <v/>
      </c>
      <c r="AL22" s="116">
        <f>AL13</f>
        <v/>
      </c>
      <c r="AM22" s="116">
        <f>AM13</f>
        <v/>
      </c>
      <c r="AN22" s="116">
        <f>AN13</f>
        <v/>
      </c>
      <c r="AO22" s="116">
        <f>AO13</f>
        <v/>
      </c>
      <c r="AP22" s="116">
        <f>AP13</f>
        <v/>
      </c>
      <c r="AQ22" s="116">
        <f>AQ13</f>
        <v/>
      </c>
      <c r="AR22" s="116">
        <f>AR13</f>
        <v/>
      </c>
      <c r="AS22" s="116">
        <f>AS13</f>
        <v/>
      </c>
      <c r="AT22" s="116">
        <f>AT13</f>
        <v/>
      </c>
      <c r="AU22" s="116">
        <f>AU13</f>
        <v/>
      </c>
      <c r="AV22" s="116">
        <f>AV13</f>
        <v/>
      </c>
      <c r="AW22" s="116">
        <f>AW13</f>
        <v/>
      </c>
      <c r="AX22" s="116">
        <f>AX13</f>
        <v/>
      </c>
      <c r="AY22" s="116">
        <f>AY13</f>
        <v/>
      </c>
      <c r="AZ22" s="116">
        <f>AZ13</f>
        <v/>
      </c>
      <c r="BA22" s="116">
        <f>BA13</f>
        <v/>
      </c>
      <c r="BB22" s="116">
        <f>BB13</f>
        <v/>
      </c>
      <c r="BC22" s="116">
        <f>BC13</f>
        <v/>
      </c>
      <c r="BD22" s="116">
        <f>BD13</f>
        <v/>
      </c>
      <c r="BE22" s="116">
        <f>BE13</f>
        <v/>
      </c>
      <c r="BF22" s="116">
        <f>BF13</f>
        <v/>
      </c>
      <c r="BG22" s="116">
        <f>BG13</f>
        <v/>
      </c>
      <c r="BH22" s="116">
        <f>BH13</f>
        <v/>
      </c>
      <c r="BI22" s="116">
        <f>BI13</f>
        <v/>
      </c>
      <c r="BJ22" s="116">
        <f>BJ13</f>
        <v/>
      </c>
      <c r="BK22" s="116">
        <f>BK13</f>
        <v/>
      </c>
      <c r="BL22" s="116">
        <f>BL13</f>
        <v/>
      </c>
      <c r="BM22" s="116">
        <f>BM13</f>
        <v/>
      </c>
      <c r="BN22" s="116">
        <f>BN13</f>
        <v/>
      </c>
      <c r="BO22" s="116">
        <f>BO13</f>
        <v/>
      </c>
      <c r="BP22" s="116">
        <f>BP13</f>
        <v/>
      </c>
      <c r="BQ22" s="116">
        <f>BQ13</f>
        <v/>
      </c>
      <c r="BR22" s="116">
        <f>BR13</f>
        <v/>
      </c>
      <c r="BS22" s="116">
        <f>BS13</f>
        <v/>
      </c>
    </row>
    <row r="23">
      <c r="B23" t="inlineStr">
        <is>
          <t>2 мес.</t>
        </is>
      </c>
      <c r="C23" t="inlineStr">
        <is>
          <t>шт.</t>
        </is>
      </c>
      <c r="D23" s="104" t="inlineStr"/>
      <c r="E23" s="114">
        <f>W23</f>
        <v/>
      </c>
      <c r="F23" s="114">
        <f>AI23</f>
        <v/>
      </c>
      <c r="G23" s="114">
        <f>AU23</f>
        <v/>
      </c>
      <c r="H23" s="114">
        <f>BG23</f>
        <v/>
      </c>
      <c r="I23" s="114">
        <f>BS23</f>
        <v/>
      </c>
      <c r="J23" s="115">
        <f>BS23</f>
        <v/>
      </c>
      <c r="L23" s="116">
        <f>0</f>
        <v/>
      </c>
      <c r="M23" s="116">
        <f>L22*КоэффСохранения</f>
        <v/>
      </c>
      <c r="N23" s="116">
        <f>M22*КоэффСохранения</f>
        <v/>
      </c>
      <c r="O23" s="116">
        <f>N22*КоэффСохранения</f>
        <v/>
      </c>
      <c r="P23" s="116">
        <f>O22*КоэффСохранения</f>
        <v/>
      </c>
      <c r="Q23" s="116">
        <f>P22*КоэффСохранения</f>
        <v/>
      </c>
      <c r="R23" s="116">
        <f>Q22*КоэффСохранения</f>
        <v/>
      </c>
      <c r="S23" s="116">
        <f>R22*КоэффСохранения</f>
        <v/>
      </c>
      <c r="T23" s="116">
        <f>S22*КоэффСохранения</f>
        <v/>
      </c>
      <c r="U23" s="116">
        <f>T22*КоэффСохранения</f>
        <v/>
      </c>
      <c r="V23" s="116">
        <f>U22*КоэффСохранения</f>
        <v/>
      </c>
      <c r="W23" s="116">
        <f>V22*КоэффСохранения</f>
        <v/>
      </c>
      <c r="X23" s="116">
        <f>W22*КоэффСохранения</f>
        <v/>
      </c>
      <c r="Y23" s="116">
        <f>X22*КоэффСохранения</f>
        <v/>
      </c>
      <c r="Z23" s="116">
        <f>Y22*КоэффСохранения</f>
        <v/>
      </c>
      <c r="AA23" s="116">
        <f>Z22*КоэффСохранения</f>
        <v/>
      </c>
      <c r="AB23" s="116">
        <f>AA22*КоэффСохранения</f>
        <v/>
      </c>
      <c r="AC23" s="116">
        <f>AB22*КоэффСохранения</f>
        <v/>
      </c>
      <c r="AD23" s="116">
        <f>AC22*КоэффСохранения</f>
        <v/>
      </c>
      <c r="AE23" s="116">
        <f>AD22*КоэффСохранения</f>
        <v/>
      </c>
      <c r="AF23" s="116">
        <f>AE22*КоэффСохранения</f>
        <v/>
      </c>
      <c r="AG23" s="116">
        <f>AF22*КоэффСохранения</f>
        <v/>
      </c>
      <c r="AH23" s="116">
        <f>AG22*КоэффСохранения</f>
        <v/>
      </c>
      <c r="AI23" s="116">
        <f>AH22*КоэффСохранения</f>
        <v/>
      </c>
      <c r="AJ23" s="116">
        <f>AI22*КоэффСохранения</f>
        <v/>
      </c>
      <c r="AK23" s="116">
        <f>AJ22*КоэффСохранения</f>
        <v/>
      </c>
      <c r="AL23" s="116">
        <f>AK22*КоэффСохранения</f>
        <v/>
      </c>
      <c r="AM23" s="116">
        <f>AL22*КоэффСохранения</f>
        <v/>
      </c>
      <c r="AN23" s="116">
        <f>AM22*КоэффСохранения</f>
        <v/>
      </c>
      <c r="AO23" s="116">
        <f>AN22*КоэффСохранения</f>
        <v/>
      </c>
      <c r="AP23" s="116">
        <f>AO22*КоэффСохранения</f>
        <v/>
      </c>
      <c r="AQ23" s="116">
        <f>AP22*КоэффСохранения</f>
        <v/>
      </c>
      <c r="AR23" s="116">
        <f>AQ22*КоэффСохранения</f>
        <v/>
      </c>
      <c r="AS23" s="116">
        <f>AR22*КоэффСохранения</f>
        <v/>
      </c>
      <c r="AT23" s="116">
        <f>AS22*КоэффСохранения</f>
        <v/>
      </c>
      <c r="AU23" s="116">
        <f>AT22*КоэффСохранения</f>
        <v/>
      </c>
      <c r="AV23" s="116">
        <f>AU22*КоэффСохранения</f>
        <v/>
      </c>
      <c r="AW23" s="116">
        <f>AV22*КоэффСохранения</f>
        <v/>
      </c>
      <c r="AX23" s="116">
        <f>AW22*КоэффСохранения</f>
        <v/>
      </c>
      <c r="AY23" s="116">
        <f>AX22*КоэффСохранения</f>
        <v/>
      </c>
      <c r="AZ23" s="116">
        <f>AY22*КоэффСохранения</f>
        <v/>
      </c>
      <c r="BA23" s="116">
        <f>AZ22*КоэффСохранения</f>
        <v/>
      </c>
      <c r="BB23" s="116">
        <f>BA22*КоэффСохранения</f>
        <v/>
      </c>
      <c r="BC23" s="116">
        <f>BB22*КоэффСохранения</f>
        <v/>
      </c>
      <c r="BD23" s="116">
        <f>BC22*КоэффСохранения</f>
        <v/>
      </c>
      <c r="BE23" s="116">
        <f>BD22*КоэффСохранения</f>
        <v/>
      </c>
      <c r="BF23" s="116">
        <f>BE22*КоэффСохранения</f>
        <v/>
      </c>
      <c r="BG23" s="116">
        <f>BF22*КоэффСохранения</f>
        <v/>
      </c>
      <c r="BH23" s="116">
        <f>BG22*КоэффСохранения</f>
        <v/>
      </c>
      <c r="BI23" s="116">
        <f>BH22*КоэффСохранения</f>
        <v/>
      </c>
      <c r="BJ23" s="116">
        <f>BI22*КоэффСохранения</f>
        <v/>
      </c>
      <c r="BK23" s="116">
        <f>BJ22*КоэффСохранения</f>
        <v/>
      </c>
      <c r="BL23" s="116">
        <f>BK22*КоэффСохранения</f>
        <v/>
      </c>
      <c r="BM23" s="116">
        <f>BL22*КоэффСохранения</f>
        <v/>
      </c>
      <c r="BN23" s="116">
        <f>BM22*КоэффСохранения</f>
        <v/>
      </c>
      <c r="BO23" s="116">
        <f>BN22*КоэффСохранения</f>
        <v/>
      </c>
      <c r="BP23" s="116">
        <f>BO22*КоэффСохранения</f>
        <v/>
      </c>
      <c r="BQ23" s="116">
        <f>BP22*КоэффСохранения</f>
        <v/>
      </c>
      <c r="BR23" s="116">
        <f>BQ22*КоэффСохранения</f>
        <v/>
      </c>
      <c r="BS23" s="116">
        <f>BR22*КоэффСохранения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04" t="inlineStr"/>
      <c r="E24" s="114">
        <f>W24</f>
        <v/>
      </c>
      <c r="F24" s="114">
        <f>AI24</f>
        <v/>
      </c>
      <c r="G24" s="114">
        <f>AU24</f>
        <v/>
      </c>
      <c r="H24" s="114">
        <f>BG24</f>
        <v/>
      </c>
      <c r="I24" s="114">
        <f>BS24</f>
        <v/>
      </c>
      <c r="J24" s="115">
        <f>BS24</f>
        <v/>
      </c>
      <c r="L24" s="116">
        <f>0</f>
        <v/>
      </c>
      <c r="M24" s="116">
        <f>L23*КоэффСохранения</f>
        <v/>
      </c>
      <c r="N24" s="116">
        <f>M23*КоэффСохранения</f>
        <v/>
      </c>
      <c r="O24" s="116">
        <f>N23*КоэффСохранения</f>
        <v/>
      </c>
      <c r="P24" s="116">
        <f>O23*КоэффСохранения</f>
        <v/>
      </c>
      <c r="Q24" s="116">
        <f>P23*КоэффСохранения</f>
        <v/>
      </c>
      <c r="R24" s="116">
        <f>Q23*КоэффСохранения</f>
        <v/>
      </c>
      <c r="S24" s="116">
        <f>R23*КоэффСохранения</f>
        <v/>
      </c>
      <c r="T24" s="116">
        <f>S23*КоэффСохранения</f>
        <v/>
      </c>
      <c r="U24" s="116">
        <f>T23*КоэффСохранения</f>
        <v/>
      </c>
      <c r="V24" s="116">
        <f>U23*КоэффСохранения</f>
        <v/>
      </c>
      <c r="W24" s="116">
        <f>V23*КоэффСохранения</f>
        <v/>
      </c>
      <c r="X24" s="116">
        <f>W23*КоэффСохранения</f>
        <v/>
      </c>
      <c r="Y24" s="116">
        <f>X23*КоэффСохранения</f>
        <v/>
      </c>
      <c r="Z24" s="116">
        <f>Y23*КоэффСохранения</f>
        <v/>
      </c>
      <c r="AA24" s="116">
        <f>Z23*КоэффСохранения</f>
        <v/>
      </c>
      <c r="AB24" s="116">
        <f>AA23*КоэффСохранения</f>
        <v/>
      </c>
      <c r="AC24" s="116">
        <f>AB23*КоэффСохранения</f>
        <v/>
      </c>
      <c r="AD24" s="116">
        <f>AC23*КоэффСохранения</f>
        <v/>
      </c>
      <c r="AE24" s="116">
        <f>AD23*КоэффСохранения</f>
        <v/>
      </c>
      <c r="AF24" s="116">
        <f>AE23*КоэффСохранения</f>
        <v/>
      </c>
      <c r="AG24" s="116">
        <f>AF23*КоэффСохранения</f>
        <v/>
      </c>
      <c r="AH24" s="116">
        <f>AG23*КоэффСохранения</f>
        <v/>
      </c>
      <c r="AI24" s="116">
        <f>AH23*КоэффСохранения</f>
        <v/>
      </c>
      <c r="AJ24" s="116">
        <f>AI23*КоэффСохранения</f>
        <v/>
      </c>
      <c r="AK24" s="116">
        <f>AJ23*КоэффСохранения</f>
        <v/>
      </c>
      <c r="AL24" s="116">
        <f>AK23*КоэффСохранения</f>
        <v/>
      </c>
      <c r="AM24" s="116">
        <f>AL23*КоэффСохранения</f>
        <v/>
      </c>
      <c r="AN24" s="116">
        <f>AM23*КоэффСохранения</f>
        <v/>
      </c>
      <c r="AO24" s="116">
        <f>AN23*КоэффСохранения</f>
        <v/>
      </c>
      <c r="AP24" s="116">
        <f>AO23*КоэффСохранения</f>
        <v/>
      </c>
      <c r="AQ24" s="116">
        <f>AP23*КоэффСохранения</f>
        <v/>
      </c>
      <c r="AR24" s="116">
        <f>AQ23*КоэффСохранения</f>
        <v/>
      </c>
      <c r="AS24" s="116">
        <f>AR23*КоэффСохранения</f>
        <v/>
      </c>
      <c r="AT24" s="116">
        <f>AS23*КоэффСохранения</f>
        <v/>
      </c>
      <c r="AU24" s="116">
        <f>AT23*КоэффСохранения</f>
        <v/>
      </c>
      <c r="AV24" s="116">
        <f>AU23*КоэффСохранения</f>
        <v/>
      </c>
      <c r="AW24" s="116">
        <f>AV23*КоэффСохранения</f>
        <v/>
      </c>
      <c r="AX24" s="116">
        <f>AW23*КоэффСохранения</f>
        <v/>
      </c>
      <c r="AY24" s="116">
        <f>AX23*КоэффСохранения</f>
        <v/>
      </c>
      <c r="AZ24" s="116">
        <f>AY23*КоэффСохранения</f>
        <v/>
      </c>
      <c r="BA24" s="116">
        <f>AZ23*КоэффСохранения</f>
        <v/>
      </c>
      <c r="BB24" s="116">
        <f>BA23*КоэффСохранения</f>
        <v/>
      </c>
      <c r="BC24" s="116">
        <f>BB23*КоэффСохранения</f>
        <v/>
      </c>
      <c r="BD24" s="116">
        <f>BC23*КоэффСохранения</f>
        <v/>
      </c>
      <c r="BE24" s="116">
        <f>BD23*КоэффСохранения</f>
        <v/>
      </c>
      <c r="BF24" s="116">
        <f>BE23*КоэффСохранения</f>
        <v/>
      </c>
      <c r="BG24" s="116">
        <f>BF23*КоэффСохранения</f>
        <v/>
      </c>
      <c r="BH24" s="116">
        <f>BG23*КоэффСохранения</f>
        <v/>
      </c>
      <c r="BI24" s="116">
        <f>BH23*КоэффСохранения</f>
        <v/>
      </c>
      <c r="BJ24" s="116">
        <f>BI23*КоэффСохранения</f>
        <v/>
      </c>
      <c r="BK24" s="116">
        <f>BJ23*КоэффСохранения</f>
        <v/>
      </c>
      <c r="BL24" s="116">
        <f>BK23*КоэффСохранения</f>
        <v/>
      </c>
      <c r="BM24" s="116">
        <f>BL23*КоэффСохранения</f>
        <v/>
      </c>
      <c r="BN24" s="116">
        <f>BM23*КоэффСохранения</f>
        <v/>
      </c>
      <c r="BO24" s="116">
        <f>BN23*КоэффСохранения</f>
        <v/>
      </c>
      <c r="BP24" s="116">
        <f>BO23*КоэффСохранения</f>
        <v/>
      </c>
      <c r="BQ24" s="116">
        <f>BP23*КоэффСохранения</f>
        <v/>
      </c>
      <c r="BR24" s="116">
        <f>BQ23*КоэффСохранения</f>
        <v/>
      </c>
      <c r="BS24" s="116">
        <f>BR23*КоэффСохранения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04" t="inlineStr"/>
      <c r="E25" s="114">
        <f>W25</f>
        <v/>
      </c>
      <c r="F25" s="114">
        <f>AI25</f>
        <v/>
      </c>
      <c r="G25" s="114">
        <f>AU25</f>
        <v/>
      </c>
      <c r="H25" s="114">
        <f>BG25</f>
        <v/>
      </c>
      <c r="I25" s="114">
        <f>BS25</f>
        <v/>
      </c>
      <c r="J25" s="115">
        <f>BS25</f>
        <v/>
      </c>
      <c r="L25" s="116">
        <f>0</f>
        <v/>
      </c>
      <c r="M25" s="116">
        <f>L24*КоэффСохранения</f>
        <v/>
      </c>
      <c r="N25" s="116">
        <f>M24*КоэффСохранения</f>
        <v/>
      </c>
      <c r="O25" s="116">
        <f>N24*КоэффСохранения</f>
        <v/>
      </c>
      <c r="P25" s="116">
        <f>O24*КоэффСохранения</f>
        <v/>
      </c>
      <c r="Q25" s="116">
        <f>P24*КоэффСохранения</f>
        <v/>
      </c>
      <c r="R25" s="116">
        <f>Q24*КоэффСохранения</f>
        <v/>
      </c>
      <c r="S25" s="116">
        <f>R24*КоэффСохранения</f>
        <v/>
      </c>
      <c r="T25" s="116">
        <f>S24*КоэффСохранения</f>
        <v/>
      </c>
      <c r="U25" s="116">
        <f>T24*КоэффСохранения</f>
        <v/>
      </c>
      <c r="V25" s="116">
        <f>U24*КоэффСохранения</f>
        <v/>
      </c>
      <c r="W25" s="116">
        <f>V24*КоэффСохранения</f>
        <v/>
      </c>
      <c r="X25" s="116">
        <f>W24*КоэффСохранения</f>
        <v/>
      </c>
      <c r="Y25" s="116">
        <f>X24*КоэффСохранения</f>
        <v/>
      </c>
      <c r="Z25" s="116">
        <f>Y24*КоэффСохранения</f>
        <v/>
      </c>
      <c r="AA25" s="116">
        <f>Z24*КоэффСохранения</f>
        <v/>
      </c>
      <c r="AB25" s="116">
        <f>AA24*КоэффСохранения</f>
        <v/>
      </c>
      <c r="AC25" s="116">
        <f>AB24*КоэффСохранения</f>
        <v/>
      </c>
      <c r="AD25" s="116">
        <f>AC24*КоэффСохранения</f>
        <v/>
      </c>
      <c r="AE25" s="116">
        <f>AD24*КоэффСохранения</f>
        <v/>
      </c>
      <c r="AF25" s="116">
        <f>AE24*КоэффСохранения</f>
        <v/>
      </c>
      <c r="AG25" s="116">
        <f>AF24*КоэффСохранения</f>
        <v/>
      </c>
      <c r="AH25" s="116">
        <f>AG24*КоэффСохранения</f>
        <v/>
      </c>
      <c r="AI25" s="116">
        <f>AH24*КоэффСохранения</f>
        <v/>
      </c>
      <c r="AJ25" s="116">
        <f>AI24*КоэффСохранения</f>
        <v/>
      </c>
      <c r="AK25" s="116">
        <f>AJ24*КоэффСохранения</f>
        <v/>
      </c>
      <c r="AL25" s="116">
        <f>AK24*КоэффСохранения</f>
        <v/>
      </c>
      <c r="AM25" s="116">
        <f>AL24*КоэффСохранения</f>
        <v/>
      </c>
      <c r="AN25" s="116">
        <f>AM24*КоэффСохранения</f>
        <v/>
      </c>
      <c r="AO25" s="116">
        <f>AN24*КоэффСохранения</f>
        <v/>
      </c>
      <c r="AP25" s="116">
        <f>AO24*КоэффСохранения</f>
        <v/>
      </c>
      <c r="AQ25" s="116">
        <f>AP24*КоэффСохранения</f>
        <v/>
      </c>
      <c r="AR25" s="116">
        <f>AQ24*КоэффСохранения</f>
        <v/>
      </c>
      <c r="AS25" s="116">
        <f>AR24*КоэффСохранения</f>
        <v/>
      </c>
      <c r="AT25" s="116">
        <f>AS24*КоэффСохранения</f>
        <v/>
      </c>
      <c r="AU25" s="116">
        <f>AT24*КоэффСохранения</f>
        <v/>
      </c>
      <c r="AV25" s="116">
        <f>AU24*КоэффСохранения</f>
        <v/>
      </c>
      <c r="AW25" s="116">
        <f>AV24*КоэффСохранения</f>
        <v/>
      </c>
      <c r="AX25" s="116">
        <f>AW24*КоэффСохранения</f>
        <v/>
      </c>
      <c r="AY25" s="116">
        <f>AX24*КоэффСохранения</f>
        <v/>
      </c>
      <c r="AZ25" s="116">
        <f>AY24*КоэффСохранения</f>
        <v/>
      </c>
      <c r="BA25" s="116">
        <f>AZ24*КоэффСохранения</f>
        <v/>
      </c>
      <c r="BB25" s="116">
        <f>BA24*КоэффСохранения</f>
        <v/>
      </c>
      <c r="BC25" s="116">
        <f>BB24*КоэффСохранения</f>
        <v/>
      </c>
      <c r="BD25" s="116">
        <f>BC24*КоэффСохранения</f>
        <v/>
      </c>
      <c r="BE25" s="116">
        <f>BD24*КоэффСохранения</f>
        <v/>
      </c>
      <c r="BF25" s="116">
        <f>BE24*КоэффСохранения</f>
        <v/>
      </c>
      <c r="BG25" s="116">
        <f>BF24*КоэффСохранения</f>
        <v/>
      </c>
      <c r="BH25" s="116">
        <f>BG24*КоэффСохранения</f>
        <v/>
      </c>
      <c r="BI25" s="116">
        <f>BH24*КоэффСохранения</f>
        <v/>
      </c>
      <c r="BJ25" s="116">
        <f>BI24*КоэффСохранения</f>
        <v/>
      </c>
      <c r="BK25" s="116">
        <f>BJ24*КоэффСохранения</f>
        <v/>
      </c>
      <c r="BL25" s="116">
        <f>BK24*КоэффСохранения</f>
        <v/>
      </c>
      <c r="BM25" s="116">
        <f>BL24*КоэффСохранения</f>
        <v/>
      </c>
      <c r="BN25" s="116">
        <f>BM24*КоэффСохранения</f>
        <v/>
      </c>
      <c r="BO25" s="116">
        <f>BN24*КоэффСохранения</f>
        <v/>
      </c>
      <c r="BP25" s="116">
        <f>BO24*КоэффСохранения</f>
        <v/>
      </c>
      <c r="BQ25" s="116">
        <f>BP24*КоэффСохранения</f>
        <v/>
      </c>
      <c r="BR25" s="116">
        <f>BQ24*КоэффСохранения</f>
        <v/>
      </c>
      <c r="BS25" s="116">
        <f>BR24*КоэффСохранения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04" t="inlineStr"/>
      <c r="E26" s="114">
        <f>W26</f>
        <v/>
      </c>
      <c r="F26" s="114">
        <f>AI26</f>
        <v/>
      </c>
      <c r="G26" s="114">
        <f>AU26</f>
        <v/>
      </c>
      <c r="H26" s="114">
        <f>BG26</f>
        <v/>
      </c>
      <c r="I26" s="114">
        <f>BS26</f>
        <v/>
      </c>
      <c r="J26" s="115">
        <f>BS26</f>
        <v/>
      </c>
      <c r="L26" s="116">
        <f>0</f>
        <v/>
      </c>
      <c r="M26" s="116">
        <f>L25*КоэффСохранения</f>
        <v/>
      </c>
      <c r="N26" s="116">
        <f>M25*КоэффСохранения</f>
        <v/>
      </c>
      <c r="O26" s="116">
        <f>N25*КоэффСохранения</f>
        <v/>
      </c>
      <c r="P26" s="116">
        <f>O25*КоэффСохранения</f>
        <v/>
      </c>
      <c r="Q26" s="116">
        <f>P25*КоэффСохранения</f>
        <v/>
      </c>
      <c r="R26" s="116">
        <f>Q25*КоэффСохранения</f>
        <v/>
      </c>
      <c r="S26" s="116">
        <f>R25*КоэффСохранения</f>
        <v/>
      </c>
      <c r="T26" s="116">
        <f>S25*КоэффСохранения</f>
        <v/>
      </c>
      <c r="U26" s="116">
        <f>T25*КоэффСохранения</f>
        <v/>
      </c>
      <c r="V26" s="116">
        <f>U25*КоэффСохранения</f>
        <v/>
      </c>
      <c r="W26" s="116">
        <f>V25*КоэффСохранения</f>
        <v/>
      </c>
      <c r="X26" s="116">
        <f>W25*КоэффСохранения</f>
        <v/>
      </c>
      <c r="Y26" s="116">
        <f>X25*КоэффСохранения</f>
        <v/>
      </c>
      <c r="Z26" s="116">
        <f>Y25*КоэффСохранения</f>
        <v/>
      </c>
      <c r="AA26" s="116">
        <f>Z25*КоэффСохранения</f>
        <v/>
      </c>
      <c r="AB26" s="116">
        <f>AA25*КоэффСохранения</f>
        <v/>
      </c>
      <c r="AC26" s="116">
        <f>AB25*КоэффСохранения</f>
        <v/>
      </c>
      <c r="AD26" s="116">
        <f>AC25*КоэффСохранения</f>
        <v/>
      </c>
      <c r="AE26" s="116">
        <f>AD25*КоэффСохранения</f>
        <v/>
      </c>
      <c r="AF26" s="116">
        <f>AE25*КоэффСохранения</f>
        <v/>
      </c>
      <c r="AG26" s="116">
        <f>AF25*КоэффСохранения</f>
        <v/>
      </c>
      <c r="AH26" s="116">
        <f>AG25*КоэффСохранения</f>
        <v/>
      </c>
      <c r="AI26" s="116">
        <f>AH25*КоэффСохранения</f>
        <v/>
      </c>
      <c r="AJ26" s="116">
        <f>AI25*КоэффСохранения</f>
        <v/>
      </c>
      <c r="AK26" s="116">
        <f>AJ25*КоэффСохранения</f>
        <v/>
      </c>
      <c r="AL26" s="116">
        <f>AK25*КоэффСохранения</f>
        <v/>
      </c>
      <c r="AM26" s="116">
        <f>AL25*КоэффСохранения</f>
        <v/>
      </c>
      <c r="AN26" s="116">
        <f>AM25*КоэффСохранения</f>
        <v/>
      </c>
      <c r="AO26" s="116">
        <f>AN25*КоэффСохранения</f>
        <v/>
      </c>
      <c r="AP26" s="116">
        <f>AO25*КоэффСохранения</f>
        <v/>
      </c>
      <c r="AQ26" s="116">
        <f>AP25*КоэффСохранения</f>
        <v/>
      </c>
      <c r="AR26" s="116">
        <f>AQ25*КоэффСохранения</f>
        <v/>
      </c>
      <c r="AS26" s="116">
        <f>AR25*КоэффСохранения</f>
        <v/>
      </c>
      <c r="AT26" s="116">
        <f>AS25*КоэффСохранения</f>
        <v/>
      </c>
      <c r="AU26" s="116">
        <f>AT25*КоэффСохранения</f>
        <v/>
      </c>
      <c r="AV26" s="116">
        <f>AU25*КоэффСохранения</f>
        <v/>
      </c>
      <c r="AW26" s="116">
        <f>AV25*КоэффСохранения</f>
        <v/>
      </c>
      <c r="AX26" s="116">
        <f>AW25*КоэффСохранения</f>
        <v/>
      </c>
      <c r="AY26" s="116">
        <f>AX25*КоэффСохранения</f>
        <v/>
      </c>
      <c r="AZ26" s="116">
        <f>AY25*КоэффСохранения</f>
        <v/>
      </c>
      <c r="BA26" s="116">
        <f>AZ25*КоэффСохранения</f>
        <v/>
      </c>
      <c r="BB26" s="116">
        <f>BA25*КоэффСохранения</f>
        <v/>
      </c>
      <c r="BC26" s="116">
        <f>BB25*КоэффСохранения</f>
        <v/>
      </c>
      <c r="BD26" s="116">
        <f>BC25*КоэффСохранения</f>
        <v/>
      </c>
      <c r="BE26" s="116">
        <f>BD25*КоэффСохранения</f>
        <v/>
      </c>
      <c r="BF26" s="116">
        <f>BE25*КоэффСохранения</f>
        <v/>
      </c>
      <c r="BG26" s="116">
        <f>BF25*КоэффСохранения</f>
        <v/>
      </c>
      <c r="BH26" s="116">
        <f>BG25*КоэффСохранения</f>
        <v/>
      </c>
      <c r="BI26" s="116">
        <f>BH25*КоэффСохранения</f>
        <v/>
      </c>
      <c r="BJ26" s="116">
        <f>BI25*КоэффСохранения</f>
        <v/>
      </c>
      <c r="BK26" s="116">
        <f>BJ25*КоэффСохранения</f>
        <v/>
      </c>
      <c r="BL26" s="116">
        <f>BK25*КоэффСохранения</f>
        <v/>
      </c>
      <c r="BM26" s="116">
        <f>BL25*КоэффСохранения</f>
        <v/>
      </c>
      <c r="BN26" s="116">
        <f>BM25*КоэффСохранения</f>
        <v/>
      </c>
      <c r="BO26" s="116">
        <f>BN25*КоэффСохранения</f>
        <v/>
      </c>
      <c r="BP26" s="116">
        <f>BO25*КоэффСохранения</f>
        <v/>
      </c>
      <c r="BQ26" s="116">
        <f>BP25*КоэффСохранения</f>
        <v/>
      </c>
      <c r="BR26" s="116">
        <f>BQ25*КоэффСохранения</f>
        <v/>
      </c>
      <c r="BS26" s="116">
        <f>BR25*КоэффСохранения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04" t="inlineStr"/>
      <c r="E27" s="114">
        <f>W27</f>
        <v/>
      </c>
      <c r="F27" s="114">
        <f>AI27</f>
        <v/>
      </c>
      <c r="G27" s="114">
        <f>AU27</f>
        <v/>
      </c>
      <c r="H27" s="114">
        <f>BG27</f>
        <v/>
      </c>
      <c r="I27" s="114">
        <f>BS27</f>
        <v/>
      </c>
      <c r="J27" s="115">
        <f>BS27</f>
        <v/>
      </c>
      <c r="L27" s="116">
        <f>0</f>
        <v/>
      </c>
      <c r="M27" s="116">
        <f>L26*КоэффСохранения</f>
        <v/>
      </c>
      <c r="N27" s="116">
        <f>M26*КоэффСохранения</f>
        <v/>
      </c>
      <c r="O27" s="116">
        <f>N26*КоэффСохранения</f>
        <v/>
      </c>
      <c r="P27" s="116">
        <f>O26*КоэффСохранения</f>
        <v/>
      </c>
      <c r="Q27" s="116">
        <f>P26*КоэффСохранения</f>
        <v/>
      </c>
      <c r="R27" s="116">
        <f>Q26*КоэффСохранения</f>
        <v/>
      </c>
      <c r="S27" s="116">
        <f>R26*КоэффСохранения</f>
        <v/>
      </c>
      <c r="T27" s="116">
        <f>S26*КоэффСохранения</f>
        <v/>
      </c>
      <c r="U27" s="116">
        <f>T26*КоэффСохранения</f>
        <v/>
      </c>
      <c r="V27" s="116">
        <f>U26*КоэффСохранения</f>
        <v/>
      </c>
      <c r="W27" s="116">
        <f>V26*КоэффСохранения</f>
        <v/>
      </c>
      <c r="X27" s="116">
        <f>W26*КоэффСохранения</f>
        <v/>
      </c>
      <c r="Y27" s="116">
        <f>X26*КоэффСохранения</f>
        <v/>
      </c>
      <c r="Z27" s="116">
        <f>Y26*КоэффСохранения</f>
        <v/>
      </c>
      <c r="AA27" s="116">
        <f>Z26*КоэффСохранения</f>
        <v/>
      </c>
      <c r="AB27" s="116">
        <f>AA26*КоэффСохранения</f>
        <v/>
      </c>
      <c r="AC27" s="116">
        <f>AB26*КоэффСохранения</f>
        <v/>
      </c>
      <c r="AD27" s="116">
        <f>AC26*КоэффСохранения</f>
        <v/>
      </c>
      <c r="AE27" s="116">
        <f>AD26*КоэффСохранения</f>
        <v/>
      </c>
      <c r="AF27" s="116">
        <f>AE26*КоэффСохранения</f>
        <v/>
      </c>
      <c r="AG27" s="116">
        <f>AF26*КоэффСохранения</f>
        <v/>
      </c>
      <c r="AH27" s="116">
        <f>AG26*КоэффСохранения</f>
        <v/>
      </c>
      <c r="AI27" s="116">
        <f>AH26*КоэффСохранения</f>
        <v/>
      </c>
      <c r="AJ27" s="116">
        <f>AI26*КоэффСохранения</f>
        <v/>
      </c>
      <c r="AK27" s="116">
        <f>AJ26*КоэффСохранения</f>
        <v/>
      </c>
      <c r="AL27" s="116">
        <f>AK26*КоэффСохранения</f>
        <v/>
      </c>
      <c r="AM27" s="116">
        <f>AL26*КоэффСохранения</f>
        <v/>
      </c>
      <c r="AN27" s="116">
        <f>AM26*КоэффСохранения</f>
        <v/>
      </c>
      <c r="AO27" s="116">
        <f>AN26*КоэффСохранения</f>
        <v/>
      </c>
      <c r="AP27" s="116">
        <f>AO26*КоэффСохранения</f>
        <v/>
      </c>
      <c r="AQ27" s="116">
        <f>AP26*КоэффСохранения</f>
        <v/>
      </c>
      <c r="AR27" s="116">
        <f>AQ26*КоэффСохранения</f>
        <v/>
      </c>
      <c r="AS27" s="116">
        <f>AR26*КоэффСохранения</f>
        <v/>
      </c>
      <c r="AT27" s="116">
        <f>AS26*КоэффСохранения</f>
        <v/>
      </c>
      <c r="AU27" s="116">
        <f>AT26*КоэффСохранения</f>
        <v/>
      </c>
      <c r="AV27" s="116">
        <f>AU26*КоэффСохранения</f>
        <v/>
      </c>
      <c r="AW27" s="116">
        <f>AV26*КоэффСохранения</f>
        <v/>
      </c>
      <c r="AX27" s="116">
        <f>AW26*КоэффСохранения</f>
        <v/>
      </c>
      <c r="AY27" s="116">
        <f>AX26*КоэффСохранения</f>
        <v/>
      </c>
      <c r="AZ27" s="116">
        <f>AY26*КоэффСохранения</f>
        <v/>
      </c>
      <c r="BA27" s="116">
        <f>AZ26*КоэффСохранения</f>
        <v/>
      </c>
      <c r="BB27" s="116">
        <f>BA26*КоэффСохранения</f>
        <v/>
      </c>
      <c r="BC27" s="116">
        <f>BB26*КоэффСохранения</f>
        <v/>
      </c>
      <c r="BD27" s="116">
        <f>BC26*КоэффСохранения</f>
        <v/>
      </c>
      <c r="BE27" s="116">
        <f>BD26*КоэффСохранения</f>
        <v/>
      </c>
      <c r="BF27" s="116">
        <f>BE26*КоэффСохранения</f>
        <v/>
      </c>
      <c r="BG27" s="116">
        <f>BF26*КоэффСохранения</f>
        <v/>
      </c>
      <c r="BH27" s="116">
        <f>BG26*КоэффСохранения</f>
        <v/>
      </c>
      <c r="BI27" s="116">
        <f>BH26*КоэффСохранения</f>
        <v/>
      </c>
      <c r="BJ27" s="116">
        <f>BI26*КоэффСохранения</f>
        <v/>
      </c>
      <c r="BK27" s="116">
        <f>BJ26*КоэффСохранения</f>
        <v/>
      </c>
      <c r="BL27" s="116">
        <f>BK26*КоэффСохранения</f>
        <v/>
      </c>
      <c r="BM27" s="116">
        <f>BL26*КоэффСохранения</f>
        <v/>
      </c>
      <c r="BN27" s="116">
        <f>BM26*КоэффСохранения</f>
        <v/>
      </c>
      <c r="BO27" s="116">
        <f>BN26*КоэффСохранения</f>
        <v/>
      </c>
      <c r="BP27" s="116">
        <f>BO26*КоэффСохранения</f>
        <v/>
      </c>
      <c r="BQ27" s="116">
        <f>BP26*КоэффСохранения</f>
        <v/>
      </c>
      <c r="BR27" s="116">
        <f>BQ26*КоэффСохранения</f>
        <v/>
      </c>
      <c r="BS27" s="116">
        <f>BR26*КоэффСохранения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04" t="inlineStr"/>
      <c r="E28" s="114">
        <f>W28</f>
        <v/>
      </c>
      <c r="F28" s="114">
        <f>AI28</f>
        <v/>
      </c>
      <c r="G28" s="114">
        <f>AU28</f>
        <v/>
      </c>
      <c r="H28" s="114">
        <f>BG28</f>
        <v/>
      </c>
      <c r="I28" s="114">
        <f>BS28</f>
        <v/>
      </c>
      <c r="J28" s="115">
        <f>BS28</f>
        <v/>
      </c>
      <c r="L28" s="116">
        <f>0</f>
        <v/>
      </c>
      <c r="M28" s="116">
        <f>L27*КоэффСохранения</f>
        <v/>
      </c>
      <c r="N28" s="116">
        <f>M27*КоэффСохранения</f>
        <v/>
      </c>
      <c r="O28" s="116">
        <f>N27*КоэффСохранения</f>
        <v/>
      </c>
      <c r="P28" s="116">
        <f>O27*КоэффСохранения</f>
        <v/>
      </c>
      <c r="Q28" s="116">
        <f>P27*КоэффСохранения</f>
        <v/>
      </c>
      <c r="R28" s="116">
        <f>Q27*КоэффСохранения</f>
        <v/>
      </c>
      <c r="S28" s="116">
        <f>R27*КоэффСохранения</f>
        <v/>
      </c>
      <c r="T28" s="116">
        <f>S27*КоэффСохранения</f>
        <v/>
      </c>
      <c r="U28" s="116">
        <f>T27*КоэффСохранения</f>
        <v/>
      </c>
      <c r="V28" s="116">
        <f>U27*КоэффСохранения</f>
        <v/>
      </c>
      <c r="W28" s="116">
        <f>V27*КоэффСохранения</f>
        <v/>
      </c>
      <c r="X28" s="116">
        <f>W27*КоэффСохранения</f>
        <v/>
      </c>
      <c r="Y28" s="116">
        <f>X27*КоэффСохранения</f>
        <v/>
      </c>
      <c r="Z28" s="116">
        <f>Y27*КоэффСохранения</f>
        <v/>
      </c>
      <c r="AA28" s="116">
        <f>Z27*КоэффСохранения</f>
        <v/>
      </c>
      <c r="AB28" s="116">
        <f>AA27*КоэффСохранения</f>
        <v/>
      </c>
      <c r="AC28" s="116">
        <f>AB27*КоэффСохранения</f>
        <v/>
      </c>
      <c r="AD28" s="116">
        <f>AC27*КоэффСохранения</f>
        <v/>
      </c>
      <c r="AE28" s="116">
        <f>AD27*КоэффСохранения</f>
        <v/>
      </c>
      <c r="AF28" s="116">
        <f>AE27*КоэффСохранения</f>
        <v/>
      </c>
      <c r="AG28" s="116">
        <f>AF27*КоэффСохранения</f>
        <v/>
      </c>
      <c r="AH28" s="116">
        <f>AG27*КоэффСохранения</f>
        <v/>
      </c>
      <c r="AI28" s="116">
        <f>AH27*КоэффСохранения</f>
        <v/>
      </c>
      <c r="AJ28" s="116">
        <f>AI27*КоэффСохранения</f>
        <v/>
      </c>
      <c r="AK28" s="116">
        <f>AJ27*КоэффСохранения</f>
        <v/>
      </c>
      <c r="AL28" s="116">
        <f>AK27*КоэффСохранения</f>
        <v/>
      </c>
      <c r="AM28" s="116">
        <f>AL27*КоэффСохранения</f>
        <v/>
      </c>
      <c r="AN28" s="116">
        <f>AM27*КоэффСохранения</f>
        <v/>
      </c>
      <c r="AO28" s="116">
        <f>AN27*КоэффСохранения</f>
        <v/>
      </c>
      <c r="AP28" s="116">
        <f>AO27*КоэффСохранения</f>
        <v/>
      </c>
      <c r="AQ28" s="116">
        <f>AP27*КоэффСохранения</f>
        <v/>
      </c>
      <c r="AR28" s="116">
        <f>AQ27*КоэффСохранения</f>
        <v/>
      </c>
      <c r="AS28" s="116">
        <f>AR27*КоэффСохранения</f>
        <v/>
      </c>
      <c r="AT28" s="116">
        <f>AS27*КоэффСохранения</f>
        <v/>
      </c>
      <c r="AU28" s="116">
        <f>AT27*КоэффСохранения</f>
        <v/>
      </c>
      <c r="AV28" s="116">
        <f>AU27*КоэффСохранения</f>
        <v/>
      </c>
      <c r="AW28" s="116">
        <f>AV27*КоэффСохранения</f>
        <v/>
      </c>
      <c r="AX28" s="116">
        <f>AW27*КоэффСохранения</f>
        <v/>
      </c>
      <c r="AY28" s="116">
        <f>AX27*КоэффСохранения</f>
        <v/>
      </c>
      <c r="AZ28" s="116">
        <f>AY27*КоэффСохранения</f>
        <v/>
      </c>
      <c r="BA28" s="116">
        <f>AZ27*КоэффСохранения</f>
        <v/>
      </c>
      <c r="BB28" s="116">
        <f>BA27*КоэффСохранения</f>
        <v/>
      </c>
      <c r="BC28" s="116">
        <f>BB27*КоэффСохранения</f>
        <v/>
      </c>
      <c r="BD28" s="116">
        <f>BC27*КоэффСохранения</f>
        <v/>
      </c>
      <c r="BE28" s="116">
        <f>BD27*КоэффСохранения</f>
        <v/>
      </c>
      <c r="BF28" s="116">
        <f>BE27*КоэффСохранения</f>
        <v/>
      </c>
      <c r="BG28" s="116">
        <f>BF27*КоэффСохранения</f>
        <v/>
      </c>
      <c r="BH28" s="116">
        <f>BG27*КоэффСохранения</f>
        <v/>
      </c>
      <c r="BI28" s="116">
        <f>BH27*КоэффСохранения</f>
        <v/>
      </c>
      <c r="BJ28" s="116">
        <f>BI27*КоэффСохранения</f>
        <v/>
      </c>
      <c r="BK28" s="116">
        <f>BJ27*КоэффСохранения</f>
        <v/>
      </c>
      <c r="BL28" s="116">
        <f>BK27*КоэффСохранения</f>
        <v/>
      </c>
      <c r="BM28" s="116">
        <f>BL27*КоэффСохранения</f>
        <v/>
      </c>
      <c r="BN28" s="116">
        <f>BM27*КоэффСохранения</f>
        <v/>
      </c>
      <c r="BO28" s="116">
        <f>BN27*КоэффСохранения</f>
        <v/>
      </c>
      <c r="BP28" s="116">
        <f>BO27*КоэффСохранения</f>
        <v/>
      </c>
      <c r="BQ28" s="116">
        <f>BP27*КоэффСохранения</f>
        <v/>
      </c>
      <c r="BR28" s="116">
        <f>BQ27*КоэффСохранения</f>
        <v/>
      </c>
      <c r="BS28" s="116">
        <f>BR27*КоэффСохранения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04" t="inlineStr"/>
      <c r="E29" s="114">
        <f>W29</f>
        <v/>
      </c>
      <c r="F29" s="114">
        <f>AI29</f>
        <v/>
      </c>
      <c r="G29" s="114">
        <f>AU29</f>
        <v/>
      </c>
      <c r="H29" s="114">
        <f>BG29</f>
        <v/>
      </c>
      <c r="I29" s="114">
        <f>BS29</f>
        <v/>
      </c>
      <c r="J29" s="115">
        <f>BS29</f>
        <v/>
      </c>
      <c r="L29" s="116">
        <f>0</f>
        <v/>
      </c>
      <c r="M29" s="116">
        <f>L28*КоэффСохранения</f>
        <v/>
      </c>
      <c r="N29" s="116">
        <f>M28*КоэффСохранения</f>
        <v/>
      </c>
      <c r="O29" s="116">
        <f>N28*КоэффСохранения</f>
        <v/>
      </c>
      <c r="P29" s="116">
        <f>O28*КоэффСохранения</f>
        <v/>
      </c>
      <c r="Q29" s="116">
        <f>P28*КоэффСохранения</f>
        <v/>
      </c>
      <c r="R29" s="116">
        <f>Q28*КоэффСохранения</f>
        <v/>
      </c>
      <c r="S29" s="116">
        <f>R28*КоэффСохранения</f>
        <v/>
      </c>
      <c r="T29" s="116">
        <f>S28*КоэффСохранения</f>
        <v/>
      </c>
      <c r="U29" s="116">
        <f>T28*КоэффСохранения</f>
        <v/>
      </c>
      <c r="V29" s="116">
        <f>U28*КоэффСохранения</f>
        <v/>
      </c>
      <c r="W29" s="116">
        <f>V28*КоэффСохранения</f>
        <v/>
      </c>
      <c r="X29" s="116">
        <f>W28*КоэффСохранения</f>
        <v/>
      </c>
      <c r="Y29" s="116">
        <f>X28*КоэффСохранения</f>
        <v/>
      </c>
      <c r="Z29" s="116">
        <f>Y28*КоэффСохранения</f>
        <v/>
      </c>
      <c r="AA29" s="116">
        <f>Z28*КоэффСохранения</f>
        <v/>
      </c>
      <c r="AB29" s="116">
        <f>AA28*КоэффСохранения</f>
        <v/>
      </c>
      <c r="AC29" s="116">
        <f>AB28*КоэффСохранения</f>
        <v/>
      </c>
      <c r="AD29" s="116">
        <f>AC28*КоэффСохранения</f>
        <v/>
      </c>
      <c r="AE29" s="116">
        <f>AD28*КоэффСохранения</f>
        <v/>
      </c>
      <c r="AF29" s="116">
        <f>AE28*КоэффСохранения</f>
        <v/>
      </c>
      <c r="AG29" s="116">
        <f>AF28*КоэффСохранения</f>
        <v/>
      </c>
      <c r="AH29" s="116">
        <f>AG28*КоэффСохранения</f>
        <v/>
      </c>
      <c r="AI29" s="116">
        <f>AH28*КоэффСохранения</f>
        <v/>
      </c>
      <c r="AJ29" s="116">
        <f>AI28*КоэффСохранения</f>
        <v/>
      </c>
      <c r="AK29" s="116">
        <f>AJ28*КоэффСохранения</f>
        <v/>
      </c>
      <c r="AL29" s="116">
        <f>AK28*КоэффСохранения</f>
        <v/>
      </c>
      <c r="AM29" s="116">
        <f>AL28*КоэффСохранения</f>
        <v/>
      </c>
      <c r="AN29" s="116">
        <f>AM28*КоэффСохранения</f>
        <v/>
      </c>
      <c r="AO29" s="116">
        <f>AN28*КоэффСохранения</f>
        <v/>
      </c>
      <c r="AP29" s="116">
        <f>AO28*КоэффСохранения</f>
        <v/>
      </c>
      <c r="AQ29" s="116">
        <f>AP28*КоэффСохранения</f>
        <v/>
      </c>
      <c r="AR29" s="116">
        <f>AQ28*КоэффСохранения</f>
        <v/>
      </c>
      <c r="AS29" s="116">
        <f>AR28*КоэффСохранения</f>
        <v/>
      </c>
      <c r="AT29" s="116">
        <f>AS28*КоэффСохранения</f>
        <v/>
      </c>
      <c r="AU29" s="116">
        <f>AT28*КоэффСохранения</f>
        <v/>
      </c>
      <c r="AV29" s="116">
        <f>AU28*КоэффСохранения</f>
        <v/>
      </c>
      <c r="AW29" s="116">
        <f>AV28*КоэффСохранения</f>
        <v/>
      </c>
      <c r="AX29" s="116">
        <f>AW28*КоэффСохранения</f>
        <v/>
      </c>
      <c r="AY29" s="116">
        <f>AX28*КоэффСохранения</f>
        <v/>
      </c>
      <c r="AZ29" s="116">
        <f>AY28*КоэффСохранения</f>
        <v/>
      </c>
      <c r="BA29" s="116">
        <f>AZ28*КоэффСохранения</f>
        <v/>
      </c>
      <c r="BB29" s="116">
        <f>BA28*КоэффСохранения</f>
        <v/>
      </c>
      <c r="BC29" s="116">
        <f>BB28*КоэффСохранения</f>
        <v/>
      </c>
      <c r="BD29" s="116">
        <f>BC28*КоэффСохранения</f>
        <v/>
      </c>
      <c r="BE29" s="116">
        <f>BD28*КоэффСохранения</f>
        <v/>
      </c>
      <c r="BF29" s="116">
        <f>BE28*КоэффСохранения</f>
        <v/>
      </c>
      <c r="BG29" s="116">
        <f>BF28*КоэффСохранения</f>
        <v/>
      </c>
      <c r="BH29" s="116">
        <f>BG28*КоэффСохранения</f>
        <v/>
      </c>
      <c r="BI29" s="116">
        <f>BH28*КоэффСохранения</f>
        <v/>
      </c>
      <c r="BJ29" s="116">
        <f>BI28*КоэффСохранения</f>
        <v/>
      </c>
      <c r="BK29" s="116">
        <f>BJ28*КоэффСохранения</f>
        <v/>
      </c>
      <c r="BL29" s="116">
        <f>BK28*КоэффСохранения</f>
        <v/>
      </c>
      <c r="BM29" s="116">
        <f>BL28*КоэффСохранения</f>
        <v/>
      </c>
      <c r="BN29" s="116">
        <f>BM28*КоэффСохранения</f>
        <v/>
      </c>
      <c r="BO29" s="116">
        <f>BN28*КоэффСохранения</f>
        <v/>
      </c>
      <c r="BP29" s="116">
        <f>BO28*КоэффСохранения</f>
        <v/>
      </c>
      <c r="BQ29" s="116">
        <f>BP28*КоэффСохранения</f>
        <v/>
      </c>
      <c r="BR29" s="116">
        <f>BQ28*КоэффСохранения</f>
        <v/>
      </c>
      <c r="BS29" s="116">
        <f>BR28*КоэффСохранения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04" t="inlineStr"/>
      <c r="E30" s="114">
        <f>W30</f>
        <v/>
      </c>
      <c r="F30" s="114">
        <f>AI30</f>
        <v/>
      </c>
      <c r="G30" s="114">
        <f>AU30</f>
        <v/>
      </c>
      <c r="H30" s="114">
        <f>BG30</f>
        <v/>
      </c>
      <c r="I30" s="114">
        <f>BS30</f>
        <v/>
      </c>
      <c r="J30" s="115">
        <f>BS30</f>
        <v/>
      </c>
      <c r="L30" s="116">
        <f>0</f>
        <v/>
      </c>
      <c r="M30" s="116">
        <f>L29*КоэффСохранения</f>
        <v/>
      </c>
      <c r="N30" s="116">
        <f>M29*КоэффСохранения</f>
        <v/>
      </c>
      <c r="O30" s="116">
        <f>N29*КоэффСохранения</f>
        <v/>
      </c>
      <c r="P30" s="116">
        <f>O29*КоэффСохранения</f>
        <v/>
      </c>
      <c r="Q30" s="116">
        <f>P29*КоэффСохранения</f>
        <v/>
      </c>
      <c r="R30" s="116">
        <f>Q29*КоэффСохранения</f>
        <v/>
      </c>
      <c r="S30" s="116">
        <f>R29*КоэффСохранения</f>
        <v/>
      </c>
      <c r="T30" s="116">
        <f>S29*КоэффСохранения</f>
        <v/>
      </c>
      <c r="U30" s="116">
        <f>T29*КоэффСохранения</f>
        <v/>
      </c>
      <c r="V30" s="116">
        <f>U29*КоэффСохранения</f>
        <v/>
      </c>
      <c r="W30" s="116">
        <f>V29*КоэффСохранения</f>
        <v/>
      </c>
      <c r="X30" s="116">
        <f>W29*КоэффСохранения</f>
        <v/>
      </c>
      <c r="Y30" s="116">
        <f>X29*КоэффСохранения</f>
        <v/>
      </c>
      <c r="Z30" s="116">
        <f>Y29*КоэффСохранения</f>
        <v/>
      </c>
      <c r="AA30" s="116">
        <f>Z29*КоэффСохранения</f>
        <v/>
      </c>
      <c r="AB30" s="116">
        <f>AA29*КоэффСохранения</f>
        <v/>
      </c>
      <c r="AC30" s="116">
        <f>AB29*КоэффСохранения</f>
        <v/>
      </c>
      <c r="AD30" s="116">
        <f>AC29*КоэффСохранения</f>
        <v/>
      </c>
      <c r="AE30" s="116">
        <f>AD29*КоэффСохранения</f>
        <v/>
      </c>
      <c r="AF30" s="116">
        <f>AE29*КоэффСохранения</f>
        <v/>
      </c>
      <c r="AG30" s="116">
        <f>AF29*КоэффСохранения</f>
        <v/>
      </c>
      <c r="AH30" s="116">
        <f>AG29*КоэффСохранения</f>
        <v/>
      </c>
      <c r="AI30" s="116">
        <f>AH29*КоэффСохранения</f>
        <v/>
      </c>
      <c r="AJ30" s="116">
        <f>AI29*КоэффСохранения</f>
        <v/>
      </c>
      <c r="AK30" s="116">
        <f>AJ29*КоэффСохранения</f>
        <v/>
      </c>
      <c r="AL30" s="116">
        <f>AK29*КоэффСохранения</f>
        <v/>
      </c>
      <c r="AM30" s="116">
        <f>AL29*КоэффСохранения</f>
        <v/>
      </c>
      <c r="AN30" s="116">
        <f>AM29*КоэффСохранения</f>
        <v/>
      </c>
      <c r="AO30" s="116">
        <f>AN29*КоэффСохранения</f>
        <v/>
      </c>
      <c r="AP30" s="116">
        <f>AO29*КоэффСохранения</f>
        <v/>
      </c>
      <c r="AQ30" s="116">
        <f>AP29*КоэффСохранения</f>
        <v/>
      </c>
      <c r="AR30" s="116">
        <f>AQ29*КоэффСохранения</f>
        <v/>
      </c>
      <c r="AS30" s="116">
        <f>AR29*КоэффСохранения</f>
        <v/>
      </c>
      <c r="AT30" s="116">
        <f>AS29*КоэффСохранения</f>
        <v/>
      </c>
      <c r="AU30" s="116">
        <f>AT29*КоэффСохранения</f>
        <v/>
      </c>
      <c r="AV30" s="116">
        <f>AU29*КоэффСохранения</f>
        <v/>
      </c>
      <c r="AW30" s="116">
        <f>AV29*КоэффСохранения</f>
        <v/>
      </c>
      <c r="AX30" s="116">
        <f>AW29*КоэффСохранения</f>
        <v/>
      </c>
      <c r="AY30" s="116">
        <f>AX29*КоэффСохранения</f>
        <v/>
      </c>
      <c r="AZ30" s="116">
        <f>AY29*КоэффСохранения</f>
        <v/>
      </c>
      <c r="BA30" s="116">
        <f>AZ29*КоэффСохранения</f>
        <v/>
      </c>
      <c r="BB30" s="116">
        <f>BA29*КоэффСохранения</f>
        <v/>
      </c>
      <c r="BC30" s="116">
        <f>BB29*КоэффСохранения</f>
        <v/>
      </c>
      <c r="BD30" s="116">
        <f>BC29*КоэффСохранения</f>
        <v/>
      </c>
      <c r="BE30" s="116">
        <f>BD29*КоэффСохранения</f>
        <v/>
      </c>
      <c r="BF30" s="116">
        <f>BE29*КоэффСохранения</f>
        <v/>
      </c>
      <c r="BG30" s="116">
        <f>BF29*КоэффСохранения</f>
        <v/>
      </c>
      <c r="BH30" s="116">
        <f>BG29*КоэффСохранения</f>
        <v/>
      </c>
      <c r="BI30" s="116">
        <f>BH29*КоэффСохранения</f>
        <v/>
      </c>
      <c r="BJ30" s="116">
        <f>BI29*КоэффСохранения</f>
        <v/>
      </c>
      <c r="BK30" s="116">
        <f>BJ29*КоэффСохранения</f>
        <v/>
      </c>
      <c r="BL30" s="116">
        <f>BK29*КоэффСохранения</f>
        <v/>
      </c>
      <c r="BM30" s="116">
        <f>BL29*КоэффСохранения</f>
        <v/>
      </c>
      <c r="BN30" s="116">
        <f>BM29*КоэффСохранения</f>
        <v/>
      </c>
      <c r="BO30" s="116">
        <f>BN29*КоэффСохранения</f>
        <v/>
      </c>
      <c r="BP30" s="116">
        <f>BO29*КоэффСохранения</f>
        <v/>
      </c>
      <c r="BQ30" s="116">
        <f>BP29*КоэффСохранения</f>
        <v/>
      </c>
      <c r="BR30" s="116">
        <f>BQ29*КоэффСохранения</f>
        <v/>
      </c>
      <c r="BS30" s="116">
        <f>BR29*КоэффСохранения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04" t="inlineStr"/>
      <c r="E31" s="114">
        <f>W31</f>
        <v/>
      </c>
      <c r="F31" s="114">
        <f>AI31</f>
        <v/>
      </c>
      <c r="G31" s="114">
        <f>AU31</f>
        <v/>
      </c>
      <c r="H31" s="114">
        <f>BG31</f>
        <v/>
      </c>
      <c r="I31" s="114">
        <f>BS31</f>
        <v/>
      </c>
      <c r="J31" s="115">
        <f>BS31</f>
        <v/>
      </c>
      <c r="L31" s="116">
        <f>0</f>
        <v/>
      </c>
      <c r="M31" s="116">
        <f>L30*КоэффСохранения</f>
        <v/>
      </c>
      <c r="N31" s="116">
        <f>M30*КоэффСохранения</f>
        <v/>
      </c>
      <c r="O31" s="116">
        <f>N30*КоэффСохранения</f>
        <v/>
      </c>
      <c r="P31" s="116">
        <f>O30*КоэффСохранения</f>
        <v/>
      </c>
      <c r="Q31" s="116">
        <f>P30*КоэффСохранения</f>
        <v/>
      </c>
      <c r="R31" s="116">
        <f>Q30*КоэффСохранения</f>
        <v/>
      </c>
      <c r="S31" s="116">
        <f>R30*КоэффСохранения</f>
        <v/>
      </c>
      <c r="T31" s="116">
        <f>S30*КоэффСохранения</f>
        <v/>
      </c>
      <c r="U31" s="116">
        <f>T30*КоэффСохранения</f>
        <v/>
      </c>
      <c r="V31" s="116">
        <f>U30*КоэффСохранения</f>
        <v/>
      </c>
      <c r="W31" s="116">
        <f>V30*КоэффСохранения</f>
        <v/>
      </c>
      <c r="X31" s="116">
        <f>W30*КоэффСохранения</f>
        <v/>
      </c>
      <c r="Y31" s="116">
        <f>X30*КоэффСохранения</f>
        <v/>
      </c>
      <c r="Z31" s="116">
        <f>Y30*КоэффСохранения</f>
        <v/>
      </c>
      <c r="AA31" s="116">
        <f>Z30*КоэффСохранения</f>
        <v/>
      </c>
      <c r="AB31" s="116">
        <f>AA30*КоэффСохранения</f>
        <v/>
      </c>
      <c r="AC31" s="116">
        <f>AB30*КоэффСохранения</f>
        <v/>
      </c>
      <c r="AD31" s="116">
        <f>AC30*КоэффСохранения</f>
        <v/>
      </c>
      <c r="AE31" s="116">
        <f>AD30*КоэффСохранения</f>
        <v/>
      </c>
      <c r="AF31" s="116">
        <f>AE30*КоэффСохранения</f>
        <v/>
      </c>
      <c r="AG31" s="116">
        <f>AF30*КоэффСохранения</f>
        <v/>
      </c>
      <c r="AH31" s="116">
        <f>AG30*КоэффСохранения</f>
        <v/>
      </c>
      <c r="AI31" s="116">
        <f>AH30*КоэффСохранения</f>
        <v/>
      </c>
      <c r="AJ31" s="116">
        <f>AI30*КоэффСохранения</f>
        <v/>
      </c>
      <c r="AK31" s="116">
        <f>AJ30*КоэффСохранения</f>
        <v/>
      </c>
      <c r="AL31" s="116">
        <f>AK30*КоэффСохранения</f>
        <v/>
      </c>
      <c r="AM31" s="116">
        <f>AL30*КоэффСохранения</f>
        <v/>
      </c>
      <c r="AN31" s="116">
        <f>AM30*КоэффСохранения</f>
        <v/>
      </c>
      <c r="AO31" s="116">
        <f>AN30*КоэффСохранения</f>
        <v/>
      </c>
      <c r="AP31" s="116">
        <f>AO30*КоэффСохранения</f>
        <v/>
      </c>
      <c r="AQ31" s="116">
        <f>AP30*КоэффСохранения</f>
        <v/>
      </c>
      <c r="AR31" s="116">
        <f>AQ30*КоэффСохранения</f>
        <v/>
      </c>
      <c r="AS31" s="116">
        <f>AR30*КоэффСохранения</f>
        <v/>
      </c>
      <c r="AT31" s="116">
        <f>AS30*КоэффСохранения</f>
        <v/>
      </c>
      <c r="AU31" s="116">
        <f>AT30*КоэффСохранения</f>
        <v/>
      </c>
      <c r="AV31" s="116">
        <f>AU30*КоэффСохранения</f>
        <v/>
      </c>
      <c r="AW31" s="116">
        <f>AV30*КоэффСохранения</f>
        <v/>
      </c>
      <c r="AX31" s="116">
        <f>AW30*КоэффСохранения</f>
        <v/>
      </c>
      <c r="AY31" s="116">
        <f>AX30*КоэффСохранения</f>
        <v/>
      </c>
      <c r="AZ31" s="116">
        <f>AY30*КоэффСохранения</f>
        <v/>
      </c>
      <c r="BA31" s="116">
        <f>AZ30*КоэффСохранения</f>
        <v/>
      </c>
      <c r="BB31" s="116">
        <f>BA30*КоэффСохранения</f>
        <v/>
      </c>
      <c r="BC31" s="116">
        <f>BB30*КоэффСохранения</f>
        <v/>
      </c>
      <c r="BD31" s="116">
        <f>BC30*КоэффСохранения</f>
        <v/>
      </c>
      <c r="BE31" s="116">
        <f>BD30*КоэффСохранения</f>
        <v/>
      </c>
      <c r="BF31" s="116">
        <f>BE30*КоэффСохранения</f>
        <v/>
      </c>
      <c r="BG31" s="116">
        <f>BF30*КоэффСохранения</f>
        <v/>
      </c>
      <c r="BH31" s="116">
        <f>BG30*КоэффСохранения</f>
        <v/>
      </c>
      <c r="BI31" s="116">
        <f>BH30*КоэффСохранения</f>
        <v/>
      </c>
      <c r="BJ31" s="116">
        <f>BI30*КоэффСохранения</f>
        <v/>
      </c>
      <c r="BK31" s="116">
        <f>BJ30*КоэффСохранения</f>
        <v/>
      </c>
      <c r="BL31" s="116">
        <f>BK30*КоэффСохранения</f>
        <v/>
      </c>
      <c r="BM31" s="116">
        <f>BL30*КоэффСохранения</f>
        <v/>
      </c>
      <c r="BN31" s="116">
        <f>BM30*КоэффСохранения</f>
        <v/>
      </c>
      <c r="BO31" s="116">
        <f>BN30*КоэффСохранения</f>
        <v/>
      </c>
      <c r="BP31" s="116">
        <f>BO30*КоэффСохранения</f>
        <v/>
      </c>
      <c r="BQ31" s="116">
        <f>BP30*КоэффСохранения</f>
        <v/>
      </c>
      <c r="BR31" s="116">
        <f>BQ30*КоэффСохранения</f>
        <v/>
      </c>
      <c r="BS31" s="116">
        <f>BR30*КоэффСохранения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04" t="inlineStr"/>
      <c r="E32" s="114">
        <f>W32</f>
        <v/>
      </c>
      <c r="F32" s="114">
        <f>AI32</f>
        <v/>
      </c>
      <c r="G32" s="114">
        <f>AU32</f>
        <v/>
      </c>
      <c r="H32" s="114">
        <f>BG32</f>
        <v/>
      </c>
      <c r="I32" s="114">
        <f>BS32</f>
        <v/>
      </c>
      <c r="J32" s="115">
        <f>BS32</f>
        <v/>
      </c>
      <c r="L32" s="116">
        <f>0</f>
        <v/>
      </c>
      <c r="M32" s="116">
        <f>L31*КоэффСохранения</f>
        <v/>
      </c>
      <c r="N32" s="116">
        <f>M31*КоэффСохранения</f>
        <v/>
      </c>
      <c r="O32" s="116">
        <f>N31*КоэффСохранения</f>
        <v/>
      </c>
      <c r="P32" s="116">
        <f>O31*КоэффСохранения</f>
        <v/>
      </c>
      <c r="Q32" s="116">
        <f>P31*КоэффСохранения</f>
        <v/>
      </c>
      <c r="R32" s="116">
        <f>Q31*КоэффСохранения</f>
        <v/>
      </c>
      <c r="S32" s="116">
        <f>R31*КоэффСохранения</f>
        <v/>
      </c>
      <c r="T32" s="116">
        <f>S31*КоэффСохранения</f>
        <v/>
      </c>
      <c r="U32" s="116">
        <f>T31*КоэффСохранения</f>
        <v/>
      </c>
      <c r="V32" s="116">
        <f>U31*КоэффСохранения</f>
        <v/>
      </c>
      <c r="W32" s="116">
        <f>V31*КоэффСохранения</f>
        <v/>
      </c>
      <c r="X32" s="116">
        <f>W31*КоэффСохранения</f>
        <v/>
      </c>
      <c r="Y32" s="116">
        <f>X31*КоэффСохранения</f>
        <v/>
      </c>
      <c r="Z32" s="116">
        <f>Y31*КоэффСохранения</f>
        <v/>
      </c>
      <c r="AA32" s="116">
        <f>Z31*КоэффСохранения</f>
        <v/>
      </c>
      <c r="AB32" s="116">
        <f>AA31*КоэффСохранения</f>
        <v/>
      </c>
      <c r="AC32" s="116">
        <f>AB31*КоэффСохранения</f>
        <v/>
      </c>
      <c r="AD32" s="116">
        <f>AC31*КоэффСохранения</f>
        <v/>
      </c>
      <c r="AE32" s="116">
        <f>AD31*КоэффСохранения</f>
        <v/>
      </c>
      <c r="AF32" s="116">
        <f>AE31*КоэффСохранения</f>
        <v/>
      </c>
      <c r="AG32" s="116">
        <f>AF31*КоэффСохранения</f>
        <v/>
      </c>
      <c r="AH32" s="116">
        <f>AG31*КоэффСохранения</f>
        <v/>
      </c>
      <c r="AI32" s="116">
        <f>AH31*КоэффСохранения</f>
        <v/>
      </c>
      <c r="AJ32" s="116">
        <f>AI31*КоэффСохранения</f>
        <v/>
      </c>
      <c r="AK32" s="116">
        <f>AJ31*КоэффСохранения</f>
        <v/>
      </c>
      <c r="AL32" s="116">
        <f>AK31*КоэффСохранения</f>
        <v/>
      </c>
      <c r="AM32" s="116">
        <f>AL31*КоэффСохранения</f>
        <v/>
      </c>
      <c r="AN32" s="116">
        <f>AM31*КоэффСохранения</f>
        <v/>
      </c>
      <c r="AO32" s="116">
        <f>AN31*КоэффСохранения</f>
        <v/>
      </c>
      <c r="AP32" s="116">
        <f>AO31*КоэффСохранения</f>
        <v/>
      </c>
      <c r="AQ32" s="116">
        <f>AP31*КоэффСохранения</f>
        <v/>
      </c>
      <c r="AR32" s="116">
        <f>AQ31*КоэффСохранения</f>
        <v/>
      </c>
      <c r="AS32" s="116">
        <f>AR31*КоэффСохранения</f>
        <v/>
      </c>
      <c r="AT32" s="116">
        <f>AS31*КоэффСохранения</f>
        <v/>
      </c>
      <c r="AU32" s="116">
        <f>AT31*КоэффСохранения</f>
        <v/>
      </c>
      <c r="AV32" s="116">
        <f>AU31*КоэффСохранения</f>
        <v/>
      </c>
      <c r="AW32" s="116">
        <f>AV31*КоэффСохранения</f>
        <v/>
      </c>
      <c r="AX32" s="116">
        <f>AW31*КоэффСохранения</f>
        <v/>
      </c>
      <c r="AY32" s="116">
        <f>AX31*КоэффСохранения</f>
        <v/>
      </c>
      <c r="AZ32" s="116">
        <f>AY31*КоэффСохранения</f>
        <v/>
      </c>
      <c r="BA32" s="116">
        <f>AZ31*КоэффСохранения</f>
        <v/>
      </c>
      <c r="BB32" s="116">
        <f>BA31*КоэффСохранения</f>
        <v/>
      </c>
      <c r="BC32" s="116">
        <f>BB31*КоэффСохранения</f>
        <v/>
      </c>
      <c r="BD32" s="116">
        <f>BC31*КоэффСохранения</f>
        <v/>
      </c>
      <c r="BE32" s="116">
        <f>BD31*КоэффСохранения</f>
        <v/>
      </c>
      <c r="BF32" s="116">
        <f>BE31*КоэффСохранения</f>
        <v/>
      </c>
      <c r="BG32" s="116">
        <f>BF31*КоэффСохранения</f>
        <v/>
      </c>
      <c r="BH32" s="116">
        <f>BG31*КоэффСохранения</f>
        <v/>
      </c>
      <c r="BI32" s="116">
        <f>BH31*КоэффСохранения</f>
        <v/>
      </c>
      <c r="BJ32" s="116">
        <f>BI31*КоэффСохранения</f>
        <v/>
      </c>
      <c r="BK32" s="116">
        <f>BJ31*КоэффСохранения</f>
        <v/>
      </c>
      <c r="BL32" s="116">
        <f>BK31*КоэффСохранения</f>
        <v/>
      </c>
      <c r="BM32" s="116">
        <f>BL31*КоэффСохранения</f>
        <v/>
      </c>
      <c r="BN32" s="116">
        <f>BM31*КоэффСохранения</f>
        <v/>
      </c>
      <c r="BO32" s="116">
        <f>BN31*КоэффСохранения</f>
        <v/>
      </c>
      <c r="BP32" s="116">
        <f>BO31*КоэффСохранения</f>
        <v/>
      </c>
      <c r="BQ32" s="116">
        <f>BP31*КоэффСохранения</f>
        <v/>
      </c>
      <c r="BR32" s="116">
        <f>BQ31*КоэффСохранения</f>
        <v/>
      </c>
      <c r="BS32" s="116">
        <f>BR31*КоэффСохранения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04" t="inlineStr"/>
      <c r="E33" s="114">
        <f>W33</f>
        <v/>
      </c>
      <c r="F33" s="114">
        <f>AI33</f>
        <v/>
      </c>
      <c r="G33" s="114">
        <f>AU33</f>
        <v/>
      </c>
      <c r="H33" s="114">
        <f>BG33</f>
        <v/>
      </c>
      <c r="I33" s="114">
        <f>BS33</f>
        <v/>
      </c>
      <c r="J33" s="115">
        <f>BS33</f>
        <v/>
      </c>
      <c r="L33" s="116">
        <f>0</f>
        <v/>
      </c>
      <c r="M33" s="116">
        <f>L32*КоэффСохранения</f>
        <v/>
      </c>
      <c r="N33" s="116">
        <f>M32*КоэффСохранения</f>
        <v/>
      </c>
      <c r="O33" s="116">
        <f>N32*КоэффСохранения</f>
        <v/>
      </c>
      <c r="P33" s="116">
        <f>O32*КоэффСохранения</f>
        <v/>
      </c>
      <c r="Q33" s="116">
        <f>P32*КоэффСохранения</f>
        <v/>
      </c>
      <c r="R33" s="116">
        <f>Q32*КоэффСохранения</f>
        <v/>
      </c>
      <c r="S33" s="116">
        <f>R32*КоэффСохранения</f>
        <v/>
      </c>
      <c r="T33" s="116">
        <f>S32*КоэффСохранения</f>
        <v/>
      </c>
      <c r="U33" s="116">
        <f>T32*КоэффСохранения</f>
        <v/>
      </c>
      <c r="V33" s="116">
        <f>U32*КоэффСохранения</f>
        <v/>
      </c>
      <c r="W33" s="116">
        <f>V32*КоэффСохранения</f>
        <v/>
      </c>
      <c r="X33" s="116">
        <f>W32*КоэффСохранения</f>
        <v/>
      </c>
      <c r="Y33" s="116">
        <f>X32*КоэффСохранения</f>
        <v/>
      </c>
      <c r="Z33" s="116">
        <f>Y32*КоэффСохранения</f>
        <v/>
      </c>
      <c r="AA33" s="116">
        <f>Z32*КоэффСохранения</f>
        <v/>
      </c>
      <c r="AB33" s="116">
        <f>AA32*КоэффСохранения</f>
        <v/>
      </c>
      <c r="AC33" s="116">
        <f>AB32*КоэффСохранения</f>
        <v/>
      </c>
      <c r="AD33" s="116">
        <f>AC32*КоэффСохранения</f>
        <v/>
      </c>
      <c r="AE33" s="116">
        <f>AD32*КоэффСохранения</f>
        <v/>
      </c>
      <c r="AF33" s="116">
        <f>AE32*КоэффСохранения</f>
        <v/>
      </c>
      <c r="AG33" s="116">
        <f>AF32*КоэффСохранения</f>
        <v/>
      </c>
      <c r="AH33" s="116">
        <f>AG32*КоэффСохранения</f>
        <v/>
      </c>
      <c r="AI33" s="116">
        <f>AH32*КоэффСохранения</f>
        <v/>
      </c>
      <c r="AJ33" s="116">
        <f>AI32*КоэффСохранения</f>
        <v/>
      </c>
      <c r="AK33" s="116">
        <f>AJ32*КоэффСохранения</f>
        <v/>
      </c>
      <c r="AL33" s="116">
        <f>AK32*КоэффСохранения</f>
        <v/>
      </c>
      <c r="AM33" s="116">
        <f>AL32*КоэффСохранения</f>
        <v/>
      </c>
      <c r="AN33" s="116">
        <f>AM32*КоэффСохранения</f>
        <v/>
      </c>
      <c r="AO33" s="116">
        <f>AN32*КоэффСохранения</f>
        <v/>
      </c>
      <c r="AP33" s="116">
        <f>AO32*КоэффСохранения</f>
        <v/>
      </c>
      <c r="AQ33" s="116">
        <f>AP32*КоэффСохранения</f>
        <v/>
      </c>
      <c r="AR33" s="116">
        <f>AQ32*КоэффСохранения</f>
        <v/>
      </c>
      <c r="AS33" s="116">
        <f>AR32*КоэффСохранения</f>
        <v/>
      </c>
      <c r="AT33" s="116">
        <f>AS32*КоэффСохранения</f>
        <v/>
      </c>
      <c r="AU33" s="116">
        <f>AT32*КоэффСохранения</f>
        <v/>
      </c>
      <c r="AV33" s="116">
        <f>AU32*КоэффСохранения</f>
        <v/>
      </c>
      <c r="AW33" s="116">
        <f>AV32*КоэффСохранения</f>
        <v/>
      </c>
      <c r="AX33" s="116">
        <f>AW32*КоэффСохранения</f>
        <v/>
      </c>
      <c r="AY33" s="116">
        <f>AX32*КоэффСохранения</f>
        <v/>
      </c>
      <c r="AZ33" s="116">
        <f>AY32*КоэффСохранения</f>
        <v/>
      </c>
      <c r="BA33" s="116">
        <f>AZ32*КоэффСохранения</f>
        <v/>
      </c>
      <c r="BB33" s="116">
        <f>BA32*КоэффСохранения</f>
        <v/>
      </c>
      <c r="BC33" s="116">
        <f>BB32*КоэффСохранения</f>
        <v/>
      </c>
      <c r="BD33" s="116">
        <f>BC32*КоэффСохранения</f>
        <v/>
      </c>
      <c r="BE33" s="116">
        <f>BD32*КоэффСохранения</f>
        <v/>
      </c>
      <c r="BF33" s="116">
        <f>BE32*КоэффСохранения</f>
        <v/>
      </c>
      <c r="BG33" s="116">
        <f>BF32*КоэффСохранения</f>
        <v/>
      </c>
      <c r="BH33" s="116">
        <f>BG32*КоэффСохранения</f>
        <v/>
      </c>
      <c r="BI33" s="116">
        <f>BH32*КоэффСохранения</f>
        <v/>
      </c>
      <c r="BJ33" s="116">
        <f>BI32*КоэффСохранения</f>
        <v/>
      </c>
      <c r="BK33" s="116">
        <f>BJ32*КоэффСохранения</f>
        <v/>
      </c>
      <c r="BL33" s="116">
        <f>BK32*КоэффСохранения</f>
        <v/>
      </c>
      <c r="BM33" s="116">
        <f>BL32*КоэффСохранения</f>
        <v/>
      </c>
      <c r="BN33" s="116">
        <f>BM32*КоэффСохранения</f>
        <v/>
      </c>
      <c r="BO33" s="116">
        <f>BN32*КоэффСохранения</f>
        <v/>
      </c>
      <c r="BP33" s="116">
        <f>BO32*КоэффСохранения</f>
        <v/>
      </c>
      <c r="BQ33" s="116">
        <f>BP32*КоэффСохранения</f>
        <v/>
      </c>
      <c r="BR33" s="116">
        <f>BQ32*КоэффСохранения</f>
        <v/>
      </c>
      <c r="BS33" s="116">
        <f>BR32*КоэффСохранения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04" t="inlineStr"/>
      <c r="E34" s="114">
        <f>W34</f>
        <v/>
      </c>
      <c r="F34" s="114">
        <f>AI34</f>
        <v/>
      </c>
      <c r="G34" s="114">
        <f>AU34</f>
        <v/>
      </c>
      <c r="H34" s="114">
        <f>BG34</f>
        <v/>
      </c>
      <c r="I34" s="114">
        <f>BS34</f>
        <v/>
      </c>
      <c r="J34" s="115">
        <f>BS34</f>
        <v/>
      </c>
      <c r="L34" s="116">
        <f>0</f>
        <v/>
      </c>
      <c r="M34" s="116">
        <f>L33*КоэффСохранения</f>
        <v/>
      </c>
      <c r="N34" s="116">
        <f>M33*КоэффСохранения</f>
        <v/>
      </c>
      <c r="O34" s="116">
        <f>N33*КоэффСохранения</f>
        <v/>
      </c>
      <c r="P34" s="116">
        <f>O33*КоэффСохранения</f>
        <v/>
      </c>
      <c r="Q34" s="116">
        <f>P33*КоэффСохранения</f>
        <v/>
      </c>
      <c r="R34" s="116">
        <f>Q33*КоэффСохранения</f>
        <v/>
      </c>
      <c r="S34" s="116">
        <f>R33*КоэффСохранения</f>
        <v/>
      </c>
      <c r="T34" s="116">
        <f>S33*КоэффСохранения</f>
        <v/>
      </c>
      <c r="U34" s="116">
        <f>T33*КоэффСохранения</f>
        <v/>
      </c>
      <c r="V34" s="116">
        <f>U33*КоэффСохранения</f>
        <v/>
      </c>
      <c r="W34" s="116">
        <f>V33*КоэффСохранения</f>
        <v/>
      </c>
      <c r="X34" s="116">
        <f>W33*КоэффСохранения</f>
        <v/>
      </c>
      <c r="Y34" s="116">
        <f>X33*КоэффСохранения</f>
        <v/>
      </c>
      <c r="Z34" s="116">
        <f>Y33*КоэффСохранения</f>
        <v/>
      </c>
      <c r="AA34" s="116">
        <f>Z33*КоэффСохранения</f>
        <v/>
      </c>
      <c r="AB34" s="116">
        <f>AA33*КоэффСохранения</f>
        <v/>
      </c>
      <c r="AC34" s="116">
        <f>AB33*КоэффСохранения</f>
        <v/>
      </c>
      <c r="AD34" s="116">
        <f>AC33*КоэффСохранения</f>
        <v/>
      </c>
      <c r="AE34" s="116">
        <f>AD33*КоэффСохранения</f>
        <v/>
      </c>
      <c r="AF34" s="116">
        <f>AE33*КоэффСохранения</f>
        <v/>
      </c>
      <c r="AG34" s="116">
        <f>AF33*КоэффСохранения</f>
        <v/>
      </c>
      <c r="AH34" s="116">
        <f>AG33*КоэффСохранения</f>
        <v/>
      </c>
      <c r="AI34" s="116">
        <f>AH33*КоэффСохранения</f>
        <v/>
      </c>
      <c r="AJ34" s="116">
        <f>AI33*КоэффСохранения</f>
        <v/>
      </c>
      <c r="AK34" s="116">
        <f>AJ33*КоэффСохранения</f>
        <v/>
      </c>
      <c r="AL34" s="116">
        <f>AK33*КоэффСохранения</f>
        <v/>
      </c>
      <c r="AM34" s="116">
        <f>AL33*КоэффСохранения</f>
        <v/>
      </c>
      <c r="AN34" s="116">
        <f>AM33*КоэффСохранения</f>
        <v/>
      </c>
      <c r="AO34" s="116">
        <f>AN33*КоэффСохранения</f>
        <v/>
      </c>
      <c r="AP34" s="116">
        <f>AO33*КоэффСохранения</f>
        <v/>
      </c>
      <c r="AQ34" s="116">
        <f>AP33*КоэффСохранения</f>
        <v/>
      </c>
      <c r="AR34" s="116">
        <f>AQ33*КоэффСохранения</f>
        <v/>
      </c>
      <c r="AS34" s="116">
        <f>AR33*КоэффСохранения</f>
        <v/>
      </c>
      <c r="AT34" s="116">
        <f>AS33*КоэффСохранения</f>
        <v/>
      </c>
      <c r="AU34" s="116">
        <f>AT33*КоэффСохранения</f>
        <v/>
      </c>
      <c r="AV34" s="116">
        <f>AU33*КоэффСохранения</f>
        <v/>
      </c>
      <c r="AW34" s="116">
        <f>AV33*КоэффСохранения</f>
        <v/>
      </c>
      <c r="AX34" s="116">
        <f>AW33*КоэффСохранения</f>
        <v/>
      </c>
      <c r="AY34" s="116">
        <f>AX33*КоэффСохранения</f>
        <v/>
      </c>
      <c r="AZ34" s="116">
        <f>AY33*КоэффСохранения</f>
        <v/>
      </c>
      <c r="BA34" s="116">
        <f>AZ33*КоэффСохранения</f>
        <v/>
      </c>
      <c r="BB34" s="116">
        <f>BA33*КоэффСохранения</f>
        <v/>
      </c>
      <c r="BC34" s="116">
        <f>BB33*КоэффСохранения</f>
        <v/>
      </c>
      <c r="BD34" s="116">
        <f>BC33*КоэффСохранения</f>
        <v/>
      </c>
      <c r="BE34" s="116">
        <f>BD33*КоэффСохранения</f>
        <v/>
      </c>
      <c r="BF34" s="116">
        <f>BE33*КоэффСохранения</f>
        <v/>
      </c>
      <c r="BG34" s="116">
        <f>BF33*КоэффСохранения</f>
        <v/>
      </c>
      <c r="BH34" s="116">
        <f>BG33*КоэффСохранения</f>
        <v/>
      </c>
      <c r="BI34" s="116">
        <f>BH33*КоэффСохранения</f>
        <v/>
      </c>
      <c r="BJ34" s="116">
        <f>BI33*КоэффСохранения</f>
        <v/>
      </c>
      <c r="BK34" s="116">
        <f>BJ33*КоэффСохранения</f>
        <v/>
      </c>
      <c r="BL34" s="116">
        <f>BK33*КоэффСохранения</f>
        <v/>
      </c>
      <c r="BM34" s="116">
        <f>BL33*КоэффСохранения</f>
        <v/>
      </c>
      <c r="BN34" s="116">
        <f>BM33*КоэффСохранения</f>
        <v/>
      </c>
      <c r="BO34" s="116">
        <f>BN33*КоэффСохранения</f>
        <v/>
      </c>
      <c r="BP34" s="116">
        <f>BO33*КоэффСохранения</f>
        <v/>
      </c>
      <c r="BQ34" s="116">
        <f>BP33*КоэффСохранения</f>
        <v/>
      </c>
      <c r="BR34" s="116">
        <f>BQ33*КоэффСохранения</f>
        <v/>
      </c>
      <c r="BS34" s="116">
        <f>BR33*КоэффСохранения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04" t="inlineStr"/>
      <c r="E35" s="114">
        <f>W35</f>
        <v/>
      </c>
      <c r="F35" s="114">
        <f>AI35</f>
        <v/>
      </c>
      <c r="G35" s="114">
        <f>AU35</f>
        <v/>
      </c>
      <c r="H35" s="114">
        <f>BG35</f>
        <v/>
      </c>
      <c r="I35" s="114">
        <f>BS35</f>
        <v/>
      </c>
      <c r="J35" s="115">
        <f>BS35</f>
        <v/>
      </c>
      <c r="L35" s="116">
        <f>0</f>
        <v/>
      </c>
      <c r="M35" s="116">
        <f>L34*КоэффСохранения</f>
        <v/>
      </c>
      <c r="N35" s="116">
        <f>M34*КоэффСохранения</f>
        <v/>
      </c>
      <c r="O35" s="116">
        <f>N34*КоэффСохранения</f>
        <v/>
      </c>
      <c r="P35" s="116">
        <f>O34*КоэффСохранения</f>
        <v/>
      </c>
      <c r="Q35" s="116">
        <f>P34*КоэффСохранения</f>
        <v/>
      </c>
      <c r="R35" s="116">
        <f>Q34*КоэффСохранения</f>
        <v/>
      </c>
      <c r="S35" s="116">
        <f>R34*КоэффСохранения</f>
        <v/>
      </c>
      <c r="T35" s="116">
        <f>S34*КоэффСохранения</f>
        <v/>
      </c>
      <c r="U35" s="116">
        <f>T34*КоэффСохранения</f>
        <v/>
      </c>
      <c r="V35" s="116">
        <f>U34*КоэффСохранения</f>
        <v/>
      </c>
      <c r="W35" s="116">
        <f>V34*КоэффСохранения</f>
        <v/>
      </c>
      <c r="X35" s="116">
        <f>W34*КоэффСохранения</f>
        <v/>
      </c>
      <c r="Y35" s="116">
        <f>X34*КоэффСохранения</f>
        <v/>
      </c>
      <c r="Z35" s="116">
        <f>Y34*КоэффСохранения</f>
        <v/>
      </c>
      <c r="AA35" s="116">
        <f>Z34*КоэффСохранения</f>
        <v/>
      </c>
      <c r="AB35" s="116">
        <f>AA34*КоэффСохранения</f>
        <v/>
      </c>
      <c r="AC35" s="116">
        <f>AB34*КоэффСохранения</f>
        <v/>
      </c>
      <c r="AD35" s="116">
        <f>AC34*КоэффСохранения</f>
        <v/>
      </c>
      <c r="AE35" s="116">
        <f>AD34*КоэффСохранения</f>
        <v/>
      </c>
      <c r="AF35" s="116">
        <f>AE34*КоэффСохранения</f>
        <v/>
      </c>
      <c r="AG35" s="116">
        <f>AF34*КоэффСохранения</f>
        <v/>
      </c>
      <c r="AH35" s="116">
        <f>AG34*КоэффСохранения</f>
        <v/>
      </c>
      <c r="AI35" s="116">
        <f>AH34*КоэффСохранения</f>
        <v/>
      </c>
      <c r="AJ35" s="116">
        <f>AI34*КоэффСохранения</f>
        <v/>
      </c>
      <c r="AK35" s="116">
        <f>AJ34*КоэффСохранения</f>
        <v/>
      </c>
      <c r="AL35" s="116">
        <f>AK34*КоэффСохранения</f>
        <v/>
      </c>
      <c r="AM35" s="116">
        <f>AL34*КоэффСохранения</f>
        <v/>
      </c>
      <c r="AN35" s="116">
        <f>AM34*КоэффСохранения</f>
        <v/>
      </c>
      <c r="AO35" s="116">
        <f>AN34*КоэффСохранения</f>
        <v/>
      </c>
      <c r="AP35" s="116">
        <f>AO34*КоэффСохранения</f>
        <v/>
      </c>
      <c r="AQ35" s="116">
        <f>AP34*КоэффСохранения</f>
        <v/>
      </c>
      <c r="AR35" s="116">
        <f>AQ34*КоэффСохранения</f>
        <v/>
      </c>
      <c r="AS35" s="116">
        <f>AR34*КоэффСохранения</f>
        <v/>
      </c>
      <c r="AT35" s="116">
        <f>AS34*КоэффСохранения</f>
        <v/>
      </c>
      <c r="AU35" s="116">
        <f>AT34*КоэффСохранения</f>
        <v/>
      </c>
      <c r="AV35" s="116">
        <f>AU34*КоэффСохранения</f>
        <v/>
      </c>
      <c r="AW35" s="116">
        <f>AV34*КоэффСохранения</f>
        <v/>
      </c>
      <c r="AX35" s="116">
        <f>AW34*КоэффСохранения</f>
        <v/>
      </c>
      <c r="AY35" s="116">
        <f>AX34*КоэффСохранения</f>
        <v/>
      </c>
      <c r="AZ35" s="116">
        <f>AY34*КоэффСохранения</f>
        <v/>
      </c>
      <c r="BA35" s="116">
        <f>AZ34*КоэффСохранения</f>
        <v/>
      </c>
      <c r="BB35" s="116">
        <f>BA34*КоэффСохранения</f>
        <v/>
      </c>
      <c r="BC35" s="116">
        <f>BB34*КоэффСохранения</f>
        <v/>
      </c>
      <c r="BD35" s="116">
        <f>BC34*КоэффСохранения</f>
        <v/>
      </c>
      <c r="BE35" s="116">
        <f>BD34*КоэффСохранения</f>
        <v/>
      </c>
      <c r="BF35" s="116">
        <f>BE34*КоэффСохранения</f>
        <v/>
      </c>
      <c r="BG35" s="116">
        <f>BF34*КоэффСохранения</f>
        <v/>
      </c>
      <c r="BH35" s="116">
        <f>BG34*КоэффСохранения</f>
        <v/>
      </c>
      <c r="BI35" s="116">
        <f>BH34*КоэффСохранения</f>
        <v/>
      </c>
      <c r="BJ35" s="116">
        <f>BI34*КоэффСохранения</f>
        <v/>
      </c>
      <c r="BK35" s="116">
        <f>BJ34*КоэффСохранения</f>
        <v/>
      </c>
      <c r="BL35" s="116">
        <f>BK34*КоэффСохранения</f>
        <v/>
      </c>
      <c r="BM35" s="116">
        <f>BL34*КоэффСохранения</f>
        <v/>
      </c>
      <c r="BN35" s="116">
        <f>BM34*КоэффСохранения</f>
        <v/>
      </c>
      <c r="BO35" s="116">
        <f>BN34*КоэффСохранения</f>
        <v/>
      </c>
      <c r="BP35" s="116">
        <f>BO34*КоэффСохранения</f>
        <v/>
      </c>
      <c r="BQ35" s="116">
        <f>BP34*КоэффСохранения</f>
        <v/>
      </c>
      <c r="BR35" s="116">
        <f>BQ34*КоэффСохранения</f>
        <v/>
      </c>
      <c r="BS35" s="116">
        <f>BR34*КоэффСохранения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04" t="inlineStr"/>
      <c r="E36" s="114">
        <f>W36</f>
        <v/>
      </c>
      <c r="F36" s="114">
        <f>AI36</f>
        <v/>
      </c>
      <c r="G36" s="114">
        <f>AU36</f>
        <v/>
      </c>
      <c r="H36" s="114">
        <f>BG36</f>
        <v/>
      </c>
      <c r="I36" s="114">
        <f>BS36</f>
        <v/>
      </c>
      <c r="J36" s="115">
        <f>BS36</f>
        <v/>
      </c>
      <c r="L36" s="116">
        <f>0</f>
        <v/>
      </c>
      <c r="M36" s="116">
        <f>L35*КоэффСохранения</f>
        <v/>
      </c>
      <c r="N36" s="116">
        <f>M35*КоэффСохранения</f>
        <v/>
      </c>
      <c r="O36" s="116">
        <f>N35*КоэффСохранения</f>
        <v/>
      </c>
      <c r="P36" s="116">
        <f>O35*КоэффСохранения</f>
        <v/>
      </c>
      <c r="Q36" s="116">
        <f>P35*КоэффСохранения</f>
        <v/>
      </c>
      <c r="R36" s="116">
        <f>Q35*КоэффСохранения</f>
        <v/>
      </c>
      <c r="S36" s="116">
        <f>R35*КоэффСохранения</f>
        <v/>
      </c>
      <c r="T36" s="116">
        <f>S35*КоэффСохранения</f>
        <v/>
      </c>
      <c r="U36" s="116">
        <f>T35*КоэффСохранения</f>
        <v/>
      </c>
      <c r="V36" s="116">
        <f>U35*КоэффСохранения</f>
        <v/>
      </c>
      <c r="W36" s="116">
        <f>V35*КоэффСохранения</f>
        <v/>
      </c>
      <c r="X36" s="116">
        <f>W35*КоэффСохранения</f>
        <v/>
      </c>
      <c r="Y36" s="116">
        <f>X35*КоэффСохранения</f>
        <v/>
      </c>
      <c r="Z36" s="116">
        <f>Y35*КоэффСохранения</f>
        <v/>
      </c>
      <c r="AA36" s="116">
        <f>Z35*КоэффСохранения</f>
        <v/>
      </c>
      <c r="AB36" s="116">
        <f>AA35*КоэффСохранения</f>
        <v/>
      </c>
      <c r="AC36" s="116">
        <f>AB35*КоэффСохранения</f>
        <v/>
      </c>
      <c r="AD36" s="116">
        <f>AC35*КоэффСохранения</f>
        <v/>
      </c>
      <c r="AE36" s="116">
        <f>AD35*КоэффСохранения</f>
        <v/>
      </c>
      <c r="AF36" s="116">
        <f>AE35*КоэффСохранения</f>
        <v/>
      </c>
      <c r="AG36" s="116">
        <f>AF35*КоэффСохранения</f>
        <v/>
      </c>
      <c r="AH36" s="116">
        <f>AG35*КоэффСохранения</f>
        <v/>
      </c>
      <c r="AI36" s="116">
        <f>AH35*КоэффСохранения</f>
        <v/>
      </c>
      <c r="AJ36" s="116">
        <f>AI35*КоэффСохранения</f>
        <v/>
      </c>
      <c r="AK36" s="116">
        <f>AJ35*КоэффСохранения</f>
        <v/>
      </c>
      <c r="AL36" s="116">
        <f>AK35*КоэффСохранения</f>
        <v/>
      </c>
      <c r="AM36" s="116">
        <f>AL35*КоэффСохранения</f>
        <v/>
      </c>
      <c r="AN36" s="116">
        <f>AM35*КоэффСохранения</f>
        <v/>
      </c>
      <c r="AO36" s="116">
        <f>AN35*КоэффСохранения</f>
        <v/>
      </c>
      <c r="AP36" s="116">
        <f>AO35*КоэффСохранения</f>
        <v/>
      </c>
      <c r="AQ36" s="116">
        <f>AP35*КоэффСохранения</f>
        <v/>
      </c>
      <c r="AR36" s="116">
        <f>AQ35*КоэффСохранения</f>
        <v/>
      </c>
      <c r="AS36" s="116">
        <f>AR35*КоэффСохранения</f>
        <v/>
      </c>
      <c r="AT36" s="116">
        <f>AS35*КоэффСохранения</f>
        <v/>
      </c>
      <c r="AU36" s="116">
        <f>AT35*КоэффСохранения</f>
        <v/>
      </c>
      <c r="AV36" s="116">
        <f>AU35*КоэффСохранения</f>
        <v/>
      </c>
      <c r="AW36" s="116">
        <f>AV35*КоэффСохранения</f>
        <v/>
      </c>
      <c r="AX36" s="116">
        <f>AW35*КоэффСохранения</f>
        <v/>
      </c>
      <c r="AY36" s="116">
        <f>AX35*КоэффСохранения</f>
        <v/>
      </c>
      <c r="AZ36" s="116">
        <f>AY35*КоэффСохранения</f>
        <v/>
      </c>
      <c r="BA36" s="116">
        <f>AZ35*КоэффСохранения</f>
        <v/>
      </c>
      <c r="BB36" s="116">
        <f>BA35*КоэффСохранения</f>
        <v/>
      </c>
      <c r="BC36" s="116">
        <f>BB35*КоэффСохранения</f>
        <v/>
      </c>
      <c r="BD36" s="116">
        <f>BC35*КоэффСохранения</f>
        <v/>
      </c>
      <c r="BE36" s="116">
        <f>BD35*КоэффСохранения</f>
        <v/>
      </c>
      <c r="BF36" s="116">
        <f>BE35*КоэффСохранения</f>
        <v/>
      </c>
      <c r="BG36" s="116">
        <f>BF35*КоэффСохранения</f>
        <v/>
      </c>
      <c r="BH36" s="116">
        <f>BG35*КоэффСохранения</f>
        <v/>
      </c>
      <c r="BI36" s="116">
        <f>BH35*КоэффСохранения</f>
        <v/>
      </c>
      <c r="BJ36" s="116">
        <f>BI35*КоэффСохранения</f>
        <v/>
      </c>
      <c r="BK36" s="116">
        <f>BJ35*КоэффСохранения</f>
        <v/>
      </c>
      <c r="BL36" s="116">
        <f>BK35*КоэффСохранения</f>
        <v/>
      </c>
      <c r="BM36" s="116">
        <f>BL35*КоэффСохранения</f>
        <v/>
      </c>
      <c r="BN36" s="116">
        <f>BM35*КоэффСохранения</f>
        <v/>
      </c>
      <c r="BO36" s="116">
        <f>BN35*КоэффСохранения</f>
        <v/>
      </c>
      <c r="BP36" s="116">
        <f>BO35*КоэффСохранения</f>
        <v/>
      </c>
      <c r="BQ36" s="116">
        <f>BP35*КоэффСохранения</f>
        <v/>
      </c>
      <c r="BR36" s="116">
        <f>BQ35*КоэффСохранения</f>
        <v/>
      </c>
      <c r="BS36" s="116">
        <f>BR35*КоэффСохранения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04" t="inlineStr"/>
      <c r="E37" s="114">
        <f>W37</f>
        <v/>
      </c>
      <c r="F37" s="114">
        <f>AI37</f>
        <v/>
      </c>
      <c r="G37" s="114">
        <f>AU37</f>
        <v/>
      </c>
      <c r="H37" s="114">
        <f>BG37</f>
        <v/>
      </c>
      <c r="I37" s="114">
        <f>BS37</f>
        <v/>
      </c>
      <c r="J37" s="115">
        <f>BS37</f>
        <v/>
      </c>
      <c r="L37" s="116">
        <f>0</f>
        <v/>
      </c>
      <c r="M37" s="116">
        <f>L36*КоэффСохранения</f>
        <v/>
      </c>
      <c r="N37" s="116">
        <f>M36*КоэффСохранения</f>
        <v/>
      </c>
      <c r="O37" s="116">
        <f>N36*КоэффСохранения</f>
        <v/>
      </c>
      <c r="P37" s="116">
        <f>O36*КоэффСохранения</f>
        <v/>
      </c>
      <c r="Q37" s="116">
        <f>P36*КоэффСохранения</f>
        <v/>
      </c>
      <c r="R37" s="116">
        <f>Q36*КоэффСохранения</f>
        <v/>
      </c>
      <c r="S37" s="116">
        <f>R36*КоэффСохранения</f>
        <v/>
      </c>
      <c r="T37" s="116">
        <f>S36*КоэффСохранения</f>
        <v/>
      </c>
      <c r="U37" s="116">
        <f>T36*КоэффСохранения</f>
        <v/>
      </c>
      <c r="V37" s="116">
        <f>U36*КоэффСохранения</f>
        <v/>
      </c>
      <c r="W37" s="116">
        <f>V36*КоэффСохранения</f>
        <v/>
      </c>
      <c r="X37" s="116">
        <f>W36*КоэффСохранения</f>
        <v/>
      </c>
      <c r="Y37" s="116">
        <f>X36*КоэффСохранения</f>
        <v/>
      </c>
      <c r="Z37" s="116">
        <f>Y36*КоэффСохранения</f>
        <v/>
      </c>
      <c r="AA37" s="116">
        <f>Z36*КоэффСохранения</f>
        <v/>
      </c>
      <c r="AB37" s="116">
        <f>AA36*КоэффСохранения</f>
        <v/>
      </c>
      <c r="AC37" s="116">
        <f>AB36*КоэффСохранения</f>
        <v/>
      </c>
      <c r="AD37" s="116">
        <f>AC36*КоэффСохранения</f>
        <v/>
      </c>
      <c r="AE37" s="116">
        <f>AD36*КоэффСохранения</f>
        <v/>
      </c>
      <c r="AF37" s="116">
        <f>AE36*КоэффСохранения</f>
        <v/>
      </c>
      <c r="AG37" s="116">
        <f>AF36*КоэффСохранения</f>
        <v/>
      </c>
      <c r="AH37" s="116">
        <f>AG36*КоэффСохранения</f>
        <v/>
      </c>
      <c r="AI37" s="116">
        <f>AH36*КоэффСохранения</f>
        <v/>
      </c>
      <c r="AJ37" s="116">
        <f>AI36*КоэффСохранения</f>
        <v/>
      </c>
      <c r="AK37" s="116">
        <f>AJ36*КоэффСохранения</f>
        <v/>
      </c>
      <c r="AL37" s="116">
        <f>AK36*КоэффСохранения</f>
        <v/>
      </c>
      <c r="AM37" s="116">
        <f>AL36*КоэффСохранения</f>
        <v/>
      </c>
      <c r="AN37" s="116">
        <f>AM36*КоэффСохранения</f>
        <v/>
      </c>
      <c r="AO37" s="116">
        <f>AN36*КоэффСохранения</f>
        <v/>
      </c>
      <c r="AP37" s="116">
        <f>AO36*КоэффСохранения</f>
        <v/>
      </c>
      <c r="AQ37" s="116">
        <f>AP36*КоэффСохранения</f>
        <v/>
      </c>
      <c r="AR37" s="116">
        <f>AQ36*КоэффСохранения</f>
        <v/>
      </c>
      <c r="AS37" s="116">
        <f>AR36*КоэффСохранения</f>
        <v/>
      </c>
      <c r="AT37" s="116">
        <f>AS36*КоэффСохранения</f>
        <v/>
      </c>
      <c r="AU37" s="116">
        <f>AT36*КоэффСохранения</f>
        <v/>
      </c>
      <c r="AV37" s="116">
        <f>AU36*КоэффСохранения</f>
        <v/>
      </c>
      <c r="AW37" s="116">
        <f>AV36*КоэффСохранения</f>
        <v/>
      </c>
      <c r="AX37" s="116">
        <f>AW36*КоэффСохранения</f>
        <v/>
      </c>
      <c r="AY37" s="116">
        <f>AX36*КоэффСохранения</f>
        <v/>
      </c>
      <c r="AZ37" s="116">
        <f>AY36*КоэффСохранения</f>
        <v/>
      </c>
      <c r="BA37" s="116">
        <f>AZ36*КоэффСохранения</f>
        <v/>
      </c>
      <c r="BB37" s="116">
        <f>BA36*КоэффСохранения</f>
        <v/>
      </c>
      <c r="BC37" s="116">
        <f>BB36*КоэффСохранения</f>
        <v/>
      </c>
      <c r="BD37" s="116">
        <f>BC36*КоэффСохранения</f>
        <v/>
      </c>
      <c r="BE37" s="116">
        <f>BD36*КоэффСохранения</f>
        <v/>
      </c>
      <c r="BF37" s="116">
        <f>BE36*КоэффСохранения</f>
        <v/>
      </c>
      <c r="BG37" s="116">
        <f>BF36*КоэффСохранения</f>
        <v/>
      </c>
      <c r="BH37" s="116">
        <f>BG36*КоэффСохранения</f>
        <v/>
      </c>
      <c r="BI37" s="116">
        <f>BH36*КоэффСохранения</f>
        <v/>
      </c>
      <c r="BJ37" s="116">
        <f>BI36*КоэффСохранения</f>
        <v/>
      </c>
      <c r="BK37" s="116">
        <f>BJ36*КоэффСохранения</f>
        <v/>
      </c>
      <c r="BL37" s="116">
        <f>BK36*КоэффСохранения</f>
        <v/>
      </c>
      <c r="BM37" s="116">
        <f>BL36*КоэффСохранения</f>
        <v/>
      </c>
      <c r="BN37" s="116">
        <f>BM36*КоэффСохранения</f>
        <v/>
      </c>
      <c r="BO37" s="116">
        <f>BN36*КоэффСохранения</f>
        <v/>
      </c>
      <c r="BP37" s="116">
        <f>BO36*КоэффСохранения</f>
        <v/>
      </c>
      <c r="BQ37" s="116">
        <f>BP36*КоэффСохранения</f>
        <v/>
      </c>
      <c r="BR37" s="116">
        <f>BQ36*КоэффСохранения</f>
        <v/>
      </c>
      <c r="BS37" s="116">
        <f>BR36*КоэффСохранения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04" t="inlineStr"/>
      <c r="E38" s="114">
        <f>W38</f>
        <v/>
      </c>
      <c r="F38" s="114">
        <f>AI38</f>
        <v/>
      </c>
      <c r="G38" s="114">
        <f>AU38</f>
        <v/>
      </c>
      <c r="H38" s="114">
        <f>BG38</f>
        <v/>
      </c>
      <c r="I38" s="114">
        <f>BS38</f>
        <v/>
      </c>
      <c r="J38" s="115">
        <f>BS38</f>
        <v/>
      </c>
      <c r="L38" s="116">
        <f>0</f>
        <v/>
      </c>
      <c r="M38" s="116">
        <f>L37*КоэффСохранения</f>
        <v/>
      </c>
      <c r="N38" s="116">
        <f>M37*КоэффСохранения</f>
        <v/>
      </c>
      <c r="O38" s="116">
        <f>N37*КоэффСохранения</f>
        <v/>
      </c>
      <c r="P38" s="116">
        <f>O37*КоэффСохранения</f>
        <v/>
      </c>
      <c r="Q38" s="116">
        <f>P37*КоэффСохранения</f>
        <v/>
      </c>
      <c r="R38" s="116">
        <f>Q37*КоэффСохранения</f>
        <v/>
      </c>
      <c r="S38" s="116">
        <f>R37*КоэффСохранения</f>
        <v/>
      </c>
      <c r="T38" s="116">
        <f>S37*КоэффСохранения</f>
        <v/>
      </c>
      <c r="U38" s="116">
        <f>T37*КоэффСохранения</f>
        <v/>
      </c>
      <c r="V38" s="116">
        <f>U37*КоэффСохранения</f>
        <v/>
      </c>
      <c r="W38" s="116">
        <f>V37*КоэффСохранения</f>
        <v/>
      </c>
      <c r="X38" s="116">
        <f>W37*КоэффСохранения</f>
        <v/>
      </c>
      <c r="Y38" s="116">
        <f>X37*КоэффСохранения</f>
        <v/>
      </c>
      <c r="Z38" s="116">
        <f>Y37*КоэффСохранения</f>
        <v/>
      </c>
      <c r="AA38" s="116">
        <f>Z37*КоэффСохранения</f>
        <v/>
      </c>
      <c r="AB38" s="116">
        <f>AA37*КоэффСохранения</f>
        <v/>
      </c>
      <c r="AC38" s="116">
        <f>AB37*КоэффСохранения</f>
        <v/>
      </c>
      <c r="AD38" s="116">
        <f>AC37*КоэффСохранения</f>
        <v/>
      </c>
      <c r="AE38" s="116">
        <f>AD37*КоэффСохранения</f>
        <v/>
      </c>
      <c r="AF38" s="116">
        <f>AE37*КоэффСохранения</f>
        <v/>
      </c>
      <c r="AG38" s="116">
        <f>AF37*КоэффСохранения</f>
        <v/>
      </c>
      <c r="AH38" s="116">
        <f>AG37*КоэффСохранения</f>
        <v/>
      </c>
      <c r="AI38" s="116">
        <f>AH37*КоэффСохранения</f>
        <v/>
      </c>
      <c r="AJ38" s="116">
        <f>AI37*КоэффСохранения</f>
        <v/>
      </c>
      <c r="AK38" s="116">
        <f>AJ37*КоэффСохранения</f>
        <v/>
      </c>
      <c r="AL38" s="116">
        <f>AK37*КоэффСохранения</f>
        <v/>
      </c>
      <c r="AM38" s="116">
        <f>AL37*КоэффСохранения</f>
        <v/>
      </c>
      <c r="AN38" s="116">
        <f>AM37*КоэффСохранения</f>
        <v/>
      </c>
      <c r="AO38" s="116">
        <f>AN37*КоэффСохранения</f>
        <v/>
      </c>
      <c r="AP38" s="116">
        <f>AO37*КоэффСохранения</f>
        <v/>
      </c>
      <c r="AQ38" s="116">
        <f>AP37*КоэффСохранения</f>
        <v/>
      </c>
      <c r="AR38" s="116">
        <f>AQ37*КоэффСохранения</f>
        <v/>
      </c>
      <c r="AS38" s="116">
        <f>AR37*КоэффСохранения</f>
        <v/>
      </c>
      <c r="AT38" s="116">
        <f>AS37*КоэффСохранения</f>
        <v/>
      </c>
      <c r="AU38" s="116">
        <f>AT37*КоэффСохранения</f>
        <v/>
      </c>
      <c r="AV38" s="116">
        <f>AU37*КоэффСохранения</f>
        <v/>
      </c>
      <c r="AW38" s="116">
        <f>AV37*КоэффСохранения</f>
        <v/>
      </c>
      <c r="AX38" s="116">
        <f>AW37*КоэффСохранения</f>
        <v/>
      </c>
      <c r="AY38" s="116">
        <f>AX37*КоэффСохранения</f>
        <v/>
      </c>
      <c r="AZ38" s="116">
        <f>AY37*КоэффСохранения</f>
        <v/>
      </c>
      <c r="BA38" s="116">
        <f>AZ37*КоэффСохранения</f>
        <v/>
      </c>
      <c r="BB38" s="116">
        <f>BA37*КоэффСохранения</f>
        <v/>
      </c>
      <c r="BC38" s="116">
        <f>BB37*КоэффСохранения</f>
        <v/>
      </c>
      <c r="BD38" s="116">
        <f>BC37*КоэффСохранения</f>
        <v/>
      </c>
      <c r="BE38" s="116">
        <f>BD37*КоэффСохранения</f>
        <v/>
      </c>
      <c r="BF38" s="116">
        <f>BE37*КоэффСохранения</f>
        <v/>
      </c>
      <c r="BG38" s="116">
        <f>BF37*КоэффСохранения</f>
        <v/>
      </c>
      <c r="BH38" s="116">
        <f>BG37*КоэффСохранения</f>
        <v/>
      </c>
      <c r="BI38" s="116">
        <f>BH37*КоэффСохранения</f>
        <v/>
      </c>
      <c r="BJ38" s="116">
        <f>BI37*КоэффСохранения</f>
        <v/>
      </c>
      <c r="BK38" s="116">
        <f>BJ37*КоэффСохранения</f>
        <v/>
      </c>
      <c r="BL38" s="116">
        <f>BK37*КоэффСохранения</f>
        <v/>
      </c>
      <c r="BM38" s="116">
        <f>BL37*КоэффСохранения</f>
        <v/>
      </c>
      <c r="BN38" s="116">
        <f>BM37*КоэффСохранения</f>
        <v/>
      </c>
      <c r="BO38" s="116">
        <f>BN37*КоэффСохранения</f>
        <v/>
      </c>
      <c r="BP38" s="116">
        <f>BO37*КоэффСохранения</f>
        <v/>
      </c>
      <c r="BQ38" s="116">
        <f>BP37*КоэффСохранения</f>
        <v/>
      </c>
      <c r="BR38" s="116">
        <f>BQ37*КоэффСохранения</f>
        <v/>
      </c>
      <c r="BS38" s="116">
        <f>BR37*КоэффСохранения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04" t="inlineStr"/>
      <c r="E39" s="114">
        <f>W39</f>
        <v/>
      </c>
      <c r="F39" s="114">
        <f>AI39</f>
        <v/>
      </c>
      <c r="G39" s="114">
        <f>AU39</f>
        <v/>
      </c>
      <c r="H39" s="114">
        <f>BG39</f>
        <v/>
      </c>
      <c r="I39" s="114">
        <f>BS39</f>
        <v/>
      </c>
      <c r="J39" s="115">
        <f>BS39</f>
        <v/>
      </c>
      <c r="L39" s="116">
        <f>0</f>
        <v/>
      </c>
      <c r="M39" s="116">
        <f>L38*КоэффСохранения</f>
        <v/>
      </c>
      <c r="N39" s="116">
        <f>M38*КоэффСохранения</f>
        <v/>
      </c>
      <c r="O39" s="116">
        <f>N38*КоэффСохранения</f>
        <v/>
      </c>
      <c r="P39" s="116">
        <f>O38*КоэффСохранения</f>
        <v/>
      </c>
      <c r="Q39" s="116">
        <f>P38*КоэффСохранения</f>
        <v/>
      </c>
      <c r="R39" s="116">
        <f>Q38*КоэффСохранения</f>
        <v/>
      </c>
      <c r="S39" s="116">
        <f>R38*КоэффСохранения</f>
        <v/>
      </c>
      <c r="T39" s="116">
        <f>S38*КоэффСохранения</f>
        <v/>
      </c>
      <c r="U39" s="116">
        <f>T38*КоэффСохранения</f>
        <v/>
      </c>
      <c r="V39" s="116">
        <f>U38*КоэффСохранения</f>
        <v/>
      </c>
      <c r="W39" s="116">
        <f>V38*КоэффСохранения</f>
        <v/>
      </c>
      <c r="X39" s="116">
        <f>W38*КоэффСохранения</f>
        <v/>
      </c>
      <c r="Y39" s="116">
        <f>X38*КоэффСохранения</f>
        <v/>
      </c>
      <c r="Z39" s="116">
        <f>Y38*КоэффСохранения</f>
        <v/>
      </c>
      <c r="AA39" s="116">
        <f>Z38*КоэффСохранения</f>
        <v/>
      </c>
      <c r="AB39" s="116">
        <f>AA38*КоэффСохранения</f>
        <v/>
      </c>
      <c r="AC39" s="116">
        <f>AB38*КоэффСохранения</f>
        <v/>
      </c>
      <c r="AD39" s="116">
        <f>AC38*КоэффСохранения</f>
        <v/>
      </c>
      <c r="AE39" s="116">
        <f>AD38*КоэффСохранения</f>
        <v/>
      </c>
      <c r="AF39" s="116">
        <f>AE38*КоэффСохранения</f>
        <v/>
      </c>
      <c r="AG39" s="116">
        <f>AF38*КоэффСохранения</f>
        <v/>
      </c>
      <c r="AH39" s="116">
        <f>AG38*КоэффСохранения</f>
        <v/>
      </c>
      <c r="AI39" s="116">
        <f>AH38*КоэффСохранения</f>
        <v/>
      </c>
      <c r="AJ39" s="116">
        <f>AI38*КоэффСохранения</f>
        <v/>
      </c>
      <c r="AK39" s="116">
        <f>AJ38*КоэффСохранения</f>
        <v/>
      </c>
      <c r="AL39" s="116">
        <f>AK38*КоэффСохранения</f>
        <v/>
      </c>
      <c r="AM39" s="116">
        <f>AL38*КоэффСохранения</f>
        <v/>
      </c>
      <c r="AN39" s="116">
        <f>AM38*КоэффСохранения</f>
        <v/>
      </c>
      <c r="AO39" s="116">
        <f>AN38*КоэффСохранения</f>
        <v/>
      </c>
      <c r="AP39" s="116">
        <f>AO38*КоэффСохранения</f>
        <v/>
      </c>
      <c r="AQ39" s="116">
        <f>AP38*КоэффСохранения</f>
        <v/>
      </c>
      <c r="AR39" s="116">
        <f>AQ38*КоэффСохранения</f>
        <v/>
      </c>
      <c r="AS39" s="116">
        <f>AR38*КоэффСохранения</f>
        <v/>
      </c>
      <c r="AT39" s="116">
        <f>AS38*КоэффСохранения</f>
        <v/>
      </c>
      <c r="AU39" s="116">
        <f>AT38*КоэффСохранения</f>
        <v/>
      </c>
      <c r="AV39" s="116">
        <f>AU38*КоэффСохранения</f>
        <v/>
      </c>
      <c r="AW39" s="116">
        <f>AV38*КоэффСохранения</f>
        <v/>
      </c>
      <c r="AX39" s="116">
        <f>AW38*КоэффСохранения</f>
        <v/>
      </c>
      <c r="AY39" s="116">
        <f>AX38*КоэффСохранения</f>
        <v/>
      </c>
      <c r="AZ39" s="116">
        <f>AY38*КоэффСохранения</f>
        <v/>
      </c>
      <c r="BA39" s="116">
        <f>AZ38*КоэффСохранения</f>
        <v/>
      </c>
      <c r="BB39" s="116">
        <f>BA38*КоэффСохранения</f>
        <v/>
      </c>
      <c r="BC39" s="116">
        <f>BB38*КоэффСохранения</f>
        <v/>
      </c>
      <c r="BD39" s="116">
        <f>BC38*КоэффСохранения</f>
        <v/>
      </c>
      <c r="BE39" s="116">
        <f>BD38*КоэффСохранения</f>
        <v/>
      </c>
      <c r="BF39" s="116">
        <f>BE38*КоэффСохранения</f>
        <v/>
      </c>
      <c r="BG39" s="116">
        <f>BF38*КоэффСохранения</f>
        <v/>
      </c>
      <c r="BH39" s="116">
        <f>BG38*КоэффСохранения</f>
        <v/>
      </c>
      <c r="BI39" s="116">
        <f>BH38*КоэффСохранения</f>
        <v/>
      </c>
      <c r="BJ39" s="116">
        <f>BI38*КоэффСохранения</f>
        <v/>
      </c>
      <c r="BK39" s="116">
        <f>BJ38*КоэффСохранения</f>
        <v/>
      </c>
      <c r="BL39" s="116">
        <f>BK38*КоэффСохранения</f>
        <v/>
      </c>
      <c r="BM39" s="116">
        <f>BL38*КоэффСохранения</f>
        <v/>
      </c>
      <c r="BN39" s="116">
        <f>BM38*КоэффСохранения</f>
        <v/>
      </c>
      <c r="BO39" s="116">
        <f>BN38*КоэффСохранения</f>
        <v/>
      </c>
      <c r="BP39" s="116">
        <f>BO38*КоэффСохранения</f>
        <v/>
      </c>
      <c r="BQ39" s="116">
        <f>BP38*КоэффСохранения</f>
        <v/>
      </c>
      <c r="BR39" s="116">
        <f>BQ38*КоэффСохранения</f>
        <v/>
      </c>
      <c r="BS39" s="116">
        <f>BR38*КоэффСохранения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04" t="inlineStr"/>
      <c r="E40" s="114">
        <f>W40</f>
        <v/>
      </c>
      <c r="F40" s="114">
        <f>AI40</f>
        <v/>
      </c>
      <c r="G40" s="114">
        <f>AU40</f>
        <v/>
      </c>
      <c r="H40" s="114">
        <f>BG40</f>
        <v/>
      </c>
      <c r="I40" s="114">
        <f>BS40</f>
        <v/>
      </c>
      <c r="J40" s="115">
        <f>BS40</f>
        <v/>
      </c>
      <c r="L40" s="116">
        <f>0</f>
        <v/>
      </c>
      <c r="M40" s="116">
        <f>L39*КоэффСохранения</f>
        <v/>
      </c>
      <c r="N40" s="116">
        <f>M39*КоэффСохранения</f>
        <v/>
      </c>
      <c r="O40" s="116">
        <f>N39*КоэффСохранения</f>
        <v/>
      </c>
      <c r="P40" s="116">
        <f>O39*КоэффСохранения</f>
        <v/>
      </c>
      <c r="Q40" s="116">
        <f>P39*КоэффСохранения</f>
        <v/>
      </c>
      <c r="R40" s="116">
        <f>Q39*КоэффСохранения</f>
        <v/>
      </c>
      <c r="S40" s="116">
        <f>R39*КоэффСохранения</f>
        <v/>
      </c>
      <c r="T40" s="116">
        <f>S39*КоэффСохранения</f>
        <v/>
      </c>
      <c r="U40" s="116">
        <f>T39*КоэффСохранения</f>
        <v/>
      </c>
      <c r="V40" s="116">
        <f>U39*КоэффСохранения</f>
        <v/>
      </c>
      <c r="W40" s="116">
        <f>V39*КоэффСохранения</f>
        <v/>
      </c>
      <c r="X40" s="116">
        <f>W39*КоэффСохранения</f>
        <v/>
      </c>
      <c r="Y40" s="116">
        <f>X39*КоэффСохранения</f>
        <v/>
      </c>
      <c r="Z40" s="116">
        <f>Y39*КоэффСохранения</f>
        <v/>
      </c>
      <c r="AA40" s="116">
        <f>Z39*КоэффСохранения</f>
        <v/>
      </c>
      <c r="AB40" s="116">
        <f>AA39*КоэффСохранения</f>
        <v/>
      </c>
      <c r="AC40" s="116">
        <f>AB39*КоэффСохранения</f>
        <v/>
      </c>
      <c r="AD40" s="116">
        <f>AC39*КоэффСохранения</f>
        <v/>
      </c>
      <c r="AE40" s="116">
        <f>AD39*КоэффСохранения</f>
        <v/>
      </c>
      <c r="AF40" s="116">
        <f>AE39*КоэффСохранения</f>
        <v/>
      </c>
      <c r="AG40" s="116">
        <f>AF39*КоэффСохранения</f>
        <v/>
      </c>
      <c r="AH40" s="116">
        <f>AG39*КоэффСохранения</f>
        <v/>
      </c>
      <c r="AI40" s="116">
        <f>AH39*КоэффСохранения</f>
        <v/>
      </c>
      <c r="AJ40" s="116">
        <f>AI39*КоэффСохранения</f>
        <v/>
      </c>
      <c r="AK40" s="116">
        <f>AJ39*КоэффСохранения</f>
        <v/>
      </c>
      <c r="AL40" s="116">
        <f>AK39*КоэффСохранения</f>
        <v/>
      </c>
      <c r="AM40" s="116">
        <f>AL39*КоэффСохранения</f>
        <v/>
      </c>
      <c r="AN40" s="116">
        <f>AM39*КоэффСохранения</f>
        <v/>
      </c>
      <c r="AO40" s="116">
        <f>AN39*КоэффСохранения</f>
        <v/>
      </c>
      <c r="AP40" s="116">
        <f>AO39*КоэффСохранения</f>
        <v/>
      </c>
      <c r="AQ40" s="116">
        <f>AP39*КоэффСохранения</f>
        <v/>
      </c>
      <c r="AR40" s="116">
        <f>AQ39*КоэффСохранения</f>
        <v/>
      </c>
      <c r="AS40" s="116">
        <f>AR39*КоэффСохранения</f>
        <v/>
      </c>
      <c r="AT40" s="116">
        <f>AS39*КоэффСохранения</f>
        <v/>
      </c>
      <c r="AU40" s="116">
        <f>AT39*КоэффСохранения</f>
        <v/>
      </c>
      <c r="AV40" s="116">
        <f>AU39*КоэффСохранения</f>
        <v/>
      </c>
      <c r="AW40" s="116">
        <f>AV39*КоэффСохранения</f>
        <v/>
      </c>
      <c r="AX40" s="116">
        <f>AW39*КоэффСохранения</f>
        <v/>
      </c>
      <c r="AY40" s="116">
        <f>AX39*КоэффСохранения</f>
        <v/>
      </c>
      <c r="AZ40" s="116">
        <f>AY39*КоэффСохранения</f>
        <v/>
      </c>
      <c r="BA40" s="116">
        <f>AZ39*КоэффСохранения</f>
        <v/>
      </c>
      <c r="BB40" s="116">
        <f>BA39*КоэффСохранения</f>
        <v/>
      </c>
      <c r="BC40" s="116">
        <f>BB39*КоэффСохранения</f>
        <v/>
      </c>
      <c r="BD40" s="116">
        <f>BC39*КоэффСохранения</f>
        <v/>
      </c>
      <c r="BE40" s="116">
        <f>BD39*КоэффСохранения</f>
        <v/>
      </c>
      <c r="BF40" s="116">
        <f>BE39*КоэффСохранения</f>
        <v/>
      </c>
      <c r="BG40" s="116">
        <f>BF39*КоэффСохранения</f>
        <v/>
      </c>
      <c r="BH40" s="116">
        <f>BG39*КоэффСохранения</f>
        <v/>
      </c>
      <c r="BI40" s="116">
        <f>BH39*КоэффСохранения</f>
        <v/>
      </c>
      <c r="BJ40" s="116">
        <f>BI39*КоэффСохранения</f>
        <v/>
      </c>
      <c r="BK40" s="116">
        <f>BJ39*КоэффСохранения</f>
        <v/>
      </c>
      <c r="BL40" s="116">
        <f>BK39*КоэффСохранения</f>
        <v/>
      </c>
      <c r="BM40" s="116">
        <f>BL39*КоэффСохранения</f>
        <v/>
      </c>
      <c r="BN40" s="116">
        <f>BM39*КоэффСохранения</f>
        <v/>
      </c>
      <c r="BO40" s="116">
        <f>BN39*КоэффСохранения</f>
        <v/>
      </c>
      <c r="BP40" s="116">
        <f>BO39*КоэффСохранения</f>
        <v/>
      </c>
      <c r="BQ40" s="116">
        <f>BP39*КоэффСохранения</f>
        <v/>
      </c>
      <c r="BR40" s="116">
        <f>BQ39*КоэффСохранения</f>
        <v/>
      </c>
      <c r="BS40" s="116">
        <f>BR39*КоэффСохранения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04" t="inlineStr"/>
      <c r="E41" s="114">
        <f>W41</f>
        <v/>
      </c>
      <c r="F41" s="114">
        <f>AI41</f>
        <v/>
      </c>
      <c r="G41" s="114">
        <f>AU41</f>
        <v/>
      </c>
      <c r="H41" s="114">
        <f>BG41</f>
        <v/>
      </c>
      <c r="I41" s="114">
        <f>BS41</f>
        <v/>
      </c>
      <c r="J41" s="115">
        <f>BS41</f>
        <v/>
      </c>
      <c r="L41" s="116">
        <f>0</f>
        <v/>
      </c>
      <c r="M41" s="116">
        <f>L40*КоэффСохранения</f>
        <v/>
      </c>
      <c r="N41" s="116">
        <f>M40*КоэффСохранения</f>
        <v/>
      </c>
      <c r="O41" s="116">
        <f>N40*КоэффСохранения</f>
        <v/>
      </c>
      <c r="P41" s="116">
        <f>O40*КоэффСохранения</f>
        <v/>
      </c>
      <c r="Q41" s="116">
        <f>P40*КоэффСохранения</f>
        <v/>
      </c>
      <c r="R41" s="116">
        <f>Q40*КоэффСохранения</f>
        <v/>
      </c>
      <c r="S41" s="116">
        <f>R40*КоэффСохранения</f>
        <v/>
      </c>
      <c r="T41" s="116">
        <f>S40*КоэффСохранения</f>
        <v/>
      </c>
      <c r="U41" s="116">
        <f>T40*КоэффСохранения</f>
        <v/>
      </c>
      <c r="V41" s="116">
        <f>U40*КоэффСохранения</f>
        <v/>
      </c>
      <c r="W41" s="116">
        <f>V40*КоэффСохранения</f>
        <v/>
      </c>
      <c r="X41" s="116">
        <f>W40*КоэффСохранения</f>
        <v/>
      </c>
      <c r="Y41" s="116">
        <f>X40*КоэффСохранения</f>
        <v/>
      </c>
      <c r="Z41" s="116">
        <f>Y40*КоэффСохранения</f>
        <v/>
      </c>
      <c r="AA41" s="116">
        <f>Z40*КоэффСохранения</f>
        <v/>
      </c>
      <c r="AB41" s="116">
        <f>AA40*КоэффСохранения</f>
        <v/>
      </c>
      <c r="AC41" s="116">
        <f>AB40*КоэффСохранения</f>
        <v/>
      </c>
      <c r="AD41" s="116">
        <f>AC40*КоэффСохранения</f>
        <v/>
      </c>
      <c r="AE41" s="116">
        <f>AD40*КоэффСохранения</f>
        <v/>
      </c>
      <c r="AF41" s="116">
        <f>AE40*КоэффСохранения</f>
        <v/>
      </c>
      <c r="AG41" s="116">
        <f>AF40*КоэффСохранения</f>
        <v/>
      </c>
      <c r="AH41" s="116">
        <f>AG40*КоэффСохранения</f>
        <v/>
      </c>
      <c r="AI41" s="116">
        <f>AH40*КоэффСохранения</f>
        <v/>
      </c>
      <c r="AJ41" s="116">
        <f>AI40*КоэффСохранения</f>
        <v/>
      </c>
      <c r="AK41" s="116">
        <f>AJ40*КоэффСохранения</f>
        <v/>
      </c>
      <c r="AL41" s="116">
        <f>AK40*КоэффСохранения</f>
        <v/>
      </c>
      <c r="AM41" s="116">
        <f>AL40*КоэффСохранения</f>
        <v/>
      </c>
      <c r="AN41" s="116">
        <f>AM40*КоэффСохранения</f>
        <v/>
      </c>
      <c r="AO41" s="116">
        <f>AN40*КоэффСохранения</f>
        <v/>
      </c>
      <c r="AP41" s="116">
        <f>AO40*КоэффСохранения</f>
        <v/>
      </c>
      <c r="AQ41" s="116">
        <f>AP40*КоэффСохранения</f>
        <v/>
      </c>
      <c r="AR41" s="116">
        <f>AQ40*КоэффСохранения</f>
        <v/>
      </c>
      <c r="AS41" s="116">
        <f>AR40*КоэффСохранения</f>
        <v/>
      </c>
      <c r="AT41" s="116">
        <f>AS40*КоэффСохранения</f>
        <v/>
      </c>
      <c r="AU41" s="116">
        <f>AT40*КоэффСохранения</f>
        <v/>
      </c>
      <c r="AV41" s="116">
        <f>AU40*КоэффСохранения</f>
        <v/>
      </c>
      <c r="AW41" s="116">
        <f>AV40*КоэффСохранения</f>
        <v/>
      </c>
      <c r="AX41" s="116">
        <f>AW40*КоэффСохранения</f>
        <v/>
      </c>
      <c r="AY41" s="116">
        <f>AX40*КоэффСохранения</f>
        <v/>
      </c>
      <c r="AZ41" s="116">
        <f>AY40*КоэффСохранения</f>
        <v/>
      </c>
      <c r="BA41" s="116">
        <f>AZ40*КоэффСохранения</f>
        <v/>
      </c>
      <c r="BB41" s="116">
        <f>BA40*КоэффСохранения</f>
        <v/>
      </c>
      <c r="BC41" s="116">
        <f>BB40*КоэффСохранения</f>
        <v/>
      </c>
      <c r="BD41" s="116">
        <f>BC40*КоэффСохранения</f>
        <v/>
      </c>
      <c r="BE41" s="116">
        <f>BD40*КоэффСохранения</f>
        <v/>
      </c>
      <c r="BF41" s="116">
        <f>BE40*КоэффСохранения</f>
        <v/>
      </c>
      <c r="BG41" s="116">
        <f>BF40*КоэффСохранения</f>
        <v/>
      </c>
      <c r="BH41" s="116">
        <f>BG40*КоэффСохранения</f>
        <v/>
      </c>
      <c r="BI41" s="116">
        <f>BH40*КоэффСохранения</f>
        <v/>
      </c>
      <c r="BJ41" s="116">
        <f>BI40*КоэффСохранения</f>
        <v/>
      </c>
      <c r="BK41" s="116">
        <f>BJ40*КоэффСохранения</f>
        <v/>
      </c>
      <c r="BL41" s="116">
        <f>BK40*КоэффСохранения</f>
        <v/>
      </c>
      <c r="BM41" s="116">
        <f>BL40*КоэффСохранения</f>
        <v/>
      </c>
      <c r="BN41" s="116">
        <f>BM40*КоэффСохранения</f>
        <v/>
      </c>
      <c r="BO41" s="116">
        <f>BN40*КоэффСохранения</f>
        <v/>
      </c>
      <c r="BP41" s="116">
        <f>BO40*КоэффСохранения</f>
        <v/>
      </c>
      <c r="BQ41" s="116">
        <f>BP40*КоэффСохранения</f>
        <v/>
      </c>
      <c r="BR41" s="116">
        <f>BQ40*КоэффСохранения</f>
        <v/>
      </c>
      <c r="BS41" s="116">
        <f>BR40*КоэффСохранения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04" t="inlineStr"/>
      <c r="E42" s="114">
        <f>W42</f>
        <v/>
      </c>
      <c r="F42" s="114">
        <f>AI42</f>
        <v/>
      </c>
      <c r="G42" s="114">
        <f>AU42</f>
        <v/>
      </c>
      <c r="H42" s="114">
        <f>BG42</f>
        <v/>
      </c>
      <c r="I42" s="114">
        <f>BS42</f>
        <v/>
      </c>
      <c r="J42" s="115">
        <f>BS42</f>
        <v/>
      </c>
      <c r="L42" s="116">
        <f>0</f>
        <v/>
      </c>
      <c r="M42" s="116">
        <f>L41*КоэффСохранения</f>
        <v/>
      </c>
      <c r="N42" s="116">
        <f>M41*КоэффСохранения</f>
        <v/>
      </c>
      <c r="O42" s="116">
        <f>N41*КоэффСохранения</f>
        <v/>
      </c>
      <c r="P42" s="116">
        <f>O41*КоэффСохранения</f>
        <v/>
      </c>
      <c r="Q42" s="116">
        <f>P41*КоэффСохранения</f>
        <v/>
      </c>
      <c r="R42" s="116">
        <f>Q41*КоэффСохранения</f>
        <v/>
      </c>
      <c r="S42" s="116">
        <f>R41*КоэффСохранения</f>
        <v/>
      </c>
      <c r="T42" s="116">
        <f>S41*КоэффСохранения</f>
        <v/>
      </c>
      <c r="U42" s="116">
        <f>T41*КоэффСохранения</f>
        <v/>
      </c>
      <c r="V42" s="116">
        <f>U41*КоэффСохранения</f>
        <v/>
      </c>
      <c r="W42" s="116">
        <f>V41*КоэффСохранения</f>
        <v/>
      </c>
      <c r="X42" s="116">
        <f>W41*КоэффСохранения</f>
        <v/>
      </c>
      <c r="Y42" s="116">
        <f>X41*КоэффСохранения</f>
        <v/>
      </c>
      <c r="Z42" s="116">
        <f>Y41*КоэффСохранения</f>
        <v/>
      </c>
      <c r="AA42" s="116">
        <f>Z41*КоэффСохранения</f>
        <v/>
      </c>
      <c r="AB42" s="116">
        <f>AA41*КоэффСохранения</f>
        <v/>
      </c>
      <c r="AC42" s="116">
        <f>AB41*КоэффСохранения</f>
        <v/>
      </c>
      <c r="AD42" s="116">
        <f>AC41*КоэффСохранения</f>
        <v/>
      </c>
      <c r="AE42" s="116">
        <f>AD41*КоэффСохранения</f>
        <v/>
      </c>
      <c r="AF42" s="116">
        <f>AE41*КоэффСохранения</f>
        <v/>
      </c>
      <c r="AG42" s="116">
        <f>AF41*КоэффСохранения</f>
        <v/>
      </c>
      <c r="AH42" s="116">
        <f>AG41*КоэффСохранения</f>
        <v/>
      </c>
      <c r="AI42" s="116">
        <f>AH41*КоэффСохранения</f>
        <v/>
      </c>
      <c r="AJ42" s="116">
        <f>AI41*КоэффСохранения</f>
        <v/>
      </c>
      <c r="AK42" s="116">
        <f>AJ41*КоэффСохранения</f>
        <v/>
      </c>
      <c r="AL42" s="116">
        <f>AK41*КоэффСохранения</f>
        <v/>
      </c>
      <c r="AM42" s="116">
        <f>AL41*КоэффСохранения</f>
        <v/>
      </c>
      <c r="AN42" s="116">
        <f>AM41*КоэффСохранения</f>
        <v/>
      </c>
      <c r="AO42" s="116">
        <f>AN41*КоэффСохранения</f>
        <v/>
      </c>
      <c r="AP42" s="116">
        <f>AO41*КоэффСохранения</f>
        <v/>
      </c>
      <c r="AQ42" s="116">
        <f>AP41*КоэффСохранения</f>
        <v/>
      </c>
      <c r="AR42" s="116">
        <f>AQ41*КоэффСохранения</f>
        <v/>
      </c>
      <c r="AS42" s="116">
        <f>AR41*КоэффСохранения</f>
        <v/>
      </c>
      <c r="AT42" s="116">
        <f>AS41*КоэффСохранения</f>
        <v/>
      </c>
      <c r="AU42" s="116">
        <f>AT41*КоэффСохранения</f>
        <v/>
      </c>
      <c r="AV42" s="116">
        <f>AU41*КоэффСохранения</f>
        <v/>
      </c>
      <c r="AW42" s="116">
        <f>AV41*КоэффСохранения</f>
        <v/>
      </c>
      <c r="AX42" s="116">
        <f>AW41*КоэффСохранения</f>
        <v/>
      </c>
      <c r="AY42" s="116">
        <f>AX41*КоэффСохранения</f>
        <v/>
      </c>
      <c r="AZ42" s="116">
        <f>AY41*КоэффСохранения</f>
        <v/>
      </c>
      <c r="BA42" s="116">
        <f>AZ41*КоэффСохранения</f>
        <v/>
      </c>
      <c r="BB42" s="116">
        <f>BA41*КоэффСохранения</f>
        <v/>
      </c>
      <c r="BC42" s="116">
        <f>BB41*КоэффСохранения</f>
        <v/>
      </c>
      <c r="BD42" s="116">
        <f>BC41*КоэффСохранения</f>
        <v/>
      </c>
      <c r="BE42" s="116">
        <f>BD41*КоэффСохранения</f>
        <v/>
      </c>
      <c r="BF42" s="116">
        <f>BE41*КоэффСохранения</f>
        <v/>
      </c>
      <c r="BG42" s="116">
        <f>BF41*КоэффСохранения</f>
        <v/>
      </c>
      <c r="BH42" s="116">
        <f>BG41*КоэффСохранения</f>
        <v/>
      </c>
      <c r="BI42" s="116">
        <f>BH41*КоэффСохранения</f>
        <v/>
      </c>
      <c r="BJ42" s="116">
        <f>BI41*КоэффСохранения</f>
        <v/>
      </c>
      <c r="BK42" s="116">
        <f>BJ41*КоэффСохранения</f>
        <v/>
      </c>
      <c r="BL42" s="116">
        <f>BK41*КоэффСохранения</f>
        <v/>
      </c>
      <c r="BM42" s="116">
        <f>BL41*КоэффСохранения</f>
        <v/>
      </c>
      <c r="BN42" s="116">
        <f>BM41*КоэффСохранения</f>
        <v/>
      </c>
      <c r="BO42" s="116">
        <f>BN41*КоэффСохранения</f>
        <v/>
      </c>
      <c r="BP42" s="116">
        <f>BO41*КоэффСохранения</f>
        <v/>
      </c>
      <c r="BQ42" s="116">
        <f>BP41*КоэффСохранения</f>
        <v/>
      </c>
      <c r="BR42" s="116">
        <f>BQ41*КоэффСохранения</f>
        <v/>
      </c>
      <c r="BS42" s="116">
        <f>BR41*КоэффСохранения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04" t="inlineStr"/>
      <c r="E43" s="114">
        <f>W43</f>
        <v/>
      </c>
      <c r="F43" s="114">
        <f>AI43</f>
        <v/>
      </c>
      <c r="G43" s="114">
        <f>AU43</f>
        <v/>
      </c>
      <c r="H43" s="114">
        <f>BG43</f>
        <v/>
      </c>
      <c r="I43" s="114">
        <f>BS43</f>
        <v/>
      </c>
      <c r="J43" s="115">
        <f>BS43</f>
        <v/>
      </c>
      <c r="L43" s="116">
        <f>0</f>
        <v/>
      </c>
      <c r="M43" s="116">
        <f>L42*КоэффСохранения</f>
        <v/>
      </c>
      <c r="N43" s="116">
        <f>M42*КоэффСохранения</f>
        <v/>
      </c>
      <c r="O43" s="116">
        <f>N42*КоэффСохранения</f>
        <v/>
      </c>
      <c r="P43" s="116">
        <f>O42*КоэффСохранения</f>
        <v/>
      </c>
      <c r="Q43" s="116">
        <f>P42*КоэффСохранения</f>
        <v/>
      </c>
      <c r="R43" s="116">
        <f>Q42*КоэффСохранения</f>
        <v/>
      </c>
      <c r="S43" s="116">
        <f>R42*КоэффСохранения</f>
        <v/>
      </c>
      <c r="T43" s="116">
        <f>S42*КоэффСохранения</f>
        <v/>
      </c>
      <c r="U43" s="116">
        <f>T42*КоэффСохранения</f>
        <v/>
      </c>
      <c r="V43" s="116">
        <f>U42*КоэффСохранения</f>
        <v/>
      </c>
      <c r="W43" s="116">
        <f>V42*КоэффСохранения</f>
        <v/>
      </c>
      <c r="X43" s="116">
        <f>W42*КоэффСохранения</f>
        <v/>
      </c>
      <c r="Y43" s="116">
        <f>X42*КоэффСохранения</f>
        <v/>
      </c>
      <c r="Z43" s="116">
        <f>Y42*КоэффСохранения</f>
        <v/>
      </c>
      <c r="AA43" s="116">
        <f>Z42*КоэффСохранения</f>
        <v/>
      </c>
      <c r="AB43" s="116">
        <f>AA42*КоэффСохранения</f>
        <v/>
      </c>
      <c r="AC43" s="116">
        <f>AB42*КоэффСохранения</f>
        <v/>
      </c>
      <c r="AD43" s="116">
        <f>AC42*КоэффСохранения</f>
        <v/>
      </c>
      <c r="AE43" s="116">
        <f>AD42*КоэффСохранения</f>
        <v/>
      </c>
      <c r="AF43" s="116">
        <f>AE42*КоэффСохранения</f>
        <v/>
      </c>
      <c r="AG43" s="116">
        <f>AF42*КоэффСохранения</f>
        <v/>
      </c>
      <c r="AH43" s="116">
        <f>AG42*КоэффСохранения</f>
        <v/>
      </c>
      <c r="AI43" s="116">
        <f>AH42*КоэффСохранения</f>
        <v/>
      </c>
      <c r="AJ43" s="116">
        <f>AI42*КоэффСохранения</f>
        <v/>
      </c>
      <c r="AK43" s="116">
        <f>AJ42*КоэффСохранения</f>
        <v/>
      </c>
      <c r="AL43" s="116">
        <f>AK42*КоэффСохранения</f>
        <v/>
      </c>
      <c r="AM43" s="116">
        <f>AL42*КоэффСохранения</f>
        <v/>
      </c>
      <c r="AN43" s="116">
        <f>AM42*КоэффСохранения</f>
        <v/>
      </c>
      <c r="AO43" s="116">
        <f>AN42*КоэффСохранения</f>
        <v/>
      </c>
      <c r="AP43" s="116">
        <f>AO42*КоэффСохранения</f>
        <v/>
      </c>
      <c r="AQ43" s="116">
        <f>AP42*КоэффСохранения</f>
        <v/>
      </c>
      <c r="AR43" s="116">
        <f>AQ42*КоэффСохранения</f>
        <v/>
      </c>
      <c r="AS43" s="116">
        <f>AR42*КоэффСохранения</f>
        <v/>
      </c>
      <c r="AT43" s="116">
        <f>AS42*КоэффСохранения</f>
        <v/>
      </c>
      <c r="AU43" s="116">
        <f>AT42*КоэффСохранения</f>
        <v/>
      </c>
      <c r="AV43" s="116">
        <f>AU42*КоэффСохранения</f>
        <v/>
      </c>
      <c r="AW43" s="116">
        <f>AV42*КоэффСохранения</f>
        <v/>
      </c>
      <c r="AX43" s="116">
        <f>AW42*КоэффСохранения</f>
        <v/>
      </c>
      <c r="AY43" s="116">
        <f>AX42*КоэффСохранения</f>
        <v/>
      </c>
      <c r="AZ43" s="116">
        <f>AY42*КоэффСохранения</f>
        <v/>
      </c>
      <c r="BA43" s="116">
        <f>AZ42*КоэффСохранения</f>
        <v/>
      </c>
      <c r="BB43" s="116">
        <f>BA42*КоэффСохранения</f>
        <v/>
      </c>
      <c r="BC43" s="116">
        <f>BB42*КоэффСохранения</f>
        <v/>
      </c>
      <c r="BD43" s="116">
        <f>BC42*КоэффСохранения</f>
        <v/>
      </c>
      <c r="BE43" s="116">
        <f>BD42*КоэффСохранения</f>
        <v/>
      </c>
      <c r="BF43" s="116">
        <f>BE42*КоэффСохранения</f>
        <v/>
      </c>
      <c r="BG43" s="116">
        <f>BF42*КоэффСохранения</f>
        <v/>
      </c>
      <c r="BH43" s="116">
        <f>BG42*КоэффСохранения</f>
        <v/>
      </c>
      <c r="BI43" s="116">
        <f>BH42*КоэффСохранения</f>
        <v/>
      </c>
      <c r="BJ43" s="116">
        <f>BI42*КоэффСохранения</f>
        <v/>
      </c>
      <c r="BK43" s="116">
        <f>BJ42*КоэффСохранения</f>
        <v/>
      </c>
      <c r="BL43" s="116">
        <f>BK42*КоэффСохранения</f>
        <v/>
      </c>
      <c r="BM43" s="116">
        <f>BL42*КоэффСохранения</f>
        <v/>
      </c>
      <c r="BN43" s="116">
        <f>BM42*КоэффСохранения</f>
        <v/>
      </c>
      <c r="BO43" s="116">
        <f>BN42*КоэффСохранения</f>
        <v/>
      </c>
      <c r="BP43" s="116">
        <f>BO42*КоэффСохранения</f>
        <v/>
      </c>
      <c r="BQ43" s="116">
        <f>BP42*КоэффСохранения</f>
        <v/>
      </c>
      <c r="BR43" s="116">
        <f>BQ42*КоэффСохранения</f>
        <v/>
      </c>
      <c r="BS43" s="116">
        <f>BR42*КоэффСохранения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04" t="inlineStr"/>
      <c r="E44" s="114">
        <f>W44</f>
        <v/>
      </c>
      <c r="F44" s="114">
        <f>AI44</f>
        <v/>
      </c>
      <c r="G44" s="114">
        <f>AU44</f>
        <v/>
      </c>
      <c r="H44" s="114">
        <f>BG44</f>
        <v/>
      </c>
      <c r="I44" s="114">
        <f>BS44</f>
        <v/>
      </c>
      <c r="J44" s="115">
        <f>BS44</f>
        <v/>
      </c>
      <c r="L44" s="116">
        <f>0</f>
        <v/>
      </c>
      <c r="M44" s="116">
        <f>L43*КоэффСохранения</f>
        <v/>
      </c>
      <c r="N44" s="116">
        <f>M43*КоэффСохранения</f>
        <v/>
      </c>
      <c r="O44" s="116">
        <f>N43*КоэффСохранения</f>
        <v/>
      </c>
      <c r="P44" s="116">
        <f>O43*КоэффСохранения</f>
        <v/>
      </c>
      <c r="Q44" s="116">
        <f>P43*КоэффСохранения</f>
        <v/>
      </c>
      <c r="R44" s="116">
        <f>Q43*КоэффСохранения</f>
        <v/>
      </c>
      <c r="S44" s="116">
        <f>R43*КоэффСохранения</f>
        <v/>
      </c>
      <c r="T44" s="116">
        <f>S43*КоэффСохранения</f>
        <v/>
      </c>
      <c r="U44" s="116">
        <f>T43*КоэффСохранения</f>
        <v/>
      </c>
      <c r="V44" s="116">
        <f>U43*КоэффСохранения</f>
        <v/>
      </c>
      <c r="W44" s="116">
        <f>V43*КоэффСохранения</f>
        <v/>
      </c>
      <c r="X44" s="116">
        <f>W43*КоэффСохранения</f>
        <v/>
      </c>
      <c r="Y44" s="116">
        <f>X43*КоэффСохранения</f>
        <v/>
      </c>
      <c r="Z44" s="116">
        <f>Y43*КоэффСохранения</f>
        <v/>
      </c>
      <c r="AA44" s="116">
        <f>Z43*КоэффСохранения</f>
        <v/>
      </c>
      <c r="AB44" s="116">
        <f>AA43*КоэффСохранения</f>
        <v/>
      </c>
      <c r="AC44" s="116">
        <f>AB43*КоэффСохранения</f>
        <v/>
      </c>
      <c r="AD44" s="116">
        <f>AC43*КоэффСохранения</f>
        <v/>
      </c>
      <c r="AE44" s="116">
        <f>AD43*КоэффСохранения</f>
        <v/>
      </c>
      <c r="AF44" s="116">
        <f>AE43*КоэффСохранения</f>
        <v/>
      </c>
      <c r="AG44" s="116">
        <f>AF43*КоэффСохранения</f>
        <v/>
      </c>
      <c r="AH44" s="116">
        <f>AG43*КоэффСохранения</f>
        <v/>
      </c>
      <c r="AI44" s="116">
        <f>AH43*КоэффСохранения</f>
        <v/>
      </c>
      <c r="AJ44" s="116">
        <f>AI43*КоэффСохранения</f>
        <v/>
      </c>
      <c r="AK44" s="116">
        <f>AJ43*КоэффСохранения</f>
        <v/>
      </c>
      <c r="AL44" s="116">
        <f>AK43*КоэффСохранения</f>
        <v/>
      </c>
      <c r="AM44" s="116">
        <f>AL43*КоэффСохранения</f>
        <v/>
      </c>
      <c r="AN44" s="116">
        <f>AM43*КоэффСохранения</f>
        <v/>
      </c>
      <c r="AO44" s="116">
        <f>AN43*КоэффСохранения</f>
        <v/>
      </c>
      <c r="AP44" s="116">
        <f>AO43*КоэффСохранения</f>
        <v/>
      </c>
      <c r="AQ44" s="116">
        <f>AP43*КоэффСохранения</f>
        <v/>
      </c>
      <c r="AR44" s="116">
        <f>AQ43*КоэффСохранения</f>
        <v/>
      </c>
      <c r="AS44" s="116">
        <f>AR43*КоэффСохранения</f>
        <v/>
      </c>
      <c r="AT44" s="116">
        <f>AS43*КоэффСохранения</f>
        <v/>
      </c>
      <c r="AU44" s="116">
        <f>AT43*КоэффСохранения</f>
        <v/>
      </c>
      <c r="AV44" s="116">
        <f>AU43*КоэффСохранения</f>
        <v/>
      </c>
      <c r="AW44" s="116">
        <f>AV43*КоэффСохранения</f>
        <v/>
      </c>
      <c r="AX44" s="116">
        <f>AW43*КоэффСохранения</f>
        <v/>
      </c>
      <c r="AY44" s="116">
        <f>AX43*КоэффСохранения</f>
        <v/>
      </c>
      <c r="AZ44" s="116">
        <f>AY43*КоэффСохранения</f>
        <v/>
      </c>
      <c r="BA44" s="116">
        <f>AZ43*КоэффСохранения</f>
        <v/>
      </c>
      <c r="BB44" s="116">
        <f>BA43*КоэффСохранения</f>
        <v/>
      </c>
      <c r="BC44" s="116">
        <f>BB43*КоэффСохранения</f>
        <v/>
      </c>
      <c r="BD44" s="116">
        <f>BC43*КоэффСохранения</f>
        <v/>
      </c>
      <c r="BE44" s="116">
        <f>BD43*КоэффСохранения</f>
        <v/>
      </c>
      <c r="BF44" s="116">
        <f>BE43*КоэффСохранения</f>
        <v/>
      </c>
      <c r="BG44" s="116">
        <f>BF43*КоэффСохранения</f>
        <v/>
      </c>
      <c r="BH44" s="116">
        <f>BG43*КоэффСохранения</f>
        <v/>
      </c>
      <c r="BI44" s="116">
        <f>BH43*КоэффСохранения</f>
        <v/>
      </c>
      <c r="BJ44" s="116">
        <f>BI43*КоэффСохранения</f>
        <v/>
      </c>
      <c r="BK44" s="116">
        <f>BJ43*КоэффСохранения</f>
        <v/>
      </c>
      <c r="BL44" s="116">
        <f>BK43*КоэффСохранения</f>
        <v/>
      </c>
      <c r="BM44" s="116">
        <f>BL43*КоэффСохранения</f>
        <v/>
      </c>
      <c r="BN44" s="116">
        <f>BM43*КоэффСохранения</f>
        <v/>
      </c>
      <c r="BO44" s="116">
        <f>BN43*КоэффСохранения</f>
        <v/>
      </c>
      <c r="BP44" s="116">
        <f>BO43*КоэффСохранения</f>
        <v/>
      </c>
      <c r="BQ44" s="116">
        <f>BP43*КоэффСохранения</f>
        <v/>
      </c>
      <c r="BR44" s="116">
        <f>BQ43*КоэффСохранения</f>
        <v/>
      </c>
      <c r="BS44" s="116">
        <f>BR43*КоэффСохранения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04" t="inlineStr"/>
      <c r="E45" s="114">
        <f>W45</f>
        <v/>
      </c>
      <c r="F45" s="114">
        <f>AI45</f>
        <v/>
      </c>
      <c r="G45" s="114">
        <f>AU45</f>
        <v/>
      </c>
      <c r="H45" s="114">
        <f>BG45</f>
        <v/>
      </c>
      <c r="I45" s="114">
        <f>BS45</f>
        <v/>
      </c>
      <c r="J45" s="115">
        <f>BS45</f>
        <v/>
      </c>
      <c r="L45" s="116">
        <f>0</f>
        <v/>
      </c>
      <c r="M45" s="116">
        <f>L44*КоэффСохранения</f>
        <v/>
      </c>
      <c r="N45" s="116">
        <f>M44*КоэффСохранения</f>
        <v/>
      </c>
      <c r="O45" s="116">
        <f>N44*КоэффСохранения</f>
        <v/>
      </c>
      <c r="P45" s="116">
        <f>O44*КоэффСохранения</f>
        <v/>
      </c>
      <c r="Q45" s="116">
        <f>P44*КоэффСохранения</f>
        <v/>
      </c>
      <c r="R45" s="116">
        <f>Q44*КоэффСохранения</f>
        <v/>
      </c>
      <c r="S45" s="116">
        <f>R44*КоэффСохранения</f>
        <v/>
      </c>
      <c r="T45" s="116">
        <f>S44*КоэффСохранения</f>
        <v/>
      </c>
      <c r="U45" s="116">
        <f>T44*КоэффСохранения</f>
        <v/>
      </c>
      <c r="V45" s="116">
        <f>U44*КоэффСохранения</f>
        <v/>
      </c>
      <c r="W45" s="116">
        <f>V44*КоэффСохранения</f>
        <v/>
      </c>
      <c r="X45" s="116">
        <f>W44*КоэффСохранения</f>
        <v/>
      </c>
      <c r="Y45" s="116">
        <f>X44*КоэффСохранения</f>
        <v/>
      </c>
      <c r="Z45" s="116">
        <f>Y44*КоэффСохранения</f>
        <v/>
      </c>
      <c r="AA45" s="116">
        <f>Z44*КоэффСохранения</f>
        <v/>
      </c>
      <c r="AB45" s="116">
        <f>AA44*КоэффСохранения</f>
        <v/>
      </c>
      <c r="AC45" s="116">
        <f>AB44*КоэффСохранения</f>
        <v/>
      </c>
      <c r="AD45" s="116">
        <f>AC44*КоэффСохранения</f>
        <v/>
      </c>
      <c r="AE45" s="116">
        <f>AD44*КоэффСохранения</f>
        <v/>
      </c>
      <c r="AF45" s="116">
        <f>AE44*КоэффСохранения</f>
        <v/>
      </c>
      <c r="AG45" s="116">
        <f>AF44*КоэффСохранения</f>
        <v/>
      </c>
      <c r="AH45" s="116">
        <f>AG44*КоэффСохранения</f>
        <v/>
      </c>
      <c r="AI45" s="116">
        <f>AH44*КоэффСохранения</f>
        <v/>
      </c>
      <c r="AJ45" s="116">
        <f>AI44*КоэффСохранения</f>
        <v/>
      </c>
      <c r="AK45" s="116">
        <f>AJ44*КоэффСохранения</f>
        <v/>
      </c>
      <c r="AL45" s="116">
        <f>AK44*КоэффСохранения</f>
        <v/>
      </c>
      <c r="AM45" s="116">
        <f>AL44*КоэффСохранения</f>
        <v/>
      </c>
      <c r="AN45" s="116">
        <f>AM44*КоэффСохранения</f>
        <v/>
      </c>
      <c r="AO45" s="116">
        <f>AN44*КоэффСохранения</f>
        <v/>
      </c>
      <c r="AP45" s="116">
        <f>AO44*КоэффСохранения</f>
        <v/>
      </c>
      <c r="AQ45" s="116">
        <f>AP44*КоэффСохранения</f>
        <v/>
      </c>
      <c r="AR45" s="116">
        <f>AQ44*КоэффСохранения</f>
        <v/>
      </c>
      <c r="AS45" s="116">
        <f>AR44*КоэффСохранения</f>
        <v/>
      </c>
      <c r="AT45" s="116">
        <f>AS44*КоэффСохранения</f>
        <v/>
      </c>
      <c r="AU45" s="116">
        <f>AT44*КоэффСохранения</f>
        <v/>
      </c>
      <c r="AV45" s="116">
        <f>AU44*КоэффСохранения</f>
        <v/>
      </c>
      <c r="AW45" s="116">
        <f>AV44*КоэффСохранения</f>
        <v/>
      </c>
      <c r="AX45" s="116">
        <f>AW44*КоэффСохранения</f>
        <v/>
      </c>
      <c r="AY45" s="116">
        <f>AX44*КоэффСохранения</f>
        <v/>
      </c>
      <c r="AZ45" s="116">
        <f>AY44*КоэффСохранения</f>
        <v/>
      </c>
      <c r="BA45" s="116">
        <f>AZ44*КоэффСохранения</f>
        <v/>
      </c>
      <c r="BB45" s="116">
        <f>BA44*КоэффСохранения</f>
        <v/>
      </c>
      <c r="BC45" s="116">
        <f>BB44*КоэффСохранения</f>
        <v/>
      </c>
      <c r="BD45" s="116">
        <f>BC44*КоэффСохранения</f>
        <v/>
      </c>
      <c r="BE45" s="116">
        <f>BD44*КоэффСохранения</f>
        <v/>
      </c>
      <c r="BF45" s="116">
        <f>BE44*КоэффСохранения</f>
        <v/>
      </c>
      <c r="BG45" s="116">
        <f>BF44*КоэффСохранения</f>
        <v/>
      </c>
      <c r="BH45" s="116">
        <f>BG44*КоэффСохранения</f>
        <v/>
      </c>
      <c r="BI45" s="116">
        <f>BH44*КоэффСохранения</f>
        <v/>
      </c>
      <c r="BJ45" s="116">
        <f>BI44*КоэффСохранения</f>
        <v/>
      </c>
      <c r="BK45" s="116">
        <f>BJ44*КоэффСохранения</f>
        <v/>
      </c>
      <c r="BL45" s="116">
        <f>BK44*КоэффСохранения</f>
        <v/>
      </c>
      <c r="BM45" s="116">
        <f>BL44*КоэффСохранения</f>
        <v/>
      </c>
      <c r="BN45" s="116">
        <f>BM44*КоэффСохранения</f>
        <v/>
      </c>
      <c r="BO45" s="116">
        <f>BN44*КоэффСохранения</f>
        <v/>
      </c>
      <c r="BP45" s="116">
        <f>BO44*КоэффСохранения</f>
        <v/>
      </c>
      <c r="BQ45" s="116">
        <f>BP44*КоэффСохранения</f>
        <v/>
      </c>
      <c r="BR45" s="116">
        <f>BQ44*КоэффСохранения</f>
        <v/>
      </c>
      <c r="BS45" s="116">
        <f>BR44*КоэффСохранения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04" t="inlineStr">
        <is>
          <t>Школы старше двух лет копятся здесь</t>
        </is>
      </c>
      <c r="E46" s="114">
        <f>W46</f>
        <v/>
      </c>
      <c r="F46" s="114">
        <f>AI46</f>
        <v/>
      </c>
      <c r="G46" s="114">
        <f>AU46</f>
        <v/>
      </c>
      <c r="H46" s="114">
        <f>BG46</f>
        <v/>
      </c>
      <c r="I46" s="114">
        <f>BS46</f>
        <v/>
      </c>
      <c r="J46" s="115">
        <f>BS46</f>
        <v/>
      </c>
      <c r="L46" s="116">
        <f>0</f>
        <v/>
      </c>
      <c r="M46" s="116">
        <f>(L45+L46)*КоэффСохранения</f>
        <v/>
      </c>
      <c r="N46" s="116">
        <f>(M45+M46)*КоэффСохранения</f>
        <v/>
      </c>
      <c r="O46" s="116">
        <f>(N45+N46)*КоэффСохранения</f>
        <v/>
      </c>
      <c r="P46" s="116">
        <f>(O45+O46)*КоэффСохранения</f>
        <v/>
      </c>
      <c r="Q46" s="116">
        <f>(P45+P46)*КоэффСохранения</f>
        <v/>
      </c>
      <c r="R46" s="116">
        <f>(Q45+Q46)*КоэффСохранения</f>
        <v/>
      </c>
      <c r="S46" s="116">
        <f>(R45+R46)*КоэффСохранения</f>
        <v/>
      </c>
      <c r="T46" s="116">
        <f>(S45+S46)*КоэффСохранения</f>
        <v/>
      </c>
      <c r="U46" s="116">
        <f>(T45+T46)*КоэффСохранения</f>
        <v/>
      </c>
      <c r="V46" s="116">
        <f>(U45+U46)*КоэффСохранения</f>
        <v/>
      </c>
      <c r="W46" s="116">
        <f>(V45+V46)*КоэффСохранения</f>
        <v/>
      </c>
      <c r="X46" s="116">
        <f>(W45+W46)*КоэффСохранения</f>
        <v/>
      </c>
      <c r="Y46" s="116">
        <f>(X45+X46)*КоэффСохранения</f>
        <v/>
      </c>
      <c r="Z46" s="116">
        <f>(Y45+Y46)*КоэффСохранения</f>
        <v/>
      </c>
      <c r="AA46" s="116">
        <f>(Z45+Z46)*КоэффСохранения</f>
        <v/>
      </c>
      <c r="AB46" s="116">
        <f>(AA45+AA46)*КоэффСохранения</f>
        <v/>
      </c>
      <c r="AC46" s="116">
        <f>(AB45+AB46)*КоэффСохранения</f>
        <v/>
      </c>
      <c r="AD46" s="116">
        <f>(AC45+AC46)*КоэффСохранения</f>
        <v/>
      </c>
      <c r="AE46" s="116">
        <f>(AD45+AD46)*КоэффСохранения</f>
        <v/>
      </c>
      <c r="AF46" s="116">
        <f>(AE45+AE46)*КоэффСохранения</f>
        <v/>
      </c>
      <c r="AG46" s="116">
        <f>(AF45+AF46)*КоэффСохранения</f>
        <v/>
      </c>
      <c r="AH46" s="116">
        <f>(AG45+AG46)*КоэффСохранения</f>
        <v/>
      </c>
      <c r="AI46" s="116">
        <f>(AH45+AH46)*КоэффСохранения</f>
        <v/>
      </c>
      <c r="AJ46" s="116">
        <f>(AI45+AI46)*КоэффСохранения</f>
        <v/>
      </c>
      <c r="AK46" s="116">
        <f>(AJ45+AJ46)*КоэффСохранения</f>
        <v/>
      </c>
      <c r="AL46" s="116">
        <f>(AK45+AK46)*КоэффСохранения</f>
        <v/>
      </c>
      <c r="AM46" s="116">
        <f>(AL45+AL46)*КоэффСохранения</f>
        <v/>
      </c>
      <c r="AN46" s="116">
        <f>(AM45+AM46)*КоэффСохранения</f>
        <v/>
      </c>
      <c r="AO46" s="116">
        <f>(AN45+AN46)*КоэффСохранения</f>
        <v/>
      </c>
      <c r="AP46" s="116">
        <f>(AO45+AO46)*КоэффСохранения</f>
        <v/>
      </c>
      <c r="AQ46" s="116">
        <f>(AP45+AP46)*КоэффСохранения</f>
        <v/>
      </c>
      <c r="AR46" s="116">
        <f>(AQ45+AQ46)*КоэффСохранения</f>
        <v/>
      </c>
      <c r="AS46" s="116">
        <f>(AR45+AR46)*КоэффСохранения</f>
        <v/>
      </c>
      <c r="AT46" s="116">
        <f>(AS45+AS46)*КоэффСохранения</f>
        <v/>
      </c>
      <c r="AU46" s="116">
        <f>(AT45+AT46)*КоэффСохранения</f>
        <v/>
      </c>
      <c r="AV46" s="116">
        <f>(AU45+AU46)*КоэффСохранения</f>
        <v/>
      </c>
      <c r="AW46" s="116">
        <f>(AV45+AV46)*КоэффСохранения</f>
        <v/>
      </c>
      <c r="AX46" s="116">
        <f>(AW45+AW46)*КоэффСохранения</f>
        <v/>
      </c>
      <c r="AY46" s="116">
        <f>(AX45+AX46)*КоэффСохранения</f>
        <v/>
      </c>
      <c r="AZ46" s="116">
        <f>(AY45+AY46)*КоэффСохранения</f>
        <v/>
      </c>
      <c r="BA46" s="116">
        <f>(AZ45+AZ46)*КоэффСохранения</f>
        <v/>
      </c>
      <c r="BB46" s="116">
        <f>(BA45+BA46)*КоэффСохранения</f>
        <v/>
      </c>
      <c r="BC46" s="116">
        <f>(BB45+BB46)*КоэффСохранения</f>
        <v/>
      </c>
      <c r="BD46" s="116">
        <f>(BC45+BC46)*КоэффСохранения</f>
        <v/>
      </c>
      <c r="BE46" s="116">
        <f>(BD45+BD46)*КоэффСохранения</f>
        <v/>
      </c>
      <c r="BF46" s="116">
        <f>(BE45+BE46)*КоэффСохранения</f>
        <v/>
      </c>
      <c r="BG46" s="116">
        <f>(BF45+BF46)*КоэффСохранения</f>
        <v/>
      </c>
      <c r="BH46" s="116">
        <f>(BG45+BG46)*КоэффСохранения</f>
        <v/>
      </c>
      <c r="BI46" s="116">
        <f>(BH45+BH46)*КоэффСохранения</f>
        <v/>
      </c>
      <c r="BJ46" s="116">
        <f>(BI45+BI46)*КоэффСохранения</f>
        <v/>
      </c>
      <c r="BK46" s="116">
        <f>(BJ45+BJ46)*КоэффСохранения</f>
        <v/>
      </c>
      <c r="BL46" s="116">
        <f>(BK45+BK46)*КоэффСохранения</f>
        <v/>
      </c>
      <c r="BM46" s="116">
        <f>(BL45+BL46)*КоэффСохранения</f>
        <v/>
      </c>
      <c r="BN46" s="116">
        <f>(BM45+BM46)*КоэффСохранения</f>
        <v/>
      </c>
      <c r="BO46" s="116">
        <f>(BN45+BN46)*КоэффСохранения</f>
        <v/>
      </c>
      <c r="BP46" s="116">
        <f>(BO45+BO46)*КоэффСохранения</f>
        <v/>
      </c>
      <c r="BQ46" s="116">
        <f>(BP45+BP46)*КоэффСохранения</f>
        <v/>
      </c>
      <c r="BR46" s="116">
        <f>(BQ45+BQ46)*КоэффСохранения</f>
        <v/>
      </c>
      <c r="BS46" s="116">
        <f>(BR45+BR46)*КоэффСохранения</f>
        <v/>
      </c>
    </row>
    <row r="48">
      <c r="B48" s="102" t="inlineStr">
        <is>
          <t>Новые школы и их дети</t>
        </is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  <c r="AI48" s="103" t="n"/>
      <c r="AJ48" s="103" t="n"/>
      <c r="AK48" s="103" t="n"/>
      <c r="AL48" s="103" t="n"/>
      <c r="AM48" s="103" t="n"/>
      <c r="AN48" s="103" t="n"/>
      <c r="AO48" s="103" t="n"/>
      <c r="AP48" s="103" t="n"/>
      <c r="AQ48" s="103" t="n"/>
      <c r="AR48" s="103" t="n"/>
      <c r="AS48" s="103" t="n"/>
      <c r="AT48" s="103" t="n"/>
      <c r="AU48" s="103" t="n"/>
      <c r="AV48" s="103" t="n"/>
      <c r="AW48" s="103" t="n"/>
      <c r="AX48" s="103" t="n"/>
      <c r="AY48" s="103" t="n"/>
      <c r="AZ48" s="103" t="n"/>
      <c r="BA48" s="103" t="n"/>
      <c r="BB48" s="103" t="n"/>
      <c r="BC48" s="103" t="n"/>
      <c r="BD48" s="103" t="n"/>
      <c r="BE48" s="103" t="n"/>
      <c r="BF48" s="103" t="n"/>
      <c r="BG48" s="103" t="n"/>
      <c r="BH48" s="103" t="n"/>
      <c r="BI48" s="103" t="n"/>
      <c r="BJ48" s="103" t="n"/>
      <c r="BK48" s="103" t="n"/>
      <c r="BL48" s="103" t="n"/>
      <c r="BM48" s="103" t="n"/>
      <c r="BN48" s="103" t="n"/>
      <c r="BO48" s="103" t="n"/>
      <c r="BP48" s="103" t="n"/>
      <c r="BQ48" s="103" t="n"/>
      <c r="BR48" s="103" t="n"/>
      <c r="BS48" s="103" t="n"/>
    </row>
    <row r="49">
      <c r="B49" t="inlineStr">
        <is>
          <t>Новые школы 1–12 мес.</t>
        </is>
      </c>
      <c r="C49" t="inlineStr">
        <is>
          <t>шт.</t>
        </is>
      </c>
      <c r="D49" s="104" t="inlineStr">
        <is>
          <t>Сумма первых двенадцати когорт</t>
        </is>
      </c>
      <c r="E49" s="114">
        <f>W49</f>
        <v/>
      </c>
      <c r="F49" s="114">
        <f>AI49</f>
        <v/>
      </c>
      <c r="G49" s="114">
        <f>AU49</f>
        <v/>
      </c>
      <c r="H49" s="114">
        <f>BG49</f>
        <v/>
      </c>
      <c r="I49" s="114">
        <f>BS49</f>
        <v/>
      </c>
      <c r="J49" s="115">
        <f>BS49</f>
        <v/>
      </c>
      <c r="L49" s="116">
        <f>SUM(L22:L33)</f>
        <v/>
      </c>
      <c r="M49" s="116">
        <f>SUM(M22:M33)</f>
        <v/>
      </c>
      <c r="N49" s="116">
        <f>SUM(N22:N33)</f>
        <v/>
      </c>
      <c r="O49" s="116">
        <f>SUM(O22:O33)</f>
        <v/>
      </c>
      <c r="P49" s="116">
        <f>SUM(P22:P33)</f>
        <v/>
      </c>
      <c r="Q49" s="116">
        <f>SUM(Q22:Q33)</f>
        <v/>
      </c>
      <c r="R49" s="116">
        <f>SUM(R22:R33)</f>
        <v/>
      </c>
      <c r="S49" s="116">
        <f>SUM(S22:S33)</f>
        <v/>
      </c>
      <c r="T49" s="116">
        <f>SUM(T22:T33)</f>
        <v/>
      </c>
      <c r="U49" s="116">
        <f>SUM(U22:U33)</f>
        <v/>
      </c>
      <c r="V49" s="116">
        <f>SUM(V22:V33)</f>
        <v/>
      </c>
      <c r="W49" s="116">
        <f>SUM(W22:W33)</f>
        <v/>
      </c>
      <c r="X49" s="116">
        <f>SUM(X22:X33)</f>
        <v/>
      </c>
      <c r="Y49" s="116">
        <f>SUM(Y22:Y33)</f>
        <v/>
      </c>
      <c r="Z49" s="116">
        <f>SUM(Z22:Z33)</f>
        <v/>
      </c>
      <c r="AA49" s="116">
        <f>SUM(AA22:AA33)</f>
        <v/>
      </c>
      <c r="AB49" s="116">
        <f>SUM(AB22:AB33)</f>
        <v/>
      </c>
      <c r="AC49" s="116">
        <f>SUM(AC22:AC33)</f>
        <v/>
      </c>
      <c r="AD49" s="116">
        <f>SUM(AD22:AD33)</f>
        <v/>
      </c>
      <c r="AE49" s="116">
        <f>SUM(AE22:AE33)</f>
        <v/>
      </c>
      <c r="AF49" s="116">
        <f>SUM(AF22:AF33)</f>
        <v/>
      </c>
      <c r="AG49" s="116">
        <f>SUM(AG22:AG33)</f>
        <v/>
      </c>
      <c r="AH49" s="116">
        <f>SUM(AH22:AH33)</f>
        <v/>
      </c>
      <c r="AI49" s="116">
        <f>SUM(AI22:AI33)</f>
        <v/>
      </c>
      <c r="AJ49" s="116">
        <f>SUM(AJ22:AJ33)</f>
        <v/>
      </c>
      <c r="AK49" s="116">
        <f>SUM(AK22:AK33)</f>
        <v/>
      </c>
      <c r="AL49" s="116">
        <f>SUM(AL22:AL33)</f>
        <v/>
      </c>
      <c r="AM49" s="116">
        <f>SUM(AM22:AM33)</f>
        <v/>
      </c>
      <c r="AN49" s="116">
        <f>SUM(AN22:AN33)</f>
        <v/>
      </c>
      <c r="AO49" s="116">
        <f>SUM(AO22:AO33)</f>
        <v/>
      </c>
      <c r="AP49" s="116">
        <f>SUM(AP22:AP33)</f>
        <v/>
      </c>
      <c r="AQ49" s="116">
        <f>SUM(AQ22:AQ33)</f>
        <v/>
      </c>
      <c r="AR49" s="116">
        <f>SUM(AR22:AR33)</f>
        <v/>
      </c>
      <c r="AS49" s="116">
        <f>SUM(AS22:AS33)</f>
        <v/>
      </c>
      <c r="AT49" s="116">
        <f>SUM(AT22:AT33)</f>
        <v/>
      </c>
      <c r="AU49" s="116">
        <f>SUM(AU22:AU33)</f>
        <v/>
      </c>
      <c r="AV49" s="116">
        <f>SUM(AV22:AV33)</f>
        <v/>
      </c>
      <c r="AW49" s="116">
        <f>SUM(AW22:AW33)</f>
        <v/>
      </c>
      <c r="AX49" s="116">
        <f>SUM(AX22:AX33)</f>
        <v/>
      </c>
      <c r="AY49" s="116">
        <f>SUM(AY22:AY33)</f>
        <v/>
      </c>
      <c r="AZ49" s="116">
        <f>SUM(AZ22:AZ33)</f>
        <v/>
      </c>
      <c r="BA49" s="116">
        <f>SUM(BA22:BA33)</f>
        <v/>
      </c>
      <c r="BB49" s="116">
        <f>SUM(BB22:BB33)</f>
        <v/>
      </c>
      <c r="BC49" s="116">
        <f>SUM(BC22:BC33)</f>
        <v/>
      </c>
      <c r="BD49" s="116">
        <f>SUM(BD22:BD33)</f>
        <v/>
      </c>
      <c r="BE49" s="116">
        <f>SUM(BE22:BE33)</f>
        <v/>
      </c>
      <c r="BF49" s="116">
        <f>SUM(BF22:BF33)</f>
        <v/>
      </c>
      <c r="BG49" s="116">
        <f>SUM(BG22:BG33)</f>
        <v/>
      </c>
      <c r="BH49" s="116">
        <f>SUM(BH22:BH33)</f>
        <v/>
      </c>
      <c r="BI49" s="116">
        <f>SUM(BI22:BI33)</f>
        <v/>
      </c>
      <c r="BJ49" s="116">
        <f>SUM(BJ22:BJ33)</f>
        <v/>
      </c>
      <c r="BK49" s="116">
        <f>SUM(BK22:BK33)</f>
        <v/>
      </c>
      <c r="BL49" s="116">
        <f>SUM(BL22:BL33)</f>
        <v/>
      </c>
      <c r="BM49" s="116">
        <f>SUM(BM22:BM33)</f>
        <v/>
      </c>
      <c r="BN49" s="116">
        <f>SUM(BN22:BN33)</f>
        <v/>
      </c>
      <c r="BO49" s="116">
        <f>SUM(BO22:BO33)</f>
        <v/>
      </c>
      <c r="BP49" s="116">
        <f>SUM(BP22:BP33)</f>
        <v/>
      </c>
      <c r="BQ49" s="116">
        <f>SUM(BQ22:BQ33)</f>
        <v/>
      </c>
      <c r="BR49" s="116">
        <f>SUM(BR22:BR33)</f>
        <v/>
      </c>
      <c r="BS49" s="116">
        <f>SUM(BS22:BS33)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04" t="inlineStr">
        <is>
          <t>Второй год жизни</t>
        </is>
      </c>
      <c r="E50" s="114">
        <f>W50</f>
        <v/>
      </c>
      <c r="F50" s="114">
        <f>AI50</f>
        <v/>
      </c>
      <c r="G50" s="114">
        <f>AU50</f>
        <v/>
      </c>
      <c r="H50" s="114">
        <f>BG50</f>
        <v/>
      </c>
      <c r="I50" s="114">
        <f>BS50</f>
        <v/>
      </c>
      <c r="J50" s="115">
        <f>BS50</f>
        <v/>
      </c>
      <c r="L50" s="116">
        <f>SUM(L34:L45)</f>
        <v/>
      </c>
      <c r="M50" s="116">
        <f>SUM(M34:M45)</f>
        <v/>
      </c>
      <c r="N50" s="116">
        <f>SUM(N34:N45)</f>
        <v/>
      </c>
      <c r="O50" s="116">
        <f>SUM(O34:O45)</f>
        <v/>
      </c>
      <c r="P50" s="116">
        <f>SUM(P34:P45)</f>
        <v/>
      </c>
      <c r="Q50" s="116">
        <f>SUM(Q34:Q45)</f>
        <v/>
      </c>
      <c r="R50" s="116">
        <f>SUM(R34:R45)</f>
        <v/>
      </c>
      <c r="S50" s="116">
        <f>SUM(S34:S45)</f>
        <v/>
      </c>
      <c r="T50" s="116">
        <f>SUM(T34:T45)</f>
        <v/>
      </c>
      <c r="U50" s="116">
        <f>SUM(U34:U45)</f>
        <v/>
      </c>
      <c r="V50" s="116">
        <f>SUM(V34:V45)</f>
        <v/>
      </c>
      <c r="W50" s="116">
        <f>SUM(W34:W45)</f>
        <v/>
      </c>
      <c r="X50" s="116">
        <f>SUM(X34:X45)</f>
        <v/>
      </c>
      <c r="Y50" s="116">
        <f>SUM(Y34:Y45)</f>
        <v/>
      </c>
      <c r="Z50" s="116">
        <f>SUM(Z34:Z45)</f>
        <v/>
      </c>
      <c r="AA50" s="116">
        <f>SUM(AA34:AA45)</f>
        <v/>
      </c>
      <c r="AB50" s="116">
        <f>SUM(AB34:AB45)</f>
        <v/>
      </c>
      <c r="AC50" s="116">
        <f>SUM(AC34:AC45)</f>
        <v/>
      </c>
      <c r="AD50" s="116">
        <f>SUM(AD34:AD45)</f>
        <v/>
      </c>
      <c r="AE50" s="116">
        <f>SUM(AE34:AE45)</f>
        <v/>
      </c>
      <c r="AF50" s="116">
        <f>SUM(AF34:AF45)</f>
        <v/>
      </c>
      <c r="AG50" s="116">
        <f>SUM(AG34:AG45)</f>
        <v/>
      </c>
      <c r="AH50" s="116">
        <f>SUM(AH34:AH45)</f>
        <v/>
      </c>
      <c r="AI50" s="116">
        <f>SUM(AI34:AI45)</f>
        <v/>
      </c>
      <c r="AJ50" s="116">
        <f>SUM(AJ34:AJ45)</f>
        <v/>
      </c>
      <c r="AK50" s="116">
        <f>SUM(AK34:AK45)</f>
        <v/>
      </c>
      <c r="AL50" s="116">
        <f>SUM(AL34:AL45)</f>
        <v/>
      </c>
      <c r="AM50" s="116">
        <f>SUM(AM34:AM45)</f>
        <v/>
      </c>
      <c r="AN50" s="116">
        <f>SUM(AN34:AN45)</f>
        <v/>
      </c>
      <c r="AO50" s="116">
        <f>SUM(AO34:AO45)</f>
        <v/>
      </c>
      <c r="AP50" s="116">
        <f>SUM(AP34:AP45)</f>
        <v/>
      </c>
      <c r="AQ50" s="116">
        <f>SUM(AQ34:AQ45)</f>
        <v/>
      </c>
      <c r="AR50" s="116">
        <f>SUM(AR34:AR45)</f>
        <v/>
      </c>
      <c r="AS50" s="116">
        <f>SUM(AS34:AS45)</f>
        <v/>
      </c>
      <c r="AT50" s="116">
        <f>SUM(AT34:AT45)</f>
        <v/>
      </c>
      <c r="AU50" s="116">
        <f>SUM(AU34:AU45)</f>
        <v/>
      </c>
      <c r="AV50" s="116">
        <f>SUM(AV34:AV45)</f>
        <v/>
      </c>
      <c r="AW50" s="116">
        <f>SUM(AW34:AW45)</f>
        <v/>
      </c>
      <c r="AX50" s="116">
        <f>SUM(AX34:AX45)</f>
        <v/>
      </c>
      <c r="AY50" s="116">
        <f>SUM(AY34:AY45)</f>
        <v/>
      </c>
      <c r="AZ50" s="116">
        <f>SUM(AZ34:AZ45)</f>
        <v/>
      </c>
      <c r="BA50" s="116">
        <f>SUM(BA34:BA45)</f>
        <v/>
      </c>
      <c r="BB50" s="116">
        <f>SUM(BB34:BB45)</f>
        <v/>
      </c>
      <c r="BC50" s="116">
        <f>SUM(BC34:BC45)</f>
        <v/>
      </c>
      <c r="BD50" s="116">
        <f>SUM(BD34:BD45)</f>
        <v/>
      </c>
      <c r="BE50" s="116">
        <f>SUM(BE34:BE45)</f>
        <v/>
      </c>
      <c r="BF50" s="116">
        <f>SUM(BF34:BF45)</f>
        <v/>
      </c>
      <c r="BG50" s="116">
        <f>SUM(BG34:BG45)</f>
        <v/>
      </c>
      <c r="BH50" s="116">
        <f>SUM(BH34:BH45)</f>
        <v/>
      </c>
      <c r="BI50" s="116">
        <f>SUM(BI34:BI45)</f>
        <v/>
      </c>
      <c r="BJ50" s="116">
        <f>SUM(BJ34:BJ45)</f>
        <v/>
      </c>
      <c r="BK50" s="116">
        <f>SUM(BK34:BK45)</f>
        <v/>
      </c>
      <c r="BL50" s="116">
        <f>SUM(BL34:BL45)</f>
        <v/>
      </c>
      <c r="BM50" s="116">
        <f>SUM(BM34:BM45)</f>
        <v/>
      </c>
      <c r="BN50" s="116">
        <f>SUM(BN34:BN45)</f>
        <v/>
      </c>
      <c r="BO50" s="116">
        <f>SUM(BO34:BO45)</f>
        <v/>
      </c>
      <c r="BP50" s="116">
        <f>SUM(BP34:BP45)</f>
        <v/>
      </c>
      <c r="BQ50" s="116">
        <f>SUM(BQ34:BQ45)</f>
        <v/>
      </c>
      <c r="BR50" s="116">
        <f>SUM(BR34:BR45)</f>
        <v/>
      </c>
      <c r="BS50" s="116">
        <f>SUM(BS34:BS45)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04" t="inlineStr">
        <is>
          <t>Старше двух лет</t>
        </is>
      </c>
      <c r="E51" s="114">
        <f>W51</f>
        <v/>
      </c>
      <c r="F51" s="114">
        <f>AI51</f>
        <v/>
      </c>
      <c r="G51" s="114">
        <f>AU51</f>
        <v/>
      </c>
      <c r="H51" s="114">
        <f>BG51</f>
        <v/>
      </c>
      <c r="I51" s="114">
        <f>BS51</f>
        <v/>
      </c>
      <c r="J51" s="115">
        <f>BS51</f>
        <v/>
      </c>
      <c r="L51" s="116">
        <f>L46</f>
        <v/>
      </c>
      <c r="M51" s="116">
        <f>M46</f>
        <v/>
      </c>
      <c r="N51" s="116">
        <f>N46</f>
        <v/>
      </c>
      <c r="O51" s="116">
        <f>O46</f>
        <v/>
      </c>
      <c r="P51" s="116">
        <f>P46</f>
        <v/>
      </c>
      <c r="Q51" s="116">
        <f>Q46</f>
        <v/>
      </c>
      <c r="R51" s="116">
        <f>R46</f>
        <v/>
      </c>
      <c r="S51" s="116">
        <f>S46</f>
        <v/>
      </c>
      <c r="T51" s="116">
        <f>T46</f>
        <v/>
      </c>
      <c r="U51" s="116">
        <f>U46</f>
        <v/>
      </c>
      <c r="V51" s="116">
        <f>V46</f>
        <v/>
      </c>
      <c r="W51" s="116">
        <f>W46</f>
        <v/>
      </c>
      <c r="X51" s="116">
        <f>X46</f>
        <v/>
      </c>
      <c r="Y51" s="116">
        <f>Y46</f>
        <v/>
      </c>
      <c r="Z51" s="116">
        <f>Z46</f>
        <v/>
      </c>
      <c r="AA51" s="116">
        <f>AA46</f>
        <v/>
      </c>
      <c r="AB51" s="116">
        <f>AB46</f>
        <v/>
      </c>
      <c r="AC51" s="116">
        <f>AC46</f>
        <v/>
      </c>
      <c r="AD51" s="116">
        <f>AD46</f>
        <v/>
      </c>
      <c r="AE51" s="116">
        <f>AE46</f>
        <v/>
      </c>
      <c r="AF51" s="116">
        <f>AF46</f>
        <v/>
      </c>
      <c r="AG51" s="116">
        <f>AG46</f>
        <v/>
      </c>
      <c r="AH51" s="116">
        <f>AH46</f>
        <v/>
      </c>
      <c r="AI51" s="116">
        <f>AI46</f>
        <v/>
      </c>
      <c r="AJ51" s="116">
        <f>AJ46</f>
        <v/>
      </c>
      <c r="AK51" s="116">
        <f>AK46</f>
        <v/>
      </c>
      <c r="AL51" s="116">
        <f>AL46</f>
        <v/>
      </c>
      <c r="AM51" s="116">
        <f>AM46</f>
        <v/>
      </c>
      <c r="AN51" s="116">
        <f>AN46</f>
        <v/>
      </c>
      <c r="AO51" s="116">
        <f>AO46</f>
        <v/>
      </c>
      <c r="AP51" s="116">
        <f>AP46</f>
        <v/>
      </c>
      <c r="AQ51" s="116">
        <f>AQ46</f>
        <v/>
      </c>
      <c r="AR51" s="116">
        <f>AR46</f>
        <v/>
      </c>
      <c r="AS51" s="116">
        <f>AS46</f>
        <v/>
      </c>
      <c r="AT51" s="116">
        <f>AT46</f>
        <v/>
      </c>
      <c r="AU51" s="116">
        <f>AU46</f>
        <v/>
      </c>
      <c r="AV51" s="116">
        <f>AV46</f>
        <v/>
      </c>
      <c r="AW51" s="116">
        <f>AW46</f>
        <v/>
      </c>
      <c r="AX51" s="116">
        <f>AX46</f>
        <v/>
      </c>
      <c r="AY51" s="116">
        <f>AY46</f>
        <v/>
      </c>
      <c r="AZ51" s="116">
        <f>AZ46</f>
        <v/>
      </c>
      <c r="BA51" s="116">
        <f>BA46</f>
        <v/>
      </c>
      <c r="BB51" s="116">
        <f>BB46</f>
        <v/>
      </c>
      <c r="BC51" s="116">
        <f>BC46</f>
        <v/>
      </c>
      <c r="BD51" s="116">
        <f>BD46</f>
        <v/>
      </c>
      <c r="BE51" s="116">
        <f>BE46</f>
        <v/>
      </c>
      <c r="BF51" s="116">
        <f>BF46</f>
        <v/>
      </c>
      <c r="BG51" s="116">
        <f>BG46</f>
        <v/>
      </c>
      <c r="BH51" s="116">
        <f>BH46</f>
        <v/>
      </c>
      <c r="BI51" s="116">
        <f>BI46</f>
        <v/>
      </c>
      <c r="BJ51" s="116">
        <f>BJ46</f>
        <v/>
      </c>
      <c r="BK51" s="116">
        <f>BK46</f>
        <v/>
      </c>
      <c r="BL51" s="116">
        <f>BL46</f>
        <v/>
      </c>
      <c r="BM51" s="116">
        <f>BM46</f>
        <v/>
      </c>
      <c r="BN51" s="116">
        <f>BN46</f>
        <v/>
      </c>
      <c r="BO51" s="116">
        <f>BO46</f>
        <v/>
      </c>
      <c r="BP51" s="116">
        <f>BP46</f>
        <v/>
      </c>
      <c r="BQ51" s="116">
        <f>BQ46</f>
        <v/>
      </c>
      <c r="BR51" s="116">
        <f>BR46</f>
        <v/>
      </c>
      <c r="BS51" s="116">
        <f>BS46</f>
        <v/>
      </c>
    </row>
    <row r="52">
      <c r="B52" s="117" t="inlineStr">
        <is>
          <t>Новые школы — всего</t>
        </is>
      </c>
      <c r="C52" s="117" t="inlineStr">
        <is>
          <t>шт.</t>
        </is>
      </c>
      <c r="D52" s="118" t="inlineStr"/>
      <c r="E52" s="119">
        <f>W52</f>
        <v/>
      </c>
      <c r="F52" s="119">
        <f>AI52</f>
        <v/>
      </c>
      <c r="G52" s="119">
        <f>AU52</f>
        <v/>
      </c>
      <c r="H52" s="119">
        <f>BG52</f>
        <v/>
      </c>
      <c r="I52" s="119">
        <f>BS52</f>
        <v/>
      </c>
      <c r="J52" s="120">
        <f>BS52</f>
        <v/>
      </c>
      <c r="L52" s="121">
        <f>SUM(L49:L51)</f>
        <v/>
      </c>
      <c r="M52" s="121">
        <f>SUM(M49:M51)</f>
        <v/>
      </c>
      <c r="N52" s="121">
        <f>SUM(N49:N51)</f>
        <v/>
      </c>
      <c r="O52" s="121">
        <f>SUM(O49:O51)</f>
        <v/>
      </c>
      <c r="P52" s="121">
        <f>SUM(P49:P51)</f>
        <v/>
      </c>
      <c r="Q52" s="121">
        <f>SUM(Q49:Q51)</f>
        <v/>
      </c>
      <c r="R52" s="121">
        <f>SUM(R49:R51)</f>
        <v/>
      </c>
      <c r="S52" s="121">
        <f>SUM(S49:S51)</f>
        <v/>
      </c>
      <c r="T52" s="121">
        <f>SUM(T49:T51)</f>
        <v/>
      </c>
      <c r="U52" s="121">
        <f>SUM(U49:U51)</f>
        <v/>
      </c>
      <c r="V52" s="121">
        <f>SUM(V49:V51)</f>
        <v/>
      </c>
      <c r="W52" s="121">
        <f>SUM(W49:W51)</f>
        <v/>
      </c>
      <c r="X52" s="121">
        <f>SUM(X49:X51)</f>
        <v/>
      </c>
      <c r="Y52" s="121">
        <f>SUM(Y49:Y51)</f>
        <v/>
      </c>
      <c r="Z52" s="121">
        <f>SUM(Z49:Z51)</f>
        <v/>
      </c>
      <c r="AA52" s="121">
        <f>SUM(AA49:AA51)</f>
        <v/>
      </c>
      <c r="AB52" s="121">
        <f>SUM(AB49:AB51)</f>
        <v/>
      </c>
      <c r="AC52" s="121">
        <f>SUM(AC49:AC51)</f>
        <v/>
      </c>
      <c r="AD52" s="121">
        <f>SUM(AD49:AD51)</f>
        <v/>
      </c>
      <c r="AE52" s="121">
        <f>SUM(AE49:AE51)</f>
        <v/>
      </c>
      <c r="AF52" s="121">
        <f>SUM(AF49:AF51)</f>
        <v/>
      </c>
      <c r="AG52" s="121">
        <f>SUM(AG49:AG51)</f>
        <v/>
      </c>
      <c r="AH52" s="121">
        <f>SUM(AH49:AH51)</f>
        <v/>
      </c>
      <c r="AI52" s="121">
        <f>SUM(AI49:AI51)</f>
        <v/>
      </c>
      <c r="AJ52" s="121">
        <f>SUM(AJ49:AJ51)</f>
        <v/>
      </c>
      <c r="AK52" s="121">
        <f>SUM(AK49:AK51)</f>
        <v/>
      </c>
      <c r="AL52" s="121">
        <f>SUM(AL49:AL51)</f>
        <v/>
      </c>
      <c r="AM52" s="121">
        <f>SUM(AM49:AM51)</f>
        <v/>
      </c>
      <c r="AN52" s="121">
        <f>SUM(AN49:AN51)</f>
        <v/>
      </c>
      <c r="AO52" s="121">
        <f>SUM(AO49:AO51)</f>
        <v/>
      </c>
      <c r="AP52" s="121">
        <f>SUM(AP49:AP51)</f>
        <v/>
      </c>
      <c r="AQ52" s="121">
        <f>SUM(AQ49:AQ51)</f>
        <v/>
      </c>
      <c r="AR52" s="121">
        <f>SUM(AR49:AR51)</f>
        <v/>
      </c>
      <c r="AS52" s="121">
        <f>SUM(AS49:AS51)</f>
        <v/>
      </c>
      <c r="AT52" s="121">
        <f>SUM(AT49:AT51)</f>
        <v/>
      </c>
      <c r="AU52" s="121">
        <f>SUM(AU49:AU51)</f>
        <v/>
      </c>
      <c r="AV52" s="121">
        <f>SUM(AV49:AV51)</f>
        <v/>
      </c>
      <c r="AW52" s="121">
        <f>SUM(AW49:AW51)</f>
        <v/>
      </c>
      <c r="AX52" s="121">
        <f>SUM(AX49:AX51)</f>
        <v/>
      </c>
      <c r="AY52" s="121">
        <f>SUM(AY49:AY51)</f>
        <v/>
      </c>
      <c r="AZ52" s="121">
        <f>SUM(AZ49:AZ51)</f>
        <v/>
      </c>
      <c r="BA52" s="121">
        <f>SUM(BA49:BA51)</f>
        <v/>
      </c>
      <c r="BB52" s="121">
        <f>SUM(BB49:BB51)</f>
        <v/>
      </c>
      <c r="BC52" s="121">
        <f>SUM(BC49:BC51)</f>
        <v/>
      </c>
      <c r="BD52" s="121">
        <f>SUM(BD49:BD51)</f>
        <v/>
      </c>
      <c r="BE52" s="121">
        <f>SUM(BE49:BE51)</f>
        <v/>
      </c>
      <c r="BF52" s="121">
        <f>SUM(BF49:BF51)</f>
        <v/>
      </c>
      <c r="BG52" s="121">
        <f>SUM(BG49:BG51)</f>
        <v/>
      </c>
      <c r="BH52" s="121">
        <f>SUM(BH49:BH51)</f>
        <v/>
      </c>
      <c r="BI52" s="121">
        <f>SUM(BI49:BI51)</f>
        <v/>
      </c>
      <c r="BJ52" s="121">
        <f>SUM(BJ49:BJ51)</f>
        <v/>
      </c>
      <c r="BK52" s="121">
        <f>SUM(BK49:BK51)</f>
        <v/>
      </c>
      <c r="BL52" s="121">
        <f>SUM(BL49:BL51)</f>
        <v/>
      </c>
      <c r="BM52" s="121">
        <f>SUM(BM49:BM51)</f>
        <v/>
      </c>
      <c r="BN52" s="121">
        <f>SUM(BN49:BN51)</f>
        <v/>
      </c>
      <c r="BO52" s="121">
        <f>SUM(BO49:BO51)</f>
        <v/>
      </c>
      <c r="BP52" s="121">
        <f>SUM(BP49:BP51)</f>
        <v/>
      </c>
      <c r="BQ52" s="121">
        <f>SUM(BQ49:BQ51)</f>
        <v/>
      </c>
      <c r="BR52" s="121">
        <f>SUM(BR49:BR51)</f>
        <v/>
      </c>
      <c r="BS52" s="121">
        <f>SUM(BS49:BS51)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04" t="inlineStr">
        <is>
          <t>Каждая когорта умножается на ёмкость своего возраста из справочника тарифов</t>
        </is>
      </c>
      <c r="E53" s="114">
        <f>W53</f>
        <v/>
      </c>
      <c r="F53" s="114">
        <f>AI53</f>
        <v/>
      </c>
      <c r="G53" s="114">
        <f>AU53</f>
        <v/>
      </c>
      <c r="H53" s="114">
        <f>BG53</f>
        <v/>
      </c>
      <c r="I53" s="114">
        <f>BS53</f>
        <v/>
      </c>
      <c r="J53" s="115">
        <f>BS53</f>
        <v/>
      </c>
      <c r="L53" s="116">
        <f>SUMPRODUCT(L22:L33,CapacityYear1)*МножительДетей*L9</f>
        <v/>
      </c>
      <c r="M53" s="116">
        <f>SUMPRODUCT(M22:M33,CapacityYear1)*МножительДетей*M9</f>
        <v/>
      </c>
      <c r="N53" s="116">
        <f>SUMPRODUCT(N22:N33,CapacityYear1)*МножительДетей*N9</f>
        <v/>
      </c>
      <c r="O53" s="116">
        <f>SUMPRODUCT(O22:O33,CapacityYear1)*МножительДетей*O9</f>
        <v/>
      </c>
      <c r="P53" s="116">
        <f>SUMPRODUCT(P22:P33,CapacityYear1)*МножительДетей*P9</f>
        <v/>
      </c>
      <c r="Q53" s="116">
        <f>SUMPRODUCT(Q22:Q33,CapacityYear1)*МножительДетей*Q9</f>
        <v/>
      </c>
      <c r="R53" s="116">
        <f>SUMPRODUCT(R22:R33,CapacityYear1)*МножительДетей*R9</f>
        <v/>
      </c>
      <c r="S53" s="116">
        <f>SUMPRODUCT(S22:S33,CapacityYear1)*МножительДетей*S9</f>
        <v/>
      </c>
      <c r="T53" s="116">
        <f>SUMPRODUCT(T22:T33,CapacityYear1)*МножительДетей*T9</f>
        <v/>
      </c>
      <c r="U53" s="116">
        <f>SUMPRODUCT(U22:U33,CapacityYear1)*МножительДетей*U9</f>
        <v/>
      </c>
      <c r="V53" s="116">
        <f>SUMPRODUCT(V22:V33,CapacityYear1)*МножительДетей*V9</f>
        <v/>
      </c>
      <c r="W53" s="116">
        <f>SUMPRODUCT(W22:W33,CapacityYear1)*МножительДетей*W9</f>
        <v/>
      </c>
      <c r="X53" s="116">
        <f>SUMPRODUCT(X22:X33,CapacityYear1)*МножительДетей*X9</f>
        <v/>
      </c>
      <c r="Y53" s="116">
        <f>SUMPRODUCT(Y22:Y33,CapacityYear1)*МножительДетей*Y9</f>
        <v/>
      </c>
      <c r="Z53" s="116">
        <f>SUMPRODUCT(Z22:Z33,CapacityYear1)*МножительДетей*Z9</f>
        <v/>
      </c>
      <c r="AA53" s="116">
        <f>SUMPRODUCT(AA22:AA33,CapacityYear1)*МножительДетей*AA9</f>
        <v/>
      </c>
      <c r="AB53" s="116">
        <f>SUMPRODUCT(AB22:AB33,CapacityYear1)*МножительДетей*AB9</f>
        <v/>
      </c>
      <c r="AC53" s="116">
        <f>SUMPRODUCT(AC22:AC33,CapacityYear1)*МножительДетей*AC9</f>
        <v/>
      </c>
      <c r="AD53" s="116">
        <f>SUMPRODUCT(AD22:AD33,CapacityYear1)*МножительДетей*AD9</f>
        <v/>
      </c>
      <c r="AE53" s="116">
        <f>SUMPRODUCT(AE22:AE33,CapacityYear1)*МножительДетей*AE9</f>
        <v/>
      </c>
      <c r="AF53" s="116">
        <f>SUMPRODUCT(AF22:AF33,CapacityYear1)*МножительДетей*AF9</f>
        <v/>
      </c>
      <c r="AG53" s="116">
        <f>SUMPRODUCT(AG22:AG33,CapacityYear1)*МножительДетей*AG9</f>
        <v/>
      </c>
      <c r="AH53" s="116">
        <f>SUMPRODUCT(AH22:AH33,CapacityYear1)*МножительДетей*AH9</f>
        <v/>
      </c>
      <c r="AI53" s="116">
        <f>SUMPRODUCT(AI22:AI33,CapacityYear1)*МножительДетей*AI9</f>
        <v/>
      </c>
      <c r="AJ53" s="116">
        <f>SUMPRODUCT(AJ22:AJ33,CapacityYear1)*МножительДетей*AJ9</f>
        <v/>
      </c>
      <c r="AK53" s="116">
        <f>SUMPRODUCT(AK22:AK33,CapacityYear1)*МножительДетей*AK9</f>
        <v/>
      </c>
      <c r="AL53" s="116">
        <f>SUMPRODUCT(AL22:AL33,CapacityYear1)*МножительДетей*AL9</f>
        <v/>
      </c>
      <c r="AM53" s="116">
        <f>SUMPRODUCT(AM22:AM33,CapacityYear1)*МножительДетей*AM9</f>
        <v/>
      </c>
      <c r="AN53" s="116">
        <f>SUMPRODUCT(AN22:AN33,CapacityYear1)*МножительДетей*AN9</f>
        <v/>
      </c>
      <c r="AO53" s="116">
        <f>SUMPRODUCT(AO22:AO33,CapacityYear1)*МножительДетей*AO9</f>
        <v/>
      </c>
      <c r="AP53" s="116">
        <f>SUMPRODUCT(AP22:AP33,CapacityYear1)*МножительДетей*AP9</f>
        <v/>
      </c>
      <c r="AQ53" s="116">
        <f>SUMPRODUCT(AQ22:AQ33,CapacityYear1)*МножительДетей*AQ9</f>
        <v/>
      </c>
      <c r="AR53" s="116">
        <f>SUMPRODUCT(AR22:AR33,CapacityYear1)*МножительДетей*AR9</f>
        <v/>
      </c>
      <c r="AS53" s="116">
        <f>SUMPRODUCT(AS22:AS33,CapacityYear1)*МножительДетей*AS9</f>
        <v/>
      </c>
      <c r="AT53" s="116">
        <f>SUMPRODUCT(AT22:AT33,CapacityYear1)*МножительДетей*AT9</f>
        <v/>
      </c>
      <c r="AU53" s="116">
        <f>SUMPRODUCT(AU22:AU33,CapacityYear1)*МножительДетей*AU9</f>
        <v/>
      </c>
      <c r="AV53" s="116">
        <f>SUMPRODUCT(AV22:AV33,CapacityYear1)*МножительДетей*AV9</f>
        <v/>
      </c>
      <c r="AW53" s="116">
        <f>SUMPRODUCT(AW22:AW33,CapacityYear1)*МножительДетей*AW9</f>
        <v/>
      </c>
      <c r="AX53" s="116">
        <f>SUMPRODUCT(AX22:AX33,CapacityYear1)*МножительДетей*AX9</f>
        <v/>
      </c>
      <c r="AY53" s="116">
        <f>SUMPRODUCT(AY22:AY33,CapacityYear1)*МножительДетей*AY9</f>
        <v/>
      </c>
      <c r="AZ53" s="116">
        <f>SUMPRODUCT(AZ22:AZ33,CapacityYear1)*МножительДетей*AZ9</f>
        <v/>
      </c>
      <c r="BA53" s="116">
        <f>SUMPRODUCT(BA22:BA33,CapacityYear1)*МножительДетей*BA9</f>
        <v/>
      </c>
      <c r="BB53" s="116">
        <f>SUMPRODUCT(BB22:BB33,CapacityYear1)*МножительДетей*BB9</f>
        <v/>
      </c>
      <c r="BC53" s="116">
        <f>SUMPRODUCT(BC22:BC33,CapacityYear1)*МножительДетей*BC9</f>
        <v/>
      </c>
      <c r="BD53" s="116">
        <f>SUMPRODUCT(BD22:BD33,CapacityYear1)*МножительДетей*BD9</f>
        <v/>
      </c>
      <c r="BE53" s="116">
        <f>SUMPRODUCT(BE22:BE33,CapacityYear1)*МножительДетей*BE9</f>
        <v/>
      </c>
      <c r="BF53" s="116">
        <f>SUMPRODUCT(BF22:BF33,CapacityYear1)*МножительДетей*BF9</f>
        <v/>
      </c>
      <c r="BG53" s="116">
        <f>SUMPRODUCT(BG22:BG33,CapacityYear1)*МножительДетей*BG9</f>
        <v/>
      </c>
      <c r="BH53" s="116">
        <f>SUMPRODUCT(BH22:BH33,CapacityYear1)*МножительДетей*BH9</f>
        <v/>
      </c>
      <c r="BI53" s="116">
        <f>SUMPRODUCT(BI22:BI33,CapacityYear1)*МножительДетей*BI9</f>
        <v/>
      </c>
      <c r="BJ53" s="116">
        <f>SUMPRODUCT(BJ22:BJ33,CapacityYear1)*МножительДетей*BJ9</f>
        <v/>
      </c>
      <c r="BK53" s="116">
        <f>SUMPRODUCT(BK22:BK33,CapacityYear1)*МножительДетей*BK9</f>
        <v/>
      </c>
      <c r="BL53" s="116">
        <f>SUMPRODUCT(BL22:BL33,CapacityYear1)*МножительДетей*BL9</f>
        <v/>
      </c>
      <c r="BM53" s="116">
        <f>SUMPRODUCT(BM22:BM33,CapacityYear1)*МножительДетей*BM9</f>
        <v/>
      </c>
      <c r="BN53" s="116">
        <f>SUMPRODUCT(BN22:BN33,CapacityYear1)*МножительДетей*BN9</f>
        <v/>
      </c>
      <c r="BO53" s="116">
        <f>SUMPRODUCT(BO22:BO33,CapacityYear1)*МножительДетей*BO9</f>
        <v/>
      </c>
      <c r="BP53" s="116">
        <f>SUMPRODUCT(BP22:BP33,CapacityYear1)*МножительДетей*BP9</f>
        <v/>
      </c>
      <c r="BQ53" s="116">
        <f>SUMPRODUCT(BQ22:BQ33,CapacityYear1)*МножительДетей*BQ9</f>
        <v/>
      </c>
      <c r="BR53" s="116">
        <f>SUMPRODUCT(BR22:BR33,CapacityYear1)*МножительДетей*BR9</f>
        <v/>
      </c>
      <c r="BS53" s="116">
        <f>SUMPRODUCT(BS22:BS33,CapacityYear1)*МножительДетей*BS9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04" t="inlineStr"/>
      <c r="E54" s="114">
        <f>W54</f>
        <v/>
      </c>
      <c r="F54" s="114">
        <f>AI54</f>
        <v/>
      </c>
      <c r="G54" s="114">
        <f>AU54</f>
        <v/>
      </c>
      <c r="H54" s="114">
        <f>BG54</f>
        <v/>
      </c>
      <c r="I54" s="114">
        <f>BS54</f>
        <v/>
      </c>
      <c r="J54" s="115">
        <f>BS54</f>
        <v/>
      </c>
      <c r="L54" s="116">
        <f>SUMPRODUCT(L34:L45,CapacityYear2)*МножительДетей*L9</f>
        <v/>
      </c>
      <c r="M54" s="116">
        <f>SUMPRODUCT(M34:M45,CapacityYear2)*МножительДетей*M9</f>
        <v/>
      </c>
      <c r="N54" s="116">
        <f>SUMPRODUCT(N34:N45,CapacityYear2)*МножительДетей*N9</f>
        <v/>
      </c>
      <c r="O54" s="116">
        <f>SUMPRODUCT(O34:O45,CapacityYear2)*МножительДетей*O9</f>
        <v/>
      </c>
      <c r="P54" s="116">
        <f>SUMPRODUCT(P34:P45,CapacityYear2)*МножительДетей*P9</f>
        <v/>
      </c>
      <c r="Q54" s="116">
        <f>SUMPRODUCT(Q34:Q45,CapacityYear2)*МножительДетей*Q9</f>
        <v/>
      </c>
      <c r="R54" s="116">
        <f>SUMPRODUCT(R34:R45,CapacityYear2)*МножительДетей*R9</f>
        <v/>
      </c>
      <c r="S54" s="116">
        <f>SUMPRODUCT(S34:S45,CapacityYear2)*МножительДетей*S9</f>
        <v/>
      </c>
      <c r="T54" s="116">
        <f>SUMPRODUCT(T34:T45,CapacityYear2)*МножительДетей*T9</f>
        <v/>
      </c>
      <c r="U54" s="116">
        <f>SUMPRODUCT(U34:U45,CapacityYear2)*МножительДетей*U9</f>
        <v/>
      </c>
      <c r="V54" s="116">
        <f>SUMPRODUCT(V34:V45,CapacityYear2)*МножительДетей*V9</f>
        <v/>
      </c>
      <c r="W54" s="116">
        <f>SUMPRODUCT(W34:W45,CapacityYear2)*МножительДетей*W9</f>
        <v/>
      </c>
      <c r="X54" s="116">
        <f>SUMPRODUCT(X34:X45,CapacityYear2)*МножительДетей*X9</f>
        <v/>
      </c>
      <c r="Y54" s="116">
        <f>SUMPRODUCT(Y34:Y45,CapacityYear2)*МножительДетей*Y9</f>
        <v/>
      </c>
      <c r="Z54" s="116">
        <f>SUMPRODUCT(Z34:Z45,CapacityYear2)*МножительДетей*Z9</f>
        <v/>
      </c>
      <c r="AA54" s="116">
        <f>SUMPRODUCT(AA34:AA45,CapacityYear2)*МножительДетей*AA9</f>
        <v/>
      </c>
      <c r="AB54" s="116">
        <f>SUMPRODUCT(AB34:AB45,CapacityYear2)*МножительДетей*AB9</f>
        <v/>
      </c>
      <c r="AC54" s="116">
        <f>SUMPRODUCT(AC34:AC45,CapacityYear2)*МножительДетей*AC9</f>
        <v/>
      </c>
      <c r="AD54" s="116">
        <f>SUMPRODUCT(AD34:AD45,CapacityYear2)*МножительДетей*AD9</f>
        <v/>
      </c>
      <c r="AE54" s="116">
        <f>SUMPRODUCT(AE34:AE45,CapacityYear2)*МножительДетей*AE9</f>
        <v/>
      </c>
      <c r="AF54" s="116">
        <f>SUMPRODUCT(AF34:AF45,CapacityYear2)*МножительДетей*AF9</f>
        <v/>
      </c>
      <c r="AG54" s="116">
        <f>SUMPRODUCT(AG34:AG45,CapacityYear2)*МножительДетей*AG9</f>
        <v/>
      </c>
      <c r="AH54" s="116">
        <f>SUMPRODUCT(AH34:AH45,CapacityYear2)*МножительДетей*AH9</f>
        <v/>
      </c>
      <c r="AI54" s="116">
        <f>SUMPRODUCT(AI34:AI45,CapacityYear2)*МножительДетей*AI9</f>
        <v/>
      </c>
      <c r="AJ54" s="116">
        <f>SUMPRODUCT(AJ34:AJ45,CapacityYear2)*МножительДетей*AJ9</f>
        <v/>
      </c>
      <c r="AK54" s="116">
        <f>SUMPRODUCT(AK34:AK45,CapacityYear2)*МножительДетей*AK9</f>
        <v/>
      </c>
      <c r="AL54" s="116">
        <f>SUMPRODUCT(AL34:AL45,CapacityYear2)*МножительДетей*AL9</f>
        <v/>
      </c>
      <c r="AM54" s="116">
        <f>SUMPRODUCT(AM34:AM45,CapacityYear2)*МножительДетей*AM9</f>
        <v/>
      </c>
      <c r="AN54" s="116">
        <f>SUMPRODUCT(AN34:AN45,CapacityYear2)*МножительДетей*AN9</f>
        <v/>
      </c>
      <c r="AO54" s="116">
        <f>SUMPRODUCT(AO34:AO45,CapacityYear2)*МножительДетей*AO9</f>
        <v/>
      </c>
      <c r="AP54" s="116">
        <f>SUMPRODUCT(AP34:AP45,CapacityYear2)*МножительДетей*AP9</f>
        <v/>
      </c>
      <c r="AQ54" s="116">
        <f>SUMPRODUCT(AQ34:AQ45,CapacityYear2)*МножительДетей*AQ9</f>
        <v/>
      </c>
      <c r="AR54" s="116">
        <f>SUMPRODUCT(AR34:AR45,CapacityYear2)*МножительДетей*AR9</f>
        <v/>
      </c>
      <c r="AS54" s="116">
        <f>SUMPRODUCT(AS34:AS45,CapacityYear2)*МножительДетей*AS9</f>
        <v/>
      </c>
      <c r="AT54" s="116">
        <f>SUMPRODUCT(AT34:AT45,CapacityYear2)*МножительДетей*AT9</f>
        <v/>
      </c>
      <c r="AU54" s="116">
        <f>SUMPRODUCT(AU34:AU45,CapacityYear2)*МножительДетей*AU9</f>
        <v/>
      </c>
      <c r="AV54" s="116">
        <f>SUMPRODUCT(AV34:AV45,CapacityYear2)*МножительДетей*AV9</f>
        <v/>
      </c>
      <c r="AW54" s="116">
        <f>SUMPRODUCT(AW34:AW45,CapacityYear2)*МножительДетей*AW9</f>
        <v/>
      </c>
      <c r="AX54" s="116">
        <f>SUMPRODUCT(AX34:AX45,CapacityYear2)*МножительДетей*AX9</f>
        <v/>
      </c>
      <c r="AY54" s="116">
        <f>SUMPRODUCT(AY34:AY45,CapacityYear2)*МножительДетей*AY9</f>
        <v/>
      </c>
      <c r="AZ54" s="116">
        <f>SUMPRODUCT(AZ34:AZ45,CapacityYear2)*МножительДетей*AZ9</f>
        <v/>
      </c>
      <c r="BA54" s="116">
        <f>SUMPRODUCT(BA34:BA45,CapacityYear2)*МножительДетей*BA9</f>
        <v/>
      </c>
      <c r="BB54" s="116">
        <f>SUMPRODUCT(BB34:BB45,CapacityYear2)*МножительДетей*BB9</f>
        <v/>
      </c>
      <c r="BC54" s="116">
        <f>SUMPRODUCT(BC34:BC45,CapacityYear2)*МножительДетей*BC9</f>
        <v/>
      </c>
      <c r="BD54" s="116">
        <f>SUMPRODUCT(BD34:BD45,CapacityYear2)*МножительДетей*BD9</f>
        <v/>
      </c>
      <c r="BE54" s="116">
        <f>SUMPRODUCT(BE34:BE45,CapacityYear2)*МножительДетей*BE9</f>
        <v/>
      </c>
      <c r="BF54" s="116">
        <f>SUMPRODUCT(BF34:BF45,CapacityYear2)*МножительДетей*BF9</f>
        <v/>
      </c>
      <c r="BG54" s="116">
        <f>SUMPRODUCT(BG34:BG45,CapacityYear2)*МножительДетей*BG9</f>
        <v/>
      </c>
      <c r="BH54" s="116">
        <f>SUMPRODUCT(BH34:BH45,CapacityYear2)*МножительДетей*BH9</f>
        <v/>
      </c>
      <c r="BI54" s="116">
        <f>SUMPRODUCT(BI34:BI45,CapacityYear2)*МножительДетей*BI9</f>
        <v/>
      </c>
      <c r="BJ54" s="116">
        <f>SUMPRODUCT(BJ34:BJ45,CapacityYear2)*МножительДетей*BJ9</f>
        <v/>
      </c>
      <c r="BK54" s="116">
        <f>SUMPRODUCT(BK34:BK45,CapacityYear2)*МножительДетей*BK9</f>
        <v/>
      </c>
      <c r="BL54" s="116">
        <f>SUMPRODUCT(BL34:BL45,CapacityYear2)*МножительДетей*BL9</f>
        <v/>
      </c>
      <c r="BM54" s="116">
        <f>SUMPRODUCT(BM34:BM45,CapacityYear2)*МножительДетей*BM9</f>
        <v/>
      </c>
      <c r="BN54" s="116">
        <f>SUMPRODUCT(BN34:BN45,CapacityYear2)*МножительДетей*BN9</f>
        <v/>
      </c>
      <c r="BO54" s="116">
        <f>SUMPRODUCT(BO34:BO45,CapacityYear2)*МножительДетей*BO9</f>
        <v/>
      </c>
      <c r="BP54" s="116">
        <f>SUMPRODUCT(BP34:BP45,CapacityYear2)*МножительДетей*BP9</f>
        <v/>
      </c>
      <c r="BQ54" s="116">
        <f>SUMPRODUCT(BQ34:BQ45,CapacityYear2)*МножительДетей*BQ9</f>
        <v/>
      </c>
      <c r="BR54" s="116">
        <f>SUMPRODUCT(BR34:BR45,CapacityYear2)*МножительДетей*BR9</f>
        <v/>
      </c>
      <c r="BS54" s="116">
        <f>SUMPRODUCT(BS34:BS45,CapacityYear2)*МножительДетей*BS9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04" t="inlineStr"/>
      <c r="E55" s="114">
        <f>W55</f>
        <v/>
      </c>
      <c r="F55" s="114">
        <f>AI55</f>
        <v/>
      </c>
      <c r="G55" s="114">
        <f>AU55</f>
        <v/>
      </c>
      <c r="H55" s="114">
        <f>BG55</f>
        <v/>
      </c>
      <c r="I55" s="114">
        <f>BS55</f>
        <v/>
      </c>
      <c r="J55" s="115">
        <f>BS55</f>
        <v/>
      </c>
      <c r="L55" s="116">
        <f>L46*CapacityAge25*МножительДетей*L9</f>
        <v/>
      </c>
      <c r="M55" s="116">
        <f>M46*CapacityAge25*МножительДетей*M9</f>
        <v/>
      </c>
      <c r="N55" s="116">
        <f>N46*CapacityAge25*МножительДетей*N9</f>
        <v/>
      </c>
      <c r="O55" s="116">
        <f>O46*CapacityAge25*МножительДетей*O9</f>
        <v/>
      </c>
      <c r="P55" s="116">
        <f>P46*CapacityAge25*МножительДетей*P9</f>
        <v/>
      </c>
      <c r="Q55" s="116">
        <f>Q46*CapacityAge25*МножительДетей*Q9</f>
        <v/>
      </c>
      <c r="R55" s="116">
        <f>R46*CapacityAge25*МножительДетей*R9</f>
        <v/>
      </c>
      <c r="S55" s="116">
        <f>S46*CapacityAge25*МножительДетей*S9</f>
        <v/>
      </c>
      <c r="T55" s="116">
        <f>T46*CapacityAge25*МножительДетей*T9</f>
        <v/>
      </c>
      <c r="U55" s="116">
        <f>U46*CapacityAge25*МножительДетей*U9</f>
        <v/>
      </c>
      <c r="V55" s="116">
        <f>V46*CapacityAge25*МножительДетей*V9</f>
        <v/>
      </c>
      <c r="W55" s="116">
        <f>W46*CapacityAge25*МножительДетей*W9</f>
        <v/>
      </c>
      <c r="X55" s="116">
        <f>X46*CapacityAge25*МножительДетей*X9</f>
        <v/>
      </c>
      <c r="Y55" s="116">
        <f>Y46*CapacityAge25*МножительДетей*Y9</f>
        <v/>
      </c>
      <c r="Z55" s="116">
        <f>Z46*CapacityAge25*МножительДетей*Z9</f>
        <v/>
      </c>
      <c r="AA55" s="116">
        <f>AA46*CapacityAge25*МножительДетей*AA9</f>
        <v/>
      </c>
      <c r="AB55" s="116">
        <f>AB46*CapacityAge25*МножительДетей*AB9</f>
        <v/>
      </c>
      <c r="AC55" s="116">
        <f>AC46*CapacityAge25*МножительДетей*AC9</f>
        <v/>
      </c>
      <c r="AD55" s="116">
        <f>AD46*CapacityAge25*МножительДетей*AD9</f>
        <v/>
      </c>
      <c r="AE55" s="116">
        <f>AE46*CapacityAge25*МножительДетей*AE9</f>
        <v/>
      </c>
      <c r="AF55" s="116">
        <f>AF46*CapacityAge25*МножительДетей*AF9</f>
        <v/>
      </c>
      <c r="AG55" s="116">
        <f>AG46*CapacityAge25*МножительДетей*AG9</f>
        <v/>
      </c>
      <c r="AH55" s="116">
        <f>AH46*CapacityAge25*МножительДетей*AH9</f>
        <v/>
      </c>
      <c r="AI55" s="116">
        <f>AI46*CapacityAge25*МножительДетей*AI9</f>
        <v/>
      </c>
      <c r="AJ55" s="116">
        <f>AJ46*CapacityAge25*МножительДетей*AJ9</f>
        <v/>
      </c>
      <c r="AK55" s="116">
        <f>AK46*CapacityAge25*МножительДетей*AK9</f>
        <v/>
      </c>
      <c r="AL55" s="116">
        <f>AL46*CapacityAge25*МножительДетей*AL9</f>
        <v/>
      </c>
      <c r="AM55" s="116">
        <f>AM46*CapacityAge25*МножительДетей*AM9</f>
        <v/>
      </c>
      <c r="AN55" s="116">
        <f>AN46*CapacityAge25*МножительДетей*AN9</f>
        <v/>
      </c>
      <c r="AO55" s="116">
        <f>AO46*CapacityAge25*МножительДетей*AO9</f>
        <v/>
      </c>
      <c r="AP55" s="116">
        <f>AP46*CapacityAge25*МножительДетей*AP9</f>
        <v/>
      </c>
      <c r="AQ55" s="116">
        <f>AQ46*CapacityAge25*МножительДетей*AQ9</f>
        <v/>
      </c>
      <c r="AR55" s="116">
        <f>AR46*CapacityAge25*МножительДетей*AR9</f>
        <v/>
      </c>
      <c r="AS55" s="116">
        <f>AS46*CapacityAge25*МножительДетей*AS9</f>
        <v/>
      </c>
      <c r="AT55" s="116">
        <f>AT46*CapacityAge25*МножительДетей*AT9</f>
        <v/>
      </c>
      <c r="AU55" s="116">
        <f>AU46*CapacityAge25*МножительДетей*AU9</f>
        <v/>
      </c>
      <c r="AV55" s="116">
        <f>AV46*CapacityAge25*МножительДетей*AV9</f>
        <v/>
      </c>
      <c r="AW55" s="116">
        <f>AW46*CapacityAge25*МножительДетей*AW9</f>
        <v/>
      </c>
      <c r="AX55" s="116">
        <f>AX46*CapacityAge25*МножительДетей*AX9</f>
        <v/>
      </c>
      <c r="AY55" s="116">
        <f>AY46*CapacityAge25*МножительДетей*AY9</f>
        <v/>
      </c>
      <c r="AZ55" s="116">
        <f>AZ46*CapacityAge25*МножительДетей*AZ9</f>
        <v/>
      </c>
      <c r="BA55" s="116">
        <f>BA46*CapacityAge25*МножительДетей*BA9</f>
        <v/>
      </c>
      <c r="BB55" s="116">
        <f>BB46*CapacityAge25*МножительДетей*BB9</f>
        <v/>
      </c>
      <c r="BC55" s="116">
        <f>BC46*CapacityAge25*МножительДетей*BC9</f>
        <v/>
      </c>
      <c r="BD55" s="116">
        <f>BD46*CapacityAge25*МножительДетей*BD9</f>
        <v/>
      </c>
      <c r="BE55" s="116">
        <f>BE46*CapacityAge25*МножительДетей*BE9</f>
        <v/>
      </c>
      <c r="BF55" s="116">
        <f>BF46*CapacityAge25*МножительДетей*BF9</f>
        <v/>
      </c>
      <c r="BG55" s="116">
        <f>BG46*CapacityAge25*МножительДетей*BG9</f>
        <v/>
      </c>
      <c r="BH55" s="116">
        <f>BH46*CapacityAge25*МножительДетей*BH9</f>
        <v/>
      </c>
      <c r="BI55" s="116">
        <f>BI46*CapacityAge25*МножительДетей*BI9</f>
        <v/>
      </c>
      <c r="BJ55" s="116">
        <f>BJ46*CapacityAge25*МножительДетей*BJ9</f>
        <v/>
      </c>
      <c r="BK55" s="116">
        <f>BK46*CapacityAge25*МножительДетей*BK9</f>
        <v/>
      </c>
      <c r="BL55" s="116">
        <f>BL46*CapacityAge25*МножительДетей*BL9</f>
        <v/>
      </c>
      <c r="BM55" s="116">
        <f>BM46*CapacityAge25*МножительДетей*BM9</f>
        <v/>
      </c>
      <c r="BN55" s="116">
        <f>BN46*CapacityAge25*МножительДетей*BN9</f>
        <v/>
      </c>
      <c r="BO55" s="116">
        <f>BO46*CapacityAge25*МножительДетей*BO9</f>
        <v/>
      </c>
      <c r="BP55" s="116">
        <f>BP46*CapacityAge25*МножительДетей*BP9</f>
        <v/>
      </c>
      <c r="BQ55" s="116">
        <f>BQ46*CapacityAge25*МножительДетей*BQ9</f>
        <v/>
      </c>
      <c r="BR55" s="116">
        <f>BR46*CapacityAge25*МножительДетей*BR9</f>
        <v/>
      </c>
      <c r="BS55" s="116">
        <f>BS46*CapacityAge25*МножительДетей*BS9</f>
        <v/>
      </c>
    </row>
    <row r="56">
      <c r="B56" s="117" t="inlineStr">
        <is>
          <t>Дети новых школ — всего</t>
        </is>
      </c>
      <c r="C56" s="117" t="inlineStr">
        <is>
          <t>чел.</t>
        </is>
      </c>
      <c r="D56" s="118" t="inlineStr"/>
      <c r="E56" s="119">
        <f>W56</f>
        <v/>
      </c>
      <c r="F56" s="119">
        <f>AI56</f>
        <v/>
      </c>
      <c r="G56" s="119">
        <f>AU56</f>
        <v/>
      </c>
      <c r="H56" s="119">
        <f>BG56</f>
        <v/>
      </c>
      <c r="I56" s="119">
        <f>BS56</f>
        <v/>
      </c>
      <c r="J56" s="120">
        <f>BS56</f>
        <v/>
      </c>
      <c r="L56" s="121">
        <f>SUM(L53:L55)</f>
        <v/>
      </c>
      <c r="M56" s="121">
        <f>SUM(M53:M55)</f>
        <v/>
      </c>
      <c r="N56" s="121">
        <f>SUM(N53:N55)</f>
        <v/>
      </c>
      <c r="O56" s="121">
        <f>SUM(O53:O55)</f>
        <v/>
      </c>
      <c r="P56" s="121">
        <f>SUM(P53:P55)</f>
        <v/>
      </c>
      <c r="Q56" s="121">
        <f>SUM(Q53:Q55)</f>
        <v/>
      </c>
      <c r="R56" s="121">
        <f>SUM(R53:R55)</f>
        <v/>
      </c>
      <c r="S56" s="121">
        <f>SUM(S53:S55)</f>
        <v/>
      </c>
      <c r="T56" s="121">
        <f>SUM(T53:T55)</f>
        <v/>
      </c>
      <c r="U56" s="121">
        <f>SUM(U53:U55)</f>
        <v/>
      </c>
      <c r="V56" s="121">
        <f>SUM(V53:V55)</f>
        <v/>
      </c>
      <c r="W56" s="121">
        <f>SUM(W53:W55)</f>
        <v/>
      </c>
      <c r="X56" s="121">
        <f>SUM(X53:X55)</f>
        <v/>
      </c>
      <c r="Y56" s="121">
        <f>SUM(Y53:Y55)</f>
        <v/>
      </c>
      <c r="Z56" s="121">
        <f>SUM(Z53:Z55)</f>
        <v/>
      </c>
      <c r="AA56" s="121">
        <f>SUM(AA53:AA55)</f>
        <v/>
      </c>
      <c r="AB56" s="121">
        <f>SUM(AB53:AB55)</f>
        <v/>
      </c>
      <c r="AC56" s="121">
        <f>SUM(AC53:AC55)</f>
        <v/>
      </c>
      <c r="AD56" s="121">
        <f>SUM(AD53:AD55)</f>
        <v/>
      </c>
      <c r="AE56" s="121">
        <f>SUM(AE53:AE55)</f>
        <v/>
      </c>
      <c r="AF56" s="121">
        <f>SUM(AF53:AF55)</f>
        <v/>
      </c>
      <c r="AG56" s="121">
        <f>SUM(AG53:AG55)</f>
        <v/>
      </c>
      <c r="AH56" s="121">
        <f>SUM(AH53:AH55)</f>
        <v/>
      </c>
      <c r="AI56" s="121">
        <f>SUM(AI53:AI55)</f>
        <v/>
      </c>
      <c r="AJ56" s="121">
        <f>SUM(AJ53:AJ55)</f>
        <v/>
      </c>
      <c r="AK56" s="121">
        <f>SUM(AK53:AK55)</f>
        <v/>
      </c>
      <c r="AL56" s="121">
        <f>SUM(AL53:AL55)</f>
        <v/>
      </c>
      <c r="AM56" s="121">
        <f>SUM(AM53:AM55)</f>
        <v/>
      </c>
      <c r="AN56" s="121">
        <f>SUM(AN53:AN55)</f>
        <v/>
      </c>
      <c r="AO56" s="121">
        <f>SUM(AO53:AO55)</f>
        <v/>
      </c>
      <c r="AP56" s="121">
        <f>SUM(AP53:AP55)</f>
        <v/>
      </c>
      <c r="AQ56" s="121">
        <f>SUM(AQ53:AQ55)</f>
        <v/>
      </c>
      <c r="AR56" s="121">
        <f>SUM(AR53:AR55)</f>
        <v/>
      </c>
      <c r="AS56" s="121">
        <f>SUM(AS53:AS55)</f>
        <v/>
      </c>
      <c r="AT56" s="121">
        <f>SUM(AT53:AT55)</f>
        <v/>
      </c>
      <c r="AU56" s="121">
        <f>SUM(AU53:AU55)</f>
        <v/>
      </c>
      <c r="AV56" s="121">
        <f>SUM(AV53:AV55)</f>
        <v/>
      </c>
      <c r="AW56" s="121">
        <f>SUM(AW53:AW55)</f>
        <v/>
      </c>
      <c r="AX56" s="121">
        <f>SUM(AX53:AX55)</f>
        <v/>
      </c>
      <c r="AY56" s="121">
        <f>SUM(AY53:AY55)</f>
        <v/>
      </c>
      <c r="AZ56" s="121">
        <f>SUM(AZ53:AZ55)</f>
        <v/>
      </c>
      <c r="BA56" s="121">
        <f>SUM(BA53:BA55)</f>
        <v/>
      </c>
      <c r="BB56" s="121">
        <f>SUM(BB53:BB55)</f>
        <v/>
      </c>
      <c r="BC56" s="121">
        <f>SUM(BC53:BC55)</f>
        <v/>
      </c>
      <c r="BD56" s="121">
        <f>SUM(BD53:BD55)</f>
        <v/>
      </c>
      <c r="BE56" s="121">
        <f>SUM(BE53:BE55)</f>
        <v/>
      </c>
      <c r="BF56" s="121">
        <f>SUM(BF53:BF55)</f>
        <v/>
      </c>
      <c r="BG56" s="121">
        <f>SUM(BG53:BG55)</f>
        <v/>
      </c>
      <c r="BH56" s="121">
        <f>SUM(BH53:BH55)</f>
        <v/>
      </c>
      <c r="BI56" s="121">
        <f>SUM(BI53:BI55)</f>
        <v/>
      </c>
      <c r="BJ56" s="121">
        <f>SUM(BJ53:BJ55)</f>
        <v/>
      </c>
      <c r="BK56" s="121">
        <f>SUM(BK53:BK55)</f>
        <v/>
      </c>
      <c r="BL56" s="121">
        <f>SUM(BL53:BL55)</f>
        <v/>
      </c>
      <c r="BM56" s="121">
        <f>SUM(BM53:BM55)</f>
        <v/>
      </c>
      <c r="BN56" s="121">
        <f>SUM(BN53:BN55)</f>
        <v/>
      </c>
      <c r="BO56" s="121">
        <f>SUM(BO53:BO55)</f>
        <v/>
      </c>
      <c r="BP56" s="121">
        <f>SUM(BP53:BP55)</f>
        <v/>
      </c>
      <c r="BQ56" s="121">
        <f>SUM(BQ53:BQ55)</f>
        <v/>
      </c>
      <c r="BR56" s="121">
        <f>SUM(BR53:BR55)</f>
        <v/>
      </c>
      <c r="BS56" s="121">
        <f>SUM(BS53:BS55)</f>
        <v/>
      </c>
    </row>
    <row r="58">
      <c r="B58" s="102" t="inlineStr">
        <is>
          <t>Итог по сети</t>
        </is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3" t="n"/>
      <c r="AI58" s="103" t="n"/>
      <c r="AJ58" s="103" t="n"/>
      <c r="AK58" s="103" t="n"/>
      <c r="AL58" s="103" t="n"/>
      <c r="AM58" s="103" t="n"/>
      <c r="AN58" s="103" t="n"/>
      <c r="AO58" s="103" t="n"/>
      <c r="AP58" s="103" t="n"/>
      <c r="AQ58" s="103" t="n"/>
      <c r="AR58" s="103" t="n"/>
      <c r="AS58" s="103" t="n"/>
      <c r="AT58" s="103" t="n"/>
      <c r="AU58" s="103" t="n"/>
      <c r="AV58" s="103" t="n"/>
      <c r="AW58" s="103" t="n"/>
      <c r="AX58" s="103" t="n"/>
      <c r="AY58" s="103" t="n"/>
      <c r="AZ58" s="103" t="n"/>
      <c r="BA58" s="103" t="n"/>
      <c r="BB58" s="103" t="n"/>
      <c r="BC58" s="103" t="n"/>
      <c r="BD58" s="103" t="n"/>
      <c r="BE58" s="103" t="n"/>
      <c r="BF58" s="103" t="n"/>
      <c r="BG58" s="103" t="n"/>
      <c r="BH58" s="103" t="n"/>
      <c r="BI58" s="103" t="n"/>
      <c r="BJ58" s="103" t="n"/>
      <c r="BK58" s="103" t="n"/>
      <c r="BL58" s="103" t="n"/>
      <c r="BM58" s="103" t="n"/>
      <c r="BN58" s="103" t="n"/>
      <c r="BO58" s="103" t="n"/>
      <c r="BP58" s="103" t="n"/>
      <c r="BQ58" s="103" t="n"/>
      <c r="BR58" s="103" t="n"/>
      <c r="BS58" s="103" t="n"/>
    </row>
    <row r="59">
      <c r="B59" s="117" t="inlineStr">
        <is>
          <t>Школы всего</t>
        </is>
      </c>
      <c r="C59" s="117" t="inlineStr">
        <is>
          <t>шт.</t>
        </is>
      </c>
      <c r="D59" s="118" t="inlineStr">
        <is>
          <t>Действующая сеть плюс новые школы</t>
        </is>
      </c>
      <c r="E59" s="119">
        <f>W59</f>
        <v/>
      </c>
      <c r="F59" s="119">
        <f>AI59</f>
        <v/>
      </c>
      <c r="G59" s="119">
        <f>AU59</f>
        <v/>
      </c>
      <c r="H59" s="119">
        <f>BG59</f>
        <v/>
      </c>
      <c r="I59" s="119">
        <f>BS59</f>
        <v/>
      </c>
      <c r="J59" s="120">
        <f>BS59</f>
        <v/>
      </c>
      <c r="L59" s="121">
        <f>L17+L52</f>
        <v/>
      </c>
      <c r="M59" s="121">
        <f>M17+M52</f>
        <v/>
      </c>
      <c r="N59" s="121">
        <f>N17+N52</f>
        <v/>
      </c>
      <c r="O59" s="121">
        <f>O17+O52</f>
        <v/>
      </c>
      <c r="P59" s="121">
        <f>P17+P52</f>
        <v/>
      </c>
      <c r="Q59" s="121">
        <f>Q17+Q52</f>
        <v/>
      </c>
      <c r="R59" s="121">
        <f>R17+R52</f>
        <v/>
      </c>
      <c r="S59" s="121">
        <f>S17+S52</f>
        <v/>
      </c>
      <c r="T59" s="121">
        <f>T17+T52</f>
        <v/>
      </c>
      <c r="U59" s="121">
        <f>U17+U52</f>
        <v/>
      </c>
      <c r="V59" s="121">
        <f>V17+V52</f>
        <v/>
      </c>
      <c r="W59" s="121">
        <f>W17+W52</f>
        <v/>
      </c>
      <c r="X59" s="121">
        <f>X17+X52</f>
        <v/>
      </c>
      <c r="Y59" s="121">
        <f>Y17+Y52</f>
        <v/>
      </c>
      <c r="Z59" s="121">
        <f>Z17+Z52</f>
        <v/>
      </c>
      <c r="AA59" s="121">
        <f>AA17+AA52</f>
        <v/>
      </c>
      <c r="AB59" s="121">
        <f>AB17+AB52</f>
        <v/>
      </c>
      <c r="AC59" s="121">
        <f>AC17+AC52</f>
        <v/>
      </c>
      <c r="AD59" s="121">
        <f>AD17+AD52</f>
        <v/>
      </c>
      <c r="AE59" s="121">
        <f>AE17+AE52</f>
        <v/>
      </c>
      <c r="AF59" s="121">
        <f>AF17+AF52</f>
        <v/>
      </c>
      <c r="AG59" s="121">
        <f>AG17+AG52</f>
        <v/>
      </c>
      <c r="AH59" s="121">
        <f>AH17+AH52</f>
        <v/>
      </c>
      <c r="AI59" s="121">
        <f>AI17+AI52</f>
        <v/>
      </c>
      <c r="AJ59" s="121">
        <f>AJ17+AJ52</f>
        <v/>
      </c>
      <c r="AK59" s="121">
        <f>AK17+AK52</f>
        <v/>
      </c>
      <c r="AL59" s="121">
        <f>AL17+AL52</f>
        <v/>
      </c>
      <c r="AM59" s="121">
        <f>AM17+AM52</f>
        <v/>
      </c>
      <c r="AN59" s="121">
        <f>AN17+AN52</f>
        <v/>
      </c>
      <c r="AO59" s="121">
        <f>AO17+AO52</f>
        <v/>
      </c>
      <c r="AP59" s="121">
        <f>AP17+AP52</f>
        <v/>
      </c>
      <c r="AQ59" s="121">
        <f>AQ17+AQ52</f>
        <v/>
      </c>
      <c r="AR59" s="121">
        <f>AR17+AR52</f>
        <v/>
      </c>
      <c r="AS59" s="121">
        <f>AS17+AS52</f>
        <v/>
      </c>
      <c r="AT59" s="121">
        <f>AT17+AT52</f>
        <v/>
      </c>
      <c r="AU59" s="121">
        <f>AU17+AU52</f>
        <v/>
      </c>
      <c r="AV59" s="121">
        <f>AV17+AV52</f>
        <v/>
      </c>
      <c r="AW59" s="121">
        <f>AW17+AW52</f>
        <v/>
      </c>
      <c r="AX59" s="121">
        <f>AX17+AX52</f>
        <v/>
      </c>
      <c r="AY59" s="121">
        <f>AY17+AY52</f>
        <v/>
      </c>
      <c r="AZ59" s="121">
        <f>AZ17+AZ52</f>
        <v/>
      </c>
      <c r="BA59" s="121">
        <f>BA17+BA52</f>
        <v/>
      </c>
      <c r="BB59" s="121">
        <f>BB17+BB52</f>
        <v/>
      </c>
      <c r="BC59" s="121">
        <f>BC17+BC52</f>
        <v/>
      </c>
      <c r="BD59" s="121">
        <f>BD17+BD52</f>
        <v/>
      </c>
      <c r="BE59" s="121">
        <f>BE17+BE52</f>
        <v/>
      </c>
      <c r="BF59" s="121">
        <f>BF17+BF52</f>
        <v/>
      </c>
      <c r="BG59" s="121">
        <f>BG17+BG52</f>
        <v/>
      </c>
      <c r="BH59" s="121">
        <f>BH17+BH52</f>
        <v/>
      </c>
      <c r="BI59" s="121">
        <f>BI17+BI52</f>
        <v/>
      </c>
      <c r="BJ59" s="121">
        <f>BJ17+BJ52</f>
        <v/>
      </c>
      <c r="BK59" s="121">
        <f>BK17+BK52</f>
        <v/>
      </c>
      <c r="BL59" s="121">
        <f>BL17+BL52</f>
        <v/>
      </c>
      <c r="BM59" s="121">
        <f>BM17+BM52</f>
        <v/>
      </c>
      <c r="BN59" s="121">
        <f>BN17+BN52</f>
        <v/>
      </c>
      <c r="BO59" s="121">
        <f>BO17+BO52</f>
        <v/>
      </c>
      <c r="BP59" s="121">
        <f>BP17+BP52</f>
        <v/>
      </c>
      <c r="BQ59" s="121">
        <f>BQ17+BQ52</f>
        <v/>
      </c>
      <c r="BR59" s="121">
        <f>BR17+BR52</f>
        <v/>
      </c>
      <c r="BS59" s="121">
        <f>BS17+BS52</f>
        <v/>
      </c>
    </row>
    <row r="60">
      <c r="B60" s="117" t="inlineStr">
        <is>
          <t>Юрлица (партнёры) всего</t>
        </is>
      </c>
      <c r="C60" s="117" t="inlineStr">
        <is>
          <t>шт.</t>
        </is>
      </c>
      <c r="D60" s="118" t="inlineStr">
        <is>
          <t>Накопленные партнёры за вычетом закрытий</t>
        </is>
      </c>
      <c r="E60" s="119">
        <f>W60</f>
        <v/>
      </c>
      <c r="F60" s="119">
        <f>AI60</f>
        <v/>
      </c>
      <c r="G60" s="119">
        <f>AU60</f>
        <v/>
      </c>
      <c r="H60" s="119">
        <f>BG60</f>
        <v/>
      </c>
      <c r="I60" s="119">
        <f>BS60</f>
        <v/>
      </c>
      <c r="J60" s="120">
        <f>BS60</f>
        <v/>
      </c>
      <c r="L60" s="121">
        <f>ЮрлицаСтарт*КоэффСохранения+$L14</f>
        <v/>
      </c>
      <c r="M60" s="121">
        <f>L60*КоэффСохранения+M14</f>
        <v/>
      </c>
      <c r="N60" s="121">
        <f>M60*КоэффСохранения+N14</f>
        <v/>
      </c>
      <c r="O60" s="121">
        <f>N60*КоэффСохранения+O14</f>
        <v/>
      </c>
      <c r="P60" s="121">
        <f>O60*КоэффСохранения+P14</f>
        <v/>
      </c>
      <c r="Q60" s="121">
        <f>P60*КоэффСохранения+Q14</f>
        <v/>
      </c>
      <c r="R60" s="121">
        <f>Q60*КоэффСохранения+R14</f>
        <v/>
      </c>
      <c r="S60" s="121">
        <f>R60*КоэффСохранения+S14</f>
        <v/>
      </c>
      <c r="T60" s="121">
        <f>S60*КоэффСохранения+T14</f>
        <v/>
      </c>
      <c r="U60" s="121">
        <f>T60*КоэффСохранения+U14</f>
        <v/>
      </c>
      <c r="V60" s="121">
        <f>U60*КоэффСохранения+V14</f>
        <v/>
      </c>
      <c r="W60" s="121">
        <f>V60*КоэффСохранения+W14</f>
        <v/>
      </c>
      <c r="X60" s="121">
        <f>W60*КоэффСохранения+X14</f>
        <v/>
      </c>
      <c r="Y60" s="121">
        <f>X60*КоэффСохранения+Y14</f>
        <v/>
      </c>
      <c r="Z60" s="121">
        <f>Y60*КоэффСохранения+Z14</f>
        <v/>
      </c>
      <c r="AA60" s="121">
        <f>Z60*КоэффСохранения+AA14</f>
        <v/>
      </c>
      <c r="AB60" s="121">
        <f>AA60*КоэффСохранения+AB14</f>
        <v/>
      </c>
      <c r="AC60" s="121">
        <f>AB60*КоэффСохранения+AC14</f>
        <v/>
      </c>
      <c r="AD60" s="121">
        <f>AC60*КоэффСохранения+AD14</f>
        <v/>
      </c>
      <c r="AE60" s="121">
        <f>AD60*КоэффСохранения+AE14</f>
        <v/>
      </c>
      <c r="AF60" s="121">
        <f>AE60*КоэффСохранения+AF14</f>
        <v/>
      </c>
      <c r="AG60" s="121">
        <f>AF60*КоэффСохранения+AG14</f>
        <v/>
      </c>
      <c r="AH60" s="121">
        <f>AG60*КоэффСохранения+AH14</f>
        <v/>
      </c>
      <c r="AI60" s="121">
        <f>AH60*КоэффСохранения+AI14</f>
        <v/>
      </c>
      <c r="AJ60" s="121">
        <f>AI60*КоэффСохранения+AJ14</f>
        <v/>
      </c>
      <c r="AK60" s="121">
        <f>AJ60*КоэффСохранения+AK14</f>
        <v/>
      </c>
      <c r="AL60" s="121">
        <f>AK60*КоэффСохранения+AL14</f>
        <v/>
      </c>
      <c r="AM60" s="121">
        <f>AL60*КоэффСохранения+AM14</f>
        <v/>
      </c>
      <c r="AN60" s="121">
        <f>AM60*КоэффСохранения+AN14</f>
        <v/>
      </c>
      <c r="AO60" s="121">
        <f>AN60*КоэффСохранения+AO14</f>
        <v/>
      </c>
      <c r="AP60" s="121">
        <f>AO60*КоэффСохранения+AP14</f>
        <v/>
      </c>
      <c r="AQ60" s="121">
        <f>AP60*КоэффСохранения+AQ14</f>
        <v/>
      </c>
      <c r="AR60" s="121">
        <f>AQ60*КоэффСохранения+AR14</f>
        <v/>
      </c>
      <c r="AS60" s="121">
        <f>AR60*КоэффСохранения+AS14</f>
        <v/>
      </c>
      <c r="AT60" s="121">
        <f>AS60*КоэффСохранения+AT14</f>
        <v/>
      </c>
      <c r="AU60" s="121">
        <f>AT60*КоэффСохранения+AU14</f>
        <v/>
      </c>
      <c r="AV60" s="121">
        <f>AU60*КоэффСохранения+AV14</f>
        <v/>
      </c>
      <c r="AW60" s="121">
        <f>AV60*КоэффСохранения+AW14</f>
        <v/>
      </c>
      <c r="AX60" s="121">
        <f>AW60*КоэффСохранения+AX14</f>
        <v/>
      </c>
      <c r="AY60" s="121">
        <f>AX60*КоэффСохранения+AY14</f>
        <v/>
      </c>
      <c r="AZ60" s="121">
        <f>AY60*КоэффСохранения+AZ14</f>
        <v/>
      </c>
      <c r="BA60" s="121">
        <f>AZ60*КоэффСохранения+BA14</f>
        <v/>
      </c>
      <c r="BB60" s="121">
        <f>BA60*КоэффСохранения+BB14</f>
        <v/>
      </c>
      <c r="BC60" s="121">
        <f>BB60*КоэффСохранения+BC14</f>
        <v/>
      </c>
      <c r="BD60" s="121">
        <f>BC60*КоэффСохранения+BD14</f>
        <v/>
      </c>
      <c r="BE60" s="121">
        <f>BD60*КоэффСохранения+BE14</f>
        <v/>
      </c>
      <c r="BF60" s="121">
        <f>BE60*КоэффСохранения+BF14</f>
        <v/>
      </c>
      <c r="BG60" s="121">
        <f>BF60*КоэффСохранения+BG14</f>
        <v/>
      </c>
      <c r="BH60" s="121">
        <f>BG60*КоэффСохранения+BH14</f>
        <v/>
      </c>
      <c r="BI60" s="121">
        <f>BH60*КоэффСохранения+BI14</f>
        <v/>
      </c>
      <c r="BJ60" s="121">
        <f>BI60*КоэффСохранения+BJ14</f>
        <v/>
      </c>
      <c r="BK60" s="121">
        <f>BJ60*КоэффСохранения+BK14</f>
        <v/>
      </c>
      <c r="BL60" s="121">
        <f>BK60*КоэффСохранения+BL14</f>
        <v/>
      </c>
      <c r="BM60" s="121">
        <f>BL60*КоэффСохранения+BM14</f>
        <v/>
      </c>
      <c r="BN60" s="121">
        <f>BM60*КоэффСохранения+BN14</f>
        <v/>
      </c>
      <c r="BO60" s="121">
        <f>BN60*КоэффСохранения+BO14</f>
        <v/>
      </c>
      <c r="BP60" s="121">
        <f>BO60*КоэффСохранения+BP14</f>
        <v/>
      </c>
      <c r="BQ60" s="121">
        <f>BP60*КоэффСохранения+BQ14</f>
        <v/>
      </c>
      <c r="BR60" s="121">
        <f>BQ60*КоэффСохранения+BR14</f>
        <v/>
      </c>
      <c r="BS60" s="121">
        <f>BR60*КоэффСохранения+BS14</f>
        <v/>
      </c>
    </row>
    <row r="61">
      <c r="B61" s="117" t="inlineStr">
        <is>
          <t>Дети всего, активные</t>
        </is>
      </c>
      <c r="C61" s="117" t="inlineStr">
        <is>
          <t>чел.</t>
        </is>
      </c>
      <c r="D61" s="118" t="inlineStr">
        <is>
          <t>Действующая сеть плюс новые школы</t>
        </is>
      </c>
      <c r="E61" s="119">
        <f>W61</f>
        <v/>
      </c>
      <c r="F61" s="119">
        <f>AI61</f>
        <v/>
      </c>
      <c r="G61" s="119">
        <f>AU61</f>
        <v/>
      </c>
      <c r="H61" s="119">
        <f>BG61</f>
        <v/>
      </c>
      <c r="I61" s="119">
        <f>BS61</f>
        <v/>
      </c>
      <c r="J61" s="120">
        <f>BS61</f>
        <v/>
      </c>
      <c r="L61" s="121">
        <f>L19+L56</f>
        <v/>
      </c>
      <c r="M61" s="121">
        <f>M19+M56</f>
        <v/>
      </c>
      <c r="N61" s="121">
        <f>N19+N56</f>
        <v/>
      </c>
      <c r="O61" s="121">
        <f>O19+O56</f>
        <v/>
      </c>
      <c r="P61" s="121">
        <f>P19+P56</f>
        <v/>
      </c>
      <c r="Q61" s="121">
        <f>Q19+Q56</f>
        <v/>
      </c>
      <c r="R61" s="121">
        <f>R19+R56</f>
        <v/>
      </c>
      <c r="S61" s="121">
        <f>S19+S56</f>
        <v/>
      </c>
      <c r="T61" s="121">
        <f>T19+T56</f>
        <v/>
      </c>
      <c r="U61" s="121">
        <f>U19+U56</f>
        <v/>
      </c>
      <c r="V61" s="121">
        <f>V19+V56</f>
        <v/>
      </c>
      <c r="W61" s="121">
        <f>W19+W56</f>
        <v/>
      </c>
      <c r="X61" s="121">
        <f>X19+X56</f>
        <v/>
      </c>
      <c r="Y61" s="121">
        <f>Y19+Y56</f>
        <v/>
      </c>
      <c r="Z61" s="121">
        <f>Z19+Z56</f>
        <v/>
      </c>
      <c r="AA61" s="121">
        <f>AA19+AA56</f>
        <v/>
      </c>
      <c r="AB61" s="121">
        <f>AB19+AB56</f>
        <v/>
      </c>
      <c r="AC61" s="121">
        <f>AC19+AC56</f>
        <v/>
      </c>
      <c r="AD61" s="121">
        <f>AD19+AD56</f>
        <v/>
      </c>
      <c r="AE61" s="121">
        <f>AE19+AE56</f>
        <v/>
      </c>
      <c r="AF61" s="121">
        <f>AF19+AF56</f>
        <v/>
      </c>
      <c r="AG61" s="121">
        <f>AG19+AG56</f>
        <v/>
      </c>
      <c r="AH61" s="121">
        <f>AH19+AH56</f>
        <v/>
      </c>
      <c r="AI61" s="121">
        <f>AI19+AI56</f>
        <v/>
      </c>
      <c r="AJ61" s="121">
        <f>AJ19+AJ56</f>
        <v/>
      </c>
      <c r="AK61" s="121">
        <f>AK19+AK56</f>
        <v/>
      </c>
      <c r="AL61" s="121">
        <f>AL19+AL56</f>
        <v/>
      </c>
      <c r="AM61" s="121">
        <f>AM19+AM56</f>
        <v/>
      </c>
      <c r="AN61" s="121">
        <f>AN19+AN56</f>
        <v/>
      </c>
      <c r="AO61" s="121">
        <f>AO19+AO56</f>
        <v/>
      </c>
      <c r="AP61" s="121">
        <f>AP19+AP56</f>
        <v/>
      </c>
      <c r="AQ61" s="121">
        <f>AQ19+AQ56</f>
        <v/>
      </c>
      <c r="AR61" s="121">
        <f>AR19+AR56</f>
        <v/>
      </c>
      <c r="AS61" s="121">
        <f>AS19+AS56</f>
        <v/>
      </c>
      <c r="AT61" s="121">
        <f>AT19+AT56</f>
        <v/>
      </c>
      <c r="AU61" s="121">
        <f>AU19+AU56</f>
        <v/>
      </c>
      <c r="AV61" s="121">
        <f>AV19+AV56</f>
        <v/>
      </c>
      <c r="AW61" s="121">
        <f>AW19+AW56</f>
        <v/>
      </c>
      <c r="AX61" s="121">
        <f>AX19+AX56</f>
        <v/>
      </c>
      <c r="AY61" s="121">
        <f>AY19+AY56</f>
        <v/>
      </c>
      <c r="AZ61" s="121">
        <f>AZ19+AZ56</f>
        <v/>
      </c>
      <c r="BA61" s="121">
        <f>BA19+BA56</f>
        <v/>
      </c>
      <c r="BB61" s="121">
        <f>BB19+BB56</f>
        <v/>
      </c>
      <c r="BC61" s="121">
        <f>BC19+BC56</f>
        <v/>
      </c>
      <c r="BD61" s="121">
        <f>BD19+BD56</f>
        <v/>
      </c>
      <c r="BE61" s="121">
        <f>BE19+BE56</f>
        <v/>
      </c>
      <c r="BF61" s="121">
        <f>BF19+BF56</f>
        <v/>
      </c>
      <c r="BG61" s="121">
        <f>BG19+BG56</f>
        <v/>
      </c>
      <c r="BH61" s="121">
        <f>BH19+BH56</f>
        <v/>
      </c>
      <c r="BI61" s="121">
        <f>BI19+BI56</f>
        <v/>
      </c>
      <c r="BJ61" s="121">
        <f>BJ19+BJ56</f>
        <v/>
      </c>
      <c r="BK61" s="121">
        <f>BK19+BK56</f>
        <v/>
      </c>
      <c r="BL61" s="121">
        <f>BL19+BL56</f>
        <v/>
      </c>
      <c r="BM61" s="121">
        <f>BM19+BM56</f>
        <v/>
      </c>
      <c r="BN61" s="121">
        <f>BN19+BN56</f>
        <v/>
      </c>
      <c r="BO61" s="121">
        <f>BO19+BO56</f>
        <v/>
      </c>
      <c r="BP61" s="121">
        <f>BP19+BP56</f>
        <v/>
      </c>
      <c r="BQ61" s="121">
        <f>BQ19+BQ56</f>
        <v/>
      </c>
      <c r="BR61" s="121">
        <f>BR19+BR56</f>
        <v/>
      </c>
      <c r="BS61" s="121">
        <f>BS19+BS56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S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>
      <c r="B1" s="99" t="inlineStr">
        <is>
          <t>Доходы: паушальные, роялти, мерч</t>
        </is>
      </c>
    </row>
    <row r="2">
      <c r="B2" s="100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</row>
    <row r="5">
      <c r="B5" s="102" t="inlineStr">
        <is>
          <t>Множители периода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</row>
    <row r="6">
      <c r="B6" t="inlineStr">
        <is>
          <t>Индекс цен</t>
        </is>
      </c>
      <c r="C6" t="inlineStr">
        <is>
          <t>коэфф.</t>
        </is>
      </c>
      <c r="D6" s="104" t="inlineStr">
        <is>
          <t>Накопленная индексация из справочника тарифов</t>
        </is>
      </c>
      <c r="E6" s="122">
        <f>W6</f>
        <v/>
      </c>
      <c r="F6" s="122">
        <f>AI6</f>
        <v/>
      </c>
      <c r="G6" s="122">
        <f>AU6</f>
        <v/>
      </c>
      <c r="H6" s="122">
        <f>BG6</f>
        <v/>
      </c>
      <c r="I6" s="122">
        <f>BS6</f>
        <v/>
      </c>
      <c r="J6" s="123">
        <f>BS6</f>
        <v/>
      </c>
      <c r="L6" s="124">
        <f>'07_Тарифы'!B$4</f>
        <v/>
      </c>
      <c r="M6" s="124">
        <f>'07_Тарифы'!C$4</f>
        <v/>
      </c>
      <c r="N6" s="124">
        <f>'07_Тарифы'!D$4</f>
        <v/>
      </c>
      <c r="O6" s="124">
        <f>'07_Тарифы'!E$4</f>
        <v/>
      </c>
      <c r="P6" s="124">
        <f>'07_Тарифы'!F$4</f>
        <v/>
      </c>
      <c r="Q6" s="124">
        <f>'07_Тарифы'!G$4</f>
        <v/>
      </c>
      <c r="R6" s="124">
        <f>'07_Тарифы'!H$4</f>
        <v/>
      </c>
      <c r="S6" s="124">
        <f>'07_Тарифы'!I$4</f>
        <v/>
      </c>
      <c r="T6" s="124">
        <f>'07_Тарифы'!J$4</f>
        <v/>
      </c>
      <c r="U6" s="124">
        <f>'07_Тарифы'!K$4</f>
        <v/>
      </c>
      <c r="V6" s="124">
        <f>'07_Тарифы'!L$4</f>
        <v/>
      </c>
      <c r="W6" s="124">
        <f>'07_Тарифы'!M$4</f>
        <v/>
      </c>
      <c r="X6" s="124">
        <f>'07_Тарифы'!N$4</f>
        <v/>
      </c>
      <c r="Y6" s="124">
        <f>'07_Тарифы'!O$4</f>
        <v/>
      </c>
      <c r="Z6" s="124">
        <f>'07_Тарифы'!P$4</f>
        <v/>
      </c>
      <c r="AA6" s="124">
        <f>'07_Тарифы'!Q$4</f>
        <v/>
      </c>
      <c r="AB6" s="124">
        <f>'07_Тарифы'!R$4</f>
        <v/>
      </c>
      <c r="AC6" s="124">
        <f>'07_Тарифы'!S$4</f>
        <v/>
      </c>
      <c r="AD6" s="124">
        <f>'07_Тарифы'!T$4</f>
        <v/>
      </c>
      <c r="AE6" s="124">
        <f>'07_Тарифы'!U$4</f>
        <v/>
      </c>
      <c r="AF6" s="124">
        <f>'07_Тарифы'!V$4</f>
        <v/>
      </c>
      <c r="AG6" s="124">
        <f>'07_Тарифы'!W$4</f>
        <v/>
      </c>
      <c r="AH6" s="124">
        <f>'07_Тарифы'!X$4</f>
        <v/>
      </c>
      <c r="AI6" s="124">
        <f>'07_Тарифы'!Y$4</f>
        <v/>
      </c>
      <c r="AJ6" s="124">
        <f>'07_Тарифы'!Z$4</f>
        <v/>
      </c>
      <c r="AK6" s="124">
        <f>'07_Тарифы'!AA$4</f>
        <v/>
      </c>
      <c r="AL6" s="124">
        <f>'07_Тарифы'!AB$4</f>
        <v/>
      </c>
      <c r="AM6" s="124">
        <f>'07_Тарифы'!AC$4</f>
        <v/>
      </c>
      <c r="AN6" s="124">
        <f>'07_Тарифы'!AD$4</f>
        <v/>
      </c>
      <c r="AO6" s="124">
        <f>'07_Тарифы'!AE$4</f>
        <v/>
      </c>
      <c r="AP6" s="124">
        <f>'07_Тарифы'!AF$4</f>
        <v/>
      </c>
      <c r="AQ6" s="124">
        <f>'07_Тарифы'!AG$4</f>
        <v/>
      </c>
      <c r="AR6" s="124">
        <f>'07_Тарифы'!AH$4</f>
        <v/>
      </c>
      <c r="AS6" s="124">
        <f>'07_Тарифы'!AI$4</f>
        <v/>
      </c>
      <c r="AT6" s="124">
        <f>'07_Тарифы'!AJ$4</f>
        <v/>
      </c>
      <c r="AU6" s="124">
        <f>'07_Тарифы'!AK$4</f>
        <v/>
      </c>
      <c r="AV6" s="124">
        <f>'07_Тарифы'!AL$4</f>
        <v/>
      </c>
      <c r="AW6" s="124">
        <f>'07_Тарифы'!AM$4</f>
        <v/>
      </c>
      <c r="AX6" s="124">
        <f>'07_Тарифы'!AN$4</f>
        <v/>
      </c>
      <c r="AY6" s="124">
        <f>'07_Тарифы'!AO$4</f>
        <v/>
      </c>
      <c r="AZ6" s="124">
        <f>'07_Тарифы'!AP$4</f>
        <v/>
      </c>
      <c r="BA6" s="124">
        <f>'07_Тарифы'!AQ$4</f>
        <v/>
      </c>
      <c r="BB6" s="124">
        <f>'07_Тарифы'!AR$4</f>
        <v/>
      </c>
      <c r="BC6" s="124">
        <f>'07_Тарифы'!AS$4</f>
        <v/>
      </c>
      <c r="BD6" s="124">
        <f>'07_Тарифы'!AT$4</f>
        <v/>
      </c>
      <c r="BE6" s="124">
        <f>'07_Тарифы'!AU$4</f>
        <v/>
      </c>
      <c r="BF6" s="124">
        <f>'07_Тарифы'!AV$4</f>
        <v/>
      </c>
      <c r="BG6" s="124">
        <f>'07_Тарифы'!AW$4</f>
        <v/>
      </c>
      <c r="BH6" s="124">
        <f>'07_Тарифы'!AX$4</f>
        <v/>
      </c>
      <c r="BI6" s="124">
        <f>'07_Тарифы'!AY$4</f>
        <v/>
      </c>
      <c r="BJ6" s="124">
        <f>'07_Тарифы'!AZ$4</f>
        <v/>
      </c>
      <c r="BK6" s="124">
        <f>'07_Тарифы'!BA$4</f>
        <v/>
      </c>
      <c r="BL6" s="124">
        <f>'07_Тарифы'!BB$4</f>
        <v/>
      </c>
      <c r="BM6" s="124">
        <f>'07_Тарифы'!BC$4</f>
        <v/>
      </c>
      <c r="BN6" s="124">
        <f>'07_Тарифы'!BD$4</f>
        <v/>
      </c>
      <c r="BO6" s="124">
        <f>'07_Тарифы'!BE$4</f>
        <v/>
      </c>
      <c r="BP6" s="124">
        <f>'07_Тарифы'!BF$4</f>
        <v/>
      </c>
      <c r="BQ6" s="124">
        <f>'07_Тарифы'!BG$4</f>
        <v/>
      </c>
      <c r="BR6" s="124">
        <f>'07_Тарифы'!BH$4</f>
        <v/>
      </c>
      <c r="BS6" s="124">
        <f>'07_Тарифы'!BI$4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04" t="inlineStr">
        <is>
          <t>Сезонность, сценарные множители и индексация в одном числе</t>
        </is>
      </c>
      <c r="E7" s="122">
        <f>AVERAGE(L7:W7)</f>
        <v/>
      </c>
      <c r="F7" s="122">
        <f>AVERAGE(X7:AI7)</f>
        <v/>
      </c>
      <c r="G7" s="122">
        <f>AVERAGE(AJ7:AU7)</f>
        <v/>
      </c>
      <c r="H7" s="122">
        <f>AVERAGE(AV7:BG7)</f>
        <v/>
      </c>
      <c r="I7" s="122">
        <f>AVERAGE(BH7:BS7)</f>
        <v/>
      </c>
      <c r="J7" s="123">
        <f>AVERAGE(L7:BS7)</f>
        <v/>
      </c>
      <c r="L7" s="124">
        <f>'03_Сеть'!L9*МножительДетей*МножительЦен*L6</f>
        <v/>
      </c>
      <c r="M7" s="124">
        <f>'03_Сеть'!M9*МножительДетей*МножительЦен*M6</f>
        <v/>
      </c>
      <c r="N7" s="124">
        <f>'03_Сеть'!N9*МножительДетей*МножительЦен*N6</f>
        <v/>
      </c>
      <c r="O7" s="124">
        <f>'03_Сеть'!O9*МножительДетей*МножительЦен*O6</f>
        <v/>
      </c>
      <c r="P7" s="124">
        <f>'03_Сеть'!P9*МножительДетей*МножительЦен*P6</f>
        <v/>
      </c>
      <c r="Q7" s="124">
        <f>'03_Сеть'!Q9*МножительДетей*МножительЦен*Q6</f>
        <v/>
      </c>
      <c r="R7" s="124">
        <f>'03_Сеть'!R9*МножительДетей*МножительЦен*R6</f>
        <v/>
      </c>
      <c r="S7" s="124">
        <f>'03_Сеть'!S9*МножительДетей*МножительЦен*S6</f>
        <v/>
      </c>
      <c r="T7" s="124">
        <f>'03_Сеть'!T9*МножительДетей*МножительЦен*T6</f>
        <v/>
      </c>
      <c r="U7" s="124">
        <f>'03_Сеть'!U9*МножительДетей*МножительЦен*U6</f>
        <v/>
      </c>
      <c r="V7" s="124">
        <f>'03_Сеть'!V9*МножительДетей*МножительЦен*V6</f>
        <v/>
      </c>
      <c r="W7" s="124">
        <f>'03_Сеть'!W9*МножительДетей*МножительЦен*W6</f>
        <v/>
      </c>
      <c r="X7" s="124">
        <f>'03_Сеть'!X9*МножительДетей*МножительЦен*X6</f>
        <v/>
      </c>
      <c r="Y7" s="124">
        <f>'03_Сеть'!Y9*МножительДетей*МножительЦен*Y6</f>
        <v/>
      </c>
      <c r="Z7" s="124">
        <f>'03_Сеть'!Z9*МножительДетей*МножительЦен*Z6</f>
        <v/>
      </c>
      <c r="AA7" s="124">
        <f>'03_Сеть'!AA9*МножительДетей*МножительЦен*AA6</f>
        <v/>
      </c>
      <c r="AB7" s="124">
        <f>'03_Сеть'!AB9*МножительДетей*МножительЦен*AB6</f>
        <v/>
      </c>
      <c r="AC7" s="124">
        <f>'03_Сеть'!AC9*МножительДетей*МножительЦен*AC6</f>
        <v/>
      </c>
      <c r="AD7" s="124">
        <f>'03_Сеть'!AD9*МножительДетей*МножительЦен*AD6</f>
        <v/>
      </c>
      <c r="AE7" s="124">
        <f>'03_Сеть'!AE9*МножительДетей*МножительЦен*AE6</f>
        <v/>
      </c>
      <c r="AF7" s="124">
        <f>'03_Сеть'!AF9*МножительДетей*МножительЦен*AF6</f>
        <v/>
      </c>
      <c r="AG7" s="124">
        <f>'03_Сеть'!AG9*МножительДетей*МножительЦен*AG6</f>
        <v/>
      </c>
      <c r="AH7" s="124">
        <f>'03_Сеть'!AH9*МножительДетей*МножительЦен*AH6</f>
        <v/>
      </c>
      <c r="AI7" s="124">
        <f>'03_Сеть'!AI9*МножительДетей*МножительЦен*AI6</f>
        <v/>
      </c>
      <c r="AJ7" s="124">
        <f>'03_Сеть'!AJ9*МножительДетей*МножительЦен*AJ6</f>
        <v/>
      </c>
      <c r="AK7" s="124">
        <f>'03_Сеть'!AK9*МножительДетей*МножительЦен*AK6</f>
        <v/>
      </c>
      <c r="AL7" s="124">
        <f>'03_Сеть'!AL9*МножительДетей*МножительЦен*AL6</f>
        <v/>
      </c>
      <c r="AM7" s="124">
        <f>'03_Сеть'!AM9*МножительДетей*МножительЦен*AM6</f>
        <v/>
      </c>
      <c r="AN7" s="124">
        <f>'03_Сеть'!AN9*МножительДетей*МножительЦен*AN6</f>
        <v/>
      </c>
      <c r="AO7" s="124">
        <f>'03_Сеть'!AO9*МножительДетей*МножительЦен*AO6</f>
        <v/>
      </c>
      <c r="AP7" s="124">
        <f>'03_Сеть'!AP9*МножительДетей*МножительЦен*AP6</f>
        <v/>
      </c>
      <c r="AQ7" s="124">
        <f>'03_Сеть'!AQ9*МножительДетей*МножительЦен*AQ6</f>
        <v/>
      </c>
      <c r="AR7" s="124">
        <f>'03_Сеть'!AR9*МножительДетей*МножительЦен*AR6</f>
        <v/>
      </c>
      <c r="AS7" s="124">
        <f>'03_Сеть'!AS9*МножительДетей*МножительЦен*AS6</f>
        <v/>
      </c>
      <c r="AT7" s="124">
        <f>'03_Сеть'!AT9*МножительДетей*МножительЦен*AT6</f>
        <v/>
      </c>
      <c r="AU7" s="124">
        <f>'03_Сеть'!AU9*МножительДетей*МножительЦен*AU6</f>
        <v/>
      </c>
      <c r="AV7" s="124">
        <f>'03_Сеть'!AV9*МножительДетей*МножительЦен*AV6</f>
        <v/>
      </c>
      <c r="AW7" s="124">
        <f>'03_Сеть'!AW9*МножительДетей*МножительЦен*AW6</f>
        <v/>
      </c>
      <c r="AX7" s="124">
        <f>'03_Сеть'!AX9*МножительДетей*МножительЦен*AX6</f>
        <v/>
      </c>
      <c r="AY7" s="124">
        <f>'03_Сеть'!AY9*МножительДетей*МножительЦен*AY6</f>
        <v/>
      </c>
      <c r="AZ7" s="124">
        <f>'03_Сеть'!AZ9*МножительДетей*МножительЦен*AZ6</f>
        <v/>
      </c>
      <c r="BA7" s="124">
        <f>'03_Сеть'!BA9*МножительДетей*МножительЦен*BA6</f>
        <v/>
      </c>
      <c r="BB7" s="124">
        <f>'03_Сеть'!BB9*МножительДетей*МножительЦен*BB6</f>
        <v/>
      </c>
      <c r="BC7" s="124">
        <f>'03_Сеть'!BC9*МножительДетей*МножительЦен*BC6</f>
        <v/>
      </c>
      <c r="BD7" s="124">
        <f>'03_Сеть'!BD9*МножительДетей*МножительЦен*BD6</f>
        <v/>
      </c>
      <c r="BE7" s="124">
        <f>'03_Сеть'!BE9*МножительДетей*МножительЦен*BE6</f>
        <v/>
      </c>
      <c r="BF7" s="124">
        <f>'03_Сеть'!BF9*МножительДетей*МножительЦен*BF6</f>
        <v/>
      </c>
      <c r="BG7" s="124">
        <f>'03_Сеть'!BG9*МножительДетей*МножительЦен*BG6</f>
        <v/>
      </c>
      <c r="BH7" s="124">
        <f>'03_Сеть'!BH9*МножительДетей*МножительЦен*BH6</f>
        <v/>
      </c>
      <c r="BI7" s="124">
        <f>'03_Сеть'!BI9*МножительДетей*МножительЦен*BI6</f>
        <v/>
      </c>
      <c r="BJ7" s="124">
        <f>'03_Сеть'!BJ9*МножительДетей*МножительЦен*BJ6</f>
        <v/>
      </c>
      <c r="BK7" s="124">
        <f>'03_Сеть'!BK9*МножительДетей*МножительЦен*BK6</f>
        <v/>
      </c>
      <c r="BL7" s="124">
        <f>'03_Сеть'!BL9*МножительДетей*МножительЦен*BL6</f>
        <v/>
      </c>
      <c r="BM7" s="124">
        <f>'03_Сеть'!BM9*МножительДетей*МножительЦен*BM6</f>
        <v/>
      </c>
      <c r="BN7" s="124">
        <f>'03_Сеть'!BN9*МножительДетей*МножительЦен*BN6</f>
        <v/>
      </c>
      <c r="BO7" s="124">
        <f>'03_Сеть'!BO9*МножительДетей*МножительЦен*BO6</f>
        <v/>
      </c>
      <c r="BP7" s="124">
        <f>'03_Сеть'!BP9*МножительДетей*МножительЦен*BP6</f>
        <v/>
      </c>
      <c r="BQ7" s="124">
        <f>'03_Сеть'!BQ9*МножительДетей*МножительЦен*BQ6</f>
        <v/>
      </c>
      <c r="BR7" s="124">
        <f>'03_Сеть'!BR9*МножительДетей*МножительЦен*BR6</f>
        <v/>
      </c>
      <c r="BS7" s="124">
        <f>'03_Сеть'!BS9*МножительДетей*МножительЦен*BS6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04" t="inlineStr">
        <is>
          <t>После общей даты все переходят на единую ставку</t>
        </is>
      </c>
      <c r="E8" s="125">
        <f>AVERAGE(L8:W8)</f>
        <v/>
      </c>
      <c r="F8" s="125">
        <f>AVERAGE(X8:AI8)</f>
        <v/>
      </c>
      <c r="G8" s="125">
        <f>AVERAGE(AJ8:AU8)</f>
        <v/>
      </c>
      <c r="H8" s="125">
        <f>AVERAGE(AV8:BG8)</f>
        <v/>
      </c>
      <c r="I8" s="125">
        <f>AVERAGE(BH8:BS8)</f>
        <v/>
      </c>
      <c r="J8" s="126">
        <f>AVERAGE(L8:BS8)</f>
        <v/>
      </c>
      <c r="L8" s="127">
        <f>L7*IF('03_Сеть'!L6&gt;=ДатаПереходаСтавки,СтавкаРоялтиВсех,СтавкаРоялтиСтарых)</f>
        <v/>
      </c>
      <c r="M8" s="127">
        <f>M7*IF('03_Сеть'!M6&gt;=ДатаПереходаСтавки,СтавкаРоялтиВсех,СтавкаРоялтиСтарых)</f>
        <v/>
      </c>
      <c r="N8" s="127">
        <f>N7*IF('03_Сеть'!N6&gt;=ДатаПереходаСтавки,СтавкаРоялтиВсех,СтавкаРоялтиСтарых)</f>
        <v/>
      </c>
      <c r="O8" s="127">
        <f>O7*IF('03_Сеть'!O6&gt;=ДатаПереходаСтавки,СтавкаРоялтиВсех,СтавкаРоялтиСтарых)</f>
        <v/>
      </c>
      <c r="P8" s="127">
        <f>P7*IF('03_Сеть'!P6&gt;=ДатаПереходаСтавки,СтавкаРоялтиВсех,СтавкаРоялтиСтарых)</f>
        <v/>
      </c>
      <c r="Q8" s="127">
        <f>Q7*IF('03_Сеть'!Q6&gt;=ДатаПереходаСтавки,СтавкаРоялтиВсех,СтавкаРоялтиСтарых)</f>
        <v/>
      </c>
      <c r="R8" s="127">
        <f>R7*IF('03_Сеть'!R6&gt;=ДатаПереходаСтавки,СтавкаРоялтиВсех,СтавкаРоялтиСтарых)</f>
        <v/>
      </c>
      <c r="S8" s="127">
        <f>S7*IF('03_Сеть'!S6&gt;=ДатаПереходаСтавки,СтавкаРоялтиВсех,СтавкаРоялтиСтарых)</f>
        <v/>
      </c>
      <c r="T8" s="127">
        <f>T7*IF('03_Сеть'!T6&gt;=ДатаПереходаСтавки,СтавкаРоялтиВсех,СтавкаРоялтиСтарых)</f>
        <v/>
      </c>
      <c r="U8" s="127">
        <f>U7*IF('03_Сеть'!U6&gt;=ДатаПереходаСтавки,СтавкаРоялтиВсех,СтавкаРоялтиСтарых)</f>
        <v/>
      </c>
      <c r="V8" s="127">
        <f>V7*IF('03_Сеть'!V6&gt;=ДатаПереходаСтавки,СтавкаРоялтиВсех,СтавкаРоялтиСтарых)</f>
        <v/>
      </c>
      <c r="W8" s="127">
        <f>W7*IF('03_Сеть'!W6&gt;=ДатаПереходаСтавки,СтавкаРоялтиВсех,СтавкаРоялтиСтарых)</f>
        <v/>
      </c>
      <c r="X8" s="127">
        <f>X7*IF('03_Сеть'!X6&gt;=ДатаПереходаСтавки,СтавкаРоялтиВсех,СтавкаРоялтиСтарых)</f>
        <v/>
      </c>
      <c r="Y8" s="127">
        <f>Y7*IF('03_Сеть'!Y6&gt;=ДатаПереходаСтавки,СтавкаРоялтиВсех,СтавкаРоялтиСтарых)</f>
        <v/>
      </c>
      <c r="Z8" s="127">
        <f>Z7*IF('03_Сеть'!Z6&gt;=ДатаПереходаСтавки,СтавкаРоялтиВсех,СтавкаРоялтиСтарых)</f>
        <v/>
      </c>
      <c r="AA8" s="127">
        <f>AA7*IF('03_Сеть'!AA6&gt;=ДатаПереходаСтавки,СтавкаРоялтиВсех,СтавкаРоялтиСтарых)</f>
        <v/>
      </c>
      <c r="AB8" s="127">
        <f>AB7*IF('03_Сеть'!AB6&gt;=ДатаПереходаСтавки,СтавкаРоялтиВсех,СтавкаРоялтиСтарых)</f>
        <v/>
      </c>
      <c r="AC8" s="127">
        <f>AC7*IF('03_Сеть'!AC6&gt;=ДатаПереходаСтавки,СтавкаРоялтиВсех,СтавкаРоялтиСтарых)</f>
        <v/>
      </c>
      <c r="AD8" s="127">
        <f>AD7*IF('03_Сеть'!AD6&gt;=ДатаПереходаСтавки,СтавкаРоялтиВсех,СтавкаРоялтиСтарых)</f>
        <v/>
      </c>
      <c r="AE8" s="127">
        <f>AE7*IF('03_Сеть'!AE6&gt;=ДатаПереходаСтавки,СтавкаРоялтиВсех,СтавкаРоялтиСтарых)</f>
        <v/>
      </c>
      <c r="AF8" s="127">
        <f>AF7*IF('03_Сеть'!AF6&gt;=ДатаПереходаСтавки,СтавкаРоялтиВсех,СтавкаРоялтиСтарых)</f>
        <v/>
      </c>
      <c r="AG8" s="127">
        <f>AG7*IF('03_Сеть'!AG6&gt;=ДатаПереходаСтавки,СтавкаРоялтиВсех,СтавкаРоялтиСтарых)</f>
        <v/>
      </c>
      <c r="AH8" s="127">
        <f>AH7*IF('03_Сеть'!AH6&gt;=ДатаПереходаСтавки,СтавкаРоялтиВсех,СтавкаРоялтиСтарых)</f>
        <v/>
      </c>
      <c r="AI8" s="127">
        <f>AI7*IF('03_Сеть'!AI6&gt;=ДатаПереходаСтавки,СтавкаРоялтиВсех,СтавкаРоялтиСтарых)</f>
        <v/>
      </c>
      <c r="AJ8" s="127">
        <f>AJ7*IF('03_Сеть'!AJ6&gt;=ДатаПереходаСтавки,СтавкаРоялтиВсех,СтавкаРоялтиСтарых)</f>
        <v/>
      </c>
      <c r="AK8" s="127">
        <f>AK7*IF('03_Сеть'!AK6&gt;=ДатаПереходаСтавки,СтавкаРоялтиВсех,СтавкаРоялтиСтарых)</f>
        <v/>
      </c>
      <c r="AL8" s="127">
        <f>AL7*IF('03_Сеть'!AL6&gt;=ДатаПереходаСтавки,СтавкаРоялтиВсех,СтавкаРоялтиСтарых)</f>
        <v/>
      </c>
      <c r="AM8" s="127">
        <f>AM7*IF('03_Сеть'!AM6&gt;=ДатаПереходаСтавки,СтавкаРоялтиВсех,СтавкаРоялтиСтарых)</f>
        <v/>
      </c>
      <c r="AN8" s="127">
        <f>AN7*IF('03_Сеть'!AN6&gt;=ДатаПереходаСтавки,СтавкаРоялтиВсех,СтавкаРоялтиСтарых)</f>
        <v/>
      </c>
      <c r="AO8" s="127">
        <f>AO7*IF('03_Сеть'!AO6&gt;=ДатаПереходаСтавки,СтавкаРоялтиВсех,СтавкаРоялтиСтарых)</f>
        <v/>
      </c>
      <c r="AP8" s="127">
        <f>AP7*IF('03_Сеть'!AP6&gt;=ДатаПереходаСтавки,СтавкаРоялтиВсех,СтавкаРоялтиСтарых)</f>
        <v/>
      </c>
      <c r="AQ8" s="127">
        <f>AQ7*IF('03_Сеть'!AQ6&gt;=ДатаПереходаСтавки,СтавкаРоялтиВсех,СтавкаРоялтиСтарых)</f>
        <v/>
      </c>
      <c r="AR8" s="127">
        <f>AR7*IF('03_Сеть'!AR6&gt;=ДатаПереходаСтавки,СтавкаРоялтиВсех,СтавкаРоялтиСтарых)</f>
        <v/>
      </c>
      <c r="AS8" s="127">
        <f>AS7*IF('03_Сеть'!AS6&gt;=ДатаПереходаСтавки,СтавкаРоялтиВсех,СтавкаРоялтиСтарых)</f>
        <v/>
      </c>
      <c r="AT8" s="127">
        <f>AT7*IF('03_Сеть'!AT6&gt;=ДатаПереходаСтавки,СтавкаРоялтиВсех,СтавкаРоялтиСтарых)</f>
        <v/>
      </c>
      <c r="AU8" s="127">
        <f>AU7*IF('03_Сеть'!AU6&gt;=ДатаПереходаСтавки,СтавкаРоялтиВсех,СтавкаРоялтиСтарых)</f>
        <v/>
      </c>
      <c r="AV8" s="127">
        <f>AV7*IF('03_Сеть'!AV6&gt;=ДатаПереходаСтавки,СтавкаРоялтиВсех,СтавкаРоялтиСтарых)</f>
        <v/>
      </c>
      <c r="AW8" s="127">
        <f>AW7*IF('03_Сеть'!AW6&gt;=ДатаПереходаСтавки,СтавкаРоялтиВсех,СтавкаРоялтиСтарых)</f>
        <v/>
      </c>
      <c r="AX8" s="127">
        <f>AX7*IF('03_Сеть'!AX6&gt;=ДатаПереходаСтавки,СтавкаРоялтиВсех,СтавкаРоялтиСтарых)</f>
        <v/>
      </c>
      <c r="AY8" s="127">
        <f>AY7*IF('03_Сеть'!AY6&gt;=ДатаПереходаСтавки,СтавкаРоялтиВсех,СтавкаРоялтиСтарых)</f>
        <v/>
      </c>
      <c r="AZ8" s="127">
        <f>AZ7*IF('03_Сеть'!AZ6&gt;=ДатаПереходаСтавки,СтавкаРоялтиВсех,СтавкаРоялтиСтарых)</f>
        <v/>
      </c>
      <c r="BA8" s="127">
        <f>BA7*IF('03_Сеть'!BA6&gt;=ДатаПереходаСтавки,СтавкаРоялтиВсех,СтавкаРоялтиСтарых)</f>
        <v/>
      </c>
      <c r="BB8" s="127">
        <f>BB7*IF('03_Сеть'!BB6&gt;=ДатаПереходаСтавки,СтавкаРоялтиВсех,СтавкаРоялтиСтарых)</f>
        <v/>
      </c>
      <c r="BC8" s="127">
        <f>BC7*IF('03_Сеть'!BC6&gt;=ДатаПереходаСтавки,СтавкаРоялтиВсех,СтавкаРоялтиСтарых)</f>
        <v/>
      </c>
      <c r="BD8" s="127">
        <f>BD7*IF('03_Сеть'!BD6&gt;=ДатаПереходаСтавки,СтавкаРоялтиВсех,СтавкаРоялтиСтарых)</f>
        <v/>
      </c>
      <c r="BE8" s="127">
        <f>BE7*IF('03_Сеть'!BE6&gt;=ДатаПереходаСтавки,СтавкаРоялтиВсех,СтавкаРоялтиСтарых)</f>
        <v/>
      </c>
      <c r="BF8" s="127">
        <f>BF7*IF('03_Сеть'!BF6&gt;=ДатаПереходаСтавки,СтавкаРоялтиВсех,СтавкаРоялтиСтарых)</f>
        <v/>
      </c>
      <c r="BG8" s="127">
        <f>BG7*IF('03_Сеть'!BG6&gt;=ДатаПереходаСтавки,СтавкаРоялтиВсех,СтавкаРоялтиСтарых)</f>
        <v/>
      </c>
      <c r="BH8" s="127">
        <f>BH7*IF('03_Сеть'!BH6&gt;=ДатаПереходаСтавки,СтавкаРоялтиВсех,СтавкаРоялтиСтарых)</f>
        <v/>
      </c>
      <c r="BI8" s="127">
        <f>BI7*IF('03_Сеть'!BI6&gt;=ДатаПереходаСтавки,СтавкаРоялтиВсех,СтавкаРоялтиСтарых)</f>
        <v/>
      </c>
      <c r="BJ8" s="127">
        <f>BJ7*IF('03_Сеть'!BJ6&gt;=ДатаПереходаСтавки,СтавкаРоялтиВсех,СтавкаРоялтиСтарых)</f>
        <v/>
      </c>
      <c r="BK8" s="127">
        <f>BK7*IF('03_Сеть'!BK6&gt;=ДатаПереходаСтавки,СтавкаРоялтиВсех,СтавкаРоялтиСтарых)</f>
        <v/>
      </c>
      <c r="BL8" s="127">
        <f>BL7*IF('03_Сеть'!BL6&gt;=ДатаПереходаСтавки,СтавкаРоялтиВсех,СтавкаРоялтиСтарых)</f>
        <v/>
      </c>
      <c r="BM8" s="127">
        <f>BM7*IF('03_Сеть'!BM6&gt;=ДатаПереходаСтавки,СтавкаРоялтиВсех,СтавкаРоялтиСтарых)</f>
        <v/>
      </c>
      <c r="BN8" s="127">
        <f>BN7*IF('03_Сеть'!BN6&gt;=ДатаПереходаСтавки,СтавкаРоялтиВсех,СтавкаРоялтиСтарых)</f>
        <v/>
      </c>
      <c r="BO8" s="127">
        <f>BO7*IF('03_Сеть'!BO6&gt;=ДатаПереходаСтавки,СтавкаРоялтиВсех,СтавкаРоялтиСтарых)</f>
        <v/>
      </c>
      <c r="BP8" s="127">
        <f>BP7*IF('03_Сеть'!BP6&gt;=ДатаПереходаСтавки,СтавкаРоялтиВсех,СтавкаРоялтиСтарых)</f>
        <v/>
      </c>
      <c r="BQ8" s="127">
        <f>BQ7*IF('03_Сеть'!BQ6&gt;=ДатаПереходаСтавки,СтавкаРоялтиВсех,СтавкаРоялтиСтарых)</f>
        <v/>
      </c>
      <c r="BR8" s="127">
        <f>BR7*IF('03_Сеть'!BR6&gt;=ДатаПереходаСтавки,СтавкаРоялтиВсех,СтавкаРоялтиСтарых)</f>
        <v/>
      </c>
      <c r="BS8" s="127">
        <f>BS7*IF('03_Сеть'!BS6&gt;=ДатаПереходаСтавки,СтавкаРоялтиВсех,СтавкаРоялтиСтарых)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04" t="inlineStr"/>
      <c r="E9" s="125">
        <f>AVERAGE(L9:W9)</f>
        <v/>
      </c>
      <c r="F9" s="125">
        <f>AVERAGE(X9:AI9)</f>
        <v/>
      </c>
      <c r="G9" s="125">
        <f>AVERAGE(AJ9:AU9)</f>
        <v/>
      </c>
      <c r="H9" s="125">
        <f>AVERAGE(AV9:BG9)</f>
        <v/>
      </c>
      <c r="I9" s="125">
        <f>AVERAGE(BH9:BS9)</f>
        <v/>
      </c>
      <c r="J9" s="126">
        <f>AVERAGE(L9:BS9)</f>
        <v/>
      </c>
      <c r="L9" s="127">
        <f>L7*IF('03_Сеть'!L6&gt;=ДатаПереходаСтавки,СтавкаРоялтиВсех,СтавкаРоялтиНовых)</f>
        <v/>
      </c>
      <c r="M9" s="127">
        <f>M7*IF('03_Сеть'!M6&gt;=ДатаПереходаСтавки,СтавкаРоялтиВсех,СтавкаРоялтиНовых)</f>
        <v/>
      </c>
      <c r="N9" s="127">
        <f>N7*IF('03_Сеть'!N6&gt;=ДатаПереходаСтавки,СтавкаРоялтиВсех,СтавкаРоялтиНовых)</f>
        <v/>
      </c>
      <c r="O9" s="127">
        <f>O7*IF('03_Сеть'!O6&gt;=ДатаПереходаСтавки,СтавкаРоялтиВсех,СтавкаРоялтиНовых)</f>
        <v/>
      </c>
      <c r="P9" s="127">
        <f>P7*IF('03_Сеть'!P6&gt;=ДатаПереходаСтавки,СтавкаРоялтиВсех,СтавкаРоялтиНовых)</f>
        <v/>
      </c>
      <c r="Q9" s="127">
        <f>Q7*IF('03_Сеть'!Q6&gt;=ДатаПереходаСтавки,СтавкаРоялтиВсех,СтавкаРоялтиНовых)</f>
        <v/>
      </c>
      <c r="R9" s="127">
        <f>R7*IF('03_Сеть'!R6&gt;=ДатаПереходаСтавки,СтавкаРоялтиВсех,СтавкаРоялтиНовых)</f>
        <v/>
      </c>
      <c r="S9" s="127">
        <f>S7*IF('03_Сеть'!S6&gt;=ДатаПереходаСтавки,СтавкаРоялтиВсех,СтавкаРоялтиНовых)</f>
        <v/>
      </c>
      <c r="T9" s="127">
        <f>T7*IF('03_Сеть'!T6&gt;=ДатаПереходаСтавки,СтавкаРоялтиВсех,СтавкаРоялтиНовых)</f>
        <v/>
      </c>
      <c r="U9" s="127">
        <f>U7*IF('03_Сеть'!U6&gt;=ДатаПереходаСтавки,СтавкаРоялтиВсех,СтавкаРоялтиНовых)</f>
        <v/>
      </c>
      <c r="V9" s="127">
        <f>V7*IF('03_Сеть'!V6&gt;=ДатаПереходаСтавки,СтавкаРоялтиВсех,СтавкаРоялтиНовых)</f>
        <v/>
      </c>
      <c r="W9" s="127">
        <f>W7*IF('03_Сеть'!W6&gt;=ДатаПереходаСтавки,СтавкаРоялтиВсех,СтавкаРоялтиНовых)</f>
        <v/>
      </c>
      <c r="X9" s="127">
        <f>X7*IF('03_Сеть'!X6&gt;=ДатаПереходаСтавки,СтавкаРоялтиВсех,СтавкаРоялтиНовых)</f>
        <v/>
      </c>
      <c r="Y9" s="127">
        <f>Y7*IF('03_Сеть'!Y6&gt;=ДатаПереходаСтавки,СтавкаРоялтиВсех,СтавкаРоялтиНовых)</f>
        <v/>
      </c>
      <c r="Z9" s="127">
        <f>Z7*IF('03_Сеть'!Z6&gt;=ДатаПереходаСтавки,СтавкаРоялтиВсех,СтавкаРоялтиНовых)</f>
        <v/>
      </c>
      <c r="AA9" s="127">
        <f>AA7*IF('03_Сеть'!AA6&gt;=ДатаПереходаСтавки,СтавкаРоялтиВсех,СтавкаРоялтиНовых)</f>
        <v/>
      </c>
      <c r="AB9" s="127">
        <f>AB7*IF('03_Сеть'!AB6&gt;=ДатаПереходаСтавки,СтавкаРоялтиВсех,СтавкаРоялтиНовых)</f>
        <v/>
      </c>
      <c r="AC9" s="127">
        <f>AC7*IF('03_Сеть'!AC6&gt;=ДатаПереходаСтавки,СтавкаРоялтиВсех,СтавкаРоялтиНовых)</f>
        <v/>
      </c>
      <c r="AD9" s="127">
        <f>AD7*IF('03_Сеть'!AD6&gt;=ДатаПереходаСтавки,СтавкаРоялтиВсех,СтавкаРоялтиНовых)</f>
        <v/>
      </c>
      <c r="AE9" s="127">
        <f>AE7*IF('03_Сеть'!AE6&gt;=ДатаПереходаСтавки,СтавкаРоялтиВсех,СтавкаРоялтиНовых)</f>
        <v/>
      </c>
      <c r="AF9" s="127">
        <f>AF7*IF('03_Сеть'!AF6&gt;=ДатаПереходаСтавки,СтавкаРоялтиВсех,СтавкаРоялтиНовых)</f>
        <v/>
      </c>
      <c r="AG9" s="127">
        <f>AG7*IF('03_Сеть'!AG6&gt;=ДатаПереходаСтавки,СтавкаРоялтиВсех,СтавкаРоялтиНовых)</f>
        <v/>
      </c>
      <c r="AH9" s="127">
        <f>AH7*IF('03_Сеть'!AH6&gt;=ДатаПереходаСтавки,СтавкаРоялтиВсех,СтавкаРоялтиНовых)</f>
        <v/>
      </c>
      <c r="AI9" s="127">
        <f>AI7*IF('03_Сеть'!AI6&gt;=ДатаПереходаСтавки,СтавкаРоялтиВсех,СтавкаРоялтиНовых)</f>
        <v/>
      </c>
      <c r="AJ9" s="127">
        <f>AJ7*IF('03_Сеть'!AJ6&gt;=ДатаПереходаСтавки,СтавкаРоялтиВсех,СтавкаРоялтиНовых)</f>
        <v/>
      </c>
      <c r="AK9" s="127">
        <f>AK7*IF('03_Сеть'!AK6&gt;=ДатаПереходаСтавки,СтавкаРоялтиВсех,СтавкаРоялтиНовых)</f>
        <v/>
      </c>
      <c r="AL9" s="127">
        <f>AL7*IF('03_Сеть'!AL6&gt;=ДатаПереходаСтавки,СтавкаРоялтиВсех,СтавкаРоялтиНовых)</f>
        <v/>
      </c>
      <c r="AM9" s="127">
        <f>AM7*IF('03_Сеть'!AM6&gt;=ДатаПереходаСтавки,СтавкаРоялтиВсех,СтавкаРоялтиНовых)</f>
        <v/>
      </c>
      <c r="AN9" s="127">
        <f>AN7*IF('03_Сеть'!AN6&gt;=ДатаПереходаСтавки,СтавкаРоялтиВсех,СтавкаРоялтиНовых)</f>
        <v/>
      </c>
      <c r="AO9" s="127">
        <f>AO7*IF('03_Сеть'!AO6&gt;=ДатаПереходаСтавки,СтавкаРоялтиВсех,СтавкаРоялтиНовых)</f>
        <v/>
      </c>
      <c r="AP9" s="127">
        <f>AP7*IF('03_Сеть'!AP6&gt;=ДатаПереходаСтавки,СтавкаРоялтиВсех,СтавкаРоялтиНовых)</f>
        <v/>
      </c>
      <c r="AQ9" s="127">
        <f>AQ7*IF('03_Сеть'!AQ6&gt;=ДатаПереходаСтавки,СтавкаРоялтиВсех,СтавкаРоялтиНовых)</f>
        <v/>
      </c>
      <c r="AR9" s="127">
        <f>AR7*IF('03_Сеть'!AR6&gt;=ДатаПереходаСтавки,СтавкаРоялтиВсех,СтавкаРоялтиНовых)</f>
        <v/>
      </c>
      <c r="AS9" s="127">
        <f>AS7*IF('03_Сеть'!AS6&gt;=ДатаПереходаСтавки,СтавкаРоялтиВсех,СтавкаРоялтиНовых)</f>
        <v/>
      </c>
      <c r="AT9" s="127">
        <f>AT7*IF('03_Сеть'!AT6&gt;=ДатаПереходаСтавки,СтавкаРоялтиВсех,СтавкаРоялтиНовых)</f>
        <v/>
      </c>
      <c r="AU9" s="127">
        <f>AU7*IF('03_Сеть'!AU6&gt;=ДатаПереходаСтавки,СтавкаРоялтиВсех,СтавкаРоялтиНовых)</f>
        <v/>
      </c>
      <c r="AV9" s="127">
        <f>AV7*IF('03_Сеть'!AV6&gt;=ДатаПереходаСтавки,СтавкаРоялтиВсех,СтавкаРоялтиНовых)</f>
        <v/>
      </c>
      <c r="AW9" s="127">
        <f>AW7*IF('03_Сеть'!AW6&gt;=ДатаПереходаСтавки,СтавкаРоялтиВсех,СтавкаРоялтиНовых)</f>
        <v/>
      </c>
      <c r="AX9" s="127">
        <f>AX7*IF('03_Сеть'!AX6&gt;=ДатаПереходаСтавки,СтавкаРоялтиВсех,СтавкаРоялтиНовых)</f>
        <v/>
      </c>
      <c r="AY9" s="127">
        <f>AY7*IF('03_Сеть'!AY6&gt;=ДатаПереходаСтавки,СтавкаРоялтиВсех,СтавкаРоялтиНовых)</f>
        <v/>
      </c>
      <c r="AZ9" s="127">
        <f>AZ7*IF('03_Сеть'!AZ6&gt;=ДатаПереходаСтавки,СтавкаРоялтиВсех,СтавкаРоялтиНовых)</f>
        <v/>
      </c>
      <c r="BA9" s="127">
        <f>BA7*IF('03_Сеть'!BA6&gt;=ДатаПереходаСтавки,СтавкаРоялтиВсех,СтавкаРоялтиНовых)</f>
        <v/>
      </c>
      <c r="BB9" s="127">
        <f>BB7*IF('03_Сеть'!BB6&gt;=ДатаПереходаСтавки,СтавкаРоялтиВсех,СтавкаРоялтиНовых)</f>
        <v/>
      </c>
      <c r="BC9" s="127">
        <f>BC7*IF('03_Сеть'!BC6&gt;=ДатаПереходаСтавки,СтавкаРоялтиВсех,СтавкаРоялтиНовых)</f>
        <v/>
      </c>
      <c r="BD9" s="127">
        <f>BD7*IF('03_Сеть'!BD6&gt;=ДатаПереходаСтавки,СтавкаРоялтиВсех,СтавкаРоялтиНовых)</f>
        <v/>
      </c>
      <c r="BE9" s="127">
        <f>BE7*IF('03_Сеть'!BE6&gt;=ДатаПереходаСтавки,СтавкаРоялтиВсех,СтавкаРоялтиНовых)</f>
        <v/>
      </c>
      <c r="BF9" s="127">
        <f>BF7*IF('03_Сеть'!BF6&gt;=ДатаПереходаСтавки,СтавкаРоялтиВсех,СтавкаРоялтиНовых)</f>
        <v/>
      </c>
      <c r="BG9" s="127">
        <f>BG7*IF('03_Сеть'!BG6&gt;=ДатаПереходаСтавки,СтавкаРоялтиВсех,СтавкаРоялтиНовых)</f>
        <v/>
      </c>
      <c r="BH9" s="127">
        <f>BH7*IF('03_Сеть'!BH6&gt;=ДатаПереходаСтавки,СтавкаРоялтиВсех,СтавкаРоялтиНовых)</f>
        <v/>
      </c>
      <c r="BI9" s="127">
        <f>BI7*IF('03_Сеть'!BI6&gt;=ДатаПереходаСтавки,СтавкаРоялтиВсех,СтавкаРоялтиНовых)</f>
        <v/>
      </c>
      <c r="BJ9" s="127">
        <f>BJ7*IF('03_Сеть'!BJ6&gt;=ДатаПереходаСтавки,СтавкаРоялтиВсех,СтавкаРоялтиНовых)</f>
        <v/>
      </c>
      <c r="BK9" s="127">
        <f>BK7*IF('03_Сеть'!BK6&gt;=ДатаПереходаСтавки,СтавкаРоялтиВсех,СтавкаРоялтиНовых)</f>
        <v/>
      </c>
      <c r="BL9" s="127">
        <f>BL7*IF('03_Сеть'!BL6&gt;=ДатаПереходаСтавки,СтавкаРоялтиВсех,СтавкаРоялтиНовых)</f>
        <v/>
      </c>
      <c r="BM9" s="127">
        <f>BM7*IF('03_Сеть'!BM6&gt;=ДатаПереходаСтавки,СтавкаРоялтиВсех,СтавкаРоялтиНовых)</f>
        <v/>
      </c>
      <c r="BN9" s="127">
        <f>BN7*IF('03_Сеть'!BN6&gt;=ДатаПереходаСтавки,СтавкаРоялтиВсех,СтавкаРоялтиНовых)</f>
        <v/>
      </c>
      <c r="BO9" s="127">
        <f>BO7*IF('03_Сеть'!BO6&gt;=ДатаПереходаСтавки,СтавкаРоялтиВсех,СтавкаРоялтиНовых)</f>
        <v/>
      </c>
      <c r="BP9" s="127">
        <f>BP7*IF('03_Сеть'!BP6&gt;=ДатаПереходаСтавки,СтавкаРоялтиВсех,СтавкаРоялтиНовых)</f>
        <v/>
      </c>
      <c r="BQ9" s="127">
        <f>BQ7*IF('03_Сеть'!BQ6&gt;=ДатаПереходаСтавки,СтавкаРоялтиВсех,СтавкаРоялтиНовых)</f>
        <v/>
      </c>
      <c r="BR9" s="127">
        <f>BR7*IF('03_Сеть'!BR6&gt;=ДатаПереходаСтавки,СтавкаРоялтиВсех,СтавкаРоялтиНовых)</f>
        <v/>
      </c>
      <c r="BS9" s="127">
        <f>BS7*IF('03_Сеть'!BS6&gt;=ДатаПереходаСтавки,СтавкаРоялтиВсех,СтавкаРоялтиНовых)</f>
        <v/>
      </c>
    </row>
    <row r="11">
      <c r="B11" s="102" t="inlineStr">
        <is>
          <t>Паушальные взносы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04" t="inlineStr">
        <is>
          <t>Продажи месяца по тарифу из справочника</t>
        </is>
      </c>
      <c r="E12" s="128">
        <f>SUM(L12:W12)</f>
        <v/>
      </c>
      <c r="F12" s="128">
        <f>SUM(X12:AI12)</f>
        <v/>
      </c>
      <c r="G12" s="128">
        <f>SUM(AJ12:AU12)</f>
        <v/>
      </c>
      <c r="H12" s="128">
        <f>SUM(AV12:BG12)</f>
        <v/>
      </c>
      <c r="I12" s="128">
        <f>SUM(BH12:BS12)</f>
        <v/>
      </c>
      <c r="J12" s="129">
        <f>SUM(L12:BS12)</f>
        <v/>
      </c>
      <c r="L12" s="130">
        <f>'03_Сеть'!L12*'07_Тарифы'!B$6</f>
        <v/>
      </c>
      <c r="M12" s="130">
        <f>'03_Сеть'!M12*'07_Тарифы'!C$6</f>
        <v/>
      </c>
      <c r="N12" s="130">
        <f>'03_Сеть'!N12*'07_Тарифы'!D$6</f>
        <v/>
      </c>
      <c r="O12" s="130">
        <f>'03_Сеть'!O12*'07_Тарифы'!E$6</f>
        <v/>
      </c>
      <c r="P12" s="130">
        <f>'03_Сеть'!P12*'07_Тарифы'!F$6</f>
        <v/>
      </c>
      <c r="Q12" s="130">
        <f>'03_Сеть'!Q12*'07_Тарифы'!G$6</f>
        <v/>
      </c>
      <c r="R12" s="130">
        <f>'03_Сеть'!R12*'07_Тарифы'!H$6</f>
        <v/>
      </c>
      <c r="S12" s="130">
        <f>'03_Сеть'!S12*'07_Тарифы'!I$6</f>
        <v/>
      </c>
      <c r="T12" s="130">
        <f>'03_Сеть'!T12*'07_Тарифы'!J$6</f>
        <v/>
      </c>
      <c r="U12" s="130">
        <f>'03_Сеть'!U12*'07_Тарифы'!K$6</f>
        <v/>
      </c>
      <c r="V12" s="130">
        <f>'03_Сеть'!V12*'07_Тарифы'!L$6</f>
        <v/>
      </c>
      <c r="W12" s="130">
        <f>'03_Сеть'!W12*'07_Тарифы'!M$6</f>
        <v/>
      </c>
      <c r="X12" s="130">
        <f>'03_Сеть'!X12*'07_Тарифы'!N$6</f>
        <v/>
      </c>
      <c r="Y12" s="130">
        <f>'03_Сеть'!Y12*'07_Тарифы'!O$6</f>
        <v/>
      </c>
      <c r="Z12" s="130">
        <f>'03_Сеть'!Z12*'07_Тарифы'!P$6</f>
        <v/>
      </c>
      <c r="AA12" s="130">
        <f>'03_Сеть'!AA12*'07_Тарифы'!Q$6</f>
        <v/>
      </c>
      <c r="AB12" s="130">
        <f>'03_Сеть'!AB12*'07_Тарифы'!R$6</f>
        <v/>
      </c>
      <c r="AC12" s="130">
        <f>'03_Сеть'!AC12*'07_Тарифы'!S$6</f>
        <v/>
      </c>
      <c r="AD12" s="130">
        <f>'03_Сеть'!AD12*'07_Тарифы'!T$6</f>
        <v/>
      </c>
      <c r="AE12" s="130">
        <f>'03_Сеть'!AE12*'07_Тарифы'!U$6</f>
        <v/>
      </c>
      <c r="AF12" s="130">
        <f>'03_Сеть'!AF12*'07_Тарифы'!V$6</f>
        <v/>
      </c>
      <c r="AG12" s="130">
        <f>'03_Сеть'!AG12*'07_Тарифы'!W$6</f>
        <v/>
      </c>
      <c r="AH12" s="130">
        <f>'03_Сеть'!AH12*'07_Тарифы'!X$6</f>
        <v/>
      </c>
      <c r="AI12" s="130">
        <f>'03_Сеть'!AI12*'07_Тарифы'!Y$6</f>
        <v/>
      </c>
      <c r="AJ12" s="130">
        <f>'03_Сеть'!AJ12*'07_Тарифы'!Z$6</f>
        <v/>
      </c>
      <c r="AK12" s="130">
        <f>'03_Сеть'!AK12*'07_Тарифы'!AA$6</f>
        <v/>
      </c>
      <c r="AL12" s="130">
        <f>'03_Сеть'!AL12*'07_Тарифы'!AB$6</f>
        <v/>
      </c>
      <c r="AM12" s="130">
        <f>'03_Сеть'!AM12*'07_Тарифы'!AC$6</f>
        <v/>
      </c>
      <c r="AN12" s="130">
        <f>'03_Сеть'!AN12*'07_Тарифы'!AD$6</f>
        <v/>
      </c>
      <c r="AO12" s="130">
        <f>'03_Сеть'!AO12*'07_Тарифы'!AE$6</f>
        <v/>
      </c>
      <c r="AP12" s="130">
        <f>'03_Сеть'!AP12*'07_Тарифы'!AF$6</f>
        <v/>
      </c>
      <c r="AQ12" s="130">
        <f>'03_Сеть'!AQ12*'07_Тарифы'!AG$6</f>
        <v/>
      </c>
      <c r="AR12" s="130">
        <f>'03_Сеть'!AR12*'07_Тарифы'!AH$6</f>
        <v/>
      </c>
      <c r="AS12" s="130">
        <f>'03_Сеть'!AS12*'07_Тарифы'!AI$6</f>
        <v/>
      </c>
      <c r="AT12" s="130">
        <f>'03_Сеть'!AT12*'07_Тарифы'!AJ$6</f>
        <v/>
      </c>
      <c r="AU12" s="130">
        <f>'03_Сеть'!AU12*'07_Тарифы'!AK$6</f>
        <v/>
      </c>
      <c r="AV12" s="130">
        <f>'03_Сеть'!AV12*'07_Тарифы'!AL$6</f>
        <v/>
      </c>
      <c r="AW12" s="130">
        <f>'03_Сеть'!AW12*'07_Тарифы'!AM$6</f>
        <v/>
      </c>
      <c r="AX12" s="130">
        <f>'03_Сеть'!AX12*'07_Тарифы'!AN$6</f>
        <v/>
      </c>
      <c r="AY12" s="130">
        <f>'03_Сеть'!AY12*'07_Тарифы'!AO$6</f>
        <v/>
      </c>
      <c r="AZ12" s="130">
        <f>'03_Сеть'!AZ12*'07_Тарифы'!AP$6</f>
        <v/>
      </c>
      <c r="BA12" s="130">
        <f>'03_Сеть'!BA12*'07_Тарифы'!AQ$6</f>
        <v/>
      </c>
      <c r="BB12" s="130">
        <f>'03_Сеть'!BB12*'07_Тарифы'!AR$6</f>
        <v/>
      </c>
      <c r="BC12" s="130">
        <f>'03_Сеть'!BC12*'07_Тарифы'!AS$6</f>
        <v/>
      </c>
      <c r="BD12" s="130">
        <f>'03_Сеть'!BD12*'07_Тарифы'!AT$6</f>
        <v/>
      </c>
      <c r="BE12" s="130">
        <f>'03_Сеть'!BE12*'07_Тарифы'!AU$6</f>
        <v/>
      </c>
      <c r="BF12" s="130">
        <f>'03_Сеть'!BF12*'07_Тарифы'!AV$6</f>
        <v/>
      </c>
      <c r="BG12" s="130">
        <f>'03_Сеть'!BG12*'07_Тарифы'!AW$6</f>
        <v/>
      </c>
      <c r="BH12" s="130">
        <f>'03_Сеть'!BH12*'07_Тарифы'!AX$6</f>
        <v/>
      </c>
      <c r="BI12" s="130">
        <f>'03_Сеть'!BI12*'07_Тарифы'!AY$6</f>
        <v/>
      </c>
      <c r="BJ12" s="130">
        <f>'03_Сеть'!BJ12*'07_Тарифы'!AZ$6</f>
        <v/>
      </c>
      <c r="BK12" s="130">
        <f>'03_Сеть'!BK12*'07_Тарифы'!BA$6</f>
        <v/>
      </c>
      <c r="BL12" s="130">
        <f>'03_Сеть'!BL12*'07_Тарифы'!BB$6</f>
        <v/>
      </c>
      <c r="BM12" s="130">
        <f>'03_Сеть'!BM12*'07_Тарифы'!BC$6</f>
        <v/>
      </c>
      <c r="BN12" s="130">
        <f>'03_Сеть'!BN12*'07_Тарифы'!BD$6</f>
        <v/>
      </c>
      <c r="BO12" s="130">
        <f>'03_Сеть'!BO12*'07_Тарифы'!BE$6</f>
        <v/>
      </c>
      <c r="BP12" s="130">
        <f>'03_Сеть'!BP12*'07_Тарифы'!BF$6</f>
        <v/>
      </c>
      <c r="BQ12" s="130">
        <f>'03_Сеть'!BQ12*'07_Тарифы'!BG$6</f>
        <v/>
      </c>
      <c r="BR12" s="130">
        <f>'03_Сеть'!BR12*'07_Тарифы'!BH$6</f>
        <v/>
      </c>
      <c r="BS12" s="130">
        <f>'03_Сеть'!BS12*'07_Тарифы'!BI$6</f>
        <v/>
      </c>
    </row>
    <row r="13">
      <c r="B13" s="117" t="inlineStr">
        <is>
          <t>Паушальные взносы, без НДС</t>
        </is>
      </c>
      <c r="C13" s="117" t="inlineStr">
        <is>
          <t>₽</t>
        </is>
      </c>
      <c r="D13" s="118" t="inlineStr"/>
      <c r="E13" s="131">
        <f>SUM(L13:W13)</f>
        <v/>
      </c>
      <c r="F13" s="131">
        <f>SUM(X13:AI13)</f>
        <v/>
      </c>
      <c r="G13" s="131">
        <f>SUM(AJ13:AU13)</f>
        <v/>
      </c>
      <c r="H13" s="131">
        <f>SUM(AV13:BG13)</f>
        <v/>
      </c>
      <c r="I13" s="131">
        <f>SUM(BH13:BS13)</f>
        <v/>
      </c>
      <c r="J13" s="132">
        <f>SUM(L13:BS13)</f>
        <v/>
      </c>
      <c r="L13" s="133">
        <f>L12/(1+НДС)</f>
        <v/>
      </c>
      <c r="M13" s="133">
        <f>M12/(1+НДС)</f>
        <v/>
      </c>
      <c r="N13" s="133">
        <f>N12/(1+НДС)</f>
        <v/>
      </c>
      <c r="O13" s="133">
        <f>O12/(1+НДС)</f>
        <v/>
      </c>
      <c r="P13" s="133">
        <f>P12/(1+НДС)</f>
        <v/>
      </c>
      <c r="Q13" s="133">
        <f>Q12/(1+НДС)</f>
        <v/>
      </c>
      <c r="R13" s="133">
        <f>R12/(1+НДС)</f>
        <v/>
      </c>
      <c r="S13" s="133">
        <f>S12/(1+НДС)</f>
        <v/>
      </c>
      <c r="T13" s="133">
        <f>T12/(1+НДС)</f>
        <v/>
      </c>
      <c r="U13" s="133">
        <f>U12/(1+НДС)</f>
        <v/>
      </c>
      <c r="V13" s="133">
        <f>V12/(1+НДС)</f>
        <v/>
      </c>
      <c r="W13" s="133">
        <f>W12/(1+НДС)</f>
        <v/>
      </c>
      <c r="X13" s="133">
        <f>X12/(1+НДС)</f>
        <v/>
      </c>
      <c r="Y13" s="133">
        <f>Y12/(1+НДС)</f>
        <v/>
      </c>
      <c r="Z13" s="133">
        <f>Z12/(1+НДС)</f>
        <v/>
      </c>
      <c r="AA13" s="133">
        <f>AA12/(1+НДС)</f>
        <v/>
      </c>
      <c r="AB13" s="133">
        <f>AB12/(1+НДС)</f>
        <v/>
      </c>
      <c r="AC13" s="133">
        <f>AC12/(1+НДС)</f>
        <v/>
      </c>
      <c r="AD13" s="133">
        <f>AD12/(1+НДС)</f>
        <v/>
      </c>
      <c r="AE13" s="133">
        <f>AE12/(1+НДС)</f>
        <v/>
      </c>
      <c r="AF13" s="133">
        <f>AF12/(1+НДС)</f>
        <v/>
      </c>
      <c r="AG13" s="133">
        <f>AG12/(1+НДС)</f>
        <v/>
      </c>
      <c r="AH13" s="133">
        <f>AH12/(1+НДС)</f>
        <v/>
      </c>
      <c r="AI13" s="133">
        <f>AI12/(1+НДС)</f>
        <v/>
      </c>
      <c r="AJ13" s="133">
        <f>AJ12/(1+НДС)</f>
        <v/>
      </c>
      <c r="AK13" s="133">
        <f>AK12/(1+НДС)</f>
        <v/>
      </c>
      <c r="AL13" s="133">
        <f>AL12/(1+НДС)</f>
        <v/>
      </c>
      <c r="AM13" s="133">
        <f>AM12/(1+НДС)</f>
        <v/>
      </c>
      <c r="AN13" s="133">
        <f>AN12/(1+НДС)</f>
        <v/>
      </c>
      <c r="AO13" s="133">
        <f>AO12/(1+НДС)</f>
        <v/>
      </c>
      <c r="AP13" s="133">
        <f>AP12/(1+НДС)</f>
        <v/>
      </c>
      <c r="AQ13" s="133">
        <f>AQ12/(1+НДС)</f>
        <v/>
      </c>
      <c r="AR13" s="133">
        <f>AR12/(1+НДС)</f>
        <v/>
      </c>
      <c r="AS13" s="133">
        <f>AS12/(1+НДС)</f>
        <v/>
      </c>
      <c r="AT13" s="133">
        <f>AT12/(1+НДС)</f>
        <v/>
      </c>
      <c r="AU13" s="133">
        <f>AU12/(1+НДС)</f>
        <v/>
      </c>
      <c r="AV13" s="133">
        <f>AV12/(1+НДС)</f>
        <v/>
      </c>
      <c r="AW13" s="133">
        <f>AW12/(1+НДС)</f>
        <v/>
      </c>
      <c r="AX13" s="133">
        <f>AX12/(1+НДС)</f>
        <v/>
      </c>
      <c r="AY13" s="133">
        <f>AY12/(1+НДС)</f>
        <v/>
      </c>
      <c r="AZ13" s="133">
        <f>AZ12/(1+НДС)</f>
        <v/>
      </c>
      <c r="BA13" s="133">
        <f>BA12/(1+НДС)</f>
        <v/>
      </c>
      <c r="BB13" s="133">
        <f>BB12/(1+НДС)</f>
        <v/>
      </c>
      <c r="BC13" s="133">
        <f>BC12/(1+НДС)</f>
        <v/>
      </c>
      <c r="BD13" s="133">
        <f>BD12/(1+НДС)</f>
        <v/>
      </c>
      <c r="BE13" s="133">
        <f>BE12/(1+НДС)</f>
        <v/>
      </c>
      <c r="BF13" s="133">
        <f>BF12/(1+НДС)</f>
        <v/>
      </c>
      <c r="BG13" s="133">
        <f>BG12/(1+НДС)</f>
        <v/>
      </c>
      <c r="BH13" s="133">
        <f>BH12/(1+НДС)</f>
        <v/>
      </c>
      <c r="BI13" s="133">
        <f>BI12/(1+НДС)</f>
        <v/>
      </c>
      <c r="BJ13" s="133">
        <f>BJ12/(1+НДС)</f>
        <v/>
      </c>
      <c r="BK13" s="133">
        <f>BK12/(1+НДС)</f>
        <v/>
      </c>
      <c r="BL13" s="133">
        <f>BL12/(1+НДС)</f>
        <v/>
      </c>
      <c r="BM13" s="133">
        <f>BM12/(1+НДС)</f>
        <v/>
      </c>
      <c r="BN13" s="133">
        <f>BN12/(1+НДС)</f>
        <v/>
      </c>
      <c r="BO13" s="133">
        <f>BO12/(1+НДС)</f>
        <v/>
      </c>
      <c r="BP13" s="133">
        <f>BP12/(1+НДС)</f>
        <v/>
      </c>
      <c r="BQ13" s="133">
        <f>BQ12/(1+НДС)</f>
        <v/>
      </c>
      <c r="BR13" s="133">
        <f>BR12/(1+НДС)</f>
        <v/>
      </c>
      <c r="BS13" s="133">
        <f>BS12/(1+НДС)</f>
        <v/>
      </c>
    </row>
    <row r="15">
      <c r="B15" s="102" t="inlineStr">
        <is>
          <t>Роялти действующей сети</t>
        </is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3" t="n"/>
      <c r="AI15" s="103" t="n"/>
      <c r="AJ15" s="103" t="n"/>
      <c r="AK15" s="103" t="n"/>
      <c r="AL15" s="103" t="n"/>
      <c r="AM15" s="103" t="n"/>
      <c r="AN15" s="103" t="n"/>
      <c r="AO15" s="103" t="n"/>
      <c r="AP15" s="103" t="n"/>
      <c r="AQ15" s="103" t="n"/>
      <c r="AR15" s="103" t="n"/>
      <c r="AS15" s="103" t="n"/>
      <c r="AT15" s="103" t="n"/>
      <c r="AU15" s="103" t="n"/>
      <c r="AV15" s="103" t="n"/>
      <c r="AW15" s="103" t="n"/>
      <c r="AX15" s="103" t="n"/>
      <c r="AY15" s="103" t="n"/>
      <c r="AZ15" s="103" t="n"/>
      <c r="BA15" s="103" t="n"/>
      <c r="BB15" s="103" t="n"/>
      <c r="BC15" s="103" t="n"/>
      <c r="BD15" s="103" t="n"/>
      <c r="BE15" s="103" t="n"/>
      <c r="BF15" s="103" t="n"/>
      <c r="BG15" s="103" t="n"/>
      <c r="BH15" s="103" t="n"/>
      <c r="BI15" s="103" t="n"/>
      <c r="BJ15" s="103" t="n"/>
      <c r="BK15" s="103" t="n"/>
      <c r="BL15" s="103" t="n"/>
      <c r="BM15" s="103" t="n"/>
      <c r="BN15" s="103" t="n"/>
      <c r="BO15" s="103" t="n"/>
      <c r="BP15" s="103" t="n"/>
      <c r="BQ15" s="103" t="n"/>
      <c r="BR15" s="103" t="n"/>
      <c r="BS15" s="103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04" t="inlineStr">
        <is>
          <t>Процент с абонементов, но не меньше минимального платежа за школу</t>
        </is>
      </c>
      <c r="E16" s="128">
        <f>SUM(L16:W16)</f>
        <v/>
      </c>
      <c r="F16" s="128">
        <f>SUM(X16:AI16)</f>
        <v/>
      </c>
      <c r="G16" s="128">
        <f>SUM(AJ16:AU16)</f>
        <v/>
      </c>
      <c r="H16" s="128">
        <f>SUM(AV16:BG16)</f>
        <v/>
      </c>
      <c r="I16" s="128">
        <f>SUM(BH16:BS16)</f>
        <v/>
      </c>
      <c r="J16" s="129">
        <f>SUM(L16:BS16)</f>
        <v/>
      </c>
      <c r="L16" s="130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130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130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130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130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130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130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130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130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130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130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130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130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130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130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130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130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130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130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130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130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130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130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130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130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130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130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130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130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130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130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130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130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130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130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130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130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130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130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130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130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130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130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130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130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130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130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130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130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130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130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130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130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130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130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130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130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130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130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130">
        <f>MAX('03_Сеть'!BS19*'07_Тарифы'!BI$8*IF('03_Сеть'!BS6&gt;=ДатаПереходаСтавки,СтавкаРоялтиВсех,СтавкаРоялтиСтарых),'03_Сеть'!BS17*МинРоялтиШкола)</f>
        <v/>
      </c>
    </row>
    <row r="18">
      <c r="B18" s="102" t="inlineStr">
        <is>
          <t>Школы по возрасту: договоры до перехода на новую ставку</t>
        </is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04" t="inlineStr">
        <is>
          <t>Школа считается «старой», если франшизу купили до граничной даты</t>
        </is>
      </c>
      <c r="E19" s="114">
        <f>SUM(L19:W19)</f>
        <v/>
      </c>
      <c r="F19" s="114">
        <f>SUM(X19:AI19)</f>
        <v/>
      </c>
      <c r="G19" s="114">
        <f>SUM(AJ19:AU19)</f>
        <v/>
      </c>
      <c r="H19" s="114">
        <f>SUM(AV19:BG19)</f>
        <v/>
      </c>
      <c r="I19" s="114">
        <f>SUM(BH19:BS19)</f>
        <v/>
      </c>
      <c r="J19" s="115">
        <f>SUM(L19:BS19)</f>
        <v/>
      </c>
      <c r="L19" s="116">
        <f>IF(1-ЛагОткрытия&lt;1,0,IF(INDEX('03_Сеть'!$L6:$BS6,1,1-ЛагОткрытия)&lt;=ДатаLegacy,'03_Сеть'!L13,0))</f>
        <v/>
      </c>
      <c r="M19" s="116">
        <f>IF(2-ЛагОткрытия&lt;1,0,IF(INDEX('03_Сеть'!$L6:$BS6,1,2-ЛагОткрытия)&lt;=ДатаLegacy,'03_Сеть'!M13,0))</f>
        <v/>
      </c>
      <c r="N19" s="116">
        <f>IF(3-ЛагОткрытия&lt;1,0,IF(INDEX('03_Сеть'!$L6:$BS6,1,3-ЛагОткрытия)&lt;=ДатаLegacy,'03_Сеть'!N13,0))</f>
        <v/>
      </c>
      <c r="O19" s="116">
        <f>IF(4-ЛагОткрытия&lt;1,0,IF(INDEX('03_Сеть'!$L6:$BS6,1,4-ЛагОткрытия)&lt;=ДатаLegacy,'03_Сеть'!O13,0))</f>
        <v/>
      </c>
      <c r="P19" s="116">
        <f>IF(5-ЛагОткрытия&lt;1,0,IF(INDEX('03_Сеть'!$L6:$BS6,1,5-ЛагОткрытия)&lt;=ДатаLegacy,'03_Сеть'!P13,0))</f>
        <v/>
      </c>
      <c r="Q19" s="116">
        <f>IF(6-ЛагОткрытия&lt;1,0,IF(INDEX('03_Сеть'!$L6:$BS6,1,6-ЛагОткрытия)&lt;=ДатаLegacy,'03_Сеть'!Q13,0))</f>
        <v/>
      </c>
      <c r="R19" s="116">
        <f>IF(7-ЛагОткрытия&lt;1,0,IF(INDEX('03_Сеть'!$L6:$BS6,1,7-ЛагОткрытия)&lt;=ДатаLegacy,'03_Сеть'!R13,0))</f>
        <v/>
      </c>
      <c r="S19" s="116">
        <f>IF(8-ЛагОткрытия&lt;1,0,IF(INDEX('03_Сеть'!$L6:$BS6,1,8-ЛагОткрытия)&lt;=ДатаLegacy,'03_Сеть'!S13,0))</f>
        <v/>
      </c>
      <c r="T19" s="116">
        <f>IF(9-ЛагОткрытия&lt;1,0,IF(INDEX('03_Сеть'!$L6:$BS6,1,9-ЛагОткрытия)&lt;=ДатаLegacy,'03_Сеть'!T13,0))</f>
        <v/>
      </c>
      <c r="U19" s="116">
        <f>IF(10-ЛагОткрытия&lt;1,0,IF(INDEX('03_Сеть'!$L6:$BS6,1,10-ЛагОткрытия)&lt;=ДатаLegacy,'03_Сеть'!U13,0))</f>
        <v/>
      </c>
      <c r="V19" s="116">
        <f>IF(11-ЛагОткрытия&lt;1,0,IF(INDEX('03_Сеть'!$L6:$BS6,1,11-ЛагОткрытия)&lt;=ДатаLegacy,'03_Сеть'!V13,0))</f>
        <v/>
      </c>
      <c r="W19" s="116">
        <f>IF(12-ЛагОткрытия&lt;1,0,IF(INDEX('03_Сеть'!$L6:$BS6,1,12-ЛагОткрытия)&lt;=ДатаLegacy,'03_Сеть'!W13,0))</f>
        <v/>
      </c>
      <c r="X19" s="116">
        <f>IF(13-ЛагОткрытия&lt;1,0,IF(INDEX('03_Сеть'!$L6:$BS6,1,13-ЛагОткрытия)&lt;=ДатаLegacy,'03_Сеть'!X13,0))</f>
        <v/>
      </c>
      <c r="Y19" s="116">
        <f>IF(14-ЛагОткрытия&lt;1,0,IF(INDEX('03_Сеть'!$L6:$BS6,1,14-ЛагОткрытия)&lt;=ДатаLegacy,'03_Сеть'!Y13,0))</f>
        <v/>
      </c>
      <c r="Z19" s="116">
        <f>IF(15-ЛагОткрытия&lt;1,0,IF(INDEX('03_Сеть'!$L6:$BS6,1,15-ЛагОткрытия)&lt;=ДатаLegacy,'03_Сеть'!Z13,0))</f>
        <v/>
      </c>
      <c r="AA19" s="116">
        <f>IF(16-ЛагОткрытия&lt;1,0,IF(INDEX('03_Сеть'!$L6:$BS6,1,16-ЛагОткрытия)&lt;=ДатаLegacy,'03_Сеть'!AA13,0))</f>
        <v/>
      </c>
      <c r="AB19" s="116">
        <f>IF(17-ЛагОткрытия&lt;1,0,IF(INDEX('03_Сеть'!$L6:$BS6,1,17-ЛагОткрытия)&lt;=ДатаLegacy,'03_Сеть'!AB13,0))</f>
        <v/>
      </c>
      <c r="AC19" s="116">
        <f>IF(18-ЛагОткрытия&lt;1,0,IF(INDEX('03_Сеть'!$L6:$BS6,1,18-ЛагОткрытия)&lt;=ДатаLegacy,'03_Сеть'!AC13,0))</f>
        <v/>
      </c>
      <c r="AD19" s="116">
        <f>IF(19-ЛагОткрытия&lt;1,0,IF(INDEX('03_Сеть'!$L6:$BS6,1,19-ЛагОткрытия)&lt;=ДатаLegacy,'03_Сеть'!AD13,0))</f>
        <v/>
      </c>
      <c r="AE19" s="116">
        <f>IF(20-ЛагОткрытия&lt;1,0,IF(INDEX('03_Сеть'!$L6:$BS6,1,20-ЛагОткрытия)&lt;=ДатаLegacy,'03_Сеть'!AE13,0))</f>
        <v/>
      </c>
      <c r="AF19" s="116">
        <f>IF(21-ЛагОткрытия&lt;1,0,IF(INDEX('03_Сеть'!$L6:$BS6,1,21-ЛагОткрытия)&lt;=ДатаLegacy,'03_Сеть'!AF13,0))</f>
        <v/>
      </c>
      <c r="AG19" s="116">
        <f>IF(22-ЛагОткрытия&lt;1,0,IF(INDEX('03_Сеть'!$L6:$BS6,1,22-ЛагОткрытия)&lt;=ДатаLegacy,'03_Сеть'!AG13,0))</f>
        <v/>
      </c>
      <c r="AH19" s="116">
        <f>IF(23-ЛагОткрытия&lt;1,0,IF(INDEX('03_Сеть'!$L6:$BS6,1,23-ЛагОткрытия)&lt;=ДатаLegacy,'03_Сеть'!AH13,0))</f>
        <v/>
      </c>
      <c r="AI19" s="116">
        <f>IF(24-ЛагОткрытия&lt;1,0,IF(INDEX('03_Сеть'!$L6:$BS6,1,24-ЛагОткрытия)&lt;=ДатаLegacy,'03_Сеть'!AI13,0))</f>
        <v/>
      </c>
      <c r="AJ19" s="116">
        <f>IF(25-ЛагОткрытия&lt;1,0,IF(INDEX('03_Сеть'!$L6:$BS6,1,25-ЛагОткрытия)&lt;=ДатаLegacy,'03_Сеть'!AJ13,0))</f>
        <v/>
      </c>
      <c r="AK19" s="116">
        <f>IF(26-ЛагОткрытия&lt;1,0,IF(INDEX('03_Сеть'!$L6:$BS6,1,26-ЛагОткрытия)&lt;=ДатаLegacy,'03_Сеть'!AK13,0))</f>
        <v/>
      </c>
      <c r="AL19" s="116">
        <f>IF(27-ЛагОткрытия&lt;1,0,IF(INDEX('03_Сеть'!$L6:$BS6,1,27-ЛагОткрытия)&lt;=ДатаLegacy,'03_Сеть'!AL13,0))</f>
        <v/>
      </c>
      <c r="AM19" s="116">
        <f>IF(28-ЛагОткрытия&lt;1,0,IF(INDEX('03_Сеть'!$L6:$BS6,1,28-ЛагОткрытия)&lt;=ДатаLegacy,'03_Сеть'!AM13,0))</f>
        <v/>
      </c>
      <c r="AN19" s="116">
        <f>IF(29-ЛагОткрытия&lt;1,0,IF(INDEX('03_Сеть'!$L6:$BS6,1,29-ЛагОткрытия)&lt;=ДатаLegacy,'03_Сеть'!AN13,0))</f>
        <v/>
      </c>
      <c r="AO19" s="116">
        <f>IF(30-ЛагОткрытия&lt;1,0,IF(INDEX('03_Сеть'!$L6:$BS6,1,30-ЛагОткрытия)&lt;=ДатаLegacy,'03_Сеть'!AO13,0))</f>
        <v/>
      </c>
      <c r="AP19" s="116">
        <f>IF(31-ЛагОткрытия&lt;1,0,IF(INDEX('03_Сеть'!$L6:$BS6,1,31-ЛагОткрытия)&lt;=ДатаLegacy,'03_Сеть'!AP13,0))</f>
        <v/>
      </c>
      <c r="AQ19" s="116">
        <f>IF(32-ЛагОткрытия&lt;1,0,IF(INDEX('03_Сеть'!$L6:$BS6,1,32-ЛагОткрытия)&lt;=ДатаLegacy,'03_Сеть'!AQ13,0))</f>
        <v/>
      </c>
      <c r="AR19" s="116">
        <f>IF(33-ЛагОткрытия&lt;1,0,IF(INDEX('03_Сеть'!$L6:$BS6,1,33-ЛагОткрытия)&lt;=ДатаLegacy,'03_Сеть'!AR13,0))</f>
        <v/>
      </c>
      <c r="AS19" s="116">
        <f>IF(34-ЛагОткрытия&lt;1,0,IF(INDEX('03_Сеть'!$L6:$BS6,1,34-ЛагОткрытия)&lt;=ДатаLegacy,'03_Сеть'!AS13,0))</f>
        <v/>
      </c>
      <c r="AT19" s="116">
        <f>IF(35-ЛагОткрытия&lt;1,0,IF(INDEX('03_Сеть'!$L6:$BS6,1,35-ЛагОткрытия)&lt;=ДатаLegacy,'03_Сеть'!AT13,0))</f>
        <v/>
      </c>
      <c r="AU19" s="116">
        <f>IF(36-ЛагОткрытия&lt;1,0,IF(INDEX('03_Сеть'!$L6:$BS6,1,36-ЛагОткрытия)&lt;=ДатаLegacy,'03_Сеть'!AU13,0))</f>
        <v/>
      </c>
      <c r="AV19" s="116">
        <f>IF(37-ЛагОткрытия&lt;1,0,IF(INDEX('03_Сеть'!$L6:$BS6,1,37-ЛагОткрытия)&lt;=ДатаLegacy,'03_Сеть'!AV13,0))</f>
        <v/>
      </c>
      <c r="AW19" s="116">
        <f>IF(38-ЛагОткрытия&lt;1,0,IF(INDEX('03_Сеть'!$L6:$BS6,1,38-ЛагОткрытия)&lt;=ДатаLegacy,'03_Сеть'!AW13,0))</f>
        <v/>
      </c>
      <c r="AX19" s="116">
        <f>IF(39-ЛагОткрытия&lt;1,0,IF(INDEX('03_Сеть'!$L6:$BS6,1,39-ЛагОткрытия)&lt;=ДатаLegacy,'03_Сеть'!AX13,0))</f>
        <v/>
      </c>
      <c r="AY19" s="116">
        <f>IF(40-ЛагОткрытия&lt;1,0,IF(INDEX('03_Сеть'!$L6:$BS6,1,40-ЛагОткрытия)&lt;=ДатаLegacy,'03_Сеть'!AY13,0))</f>
        <v/>
      </c>
      <c r="AZ19" s="116">
        <f>IF(41-ЛагОткрытия&lt;1,0,IF(INDEX('03_Сеть'!$L6:$BS6,1,41-ЛагОткрытия)&lt;=ДатаLegacy,'03_Сеть'!AZ13,0))</f>
        <v/>
      </c>
      <c r="BA19" s="116">
        <f>IF(42-ЛагОткрытия&lt;1,0,IF(INDEX('03_Сеть'!$L6:$BS6,1,42-ЛагОткрытия)&lt;=ДатаLegacy,'03_Сеть'!BA13,0))</f>
        <v/>
      </c>
      <c r="BB19" s="116">
        <f>IF(43-ЛагОткрытия&lt;1,0,IF(INDEX('03_Сеть'!$L6:$BS6,1,43-ЛагОткрытия)&lt;=ДатаLegacy,'03_Сеть'!BB13,0))</f>
        <v/>
      </c>
      <c r="BC19" s="116">
        <f>IF(44-ЛагОткрытия&lt;1,0,IF(INDEX('03_Сеть'!$L6:$BS6,1,44-ЛагОткрытия)&lt;=ДатаLegacy,'03_Сеть'!BC13,0))</f>
        <v/>
      </c>
      <c r="BD19" s="116">
        <f>IF(45-ЛагОткрытия&lt;1,0,IF(INDEX('03_Сеть'!$L6:$BS6,1,45-ЛагОткрытия)&lt;=ДатаLegacy,'03_Сеть'!BD13,0))</f>
        <v/>
      </c>
      <c r="BE19" s="116">
        <f>IF(46-ЛагОткрытия&lt;1,0,IF(INDEX('03_Сеть'!$L6:$BS6,1,46-ЛагОткрытия)&lt;=ДатаLegacy,'03_Сеть'!BE13,0))</f>
        <v/>
      </c>
      <c r="BF19" s="116">
        <f>IF(47-ЛагОткрытия&lt;1,0,IF(INDEX('03_Сеть'!$L6:$BS6,1,47-ЛагОткрытия)&lt;=ДатаLegacy,'03_Сеть'!BF13,0))</f>
        <v/>
      </c>
      <c r="BG19" s="116">
        <f>IF(48-ЛагОткрытия&lt;1,0,IF(INDEX('03_Сеть'!$L6:$BS6,1,48-ЛагОткрытия)&lt;=ДатаLegacy,'03_Сеть'!BG13,0))</f>
        <v/>
      </c>
      <c r="BH19" s="116">
        <f>IF(49-ЛагОткрытия&lt;1,0,IF(INDEX('03_Сеть'!$L6:$BS6,1,49-ЛагОткрытия)&lt;=ДатаLegacy,'03_Сеть'!BH13,0))</f>
        <v/>
      </c>
      <c r="BI19" s="116">
        <f>IF(50-ЛагОткрытия&lt;1,0,IF(INDEX('03_Сеть'!$L6:$BS6,1,50-ЛагОткрытия)&lt;=ДатаLegacy,'03_Сеть'!BI13,0))</f>
        <v/>
      </c>
      <c r="BJ19" s="116">
        <f>IF(51-ЛагОткрытия&lt;1,0,IF(INDEX('03_Сеть'!$L6:$BS6,1,51-ЛагОткрытия)&lt;=ДатаLegacy,'03_Сеть'!BJ13,0))</f>
        <v/>
      </c>
      <c r="BK19" s="116">
        <f>IF(52-ЛагОткрытия&lt;1,0,IF(INDEX('03_Сеть'!$L6:$BS6,1,52-ЛагОткрытия)&lt;=ДатаLegacy,'03_Сеть'!BK13,0))</f>
        <v/>
      </c>
      <c r="BL19" s="116">
        <f>IF(53-ЛагОткрытия&lt;1,0,IF(INDEX('03_Сеть'!$L6:$BS6,1,53-ЛагОткрытия)&lt;=ДатаLegacy,'03_Сеть'!BL13,0))</f>
        <v/>
      </c>
      <c r="BM19" s="116">
        <f>IF(54-ЛагОткрытия&lt;1,0,IF(INDEX('03_Сеть'!$L6:$BS6,1,54-ЛагОткрытия)&lt;=ДатаLegacy,'03_Сеть'!BM13,0))</f>
        <v/>
      </c>
      <c r="BN19" s="116">
        <f>IF(55-ЛагОткрытия&lt;1,0,IF(INDEX('03_Сеть'!$L6:$BS6,1,55-ЛагОткрытия)&lt;=ДатаLegacy,'03_Сеть'!BN13,0))</f>
        <v/>
      </c>
      <c r="BO19" s="116">
        <f>IF(56-ЛагОткрытия&lt;1,0,IF(INDEX('03_Сеть'!$L6:$BS6,1,56-ЛагОткрытия)&lt;=ДатаLegacy,'03_Сеть'!BO13,0))</f>
        <v/>
      </c>
      <c r="BP19" s="116">
        <f>IF(57-ЛагОткрытия&lt;1,0,IF(INDEX('03_Сеть'!$L6:$BS6,1,57-ЛагОткрытия)&lt;=ДатаLegacy,'03_Сеть'!BP13,0))</f>
        <v/>
      </c>
      <c r="BQ19" s="116">
        <f>IF(58-ЛагОткрытия&lt;1,0,IF(INDEX('03_Сеть'!$L6:$BS6,1,58-ЛагОткрытия)&lt;=ДатаLegacy,'03_Сеть'!BQ13,0))</f>
        <v/>
      </c>
      <c r="BR19" s="116">
        <f>IF(59-ЛагОткрытия&lt;1,0,IF(INDEX('03_Сеть'!$L6:$BS6,1,59-ЛагОткрытия)&lt;=ДатаLegacy,'03_Сеть'!BR13,0))</f>
        <v/>
      </c>
      <c r="BS19" s="116">
        <f>IF(60-ЛагОткрытия&lt;1,0,IF(INDEX('03_Сеть'!$L6:$BS6,1,60-ЛагОткрытия)&lt;=ДатаLegacy,'03_Сеть'!BS13,0))</f>
        <v/>
      </c>
    </row>
    <row r="20">
      <c r="B20" t="inlineStr">
        <is>
          <t>1 мес.</t>
        </is>
      </c>
      <c r="C20" t="inlineStr">
        <is>
          <t>шт.</t>
        </is>
      </c>
      <c r="D20" s="104" t="inlineStr"/>
      <c r="E20" s="114">
        <f>W20</f>
        <v/>
      </c>
      <c r="F20" s="114">
        <f>AI20</f>
        <v/>
      </c>
      <c r="G20" s="114">
        <f>AU20</f>
        <v/>
      </c>
      <c r="H20" s="114">
        <f>BG20</f>
        <v/>
      </c>
      <c r="I20" s="114">
        <f>BS20</f>
        <v/>
      </c>
      <c r="J20" s="115">
        <f>BS20</f>
        <v/>
      </c>
      <c r="L20" s="116">
        <f>L19</f>
        <v/>
      </c>
      <c r="M20" s="116">
        <f>M19</f>
        <v/>
      </c>
      <c r="N20" s="116">
        <f>N19</f>
        <v/>
      </c>
      <c r="O20" s="116">
        <f>O19</f>
        <v/>
      </c>
      <c r="P20" s="116">
        <f>P19</f>
        <v/>
      </c>
      <c r="Q20" s="116">
        <f>Q19</f>
        <v/>
      </c>
      <c r="R20" s="116">
        <f>R19</f>
        <v/>
      </c>
      <c r="S20" s="116">
        <f>S19</f>
        <v/>
      </c>
      <c r="T20" s="116">
        <f>T19</f>
        <v/>
      </c>
      <c r="U20" s="116">
        <f>U19</f>
        <v/>
      </c>
      <c r="V20" s="116">
        <f>V19</f>
        <v/>
      </c>
      <c r="W20" s="116">
        <f>W19</f>
        <v/>
      </c>
      <c r="X20" s="116">
        <f>X19</f>
        <v/>
      </c>
      <c r="Y20" s="116">
        <f>Y19</f>
        <v/>
      </c>
      <c r="Z20" s="116">
        <f>Z19</f>
        <v/>
      </c>
      <c r="AA20" s="116">
        <f>AA19</f>
        <v/>
      </c>
      <c r="AB20" s="116">
        <f>AB19</f>
        <v/>
      </c>
      <c r="AC20" s="116">
        <f>AC19</f>
        <v/>
      </c>
      <c r="AD20" s="116">
        <f>AD19</f>
        <v/>
      </c>
      <c r="AE20" s="116">
        <f>AE19</f>
        <v/>
      </c>
      <c r="AF20" s="116">
        <f>AF19</f>
        <v/>
      </c>
      <c r="AG20" s="116">
        <f>AG19</f>
        <v/>
      </c>
      <c r="AH20" s="116">
        <f>AH19</f>
        <v/>
      </c>
      <c r="AI20" s="116">
        <f>AI19</f>
        <v/>
      </c>
      <c r="AJ20" s="116">
        <f>AJ19</f>
        <v/>
      </c>
      <c r="AK20" s="116">
        <f>AK19</f>
        <v/>
      </c>
      <c r="AL20" s="116">
        <f>AL19</f>
        <v/>
      </c>
      <c r="AM20" s="116">
        <f>AM19</f>
        <v/>
      </c>
      <c r="AN20" s="116">
        <f>AN19</f>
        <v/>
      </c>
      <c r="AO20" s="116">
        <f>AO19</f>
        <v/>
      </c>
      <c r="AP20" s="116">
        <f>AP19</f>
        <v/>
      </c>
      <c r="AQ20" s="116">
        <f>AQ19</f>
        <v/>
      </c>
      <c r="AR20" s="116">
        <f>AR19</f>
        <v/>
      </c>
      <c r="AS20" s="116">
        <f>AS19</f>
        <v/>
      </c>
      <c r="AT20" s="116">
        <f>AT19</f>
        <v/>
      </c>
      <c r="AU20" s="116">
        <f>AU19</f>
        <v/>
      </c>
      <c r="AV20" s="116">
        <f>AV19</f>
        <v/>
      </c>
      <c r="AW20" s="116">
        <f>AW19</f>
        <v/>
      </c>
      <c r="AX20" s="116">
        <f>AX19</f>
        <v/>
      </c>
      <c r="AY20" s="116">
        <f>AY19</f>
        <v/>
      </c>
      <c r="AZ20" s="116">
        <f>AZ19</f>
        <v/>
      </c>
      <c r="BA20" s="116">
        <f>BA19</f>
        <v/>
      </c>
      <c r="BB20" s="116">
        <f>BB19</f>
        <v/>
      </c>
      <c r="BC20" s="116">
        <f>BC19</f>
        <v/>
      </c>
      <c r="BD20" s="116">
        <f>BD19</f>
        <v/>
      </c>
      <c r="BE20" s="116">
        <f>BE19</f>
        <v/>
      </c>
      <c r="BF20" s="116">
        <f>BF19</f>
        <v/>
      </c>
      <c r="BG20" s="116">
        <f>BG19</f>
        <v/>
      </c>
      <c r="BH20" s="116">
        <f>BH19</f>
        <v/>
      </c>
      <c r="BI20" s="116">
        <f>BI19</f>
        <v/>
      </c>
      <c r="BJ20" s="116">
        <f>BJ19</f>
        <v/>
      </c>
      <c r="BK20" s="116">
        <f>BK19</f>
        <v/>
      </c>
      <c r="BL20" s="116">
        <f>BL19</f>
        <v/>
      </c>
      <c r="BM20" s="116">
        <f>BM19</f>
        <v/>
      </c>
      <c r="BN20" s="116">
        <f>BN19</f>
        <v/>
      </c>
      <c r="BO20" s="116">
        <f>BO19</f>
        <v/>
      </c>
      <c r="BP20" s="116">
        <f>BP19</f>
        <v/>
      </c>
      <c r="BQ20" s="116">
        <f>BQ19</f>
        <v/>
      </c>
      <c r="BR20" s="116">
        <f>BR19</f>
        <v/>
      </c>
      <c r="BS20" s="116">
        <f>BS19</f>
        <v/>
      </c>
    </row>
    <row r="21">
      <c r="B21" t="inlineStr">
        <is>
          <t>2 мес.</t>
        </is>
      </c>
      <c r="C21" t="inlineStr">
        <is>
          <t>шт.</t>
        </is>
      </c>
      <c r="D21" s="104" t="inlineStr"/>
      <c r="E21" s="114">
        <f>W21</f>
        <v/>
      </c>
      <c r="F21" s="114">
        <f>AI21</f>
        <v/>
      </c>
      <c r="G21" s="114">
        <f>AU21</f>
        <v/>
      </c>
      <c r="H21" s="114">
        <f>BG21</f>
        <v/>
      </c>
      <c r="I21" s="114">
        <f>BS21</f>
        <v/>
      </c>
      <c r="J21" s="115">
        <f>BS21</f>
        <v/>
      </c>
      <c r="L21" s="116">
        <f>0</f>
        <v/>
      </c>
      <c r="M21" s="116">
        <f>L20*КоэффСохранения</f>
        <v/>
      </c>
      <c r="N21" s="116">
        <f>M20*КоэффСохранения</f>
        <v/>
      </c>
      <c r="O21" s="116">
        <f>N20*КоэффСохранения</f>
        <v/>
      </c>
      <c r="P21" s="116">
        <f>O20*КоэффСохранения</f>
        <v/>
      </c>
      <c r="Q21" s="116">
        <f>P20*КоэффСохранения</f>
        <v/>
      </c>
      <c r="R21" s="116">
        <f>Q20*КоэффСохранения</f>
        <v/>
      </c>
      <c r="S21" s="116">
        <f>R20*КоэффСохранения</f>
        <v/>
      </c>
      <c r="T21" s="116">
        <f>S20*КоэффСохранения</f>
        <v/>
      </c>
      <c r="U21" s="116">
        <f>T20*КоэффСохранения</f>
        <v/>
      </c>
      <c r="V21" s="116">
        <f>U20*КоэффСохранения</f>
        <v/>
      </c>
      <c r="W21" s="116">
        <f>V20*КоэффСохранения</f>
        <v/>
      </c>
      <c r="X21" s="116">
        <f>W20*КоэффСохранения</f>
        <v/>
      </c>
      <c r="Y21" s="116">
        <f>X20*КоэффСохранения</f>
        <v/>
      </c>
      <c r="Z21" s="116">
        <f>Y20*КоэффСохранения</f>
        <v/>
      </c>
      <c r="AA21" s="116">
        <f>Z20*КоэффСохранения</f>
        <v/>
      </c>
      <c r="AB21" s="116">
        <f>AA20*КоэффСохранения</f>
        <v/>
      </c>
      <c r="AC21" s="116">
        <f>AB20*КоэффСохранения</f>
        <v/>
      </c>
      <c r="AD21" s="116">
        <f>AC20*КоэффСохранения</f>
        <v/>
      </c>
      <c r="AE21" s="116">
        <f>AD20*КоэффСохранения</f>
        <v/>
      </c>
      <c r="AF21" s="116">
        <f>AE20*КоэффСохранения</f>
        <v/>
      </c>
      <c r="AG21" s="116">
        <f>AF20*КоэффСохранения</f>
        <v/>
      </c>
      <c r="AH21" s="116">
        <f>AG20*КоэффСохранения</f>
        <v/>
      </c>
      <c r="AI21" s="116">
        <f>AH20*КоэффСохранения</f>
        <v/>
      </c>
      <c r="AJ21" s="116">
        <f>AI20*КоэффСохранения</f>
        <v/>
      </c>
      <c r="AK21" s="116">
        <f>AJ20*КоэффСохранения</f>
        <v/>
      </c>
      <c r="AL21" s="116">
        <f>AK20*КоэффСохранения</f>
        <v/>
      </c>
      <c r="AM21" s="116">
        <f>AL20*КоэффСохранения</f>
        <v/>
      </c>
      <c r="AN21" s="116">
        <f>AM20*КоэффСохранения</f>
        <v/>
      </c>
      <c r="AO21" s="116">
        <f>AN20*КоэффСохранения</f>
        <v/>
      </c>
      <c r="AP21" s="116">
        <f>AO20*КоэффСохранения</f>
        <v/>
      </c>
      <c r="AQ21" s="116">
        <f>AP20*КоэффСохранения</f>
        <v/>
      </c>
      <c r="AR21" s="116">
        <f>AQ20*КоэффСохранения</f>
        <v/>
      </c>
      <c r="AS21" s="116">
        <f>AR20*КоэффСохранения</f>
        <v/>
      </c>
      <c r="AT21" s="116">
        <f>AS20*КоэффСохранения</f>
        <v/>
      </c>
      <c r="AU21" s="116">
        <f>AT20*КоэффСохранения</f>
        <v/>
      </c>
      <c r="AV21" s="116">
        <f>AU20*КоэффСохранения</f>
        <v/>
      </c>
      <c r="AW21" s="116">
        <f>AV20*КоэффСохранения</f>
        <v/>
      </c>
      <c r="AX21" s="116">
        <f>AW20*КоэффСохранения</f>
        <v/>
      </c>
      <c r="AY21" s="116">
        <f>AX20*КоэффСохранения</f>
        <v/>
      </c>
      <c r="AZ21" s="116">
        <f>AY20*КоэффСохранения</f>
        <v/>
      </c>
      <c r="BA21" s="116">
        <f>AZ20*КоэффСохранения</f>
        <v/>
      </c>
      <c r="BB21" s="116">
        <f>BA20*КоэффСохранения</f>
        <v/>
      </c>
      <c r="BC21" s="116">
        <f>BB20*КоэффСохранения</f>
        <v/>
      </c>
      <c r="BD21" s="116">
        <f>BC20*КоэффСохранения</f>
        <v/>
      </c>
      <c r="BE21" s="116">
        <f>BD20*КоэффСохранения</f>
        <v/>
      </c>
      <c r="BF21" s="116">
        <f>BE20*КоэффСохранения</f>
        <v/>
      </c>
      <c r="BG21" s="116">
        <f>BF20*КоэффСохранения</f>
        <v/>
      </c>
      <c r="BH21" s="116">
        <f>BG20*КоэффСохранения</f>
        <v/>
      </c>
      <c r="BI21" s="116">
        <f>BH20*КоэффСохранения</f>
        <v/>
      </c>
      <c r="BJ21" s="116">
        <f>BI20*КоэффСохранения</f>
        <v/>
      </c>
      <c r="BK21" s="116">
        <f>BJ20*КоэффСохранения</f>
        <v/>
      </c>
      <c r="BL21" s="116">
        <f>BK20*КоэффСохранения</f>
        <v/>
      </c>
      <c r="BM21" s="116">
        <f>BL20*КоэффСохранения</f>
        <v/>
      </c>
      <c r="BN21" s="116">
        <f>BM20*КоэффСохранения</f>
        <v/>
      </c>
      <c r="BO21" s="116">
        <f>BN20*КоэффСохранения</f>
        <v/>
      </c>
      <c r="BP21" s="116">
        <f>BO20*КоэффСохранения</f>
        <v/>
      </c>
      <c r="BQ21" s="116">
        <f>BP20*КоэффСохранения</f>
        <v/>
      </c>
      <c r="BR21" s="116">
        <f>BQ20*КоэффСохранения</f>
        <v/>
      </c>
      <c r="BS21" s="116">
        <f>BR20*КоэффСохранения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04" t="inlineStr"/>
      <c r="E22" s="114">
        <f>W22</f>
        <v/>
      </c>
      <c r="F22" s="114">
        <f>AI22</f>
        <v/>
      </c>
      <c r="G22" s="114">
        <f>AU22</f>
        <v/>
      </c>
      <c r="H22" s="114">
        <f>BG22</f>
        <v/>
      </c>
      <c r="I22" s="114">
        <f>BS22</f>
        <v/>
      </c>
      <c r="J22" s="115">
        <f>BS22</f>
        <v/>
      </c>
      <c r="L22" s="116">
        <f>0</f>
        <v/>
      </c>
      <c r="M22" s="116">
        <f>L21*КоэффСохранения</f>
        <v/>
      </c>
      <c r="N22" s="116">
        <f>M21*КоэффСохранения</f>
        <v/>
      </c>
      <c r="O22" s="116">
        <f>N21*КоэффСохранения</f>
        <v/>
      </c>
      <c r="P22" s="116">
        <f>O21*КоэффСохранения</f>
        <v/>
      </c>
      <c r="Q22" s="116">
        <f>P21*КоэффСохранения</f>
        <v/>
      </c>
      <c r="R22" s="116">
        <f>Q21*КоэффСохранения</f>
        <v/>
      </c>
      <c r="S22" s="116">
        <f>R21*КоэффСохранения</f>
        <v/>
      </c>
      <c r="T22" s="116">
        <f>S21*КоэффСохранения</f>
        <v/>
      </c>
      <c r="U22" s="116">
        <f>T21*КоэффСохранения</f>
        <v/>
      </c>
      <c r="V22" s="116">
        <f>U21*КоэффСохранения</f>
        <v/>
      </c>
      <c r="W22" s="116">
        <f>V21*КоэффСохранения</f>
        <v/>
      </c>
      <c r="X22" s="116">
        <f>W21*КоэффСохранения</f>
        <v/>
      </c>
      <c r="Y22" s="116">
        <f>X21*КоэффСохранения</f>
        <v/>
      </c>
      <c r="Z22" s="116">
        <f>Y21*КоэффСохранения</f>
        <v/>
      </c>
      <c r="AA22" s="116">
        <f>Z21*КоэффСохранения</f>
        <v/>
      </c>
      <c r="AB22" s="116">
        <f>AA21*КоэффСохранения</f>
        <v/>
      </c>
      <c r="AC22" s="116">
        <f>AB21*КоэффСохранения</f>
        <v/>
      </c>
      <c r="AD22" s="116">
        <f>AC21*КоэффСохранения</f>
        <v/>
      </c>
      <c r="AE22" s="116">
        <f>AD21*КоэффСохранения</f>
        <v/>
      </c>
      <c r="AF22" s="116">
        <f>AE21*КоэффСохранения</f>
        <v/>
      </c>
      <c r="AG22" s="116">
        <f>AF21*КоэффСохранения</f>
        <v/>
      </c>
      <c r="AH22" s="116">
        <f>AG21*КоэффСохранения</f>
        <v/>
      </c>
      <c r="AI22" s="116">
        <f>AH21*КоэффСохранения</f>
        <v/>
      </c>
      <c r="AJ22" s="116">
        <f>AI21*КоэффСохранения</f>
        <v/>
      </c>
      <c r="AK22" s="116">
        <f>AJ21*КоэффСохранения</f>
        <v/>
      </c>
      <c r="AL22" s="116">
        <f>AK21*КоэффСохранения</f>
        <v/>
      </c>
      <c r="AM22" s="116">
        <f>AL21*КоэффСохранения</f>
        <v/>
      </c>
      <c r="AN22" s="116">
        <f>AM21*КоэффСохранения</f>
        <v/>
      </c>
      <c r="AO22" s="116">
        <f>AN21*КоэффСохранения</f>
        <v/>
      </c>
      <c r="AP22" s="116">
        <f>AO21*КоэффСохранения</f>
        <v/>
      </c>
      <c r="AQ22" s="116">
        <f>AP21*КоэффСохранения</f>
        <v/>
      </c>
      <c r="AR22" s="116">
        <f>AQ21*КоэффСохранения</f>
        <v/>
      </c>
      <c r="AS22" s="116">
        <f>AR21*КоэффСохранения</f>
        <v/>
      </c>
      <c r="AT22" s="116">
        <f>AS21*КоэффСохранения</f>
        <v/>
      </c>
      <c r="AU22" s="116">
        <f>AT21*КоэффСохранения</f>
        <v/>
      </c>
      <c r="AV22" s="116">
        <f>AU21*КоэффСохранения</f>
        <v/>
      </c>
      <c r="AW22" s="116">
        <f>AV21*КоэффСохранения</f>
        <v/>
      </c>
      <c r="AX22" s="116">
        <f>AW21*КоэффСохранения</f>
        <v/>
      </c>
      <c r="AY22" s="116">
        <f>AX21*КоэффСохранения</f>
        <v/>
      </c>
      <c r="AZ22" s="116">
        <f>AY21*КоэффСохранения</f>
        <v/>
      </c>
      <c r="BA22" s="116">
        <f>AZ21*КоэффСохранения</f>
        <v/>
      </c>
      <c r="BB22" s="116">
        <f>BA21*КоэффСохранения</f>
        <v/>
      </c>
      <c r="BC22" s="116">
        <f>BB21*КоэффСохранения</f>
        <v/>
      </c>
      <c r="BD22" s="116">
        <f>BC21*КоэффСохранения</f>
        <v/>
      </c>
      <c r="BE22" s="116">
        <f>BD21*КоэффСохранения</f>
        <v/>
      </c>
      <c r="BF22" s="116">
        <f>BE21*КоэффСохранения</f>
        <v/>
      </c>
      <c r="BG22" s="116">
        <f>BF21*КоэффСохранения</f>
        <v/>
      </c>
      <c r="BH22" s="116">
        <f>BG21*КоэффСохранения</f>
        <v/>
      </c>
      <c r="BI22" s="116">
        <f>BH21*КоэффСохранения</f>
        <v/>
      </c>
      <c r="BJ22" s="116">
        <f>BI21*КоэффСохранения</f>
        <v/>
      </c>
      <c r="BK22" s="116">
        <f>BJ21*КоэффСохранения</f>
        <v/>
      </c>
      <c r="BL22" s="116">
        <f>BK21*КоэффСохранения</f>
        <v/>
      </c>
      <c r="BM22" s="116">
        <f>BL21*КоэффСохранения</f>
        <v/>
      </c>
      <c r="BN22" s="116">
        <f>BM21*КоэффСохранения</f>
        <v/>
      </c>
      <c r="BO22" s="116">
        <f>BN21*КоэффСохранения</f>
        <v/>
      </c>
      <c r="BP22" s="116">
        <f>BO21*КоэффСохранения</f>
        <v/>
      </c>
      <c r="BQ22" s="116">
        <f>BP21*КоэффСохранения</f>
        <v/>
      </c>
      <c r="BR22" s="116">
        <f>BQ21*КоэффСохранения</f>
        <v/>
      </c>
      <c r="BS22" s="116">
        <f>BR21*КоэффСохранения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04" t="inlineStr"/>
      <c r="E23" s="114">
        <f>W23</f>
        <v/>
      </c>
      <c r="F23" s="114">
        <f>AI23</f>
        <v/>
      </c>
      <c r="G23" s="114">
        <f>AU23</f>
        <v/>
      </c>
      <c r="H23" s="114">
        <f>BG23</f>
        <v/>
      </c>
      <c r="I23" s="114">
        <f>BS23</f>
        <v/>
      </c>
      <c r="J23" s="115">
        <f>BS23</f>
        <v/>
      </c>
      <c r="L23" s="116">
        <f>0</f>
        <v/>
      </c>
      <c r="M23" s="116">
        <f>L22*КоэффСохранения</f>
        <v/>
      </c>
      <c r="N23" s="116">
        <f>M22*КоэффСохранения</f>
        <v/>
      </c>
      <c r="O23" s="116">
        <f>N22*КоэффСохранения</f>
        <v/>
      </c>
      <c r="P23" s="116">
        <f>O22*КоэффСохранения</f>
        <v/>
      </c>
      <c r="Q23" s="116">
        <f>P22*КоэффСохранения</f>
        <v/>
      </c>
      <c r="R23" s="116">
        <f>Q22*КоэффСохранения</f>
        <v/>
      </c>
      <c r="S23" s="116">
        <f>R22*КоэффСохранения</f>
        <v/>
      </c>
      <c r="T23" s="116">
        <f>S22*КоэффСохранения</f>
        <v/>
      </c>
      <c r="U23" s="116">
        <f>T22*КоэффСохранения</f>
        <v/>
      </c>
      <c r="V23" s="116">
        <f>U22*КоэффСохранения</f>
        <v/>
      </c>
      <c r="W23" s="116">
        <f>V22*КоэффСохранения</f>
        <v/>
      </c>
      <c r="X23" s="116">
        <f>W22*КоэффСохранения</f>
        <v/>
      </c>
      <c r="Y23" s="116">
        <f>X22*КоэффСохранения</f>
        <v/>
      </c>
      <c r="Z23" s="116">
        <f>Y22*КоэффСохранения</f>
        <v/>
      </c>
      <c r="AA23" s="116">
        <f>Z22*КоэффСохранения</f>
        <v/>
      </c>
      <c r="AB23" s="116">
        <f>AA22*КоэффСохранения</f>
        <v/>
      </c>
      <c r="AC23" s="116">
        <f>AB22*КоэффСохранения</f>
        <v/>
      </c>
      <c r="AD23" s="116">
        <f>AC22*КоэффСохранения</f>
        <v/>
      </c>
      <c r="AE23" s="116">
        <f>AD22*КоэффСохранения</f>
        <v/>
      </c>
      <c r="AF23" s="116">
        <f>AE22*КоэффСохранения</f>
        <v/>
      </c>
      <c r="AG23" s="116">
        <f>AF22*КоэффСохранения</f>
        <v/>
      </c>
      <c r="AH23" s="116">
        <f>AG22*КоэффСохранения</f>
        <v/>
      </c>
      <c r="AI23" s="116">
        <f>AH22*КоэффСохранения</f>
        <v/>
      </c>
      <c r="AJ23" s="116">
        <f>AI22*КоэффСохранения</f>
        <v/>
      </c>
      <c r="AK23" s="116">
        <f>AJ22*КоэффСохранения</f>
        <v/>
      </c>
      <c r="AL23" s="116">
        <f>AK22*КоэффСохранения</f>
        <v/>
      </c>
      <c r="AM23" s="116">
        <f>AL22*КоэффСохранения</f>
        <v/>
      </c>
      <c r="AN23" s="116">
        <f>AM22*КоэффСохранения</f>
        <v/>
      </c>
      <c r="AO23" s="116">
        <f>AN22*КоэффСохранения</f>
        <v/>
      </c>
      <c r="AP23" s="116">
        <f>AO22*КоэффСохранения</f>
        <v/>
      </c>
      <c r="AQ23" s="116">
        <f>AP22*КоэффСохранения</f>
        <v/>
      </c>
      <c r="AR23" s="116">
        <f>AQ22*КоэффСохранения</f>
        <v/>
      </c>
      <c r="AS23" s="116">
        <f>AR22*КоэффСохранения</f>
        <v/>
      </c>
      <c r="AT23" s="116">
        <f>AS22*КоэффСохранения</f>
        <v/>
      </c>
      <c r="AU23" s="116">
        <f>AT22*КоэффСохранения</f>
        <v/>
      </c>
      <c r="AV23" s="116">
        <f>AU22*КоэффСохранения</f>
        <v/>
      </c>
      <c r="AW23" s="116">
        <f>AV22*КоэффСохранения</f>
        <v/>
      </c>
      <c r="AX23" s="116">
        <f>AW22*КоэффСохранения</f>
        <v/>
      </c>
      <c r="AY23" s="116">
        <f>AX22*КоэффСохранения</f>
        <v/>
      </c>
      <c r="AZ23" s="116">
        <f>AY22*КоэффСохранения</f>
        <v/>
      </c>
      <c r="BA23" s="116">
        <f>AZ22*КоэффСохранения</f>
        <v/>
      </c>
      <c r="BB23" s="116">
        <f>BA22*КоэффСохранения</f>
        <v/>
      </c>
      <c r="BC23" s="116">
        <f>BB22*КоэффСохранения</f>
        <v/>
      </c>
      <c r="BD23" s="116">
        <f>BC22*КоэффСохранения</f>
        <v/>
      </c>
      <c r="BE23" s="116">
        <f>BD22*КоэффСохранения</f>
        <v/>
      </c>
      <c r="BF23" s="116">
        <f>BE22*КоэффСохранения</f>
        <v/>
      </c>
      <c r="BG23" s="116">
        <f>BF22*КоэффСохранения</f>
        <v/>
      </c>
      <c r="BH23" s="116">
        <f>BG22*КоэффСохранения</f>
        <v/>
      </c>
      <c r="BI23" s="116">
        <f>BH22*КоэффСохранения</f>
        <v/>
      </c>
      <c r="BJ23" s="116">
        <f>BI22*КоэффСохранения</f>
        <v/>
      </c>
      <c r="BK23" s="116">
        <f>BJ22*КоэффСохранения</f>
        <v/>
      </c>
      <c r="BL23" s="116">
        <f>BK22*КоэффСохранения</f>
        <v/>
      </c>
      <c r="BM23" s="116">
        <f>BL22*КоэффСохранения</f>
        <v/>
      </c>
      <c r="BN23" s="116">
        <f>BM22*КоэффСохранения</f>
        <v/>
      </c>
      <c r="BO23" s="116">
        <f>BN22*КоэффСохранения</f>
        <v/>
      </c>
      <c r="BP23" s="116">
        <f>BO22*КоэффСохранения</f>
        <v/>
      </c>
      <c r="BQ23" s="116">
        <f>BP22*КоэффСохранения</f>
        <v/>
      </c>
      <c r="BR23" s="116">
        <f>BQ22*КоэффСохранения</f>
        <v/>
      </c>
      <c r="BS23" s="116">
        <f>BR22*КоэффСохранения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04" t="inlineStr"/>
      <c r="E24" s="114">
        <f>W24</f>
        <v/>
      </c>
      <c r="F24" s="114">
        <f>AI24</f>
        <v/>
      </c>
      <c r="G24" s="114">
        <f>AU24</f>
        <v/>
      </c>
      <c r="H24" s="114">
        <f>BG24</f>
        <v/>
      </c>
      <c r="I24" s="114">
        <f>BS24</f>
        <v/>
      </c>
      <c r="J24" s="115">
        <f>BS24</f>
        <v/>
      </c>
      <c r="L24" s="116">
        <f>0</f>
        <v/>
      </c>
      <c r="M24" s="116">
        <f>L23*КоэффСохранения</f>
        <v/>
      </c>
      <c r="N24" s="116">
        <f>M23*КоэффСохранения</f>
        <v/>
      </c>
      <c r="O24" s="116">
        <f>N23*КоэффСохранения</f>
        <v/>
      </c>
      <c r="P24" s="116">
        <f>O23*КоэффСохранения</f>
        <v/>
      </c>
      <c r="Q24" s="116">
        <f>P23*КоэффСохранения</f>
        <v/>
      </c>
      <c r="R24" s="116">
        <f>Q23*КоэффСохранения</f>
        <v/>
      </c>
      <c r="S24" s="116">
        <f>R23*КоэффСохранения</f>
        <v/>
      </c>
      <c r="T24" s="116">
        <f>S23*КоэффСохранения</f>
        <v/>
      </c>
      <c r="U24" s="116">
        <f>T23*КоэффСохранения</f>
        <v/>
      </c>
      <c r="V24" s="116">
        <f>U23*КоэффСохранения</f>
        <v/>
      </c>
      <c r="W24" s="116">
        <f>V23*КоэффСохранения</f>
        <v/>
      </c>
      <c r="X24" s="116">
        <f>W23*КоэффСохранения</f>
        <v/>
      </c>
      <c r="Y24" s="116">
        <f>X23*КоэффСохранения</f>
        <v/>
      </c>
      <c r="Z24" s="116">
        <f>Y23*КоэффСохранения</f>
        <v/>
      </c>
      <c r="AA24" s="116">
        <f>Z23*КоэффСохранения</f>
        <v/>
      </c>
      <c r="AB24" s="116">
        <f>AA23*КоэффСохранения</f>
        <v/>
      </c>
      <c r="AC24" s="116">
        <f>AB23*КоэффСохранения</f>
        <v/>
      </c>
      <c r="AD24" s="116">
        <f>AC23*КоэффСохранения</f>
        <v/>
      </c>
      <c r="AE24" s="116">
        <f>AD23*КоэффСохранения</f>
        <v/>
      </c>
      <c r="AF24" s="116">
        <f>AE23*КоэффСохранения</f>
        <v/>
      </c>
      <c r="AG24" s="116">
        <f>AF23*КоэффСохранения</f>
        <v/>
      </c>
      <c r="AH24" s="116">
        <f>AG23*КоэффСохранения</f>
        <v/>
      </c>
      <c r="AI24" s="116">
        <f>AH23*КоэффСохранения</f>
        <v/>
      </c>
      <c r="AJ24" s="116">
        <f>AI23*КоэффСохранения</f>
        <v/>
      </c>
      <c r="AK24" s="116">
        <f>AJ23*КоэффСохранения</f>
        <v/>
      </c>
      <c r="AL24" s="116">
        <f>AK23*КоэффСохранения</f>
        <v/>
      </c>
      <c r="AM24" s="116">
        <f>AL23*КоэффСохранения</f>
        <v/>
      </c>
      <c r="AN24" s="116">
        <f>AM23*КоэффСохранения</f>
        <v/>
      </c>
      <c r="AO24" s="116">
        <f>AN23*КоэффСохранения</f>
        <v/>
      </c>
      <c r="AP24" s="116">
        <f>AO23*КоэффСохранения</f>
        <v/>
      </c>
      <c r="AQ24" s="116">
        <f>AP23*КоэффСохранения</f>
        <v/>
      </c>
      <c r="AR24" s="116">
        <f>AQ23*КоэффСохранения</f>
        <v/>
      </c>
      <c r="AS24" s="116">
        <f>AR23*КоэффСохранения</f>
        <v/>
      </c>
      <c r="AT24" s="116">
        <f>AS23*КоэффСохранения</f>
        <v/>
      </c>
      <c r="AU24" s="116">
        <f>AT23*КоэффСохранения</f>
        <v/>
      </c>
      <c r="AV24" s="116">
        <f>AU23*КоэффСохранения</f>
        <v/>
      </c>
      <c r="AW24" s="116">
        <f>AV23*КоэффСохранения</f>
        <v/>
      </c>
      <c r="AX24" s="116">
        <f>AW23*КоэффСохранения</f>
        <v/>
      </c>
      <c r="AY24" s="116">
        <f>AX23*КоэффСохранения</f>
        <v/>
      </c>
      <c r="AZ24" s="116">
        <f>AY23*КоэффСохранения</f>
        <v/>
      </c>
      <c r="BA24" s="116">
        <f>AZ23*КоэффСохранения</f>
        <v/>
      </c>
      <c r="BB24" s="116">
        <f>BA23*КоэффСохранения</f>
        <v/>
      </c>
      <c r="BC24" s="116">
        <f>BB23*КоэффСохранения</f>
        <v/>
      </c>
      <c r="BD24" s="116">
        <f>BC23*КоэффСохранения</f>
        <v/>
      </c>
      <c r="BE24" s="116">
        <f>BD23*КоэффСохранения</f>
        <v/>
      </c>
      <c r="BF24" s="116">
        <f>BE23*КоэффСохранения</f>
        <v/>
      </c>
      <c r="BG24" s="116">
        <f>BF23*КоэффСохранения</f>
        <v/>
      </c>
      <c r="BH24" s="116">
        <f>BG23*КоэффСохранения</f>
        <v/>
      </c>
      <c r="BI24" s="116">
        <f>BH23*КоэффСохранения</f>
        <v/>
      </c>
      <c r="BJ24" s="116">
        <f>BI23*КоэффСохранения</f>
        <v/>
      </c>
      <c r="BK24" s="116">
        <f>BJ23*КоэффСохранения</f>
        <v/>
      </c>
      <c r="BL24" s="116">
        <f>BK23*КоэффСохранения</f>
        <v/>
      </c>
      <c r="BM24" s="116">
        <f>BL23*КоэффСохранения</f>
        <v/>
      </c>
      <c r="BN24" s="116">
        <f>BM23*КоэффСохранения</f>
        <v/>
      </c>
      <c r="BO24" s="116">
        <f>BN23*КоэффСохранения</f>
        <v/>
      </c>
      <c r="BP24" s="116">
        <f>BO23*КоэффСохранения</f>
        <v/>
      </c>
      <c r="BQ24" s="116">
        <f>BP23*КоэффСохранения</f>
        <v/>
      </c>
      <c r="BR24" s="116">
        <f>BQ23*КоэффСохранения</f>
        <v/>
      </c>
      <c r="BS24" s="116">
        <f>BR23*КоэффСохранения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04" t="inlineStr"/>
      <c r="E25" s="114">
        <f>W25</f>
        <v/>
      </c>
      <c r="F25" s="114">
        <f>AI25</f>
        <v/>
      </c>
      <c r="G25" s="114">
        <f>AU25</f>
        <v/>
      </c>
      <c r="H25" s="114">
        <f>BG25</f>
        <v/>
      </c>
      <c r="I25" s="114">
        <f>BS25</f>
        <v/>
      </c>
      <c r="J25" s="115">
        <f>BS25</f>
        <v/>
      </c>
      <c r="L25" s="116">
        <f>0</f>
        <v/>
      </c>
      <c r="M25" s="116">
        <f>L24*КоэффСохранения</f>
        <v/>
      </c>
      <c r="N25" s="116">
        <f>M24*КоэффСохранения</f>
        <v/>
      </c>
      <c r="O25" s="116">
        <f>N24*КоэффСохранения</f>
        <v/>
      </c>
      <c r="P25" s="116">
        <f>O24*КоэффСохранения</f>
        <v/>
      </c>
      <c r="Q25" s="116">
        <f>P24*КоэффСохранения</f>
        <v/>
      </c>
      <c r="R25" s="116">
        <f>Q24*КоэффСохранения</f>
        <v/>
      </c>
      <c r="S25" s="116">
        <f>R24*КоэффСохранения</f>
        <v/>
      </c>
      <c r="T25" s="116">
        <f>S24*КоэффСохранения</f>
        <v/>
      </c>
      <c r="U25" s="116">
        <f>T24*КоэффСохранения</f>
        <v/>
      </c>
      <c r="V25" s="116">
        <f>U24*КоэффСохранения</f>
        <v/>
      </c>
      <c r="W25" s="116">
        <f>V24*КоэффСохранения</f>
        <v/>
      </c>
      <c r="X25" s="116">
        <f>W24*КоэффСохранения</f>
        <v/>
      </c>
      <c r="Y25" s="116">
        <f>X24*КоэффСохранения</f>
        <v/>
      </c>
      <c r="Z25" s="116">
        <f>Y24*КоэффСохранения</f>
        <v/>
      </c>
      <c r="AA25" s="116">
        <f>Z24*КоэффСохранения</f>
        <v/>
      </c>
      <c r="AB25" s="116">
        <f>AA24*КоэффСохранения</f>
        <v/>
      </c>
      <c r="AC25" s="116">
        <f>AB24*КоэффСохранения</f>
        <v/>
      </c>
      <c r="AD25" s="116">
        <f>AC24*КоэффСохранения</f>
        <v/>
      </c>
      <c r="AE25" s="116">
        <f>AD24*КоэффСохранения</f>
        <v/>
      </c>
      <c r="AF25" s="116">
        <f>AE24*КоэффСохранения</f>
        <v/>
      </c>
      <c r="AG25" s="116">
        <f>AF24*КоэффСохранения</f>
        <v/>
      </c>
      <c r="AH25" s="116">
        <f>AG24*КоэффСохранения</f>
        <v/>
      </c>
      <c r="AI25" s="116">
        <f>AH24*КоэффСохранения</f>
        <v/>
      </c>
      <c r="AJ25" s="116">
        <f>AI24*КоэффСохранения</f>
        <v/>
      </c>
      <c r="AK25" s="116">
        <f>AJ24*КоэффСохранения</f>
        <v/>
      </c>
      <c r="AL25" s="116">
        <f>AK24*КоэффСохранения</f>
        <v/>
      </c>
      <c r="AM25" s="116">
        <f>AL24*КоэффСохранения</f>
        <v/>
      </c>
      <c r="AN25" s="116">
        <f>AM24*КоэффСохранения</f>
        <v/>
      </c>
      <c r="AO25" s="116">
        <f>AN24*КоэффСохранения</f>
        <v/>
      </c>
      <c r="AP25" s="116">
        <f>AO24*КоэффСохранения</f>
        <v/>
      </c>
      <c r="AQ25" s="116">
        <f>AP24*КоэффСохранения</f>
        <v/>
      </c>
      <c r="AR25" s="116">
        <f>AQ24*КоэффСохранения</f>
        <v/>
      </c>
      <c r="AS25" s="116">
        <f>AR24*КоэффСохранения</f>
        <v/>
      </c>
      <c r="AT25" s="116">
        <f>AS24*КоэффСохранения</f>
        <v/>
      </c>
      <c r="AU25" s="116">
        <f>AT24*КоэффСохранения</f>
        <v/>
      </c>
      <c r="AV25" s="116">
        <f>AU24*КоэффСохранения</f>
        <v/>
      </c>
      <c r="AW25" s="116">
        <f>AV24*КоэффСохранения</f>
        <v/>
      </c>
      <c r="AX25" s="116">
        <f>AW24*КоэффСохранения</f>
        <v/>
      </c>
      <c r="AY25" s="116">
        <f>AX24*КоэффСохранения</f>
        <v/>
      </c>
      <c r="AZ25" s="116">
        <f>AY24*КоэффСохранения</f>
        <v/>
      </c>
      <c r="BA25" s="116">
        <f>AZ24*КоэффСохранения</f>
        <v/>
      </c>
      <c r="BB25" s="116">
        <f>BA24*КоэффСохранения</f>
        <v/>
      </c>
      <c r="BC25" s="116">
        <f>BB24*КоэффСохранения</f>
        <v/>
      </c>
      <c r="BD25" s="116">
        <f>BC24*КоэффСохранения</f>
        <v/>
      </c>
      <c r="BE25" s="116">
        <f>BD24*КоэффСохранения</f>
        <v/>
      </c>
      <c r="BF25" s="116">
        <f>BE24*КоэффСохранения</f>
        <v/>
      </c>
      <c r="BG25" s="116">
        <f>BF24*КоэффСохранения</f>
        <v/>
      </c>
      <c r="BH25" s="116">
        <f>BG24*КоэффСохранения</f>
        <v/>
      </c>
      <c r="BI25" s="116">
        <f>BH24*КоэффСохранения</f>
        <v/>
      </c>
      <c r="BJ25" s="116">
        <f>BI24*КоэффСохранения</f>
        <v/>
      </c>
      <c r="BK25" s="116">
        <f>BJ24*КоэффСохранения</f>
        <v/>
      </c>
      <c r="BL25" s="116">
        <f>BK24*КоэффСохранения</f>
        <v/>
      </c>
      <c r="BM25" s="116">
        <f>BL24*КоэффСохранения</f>
        <v/>
      </c>
      <c r="BN25" s="116">
        <f>BM24*КоэффСохранения</f>
        <v/>
      </c>
      <c r="BO25" s="116">
        <f>BN24*КоэффСохранения</f>
        <v/>
      </c>
      <c r="BP25" s="116">
        <f>BO24*КоэффСохранения</f>
        <v/>
      </c>
      <c r="BQ25" s="116">
        <f>BP24*КоэффСохранения</f>
        <v/>
      </c>
      <c r="BR25" s="116">
        <f>BQ24*КоэффСохранения</f>
        <v/>
      </c>
      <c r="BS25" s="116">
        <f>BR24*КоэффСохранения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04" t="inlineStr"/>
      <c r="E26" s="114">
        <f>W26</f>
        <v/>
      </c>
      <c r="F26" s="114">
        <f>AI26</f>
        <v/>
      </c>
      <c r="G26" s="114">
        <f>AU26</f>
        <v/>
      </c>
      <c r="H26" s="114">
        <f>BG26</f>
        <v/>
      </c>
      <c r="I26" s="114">
        <f>BS26</f>
        <v/>
      </c>
      <c r="J26" s="115">
        <f>BS26</f>
        <v/>
      </c>
      <c r="L26" s="116">
        <f>0</f>
        <v/>
      </c>
      <c r="M26" s="116">
        <f>L25*КоэффСохранения</f>
        <v/>
      </c>
      <c r="N26" s="116">
        <f>M25*КоэффСохранения</f>
        <v/>
      </c>
      <c r="O26" s="116">
        <f>N25*КоэффСохранения</f>
        <v/>
      </c>
      <c r="P26" s="116">
        <f>O25*КоэффСохранения</f>
        <v/>
      </c>
      <c r="Q26" s="116">
        <f>P25*КоэффСохранения</f>
        <v/>
      </c>
      <c r="R26" s="116">
        <f>Q25*КоэффСохранения</f>
        <v/>
      </c>
      <c r="S26" s="116">
        <f>R25*КоэффСохранения</f>
        <v/>
      </c>
      <c r="T26" s="116">
        <f>S25*КоэффСохранения</f>
        <v/>
      </c>
      <c r="U26" s="116">
        <f>T25*КоэффСохранения</f>
        <v/>
      </c>
      <c r="V26" s="116">
        <f>U25*КоэффСохранения</f>
        <v/>
      </c>
      <c r="W26" s="116">
        <f>V25*КоэффСохранения</f>
        <v/>
      </c>
      <c r="X26" s="116">
        <f>W25*КоэффСохранения</f>
        <v/>
      </c>
      <c r="Y26" s="116">
        <f>X25*КоэффСохранения</f>
        <v/>
      </c>
      <c r="Z26" s="116">
        <f>Y25*КоэффСохранения</f>
        <v/>
      </c>
      <c r="AA26" s="116">
        <f>Z25*КоэффСохранения</f>
        <v/>
      </c>
      <c r="AB26" s="116">
        <f>AA25*КоэффСохранения</f>
        <v/>
      </c>
      <c r="AC26" s="116">
        <f>AB25*КоэффСохранения</f>
        <v/>
      </c>
      <c r="AD26" s="116">
        <f>AC25*КоэффСохранения</f>
        <v/>
      </c>
      <c r="AE26" s="116">
        <f>AD25*КоэффСохранения</f>
        <v/>
      </c>
      <c r="AF26" s="116">
        <f>AE25*КоэффСохранения</f>
        <v/>
      </c>
      <c r="AG26" s="116">
        <f>AF25*КоэффСохранения</f>
        <v/>
      </c>
      <c r="AH26" s="116">
        <f>AG25*КоэффСохранения</f>
        <v/>
      </c>
      <c r="AI26" s="116">
        <f>AH25*КоэффСохранения</f>
        <v/>
      </c>
      <c r="AJ26" s="116">
        <f>AI25*КоэффСохранения</f>
        <v/>
      </c>
      <c r="AK26" s="116">
        <f>AJ25*КоэффСохранения</f>
        <v/>
      </c>
      <c r="AL26" s="116">
        <f>AK25*КоэффСохранения</f>
        <v/>
      </c>
      <c r="AM26" s="116">
        <f>AL25*КоэффСохранения</f>
        <v/>
      </c>
      <c r="AN26" s="116">
        <f>AM25*КоэффСохранения</f>
        <v/>
      </c>
      <c r="AO26" s="116">
        <f>AN25*КоэффСохранения</f>
        <v/>
      </c>
      <c r="AP26" s="116">
        <f>AO25*КоэффСохранения</f>
        <v/>
      </c>
      <c r="AQ26" s="116">
        <f>AP25*КоэффСохранения</f>
        <v/>
      </c>
      <c r="AR26" s="116">
        <f>AQ25*КоэффСохранения</f>
        <v/>
      </c>
      <c r="AS26" s="116">
        <f>AR25*КоэффСохранения</f>
        <v/>
      </c>
      <c r="AT26" s="116">
        <f>AS25*КоэффСохранения</f>
        <v/>
      </c>
      <c r="AU26" s="116">
        <f>AT25*КоэффСохранения</f>
        <v/>
      </c>
      <c r="AV26" s="116">
        <f>AU25*КоэффСохранения</f>
        <v/>
      </c>
      <c r="AW26" s="116">
        <f>AV25*КоэффСохранения</f>
        <v/>
      </c>
      <c r="AX26" s="116">
        <f>AW25*КоэффСохранения</f>
        <v/>
      </c>
      <c r="AY26" s="116">
        <f>AX25*КоэффСохранения</f>
        <v/>
      </c>
      <c r="AZ26" s="116">
        <f>AY25*КоэффСохранения</f>
        <v/>
      </c>
      <c r="BA26" s="116">
        <f>AZ25*КоэффСохранения</f>
        <v/>
      </c>
      <c r="BB26" s="116">
        <f>BA25*КоэффСохранения</f>
        <v/>
      </c>
      <c r="BC26" s="116">
        <f>BB25*КоэффСохранения</f>
        <v/>
      </c>
      <c r="BD26" s="116">
        <f>BC25*КоэффСохранения</f>
        <v/>
      </c>
      <c r="BE26" s="116">
        <f>BD25*КоэффСохранения</f>
        <v/>
      </c>
      <c r="BF26" s="116">
        <f>BE25*КоэффСохранения</f>
        <v/>
      </c>
      <c r="BG26" s="116">
        <f>BF25*КоэффСохранения</f>
        <v/>
      </c>
      <c r="BH26" s="116">
        <f>BG25*КоэффСохранения</f>
        <v/>
      </c>
      <c r="BI26" s="116">
        <f>BH25*КоэффСохранения</f>
        <v/>
      </c>
      <c r="BJ26" s="116">
        <f>BI25*КоэффСохранения</f>
        <v/>
      </c>
      <c r="BK26" s="116">
        <f>BJ25*КоэффСохранения</f>
        <v/>
      </c>
      <c r="BL26" s="116">
        <f>BK25*КоэффСохранения</f>
        <v/>
      </c>
      <c r="BM26" s="116">
        <f>BL25*КоэффСохранения</f>
        <v/>
      </c>
      <c r="BN26" s="116">
        <f>BM25*КоэффСохранения</f>
        <v/>
      </c>
      <c r="BO26" s="116">
        <f>BN25*КоэффСохранения</f>
        <v/>
      </c>
      <c r="BP26" s="116">
        <f>BO25*КоэффСохранения</f>
        <v/>
      </c>
      <c r="BQ26" s="116">
        <f>BP25*КоэффСохранения</f>
        <v/>
      </c>
      <c r="BR26" s="116">
        <f>BQ25*КоэффСохранения</f>
        <v/>
      </c>
      <c r="BS26" s="116">
        <f>BR25*КоэффСохранения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04" t="inlineStr"/>
      <c r="E27" s="114">
        <f>W27</f>
        <v/>
      </c>
      <c r="F27" s="114">
        <f>AI27</f>
        <v/>
      </c>
      <c r="G27" s="114">
        <f>AU27</f>
        <v/>
      </c>
      <c r="H27" s="114">
        <f>BG27</f>
        <v/>
      </c>
      <c r="I27" s="114">
        <f>BS27</f>
        <v/>
      </c>
      <c r="J27" s="115">
        <f>BS27</f>
        <v/>
      </c>
      <c r="L27" s="116">
        <f>0</f>
        <v/>
      </c>
      <c r="M27" s="116">
        <f>L26*КоэффСохранения</f>
        <v/>
      </c>
      <c r="N27" s="116">
        <f>M26*КоэффСохранения</f>
        <v/>
      </c>
      <c r="O27" s="116">
        <f>N26*КоэффСохранения</f>
        <v/>
      </c>
      <c r="P27" s="116">
        <f>O26*КоэффСохранения</f>
        <v/>
      </c>
      <c r="Q27" s="116">
        <f>P26*КоэффСохранения</f>
        <v/>
      </c>
      <c r="R27" s="116">
        <f>Q26*КоэффСохранения</f>
        <v/>
      </c>
      <c r="S27" s="116">
        <f>R26*КоэффСохранения</f>
        <v/>
      </c>
      <c r="T27" s="116">
        <f>S26*КоэффСохранения</f>
        <v/>
      </c>
      <c r="U27" s="116">
        <f>T26*КоэффСохранения</f>
        <v/>
      </c>
      <c r="V27" s="116">
        <f>U26*КоэффСохранения</f>
        <v/>
      </c>
      <c r="W27" s="116">
        <f>V26*КоэффСохранения</f>
        <v/>
      </c>
      <c r="X27" s="116">
        <f>W26*КоэффСохранения</f>
        <v/>
      </c>
      <c r="Y27" s="116">
        <f>X26*КоэффСохранения</f>
        <v/>
      </c>
      <c r="Z27" s="116">
        <f>Y26*КоэффСохранения</f>
        <v/>
      </c>
      <c r="AA27" s="116">
        <f>Z26*КоэффСохранения</f>
        <v/>
      </c>
      <c r="AB27" s="116">
        <f>AA26*КоэффСохранения</f>
        <v/>
      </c>
      <c r="AC27" s="116">
        <f>AB26*КоэффСохранения</f>
        <v/>
      </c>
      <c r="AD27" s="116">
        <f>AC26*КоэффСохранения</f>
        <v/>
      </c>
      <c r="AE27" s="116">
        <f>AD26*КоэффСохранения</f>
        <v/>
      </c>
      <c r="AF27" s="116">
        <f>AE26*КоэффСохранения</f>
        <v/>
      </c>
      <c r="AG27" s="116">
        <f>AF26*КоэффСохранения</f>
        <v/>
      </c>
      <c r="AH27" s="116">
        <f>AG26*КоэффСохранения</f>
        <v/>
      </c>
      <c r="AI27" s="116">
        <f>AH26*КоэффСохранения</f>
        <v/>
      </c>
      <c r="AJ27" s="116">
        <f>AI26*КоэффСохранения</f>
        <v/>
      </c>
      <c r="AK27" s="116">
        <f>AJ26*КоэффСохранения</f>
        <v/>
      </c>
      <c r="AL27" s="116">
        <f>AK26*КоэффСохранения</f>
        <v/>
      </c>
      <c r="AM27" s="116">
        <f>AL26*КоэффСохранения</f>
        <v/>
      </c>
      <c r="AN27" s="116">
        <f>AM26*КоэффСохранения</f>
        <v/>
      </c>
      <c r="AO27" s="116">
        <f>AN26*КоэффСохранения</f>
        <v/>
      </c>
      <c r="AP27" s="116">
        <f>AO26*КоэффСохранения</f>
        <v/>
      </c>
      <c r="AQ27" s="116">
        <f>AP26*КоэффСохранения</f>
        <v/>
      </c>
      <c r="AR27" s="116">
        <f>AQ26*КоэффСохранения</f>
        <v/>
      </c>
      <c r="AS27" s="116">
        <f>AR26*КоэффСохранения</f>
        <v/>
      </c>
      <c r="AT27" s="116">
        <f>AS26*КоэффСохранения</f>
        <v/>
      </c>
      <c r="AU27" s="116">
        <f>AT26*КоэффСохранения</f>
        <v/>
      </c>
      <c r="AV27" s="116">
        <f>AU26*КоэффСохранения</f>
        <v/>
      </c>
      <c r="AW27" s="116">
        <f>AV26*КоэффСохранения</f>
        <v/>
      </c>
      <c r="AX27" s="116">
        <f>AW26*КоэффСохранения</f>
        <v/>
      </c>
      <c r="AY27" s="116">
        <f>AX26*КоэффСохранения</f>
        <v/>
      </c>
      <c r="AZ27" s="116">
        <f>AY26*КоэффСохранения</f>
        <v/>
      </c>
      <c r="BA27" s="116">
        <f>AZ26*КоэффСохранения</f>
        <v/>
      </c>
      <c r="BB27" s="116">
        <f>BA26*КоэффСохранения</f>
        <v/>
      </c>
      <c r="BC27" s="116">
        <f>BB26*КоэффСохранения</f>
        <v/>
      </c>
      <c r="BD27" s="116">
        <f>BC26*КоэффСохранения</f>
        <v/>
      </c>
      <c r="BE27" s="116">
        <f>BD26*КоэффСохранения</f>
        <v/>
      </c>
      <c r="BF27" s="116">
        <f>BE26*КоэффСохранения</f>
        <v/>
      </c>
      <c r="BG27" s="116">
        <f>BF26*КоэффСохранения</f>
        <v/>
      </c>
      <c r="BH27" s="116">
        <f>BG26*КоэффСохранения</f>
        <v/>
      </c>
      <c r="BI27" s="116">
        <f>BH26*КоэффСохранения</f>
        <v/>
      </c>
      <c r="BJ27" s="116">
        <f>BI26*КоэффСохранения</f>
        <v/>
      </c>
      <c r="BK27" s="116">
        <f>BJ26*КоэффСохранения</f>
        <v/>
      </c>
      <c r="BL27" s="116">
        <f>BK26*КоэффСохранения</f>
        <v/>
      </c>
      <c r="BM27" s="116">
        <f>BL26*КоэффСохранения</f>
        <v/>
      </c>
      <c r="BN27" s="116">
        <f>BM26*КоэффСохранения</f>
        <v/>
      </c>
      <c r="BO27" s="116">
        <f>BN26*КоэффСохранения</f>
        <v/>
      </c>
      <c r="BP27" s="116">
        <f>BO26*КоэффСохранения</f>
        <v/>
      </c>
      <c r="BQ27" s="116">
        <f>BP26*КоэффСохранения</f>
        <v/>
      </c>
      <c r="BR27" s="116">
        <f>BQ26*КоэффСохранения</f>
        <v/>
      </c>
      <c r="BS27" s="116">
        <f>BR26*КоэффСохранения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04" t="inlineStr"/>
      <c r="E28" s="114">
        <f>W28</f>
        <v/>
      </c>
      <c r="F28" s="114">
        <f>AI28</f>
        <v/>
      </c>
      <c r="G28" s="114">
        <f>AU28</f>
        <v/>
      </c>
      <c r="H28" s="114">
        <f>BG28</f>
        <v/>
      </c>
      <c r="I28" s="114">
        <f>BS28</f>
        <v/>
      </c>
      <c r="J28" s="115">
        <f>BS28</f>
        <v/>
      </c>
      <c r="L28" s="116">
        <f>0</f>
        <v/>
      </c>
      <c r="M28" s="116">
        <f>L27*КоэффСохранения</f>
        <v/>
      </c>
      <c r="N28" s="116">
        <f>M27*КоэффСохранения</f>
        <v/>
      </c>
      <c r="O28" s="116">
        <f>N27*КоэффСохранения</f>
        <v/>
      </c>
      <c r="P28" s="116">
        <f>O27*КоэффСохранения</f>
        <v/>
      </c>
      <c r="Q28" s="116">
        <f>P27*КоэффСохранения</f>
        <v/>
      </c>
      <c r="R28" s="116">
        <f>Q27*КоэффСохранения</f>
        <v/>
      </c>
      <c r="S28" s="116">
        <f>R27*КоэффСохранения</f>
        <v/>
      </c>
      <c r="T28" s="116">
        <f>S27*КоэффСохранения</f>
        <v/>
      </c>
      <c r="U28" s="116">
        <f>T27*КоэффСохранения</f>
        <v/>
      </c>
      <c r="V28" s="116">
        <f>U27*КоэффСохранения</f>
        <v/>
      </c>
      <c r="W28" s="116">
        <f>V27*КоэффСохранения</f>
        <v/>
      </c>
      <c r="X28" s="116">
        <f>W27*КоэффСохранения</f>
        <v/>
      </c>
      <c r="Y28" s="116">
        <f>X27*КоэффСохранения</f>
        <v/>
      </c>
      <c r="Z28" s="116">
        <f>Y27*КоэффСохранения</f>
        <v/>
      </c>
      <c r="AA28" s="116">
        <f>Z27*КоэффСохранения</f>
        <v/>
      </c>
      <c r="AB28" s="116">
        <f>AA27*КоэффСохранения</f>
        <v/>
      </c>
      <c r="AC28" s="116">
        <f>AB27*КоэффСохранения</f>
        <v/>
      </c>
      <c r="AD28" s="116">
        <f>AC27*КоэффСохранения</f>
        <v/>
      </c>
      <c r="AE28" s="116">
        <f>AD27*КоэффСохранения</f>
        <v/>
      </c>
      <c r="AF28" s="116">
        <f>AE27*КоэффСохранения</f>
        <v/>
      </c>
      <c r="AG28" s="116">
        <f>AF27*КоэффСохранения</f>
        <v/>
      </c>
      <c r="AH28" s="116">
        <f>AG27*КоэффСохранения</f>
        <v/>
      </c>
      <c r="AI28" s="116">
        <f>AH27*КоэффСохранения</f>
        <v/>
      </c>
      <c r="AJ28" s="116">
        <f>AI27*КоэффСохранения</f>
        <v/>
      </c>
      <c r="AK28" s="116">
        <f>AJ27*КоэффСохранения</f>
        <v/>
      </c>
      <c r="AL28" s="116">
        <f>AK27*КоэффСохранения</f>
        <v/>
      </c>
      <c r="AM28" s="116">
        <f>AL27*КоэффСохранения</f>
        <v/>
      </c>
      <c r="AN28" s="116">
        <f>AM27*КоэффСохранения</f>
        <v/>
      </c>
      <c r="AO28" s="116">
        <f>AN27*КоэффСохранения</f>
        <v/>
      </c>
      <c r="AP28" s="116">
        <f>AO27*КоэффСохранения</f>
        <v/>
      </c>
      <c r="AQ28" s="116">
        <f>AP27*КоэффСохранения</f>
        <v/>
      </c>
      <c r="AR28" s="116">
        <f>AQ27*КоэффСохранения</f>
        <v/>
      </c>
      <c r="AS28" s="116">
        <f>AR27*КоэффСохранения</f>
        <v/>
      </c>
      <c r="AT28" s="116">
        <f>AS27*КоэффСохранения</f>
        <v/>
      </c>
      <c r="AU28" s="116">
        <f>AT27*КоэффСохранения</f>
        <v/>
      </c>
      <c r="AV28" s="116">
        <f>AU27*КоэффСохранения</f>
        <v/>
      </c>
      <c r="AW28" s="116">
        <f>AV27*КоэффСохранения</f>
        <v/>
      </c>
      <c r="AX28" s="116">
        <f>AW27*КоэффСохранения</f>
        <v/>
      </c>
      <c r="AY28" s="116">
        <f>AX27*КоэффСохранения</f>
        <v/>
      </c>
      <c r="AZ28" s="116">
        <f>AY27*КоэффСохранения</f>
        <v/>
      </c>
      <c r="BA28" s="116">
        <f>AZ27*КоэффСохранения</f>
        <v/>
      </c>
      <c r="BB28" s="116">
        <f>BA27*КоэффСохранения</f>
        <v/>
      </c>
      <c r="BC28" s="116">
        <f>BB27*КоэффСохранения</f>
        <v/>
      </c>
      <c r="BD28" s="116">
        <f>BC27*КоэффСохранения</f>
        <v/>
      </c>
      <c r="BE28" s="116">
        <f>BD27*КоэффСохранения</f>
        <v/>
      </c>
      <c r="BF28" s="116">
        <f>BE27*КоэффСохранения</f>
        <v/>
      </c>
      <c r="BG28" s="116">
        <f>BF27*КоэффСохранения</f>
        <v/>
      </c>
      <c r="BH28" s="116">
        <f>BG27*КоэффСохранения</f>
        <v/>
      </c>
      <c r="BI28" s="116">
        <f>BH27*КоэффСохранения</f>
        <v/>
      </c>
      <c r="BJ28" s="116">
        <f>BI27*КоэффСохранения</f>
        <v/>
      </c>
      <c r="BK28" s="116">
        <f>BJ27*КоэффСохранения</f>
        <v/>
      </c>
      <c r="BL28" s="116">
        <f>BK27*КоэффСохранения</f>
        <v/>
      </c>
      <c r="BM28" s="116">
        <f>BL27*КоэффСохранения</f>
        <v/>
      </c>
      <c r="BN28" s="116">
        <f>BM27*КоэффСохранения</f>
        <v/>
      </c>
      <c r="BO28" s="116">
        <f>BN27*КоэффСохранения</f>
        <v/>
      </c>
      <c r="BP28" s="116">
        <f>BO27*КоэффСохранения</f>
        <v/>
      </c>
      <c r="BQ28" s="116">
        <f>BP27*КоэффСохранения</f>
        <v/>
      </c>
      <c r="BR28" s="116">
        <f>BQ27*КоэффСохранения</f>
        <v/>
      </c>
      <c r="BS28" s="116">
        <f>BR27*КоэффСохранения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04" t="inlineStr"/>
      <c r="E29" s="114">
        <f>W29</f>
        <v/>
      </c>
      <c r="F29" s="114">
        <f>AI29</f>
        <v/>
      </c>
      <c r="G29" s="114">
        <f>AU29</f>
        <v/>
      </c>
      <c r="H29" s="114">
        <f>BG29</f>
        <v/>
      </c>
      <c r="I29" s="114">
        <f>BS29</f>
        <v/>
      </c>
      <c r="J29" s="115">
        <f>BS29</f>
        <v/>
      </c>
      <c r="L29" s="116">
        <f>0</f>
        <v/>
      </c>
      <c r="M29" s="116">
        <f>L28*КоэффСохранения</f>
        <v/>
      </c>
      <c r="N29" s="116">
        <f>M28*КоэффСохранения</f>
        <v/>
      </c>
      <c r="O29" s="116">
        <f>N28*КоэффСохранения</f>
        <v/>
      </c>
      <c r="P29" s="116">
        <f>O28*КоэффСохранения</f>
        <v/>
      </c>
      <c r="Q29" s="116">
        <f>P28*КоэффСохранения</f>
        <v/>
      </c>
      <c r="R29" s="116">
        <f>Q28*КоэффСохранения</f>
        <v/>
      </c>
      <c r="S29" s="116">
        <f>R28*КоэффСохранения</f>
        <v/>
      </c>
      <c r="T29" s="116">
        <f>S28*КоэффСохранения</f>
        <v/>
      </c>
      <c r="U29" s="116">
        <f>T28*КоэффСохранения</f>
        <v/>
      </c>
      <c r="V29" s="116">
        <f>U28*КоэффСохранения</f>
        <v/>
      </c>
      <c r="W29" s="116">
        <f>V28*КоэффСохранения</f>
        <v/>
      </c>
      <c r="X29" s="116">
        <f>W28*КоэффСохранения</f>
        <v/>
      </c>
      <c r="Y29" s="116">
        <f>X28*КоэффСохранения</f>
        <v/>
      </c>
      <c r="Z29" s="116">
        <f>Y28*КоэффСохранения</f>
        <v/>
      </c>
      <c r="AA29" s="116">
        <f>Z28*КоэффСохранения</f>
        <v/>
      </c>
      <c r="AB29" s="116">
        <f>AA28*КоэффСохранения</f>
        <v/>
      </c>
      <c r="AC29" s="116">
        <f>AB28*КоэффСохранения</f>
        <v/>
      </c>
      <c r="AD29" s="116">
        <f>AC28*КоэффСохранения</f>
        <v/>
      </c>
      <c r="AE29" s="116">
        <f>AD28*КоэффСохранения</f>
        <v/>
      </c>
      <c r="AF29" s="116">
        <f>AE28*КоэффСохранения</f>
        <v/>
      </c>
      <c r="AG29" s="116">
        <f>AF28*КоэффСохранения</f>
        <v/>
      </c>
      <c r="AH29" s="116">
        <f>AG28*КоэффСохранения</f>
        <v/>
      </c>
      <c r="AI29" s="116">
        <f>AH28*КоэффСохранения</f>
        <v/>
      </c>
      <c r="AJ29" s="116">
        <f>AI28*КоэффСохранения</f>
        <v/>
      </c>
      <c r="AK29" s="116">
        <f>AJ28*КоэффСохранения</f>
        <v/>
      </c>
      <c r="AL29" s="116">
        <f>AK28*КоэффСохранения</f>
        <v/>
      </c>
      <c r="AM29" s="116">
        <f>AL28*КоэффСохранения</f>
        <v/>
      </c>
      <c r="AN29" s="116">
        <f>AM28*КоэффСохранения</f>
        <v/>
      </c>
      <c r="AO29" s="116">
        <f>AN28*КоэффСохранения</f>
        <v/>
      </c>
      <c r="AP29" s="116">
        <f>AO28*КоэффСохранения</f>
        <v/>
      </c>
      <c r="AQ29" s="116">
        <f>AP28*КоэффСохранения</f>
        <v/>
      </c>
      <c r="AR29" s="116">
        <f>AQ28*КоэффСохранения</f>
        <v/>
      </c>
      <c r="AS29" s="116">
        <f>AR28*КоэффСохранения</f>
        <v/>
      </c>
      <c r="AT29" s="116">
        <f>AS28*КоэффСохранения</f>
        <v/>
      </c>
      <c r="AU29" s="116">
        <f>AT28*КоэффСохранения</f>
        <v/>
      </c>
      <c r="AV29" s="116">
        <f>AU28*КоэффСохранения</f>
        <v/>
      </c>
      <c r="AW29" s="116">
        <f>AV28*КоэффСохранения</f>
        <v/>
      </c>
      <c r="AX29" s="116">
        <f>AW28*КоэффСохранения</f>
        <v/>
      </c>
      <c r="AY29" s="116">
        <f>AX28*КоэффСохранения</f>
        <v/>
      </c>
      <c r="AZ29" s="116">
        <f>AY28*КоэффСохранения</f>
        <v/>
      </c>
      <c r="BA29" s="116">
        <f>AZ28*КоэффСохранения</f>
        <v/>
      </c>
      <c r="BB29" s="116">
        <f>BA28*КоэффСохранения</f>
        <v/>
      </c>
      <c r="BC29" s="116">
        <f>BB28*КоэффСохранения</f>
        <v/>
      </c>
      <c r="BD29" s="116">
        <f>BC28*КоэффСохранения</f>
        <v/>
      </c>
      <c r="BE29" s="116">
        <f>BD28*КоэффСохранения</f>
        <v/>
      </c>
      <c r="BF29" s="116">
        <f>BE28*КоэффСохранения</f>
        <v/>
      </c>
      <c r="BG29" s="116">
        <f>BF28*КоэффСохранения</f>
        <v/>
      </c>
      <c r="BH29" s="116">
        <f>BG28*КоэффСохранения</f>
        <v/>
      </c>
      <c r="BI29" s="116">
        <f>BH28*КоэффСохранения</f>
        <v/>
      </c>
      <c r="BJ29" s="116">
        <f>BI28*КоэффСохранения</f>
        <v/>
      </c>
      <c r="BK29" s="116">
        <f>BJ28*КоэффСохранения</f>
        <v/>
      </c>
      <c r="BL29" s="116">
        <f>BK28*КоэффСохранения</f>
        <v/>
      </c>
      <c r="BM29" s="116">
        <f>BL28*КоэффСохранения</f>
        <v/>
      </c>
      <c r="BN29" s="116">
        <f>BM28*КоэффСохранения</f>
        <v/>
      </c>
      <c r="BO29" s="116">
        <f>BN28*КоэффСохранения</f>
        <v/>
      </c>
      <c r="BP29" s="116">
        <f>BO28*КоэффСохранения</f>
        <v/>
      </c>
      <c r="BQ29" s="116">
        <f>BP28*КоэффСохранения</f>
        <v/>
      </c>
      <c r="BR29" s="116">
        <f>BQ28*КоэффСохранения</f>
        <v/>
      </c>
      <c r="BS29" s="116">
        <f>BR28*КоэффСохранения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04" t="inlineStr"/>
      <c r="E30" s="114">
        <f>W30</f>
        <v/>
      </c>
      <c r="F30" s="114">
        <f>AI30</f>
        <v/>
      </c>
      <c r="G30" s="114">
        <f>AU30</f>
        <v/>
      </c>
      <c r="H30" s="114">
        <f>BG30</f>
        <v/>
      </c>
      <c r="I30" s="114">
        <f>BS30</f>
        <v/>
      </c>
      <c r="J30" s="115">
        <f>BS30</f>
        <v/>
      </c>
      <c r="L30" s="116">
        <f>0</f>
        <v/>
      </c>
      <c r="M30" s="116">
        <f>L29*КоэффСохранения</f>
        <v/>
      </c>
      <c r="N30" s="116">
        <f>M29*КоэффСохранения</f>
        <v/>
      </c>
      <c r="O30" s="116">
        <f>N29*КоэффСохранения</f>
        <v/>
      </c>
      <c r="P30" s="116">
        <f>O29*КоэффСохранения</f>
        <v/>
      </c>
      <c r="Q30" s="116">
        <f>P29*КоэффСохранения</f>
        <v/>
      </c>
      <c r="R30" s="116">
        <f>Q29*КоэффСохранения</f>
        <v/>
      </c>
      <c r="S30" s="116">
        <f>R29*КоэффСохранения</f>
        <v/>
      </c>
      <c r="T30" s="116">
        <f>S29*КоэффСохранения</f>
        <v/>
      </c>
      <c r="U30" s="116">
        <f>T29*КоэффСохранения</f>
        <v/>
      </c>
      <c r="V30" s="116">
        <f>U29*КоэффСохранения</f>
        <v/>
      </c>
      <c r="W30" s="116">
        <f>V29*КоэффСохранения</f>
        <v/>
      </c>
      <c r="X30" s="116">
        <f>W29*КоэффСохранения</f>
        <v/>
      </c>
      <c r="Y30" s="116">
        <f>X29*КоэффСохранения</f>
        <v/>
      </c>
      <c r="Z30" s="116">
        <f>Y29*КоэффСохранения</f>
        <v/>
      </c>
      <c r="AA30" s="116">
        <f>Z29*КоэффСохранения</f>
        <v/>
      </c>
      <c r="AB30" s="116">
        <f>AA29*КоэффСохранения</f>
        <v/>
      </c>
      <c r="AC30" s="116">
        <f>AB29*КоэффСохранения</f>
        <v/>
      </c>
      <c r="AD30" s="116">
        <f>AC29*КоэффСохранения</f>
        <v/>
      </c>
      <c r="AE30" s="116">
        <f>AD29*КоэффСохранения</f>
        <v/>
      </c>
      <c r="AF30" s="116">
        <f>AE29*КоэффСохранения</f>
        <v/>
      </c>
      <c r="AG30" s="116">
        <f>AF29*КоэффСохранения</f>
        <v/>
      </c>
      <c r="AH30" s="116">
        <f>AG29*КоэффСохранения</f>
        <v/>
      </c>
      <c r="AI30" s="116">
        <f>AH29*КоэффСохранения</f>
        <v/>
      </c>
      <c r="AJ30" s="116">
        <f>AI29*КоэффСохранения</f>
        <v/>
      </c>
      <c r="AK30" s="116">
        <f>AJ29*КоэффСохранения</f>
        <v/>
      </c>
      <c r="AL30" s="116">
        <f>AK29*КоэффСохранения</f>
        <v/>
      </c>
      <c r="AM30" s="116">
        <f>AL29*КоэффСохранения</f>
        <v/>
      </c>
      <c r="AN30" s="116">
        <f>AM29*КоэффСохранения</f>
        <v/>
      </c>
      <c r="AO30" s="116">
        <f>AN29*КоэффСохранения</f>
        <v/>
      </c>
      <c r="AP30" s="116">
        <f>AO29*КоэффСохранения</f>
        <v/>
      </c>
      <c r="AQ30" s="116">
        <f>AP29*КоэффСохранения</f>
        <v/>
      </c>
      <c r="AR30" s="116">
        <f>AQ29*КоэффСохранения</f>
        <v/>
      </c>
      <c r="AS30" s="116">
        <f>AR29*КоэффСохранения</f>
        <v/>
      </c>
      <c r="AT30" s="116">
        <f>AS29*КоэффСохранения</f>
        <v/>
      </c>
      <c r="AU30" s="116">
        <f>AT29*КоэффСохранения</f>
        <v/>
      </c>
      <c r="AV30" s="116">
        <f>AU29*КоэффСохранения</f>
        <v/>
      </c>
      <c r="AW30" s="116">
        <f>AV29*КоэффСохранения</f>
        <v/>
      </c>
      <c r="AX30" s="116">
        <f>AW29*КоэффСохранения</f>
        <v/>
      </c>
      <c r="AY30" s="116">
        <f>AX29*КоэффСохранения</f>
        <v/>
      </c>
      <c r="AZ30" s="116">
        <f>AY29*КоэффСохранения</f>
        <v/>
      </c>
      <c r="BA30" s="116">
        <f>AZ29*КоэффСохранения</f>
        <v/>
      </c>
      <c r="BB30" s="116">
        <f>BA29*КоэффСохранения</f>
        <v/>
      </c>
      <c r="BC30" s="116">
        <f>BB29*КоэффСохранения</f>
        <v/>
      </c>
      <c r="BD30" s="116">
        <f>BC29*КоэффСохранения</f>
        <v/>
      </c>
      <c r="BE30" s="116">
        <f>BD29*КоэффСохранения</f>
        <v/>
      </c>
      <c r="BF30" s="116">
        <f>BE29*КоэффСохранения</f>
        <v/>
      </c>
      <c r="BG30" s="116">
        <f>BF29*КоэффСохранения</f>
        <v/>
      </c>
      <c r="BH30" s="116">
        <f>BG29*КоэффСохранения</f>
        <v/>
      </c>
      <c r="BI30" s="116">
        <f>BH29*КоэффСохранения</f>
        <v/>
      </c>
      <c r="BJ30" s="116">
        <f>BI29*КоэффСохранения</f>
        <v/>
      </c>
      <c r="BK30" s="116">
        <f>BJ29*КоэффСохранения</f>
        <v/>
      </c>
      <c r="BL30" s="116">
        <f>BK29*КоэффСохранения</f>
        <v/>
      </c>
      <c r="BM30" s="116">
        <f>BL29*КоэффСохранения</f>
        <v/>
      </c>
      <c r="BN30" s="116">
        <f>BM29*КоэффСохранения</f>
        <v/>
      </c>
      <c r="BO30" s="116">
        <f>BN29*КоэффСохранения</f>
        <v/>
      </c>
      <c r="BP30" s="116">
        <f>BO29*КоэффСохранения</f>
        <v/>
      </c>
      <c r="BQ30" s="116">
        <f>BP29*КоэффСохранения</f>
        <v/>
      </c>
      <c r="BR30" s="116">
        <f>BQ29*КоэффСохранения</f>
        <v/>
      </c>
      <c r="BS30" s="116">
        <f>BR29*КоэффСохранения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04" t="inlineStr"/>
      <c r="E31" s="114">
        <f>W31</f>
        <v/>
      </c>
      <c r="F31" s="114">
        <f>AI31</f>
        <v/>
      </c>
      <c r="G31" s="114">
        <f>AU31</f>
        <v/>
      </c>
      <c r="H31" s="114">
        <f>BG31</f>
        <v/>
      </c>
      <c r="I31" s="114">
        <f>BS31</f>
        <v/>
      </c>
      <c r="J31" s="115">
        <f>BS31</f>
        <v/>
      </c>
      <c r="L31" s="116">
        <f>0</f>
        <v/>
      </c>
      <c r="M31" s="116">
        <f>L30*КоэффСохранения</f>
        <v/>
      </c>
      <c r="N31" s="116">
        <f>M30*КоэффСохранения</f>
        <v/>
      </c>
      <c r="O31" s="116">
        <f>N30*КоэффСохранения</f>
        <v/>
      </c>
      <c r="P31" s="116">
        <f>O30*КоэффСохранения</f>
        <v/>
      </c>
      <c r="Q31" s="116">
        <f>P30*КоэффСохранения</f>
        <v/>
      </c>
      <c r="R31" s="116">
        <f>Q30*КоэффСохранения</f>
        <v/>
      </c>
      <c r="S31" s="116">
        <f>R30*КоэффСохранения</f>
        <v/>
      </c>
      <c r="T31" s="116">
        <f>S30*КоэффСохранения</f>
        <v/>
      </c>
      <c r="U31" s="116">
        <f>T30*КоэффСохранения</f>
        <v/>
      </c>
      <c r="V31" s="116">
        <f>U30*КоэффСохранения</f>
        <v/>
      </c>
      <c r="W31" s="116">
        <f>V30*КоэффСохранения</f>
        <v/>
      </c>
      <c r="X31" s="116">
        <f>W30*КоэффСохранения</f>
        <v/>
      </c>
      <c r="Y31" s="116">
        <f>X30*КоэффСохранения</f>
        <v/>
      </c>
      <c r="Z31" s="116">
        <f>Y30*КоэффСохранения</f>
        <v/>
      </c>
      <c r="AA31" s="116">
        <f>Z30*КоэффСохранения</f>
        <v/>
      </c>
      <c r="AB31" s="116">
        <f>AA30*КоэффСохранения</f>
        <v/>
      </c>
      <c r="AC31" s="116">
        <f>AB30*КоэффСохранения</f>
        <v/>
      </c>
      <c r="AD31" s="116">
        <f>AC30*КоэффСохранения</f>
        <v/>
      </c>
      <c r="AE31" s="116">
        <f>AD30*КоэффСохранения</f>
        <v/>
      </c>
      <c r="AF31" s="116">
        <f>AE30*КоэффСохранения</f>
        <v/>
      </c>
      <c r="AG31" s="116">
        <f>AF30*КоэффСохранения</f>
        <v/>
      </c>
      <c r="AH31" s="116">
        <f>AG30*КоэффСохранения</f>
        <v/>
      </c>
      <c r="AI31" s="116">
        <f>AH30*КоэффСохранения</f>
        <v/>
      </c>
      <c r="AJ31" s="116">
        <f>AI30*КоэффСохранения</f>
        <v/>
      </c>
      <c r="AK31" s="116">
        <f>AJ30*КоэффСохранения</f>
        <v/>
      </c>
      <c r="AL31" s="116">
        <f>AK30*КоэффСохранения</f>
        <v/>
      </c>
      <c r="AM31" s="116">
        <f>AL30*КоэффСохранения</f>
        <v/>
      </c>
      <c r="AN31" s="116">
        <f>AM30*КоэффСохранения</f>
        <v/>
      </c>
      <c r="AO31" s="116">
        <f>AN30*КоэффСохранения</f>
        <v/>
      </c>
      <c r="AP31" s="116">
        <f>AO30*КоэффСохранения</f>
        <v/>
      </c>
      <c r="AQ31" s="116">
        <f>AP30*КоэффСохранения</f>
        <v/>
      </c>
      <c r="AR31" s="116">
        <f>AQ30*КоэффСохранения</f>
        <v/>
      </c>
      <c r="AS31" s="116">
        <f>AR30*КоэффСохранения</f>
        <v/>
      </c>
      <c r="AT31" s="116">
        <f>AS30*КоэффСохранения</f>
        <v/>
      </c>
      <c r="AU31" s="116">
        <f>AT30*КоэффСохранения</f>
        <v/>
      </c>
      <c r="AV31" s="116">
        <f>AU30*КоэффСохранения</f>
        <v/>
      </c>
      <c r="AW31" s="116">
        <f>AV30*КоэффСохранения</f>
        <v/>
      </c>
      <c r="AX31" s="116">
        <f>AW30*КоэффСохранения</f>
        <v/>
      </c>
      <c r="AY31" s="116">
        <f>AX30*КоэффСохранения</f>
        <v/>
      </c>
      <c r="AZ31" s="116">
        <f>AY30*КоэффСохранения</f>
        <v/>
      </c>
      <c r="BA31" s="116">
        <f>AZ30*КоэффСохранения</f>
        <v/>
      </c>
      <c r="BB31" s="116">
        <f>BA30*КоэффСохранения</f>
        <v/>
      </c>
      <c r="BC31" s="116">
        <f>BB30*КоэффСохранения</f>
        <v/>
      </c>
      <c r="BD31" s="116">
        <f>BC30*КоэффСохранения</f>
        <v/>
      </c>
      <c r="BE31" s="116">
        <f>BD30*КоэффСохранения</f>
        <v/>
      </c>
      <c r="BF31" s="116">
        <f>BE30*КоэффСохранения</f>
        <v/>
      </c>
      <c r="BG31" s="116">
        <f>BF30*КоэффСохранения</f>
        <v/>
      </c>
      <c r="BH31" s="116">
        <f>BG30*КоэффСохранения</f>
        <v/>
      </c>
      <c r="BI31" s="116">
        <f>BH30*КоэффСохранения</f>
        <v/>
      </c>
      <c r="BJ31" s="116">
        <f>BI30*КоэффСохранения</f>
        <v/>
      </c>
      <c r="BK31" s="116">
        <f>BJ30*КоэффСохранения</f>
        <v/>
      </c>
      <c r="BL31" s="116">
        <f>BK30*КоэффСохранения</f>
        <v/>
      </c>
      <c r="BM31" s="116">
        <f>BL30*КоэффСохранения</f>
        <v/>
      </c>
      <c r="BN31" s="116">
        <f>BM30*КоэффСохранения</f>
        <v/>
      </c>
      <c r="BO31" s="116">
        <f>BN30*КоэффСохранения</f>
        <v/>
      </c>
      <c r="BP31" s="116">
        <f>BO30*КоэффСохранения</f>
        <v/>
      </c>
      <c r="BQ31" s="116">
        <f>BP30*КоэффСохранения</f>
        <v/>
      </c>
      <c r="BR31" s="116">
        <f>BQ30*КоэффСохранения</f>
        <v/>
      </c>
      <c r="BS31" s="116">
        <f>BR30*КоэффСохранения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04" t="inlineStr"/>
      <c r="E32" s="114">
        <f>W32</f>
        <v/>
      </c>
      <c r="F32" s="114">
        <f>AI32</f>
        <v/>
      </c>
      <c r="G32" s="114">
        <f>AU32</f>
        <v/>
      </c>
      <c r="H32" s="114">
        <f>BG32</f>
        <v/>
      </c>
      <c r="I32" s="114">
        <f>BS32</f>
        <v/>
      </c>
      <c r="J32" s="115">
        <f>BS32</f>
        <v/>
      </c>
      <c r="L32" s="116">
        <f>0</f>
        <v/>
      </c>
      <c r="M32" s="116">
        <f>L31*КоэффСохранения</f>
        <v/>
      </c>
      <c r="N32" s="116">
        <f>M31*КоэффСохранения</f>
        <v/>
      </c>
      <c r="O32" s="116">
        <f>N31*КоэффСохранения</f>
        <v/>
      </c>
      <c r="P32" s="116">
        <f>O31*КоэффСохранения</f>
        <v/>
      </c>
      <c r="Q32" s="116">
        <f>P31*КоэффСохранения</f>
        <v/>
      </c>
      <c r="R32" s="116">
        <f>Q31*КоэффСохранения</f>
        <v/>
      </c>
      <c r="S32" s="116">
        <f>R31*КоэффСохранения</f>
        <v/>
      </c>
      <c r="T32" s="116">
        <f>S31*КоэффСохранения</f>
        <v/>
      </c>
      <c r="U32" s="116">
        <f>T31*КоэффСохранения</f>
        <v/>
      </c>
      <c r="V32" s="116">
        <f>U31*КоэффСохранения</f>
        <v/>
      </c>
      <c r="W32" s="116">
        <f>V31*КоэффСохранения</f>
        <v/>
      </c>
      <c r="X32" s="116">
        <f>W31*КоэффСохранения</f>
        <v/>
      </c>
      <c r="Y32" s="116">
        <f>X31*КоэффСохранения</f>
        <v/>
      </c>
      <c r="Z32" s="116">
        <f>Y31*КоэффСохранения</f>
        <v/>
      </c>
      <c r="AA32" s="116">
        <f>Z31*КоэффСохранения</f>
        <v/>
      </c>
      <c r="AB32" s="116">
        <f>AA31*КоэффСохранения</f>
        <v/>
      </c>
      <c r="AC32" s="116">
        <f>AB31*КоэффСохранения</f>
        <v/>
      </c>
      <c r="AD32" s="116">
        <f>AC31*КоэффСохранения</f>
        <v/>
      </c>
      <c r="AE32" s="116">
        <f>AD31*КоэффСохранения</f>
        <v/>
      </c>
      <c r="AF32" s="116">
        <f>AE31*КоэффСохранения</f>
        <v/>
      </c>
      <c r="AG32" s="116">
        <f>AF31*КоэффСохранения</f>
        <v/>
      </c>
      <c r="AH32" s="116">
        <f>AG31*КоэффСохранения</f>
        <v/>
      </c>
      <c r="AI32" s="116">
        <f>AH31*КоэффСохранения</f>
        <v/>
      </c>
      <c r="AJ32" s="116">
        <f>AI31*КоэффСохранения</f>
        <v/>
      </c>
      <c r="AK32" s="116">
        <f>AJ31*КоэффСохранения</f>
        <v/>
      </c>
      <c r="AL32" s="116">
        <f>AK31*КоэффСохранения</f>
        <v/>
      </c>
      <c r="AM32" s="116">
        <f>AL31*КоэффСохранения</f>
        <v/>
      </c>
      <c r="AN32" s="116">
        <f>AM31*КоэффСохранения</f>
        <v/>
      </c>
      <c r="AO32" s="116">
        <f>AN31*КоэффСохранения</f>
        <v/>
      </c>
      <c r="AP32" s="116">
        <f>AO31*КоэффСохранения</f>
        <v/>
      </c>
      <c r="AQ32" s="116">
        <f>AP31*КоэффСохранения</f>
        <v/>
      </c>
      <c r="AR32" s="116">
        <f>AQ31*КоэффСохранения</f>
        <v/>
      </c>
      <c r="AS32" s="116">
        <f>AR31*КоэффСохранения</f>
        <v/>
      </c>
      <c r="AT32" s="116">
        <f>AS31*КоэффСохранения</f>
        <v/>
      </c>
      <c r="AU32" s="116">
        <f>AT31*КоэффСохранения</f>
        <v/>
      </c>
      <c r="AV32" s="116">
        <f>AU31*КоэффСохранения</f>
        <v/>
      </c>
      <c r="AW32" s="116">
        <f>AV31*КоэффСохранения</f>
        <v/>
      </c>
      <c r="AX32" s="116">
        <f>AW31*КоэффСохранения</f>
        <v/>
      </c>
      <c r="AY32" s="116">
        <f>AX31*КоэффСохранения</f>
        <v/>
      </c>
      <c r="AZ32" s="116">
        <f>AY31*КоэффСохранения</f>
        <v/>
      </c>
      <c r="BA32" s="116">
        <f>AZ31*КоэффСохранения</f>
        <v/>
      </c>
      <c r="BB32" s="116">
        <f>BA31*КоэффСохранения</f>
        <v/>
      </c>
      <c r="BC32" s="116">
        <f>BB31*КоэффСохранения</f>
        <v/>
      </c>
      <c r="BD32" s="116">
        <f>BC31*КоэффСохранения</f>
        <v/>
      </c>
      <c r="BE32" s="116">
        <f>BD31*КоэффСохранения</f>
        <v/>
      </c>
      <c r="BF32" s="116">
        <f>BE31*КоэффСохранения</f>
        <v/>
      </c>
      <c r="BG32" s="116">
        <f>BF31*КоэффСохранения</f>
        <v/>
      </c>
      <c r="BH32" s="116">
        <f>BG31*КоэффСохранения</f>
        <v/>
      </c>
      <c r="BI32" s="116">
        <f>BH31*КоэффСохранения</f>
        <v/>
      </c>
      <c r="BJ32" s="116">
        <f>BI31*КоэффСохранения</f>
        <v/>
      </c>
      <c r="BK32" s="116">
        <f>BJ31*КоэффСохранения</f>
        <v/>
      </c>
      <c r="BL32" s="116">
        <f>BK31*КоэффСохранения</f>
        <v/>
      </c>
      <c r="BM32" s="116">
        <f>BL31*КоэффСохранения</f>
        <v/>
      </c>
      <c r="BN32" s="116">
        <f>BM31*КоэффСохранения</f>
        <v/>
      </c>
      <c r="BO32" s="116">
        <f>BN31*КоэффСохранения</f>
        <v/>
      </c>
      <c r="BP32" s="116">
        <f>BO31*КоэффСохранения</f>
        <v/>
      </c>
      <c r="BQ32" s="116">
        <f>BP31*КоэффСохранения</f>
        <v/>
      </c>
      <c r="BR32" s="116">
        <f>BQ31*КоэффСохранения</f>
        <v/>
      </c>
      <c r="BS32" s="116">
        <f>BR31*КоэффСохранения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04" t="inlineStr"/>
      <c r="E33" s="114">
        <f>W33</f>
        <v/>
      </c>
      <c r="F33" s="114">
        <f>AI33</f>
        <v/>
      </c>
      <c r="G33" s="114">
        <f>AU33</f>
        <v/>
      </c>
      <c r="H33" s="114">
        <f>BG33</f>
        <v/>
      </c>
      <c r="I33" s="114">
        <f>BS33</f>
        <v/>
      </c>
      <c r="J33" s="115">
        <f>BS33</f>
        <v/>
      </c>
      <c r="L33" s="116">
        <f>0</f>
        <v/>
      </c>
      <c r="M33" s="116">
        <f>L32*КоэффСохранения</f>
        <v/>
      </c>
      <c r="N33" s="116">
        <f>M32*КоэффСохранения</f>
        <v/>
      </c>
      <c r="O33" s="116">
        <f>N32*КоэффСохранения</f>
        <v/>
      </c>
      <c r="P33" s="116">
        <f>O32*КоэффСохранения</f>
        <v/>
      </c>
      <c r="Q33" s="116">
        <f>P32*КоэффСохранения</f>
        <v/>
      </c>
      <c r="R33" s="116">
        <f>Q32*КоэффСохранения</f>
        <v/>
      </c>
      <c r="S33" s="116">
        <f>R32*КоэффСохранения</f>
        <v/>
      </c>
      <c r="T33" s="116">
        <f>S32*КоэффСохранения</f>
        <v/>
      </c>
      <c r="U33" s="116">
        <f>T32*КоэффСохранения</f>
        <v/>
      </c>
      <c r="V33" s="116">
        <f>U32*КоэффСохранения</f>
        <v/>
      </c>
      <c r="W33" s="116">
        <f>V32*КоэффСохранения</f>
        <v/>
      </c>
      <c r="X33" s="116">
        <f>W32*КоэффСохранения</f>
        <v/>
      </c>
      <c r="Y33" s="116">
        <f>X32*КоэффСохранения</f>
        <v/>
      </c>
      <c r="Z33" s="116">
        <f>Y32*КоэффСохранения</f>
        <v/>
      </c>
      <c r="AA33" s="116">
        <f>Z32*КоэффСохранения</f>
        <v/>
      </c>
      <c r="AB33" s="116">
        <f>AA32*КоэффСохранения</f>
        <v/>
      </c>
      <c r="AC33" s="116">
        <f>AB32*КоэффСохранения</f>
        <v/>
      </c>
      <c r="AD33" s="116">
        <f>AC32*КоэффСохранения</f>
        <v/>
      </c>
      <c r="AE33" s="116">
        <f>AD32*КоэффСохранения</f>
        <v/>
      </c>
      <c r="AF33" s="116">
        <f>AE32*КоэффСохранения</f>
        <v/>
      </c>
      <c r="AG33" s="116">
        <f>AF32*КоэффСохранения</f>
        <v/>
      </c>
      <c r="AH33" s="116">
        <f>AG32*КоэффСохранения</f>
        <v/>
      </c>
      <c r="AI33" s="116">
        <f>AH32*КоэффСохранения</f>
        <v/>
      </c>
      <c r="AJ33" s="116">
        <f>AI32*КоэффСохранения</f>
        <v/>
      </c>
      <c r="AK33" s="116">
        <f>AJ32*КоэффСохранения</f>
        <v/>
      </c>
      <c r="AL33" s="116">
        <f>AK32*КоэффСохранения</f>
        <v/>
      </c>
      <c r="AM33" s="116">
        <f>AL32*КоэффСохранения</f>
        <v/>
      </c>
      <c r="AN33" s="116">
        <f>AM32*КоэффСохранения</f>
        <v/>
      </c>
      <c r="AO33" s="116">
        <f>AN32*КоэффСохранения</f>
        <v/>
      </c>
      <c r="AP33" s="116">
        <f>AO32*КоэффСохранения</f>
        <v/>
      </c>
      <c r="AQ33" s="116">
        <f>AP32*КоэффСохранения</f>
        <v/>
      </c>
      <c r="AR33" s="116">
        <f>AQ32*КоэффСохранения</f>
        <v/>
      </c>
      <c r="AS33" s="116">
        <f>AR32*КоэффСохранения</f>
        <v/>
      </c>
      <c r="AT33" s="116">
        <f>AS32*КоэффСохранения</f>
        <v/>
      </c>
      <c r="AU33" s="116">
        <f>AT32*КоэффСохранения</f>
        <v/>
      </c>
      <c r="AV33" s="116">
        <f>AU32*КоэффСохранения</f>
        <v/>
      </c>
      <c r="AW33" s="116">
        <f>AV32*КоэффСохранения</f>
        <v/>
      </c>
      <c r="AX33" s="116">
        <f>AW32*КоэффСохранения</f>
        <v/>
      </c>
      <c r="AY33" s="116">
        <f>AX32*КоэффСохранения</f>
        <v/>
      </c>
      <c r="AZ33" s="116">
        <f>AY32*КоэффСохранения</f>
        <v/>
      </c>
      <c r="BA33" s="116">
        <f>AZ32*КоэффСохранения</f>
        <v/>
      </c>
      <c r="BB33" s="116">
        <f>BA32*КоэффСохранения</f>
        <v/>
      </c>
      <c r="BC33" s="116">
        <f>BB32*КоэффСохранения</f>
        <v/>
      </c>
      <c r="BD33" s="116">
        <f>BC32*КоэффСохранения</f>
        <v/>
      </c>
      <c r="BE33" s="116">
        <f>BD32*КоэффСохранения</f>
        <v/>
      </c>
      <c r="BF33" s="116">
        <f>BE32*КоэффСохранения</f>
        <v/>
      </c>
      <c r="BG33" s="116">
        <f>BF32*КоэффСохранения</f>
        <v/>
      </c>
      <c r="BH33" s="116">
        <f>BG32*КоэффСохранения</f>
        <v/>
      </c>
      <c r="BI33" s="116">
        <f>BH32*КоэффСохранения</f>
        <v/>
      </c>
      <c r="BJ33" s="116">
        <f>BI32*КоэффСохранения</f>
        <v/>
      </c>
      <c r="BK33" s="116">
        <f>BJ32*КоэффСохранения</f>
        <v/>
      </c>
      <c r="BL33" s="116">
        <f>BK32*КоэффСохранения</f>
        <v/>
      </c>
      <c r="BM33" s="116">
        <f>BL32*КоэффСохранения</f>
        <v/>
      </c>
      <c r="BN33" s="116">
        <f>BM32*КоэффСохранения</f>
        <v/>
      </c>
      <c r="BO33" s="116">
        <f>BN32*КоэффСохранения</f>
        <v/>
      </c>
      <c r="BP33" s="116">
        <f>BO32*КоэффСохранения</f>
        <v/>
      </c>
      <c r="BQ33" s="116">
        <f>BP32*КоэффСохранения</f>
        <v/>
      </c>
      <c r="BR33" s="116">
        <f>BQ32*КоэффСохранения</f>
        <v/>
      </c>
      <c r="BS33" s="116">
        <f>BR32*КоэффСохранения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04" t="inlineStr"/>
      <c r="E34" s="114">
        <f>W34</f>
        <v/>
      </c>
      <c r="F34" s="114">
        <f>AI34</f>
        <v/>
      </c>
      <c r="G34" s="114">
        <f>AU34</f>
        <v/>
      </c>
      <c r="H34" s="114">
        <f>BG34</f>
        <v/>
      </c>
      <c r="I34" s="114">
        <f>BS34</f>
        <v/>
      </c>
      <c r="J34" s="115">
        <f>BS34</f>
        <v/>
      </c>
      <c r="L34" s="116">
        <f>0</f>
        <v/>
      </c>
      <c r="M34" s="116">
        <f>L33*КоэффСохранения</f>
        <v/>
      </c>
      <c r="N34" s="116">
        <f>M33*КоэффСохранения</f>
        <v/>
      </c>
      <c r="O34" s="116">
        <f>N33*КоэффСохранения</f>
        <v/>
      </c>
      <c r="P34" s="116">
        <f>O33*КоэффСохранения</f>
        <v/>
      </c>
      <c r="Q34" s="116">
        <f>P33*КоэффСохранения</f>
        <v/>
      </c>
      <c r="R34" s="116">
        <f>Q33*КоэффСохранения</f>
        <v/>
      </c>
      <c r="S34" s="116">
        <f>R33*КоэффСохранения</f>
        <v/>
      </c>
      <c r="T34" s="116">
        <f>S33*КоэффСохранения</f>
        <v/>
      </c>
      <c r="U34" s="116">
        <f>T33*КоэффСохранения</f>
        <v/>
      </c>
      <c r="V34" s="116">
        <f>U33*КоэффСохранения</f>
        <v/>
      </c>
      <c r="W34" s="116">
        <f>V33*КоэффСохранения</f>
        <v/>
      </c>
      <c r="X34" s="116">
        <f>W33*КоэффСохранения</f>
        <v/>
      </c>
      <c r="Y34" s="116">
        <f>X33*КоэффСохранения</f>
        <v/>
      </c>
      <c r="Z34" s="116">
        <f>Y33*КоэффСохранения</f>
        <v/>
      </c>
      <c r="AA34" s="116">
        <f>Z33*КоэффСохранения</f>
        <v/>
      </c>
      <c r="AB34" s="116">
        <f>AA33*КоэффСохранения</f>
        <v/>
      </c>
      <c r="AC34" s="116">
        <f>AB33*КоэффСохранения</f>
        <v/>
      </c>
      <c r="AD34" s="116">
        <f>AC33*КоэффСохранения</f>
        <v/>
      </c>
      <c r="AE34" s="116">
        <f>AD33*КоэффСохранения</f>
        <v/>
      </c>
      <c r="AF34" s="116">
        <f>AE33*КоэффСохранения</f>
        <v/>
      </c>
      <c r="AG34" s="116">
        <f>AF33*КоэффСохранения</f>
        <v/>
      </c>
      <c r="AH34" s="116">
        <f>AG33*КоэффСохранения</f>
        <v/>
      </c>
      <c r="AI34" s="116">
        <f>AH33*КоэффСохранения</f>
        <v/>
      </c>
      <c r="AJ34" s="116">
        <f>AI33*КоэффСохранения</f>
        <v/>
      </c>
      <c r="AK34" s="116">
        <f>AJ33*КоэффСохранения</f>
        <v/>
      </c>
      <c r="AL34" s="116">
        <f>AK33*КоэффСохранения</f>
        <v/>
      </c>
      <c r="AM34" s="116">
        <f>AL33*КоэффСохранения</f>
        <v/>
      </c>
      <c r="AN34" s="116">
        <f>AM33*КоэффСохранения</f>
        <v/>
      </c>
      <c r="AO34" s="116">
        <f>AN33*КоэффСохранения</f>
        <v/>
      </c>
      <c r="AP34" s="116">
        <f>AO33*КоэффСохранения</f>
        <v/>
      </c>
      <c r="AQ34" s="116">
        <f>AP33*КоэффСохранения</f>
        <v/>
      </c>
      <c r="AR34" s="116">
        <f>AQ33*КоэффСохранения</f>
        <v/>
      </c>
      <c r="AS34" s="116">
        <f>AR33*КоэффСохранения</f>
        <v/>
      </c>
      <c r="AT34" s="116">
        <f>AS33*КоэффСохранения</f>
        <v/>
      </c>
      <c r="AU34" s="116">
        <f>AT33*КоэффСохранения</f>
        <v/>
      </c>
      <c r="AV34" s="116">
        <f>AU33*КоэффСохранения</f>
        <v/>
      </c>
      <c r="AW34" s="116">
        <f>AV33*КоэффСохранения</f>
        <v/>
      </c>
      <c r="AX34" s="116">
        <f>AW33*КоэффСохранения</f>
        <v/>
      </c>
      <c r="AY34" s="116">
        <f>AX33*КоэффСохранения</f>
        <v/>
      </c>
      <c r="AZ34" s="116">
        <f>AY33*КоэффСохранения</f>
        <v/>
      </c>
      <c r="BA34" s="116">
        <f>AZ33*КоэффСохранения</f>
        <v/>
      </c>
      <c r="BB34" s="116">
        <f>BA33*КоэффСохранения</f>
        <v/>
      </c>
      <c r="BC34" s="116">
        <f>BB33*КоэффСохранения</f>
        <v/>
      </c>
      <c r="BD34" s="116">
        <f>BC33*КоэффСохранения</f>
        <v/>
      </c>
      <c r="BE34" s="116">
        <f>BD33*КоэффСохранения</f>
        <v/>
      </c>
      <c r="BF34" s="116">
        <f>BE33*КоэффСохранения</f>
        <v/>
      </c>
      <c r="BG34" s="116">
        <f>BF33*КоэффСохранения</f>
        <v/>
      </c>
      <c r="BH34" s="116">
        <f>BG33*КоэффСохранения</f>
        <v/>
      </c>
      <c r="BI34" s="116">
        <f>BH33*КоэффСохранения</f>
        <v/>
      </c>
      <c r="BJ34" s="116">
        <f>BI33*КоэффСохранения</f>
        <v/>
      </c>
      <c r="BK34" s="116">
        <f>BJ33*КоэффСохранения</f>
        <v/>
      </c>
      <c r="BL34" s="116">
        <f>BK33*КоэффСохранения</f>
        <v/>
      </c>
      <c r="BM34" s="116">
        <f>BL33*КоэффСохранения</f>
        <v/>
      </c>
      <c r="BN34" s="116">
        <f>BM33*КоэффСохранения</f>
        <v/>
      </c>
      <c r="BO34" s="116">
        <f>BN33*КоэффСохранения</f>
        <v/>
      </c>
      <c r="BP34" s="116">
        <f>BO33*КоэффСохранения</f>
        <v/>
      </c>
      <c r="BQ34" s="116">
        <f>BP33*КоэффСохранения</f>
        <v/>
      </c>
      <c r="BR34" s="116">
        <f>BQ33*КоэффСохранения</f>
        <v/>
      </c>
      <c r="BS34" s="116">
        <f>BR33*КоэффСохранения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04" t="inlineStr"/>
      <c r="E35" s="114">
        <f>W35</f>
        <v/>
      </c>
      <c r="F35" s="114">
        <f>AI35</f>
        <v/>
      </c>
      <c r="G35" s="114">
        <f>AU35</f>
        <v/>
      </c>
      <c r="H35" s="114">
        <f>BG35</f>
        <v/>
      </c>
      <c r="I35" s="114">
        <f>BS35</f>
        <v/>
      </c>
      <c r="J35" s="115">
        <f>BS35</f>
        <v/>
      </c>
      <c r="L35" s="116">
        <f>0</f>
        <v/>
      </c>
      <c r="M35" s="116">
        <f>L34*КоэффСохранения</f>
        <v/>
      </c>
      <c r="N35" s="116">
        <f>M34*КоэффСохранения</f>
        <v/>
      </c>
      <c r="O35" s="116">
        <f>N34*КоэффСохранения</f>
        <v/>
      </c>
      <c r="P35" s="116">
        <f>O34*КоэффСохранения</f>
        <v/>
      </c>
      <c r="Q35" s="116">
        <f>P34*КоэффСохранения</f>
        <v/>
      </c>
      <c r="R35" s="116">
        <f>Q34*КоэффСохранения</f>
        <v/>
      </c>
      <c r="S35" s="116">
        <f>R34*КоэффСохранения</f>
        <v/>
      </c>
      <c r="T35" s="116">
        <f>S34*КоэффСохранения</f>
        <v/>
      </c>
      <c r="U35" s="116">
        <f>T34*КоэффСохранения</f>
        <v/>
      </c>
      <c r="V35" s="116">
        <f>U34*КоэффСохранения</f>
        <v/>
      </c>
      <c r="W35" s="116">
        <f>V34*КоэффСохранения</f>
        <v/>
      </c>
      <c r="X35" s="116">
        <f>W34*КоэффСохранения</f>
        <v/>
      </c>
      <c r="Y35" s="116">
        <f>X34*КоэффСохранения</f>
        <v/>
      </c>
      <c r="Z35" s="116">
        <f>Y34*КоэффСохранения</f>
        <v/>
      </c>
      <c r="AA35" s="116">
        <f>Z34*КоэффСохранения</f>
        <v/>
      </c>
      <c r="AB35" s="116">
        <f>AA34*КоэффСохранения</f>
        <v/>
      </c>
      <c r="AC35" s="116">
        <f>AB34*КоэффСохранения</f>
        <v/>
      </c>
      <c r="AD35" s="116">
        <f>AC34*КоэффСохранения</f>
        <v/>
      </c>
      <c r="AE35" s="116">
        <f>AD34*КоэффСохранения</f>
        <v/>
      </c>
      <c r="AF35" s="116">
        <f>AE34*КоэффСохранения</f>
        <v/>
      </c>
      <c r="AG35" s="116">
        <f>AF34*КоэффСохранения</f>
        <v/>
      </c>
      <c r="AH35" s="116">
        <f>AG34*КоэффСохранения</f>
        <v/>
      </c>
      <c r="AI35" s="116">
        <f>AH34*КоэффСохранения</f>
        <v/>
      </c>
      <c r="AJ35" s="116">
        <f>AI34*КоэффСохранения</f>
        <v/>
      </c>
      <c r="AK35" s="116">
        <f>AJ34*КоэффСохранения</f>
        <v/>
      </c>
      <c r="AL35" s="116">
        <f>AK34*КоэффСохранения</f>
        <v/>
      </c>
      <c r="AM35" s="116">
        <f>AL34*КоэффСохранения</f>
        <v/>
      </c>
      <c r="AN35" s="116">
        <f>AM34*КоэффСохранения</f>
        <v/>
      </c>
      <c r="AO35" s="116">
        <f>AN34*КоэффСохранения</f>
        <v/>
      </c>
      <c r="AP35" s="116">
        <f>AO34*КоэффСохранения</f>
        <v/>
      </c>
      <c r="AQ35" s="116">
        <f>AP34*КоэффСохранения</f>
        <v/>
      </c>
      <c r="AR35" s="116">
        <f>AQ34*КоэффСохранения</f>
        <v/>
      </c>
      <c r="AS35" s="116">
        <f>AR34*КоэффСохранения</f>
        <v/>
      </c>
      <c r="AT35" s="116">
        <f>AS34*КоэффСохранения</f>
        <v/>
      </c>
      <c r="AU35" s="116">
        <f>AT34*КоэффСохранения</f>
        <v/>
      </c>
      <c r="AV35" s="116">
        <f>AU34*КоэффСохранения</f>
        <v/>
      </c>
      <c r="AW35" s="116">
        <f>AV34*КоэффСохранения</f>
        <v/>
      </c>
      <c r="AX35" s="116">
        <f>AW34*КоэффСохранения</f>
        <v/>
      </c>
      <c r="AY35" s="116">
        <f>AX34*КоэффСохранения</f>
        <v/>
      </c>
      <c r="AZ35" s="116">
        <f>AY34*КоэффСохранения</f>
        <v/>
      </c>
      <c r="BA35" s="116">
        <f>AZ34*КоэффСохранения</f>
        <v/>
      </c>
      <c r="BB35" s="116">
        <f>BA34*КоэффСохранения</f>
        <v/>
      </c>
      <c r="BC35" s="116">
        <f>BB34*КоэффСохранения</f>
        <v/>
      </c>
      <c r="BD35" s="116">
        <f>BC34*КоэффСохранения</f>
        <v/>
      </c>
      <c r="BE35" s="116">
        <f>BD34*КоэффСохранения</f>
        <v/>
      </c>
      <c r="BF35" s="116">
        <f>BE34*КоэффСохранения</f>
        <v/>
      </c>
      <c r="BG35" s="116">
        <f>BF34*КоэффСохранения</f>
        <v/>
      </c>
      <c r="BH35" s="116">
        <f>BG34*КоэффСохранения</f>
        <v/>
      </c>
      <c r="BI35" s="116">
        <f>BH34*КоэффСохранения</f>
        <v/>
      </c>
      <c r="BJ35" s="116">
        <f>BI34*КоэффСохранения</f>
        <v/>
      </c>
      <c r="BK35" s="116">
        <f>BJ34*КоэффСохранения</f>
        <v/>
      </c>
      <c r="BL35" s="116">
        <f>BK34*КоэффСохранения</f>
        <v/>
      </c>
      <c r="BM35" s="116">
        <f>BL34*КоэффСохранения</f>
        <v/>
      </c>
      <c r="BN35" s="116">
        <f>BM34*КоэффСохранения</f>
        <v/>
      </c>
      <c r="BO35" s="116">
        <f>BN34*КоэффСохранения</f>
        <v/>
      </c>
      <c r="BP35" s="116">
        <f>BO34*КоэффСохранения</f>
        <v/>
      </c>
      <c r="BQ35" s="116">
        <f>BP34*КоэффСохранения</f>
        <v/>
      </c>
      <c r="BR35" s="116">
        <f>BQ34*КоэффСохранения</f>
        <v/>
      </c>
      <c r="BS35" s="116">
        <f>BR34*КоэффСохранения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04" t="inlineStr"/>
      <c r="E36" s="114">
        <f>W36</f>
        <v/>
      </c>
      <c r="F36" s="114">
        <f>AI36</f>
        <v/>
      </c>
      <c r="G36" s="114">
        <f>AU36</f>
        <v/>
      </c>
      <c r="H36" s="114">
        <f>BG36</f>
        <v/>
      </c>
      <c r="I36" s="114">
        <f>BS36</f>
        <v/>
      </c>
      <c r="J36" s="115">
        <f>BS36</f>
        <v/>
      </c>
      <c r="L36" s="116">
        <f>0</f>
        <v/>
      </c>
      <c r="M36" s="116">
        <f>L35*КоэффСохранения</f>
        <v/>
      </c>
      <c r="N36" s="116">
        <f>M35*КоэффСохранения</f>
        <v/>
      </c>
      <c r="O36" s="116">
        <f>N35*КоэффСохранения</f>
        <v/>
      </c>
      <c r="P36" s="116">
        <f>O35*КоэффСохранения</f>
        <v/>
      </c>
      <c r="Q36" s="116">
        <f>P35*КоэффСохранения</f>
        <v/>
      </c>
      <c r="R36" s="116">
        <f>Q35*КоэффСохранения</f>
        <v/>
      </c>
      <c r="S36" s="116">
        <f>R35*КоэффСохранения</f>
        <v/>
      </c>
      <c r="T36" s="116">
        <f>S35*КоэффСохранения</f>
        <v/>
      </c>
      <c r="U36" s="116">
        <f>T35*КоэффСохранения</f>
        <v/>
      </c>
      <c r="V36" s="116">
        <f>U35*КоэффСохранения</f>
        <v/>
      </c>
      <c r="W36" s="116">
        <f>V35*КоэффСохранения</f>
        <v/>
      </c>
      <c r="X36" s="116">
        <f>W35*КоэффСохранения</f>
        <v/>
      </c>
      <c r="Y36" s="116">
        <f>X35*КоэффСохранения</f>
        <v/>
      </c>
      <c r="Z36" s="116">
        <f>Y35*КоэффСохранения</f>
        <v/>
      </c>
      <c r="AA36" s="116">
        <f>Z35*КоэффСохранения</f>
        <v/>
      </c>
      <c r="AB36" s="116">
        <f>AA35*КоэффСохранения</f>
        <v/>
      </c>
      <c r="AC36" s="116">
        <f>AB35*КоэффСохранения</f>
        <v/>
      </c>
      <c r="AD36" s="116">
        <f>AC35*КоэффСохранения</f>
        <v/>
      </c>
      <c r="AE36" s="116">
        <f>AD35*КоэффСохранения</f>
        <v/>
      </c>
      <c r="AF36" s="116">
        <f>AE35*КоэффСохранения</f>
        <v/>
      </c>
      <c r="AG36" s="116">
        <f>AF35*КоэффСохранения</f>
        <v/>
      </c>
      <c r="AH36" s="116">
        <f>AG35*КоэффСохранения</f>
        <v/>
      </c>
      <c r="AI36" s="116">
        <f>AH35*КоэффСохранения</f>
        <v/>
      </c>
      <c r="AJ36" s="116">
        <f>AI35*КоэффСохранения</f>
        <v/>
      </c>
      <c r="AK36" s="116">
        <f>AJ35*КоэффСохранения</f>
        <v/>
      </c>
      <c r="AL36" s="116">
        <f>AK35*КоэффСохранения</f>
        <v/>
      </c>
      <c r="AM36" s="116">
        <f>AL35*КоэффСохранения</f>
        <v/>
      </c>
      <c r="AN36" s="116">
        <f>AM35*КоэффСохранения</f>
        <v/>
      </c>
      <c r="AO36" s="116">
        <f>AN35*КоэффСохранения</f>
        <v/>
      </c>
      <c r="AP36" s="116">
        <f>AO35*КоэффСохранения</f>
        <v/>
      </c>
      <c r="AQ36" s="116">
        <f>AP35*КоэффСохранения</f>
        <v/>
      </c>
      <c r="AR36" s="116">
        <f>AQ35*КоэффСохранения</f>
        <v/>
      </c>
      <c r="AS36" s="116">
        <f>AR35*КоэффСохранения</f>
        <v/>
      </c>
      <c r="AT36" s="116">
        <f>AS35*КоэффСохранения</f>
        <v/>
      </c>
      <c r="AU36" s="116">
        <f>AT35*КоэффСохранения</f>
        <v/>
      </c>
      <c r="AV36" s="116">
        <f>AU35*КоэффСохранения</f>
        <v/>
      </c>
      <c r="AW36" s="116">
        <f>AV35*КоэффСохранения</f>
        <v/>
      </c>
      <c r="AX36" s="116">
        <f>AW35*КоэффСохранения</f>
        <v/>
      </c>
      <c r="AY36" s="116">
        <f>AX35*КоэффСохранения</f>
        <v/>
      </c>
      <c r="AZ36" s="116">
        <f>AY35*КоэффСохранения</f>
        <v/>
      </c>
      <c r="BA36" s="116">
        <f>AZ35*КоэффСохранения</f>
        <v/>
      </c>
      <c r="BB36" s="116">
        <f>BA35*КоэффСохранения</f>
        <v/>
      </c>
      <c r="BC36" s="116">
        <f>BB35*КоэффСохранения</f>
        <v/>
      </c>
      <c r="BD36" s="116">
        <f>BC35*КоэффСохранения</f>
        <v/>
      </c>
      <c r="BE36" s="116">
        <f>BD35*КоэффСохранения</f>
        <v/>
      </c>
      <c r="BF36" s="116">
        <f>BE35*КоэффСохранения</f>
        <v/>
      </c>
      <c r="BG36" s="116">
        <f>BF35*КоэффСохранения</f>
        <v/>
      </c>
      <c r="BH36" s="116">
        <f>BG35*КоэффСохранения</f>
        <v/>
      </c>
      <c r="BI36" s="116">
        <f>BH35*КоэффСохранения</f>
        <v/>
      </c>
      <c r="BJ36" s="116">
        <f>BI35*КоэффСохранения</f>
        <v/>
      </c>
      <c r="BK36" s="116">
        <f>BJ35*КоэффСохранения</f>
        <v/>
      </c>
      <c r="BL36" s="116">
        <f>BK35*КоэффСохранения</f>
        <v/>
      </c>
      <c r="BM36" s="116">
        <f>BL35*КоэффСохранения</f>
        <v/>
      </c>
      <c r="BN36" s="116">
        <f>BM35*КоэффСохранения</f>
        <v/>
      </c>
      <c r="BO36" s="116">
        <f>BN35*КоэффСохранения</f>
        <v/>
      </c>
      <c r="BP36" s="116">
        <f>BO35*КоэффСохранения</f>
        <v/>
      </c>
      <c r="BQ36" s="116">
        <f>BP35*КоэффСохранения</f>
        <v/>
      </c>
      <c r="BR36" s="116">
        <f>BQ35*КоэффСохранения</f>
        <v/>
      </c>
      <c r="BS36" s="116">
        <f>BR35*КоэффСохранения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04" t="inlineStr"/>
      <c r="E37" s="114">
        <f>W37</f>
        <v/>
      </c>
      <c r="F37" s="114">
        <f>AI37</f>
        <v/>
      </c>
      <c r="G37" s="114">
        <f>AU37</f>
        <v/>
      </c>
      <c r="H37" s="114">
        <f>BG37</f>
        <v/>
      </c>
      <c r="I37" s="114">
        <f>BS37</f>
        <v/>
      </c>
      <c r="J37" s="115">
        <f>BS37</f>
        <v/>
      </c>
      <c r="L37" s="116">
        <f>0</f>
        <v/>
      </c>
      <c r="M37" s="116">
        <f>L36*КоэффСохранения</f>
        <v/>
      </c>
      <c r="N37" s="116">
        <f>M36*КоэффСохранения</f>
        <v/>
      </c>
      <c r="O37" s="116">
        <f>N36*КоэффСохранения</f>
        <v/>
      </c>
      <c r="P37" s="116">
        <f>O36*КоэффСохранения</f>
        <v/>
      </c>
      <c r="Q37" s="116">
        <f>P36*КоэффСохранения</f>
        <v/>
      </c>
      <c r="R37" s="116">
        <f>Q36*КоэффСохранения</f>
        <v/>
      </c>
      <c r="S37" s="116">
        <f>R36*КоэффСохранения</f>
        <v/>
      </c>
      <c r="T37" s="116">
        <f>S36*КоэффСохранения</f>
        <v/>
      </c>
      <c r="U37" s="116">
        <f>T36*КоэффСохранения</f>
        <v/>
      </c>
      <c r="V37" s="116">
        <f>U36*КоэффСохранения</f>
        <v/>
      </c>
      <c r="W37" s="116">
        <f>V36*КоэффСохранения</f>
        <v/>
      </c>
      <c r="X37" s="116">
        <f>W36*КоэффСохранения</f>
        <v/>
      </c>
      <c r="Y37" s="116">
        <f>X36*КоэффСохранения</f>
        <v/>
      </c>
      <c r="Z37" s="116">
        <f>Y36*КоэффСохранения</f>
        <v/>
      </c>
      <c r="AA37" s="116">
        <f>Z36*КоэффСохранения</f>
        <v/>
      </c>
      <c r="AB37" s="116">
        <f>AA36*КоэффСохранения</f>
        <v/>
      </c>
      <c r="AC37" s="116">
        <f>AB36*КоэффСохранения</f>
        <v/>
      </c>
      <c r="AD37" s="116">
        <f>AC36*КоэффСохранения</f>
        <v/>
      </c>
      <c r="AE37" s="116">
        <f>AD36*КоэффСохранения</f>
        <v/>
      </c>
      <c r="AF37" s="116">
        <f>AE36*КоэффСохранения</f>
        <v/>
      </c>
      <c r="AG37" s="116">
        <f>AF36*КоэффСохранения</f>
        <v/>
      </c>
      <c r="AH37" s="116">
        <f>AG36*КоэффСохранения</f>
        <v/>
      </c>
      <c r="AI37" s="116">
        <f>AH36*КоэффСохранения</f>
        <v/>
      </c>
      <c r="AJ37" s="116">
        <f>AI36*КоэффСохранения</f>
        <v/>
      </c>
      <c r="AK37" s="116">
        <f>AJ36*КоэффСохранения</f>
        <v/>
      </c>
      <c r="AL37" s="116">
        <f>AK36*КоэффСохранения</f>
        <v/>
      </c>
      <c r="AM37" s="116">
        <f>AL36*КоэффСохранения</f>
        <v/>
      </c>
      <c r="AN37" s="116">
        <f>AM36*КоэффСохранения</f>
        <v/>
      </c>
      <c r="AO37" s="116">
        <f>AN36*КоэффСохранения</f>
        <v/>
      </c>
      <c r="AP37" s="116">
        <f>AO36*КоэффСохранения</f>
        <v/>
      </c>
      <c r="AQ37" s="116">
        <f>AP36*КоэффСохранения</f>
        <v/>
      </c>
      <c r="AR37" s="116">
        <f>AQ36*КоэффСохранения</f>
        <v/>
      </c>
      <c r="AS37" s="116">
        <f>AR36*КоэффСохранения</f>
        <v/>
      </c>
      <c r="AT37" s="116">
        <f>AS36*КоэффСохранения</f>
        <v/>
      </c>
      <c r="AU37" s="116">
        <f>AT36*КоэффСохранения</f>
        <v/>
      </c>
      <c r="AV37" s="116">
        <f>AU36*КоэффСохранения</f>
        <v/>
      </c>
      <c r="AW37" s="116">
        <f>AV36*КоэффСохранения</f>
        <v/>
      </c>
      <c r="AX37" s="116">
        <f>AW36*КоэффСохранения</f>
        <v/>
      </c>
      <c r="AY37" s="116">
        <f>AX36*КоэффСохранения</f>
        <v/>
      </c>
      <c r="AZ37" s="116">
        <f>AY36*КоэффСохранения</f>
        <v/>
      </c>
      <c r="BA37" s="116">
        <f>AZ36*КоэффСохранения</f>
        <v/>
      </c>
      <c r="BB37" s="116">
        <f>BA36*КоэффСохранения</f>
        <v/>
      </c>
      <c r="BC37" s="116">
        <f>BB36*КоэффСохранения</f>
        <v/>
      </c>
      <c r="BD37" s="116">
        <f>BC36*КоэффСохранения</f>
        <v/>
      </c>
      <c r="BE37" s="116">
        <f>BD36*КоэффСохранения</f>
        <v/>
      </c>
      <c r="BF37" s="116">
        <f>BE36*КоэффСохранения</f>
        <v/>
      </c>
      <c r="BG37" s="116">
        <f>BF36*КоэффСохранения</f>
        <v/>
      </c>
      <c r="BH37" s="116">
        <f>BG36*КоэффСохранения</f>
        <v/>
      </c>
      <c r="BI37" s="116">
        <f>BH36*КоэффСохранения</f>
        <v/>
      </c>
      <c r="BJ37" s="116">
        <f>BI36*КоэффСохранения</f>
        <v/>
      </c>
      <c r="BK37" s="116">
        <f>BJ36*КоэффСохранения</f>
        <v/>
      </c>
      <c r="BL37" s="116">
        <f>BK36*КоэффСохранения</f>
        <v/>
      </c>
      <c r="BM37" s="116">
        <f>BL36*КоэффСохранения</f>
        <v/>
      </c>
      <c r="BN37" s="116">
        <f>BM36*КоэффСохранения</f>
        <v/>
      </c>
      <c r="BO37" s="116">
        <f>BN36*КоэффСохранения</f>
        <v/>
      </c>
      <c r="BP37" s="116">
        <f>BO36*КоэффСохранения</f>
        <v/>
      </c>
      <c r="BQ37" s="116">
        <f>BP36*КоэффСохранения</f>
        <v/>
      </c>
      <c r="BR37" s="116">
        <f>BQ36*КоэффСохранения</f>
        <v/>
      </c>
      <c r="BS37" s="116">
        <f>BR36*КоэффСохранения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04" t="inlineStr"/>
      <c r="E38" s="114">
        <f>W38</f>
        <v/>
      </c>
      <c r="F38" s="114">
        <f>AI38</f>
        <v/>
      </c>
      <c r="G38" s="114">
        <f>AU38</f>
        <v/>
      </c>
      <c r="H38" s="114">
        <f>BG38</f>
        <v/>
      </c>
      <c r="I38" s="114">
        <f>BS38</f>
        <v/>
      </c>
      <c r="J38" s="115">
        <f>BS38</f>
        <v/>
      </c>
      <c r="L38" s="116">
        <f>0</f>
        <v/>
      </c>
      <c r="M38" s="116">
        <f>L37*КоэффСохранения</f>
        <v/>
      </c>
      <c r="N38" s="116">
        <f>M37*КоэффСохранения</f>
        <v/>
      </c>
      <c r="O38" s="116">
        <f>N37*КоэффСохранения</f>
        <v/>
      </c>
      <c r="P38" s="116">
        <f>O37*КоэффСохранения</f>
        <v/>
      </c>
      <c r="Q38" s="116">
        <f>P37*КоэффСохранения</f>
        <v/>
      </c>
      <c r="R38" s="116">
        <f>Q37*КоэффСохранения</f>
        <v/>
      </c>
      <c r="S38" s="116">
        <f>R37*КоэффСохранения</f>
        <v/>
      </c>
      <c r="T38" s="116">
        <f>S37*КоэффСохранения</f>
        <v/>
      </c>
      <c r="U38" s="116">
        <f>T37*КоэффСохранения</f>
        <v/>
      </c>
      <c r="V38" s="116">
        <f>U37*КоэффСохранения</f>
        <v/>
      </c>
      <c r="W38" s="116">
        <f>V37*КоэффСохранения</f>
        <v/>
      </c>
      <c r="X38" s="116">
        <f>W37*КоэффСохранения</f>
        <v/>
      </c>
      <c r="Y38" s="116">
        <f>X37*КоэффСохранения</f>
        <v/>
      </c>
      <c r="Z38" s="116">
        <f>Y37*КоэффСохранения</f>
        <v/>
      </c>
      <c r="AA38" s="116">
        <f>Z37*КоэффСохранения</f>
        <v/>
      </c>
      <c r="AB38" s="116">
        <f>AA37*КоэффСохранения</f>
        <v/>
      </c>
      <c r="AC38" s="116">
        <f>AB37*КоэффСохранения</f>
        <v/>
      </c>
      <c r="AD38" s="116">
        <f>AC37*КоэффСохранения</f>
        <v/>
      </c>
      <c r="AE38" s="116">
        <f>AD37*КоэффСохранения</f>
        <v/>
      </c>
      <c r="AF38" s="116">
        <f>AE37*КоэффСохранения</f>
        <v/>
      </c>
      <c r="AG38" s="116">
        <f>AF37*КоэффСохранения</f>
        <v/>
      </c>
      <c r="AH38" s="116">
        <f>AG37*КоэффСохранения</f>
        <v/>
      </c>
      <c r="AI38" s="116">
        <f>AH37*КоэффСохранения</f>
        <v/>
      </c>
      <c r="AJ38" s="116">
        <f>AI37*КоэффСохранения</f>
        <v/>
      </c>
      <c r="AK38" s="116">
        <f>AJ37*КоэффСохранения</f>
        <v/>
      </c>
      <c r="AL38" s="116">
        <f>AK37*КоэффСохранения</f>
        <v/>
      </c>
      <c r="AM38" s="116">
        <f>AL37*КоэффСохранения</f>
        <v/>
      </c>
      <c r="AN38" s="116">
        <f>AM37*КоэффСохранения</f>
        <v/>
      </c>
      <c r="AO38" s="116">
        <f>AN37*КоэффСохранения</f>
        <v/>
      </c>
      <c r="AP38" s="116">
        <f>AO37*КоэффСохранения</f>
        <v/>
      </c>
      <c r="AQ38" s="116">
        <f>AP37*КоэффСохранения</f>
        <v/>
      </c>
      <c r="AR38" s="116">
        <f>AQ37*КоэффСохранения</f>
        <v/>
      </c>
      <c r="AS38" s="116">
        <f>AR37*КоэффСохранения</f>
        <v/>
      </c>
      <c r="AT38" s="116">
        <f>AS37*КоэффСохранения</f>
        <v/>
      </c>
      <c r="AU38" s="116">
        <f>AT37*КоэффСохранения</f>
        <v/>
      </c>
      <c r="AV38" s="116">
        <f>AU37*КоэффСохранения</f>
        <v/>
      </c>
      <c r="AW38" s="116">
        <f>AV37*КоэффСохранения</f>
        <v/>
      </c>
      <c r="AX38" s="116">
        <f>AW37*КоэффСохранения</f>
        <v/>
      </c>
      <c r="AY38" s="116">
        <f>AX37*КоэффСохранения</f>
        <v/>
      </c>
      <c r="AZ38" s="116">
        <f>AY37*КоэффСохранения</f>
        <v/>
      </c>
      <c r="BA38" s="116">
        <f>AZ37*КоэффСохранения</f>
        <v/>
      </c>
      <c r="BB38" s="116">
        <f>BA37*КоэффСохранения</f>
        <v/>
      </c>
      <c r="BC38" s="116">
        <f>BB37*КоэффСохранения</f>
        <v/>
      </c>
      <c r="BD38" s="116">
        <f>BC37*КоэффСохранения</f>
        <v/>
      </c>
      <c r="BE38" s="116">
        <f>BD37*КоэффСохранения</f>
        <v/>
      </c>
      <c r="BF38" s="116">
        <f>BE37*КоэффСохранения</f>
        <v/>
      </c>
      <c r="BG38" s="116">
        <f>BF37*КоэффСохранения</f>
        <v/>
      </c>
      <c r="BH38" s="116">
        <f>BG37*КоэффСохранения</f>
        <v/>
      </c>
      <c r="BI38" s="116">
        <f>BH37*КоэффСохранения</f>
        <v/>
      </c>
      <c r="BJ38" s="116">
        <f>BI37*КоэффСохранения</f>
        <v/>
      </c>
      <c r="BK38" s="116">
        <f>BJ37*КоэффСохранения</f>
        <v/>
      </c>
      <c r="BL38" s="116">
        <f>BK37*КоэффСохранения</f>
        <v/>
      </c>
      <c r="BM38" s="116">
        <f>BL37*КоэффСохранения</f>
        <v/>
      </c>
      <c r="BN38" s="116">
        <f>BM37*КоэффСохранения</f>
        <v/>
      </c>
      <c r="BO38" s="116">
        <f>BN37*КоэффСохранения</f>
        <v/>
      </c>
      <c r="BP38" s="116">
        <f>BO37*КоэффСохранения</f>
        <v/>
      </c>
      <c r="BQ38" s="116">
        <f>BP37*КоэффСохранения</f>
        <v/>
      </c>
      <c r="BR38" s="116">
        <f>BQ37*КоэффСохранения</f>
        <v/>
      </c>
      <c r="BS38" s="116">
        <f>BR37*КоэффСохранения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04" t="inlineStr"/>
      <c r="E39" s="114">
        <f>W39</f>
        <v/>
      </c>
      <c r="F39" s="114">
        <f>AI39</f>
        <v/>
      </c>
      <c r="G39" s="114">
        <f>AU39</f>
        <v/>
      </c>
      <c r="H39" s="114">
        <f>BG39</f>
        <v/>
      </c>
      <c r="I39" s="114">
        <f>BS39</f>
        <v/>
      </c>
      <c r="J39" s="115">
        <f>BS39</f>
        <v/>
      </c>
      <c r="L39" s="116">
        <f>0</f>
        <v/>
      </c>
      <c r="M39" s="116">
        <f>L38*КоэффСохранения</f>
        <v/>
      </c>
      <c r="N39" s="116">
        <f>M38*КоэффСохранения</f>
        <v/>
      </c>
      <c r="O39" s="116">
        <f>N38*КоэффСохранения</f>
        <v/>
      </c>
      <c r="P39" s="116">
        <f>O38*КоэффСохранения</f>
        <v/>
      </c>
      <c r="Q39" s="116">
        <f>P38*КоэффСохранения</f>
        <v/>
      </c>
      <c r="R39" s="116">
        <f>Q38*КоэффСохранения</f>
        <v/>
      </c>
      <c r="S39" s="116">
        <f>R38*КоэффСохранения</f>
        <v/>
      </c>
      <c r="T39" s="116">
        <f>S38*КоэффСохранения</f>
        <v/>
      </c>
      <c r="U39" s="116">
        <f>T38*КоэффСохранения</f>
        <v/>
      </c>
      <c r="V39" s="116">
        <f>U38*КоэффСохранения</f>
        <v/>
      </c>
      <c r="W39" s="116">
        <f>V38*КоэффСохранения</f>
        <v/>
      </c>
      <c r="X39" s="116">
        <f>W38*КоэффСохранения</f>
        <v/>
      </c>
      <c r="Y39" s="116">
        <f>X38*КоэффСохранения</f>
        <v/>
      </c>
      <c r="Z39" s="116">
        <f>Y38*КоэффСохранения</f>
        <v/>
      </c>
      <c r="AA39" s="116">
        <f>Z38*КоэффСохранения</f>
        <v/>
      </c>
      <c r="AB39" s="116">
        <f>AA38*КоэффСохранения</f>
        <v/>
      </c>
      <c r="AC39" s="116">
        <f>AB38*КоэффСохранения</f>
        <v/>
      </c>
      <c r="AD39" s="116">
        <f>AC38*КоэффСохранения</f>
        <v/>
      </c>
      <c r="AE39" s="116">
        <f>AD38*КоэффСохранения</f>
        <v/>
      </c>
      <c r="AF39" s="116">
        <f>AE38*КоэффСохранения</f>
        <v/>
      </c>
      <c r="AG39" s="116">
        <f>AF38*КоэффСохранения</f>
        <v/>
      </c>
      <c r="AH39" s="116">
        <f>AG38*КоэффСохранения</f>
        <v/>
      </c>
      <c r="AI39" s="116">
        <f>AH38*КоэффСохранения</f>
        <v/>
      </c>
      <c r="AJ39" s="116">
        <f>AI38*КоэффСохранения</f>
        <v/>
      </c>
      <c r="AK39" s="116">
        <f>AJ38*КоэффСохранения</f>
        <v/>
      </c>
      <c r="AL39" s="116">
        <f>AK38*КоэффСохранения</f>
        <v/>
      </c>
      <c r="AM39" s="116">
        <f>AL38*КоэффСохранения</f>
        <v/>
      </c>
      <c r="AN39" s="116">
        <f>AM38*КоэффСохранения</f>
        <v/>
      </c>
      <c r="AO39" s="116">
        <f>AN38*КоэффСохранения</f>
        <v/>
      </c>
      <c r="AP39" s="116">
        <f>AO38*КоэффСохранения</f>
        <v/>
      </c>
      <c r="AQ39" s="116">
        <f>AP38*КоэффСохранения</f>
        <v/>
      </c>
      <c r="AR39" s="116">
        <f>AQ38*КоэффСохранения</f>
        <v/>
      </c>
      <c r="AS39" s="116">
        <f>AR38*КоэффСохранения</f>
        <v/>
      </c>
      <c r="AT39" s="116">
        <f>AS38*КоэффСохранения</f>
        <v/>
      </c>
      <c r="AU39" s="116">
        <f>AT38*КоэффСохранения</f>
        <v/>
      </c>
      <c r="AV39" s="116">
        <f>AU38*КоэффСохранения</f>
        <v/>
      </c>
      <c r="AW39" s="116">
        <f>AV38*КоэффСохранения</f>
        <v/>
      </c>
      <c r="AX39" s="116">
        <f>AW38*КоэффСохранения</f>
        <v/>
      </c>
      <c r="AY39" s="116">
        <f>AX38*КоэффСохранения</f>
        <v/>
      </c>
      <c r="AZ39" s="116">
        <f>AY38*КоэффСохранения</f>
        <v/>
      </c>
      <c r="BA39" s="116">
        <f>AZ38*КоэффСохранения</f>
        <v/>
      </c>
      <c r="BB39" s="116">
        <f>BA38*КоэффСохранения</f>
        <v/>
      </c>
      <c r="BC39" s="116">
        <f>BB38*КоэффСохранения</f>
        <v/>
      </c>
      <c r="BD39" s="116">
        <f>BC38*КоэффСохранения</f>
        <v/>
      </c>
      <c r="BE39" s="116">
        <f>BD38*КоэффСохранения</f>
        <v/>
      </c>
      <c r="BF39" s="116">
        <f>BE38*КоэффСохранения</f>
        <v/>
      </c>
      <c r="BG39" s="116">
        <f>BF38*КоэффСохранения</f>
        <v/>
      </c>
      <c r="BH39" s="116">
        <f>BG38*КоэффСохранения</f>
        <v/>
      </c>
      <c r="BI39" s="116">
        <f>BH38*КоэффСохранения</f>
        <v/>
      </c>
      <c r="BJ39" s="116">
        <f>BI38*КоэффСохранения</f>
        <v/>
      </c>
      <c r="BK39" s="116">
        <f>BJ38*КоэффСохранения</f>
        <v/>
      </c>
      <c r="BL39" s="116">
        <f>BK38*КоэффСохранения</f>
        <v/>
      </c>
      <c r="BM39" s="116">
        <f>BL38*КоэффСохранения</f>
        <v/>
      </c>
      <c r="BN39" s="116">
        <f>BM38*КоэффСохранения</f>
        <v/>
      </c>
      <c r="BO39" s="116">
        <f>BN38*КоэффСохранения</f>
        <v/>
      </c>
      <c r="BP39" s="116">
        <f>BO38*КоэффСохранения</f>
        <v/>
      </c>
      <c r="BQ39" s="116">
        <f>BP38*КоэффСохранения</f>
        <v/>
      </c>
      <c r="BR39" s="116">
        <f>BQ38*КоэффСохранения</f>
        <v/>
      </c>
      <c r="BS39" s="116">
        <f>BR38*КоэффСохранения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04" t="inlineStr"/>
      <c r="E40" s="114">
        <f>W40</f>
        <v/>
      </c>
      <c r="F40" s="114">
        <f>AI40</f>
        <v/>
      </c>
      <c r="G40" s="114">
        <f>AU40</f>
        <v/>
      </c>
      <c r="H40" s="114">
        <f>BG40</f>
        <v/>
      </c>
      <c r="I40" s="114">
        <f>BS40</f>
        <v/>
      </c>
      <c r="J40" s="115">
        <f>BS40</f>
        <v/>
      </c>
      <c r="L40" s="116">
        <f>0</f>
        <v/>
      </c>
      <c r="M40" s="116">
        <f>L39*КоэффСохранения</f>
        <v/>
      </c>
      <c r="N40" s="116">
        <f>M39*КоэффСохранения</f>
        <v/>
      </c>
      <c r="O40" s="116">
        <f>N39*КоэффСохранения</f>
        <v/>
      </c>
      <c r="P40" s="116">
        <f>O39*КоэффСохранения</f>
        <v/>
      </c>
      <c r="Q40" s="116">
        <f>P39*КоэффСохранения</f>
        <v/>
      </c>
      <c r="R40" s="116">
        <f>Q39*КоэффСохранения</f>
        <v/>
      </c>
      <c r="S40" s="116">
        <f>R39*КоэффСохранения</f>
        <v/>
      </c>
      <c r="T40" s="116">
        <f>S39*КоэффСохранения</f>
        <v/>
      </c>
      <c r="U40" s="116">
        <f>T39*КоэффСохранения</f>
        <v/>
      </c>
      <c r="V40" s="116">
        <f>U39*КоэффСохранения</f>
        <v/>
      </c>
      <c r="W40" s="116">
        <f>V39*КоэффСохранения</f>
        <v/>
      </c>
      <c r="X40" s="116">
        <f>W39*КоэффСохранения</f>
        <v/>
      </c>
      <c r="Y40" s="116">
        <f>X39*КоэффСохранения</f>
        <v/>
      </c>
      <c r="Z40" s="116">
        <f>Y39*КоэффСохранения</f>
        <v/>
      </c>
      <c r="AA40" s="116">
        <f>Z39*КоэффСохранения</f>
        <v/>
      </c>
      <c r="AB40" s="116">
        <f>AA39*КоэффСохранения</f>
        <v/>
      </c>
      <c r="AC40" s="116">
        <f>AB39*КоэффСохранения</f>
        <v/>
      </c>
      <c r="AD40" s="116">
        <f>AC39*КоэффСохранения</f>
        <v/>
      </c>
      <c r="AE40" s="116">
        <f>AD39*КоэффСохранения</f>
        <v/>
      </c>
      <c r="AF40" s="116">
        <f>AE39*КоэффСохранения</f>
        <v/>
      </c>
      <c r="AG40" s="116">
        <f>AF39*КоэффСохранения</f>
        <v/>
      </c>
      <c r="AH40" s="116">
        <f>AG39*КоэффСохранения</f>
        <v/>
      </c>
      <c r="AI40" s="116">
        <f>AH39*КоэффСохранения</f>
        <v/>
      </c>
      <c r="AJ40" s="116">
        <f>AI39*КоэффСохранения</f>
        <v/>
      </c>
      <c r="AK40" s="116">
        <f>AJ39*КоэффСохранения</f>
        <v/>
      </c>
      <c r="AL40" s="116">
        <f>AK39*КоэффСохранения</f>
        <v/>
      </c>
      <c r="AM40" s="116">
        <f>AL39*КоэффСохранения</f>
        <v/>
      </c>
      <c r="AN40" s="116">
        <f>AM39*КоэффСохранения</f>
        <v/>
      </c>
      <c r="AO40" s="116">
        <f>AN39*КоэффСохранения</f>
        <v/>
      </c>
      <c r="AP40" s="116">
        <f>AO39*КоэффСохранения</f>
        <v/>
      </c>
      <c r="AQ40" s="116">
        <f>AP39*КоэффСохранения</f>
        <v/>
      </c>
      <c r="AR40" s="116">
        <f>AQ39*КоэффСохранения</f>
        <v/>
      </c>
      <c r="AS40" s="116">
        <f>AR39*КоэффСохранения</f>
        <v/>
      </c>
      <c r="AT40" s="116">
        <f>AS39*КоэффСохранения</f>
        <v/>
      </c>
      <c r="AU40" s="116">
        <f>AT39*КоэффСохранения</f>
        <v/>
      </c>
      <c r="AV40" s="116">
        <f>AU39*КоэффСохранения</f>
        <v/>
      </c>
      <c r="AW40" s="116">
        <f>AV39*КоэффСохранения</f>
        <v/>
      </c>
      <c r="AX40" s="116">
        <f>AW39*КоэффСохранения</f>
        <v/>
      </c>
      <c r="AY40" s="116">
        <f>AX39*КоэффСохранения</f>
        <v/>
      </c>
      <c r="AZ40" s="116">
        <f>AY39*КоэффСохранения</f>
        <v/>
      </c>
      <c r="BA40" s="116">
        <f>AZ39*КоэффСохранения</f>
        <v/>
      </c>
      <c r="BB40" s="116">
        <f>BA39*КоэффСохранения</f>
        <v/>
      </c>
      <c r="BC40" s="116">
        <f>BB39*КоэффСохранения</f>
        <v/>
      </c>
      <c r="BD40" s="116">
        <f>BC39*КоэффСохранения</f>
        <v/>
      </c>
      <c r="BE40" s="116">
        <f>BD39*КоэффСохранения</f>
        <v/>
      </c>
      <c r="BF40" s="116">
        <f>BE39*КоэффСохранения</f>
        <v/>
      </c>
      <c r="BG40" s="116">
        <f>BF39*КоэффСохранения</f>
        <v/>
      </c>
      <c r="BH40" s="116">
        <f>BG39*КоэффСохранения</f>
        <v/>
      </c>
      <c r="BI40" s="116">
        <f>BH39*КоэффСохранения</f>
        <v/>
      </c>
      <c r="BJ40" s="116">
        <f>BI39*КоэффСохранения</f>
        <v/>
      </c>
      <c r="BK40" s="116">
        <f>BJ39*КоэффСохранения</f>
        <v/>
      </c>
      <c r="BL40" s="116">
        <f>BK39*КоэффСохранения</f>
        <v/>
      </c>
      <c r="BM40" s="116">
        <f>BL39*КоэффСохранения</f>
        <v/>
      </c>
      <c r="BN40" s="116">
        <f>BM39*КоэффСохранения</f>
        <v/>
      </c>
      <c r="BO40" s="116">
        <f>BN39*КоэффСохранения</f>
        <v/>
      </c>
      <c r="BP40" s="116">
        <f>BO39*КоэффСохранения</f>
        <v/>
      </c>
      <c r="BQ40" s="116">
        <f>BP39*КоэффСохранения</f>
        <v/>
      </c>
      <c r="BR40" s="116">
        <f>BQ39*КоэффСохранения</f>
        <v/>
      </c>
      <c r="BS40" s="116">
        <f>BR39*КоэффСохранения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04" t="inlineStr"/>
      <c r="E41" s="114">
        <f>W41</f>
        <v/>
      </c>
      <c r="F41" s="114">
        <f>AI41</f>
        <v/>
      </c>
      <c r="G41" s="114">
        <f>AU41</f>
        <v/>
      </c>
      <c r="H41" s="114">
        <f>BG41</f>
        <v/>
      </c>
      <c r="I41" s="114">
        <f>BS41</f>
        <v/>
      </c>
      <c r="J41" s="115">
        <f>BS41</f>
        <v/>
      </c>
      <c r="L41" s="116">
        <f>0</f>
        <v/>
      </c>
      <c r="M41" s="116">
        <f>L40*КоэффСохранения</f>
        <v/>
      </c>
      <c r="N41" s="116">
        <f>M40*КоэффСохранения</f>
        <v/>
      </c>
      <c r="O41" s="116">
        <f>N40*КоэффСохранения</f>
        <v/>
      </c>
      <c r="P41" s="116">
        <f>O40*КоэффСохранения</f>
        <v/>
      </c>
      <c r="Q41" s="116">
        <f>P40*КоэффСохранения</f>
        <v/>
      </c>
      <c r="R41" s="116">
        <f>Q40*КоэффСохранения</f>
        <v/>
      </c>
      <c r="S41" s="116">
        <f>R40*КоэффСохранения</f>
        <v/>
      </c>
      <c r="T41" s="116">
        <f>S40*КоэффСохранения</f>
        <v/>
      </c>
      <c r="U41" s="116">
        <f>T40*КоэффСохранения</f>
        <v/>
      </c>
      <c r="V41" s="116">
        <f>U40*КоэффСохранения</f>
        <v/>
      </c>
      <c r="W41" s="116">
        <f>V40*КоэффСохранения</f>
        <v/>
      </c>
      <c r="X41" s="116">
        <f>W40*КоэффСохранения</f>
        <v/>
      </c>
      <c r="Y41" s="116">
        <f>X40*КоэффСохранения</f>
        <v/>
      </c>
      <c r="Z41" s="116">
        <f>Y40*КоэффСохранения</f>
        <v/>
      </c>
      <c r="AA41" s="116">
        <f>Z40*КоэффСохранения</f>
        <v/>
      </c>
      <c r="AB41" s="116">
        <f>AA40*КоэффСохранения</f>
        <v/>
      </c>
      <c r="AC41" s="116">
        <f>AB40*КоэффСохранения</f>
        <v/>
      </c>
      <c r="AD41" s="116">
        <f>AC40*КоэффСохранения</f>
        <v/>
      </c>
      <c r="AE41" s="116">
        <f>AD40*КоэффСохранения</f>
        <v/>
      </c>
      <c r="AF41" s="116">
        <f>AE40*КоэффСохранения</f>
        <v/>
      </c>
      <c r="AG41" s="116">
        <f>AF40*КоэффСохранения</f>
        <v/>
      </c>
      <c r="AH41" s="116">
        <f>AG40*КоэффСохранения</f>
        <v/>
      </c>
      <c r="AI41" s="116">
        <f>AH40*КоэффСохранения</f>
        <v/>
      </c>
      <c r="AJ41" s="116">
        <f>AI40*КоэффСохранения</f>
        <v/>
      </c>
      <c r="AK41" s="116">
        <f>AJ40*КоэффСохранения</f>
        <v/>
      </c>
      <c r="AL41" s="116">
        <f>AK40*КоэффСохранения</f>
        <v/>
      </c>
      <c r="AM41" s="116">
        <f>AL40*КоэффСохранения</f>
        <v/>
      </c>
      <c r="AN41" s="116">
        <f>AM40*КоэффСохранения</f>
        <v/>
      </c>
      <c r="AO41" s="116">
        <f>AN40*КоэффСохранения</f>
        <v/>
      </c>
      <c r="AP41" s="116">
        <f>AO40*КоэффСохранения</f>
        <v/>
      </c>
      <c r="AQ41" s="116">
        <f>AP40*КоэффСохранения</f>
        <v/>
      </c>
      <c r="AR41" s="116">
        <f>AQ40*КоэффСохранения</f>
        <v/>
      </c>
      <c r="AS41" s="116">
        <f>AR40*КоэффСохранения</f>
        <v/>
      </c>
      <c r="AT41" s="116">
        <f>AS40*КоэффСохранения</f>
        <v/>
      </c>
      <c r="AU41" s="116">
        <f>AT40*КоэффСохранения</f>
        <v/>
      </c>
      <c r="AV41" s="116">
        <f>AU40*КоэффСохранения</f>
        <v/>
      </c>
      <c r="AW41" s="116">
        <f>AV40*КоэффСохранения</f>
        <v/>
      </c>
      <c r="AX41" s="116">
        <f>AW40*КоэффСохранения</f>
        <v/>
      </c>
      <c r="AY41" s="116">
        <f>AX40*КоэффСохранения</f>
        <v/>
      </c>
      <c r="AZ41" s="116">
        <f>AY40*КоэффСохранения</f>
        <v/>
      </c>
      <c r="BA41" s="116">
        <f>AZ40*КоэффСохранения</f>
        <v/>
      </c>
      <c r="BB41" s="116">
        <f>BA40*КоэффСохранения</f>
        <v/>
      </c>
      <c r="BC41" s="116">
        <f>BB40*КоэффСохранения</f>
        <v/>
      </c>
      <c r="BD41" s="116">
        <f>BC40*КоэффСохранения</f>
        <v/>
      </c>
      <c r="BE41" s="116">
        <f>BD40*КоэффСохранения</f>
        <v/>
      </c>
      <c r="BF41" s="116">
        <f>BE40*КоэффСохранения</f>
        <v/>
      </c>
      <c r="BG41" s="116">
        <f>BF40*КоэффСохранения</f>
        <v/>
      </c>
      <c r="BH41" s="116">
        <f>BG40*КоэффСохранения</f>
        <v/>
      </c>
      <c r="BI41" s="116">
        <f>BH40*КоэффСохранения</f>
        <v/>
      </c>
      <c r="BJ41" s="116">
        <f>BI40*КоэффСохранения</f>
        <v/>
      </c>
      <c r="BK41" s="116">
        <f>BJ40*КоэффСохранения</f>
        <v/>
      </c>
      <c r="BL41" s="116">
        <f>BK40*КоэффСохранения</f>
        <v/>
      </c>
      <c r="BM41" s="116">
        <f>BL40*КоэффСохранения</f>
        <v/>
      </c>
      <c r="BN41" s="116">
        <f>BM40*КоэффСохранения</f>
        <v/>
      </c>
      <c r="BO41" s="116">
        <f>BN40*КоэффСохранения</f>
        <v/>
      </c>
      <c r="BP41" s="116">
        <f>BO40*КоэффСохранения</f>
        <v/>
      </c>
      <c r="BQ41" s="116">
        <f>BP40*КоэффСохранения</f>
        <v/>
      </c>
      <c r="BR41" s="116">
        <f>BQ40*КоэффСохранения</f>
        <v/>
      </c>
      <c r="BS41" s="116">
        <f>BR40*КоэффСохранения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04" t="inlineStr"/>
      <c r="E42" s="114">
        <f>W42</f>
        <v/>
      </c>
      <c r="F42" s="114">
        <f>AI42</f>
        <v/>
      </c>
      <c r="G42" s="114">
        <f>AU42</f>
        <v/>
      </c>
      <c r="H42" s="114">
        <f>BG42</f>
        <v/>
      </c>
      <c r="I42" s="114">
        <f>BS42</f>
        <v/>
      </c>
      <c r="J42" s="115">
        <f>BS42</f>
        <v/>
      </c>
      <c r="L42" s="116">
        <f>0</f>
        <v/>
      </c>
      <c r="M42" s="116">
        <f>L41*КоэффСохранения</f>
        <v/>
      </c>
      <c r="N42" s="116">
        <f>M41*КоэффСохранения</f>
        <v/>
      </c>
      <c r="O42" s="116">
        <f>N41*КоэффСохранения</f>
        <v/>
      </c>
      <c r="P42" s="116">
        <f>O41*КоэффСохранения</f>
        <v/>
      </c>
      <c r="Q42" s="116">
        <f>P41*КоэффСохранения</f>
        <v/>
      </c>
      <c r="R42" s="116">
        <f>Q41*КоэффСохранения</f>
        <v/>
      </c>
      <c r="S42" s="116">
        <f>R41*КоэффСохранения</f>
        <v/>
      </c>
      <c r="T42" s="116">
        <f>S41*КоэффСохранения</f>
        <v/>
      </c>
      <c r="U42" s="116">
        <f>T41*КоэффСохранения</f>
        <v/>
      </c>
      <c r="V42" s="116">
        <f>U41*КоэффСохранения</f>
        <v/>
      </c>
      <c r="W42" s="116">
        <f>V41*КоэффСохранения</f>
        <v/>
      </c>
      <c r="X42" s="116">
        <f>W41*КоэффСохранения</f>
        <v/>
      </c>
      <c r="Y42" s="116">
        <f>X41*КоэффСохранения</f>
        <v/>
      </c>
      <c r="Z42" s="116">
        <f>Y41*КоэффСохранения</f>
        <v/>
      </c>
      <c r="AA42" s="116">
        <f>Z41*КоэффСохранения</f>
        <v/>
      </c>
      <c r="AB42" s="116">
        <f>AA41*КоэффСохранения</f>
        <v/>
      </c>
      <c r="AC42" s="116">
        <f>AB41*КоэффСохранения</f>
        <v/>
      </c>
      <c r="AD42" s="116">
        <f>AC41*КоэффСохранения</f>
        <v/>
      </c>
      <c r="AE42" s="116">
        <f>AD41*КоэффСохранения</f>
        <v/>
      </c>
      <c r="AF42" s="116">
        <f>AE41*КоэффСохранения</f>
        <v/>
      </c>
      <c r="AG42" s="116">
        <f>AF41*КоэффСохранения</f>
        <v/>
      </c>
      <c r="AH42" s="116">
        <f>AG41*КоэффСохранения</f>
        <v/>
      </c>
      <c r="AI42" s="116">
        <f>AH41*КоэффСохранения</f>
        <v/>
      </c>
      <c r="AJ42" s="116">
        <f>AI41*КоэффСохранения</f>
        <v/>
      </c>
      <c r="AK42" s="116">
        <f>AJ41*КоэффСохранения</f>
        <v/>
      </c>
      <c r="AL42" s="116">
        <f>AK41*КоэффСохранения</f>
        <v/>
      </c>
      <c r="AM42" s="116">
        <f>AL41*КоэффСохранения</f>
        <v/>
      </c>
      <c r="AN42" s="116">
        <f>AM41*КоэффСохранения</f>
        <v/>
      </c>
      <c r="AO42" s="116">
        <f>AN41*КоэффСохранения</f>
        <v/>
      </c>
      <c r="AP42" s="116">
        <f>AO41*КоэффСохранения</f>
        <v/>
      </c>
      <c r="AQ42" s="116">
        <f>AP41*КоэффСохранения</f>
        <v/>
      </c>
      <c r="AR42" s="116">
        <f>AQ41*КоэффСохранения</f>
        <v/>
      </c>
      <c r="AS42" s="116">
        <f>AR41*КоэффСохранения</f>
        <v/>
      </c>
      <c r="AT42" s="116">
        <f>AS41*КоэффСохранения</f>
        <v/>
      </c>
      <c r="AU42" s="116">
        <f>AT41*КоэффСохранения</f>
        <v/>
      </c>
      <c r="AV42" s="116">
        <f>AU41*КоэффСохранения</f>
        <v/>
      </c>
      <c r="AW42" s="116">
        <f>AV41*КоэффСохранения</f>
        <v/>
      </c>
      <c r="AX42" s="116">
        <f>AW41*КоэффСохранения</f>
        <v/>
      </c>
      <c r="AY42" s="116">
        <f>AX41*КоэффСохранения</f>
        <v/>
      </c>
      <c r="AZ42" s="116">
        <f>AY41*КоэффСохранения</f>
        <v/>
      </c>
      <c r="BA42" s="116">
        <f>AZ41*КоэффСохранения</f>
        <v/>
      </c>
      <c r="BB42" s="116">
        <f>BA41*КоэффСохранения</f>
        <v/>
      </c>
      <c r="BC42" s="116">
        <f>BB41*КоэффСохранения</f>
        <v/>
      </c>
      <c r="BD42" s="116">
        <f>BC41*КоэффСохранения</f>
        <v/>
      </c>
      <c r="BE42" s="116">
        <f>BD41*КоэффСохранения</f>
        <v/>
      </c>
      <c r="BF42" s="116">
        <f>BE41*КоэффСохранения</f>
        <v/>
      </c>
      <c r="BG42" s="116">
        <f>BF41*КоэффСохранения</f>
        <v/>
      </c>
      <c r="BH42" s="116">
        <f>BG41*КоэффСохранения</f>
        <v/>
      </c>
      <c r="BI42" s="116">
        <f>BH41*КоэффСохранения</f>
        <v/>
      </c>
      <c r="BJ42" s="116">
        <f>BI41*КоэффСохранения</f>
        <v/>
      </c>
      <c r="BK42" s="116">
        <f>BJ41*КоэффСохранения</f>
        <v/>
      </c>
      <c r="BL42" s="116">
        <f>BK41*КоэффСохранения</f>
        <v/>
      </c>
      <c r="BM42" s="116">
        <f>BL41*КоэффСохранения</f>
        <v/>
      </c>
      <c r="BN42" s="116">
        <f>BM41*КоэффСохранения</f>
        <v/>
      </c>
      <c r="BO42" s="116">
        <f>BN41*КоэффСохранения</f>
        <v/>
      </c>
      <c r="BP42" s="116">
        <f>BO41*КоэффСохранения</f>
        <v/>
      </c>
      <c r="BQ42" s="116">
        <f>BP41*КоэффСохранения</f>
        <v/>
      </c>
      <c r="BR42" s="116">
        <f>BQ41*КоэффСохранения</f>
        <v/>
      </c>
      <c r="BS42" s="116">
        <f>BR41*КоэффСохранения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04" t="inlineStr"/>
      <c r="E43" s="114">
        <f>W43</f>
        <v/>
      </c>
      <c r="F43" s="114">
        <f>AI43</f>
        <v/>
      </c>
      <c r="G43" s="114">
        <f>AU43</f>
        <v/>
      </c>
      <c r="H43" s="114">
        <f>BG43</f>
        <v/>
      </c>
      <c r="I43" s="114">
        <f>BS43</f>
        <v/>
      </c>
      <c r="J43" s="115">
        <f>BS43</f>
        <v/>
      </c>
      <c r="L43" s="116">
        <f>0</f>
        <v/>
      </c>
      <c r="M43" s="116">
        <f>L42*КоэффСохранения</f>
        <v/>
      </c>
      <c r="N43" s="116">
        <f>M42*КоэффСохранения</f>
        <v/>
      </c>
      <c r="O43" s="116">
        <f>N42*КоэффСохранения</f>
        <v/>
      </c>
      <c r="P43" s="116">
        <f>O42*КоэффСохранения</f>
        <v/>
      </c>
      <c r="Q43" s="116">
        <f>P42*КоэффСохранения</f>
        <v/>
      </c>
      <c r="R43" s="116">
        <f>Q42*КоэффСохранения</f>
        <v/>
      </c>
      <c r="S43" s="116">
        <f>R42*КоэффСохранения</f>
        <v/>
      </c>
      <c r="T43" s="116">
        <f>S42*КоэффСохранения</f>
        <v/>
      </c>
      <c r="U43" s="116">
        <f>T42*КоэффСохранения</f>
        <v/>
      </c>
      <c r="V43" s="116">
        <f>U42*КоэффСохранения</f>
        <v/>
      </c>
      <c r="W43" s="116">
        <f>V42*КоэффСохранения</f>
        <v/>
      </c>
      <c r="X43" s="116">
        <f>W42*КоэффСохранения</f>
        <v/>
      </c>
      <c r="Y43" s="116">
        <f>X42*КоэффСохранения</f>
        <v/>
      </c>
      <c r="Z43" s="116">
        <f>Y42*КоэффСохранения</f>
        <v/>
      </c>
      <c r="AA43" s="116">
        <f>Z42*КоэффСохранения</f>
        <v/>
      </c>
      <c r="AB43" s="116">
        <f>AA42*КоэффСохранения</f>
        <v/>
      </c>
      <c r="AC43" s="116">
        <f>AB42*КоэффСохранения</f>
        <v/>
      </c>
      <c r="AD43" s="116">
        <f>AC42*КоэффСохранения</f>
        <v/>
      </c>
      <c r="AE43" s="116">
        <f>AD42*КоэффСохранения</f>
        <v/>
      </c>
      <c r="AF43" s="116">
        <f>AE42*КоэффСохранения</f>
        <v/>
      </c>
      <c r="AG43" s="116">
        <f>AF42*КоэффСохранения</f>
        <v/>
      </c>
      <c r="AH43" s="116">
        <f>AG42*КоэффСохранения</f>
        <v/>
      </c>
      <c r="AI43" s="116">
        <f>AH42*КоэффСохранения</f>
        <v/>
      </c>
      <c r="AJ43" s="116">
        <f>AI42*КоэффСохранения</f>
        <v/>
      </c>
      <c r="AK43" s="116">
        <f>AJ42*КоэффСохранения</f>
        <v/>
      </c>
      <c r="AL43" s="116">
        <f>AK42*КоэффСохранения</f>
        <v/>
      </c>
      <c r="AM43" s="116">
        <f>AL42*КоэффСохранения</f>
        <v/>
      </c>
      <c r="AN43" s="116">
        <f>AM42*КоэффСохранения</f>
        <v/>
      </c>
      <c r="AO43" s="116">
        <f>AN42*КоэффСохранения</f>
        <v/>
      </c>
      <c r="AP43" s="116">
        <f>AO42*КоэффСохранения</f>
        <v/>
      </c>
      <c r="AQ43" s="116">
        <f>AP42*КоэффСохранения</f>
        <v/>
      </c>
      <c r="AR43" s="116">
        <f>AQ42*КоэффСохранения</f>
        <v/>
      </c>
      <c r="AS43" s="116">
        <f>AR42*КоэффСохранения</f>
        <v/>
      </c>
      <c r="AT43" s="116">
        <f>AS42*КоэффСохранения</f>
        <v/>
      </c>
      <c r="AU43" s="116">
        <f>AT42*КоэффСохранения</f>
        <v/>
      </c>
      <c r="AV43" s="116">
        <f>AU42*КоэффСохранения</f>
        <v/>
      </c>
      <c r="AW43" s="116">
        <f>AV42*КоэффСохранения</f>
        <v/>
      </c>
      <c r="AX43" s="116">
        <f>AW42*КоэффСохранения</f>
        <v/>
      </c>
      <c r="AY43" s="116">
        <f>AX42*КоэффСохранения</f>
        <v/>
      </c>
      <c r="AZ43" s="116">
        <f>AY42*КоэффСохранения</f>
        <v/>
      </c>
      <c r="BA43" s="116">
        <f>AZ42*КоэффСохранения</f>
        <v/>
      </c>
      <c r="BB43" s="116">
        <f>BA42*КоэффСохранения</f>
        <v/>
      </c>
      <c r="BC43" s="116">
        <f>BB42*КоэффСохранения</f>
        <v/>
      </c>
      <c r="BD43" s="116">
        <f>BC42*КоэффСохранения</f>
        <v/>
      </c>
      <c r="BE43" s="116">
        <f>BD42*КоэффСохранения</f>
        <v/>
      </c>
      <c r="BF43" s="116">
        <f>BE42*КоэффСохранения</f>
        <v/>
      </c>
      <c r="BG43" s="116">
        <f>BF42*КоэффСохранения</f>
        <v/>
      </c>
      <c r="BH43" s="116">
        <f>BG42*КоэффСохранения</f>
        <v/>
      </c>
      <c r="BI43" s="116">
        <f>BH42*КоэффСохранения</f>
        <v/>
      </c>
      <c r="BJ43" s="116">
        <f>BI42*КоэффСохранения</f>
        <v/>
      </c>
      <c r="BK43" s="116">
        <f>BJ42*КоэффСохранения</f>
        <v/>
      </c>
      <c r="BL43" s="116">
        <f>BK42*КоэффСохранения</f>
        <v/>
      </c>
      <c r="BM43" s="116">
        <f>BL42*КоэффСохранения</f>
        <v/>
      </c>
      <c r="BN43" s="116">
        <f>BM42*КоэффСохранения</f>
        <v/>
      </c>
      <c r="BO43" s="116">
        <f>BN42*КоэффСохранения</f>
        <v/>
      </c>
      <c r="BP43" s="116">
        <f>BO42*КоэффСохранения</f>
        <v/>
      </c>
      <c r="BQ43" s="116">
        <f>BP42*КоэффСохранения</f>
        <v/>
      </c>
      <c r="BR43" s="116">
        <f>BQ42*КоэффСохранения</f>
        <v/>
      </c>
      <c r="BS43" s="116">
        <f>BR42*КоэффСохранения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04" t="inlineStr"/>
      <c r="E44" s="114">
        <f>W44</f>
        <v/>
      </c>
      <c r="F44" s="114">
        <f>AI44</f>
        <v/>
      </c>
      <c r="G44" s="114">
        <f>AU44</f>
        <v/>
      </c>
      <c r="H44" s="114">
        <f>BG44</f>
        <v/>
      </c>
      <c r="I44" s="114">
        <f>BS44</f>
        <v/>
      </c>
      <c r="J44" s="115">
        <f>BS44</f>
        <v/>
      </c>
      <c r="L44" s="116">
        <f>0</f>
        <v/>
      </c>
      <c r="M44" s="116">
        <f>(L43+L44)*КоэффСохранения</f>
        <v/>
      </c>
      <c r="N44" s="116">
        <f>(M43+M44)*КоэффСохранения</f>
        <v/>
      </c>
      <c r="O44" s="116">
        <f>(N43+N44)*КоэффСохранения</f>
        <v/>
      </c>
      <c r="P44" s="116">
        <f>(O43+O44)*КоэффСохранения</f>
        <v/>
      </c>
      <c r="Q44" s="116">
        <f>(P43+P44)*КоэффСохранения</f>
        <v/>
      </c>
      <c r="R44" s="116">
        <f>(Q43+Q44)*КоэффСохранения</f>
        <v/>
      </c>
      <c r="S44" s="116">
        <f>(R43+R44)*КоэффСохранения</f>
        <v/>
      </c>
      <c r="T44" s="116">
        <f>(S43+S44)*КоэффСохранения</f>
        <v/>
      </c>
      <c r="U44" s="116">
        <f>(T43+T44)*КоэффСохранения</f>
        <v/>
      </c>
      <c r="V44" s="116">
        <f>(U43+U44)*КоэффСохранения</f>
        <v/>
      </c>
      <c r="W44" s="116">
        <f>(V43+V44)*КоэффСохранения</f>
        <v/>
      </c>
      <c r="X44" s="116">
        <f>(W43+W44)*КоэффСохранения</f>
        <v/>
      </c>
      <c r="Y44" s="116">
        <f>(X43+X44)*КоэффСохранения</f>
        <v/>
      </c>
      <c r="Z44" s="116">
        <f>(Y43+Y44)*КоэффСохранения</f>
        <v/>
      </c>
      <c r="AA44" s="116">
        <f>(Z43+Z44)*КоэффСохранения</f>
        <v/>
      </c>
      <c r="AB44" s="116">
        <f>(AA43+AA44)*КоэффСохранения</f>
        <v/>
      </c>
      <c r="AC44" s="116">
        <f>(AB43+AB44)*КоэффСохранения</f>
        <v/>
      </c>
      <c r="AD44" s="116">
        <f>(AC43+AC44)*КоэффСохранения</f>
        <v/>
      </c>
      <c r="AE44" s="116">
        <f>(AD43+AD44)*КоэффСохранения</f>
        <v/>
      </c>
      <c r="AF44" s="116">
        <f>(AE43+AE44)*КоэффСохранения</f>
        <v/>
      </c>
      <c r="AG44" s="116">
        <f>(AF43+AF44)*КоэффСохранения</f>
        <v/>
      </c>
      <c r="AH44" s="116">
        <f>(AG43+AG44)*КоэффСохранения</f>
        <v/>
      </c>
      <c r="AI44" s="116">
        <f>(AH43+AH44)*КоэффСохранения</f>
        <v/>
      </c>
      <c r="AJ44" s="116">
        <f>(AI43+AI44)*КоэффСохранения</f>
        <v/>
      </c>
      <c r="AK44" s="116">
        <f>(AJ43+AJ44)*КоэффСохранения</f>
        <v/>
      </c>
      <c r="AL44" s="116">
        <f>(AK43+AK44)*КоэффСохранения</f>
        <v/>
      </c>
      <c r="AM44" s="116">
        <f>(AL43+AL44)*КоэффСохранения</f>
        <v/>
      </c>
      <c r="AN44" s="116">
        <f>(AM43+AM44)*КоэффСохранения</f>
        <v/>
      </c>
      <c r="AO44" s="116">
        <f>(AN43+AN44)*КоэффСохранения</f>
        <v/>
      </c>
      <c r="AP44" s="116">
        <f>(AO43+AO44)*КоэффСохранения</f>
        <v/>
      </c>
      <c r="AQ44" s="116">
        <f>(AP43+AP44)*КоэффСохранения</f>
        <v/>
      </c>
      <c r="AR44" s="116">
        <f>(AQ43+AQ44)*КоэффСохранения</f>
        <v/>
      </c>
      <c r="AS44" s="116">
        <f>(AR43+AR44)*КоэффСохранения</f>
        <v/>
      </c>
      <c r="AT44" s="116">
        <f>(AS43+AS44)*КоэффСохранения</f>
        <v/>
      </c>
      <c r="AU44" s="116">
        <f>(AT43+AT44)*КоэффСохранения</f>
        <v/>
      </c>
      <c r="AV44" s="116">
        <f>(AU43+AU44)*КоэффСохранения</f>
        <v/>
      </c>
      <c r="AW44" s="116">
        <f>(AV43+AV44)*КоэффСохранения</f>
        <v/>
      </c>
      <c r="AX44" s="116">
        <f>(AW43+AW44)*КоэффСохранения</f>
        <v/>
      </c>
      <c r="AY44" s="116">
        <f>(AX43+AX44)*КоэффСохранения</f>
        <v/>
      </c>
      <c r="AZ44" s="116">
        <f>(AY43+AY44)*КоэффСохранения</f>
        <v/>
      </c>
      <c r="BA44" s="116">
        <f>(AZ43+AZ44)*КоэффСохранения</f>
        <v/>
      </c>
      <c r="BB44" s="116">
        <f>(BA43+BA44)*КоэффСохранения</f>
        <v/>
      </c>
      <c r="BC44" s="116">
        <f>(BB43+BB44)*КоэффСохранения</f>
        <v/>
      </c>
      <c r="BD44" s="116">
        <f>(BC43+BC44)*КоэффСохранения</f>
        <v/>
      </c>
      <c r="BE44" s="116">
        <f>(BD43+BD44)*КоэффСохранения</f>
        <v/>
      </c>
      <c r="BF44" s="116">
        <f>(BE43+BE44)*КоэффСохранения</f>
        <v/>
      </c>
      <c r="BG44" s="116">
        <f>(BF43+BF44)*КоэффСохранения</f>
        <v/>
      </c>
      <c r="BH44" s="116">
        <f>(BG43+BG44)*КоэффСохранения</f>
        <v/>
      </c>
      <c r="BI44" s="116">
        <f>(BH43+BH44)*КоэффСохранения</f>
        <v/>
      </c>
      <c r="BJ44" s="116">
        <f>(BI43+BI44)*КоэффСохранения</f>
        <v/>
      </c>
      <c r="BK44" s="116">
        <f>(BJ43+BJ44)*КоэффСохранения</f>
        <v/>
      </c>
      <c r="BL44" s="116">
        <f>(BK43+BK44)*КоэффСохранения</f>
        <v/>
      </c>
      <c r="BM44" s="116">
        <f>(BL43+BL44)*КоэффСохранения</f>
        <v/>
      </c>
      <c r="BN44" s="116">
        <f>(BM43+BM44)*КоэффСохранения</f>
        <v/>
      </c>
      <c r="BO44" s="116">
        <f>(BN43+BN44)*КоэффСохранения</f>
        <v/>
      </c>
      <c r="BP44" s="116">
        <f>(BO43+BO44)*КоэффСохранения</f>
        <v/>
      </c>
      <c r="BQ44" s="116">
        <f>(BP43+BP44)*КоэффСохранения</f>
        <v/>
      </c>
      <c r="BR44" s="116">
        <f>(BQ43+BQ44)*КоэффСохранения</f>
        <v/>
      </c>
      <c r="BS44" s="116">
        <f>(BR43+BR44)*КоэффСохранения</f>
        <v/>
      </c>
    </row>
    <row r="46">
      <c r="B46" s="102" t="inlineStr">
        <is>
          <t>Роялти новых школ по возрасту — старая ставка</t>
        </is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03" t="n"/>
      <c r="AH46" s="103" t="n"/>
      <c r="AI46" s="103" t="n"/>
      <c r="AJ46" s="103" t="n"/>
      <c r="AK46" s="103" t="n"/>
      <c r="AL46" s="103" t="n"/>
      <c r="AM46" s="103" t="n"/>
      <c r="AN46" s="103" t="n"/>
      <c r="AO46" s="103" t="n"/>
      <c r="AP46" s="103" t="n"/>
      <c r="AQ46" s="103" t="n"/>
      <c r="AR46" s="103" t="n"/>
      <c r="AS46" s="103" t="n"/>
      <c r="AT46" s="103" t="n"/>
      <c r="AU46" s="103" t="n"/>
      <c r="AV46" s="103" t="n"/>
      <c r="AW46" s="103" t="n"/>
      <c r="AX46" s="103" t="n"/>
      <c r="AY46" s="103" t="n"/>
      <c r="AZ46" s="103" t="n"/>
      <c r="BA46" s="103" t="n"/>
      <c r="BB46" s="103" t="n"/>
      <c r="BC46" s="103" t="n"/>
      <c r="BD46" s="103" t="n"/>
      <c r="BE46" s="103" t="n"/>
      <c r="BF46" s="103" t="n"/>
      <c r="BG46" s="103" t="n"/>
      <c r="BH46" s="103" t="n"/>
      <c r="BI46" s="103" t="n"/>
      <c r="BJ46" s="103" t="n"/>
      <c r="BK46" s="103" t="n"/>
      <c r="BL46" s="103" t="n"/>
      <c r="BM46" s="103" t="n"/>
      <c r="BN46" s="103" t="n"/>
      <c r="BO46" s="103" t="n"/>
      <c r="BP46" s="103" t="n"/>
      <c r="BQ46" s="103" t="n"/>
      <c r="BR46" s="103" t="n"/>
      <c r="BS46" s="103" t="n"/>
    </row>
    <row r="47">
      <c r="B47" t="inlineStr">
        <is>
          <t>1 мес.</t>
        </is>
      </c>
      <c r="C47" t="inlineStr">
        <is>
          <t>₽</t>
        </is>
      </c>
      <c r="D47" s="104" t="inlineStr"/>
      <c r="E47" s="128">
        <f>SUM(L47:W47)</f>
        <v/>
      </c>
      <c r="F47" s="128">
        <f>SUM(X47:AI47)</f>
        <v/>
      </c>
      <c r="G47" s="128">
        <f>SUM(AJ47:AU47)</f>
        <v/>
      </c>
      <c r="H47" s="128">
        <f>SUM(AV47:BG47)</f>
        <v/>
      </c>
      <c r="I47" s="128">
        <f>SUM(BH47:BS47)</f>
        <v/>
      </c>
      <c r="J47" s="129">
        <f>SUM(L47:BS47)</f>
        <v/>
      </c>
      <c r="L47" s="130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130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130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130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130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130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130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130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130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130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130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130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130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130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130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130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130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130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130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130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130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130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130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130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130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130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130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130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130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130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130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130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130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130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130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130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130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130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130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130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130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130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130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130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130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130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130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130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130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130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130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130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130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130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130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130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130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130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130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130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04" t="inlineStr"/>
      <c r="E48" s="128">
        <f>SUM(L48:W48)</f>
        <v/>
      </c>
      <c r="F48" s="128">
        <f>SUM(X48:AI48)</f>
        <v/>
      </c>
      <c r="G48" s="128">
        <f>SUM(AJ48:AU48)</f>
        <v/>
      </c>
      <c r="H48" s="128">
        <f>SUM(AV48:BG48)</f>
        <v/>
      </c>
      <c r="I48" s="128">
        <f>SUM(BH48:BS48)</f>
        <v/>
      </c>
      <c r="J48" s="129">
        <f>SUM(L48:BS48)</f>
        <v/>
      </c>
      <c r="L48" s="130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130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130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130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130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130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130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130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130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130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130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130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130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130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130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130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130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130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130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130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130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130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130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130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130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130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130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130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130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130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130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130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130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130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130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130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130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130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130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130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130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130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130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130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130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130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130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130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130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130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130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130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130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130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130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130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130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130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130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130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04" t="inlineStr"/>
      <c r="E49" s="128">
        <f>SUM(L49:W49)</f>
        <v/>
      </c>
      <c r="F49" s="128">
        <f>SUM(X49:AI49)</f>
        <v/>
      </c>
      <c r="G49" s="128">
        <f>SUM(AJ49:AU49)</f>
        <v/>
      </c>
      <c r="H49" s="128">
        <f>SUM(AV49:BG49)</f>
        <v/>
      </c>
      <c r="I49" s="128">
        <f>SUM(BH49:BS49)</f>
        <v/>
      </c>
      <c r="J49" s="129">
        <f>SUM(L49:BS49)</f>
        <v/>
      </c>
      <c r="L49" s="130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130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130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130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130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130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130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130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130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130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130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130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130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130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130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130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130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130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130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130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130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130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130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130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130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130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130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130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130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130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130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130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130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130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130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130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130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130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130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130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130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130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130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130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130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130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130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130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130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130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130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130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130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130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130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130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130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130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130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130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04" t="inlineStr"/>
      <c r="E50" s="128">
        <f>SUM(L50:W50)</f>
        <v/>
      </c>
      <c r="F50" s="128">
        <f>SUM(X50:AI50)</f>
        <v/>
      </c>
      <c r="G50" s="128">
        <f>SUM(AJ50:AU50)</f>
        <v/>
      </c>
      <c r="H50" s="128">
        <f>SUM(AV50:BG50)</f>
        <v/>
      </c>
      <c r="I50" s="128">
        <f>SUM(BH50:BS50)</f>
        <v/>
      </c>
      <c r="J50" s="129">
        <f>SUM(L50:BS50)</f>
        <v/>
      </c>
      <c r="L50" s="130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130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130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130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130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130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130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130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130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130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130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130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130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130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130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130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130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130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130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130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130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130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130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130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130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130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130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130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130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130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130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130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130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130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130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130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130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130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130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130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130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130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130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130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130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130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130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130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130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130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130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130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130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130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130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130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130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130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130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130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04" t="inlineStr"/>
      <c r="E51" s="128">
        <f>SUM(L51:W51)</f>
        <v/>
      </c>
      <c r="F51" s="128">
        <f>SUM(X51:AI51)</f>
        <v/>
      </c>
      <c r="G51" s="128">
        <f>SUM(AJ51:AU51)</f>
        <v/>
      </c>
      <c r="H51" s="128">
        <f>SUM(AV51:BG51)</f>
        <v/>
      </c>
      <c r="I51" s="128">
        <f>SUM(BH51:BS51)</f>
        <v/>
      </c>
      <c r="J51" s="129">
        <f>SUM(L51:BS51)</f>
        <v/>
      </c>
      <c r="L51" s="130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130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130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130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130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130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130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130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130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130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130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130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130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130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130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130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130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130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130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130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130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130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130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130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130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130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130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130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130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130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130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130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130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130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130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130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130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130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130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130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130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130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130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130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130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130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130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130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130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130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130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130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130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130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130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130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130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130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130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130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04" t="inlineStr"/>
      <c r="E52" s="128">
        <f>SUM(L52:W52)</f>
        <v/>
      </c>
      <c r="F52" s="128">
        <f>SUM(X52:AI52)</f>
        <v/>
      </c>
      <c r="G52" s="128">
        <f>SUM(AJ52:AU52)</f>
        <v/>
      </c>
      <c r="H52" s="128">
        <f>SUM(AV52:BG52)</f>
        <v/>
      </c>
      <c r="I52" s="128">
        <f>SUM(BH52:BS52)</f>
        <v/>
      </c>
      <c r="J52" s="129">
        <f>SUM(L52:BS52)</f>
        <v/>
      </c>
      <c r="L52" s="130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130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130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130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130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130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130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130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130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130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130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130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130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130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130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130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130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130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130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130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130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130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130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130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130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130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130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130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130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130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130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130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130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130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130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130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130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130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130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130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130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130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130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130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130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130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130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130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130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130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130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130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130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130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130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130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130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130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130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130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04" t="inlineStr"/>
      <c r="E53" s="128">
        <f>SUM(L53:W53)</f>
        <v/>
      </c>
      <c r="F53" s="128">
        <f>SUM(X53:AI53)</f>
        <v/>
      </c>
      <c r="G53" s="128">
        <f>SUM(AJ53:AU53)</f>
        <v/>
      </c>
      <c r="H53" s="128">
        <f>SUM(AV53:BG53)</f>
        <v/>
      </c>
      <c r="I53" s="128">
        <f>SUM(BH53:BS53)</f>
        <v/>
      </c>
      <c r="J53" s="129">
        <f>SUM(L53:BS53)</f>
        <v/>
      </c>
      <c r="L53" s="130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130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130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130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130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130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130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130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130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130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130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130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130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130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130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130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130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130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130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130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130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130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130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130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130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130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130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130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130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130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130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130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130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130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130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130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130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130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130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130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130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130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130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130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130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130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130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130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130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130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130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130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130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130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130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130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130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130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130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130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04" t="inlineStr"/>
      <c r="E54" s="128">
        <f>SUM(L54:W54)</f>
        <v/>
      </c>
      <c r="F54" s="128">
        <f>SUM(X54:AI54)</f>
        <v/>
      </c>
      <c r="G54" s="128">
        <f>SUM(AJ54:AU54)</f>
        <v/>
      </c>
      <c r="H54" s="128">
        <f>SUM(AV54:BG54)</f>
        <v/>
      </c>
      <c r="I54" s="128">
        <f>SUM(BH54:BS54)</f>
        <v/>
      </c>
      <c r="J54" s="129">
        <f>SUM(L54:BS54)</f>
        <v/>
      </c>
      <c r="L54" s="130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130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130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130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130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130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130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130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130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130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130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130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130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130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130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130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130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130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130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130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130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130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130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130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130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130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130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130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130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130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130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130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130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130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130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130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130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130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130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130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130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130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130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130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130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130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130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130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130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130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130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130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130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130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130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130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130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130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130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130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04" t="inlineStr"/>
      <c r="E55" s="128">
        <f>SUM(L55:W55)</f>
        <v/>
      </c>
      <c r="F55" s="128">
        <f>SUM(X55:AI55)</f>
        <v/>
      </c>
      <c r="G55" s="128">
        <f>SUM(AJ55:AU55)</f>
        <v/>
      </c>
      <c r="H55" s="128">
        <f>SUM(AV55:BG55)</f>
        <v/>
      </c>
      <c r="I55" s="128">
        <f>SUM(BH55:BS55)</f>
        <v/>
      </c>
      <c r="J55" s="129">
        <f>SUM(L55:BS55)</f>
        <v/>
      </c>
      <c r="L55" s="130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130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130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130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130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130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130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130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130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130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130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130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130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130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130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130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130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130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130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130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130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130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130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130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130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130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130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130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130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130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130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130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130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130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130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130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130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130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130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130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130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130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130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130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130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130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130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130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130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130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130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130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130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130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130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130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130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130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130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130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04" t="inlineStr"/>
      <c r="E56" s="128">
        <f>SUM(L56:W56)</f>
        <v/>
      </c>
      <c r="F56" s="128">
        <f>SUM(X56:AI56)</f>
        <v/>
      </c>
      <c r="G56" s="128">
        <f>SUM(AJ56:AU56)</f>
        <v/>
      </c>
      <c r="H56" s="128">
        <f>SUM(AV56:BG56)</f>
        <v/>
      </c>
      <c r="I56" s="128">
        <f>SUM(BH56:BS56)</f>
        <v/>
      </c>
      <c r="J56" s="129">
        <f>SUM(L56:BS56)</f>
        <v/>
      </c>
      <c r="L56" s="130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130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130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130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130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130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130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130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130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130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130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130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130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130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130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130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130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130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130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130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130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130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130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130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130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130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130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130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130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130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130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130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130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130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130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130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130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130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130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130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130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130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130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130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130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130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130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130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130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130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130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130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130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130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130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130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130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130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130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130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04" t="inlineStr"/>
      <c r="E57" s="128">
        <f>SUM(L57:W57)</f>
        <v/>
      </c>
      <c r="F57" s="128">
        <f>SUM(X57:AI57)</f>
        <v/>
      </c>
      <c r="G57" s="128">
        <f>SUM(AJ57:AU57)</f>
        <v/>
      </c>
      <c r="H57" s="128">
        <f>SUM(AV57:BG57)</f>
        <v/>
      </c>
      <c r="I57" s="128">
        <f>SUM(BH57:BS57)</f>
        <v/>
      </c>
      <c r="J57" s="129">
        <f>SUM(L57:BS57)</f>
        <v/>
      </c>
      <c r="L57" s="130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130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130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130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130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130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130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130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130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130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130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130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130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130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130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130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130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130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130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130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130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130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130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130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130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130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130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130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130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130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130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130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130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130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130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130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130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130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130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130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130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130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130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130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130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130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130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130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130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130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130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130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130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130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130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130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130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130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130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130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04" t="inlineStr"/>
      <c r="E58" s="128">
        <f>SUM(L58:W58)</f>
        <v/>
      </c>
      <c r="F58" s="128">
        <f>SUM(X58:AI58)</f>
        <v/>
      </c>
      <c r="G58" s="128">
        <f>SUM(AJ58:AU58)</f>
        <v/>
      </c>
      <c r="H58" s="128">
        <f>SUM(AV58:BG58)</f>
        <v/>
      </c>
      <c r="I58" s="128">
        <f>SUM(BH58:BS58)</f>
        <v/>
      </c>
      <c r="J58" s="129">
        <f>SUM(L58:BS58)</f>
        <v/>
      </c>
      <c r="L58" s="130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130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130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130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130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130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130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130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130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130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130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130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130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130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130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130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130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130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130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130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130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130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130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130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130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130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130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130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130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130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130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130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130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130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130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130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130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130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130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130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130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130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130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130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130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130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130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130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130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130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130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130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130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130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130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130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130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130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130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130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04" t="inlineStr"/>
      <c r="E59" s="128">
        <f>SUM(L59:W59)</f>
        <v/>
      </c>
      <c r="F59" s="128">
        <f>SUM(X59:AI59)</f>
        <v/>
      </c>
      <c r="G59" s="128">
        <f>SUM(AJ59:AU59)</f>
        <v/>
      </c>
      <c r="H59" s="128">
        <f>SUM(AV59:BG59)</f>
        <v/>
      </c>
      <c r="I59" s="128">
        <f>SUM(BH59:BS59)</f>
        <v/>
      </c>
      <c r="J59" s="129">
        <f>SUM(L59:BS59)</f>
        <v/>
      </c>
      <c r="L59" s="130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130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130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130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130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130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130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130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130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130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130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130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130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130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130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130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130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130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130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130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130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130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130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130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130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130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130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130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130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130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130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130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130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130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130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130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130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130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130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130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130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130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130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130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130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130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130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130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130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130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130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130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130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130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130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130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130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130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130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130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04" t="inlineStr"/>
      <c r="E60" s="128">
        <f>SUM(L60:W60)</f>
        <v/>
      </c>
      <c r="F60" s="128">
        <f>SUM(X60:AI60)</f>
        <v/>
      </c>
      <c r="G60" s="128">
        <f>SUM(AJ60:AU60)</f>
        <v/>
      </c>
      <c r="H60" s="128">
        <f>SUM(AV60:BG60)</f>
        <v/>
      </c>
      <c r="I60" s="128">
        <f>SUM(BH60:BS60)</f>
        <v/>
      </c>
      <c r="J60" s="129">
        <f>SUM(L60:BS60)</f>
        <v/>
      </c>
      <c r="L60" s="130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130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130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130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130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130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130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130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130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130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130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130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130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130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130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130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130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130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130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130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130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130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130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130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130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130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130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130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130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130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130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130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130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130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130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130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130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130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130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130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130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130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130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130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130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130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130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130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130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130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130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130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130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130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130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130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130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130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130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130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04" t="inlineStr"/>
      <c r="E61" s="128">
        <f>SUM(L61:W61)</f>
        <v/>
      </c>
      <c r="F61" s="128">
        <f>SUM(X61:AI61)</f>
        <v/>
      </c>
      <c r="G61" s="128">
        <f>SUM(AJ61:AU61)</f>
        <v/>
      </c>
      <c r="H61" s="128">
        <f>SUM(AV61:BG61)</f>
        <v/>
      </c>
      <c r="I61" s="128">
        <f>SUM(BH61:BS61)</f>
        <v/>
      </c>
      <c r="J61" s="129">
        <f>SUM(L61:BS61)</f>
        <v/>
      </c>
      <c r="L61" s="130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130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130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130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130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130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130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130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130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130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130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130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130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130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130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130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130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130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130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130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130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130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130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130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130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130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130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130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130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130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130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130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130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130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130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130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130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130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130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130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130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130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130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130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130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130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130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130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130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130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130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130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130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130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130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130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130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130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130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130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04" t="inlineStr"/>
      <c r="E62" s="128">
        <f>SUM(L62:W62)</f>
        <v/>
      </c>
      <c r="F62" s="128">
        <f>SUM(X62:AI62)</f>
        <v/>
      </c>
      <c r="G62" s="128">
        <f>SUM(AJ62:AU62)</f>
        <v/>
      </c>
      <c r="H62" s="128">
        <f>SUM(AV62:BG62)</f>
        <v/>
      </c>
      <c r="I62" s="128">
        <f>SUM(BH62:BS62)</f>
        <v/>
      </c>
      <c r="J62" s="129">
        <f>SUM(L62:BS62)</f>
        <v/>
      </c>
      <c r="L62" s="130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130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130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130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130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130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130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130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130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130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130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130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130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130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130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130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130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130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130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130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130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130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130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130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130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130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130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130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130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130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130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130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130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130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130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130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130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130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130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130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130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130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130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130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130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130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130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130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130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130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130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130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130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130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130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130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130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130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130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130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04" t="inlineStr"/>
      <c r="E63" s="128">
        <f>SUM(L63:W63)</f>
        <v/>
      </c>
      <c r="F63" s="128">
        <f>SUM(X63:AI63)</f>
        <v/>
      </c>
      <c r="G63" s="128">
        <f>SUM(AJ63:AU63)</f>
        <v/>
      </c>
      <c r="H63" s="128">
        <f>SUM(AV63:BG63)</f>
        <v/>
      </c>
      <c r="I63" s="128">
        <f>SUM(BH63:BS63)</f>
        <v/>
      </c>
      <c r="J63" s="129">
        <f>SUM(L63:BS63)</f>
        <v/>
      </c>
      <c r="L63" s="130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130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130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130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130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130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130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130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130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130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130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130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130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130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130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130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130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130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130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130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130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130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130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130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130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130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130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130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130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130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130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130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130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130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130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130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130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130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130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130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130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130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130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130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130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130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130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130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130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130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130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130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130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130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130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130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130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130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130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130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04" t="inlineStr"/>
      <c r="E64" s="128">
        <f>SUM(L64:W64)</f>
        <v/>
      </c>
      <c r="F64" s="128">
        <f>SUM(X64:AI64)</f>
        <v/>
      </c>
      <c r="G64" s="128">
        <f>SUM(AJ64:AU64)</f>
        <v/>
      </c>
      <c r="H64" s="128">
        <f>SUM(AV64:BG64)</f>
        <v/>
      </c>
      <c r="I64" s="128">
        <f>SUM(BH64:BS64)</f>
        <v/>
      </c>
      <c r="J64" s="129">
        <f>SUM(L64:BS64)</f>
        <v/>
      </c>
      <c r="L64" s="130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130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130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130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130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130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130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130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130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130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130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130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130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130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130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130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130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130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130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130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130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130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130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130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130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130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130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130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130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130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130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130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130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130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130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130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130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130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130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130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130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130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130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130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130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130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130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130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130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130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130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130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130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130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130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130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130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130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130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130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04" t="inlineStr"/>
      <c r="E65" s="128">
        <f>SUM(L65:W65)</f>
        <v/>
      </c>
      <c r="F65" s="128">
        <f>SUM(X65:AI65)</f>
        <v/>
      </c>
      <c r="G65" s="128">
        <f>SUM(AJ65:AU65)</f>
        <v/>
      </c>
      <c r="H65" s="128">
        <f>SUM(AV65:BG65)</f>
        <v/>
      </c>
      <c r="I65" s="128">
        <f>SUM(BH65:BS65)</f>
        <v/>
      </c>
      <c r="J65" s="129">
        <f>SUM(L65:BS65)</f>
        <v/>
      </c>
      <c r="L65" s="130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130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130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130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130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130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130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130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130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130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130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130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130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130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130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130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130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130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130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130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130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130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130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130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130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130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130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130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130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130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130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130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130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130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130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130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130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130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130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130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130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130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130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130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130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130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130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130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130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130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130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130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130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130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130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130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130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130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130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130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04" t="inlineStr"/>
      <c r="E66" s="128">
        <f>SUM(L66:W66)</f>
        <v/>
      </c>
      <c r="F66" s="128">
        <f>SUM(X66:AI66)</f>
        <v/>
      </c>
      <c r="G66" s="128">
        <f>SUM(AJ66:AU66)</f>
        <v/>
      </c>
      <c r="H66" s="128">
        <f>SUM(AV66:BG66)</f>
        <v/>
      </c>
      <c r="I66" s="128">
        <f>SUM(BH66:BS66)</f>
        <v/>
      </c>
      <c r="J66" s="129">
        <f>SUM(L66:BS66)</f>
        <v/>
      </c>
      <c r="L66" s="130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130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130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130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130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130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130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130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130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130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130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130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130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130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130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130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130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130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130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130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130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130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130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130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130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130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130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130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130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130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130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130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130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130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130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130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130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130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130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130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130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130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130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130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130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130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130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130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130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130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130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130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130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130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130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130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130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130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130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130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04" t="inlineStr"/>
      <c r="E67" s="128">
        <f>SUM(L67:W67)</f>
        <v/>
      </c>
      <c r="F67" s="128">
        <f>SUM(X67:AI67)</f>
        <v/>
      </c>
      <c r="G67" s="128">
        <f>SUM(AJ67:AU67)</f>
        <v/>
      </c>
      <c r="H67" s="128">
        <f>SUM(AV67:BG67)</f>
        <v/>
      </c>
      <c r="I67" s="128">
        <f>SUM(BH67:BS67)</f>
        <v/>
      </c>
      <c r="J67" s="129">
        <f>SUM(L67:BS67)</f>
        <v/>
      </c>
      <c r="L67" s="130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130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130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130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130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130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130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130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130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130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130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130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130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130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130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130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130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130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130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130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130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130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130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130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130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130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130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130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130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130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130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130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130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130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130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130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130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130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130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130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130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130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130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130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130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130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130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130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130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130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130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130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130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130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130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130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130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130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130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130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04" t="inlineStr"/>
      <c r="E68" s="128">
        <f>SUM(L68:W68)</f>
        <v/>
      </c>
      <c r="F68" s="128">
        <f>SUM(X68:AI68)</f>
        <v/>
      </c>
      <c r="G68" s="128">
        <f>SUM(AJ68:AU68)</f>
        <v/>
      </c>
      <c r="H68" s="128">
        <f>SUM(AV68:BG68)</f>
        <v/>
      </c>
      <c r="I68" s="128">
        <f>SUM(BH68:BS68)</f>
        <v/>
      </c>
      <c r="J68" s="129">
        <f>SUM(L68:BS68)</f>
        <v/>
      </c>
      <c r="L68" s="130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130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130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130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130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130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130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130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130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130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130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130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130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130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130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130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130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130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130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130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130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130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130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130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130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130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130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130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130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130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130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130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130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130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130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130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130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130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130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130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130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130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130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130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130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130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130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130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130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130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130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130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130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130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130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130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130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130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130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130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04" t="inlineStr"/>
      <c r="E69" s="128">
        <f>SUM(L69:W69)</f>
        <v/>
      </c>
      <c r="F69" s="128">
        <f>SUM(X69:AI69)</f>
        <v/>
      </c>
      <c r="G69" s="128">
        <f>SUM(AJ69:AU69)</f>
        <v/>
      </c>
      <c r="H69" s="128">
        <f>SUM(AV69:BG69)</f>
        <v/>
      </c>
      <c r="I69" s="128">
        <f>SUM(BH69:BS69)</f>
        <v/>
      </c>
      <c r="J69" s="129">
        <f>SUM(L69:BS69)</f>
        <v/>
      </c>
      <c r="L69" s="130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130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130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130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130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130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130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130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130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130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130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130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130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130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130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130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130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130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130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130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130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130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130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130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130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130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130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130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130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130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130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130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130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130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130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130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130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130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130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130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130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130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130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130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130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130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130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130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130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130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130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130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130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130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130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130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130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130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130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130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04" t="inlineStr"/>
      <c r="E70" s="128">
        <f>SUM(L70:W70)</f>
        <v/>
      </c>
      <c r="F70" s="128">
        <f>SUM(X70:AI70)</f>
        <v/>
      </c>
      <c r="G70" s="128">
        <f>SUM(AJ70:AU70)</f>
        <v/>
      </c>
      <c r="H70" s="128">
        <f>SUM(AV70:BG70)</f>
        <v/>
      </c>
      <c r="I70" s="128">
        <f>SUM(BH70:BS70)</f>
        <v/>
      </c>
      <c r="J70" s="129">
        <f>SUM(L70:BS70)</f>
        <v/>
      </c>
      <c r="L70" s="130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130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130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130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130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130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130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130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130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130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130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130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130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130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130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130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130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130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130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130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130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130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130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130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130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130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130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130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130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130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130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130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130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130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130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130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130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130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130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130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130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130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130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130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130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130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130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130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130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130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130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130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130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130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130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130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130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130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130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130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04" t="inlineStr"/>
      <c r="E71" s="128">
        <f>SUM(L71:W71)</f>
        <v/>
      </c>
      <c r="F71" s="128">
        <f>SUM(X71:AI71)</f>
        <v/>
      </c>
      <c r="G71" s="128">
        <f>SUM(AJ71:AU71)</f>
        <v/>
      </c>
      <c r="H71" s="128">
        <f>SUM(AV71:BG71)</f>
        <v/>
      </c>
      <c r="I71" s="128">
        <f>SUM(BH71:BS71)</f>
        <v/>
      </c>
      <c r="J71" s="129">
        <f>SUM(L71:BS71)</f>
        <v/>
      </c>
      <c r="L71" s="130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130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130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130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130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130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130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130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130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130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130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130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130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130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130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130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130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130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130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130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130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130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130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130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130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130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130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130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130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130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130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130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130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130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130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130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130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130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130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130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130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130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130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130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130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130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130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130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130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130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130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130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130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130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130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130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130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130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130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130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</row>
    <row r="73">
      <c r="B73" s="102" t="inlineStr">
        <is>
          <t>Роялти новых школ по возрасту — новая ставка</t>
        </is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3" t="n"/>
      <c r="AI73" s="103" t="n"/>
      <c r="AJ73" s="103" t="n"/>
      <c r="AK73" s="103" t="n"/>
      <c r="AL73" s="103" t="n"/>
      <c r="AM73" s="103" t="n"/>
      <c r="AN73" s="103" t="n"/>
      <c r="AO73" s="103" t="n"/>
      <c r="AP73" s="103" t="n"/>
      <c r="AQ73" s="103" t="n"/>
      <c r="AR73" s="103" t="n"/>
      <c r="AS73" s="103" t="n"/>
      <c r="AT73" s="103" t="n"/>
      <c r="AU73" s="103" t="n"/>
      <c r="AV73" s="103" t="n"/>
      <c r="AW73" s="103" t="n"/>
      <c r="AX73" s="103" t="n"/>
      <c r="AY73" s="103" t="n"/>
      <c r="AZ73" s="103" t="n"/>
      <c r="BA73" s="103" t="n"/>
      <c r="BB73" s="103" t="n"/>
      <c r="BC73" s="103" t="n"/>
      <c r="BD73" s="103" t="n"/>
      <c r="BE73" s="103" t="n"/>
      <c r="BF73" s="103" t="n"/>
      <c r="BG73" s="103" t="n"/>
      <c r="BH73" s="103" t="n"/>
      <c r="BI73" s="103" t="n"/>
      <c r="BJ73" s="103" t="n"/>
      <c r="BK73" s="103" t="n"/>
      <c r="BL73" s="103" t="n"/>
      <c r="BM73" s="103" t="n"/>
      <c r="BN73" s="103" t="n"/>
      <c r="BO73" s="103" t="n"/>
      <c r="BP73" s="103" t="n"/>
      <c r="BQ73" s="103" t="n"/>
      <c r="BR73" s="103" t="n"/>
      <c r="BS73" s="103" t="n"/>
    </row>
    <row r="74">
      <c r="B74" t="inlineStr">
        <is>
          <t>1 мес.</t>
        </is>
      </c>
      <c r="C74" t="inlineStr">
        <is>
          <t>₽</t>
        </is>
      </c>
      <c r="D74" s="104" t="inlineStr"/>
      <c r="E74" s="128">
        <f>SUM(L74:W74)</f>
        <v/>
      </c>
      <c r="F74" s="128">
        <f>SUM(X74:AI74)</f>
        <v/>
      </c>
      <c r="G74" s="128">
        <f>SUM(AJ74:AU74)</f>
        <v/>
      </c>
      <c r="H74" s="128">
        <f>SUM(AV74:BG74)</f>
        <v/>
      </c>
      <c r="I74" s="128">
        <f>SUM(BH74:BS74)</f>
        <v/>
      </c>
      <c r="J74" s="129">
        <f>SUM(L74:BS74)</f>
        <v/>
      </c>
      <c r="L74" s="130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130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130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130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130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130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130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130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130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130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130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130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130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130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130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130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130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130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130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130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130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130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130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130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130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130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130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130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130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130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130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130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130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130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130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130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130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130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130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130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130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130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130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130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130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130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130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130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130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130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130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130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130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130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130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130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130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130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130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130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04" t="inlineStr"/>
      <c r="E75" s="128">
        <f>SUM(L75:W75)</f>
        <v/>
      </c>
      <c r="F75" s="128">
        <f>SUM(X75:AI75)</f>
        <v/>
      </c>
      <c r="G75" s="128">
        <f>SUM(AJ75:AU75)</f>
        <v/>
      </c>
      <c r="H75" s="128">
        <f>SUM(AV75:BG75)</f>
        <v/>
      </c>
      <c r="I75" s="128">
        <f>SUM(BH75:BS75)</f>
        <v/>
      </c>
      <c r="J75" s="129">
        <f>SUM(L75:BS75)</f>
        <v/>
      </c>
      <c r="L75" s="130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130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130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130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130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130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130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130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130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130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130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130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130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130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130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130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130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130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130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130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130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130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130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130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130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130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130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130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130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130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130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130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130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130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130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130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130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130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130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130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130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130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130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130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130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130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130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130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130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130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130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130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130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130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130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130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130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130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130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130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04" t="inlineStr"/>
      <c r="E76" s="128">
        <f>SUM(L76:W76)</f>
        <v/>
      </c>
      <c r="F76" s="128">
        <f>SUM(X76:AI76)</f>
        <v/>
      </c>
      <c r="G76" s="128">
        <f>SUM(AJ76:AU76)</f>
        <v/>
      </c>
      <c r="H76" s="128">
        <f>SUM(AV76:BG76)</f>
        <v/>
      </c>
      <c r="I76" s="128">
        <f>SUM(BH76:BS76)</f>
        <v/>
      </c>
      <c r="J76" s="129">
        <f>SUM(L76:BS76)</f>
        <v/>
      </c>
      <c r="L76" s="130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130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130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130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130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130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130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130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130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130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130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130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130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130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130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130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130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130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130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130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130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130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130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130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130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130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130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130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130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130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130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130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130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130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130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130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130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130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130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130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130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130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130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130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130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130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130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130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130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130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130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130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130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130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130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130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130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130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130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130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04" t="inlineStr"/>
      <c r="E77" s="128">
        <f>SUM(L77:W77)</f>
        <v/>
      </c>
      <c r="F77" s="128">
        <f>SUM(X77:AI77)</f>
        <v/>
      </c>
      <c r="G77" s="128">
        <f>SUM(AJ77:AU77)</f>
        <v/>
      </c>
      <c r="H77" s="128">
        <f>SUM(AV77:BG77)</f>
        <v/>
      </c>
      <c r="I77" s="128">
        <f>SUM(BH77:BS77)</f>
        <v/>
      </c>
      <c r="J77" s="129">
        <f>SUM(L77:BS77)</f>
        <v/>
      </c>
      <c r="L77" s="130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130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130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130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130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130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130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130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130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130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130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130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130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130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130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130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130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130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130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130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130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130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130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130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130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130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130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130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130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130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130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130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130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130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130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130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130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130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130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130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130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130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130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130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130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130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130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130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130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130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130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130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130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130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130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130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130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130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130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130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04" t="inlineStr"/>
      <c r="E78" s="128">
        <f>SUM(L78:W78)</f>
        <v/>
      </c>
      <c r="F78" s="128">
        <f>SUM(X78:AI78)</f>
        <v/>
      </c>
      <c r="G78" s="128">
        <f>SUM(AJ78:AU78)</f>
        <v/>
      </c>
      <c r="H78" s="128">
        <f>SUM(AV78:BG78)</f>
        <v/>
      </c>
      <c r="I78" s="128">
        <f>SUM(BH78:BS78)</f>
        <v/>
      </c>
      <c r="J78" s="129">
        <f>SUM(L78:BS78)</f>
        <v/>
      </c>
      <c r="L78" s="130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130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130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130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130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130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130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130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130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130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130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130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130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130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130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130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130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130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130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130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130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130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130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130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130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130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130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130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130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130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130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130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130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130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130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130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130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130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130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130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130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130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130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130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130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130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130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130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130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130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130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130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130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130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130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130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130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130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130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130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04" t="inlineStr"/>
      <c r="E79" s="128">
        <f>SUM(L79:W79)</f>
        <v/>
      </c>
      <c r="F79" s="128">
        <f>SUM(X79:AI79)</f>
        <v/>
      </c>
      <c r="G79" s="128">
        <f>SUM(AJ79:AU79)</f>
        <v/>
      </c>
      <c r="H79" s="128">
        <f>SUM(AV79:BG79)</f>
        <v/>
      </c>
      <c r="I79" s="128">
        <f>SUM(BH79:BS79)</f>
        <v/>
      </c>
      <c r="J79" s="129">
        <f>SUM(L79:BS79)</f>
        <v/>
      </c>
      <c r="L79" s="130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130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130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130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130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130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130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130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130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130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130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130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130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130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130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130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130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130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130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130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130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130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130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130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130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130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130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130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130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130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130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130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130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130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130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130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130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130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130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130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130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130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130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130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130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130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130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130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130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130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130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130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130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130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130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130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130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130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130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130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04" t="inlineStr"/>
      <c r="E80" s="128">
        <f>SUM(L80:W80)</f>
        <v/>
      </c>
      <c r="F80" s="128">
        <f>SUM(X80:AI80)</f>
        <v/>
      </c>
      <c r="G80" s="128">
        <f>SUM(AJ80:AU80)</f>
        <v/>
      </c>
      <c r="H80" s="128">
        <f>SUM(AV80:BG80)</f>
        <v/>
      </c>
      <c r="I80" s="128">
        <f>SUM(BH80:BS80)</f>
        <v/>
      </c>
      <c r="J80" s="129">
        <f>SUM(L80:BS80)</f>
        <v/>
      </c>
      <c r="L80" s="130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130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130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130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130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130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130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130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130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130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130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130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130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130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130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130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130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130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130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130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130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130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130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130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130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130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130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130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130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130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130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130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130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130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130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130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130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130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130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130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130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130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130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130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130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130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130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130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130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130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130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130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130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130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130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130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130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130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130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130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04" t="inlineStr"/>
      <c r="E81" s="128">
        <f>SUM(L81:W81)</f>
        <v/>
      </c>
      <c r="F81" s="128">
        <f>SUM(X81:AI81)</f>
        <v/>
      </c>
      <c r="G81" s="128">
        <f>SUM(AJ81:AU81)</f>
        <v/>
      </c>
      <c r="H81" s="128">
        <f>SUM(AV81:BG81)</f>
        <v/>
      </c>
      <c r="I81" s="128">
        <f>SUM(BH81:BS81)</f>
        <v/>
      </c>
      <c r="J81" s="129">
        <f>SUM(L81:BS81)</f>
        <v/>
      </c>
      <c r="L81" s="130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130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130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130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130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130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130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130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130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130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130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130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130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130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130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130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130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130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130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130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130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130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130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130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130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130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130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130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130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130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130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130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130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130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130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130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130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130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130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130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130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130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130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130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130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130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130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130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130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130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130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130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130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130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130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130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130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130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130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130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04" t="inlineStr"/>
      <c r="E82" s="128">
        <f>SUM(L82:W82)</f>
        <v/>
      </c>
      <c r="F82" s="128">
        <f>SUM(X82:AI82)</f>
        <v/>
      </c>
      <c r="G82" s="128">
        <f>SUM(AJ82:AU82)</f>
        <v/>
      </c>
      <c r="H82" s="128">
        <f>SUM(AV82:BG82)</f>
        <v/>
      </c>
      <c r="I82" s="128">
        <f>SUM(BH82:BS82)</f>
        <v/>
      </c>
      <c r="J82" s="129">
        <f>SUM(L82:BS82)</f>
        <v/>
      </c>
      <c r="L82" s="130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130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130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130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130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130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130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130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130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130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130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130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130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130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130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130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130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130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130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130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130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130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130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130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130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130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130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130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130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130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130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130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130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130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130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130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130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130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130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130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130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130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130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130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130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130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130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130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130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130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130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130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130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130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130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130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130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130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130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130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04" t="inlineStr"/>
      <c r="E83" s="128">
        <f>SUM(L83:W83)</f>
        <v/>
      </c>
      <c r="F83" s="128">
        <f>SUM(X83:AI83)</f>
        <v/>
      </c>
      <c r="G83" s="128">
        <f>SUM(AJ83:AU83)</f>
        <v/>
      </c>
      <c r="H83" s="128">
        <f>SUM(AV83:BG83)</f>
        <v/>
      </c>
      <c r="I83" s="128">
        <f>SUM(BH83:BS83)</f>
        <v/>
      </c>
      <c r="J83" s="129">
        <f>SUM(L83:BS83)</f>
        <v/>
      </c>
      <c r="L83" s="130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130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130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130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130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130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130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130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130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130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130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130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130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130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130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130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130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130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130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130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130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130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130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130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130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130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130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130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130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130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130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130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130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130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130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130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130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130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130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130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130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130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130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130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130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130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130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130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130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130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130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130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130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130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130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130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130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130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130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130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04" t="inlineStr"/>
      <c r="E84" s="128">
        <f>SUM(L84:W84)</f>
        <v/>
      </c>
      <c r="F84" s="128">
        <f>SUM(X84:AI84)</f>
        <v/>
      </c>
      <c r="G84" s="128">
        <f>SUM(AJ84:AU84)</f>
        <v/>
      </c>
      <c r="H84" s="128">
        <f>SUM(AV84:BG84)</f>
        <v/>
      </c>
      <c r="I84" s="128">
        <f>SUM(BH84:BS84)</f>
        <v/>
      </c>
      <c r="J84" s="129">
        <f>SUM(L84:BS84)</f>
        <v/>
      </c>
      <c r="L84" s="130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130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130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130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130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130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130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130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130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130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130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130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130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130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130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130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130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130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130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130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130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130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130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130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130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130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130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130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130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130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130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130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130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130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130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130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130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130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130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130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130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130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130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130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130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130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130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130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130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130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130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130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130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130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130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130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130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130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130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130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04" t="inlineStr"/>
      <c r="E85" s="128">
        <f>SUM(L85:W85)</f>
        <v/>
      </c>
      <c r="F85" s="128">
        <f>SUM(X85:AI85)</f>
        <v/>
      </c>
      <c r="G85" s="128">
        <f>SUM(AJ85:AU85)</f>
        <v/>
      </c>
      <c r="H85" s="128">
        <f>SUM(AV85:BG85)</f>
        <v/>
      </c>
      <c r="I85" s="128">
        <f>SUM(BH85:BS85)</f>
        <v/>
      </c>
      <c r="J85" s="129">
        <f>SUM(L85:BS85)</f>
        <v/>
      </c>
      <c r="L85" s="130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130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130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130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130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130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130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130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130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130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130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130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130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130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130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130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130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130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130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130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130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130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130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130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130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130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130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130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130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130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130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130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130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130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130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130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130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130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130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130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130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130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130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130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130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130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130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130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130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130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130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130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130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130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130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130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130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130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130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130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04" t="inlineStr"/>
      <c r="E86" s="128">
        <f>SUM(L86:W86)</f>
        <v/>
      </c>
      <c r="F86" s="128">
        <f>SUM(X86:AI86)</f>
        <v/>
      </c>
      <c r="G86" s="128">
        <f>SUM(AJ86:AU86)</f>
        <v/>
      </c>
      <c r="H86" s="128">
        <f>SUM(AV86:BG86)</f>
        <v/>
      </c>
      <c r="I86" s="128">
        <f>SUM(BH86:BS86)</f>
        <v/>
      </c>
      <c r="J86" s="129">
        <f>SUM(L86:BS86)</f>
        <v/>
      </c>
      <c r="L86" s="130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130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130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130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130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130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130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130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130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130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130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130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130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130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130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130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130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130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130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130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130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130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130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130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130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130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130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130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130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130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130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130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130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130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130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130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130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130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130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130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130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130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130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130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130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130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130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130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130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130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130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130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130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130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130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130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130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130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130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130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04" t="inlineStr"/>
      <c r="E87" s="128">
        <f>SUM(L87:W87)</f>
        <v/>
      </c>
      <c r="F87" s="128">
        <f>SUM(X87:AI87)</f>
        <v/>
      </c>
      <c r="G87" s="128">
        <f>SUM(AJ87:AU87)</f>
        <v/>
      </c>
      <c r="H87" s="128">
        <f>SUM(AV87:BG87)</f>
        <v/>
      </c>
      <c r="I87" s="128">
        <f>SUM(BH87:BS87)</f>
        <v/>
      </c>
      <c r="J87" s="129">
        <f>SUM(L87:BS87)</f>
        <v/>
      </c>
      <c r="L87" s="130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130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130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130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130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130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130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130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130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130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130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130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130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130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130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130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130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130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130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130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130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130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130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130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130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130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130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130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130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130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130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130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130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130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130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130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130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130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130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130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130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130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130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130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130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130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130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130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130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130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130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130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130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130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130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130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130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130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130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130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04" t="inlineStr"/>
      <c r="E88" s="128">
        <f>SUM(L88:W88)</f>
        <v/>
      </c>
      <c r="F88" s="128">
        <f>SUM(X88:AI88)</f>
        <v/>
      </c>
      <c r="G88" s="128">
        <f>SUM(AJ88:AU88)</f>
        <v/>
      </c>
      <c r="H88" s="128">
        <f>SUM(AV88:BG88)</f>
        <v/>
      </c>
      <c r="I88" s="128">
        <f>SUM(BH88:BS88)</f>
        <v/>
      </c>
      <c r="J88" s="129">
        <f>SUM(L88:BS88)</f>
        <v/>
      </c>
      <c r="L88" s="130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130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130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130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130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130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130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130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130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130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130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130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130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130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130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130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130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130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130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130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130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130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130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130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130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130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130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130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130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130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130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130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130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130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130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130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130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130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130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130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130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130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130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130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130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130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130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130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130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130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130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130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130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130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130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130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130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130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130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130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04" t="inlineStr"/>
      <c r="E89" s="128">
        <f>SUM(L89:W89)</f>
        <v/>
      </c>
      <c r="F89" s="128">
        <f>SUM(X89:AI89)</f>
        <v/>
      </c>
      <c r="G89" s="128">
        <f>SUM(AJ89:AU89)</f>
        <v/>
      </c>
      <c r="H89" s="128">
        <f>SUM(AV89:BG89)</f>
        <v/>
      </c>
      <c r="I89" s="128">
        <f>SUM(BH89:BS89)</f>
        <v/>
      </c>
      <c r="J89" s="129">
        <f>SUM(L89:BS89)</f>
        <v/>
      </c>
      <c r="L89" s="130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130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130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130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130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130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130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130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130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130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130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130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130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130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130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130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130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130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130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130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130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130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130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130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130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130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130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130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130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130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130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130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130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130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130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130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130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130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130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130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130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130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130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130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130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130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130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130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130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130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130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130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130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130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130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130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130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130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130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130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04" t="inlineStr"/>
      <c r="E90" s="128">
        <f>SUM(L90:W90)</f>
        <v/>
      </c>
      <c r="F90" s="128">
        <f>SUM(X90:AI90)</f>
        <v/>
      </c>
      <c r="G90" s="128">
        <f>SUM(AJ90:AU90)</f>
        <v/>
      </c>
      <c r="H90" s="128">
        <f>SUM(AV90:BG90)</f>
        <v/>
      </c>
      <c r="I90" s="128">
        <f>SUM(BH90:BS90)</f>
        <v/>
      </c>
      <c r="J90" s="129">
        <f>SUM(L90:BS90)</f>
        <v/>
      </c>
      <c r="L90" s="130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130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130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130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130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130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130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130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130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130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130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130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130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130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130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130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130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130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130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130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130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130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130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130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130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130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130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130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130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130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130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130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130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130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130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130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130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130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130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130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130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130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130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130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130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130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130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130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130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130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130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130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130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130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130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130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130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130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130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130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04" t="inlineStr"/>
      <c r="E91" s="128">
        <f>SUM(L91:W91)</f>
        <v/>
      </c>
      <c r="F91" s="128">
        <f>SUM(X91:AI91)</f>
        <v/>
      </c>
      <c r="G91" s="128">
        <f>SUM(AJ91:AU91)</f>
        <v/>
      </c>
      <c r="H91" s="128">
        <f>SUM(AV91:BG91)</f>
        <v/>
      </c>
      <c r="I91" s="128">
        <f>SUM(BH91:BS91)</f>
        <v/>
      </c>
      <c r="J91" s="129">
        <f>SUM(L91:BS91)</f>
        <v/>
      </c>
      <c r="L91" s="130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130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130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130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130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130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130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130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130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130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130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130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130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130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130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130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130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130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130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130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130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130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130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130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130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130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130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130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130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130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130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130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130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130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130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130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130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130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130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130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130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130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130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130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130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130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130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130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130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130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130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130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130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130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130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130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130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130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130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130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04" t="inlineStr"/>
      <c r="E92" s="128">
        <f>SUM(L92:W92)</f>
        <v/>
      </c>
      <c r="F92" s="128">
        <f>SUM(X92:AI92)</f>
        <v/>
      </c>
      <c r="G92" s="128">
        <f>SUM(AJ92:AU92)</f>
        <v/>
      </c>
      <c r="H92" s="128">
        <f>SUM(AV92:BG92)</f>
        <v/>
      </c>
      <c r="I92" s="128">
        <f>SUM(BH92:BS92)</f>
        <v/>
      </c>
      <c r="J92" s="129">
        <f>SUM(L92:BS92)</f>
        <v/>
      </c>
      <c r="L92" s="130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130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130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130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130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130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130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130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130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130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130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130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130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130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130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130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130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130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130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130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130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130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130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130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130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130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130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130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130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130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130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130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130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130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130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130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130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130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130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130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130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130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130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130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130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130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130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130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130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130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130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130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130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130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130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130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130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130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130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130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04" t="inlineStr"/>
      <c r="E93" s="128">
        <f>SUM(L93:W93)</f>
        <v/>
      </c>
      <c r="F93" s="128">
        <f>SUM(X93:AI93)</f>
        <v/>
      </c>
      <c r="G93" s="128">
        <f>SUM(AJ93:AU93)</f>
        <v/>
      </c>
      <c r="H93" s="128">
        <f>SUM(AV93:BG93)</f>
        <v/>
      </c>
      <c r="I93" s="128">
        <f>SUM(BH93:BS93)</f>
        <v/>
      </c>
      <c r="J93" s="129">
        <f>SUM(L93:BS93)</f>
        <v/>
      </c>
      <c r="L93" s="130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130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130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130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130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130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130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130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130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130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130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130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130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130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130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130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130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130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130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130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130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130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130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130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130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130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130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130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130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130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130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130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130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130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130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130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130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130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130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130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130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130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130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130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130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130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130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130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130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130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130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130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130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130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130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130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130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130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130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130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04" t="inlineStr"/>
      <c r="E94" s="128">
        <f>SUM(L94:W94)</f>
        <v/>
      </c>
      <c r="F94" s="128">
        <f>SUM(X94:AI94)</f>
        <v/>
      </c>
      <c r="G94" s="128">
        <f>SUM(AJ94:AU94)</f>
        <v/>
      </c>
      <c r="H94" s="128">
        <f>SUM(AV94:BG94)</f>
        <v/>
      </c>
      <c r="I94" s="128">
        <f>SUM(BH94:BS94)</f>
        <v/>
      </c>
      <c r="J94" s="129">
        <f>SUM(L94:BS94)</f>
        <v/>
      </c>
      <c r="L94" s="130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130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130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130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130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130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130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130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130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130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130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130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130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130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130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130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130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130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130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130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130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130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130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130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130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130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130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130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130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130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130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130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130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130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130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130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130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130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130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130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130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130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130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130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130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130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130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130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130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130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130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130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130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130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130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130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130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130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130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130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04" t="inlineStr"/>
      <c r="E95" s="128">
        <f>SUM(L95:W95)</f>
        <v/>
      </c>
      <c r="F95" s="128">
        <f>SUM(X95:AI95)</f>
        <v/>
      </c>
      <c r="G95" s="128">
        <f>SUM(AJ95:AU95)</f>
        <v/>
      </c>
      <c r="H95" s="128">
        <f>SUM(AV95:BG95)</f>
        <v/>
      </c>
      <c r="I95" s="128">
        <f>SUM(BH95:BS95)</f>
        <v/>
      </c>
      <c r="J95" s="129">
        <f>SUM(L95:BS95)</f>
        <v/>
      </c>
      <c r="L95" s="130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130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130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130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130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130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130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130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130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130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130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130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130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130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130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130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130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130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130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130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130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130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130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130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130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130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130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130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130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130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130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130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130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130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130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130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130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130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130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130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130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130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130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130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130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130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130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130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130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130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130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130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130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130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130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130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130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130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130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130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04" t="inlineStr"/>
      <c r="E96" s="128">
        <f>SUM(L96:W96)</f>
        <v/>
      </c>
      <c r="F96" s="128">
        <f>SUM(X96:AI96)</f>
        <v/>
      </c>
      <c r="G96" s="128">
        <f>SUM(AJ96:AU96)</f>
        <v/>
      </c>
      <c r="H96" s="128">
        <f>SUM(AV96:BG96)</f>
        <v/>
      </c>
      <c r="I96" s="128">
        <f>SUM(BH96:BS96)</f>
        <v/>
      </c>
      <c r="J96" s="129">
        <f>SUM(L96:BS96)</f>
        <v/>
      </c>
      <c r="L96" s="130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130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130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130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130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130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130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130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130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130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130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130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130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130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130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130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130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130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130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130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130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130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130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130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130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130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130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130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130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130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130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130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130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130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130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130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130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130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130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130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130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130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130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130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130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130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130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130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130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130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130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130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130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130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130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130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130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130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130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130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04" t="inlineStr"/>
      <c r="E97" s="128">
        <f>SUM(L97:W97)</f>
        <v/>
      </c>
      <c r="F97" s="128">
        <f>SUM(X97:AI97)</f>
        <v/>
      </c>
      <c r="G97" s="128">
        <f>SUM(AJ97:AU97)</f>
        <v/>
      </c>
      <c r="H97" s="128">
        <f>SUM(AV97:BG97)</f>
        <v/>
      </c>
      <c r="I97" s="128">
        <f>SUM(BH97:BS97)</f>
        <v/>
      </c>
      <c r="J97" s="129">
        <f>SUM(L97:BS97)</f>
        <v/>
      </c>
      <c r="L97" s="130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130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130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130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130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130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130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130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130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130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130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130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130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130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130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130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130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130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130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130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130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130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130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130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130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130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130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130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130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130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130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130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130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130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130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130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130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130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130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130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130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130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130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130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130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130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130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130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130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130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130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130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130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130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130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130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130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130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130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130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04" t="inlineStr"/>
      <c r="E98" s="128">
        <f>SUM(L98:W98)</f>
        <v/>
      </c>
      <c r="F98" s="128">
        <f>SUM(X98:AI98)</f>
        <v/>
      </c>
      <c r="G98" s="128">
        <f>SUM(AJ98:AU98)</f>
        <v/>
      </c>
      <c r="H98" s="128">
        <f>SUM(AV98:BG98)</f>
        <v/>
      </c>
      <c r="I98" s="128">
        <f>SUM(BH98:BS98)</f>
        <v/>
      </c>
      <c r="J98" s="129">
        <f>SUM(L98:BS98)</f>
        <v/>
      </c>
      <c r="L98" s="130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130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130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130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130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130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130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130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130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130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130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130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130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130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130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130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130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130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130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130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130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130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130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130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130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130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130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130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130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130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130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130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130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130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130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130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130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130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130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130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130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130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130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130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130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130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130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130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130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130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130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130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130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130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130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130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130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130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130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130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</row>
    <row r="100">
      <c r="B100" s="102" t="inlineStr">
        <is>
          <t>Итог по роялти</t>
        </is>
      </c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  <c r="AA100" s="103" t="n"/>
      <c r="AB100" s="103" t="n"/>
      <c r="AC100" s="103" t="n"/>
      <c r="AD100" s="103" t="n"/>
      <c r="AE100" s="103" t="n"/>
      <c r="AF100" s="103" t="n"/>
      <c r="AG100" s="103" t="n"/>
      <c r="AH100" s="103" t="n"/>
      <c r="AI100" s="103" t="n"/>
      <c r="AJ100" s="103" t="n"/>
      <c r="AK100" s="103" t="n"/>
      <c r="AL100" s="103" t="n"/>
      <c r="AM100" s="103" t="n"/>
      <c r="AN100" s="103" t="n"/>
      <c r="AO100" s="103" t="n"/>
      <c r="AP100" s="103" t="n"/>
      <c r="AQ100" s="103" t="n"/>
      <c r="AR100" s="103" t="n"/>
      <c r="AS100" s="103" t="n"/>
      <c r="AT100" s="103" t="n"/>
      <c r="AU100" s="103" t="n"/>
      <c r="AV100" s="103" t="n"/>
      <c r="AW100" s="103" t="n"/>
      <c r="AX100" s="103" t="n"/>
      <c r="AY100" s="103" t="n"/>
      <c r="AZ100" s="103" t="n"/>
      <c r="BA100" s="103" t="n"/>
      <c r="BB100" s="103" t="n"/>
      <c r="BC100" s="103" t="n"/>
      <c r="BD100" s="103" t="n"/>
      <c r="BE100" s="103" t="n"/>
      <c r="BF100" s="103" t="n"/>
      <c r="BG100" s="103" t="n"/>
      <c r="BH100" s="103" t="n"/>
      <c r="BI100" s="103" t="n"/>
      <c r="BJ100" s="103" t="n"/>
      <c r="BK100" s="103" t="n"/>
      <c r="BL100" s="103" t="n"/>
      <c r="BM100" s="103" t="n"/>
      <c r="BN100" s="103" t="n"/>
      <c r="BO100" s="103" t="n"/>
      <c r="BP100" s="103" t="n"/>
      <c r="BQ100" s="103" t="n"/>
      <c r="BR100" s="103" t="n"/>
      <c r="BS100" s="103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04" t="inlineStr">
        <is>
          <t>Сумма по всем возрастам и обеим ставкам</t>
        </is>
      </c>
      <c r="E101" s="128">
        <f>SUM(L101:W101)</f>
        <v/>
      </c>
      <c r="F101" s="128">
        <f>SUM(X101:AI101)</f>
        <v/>
      </c>
      <c r="G101" s="128">
        <f>SUM(AJ101:AU101)</f>
        <v/>
      </c>
      <c r="H101" s="128">
        <f>SUM(AV101:BG101)</f>
        <v/>
      </c>
      <c r="I101" s="128">
        <f>SUM(BH101:BS101)</f>
        <v/>
      </c>
      <c r="J101" s="129">
        <f>SUM(L101:BS101)</f>
        <v/>
      </c>
      <c r="L101" s="130">
        <f>SUM(L47:L71)+SUM(L74:L98)</f>
        <v/>
      </c>
      <c r="M101" s="130">
        <f>SUM(M47:M71)+SUM(M74:M98)</f>
        <v/>
      </c>
      <c r="N101" s="130">
        <f>SUM(N47:N71)+SUM(N74:N98)</f>
        <v/>
      </c>
      <c r="O101" s="130">
        <f>SUM(O47:O71)+SUM(O74:O98)</f>
        <v/>
      </c>
      <c r="P101" s="130">
        <f>SUM(P47:P71)+SUM(P74:P98)</f>
        <v/>
      </c>
      <c r="Q101" s="130">
        <f>SUM(Q47:Q71)+SUM(Q74:Q98)</f>
        <v/>
      </c>
      <c r="R101" s="130">
        <f>SUM(R47:R71)+SUM(R74:R98)</f>
        <v/>
      </c>
      <c r="S101" s="130">
        <f>SUM(S47:S71)+SUM(S74:S98)</f>
        <v/>
      </c>
      <c r="T101" s="130">
        <f>SUM(T47:T71)+SUM(T74:T98)</f>
        <v/>
      </c>
      <c r="U101" s="130">
        <f>SUM(U47:U71)+SUM(U74:U98)</f>
        <v/>
      </c>
      <c r="V101" s="130">
        <f>SUM(V47:V71)+SUM(V74:V98)</f>
        <v/>
      </c>
      <c r="W101" s="130">
        <f>SUM(W47:W71)+SUM(W74:W98)</f>
        <v/>
      </c>
      <c r="X101" s="130">
        <f>SUM(X47:X71)+SUM(X74:X98)</f>
        <v/>
      </c>
      <c r="Y101" s="130">
        <f>SUM(Y47:Y71)+SUM(Y74:Y98)</f>
        <v/>
      </c>
      <c r="Z101" s="130">
        <f>SUM(Z47:Z71)+SUM(Z74:Z98)</f>
        <v/>
      </c>
      <c r="AA101" s="130">
        <f>SUM(AA47:AA71)+SUM(AA74:AA98)</f>
        <v/>
      </c>
      <c r="AB101" s="130">
        <f>SUM(AB47:AB71)+SUM(AB74:AB98)</f>
        <v/>
      </c>
      <c r="AC101" s="130">
        <f>SUM(AC47:AC71)+SUM(AC74:AC98)</f>
        <v/>
      </c>
      <c r="AD101" s="130">
        <f>SUM(AD47:AD71)+SUM(AD74:AD98)</f>
        <v/>
      </c>
      <c r="AE101" s="130">
        <f>SUM(AE47:AE71)+SUM(AE74:AE98)</f>
        <v/>
      </c>
      <c r="AF101" s="130">
        <f>SUM(AF47:AF71)+SUM(AF74:AF98)</f>
        <v/>
      </c>
      <c r="AG101" s="130">
        <f>SUM(AG47:AG71)+SUM(AG74:AG98)</f>
        <v/>
      </c>
      <c r="AH101" s="130">
        <f>SUM(AH47:AH71)+SUM(AH74:AH98)</f>
        <v/>
      </c>
      <c r="AI101" s="130">
        <f>SUM(AI47:AI71)+SUM(AI74:AI98)</f>
        <v/>
      </c>
      <c r="AJ101" s="130">
        <f>SUM(AJ47:AJ71)+SUM(AJ74:AJ98)</f>
        <v/>
      </c>
      <c r="AK101" s="130">
        <f>SUM(AK47:AK71)+SUM(AK74:AK98)</f>
        <v/>
      </c>
      <c r="AL101" s="130">
        <f>SUM(AL47:AL71)+SUM(AL74:AL98)</f>
        <v/>
      </c>
      <c r="AM101" s="130">
        <f>SUM(AM47:AM71)+SUM(AM74:AM98)</f>
        <v/>
      </c>
      <c r="AN101" s="130">
        <f>SUM(AN47:AN71)+SUM(AN74:AN98)</f>
        <v/>
      </c>
      <c r="AO101" s="130">
        <f>SUM(AO47:AO71)+SUM(AO74:AO98)</f>
        <v/>
      </c>
      <c r="AP101" s="130">
        <f>SUM(AP47:AP71)+SUM(AP74:AP98)</f>
        <v/>
      </c>
      <c r="AQ101" s="130">
        <f>SUM(AQ47:AQ71)+SUM(AQ74:AQ98)</f>
        <v/>
      </c>
      <c r="AR101" s="130">
        <f>SUM(AR47:AR71)+SUM(AR74:AR98)</f>
        <v/>
      </c>
      <c r="AS101" s="130">
        <f>SUM(AS47:AS71)+SUM(AS74:AS98)</f>
        <v/>
      </c>
      <c r="AT101" s="130">
        <f>SUM(AT47:AT71)+SUM(AT74:AT98)</f>
        <v/>
      </c>
      <c r="AU101" s="130">
        <f>SUM(AU47:AU71)+SUM(AU74:AU98)</f>
        <v/>
      </c>
      <c r="AV101" s="130">
        <f>SUM(AV47:AV71)+SUM(AV74:AV98)</f>
        <v/>
      </c>
      <c r="AW101" s="130">
        <f>SUM(AW47:AW71)+SUM(AW74:AW98)</f>
        <v/>
      </c>
      <c r="AX101" s="130">
        <f>SUM(AX47:AX71)+SUM(AX74:AX98)</f>
        <v/>
      </c>
      <c r="AY101" s="130">
        <f>SUM(AY47:AY71)+SUM(AY74:AY98)</f>
        <v/>
      </c>
      <c r="AZ101" s="130">
        <f>SUM(AZ47:AZ71)+SUM(AZ74:AZ98)</f>
        <v/>
      </c>
      <c r="BA101" s="130">
        <f>SUM(BA47:BA71)+SUM(BA74:BA98)</f>
        <v/>
      </c>
      <c r="BB101" s="130">
        <f>SUM(BB47:BB71)+SUM(BB74:BB98)</f>
        <v/>
      </c>
      <c r="BC101" s="130">
        <f>SUM(BC47:BC71)+SUM(BC74:BC98)</f>
        <v/>
      </c>
      <c r="BD101" s="130">
        <f>SUM(BD47:BD71)+SUM(BD74:BD98)</f>
        <v/>
      </c>
      <c r="BE101" s="130">
        <f>SUM(BE47:BE71)+SUM(BE74:BE98)</f>
        <v/>
      </c>
      <c r="BF101" s="130">
        <f>SUM(BF47:BF71)+SUM(BF74:BF98)</f>
        <v/>
      </c>
      <c r="BG101" s="130">
        <f>SUM(BG47:BG71)+SUM(BG74:BG98)</f>
        <v/>
      </c>
      <c r="BH101" s="130">
        <f>SUM(BH47:BH71)+SUM(BH74:BH98)</f>
        <v/>
      </c>
      <c r="BI101" s="130">
        <f>SUM(BI47:BI71)+SUM(BI74:BI98)</f>
        <v/>
      </c>
      <c r="BJ101" s="130">
        <f>SUM(BJ47:BJ71)+SUM(BJ74:BJ98)</f>
        <v/>
      </c>
      <c r="BK101" s="130">
        <f>SUM(BK47:BK71)+SUM(BK74:BK98)</f>
        <v/>
      </c>
      <c r="BL101" s="130">
        <f>SUM(BL47:BL71)+SUM(BL74:BL98)</f>
        <v/>
      </c>
      <c r="BM101" s="130">
        <f>SUM(BM47:BM71)+SUM(BM74:BM98)</f>
        <v/>
      </c>
      <c r="BN101" s="130">
        <f>SUM(BN47:BN71)+SUM(BN74:BN98)</f>
        <v/>
      </c>
      <c r="BO101" s="130">
        <f>SUM(BO47:BO71)+SUM(BO74:BO98)</f>
        <v/>
      </c>
      <c r="BP101" s="130">
        <f>SUM(BP47:BP71)+SUM(BP74:BP98)</f>
        <v/>
      </c>
      <c r="BQ101" s="130">
        <f>SUM(BQ47:BQ71)+SUM(BQ74:BQ98)</f>
        <v/>
      </c>
      <c r="BR101" s="130">
        <f>SUM(BR47:BR71)+SUM(BR74:BR98)</f>
        <v/>
      </c>
      <c r="BS101" s="130">
        <f>SUM(BS47:BS71)+SUM(BS74:BS98)</f>
        <v/>
      </c>
    </row>
    <row r="102">
      <c r="B102" s="117" t="inlineStr">
        <is>
          <t>Роялти всего, с НДС</t>
        </is>
      </c>
      <c r="C102" s="117" t="inlineStr">
        <is>
          <t>₽</t>
        </is>
      </c>
      <c r="D102" s="118" t="inlineStr"/>
      <c r="E102" s="131">
        <f>SUM(L102:W102)</f>
        <v/>
      </c>
      <c r="F102" s="131">
        <f>SUM(X102:AI102)</f>
        <v/>
      </c>
      <c r="G102" s="131">
        <f>SUM(AJ102:AU102)</f>
        <v/>
      </c>
      <c r="H102" s="131">
        <f>SUM(AV102:BG102)</f>
        <v/>
      </c>
      <c r="I102" s="131">
        <f>SUM(BH102:BS102)</f>
        <v/>
      </c>
      <c r="J102" s="132">
        <f>SUM(L102:BS102)</f>
        <v/>
      </c>
      <c r="L102" s="133">
        <f>L16+L101</f>
        <v/>
      </c>
      <c r="M102" s="133">
        <f>M16+M101</f>
        <v/>
      </c>
      <c r="N102" s="133">
        <f>N16+N101</f>
        <v/>
      </c>
      <c r="O102" s="133">
        <f>O16+O101</f>
        <v/>
      </c>
      <c r="P102" s="133">
        <f>P16+P101</f>
        <v/>
      </c>
      <c r="Q102" s="133">
        <f>Q16+Q101</f>
        <v/>
      </c>
      <c r="R102" s="133">
        <f>R16+R101</f>
        <v/>
      </c>
      <c r="S102" s="133">
        <f>S16+S101</f>
        <v/>
      </c>
      <c r="T102" s="133">
        <f>T16+T101</f>
        <v/>
      </c>
      <c r="U102" s="133">
        <f>U16+U101</f>
        <v/>
      </c>
      <c r="V102" s="133">
        <f>V16+V101</f>
        <v/>
      </c>
      <c r="W102" s="133">
        <f>W16+W101</f>
        <v/>
      </c>
      <c r="X102" s="133">
        <f>X16+X101</f>
        <v/>
      </c>
      <c r="Y102" s="133">
        <f>Y16+Y101</f>
        <v/>
      </c>
      <c r="Z102" s="133">
        <f>Z16+Z101</f>
        <v/>
      </c>
      <c r="AA102" s="133">
        <f>AA16+AA101</f>
        <v/>
      </c>
      <c r="AB102" s="133">
        <f>AB16+AB101</f>
        <v/>
      </c>
      <c r="AC102" s="133">
        <f>AC16+AC101</f>
        <v/>
      </c>
      <c r="AD102" s="133">
        <f>AD16+AD101</f>
        <v/>
      </c>
      <c r="AE102" s="133">
        <f>AE16+AE101</f>
        <v/>
      </c>
      <c r="AF102" s="133">
        <f>AF16+AF101</f>
        <v/>
      </c>
      <c r="AG102" s="133">
        <f>AG16+AG101</f>
        <v/>
      </c>
      <c r="AH102" s="133">
        <f>AH16+AH101</f>
        <v/>
      </c>
      <c r="AI102" s="133">
        <f>AI16+AI101</f>
        <v/>
      </c>
      <c r="AJ102" s="133">
        <f>AJ16+AJ101</f>
        <v/>
      </c>
      <c r="AK102" s="133">
        <f>AK16+AK101</f>
        <v/>
      </c>
      <c r="AL102" s="133">
        <f>AL16+AL101</f>
        <v/>
      </c>
      <c r="AM102" s="133">
        <f>AM16+AM101</f>
        <v/>
      </c>
      <c r="AN102" s="133">
        <f>AN16+AN101</f>
        <v/>
      </c>
      <c r="AO102" s="133">
        <f>AO16+AO101</f>
        <v/>
      </c>
      <c r="AP102" s="133">
        <f>AP16+AP101</f>
        <v/>
      </c>
      <c r="AQ102" s="133">
        <f>AQ16+AQ101</f>
        <v/>
      </c>
      <c r="AR102" s="133">
        <f>AR16+AR101</f>
        <v/>
      </c>
      <c r="AS102" s="133">
        <f>AS16+AS101</f>
        <v/>
      </c>
      <c r="AT102" s="133">
        <f>AT16+AT101</f>
        <v/>
      </c>
      <c r="AU102" s="133">
        <f>AU16+AU101</f>
        <v/>
      </c>
      <c r="AV102" s="133">
        <f>AV16+AV101</f>
        <v/>
      </c>
      <c r="AW102" s="133">
        <f>AW16+AW101</f>
        <v/>
      </c>
      <c r="AX102" s="133">
        <f>AX16+AX101</f>
        <v/>
      </c>
      <c r="AY102" s="133">
        <f>AY16+AY101</f>
        <v/>
      </c>
      <c r="AZ102" s="133">
        <f>AZ16+AZ101</f>
        <v/>
      </c>
      <c r="BA102" s="133">
        <f>BA16+BA101</f>
        <v/>
      </c>
      <c r="BB102" s="133">
        <f>BB16+BB101</f>
        <v/>
      </c>
      <c r="BC102" s="133">
        <f>BC16+BC101</f>
        <v/>
      </c>
      <c r="BD102" s="133">
        <f>BD16+BD101</f>
        <v/>
      </c>
      <c r="BE102" s="133">
        <f>BE16+BE101</f>
        <v/>
      </c>
      <c r="BF102" s="133">
        <f>BF16+BF101</f>
        <v/>
      </c>
      <c r="BG102" s="133">
        <f>BG16+BG101</f>
        <v/>
      </c>
      <c r="BH102" s="133">
        <f>BH16+BH101</f>
        <v/>
      </c>
      <c r="BI102" s="133">
        <f>BI16+BI101</f>
        <v/>
      </c>
      <c r="BJ102" s="133">
        <f>BJ16+BJ101</f>
        <v/>
      </c>
      <c r="BK102" s="133">
        <f>BK16+BK101</f>
        <v/>
      </c>
      <c r="BL102" s="133">
        <f>BL16+BL101</f>
        <v/>
      </c>
      <c r="BM102" s="133">
        <f>BM16+BM101</f>
        <v/>
      </c>
      <c r="BN102" s="133">
        <f>BN16+BN101</f>
        <v/>
      </c>
      <c r="BO102" s="133">
        <f>BO16+BO101</f>
        <v/>
      </c>
      <c r="BP102" s="133">
        <f>BP16+BP101</f>
        <v/>
      </c>
      <c r="BQ102" s="133">
        <f>BQ16+BQ101</f>
        <v/>
      </c>
      <c r="BR102" s="133">
        <f>BR16+BR101</f>
        <v/>
      </c>
      <c r="BS102" s="133">
        <f>BS16+BS101</f>
        <v/>
      </c>
    </row>
    <row r="104">
      <c r="B104" s="102" t="inlineStr">
        <is>
          <t>Мерч: сколько комплектов покупают</t>
        </is>
      </c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  <c r="AA104" s="103" t="n"/>
      <c r="AB104" s="103" t="n"/>
      <c r="AC104" s="103" t="n"/>
      <c r="AD104" s="103" t="n"/>
      <c r="AE104" s="103" t="n"/>
      <c r="AF104" s="103" t="n"/>
      <c r="AG104" s="103" t="n"/>
      <c r="AH104" s="103" t="n"/>
      <c r="AI104" s="103" t="n"/>
      <c r="AJ104" s="103" t="n"/>
      <c r="AK104" s="103" t="n"/>
      <c r="AL104" s="103" t="n"/>
      <c r="AM104" s="103" t="n"/>
      <c r="AN104" s="103" t="n"/>
      <c r="AO104" s="103" t="n"/>
      <c r="AP104" s="103" t="n"/>
      <c r="AQ104" s="103" t="n"/>
      <c r="AR104" s="103" t="n"/>
      <c r="AS104" s="103" t="n"/>
      <c r="AT104" s="103" t="n"/>
      <c r="AU104" s="103" t="n"/>
      <c r="AV104" s="103" t="n"/>
      <c r="AW104" s="103" t="n"/>
      <c r="AX104" s="103" t="n"/>
      <c r="AY104" s="103" t="n"/>
      <c r="AZ104" s="103" t="n"/>
      <c r="BA104" s="103" t="n"/>
      <c r="BB104" s="103" t="n"/>
      <c r="BC104" s="103" t="n"/>
      <c r="BD104" s="103" t="n"/>
      <c r="BE104" s="103" t="n"/>
      <c r="BF104" s="103" t="n"/>
      <c r="BG104" s="103" t="n"/>
      <c r="BH104" s="103" t="n"/>
      <c r="BI104" s="103" t="n"/>
      <c r="BJ104" s="103" t="n"/>
      <c r="BK104" s="103" t="n"/>
      <c r="BL104" s="103" t="n"/>
      <c r="BM104" s="103" t="n"/>
      <c r="BN104" s="103" t="n"/>
      <c r="BO104" s="103" t="n"/>
      <c r="BP104" s="103" t="n"/>
      <c r="BQ104" s="103" t="n"/>
      <c r="BR104" s="103" t="n"/>
      <c r="BS104" s="103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04" t="inlineStr">
        <is>
          <t>Доля годовой закупки, приходящаяся на этот месяц</t>
        </is>
      </c>
      <c r="E105" s="111">
        <f>AVERAGE(L105:W105)</f>
        <v/>
      </c>
      <c r="F105" s="111">
        <f>AVERAGE(X105:AI105)</f>
        <v/>
      </c>
      <c r="G105" s="111">
        <f>AVERAGE(AJ105:AU105)</f>
        <v/>
      </c>
      <c r="H105" s="111">
        <f>AVERAGE(AV105:BG105)</f>
        <v/>
      </c>
      <c r="I105" s="111">
        <f>AVERAGE(BH105:BS105)</f>
        <v/>
      </c>
      <c r="J105" s="112">
        <f>AVERAGE(L105:BS105)</f>
        <v/>
      </c>
      <c r="L105" s="113">
        <f>INDEX('01_Вводные'!$B$94:$M$94,1,MONTH('03_Сеть'!L6))</f>
        <v/>
      </c>
      <c r="M105" s="113">
        <f>INDEX('01_Вводные'!$B$94:$M$94,1,MONTH('03_Сеть'!M6))</f>
        <v/>
      </c>
      <c r="N105" s="113">
        <f>INDEX('01_Вводные'!$B$94:$M$94,1,MONTH('03_Сеть'!N6))</f>
        <v/>
      </c>
      <c r="O105" s="113">
        <f>INDEX('01_Вводные'!$B$94:$M$94,1,MONTH('03_Сеть'!O6))</f>
        <v/>
      </c>
      <c r="P105" s="113">
        <f>INDEX('01_Вводные'!$B$94:$M$94,1,MONTH('03_Сеть'!P6))</f>
        <v/>
      </c>
      <c r="Q105" s="113">
        <f>INDEX('01_Вводные'!$B$94:$M$94,1,MONTH('03_Сеть'!Q6))</f>
        <v/>
      </c>
      <c r="R105" s="113">
        <f>INDEX('01_Вводные'!$B$94:$M$94,1,MONTH('03_Сеть'!R6))</f>
        <v/>
      </c>
      <c r="S105" s="113">
        <f>INDEX('01_Вводные'!$B$94:$M$94,1,MONTH('03_Сеть'!S6))</f>
        <v/>
      </c>
      <c r="T105" s="113">
        <f>INDEX('01_Вводные'!$B$94:$M$94,1,MONTH('03_Сеть'!T6))</f>
        <v/>
      </c>
      <c r="U105" s="113">
        <f>INDEX('01_Вводные'!$B$94:$M$94,1,MONTH('03_Сеть'!U6))</f>
        <v/>
      </c>
      <c r="V105" s="113">
        <f>INDEX('01_Вводные'!$B$94:$M$94,1,MONTH('03_Сеть'!V6))</f>
        <v/>
      </c>
      <c r="W105" s="113">
        <f>INDEX('01_Вводные'!$B$94:$M$94,1,MONTH('03_Сеть'!W6))</f>
        <v/>
      </c>
      <c r="X105" s="113">
        <f>INDEX('01_Вводные'!$B$94:$M$94,1,MONTH('03_Сеть'!X6))</f>
        <v/>
      </c>
      <c r="Y105" s="113">
        <f>INDEX('01_Вводные'!$B$94:$M$94,1,MONTH('03_Сеть'!Y6))</f>
        <v/>
      </c>
      <c r="Z105" s="113">
        <f>INDEX('01_Вводные'!$B$94:$M$94,1,MONTH('03_Сеть'!Z6))</f>
        <v/>
      </c>
      <c r="AA105" s="113">
        <f>INDEX('01_Вводные'!$B$94:$M$94,1,MONTH('03_Сеть'!AA6))</f>
        <v/>
      </c>
      <c r="AB105" s="113">
        <f>INDEX('01_Вводные'!$B$94:$M$94,1,MONTH('03_Сеть'!AB6))</f>
        <v/>
      </c>
      <c r="AC105" s="113">
        <f>INDEX('01_Вводные'!$B$94:$M$94,1,MONTH('03_Сеть'!AC6))</f>
        <v/>
      </c>
      <c r="AD105" s="113">
        <f>INDEX('01_Вводные'!$B$94:$M$94,1,MONTH('03_Сеть'!AD6))</f>
        <v/>
      </c>
      <c r="AE105" s="113">
        <f>INDEX('01_Вводные'!$B$94:$M$94,1,MONTH('03_Сеть'!AE6))</f>
        <v/>
      </c>
      <c r="AF105" s="113">
        <f>INDEX('01_Вводные'!$B$94:$M$94,1,MONTH('03_Сеть'!AF6))</f>
        <v/>
      </c>
      <c r="AG105" s="113">
        <f>INDEX('01_Вводные'!$B$94:$M$94,1,MONTH('03_Сеть'!AG6))</f>
        <v/>
      </c>
      <c r="AH105" s="113">
        <f>INDEX('01_Вводные'!$B$94:$M$94,1,MONTH('03_Сеть'!AH6))</f>
        <v/>
      </c>
      <c r="AI105" s="113">
        <f>INDEX('01_Вводные'!$B$94:$M$94,1,MONTH('03_Сеть'!AI6))</f>
        <v/>
      </c>
      <c r="AJ105" s="113">
        <f>INDEX('01_Вводные'!$B$94:$M$94,1,MONTH('03_Сеть'!AJ6))</f>
        <v/>
      </c>
      <c r="AK105" s="113">
        <f>INDEX('01_Вводные'!$B$94:$M$94,1,MONTH('03_Сеть'!AK6))</f>
        <v/>
      </c>
      <c r="AL105" s="113">
        <f>INDEX('01_Вводные'!$B$94:$M$94,1,MONTH('03_Сеть'!AL6))</f>
        <v/>
      </c>
      <c r="AM105" s="113">
        <f>INDEX('01_Вводные'!$B$94:$M$94,1,MONTH('03_Сеть'!AM6))</f>
        <v/>
      </c>
      <c r="AN105" s="113">
        <f>INDEX('01_Вводные'!$B$94:$M$94,1,MONTH('03_Сеть'!AN6))</f>
        <v/>
      </c>
      <c r="AO105" s="113">
        <f>INDEX('01_Вводные'!$B$94:$M$94,1,MONTH('03_Сеть'!AO6))</f>
        <v/>
      </c>
      <c r="AP105" s="113">
        <f>INDEX('01_Вводные'!$B$94:$M$94,1,MONTH('03_Сеть'!AP6))</f>
        <v/>
      </c>
      <c r="AQ105" s="113">
        <f>INDEX('01_Вводные'!$B$94:$M$94,1,MONTH('03_Сеть'!AQ6))</f>
        <v/>
      </c>
      <c r="AR105" s="113">
        <f>INDEX('01_Вводные'!$B$94:$M$94,1,MONTH('03_Сеть'!AR6))</f>
        <v/>
      </c>
      <c r="AS105" s="113">
        <f>INDEX('01_Вводные'!$B$94:$M$94,1,MONTH('03_Сеть'!AS6))</f>
        <v/>
      </c>
      <c r="AT105" s="113">
        <f>INDEX('01_Вводные'!$B$94:$M$94,1,MONTH('03_Сеть'!AT6))</f>
        <v/>
      </c>
      <c r="AU105" s="113">
        <f>INDEX('01_Вводные'!$B$94:$M$94,1,MONTH('03_Сеть'!AU6))</f>
        <v/>
      </c>
      <c r="AV105" s="113">
        <f>INDEX('01_Вводные'!$B$94:$M$94,1,MONTH('03_Сеть'!AV6))</f>
        <v/>
      </c>
      <c r="AW105" s="113">
        <f>INDEX('01_Вводные'!$B$94:$M$94,1,MONTH('03_Сеть'!AW6))</f>
        <v/>
      </c>
      <c r="AX105" s="113">
        <f>INDEX('01_Вводные'!$B$94:$M$94,1,MONTH('03_Сеть'!AX6))</f>
        <v/>
      </c>
      <c r="AY105" s="113">
        <f>INDEX('01_Вводные'!$B$94:$M$94,1,MONTH('03_Сеть'!AY6))</f>
        <v/>
      </c>
      <c r="AZ105" s="113">
        <f>INDEX('01_Вводные'!$B$94:$M$94,1,MONTH('03_Сеть'!AZ6))</f>
        <v/>
      </c>
      <c r="BA105" s="113">
        <f>INDEX('01_Вводные'!$B$94:$M$94,1,MONTH('03_Сеть'!BA6))</f>
        <v/>
      </c>
      <c r="BB105" s="113">
        <f>INDEX('01_Вводные'!$B$94:$M$94,1,MONTH('03_Сеть'!BB6))</f>
        <v/>
      </c>
      <c r="BC105" s="113">
        <f>INDEX('01_Вводные'!$B$94:$M$94,1,MONTH('03_Сеть'!BC6))</f>
        <v/>
      </c>
      <c r="BD105" s="113">
        <f>INDEX('01_Вводные'!$B$94:$M$94,1,MONTH('03_Сеть'!BD6))</f>
        <v/>
      </c>
      <c r="BE105" s="113">
        <f>INDEX('01_Вводные'!$B$94:$M$94,1,MONTH('03_Сеть'!BE6))</f>
        <v/>
      </c>
      <c r="BF105" s="113">
        <f>INDEX('01_Вводные'!$B$94:$M$94,1,MONTH('03_Сеть'!BF6))</f>
        <v/>
      </c>
      <c r="BG105" s="113">
        <f>INDEX('01_Вводные'!$B$94:$M$94,1,MONTH('03_Сеть'!BG6))</f>
        <v/>
      </c>
      <c r="BH105" s="113">
        <f>INDEX('01_Вводные'!$B$94:$M$94,1,MONTH('03_Сеть'!BH6))</f>
        <v/>
      </c>
      <c r="BI105" s="113">
        <f>INDEX('01_Вводные'!$B$94:$M$94,1,MONTH('03_Сеть'!BI6))</f>
        <v/>
      </c>
      <c r="BJ105" s="113">
        <f>INDEX('01_Вводные'!$B$94:$M$94,1,MONTH('03_Сеть'!BJ6))</f>
        <v/>
      </c>
      <c r="BK105" s="113">
        <f>INDEX('01_Вводные'!$B$94:$M$94,1,MONTH('03_Сеть'!BK6))</f>
        <v/>
      </c>
      <c r="BL105" s="113">
        <f>INDEX('01_Вводные'!$B$94:$M$94,1,MONTH('03_Сеть'!BL6))</f>
        <v/>
      </c>
      <c r="BM105" s="113">
        <f>INDEX('01_Вводные'!$B$94:$M$94,1,MONTH('03_Сеть'!BM6))</f>
        <v/>
      </c>
      <c r="BN105" s="113">
        <f>INDEX('01_Вводные'!$B$94:$M$94,1,MONTH('03_Сеть'!BN6))</f>
        <v/>
      </c>
      <c r="BO105" s="113">
        <f>INDEX('01_Вводные'!$B$94:$M$94,1,MONTH('03_Сеть'!BO6))</f>
        <v/>
      </c>
      <c r="BP105" s="113">
        <f>INDEX('01_Вводные'!$B$94:$M$94,1,MONTH('03_Сеть'!BP6))</f>
        <v/>
      </c>
      <c r="BQ105" s="113">
        <f>INDEX('01_Вводные'!$B$94:$M$94,1,MONTH('03_Сеть'!BQ6))</f>
        <v/>
      </c>
      <c r="BR105" s="113">
        <f>INDEX('01_Вводные'!$B$94:$M$94,1,MONTH('03_Сеть'!BR6))</f>
        <v/>
      </c>
      <c r="BS105" s="113">
        <f>INDEX('01_Вводные'!$B$94:$M$94,1,MONTH('03_Сеть'!BS6))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04" t="inlineStr">
        <is>
          <t>Дети действующей сети по норме комплектов на ребёнка, разложено сезонностью</t>
        </is>
      </c>
      <c r="E106" s="114">
        <f>SUM(L106:W106)</f>
        <v/>
      </c>
      <c r="F106" s="114">
        <f>SUM(X106:AI106)</f>
        <v/>
      </c>
      <c r="G106" s="114">
        <f>SUM(AJ106:AU106)</f>
        <v/>
      </c>
      <c r="H106" s="114">
        <f>SUM(AV106:BG106)</f>
        <v/>
      </c>
      <c r="I106" s="114">
        <f>SUM(BH106:BS106)</f>
        <v/>
      </c>
      <c r="J106" s="115">
        <f>SUM(L106:BS106)</f>
        <v/>
      </c>
      <c r="L106" s="116">
        <f>'01_Вводные'!B$99</f>
        <v/>
      </c>
      <c r="M106" s="116">
        <f>'01_Вводные'!C$99</f>
        <v/>
      </c>
      <c r="N106" s="116">
        <f>'01_Вводные'!D$99</f>
        <v/>
      </c>
      <c r="O106" s="116">
        <f>'01_Вводные'!E$99</f>
        <v/>
      </c>
      <c r="P106" s="116">
        <f>'03_Сеть'!P18*КоэффМерча*P105</f>
        <v/>
      </c>
      <c r="Q106" s="116">
        <f>'03_Сеть'!Q18*КоэффМерча*Q105</f>
        <v/>
      </c>
      <c r="R106" s="116">
        <f>'03_Сеть'!R18*КоэффМерча*R105</f>
        <v/>
      </c>
      <c r="S106" s="116">
        <f>'03_Сеть'!S18*КоэффМерча*S105</f>
        <v/>
      </c>
      <c r="T106" s="116">
        <f>'03_Сеть'!T18*КоэффМерча*T105</f>
        <v/>
      </c>
      <c r="U106" s="116">
        <f>'03_Сеть'!U18*КоэффМерча*U105</f>
        <v/>
      </c>
      <c r="V106" s="116">
        <f>'03_Сеть'!V18*КоэффМерча*V105</f>
        <v/>
      </c>
      <c r="W106" s="116">
        <f>'03_Сеть'!W18*КоэффМерча*W105</f>
        <v/>
      </c>
      <c r="X106" s="116">
        <f>'03_Сеть'!X18*КоэффМерча*X105</f>
        <v/>
      </c>
      <c r="Y106" s="116">
        <f>'03_Сеть'!Y18*КоэффМерча*Y105</f>
        <v/>
      </c>
      <c r="Z106" s="116">
        <f>'03_Сеть'!Z18*КоэффМерча*Z105</f>
        <v/>
      </c>
      <c r="AA106" s="116">
        <f>'03_Сеть'!AA18*КоэффМерча*AA105</f>
        <v/>
      </c>
      <c r="AB106" s="116">
        <f>'03_Сеть'!AB18*КоэффМерча*AB105</f>
        <v/>
      </c>
      <c r="AC106" s="116">
        <f>'03_Сеть'!AC18*КоэффМерча*AC105</f>
        <v/>
      </c>
      <c r="AD106" s="116">
        <f>'03_Сеть'!AD18*КоэффМерча*AD105</f>
        <v/>
      </c>
      <c r="AE106" s="116">
        <f>'03_Сеть'!AE18*КоэффМерча*AE105</f>
        <v/>
      </c>
      <c r="AF106" s="116">
        <f>'03_Сеть'!AF18*КоэффМерча*AF105</f>
        <v/>
      </c>
      <c r="AG106" s="116">
        <f>'03_Сеть'!AG18*КоэффМерча*AG105</f>
        <v/>
      </c>
      <c r="AH106" s="116">
        <f>'03_Сеть'!AH18*КоэффМерча*AH105</f>
        <v/>
      </c>
      <c r="AI106" s="116">
        <f>'03_Сеть'!AI18*КоэффМерча*AI105</f>
        <v/>
      </c>
      <c r="AJ106" s="116">
        <f>'03_Сеть'!AJ18*КоэффМерча*AJ105</f>
        <v/>
      </c>
      <c r="AK106" s="116">
        <f>'03_Сеть'!AK18*КоэффМерча*AK105</f>
        <v/>
      </c>
      <c r="AL106" s="116">
        <f>'03_Сеть'!AL18*КоэффМерча*AL105</f>
        <v/>
      </c>
      <c r="AM106" s="116">
        <f>'03_Сеть'!AM18*КоэффМерча*AM105</f>
        <v/>
      </c>
      <c r="AN106" s="116">
        <f>'03_Сеть'!AN18*КоэффМерча*AN105</f>
        <v/>
      </c>
      <c r="AO106" s="116">
        <f>'03_Сеть'!AO18*КоэффМерча*AO105</f>
        <v/>
      </c>
      <c r="AP106" s="116">
        <f>'03_Сеть'!AP18*КоэффМерча*AP105</f>
        <v/>
      </c>
      <c r="AQ106" s="116">
        <f>'03_Сеть'!AQ18*КоэффМерча*AQ105</f>
        <v/>
      </c>
      <c r="AR106" s="116">
        <f>'03_Сеть'!AR18*КоэффМерча*AR105</f>
        <v/>
      </c>
      <c r="AS106" s="116">
        <f>'03_Сеть'!AS18*КоэффМерча*AS105</f>
        <v/>
      </c>
      <c r="AT106" s="116">
        <f>'03_Сеть'!AT18*КоэффМерча*AT105</f>
        <v/>
      </c>
      <c r="AU106" s="116">
        <f>'03_Сеть'!AU18*КоэффМерча*AU105</f>
        <v/>
      </c>
      <c r="AV106" s="116">
        <f>'03_Сеть'!AV18*КоэффМерча*AV105</f>
        <v/>
      </c>
      <c r="AW106" s="116">
        <f>'03_Сеть'!AW18*КоэффМерча*AW105</f>
        <v/>
      </c>
      <c r="AX106" s="116">
        <f>'03_Сеть'!AX18*КоэффМерча*AX105</f>
        <v/>
      </c>
      <c r="AY106" s="116">
        <f>'03_Сеть'!AY18*КоэффМерча*AY105</f>
        <v/>
      </c>
      <c r="AZ106" s="116">
        <f>'03_Сеть'!AZ18*КоэффМерча*AZ105</f>
        <v/>
      </c>
      <c r="BA106" s="116">
        <f>'03_Сеть'!BA18*КоэффМерча*BA105</f>
        <v/>
      </c>
      <c r="BB106" s="116">
        <f>'03_Сеть'!BB18*КоэффМерча*BB105</f>
        <v/>
      </c>
      <c r="BC106" s="116">
        <f>'03_Сеть'!BC18*КоэффМерча*BC105</f>
        <v/>
      </c>
      <c r="BD106" s="116">
        <f>'03_Сеть'!BD18*КоэффМерча*BD105</f>
        <v/>
      </c>
      <c r="BE106" s="116">
        <f>'03_Сеть'!BE18*КоэффМерча*BE105</f>
        <v/>
      </c>
      <c r="BF106" s="116">
        <f>'03_Сеть'!BF18*КоэффМерча*BF105</f>
        <v/>
      </c>
      <c r="BG106" s="116">
        <f>'03_Сеть'!BG18*КоэффМерча*BG105</f>
        <v/>
      </c>
      <c r="BH106" s="116">
        <f>'03_Сеть'!BH18*КоэффМерча*BH105</f>
        <v/>
      </c>
      <c r="BI106" s="116">
        <f>'03_Сеть'!BI18*КоэффМерча*BI105</f>
        <v/>
      </c>
      <c r="BJ106" s="116">
        <f>'03_Сеть'!BJ18*КоэффМерча*BJ105</f>
        <v/>
      </c>
      <c r="BK106" s="116">
        <f>'03_Сеть'!BK18*КоэффМерча*BK105</f>
        <v/>
      </c>
      <c r="BL106" s="116">
        <f>'03_Сеть'!BL18*КоэффМерча*BL105</f>
        <v/>
      </c>
      <c r="BM106" s="116">
        <f>'03_Сеть'!BM18*КоэффМерча*BM105</f>
        <v/>
      </c>
      <c r="BN106" s="116">
        <f>'03_Сеть'!BN18*КоэффМерча*BN105</f>
        <v/>
      </c>
      <c r="BO106" s="116">
        <f>'03_Сеть'!BO18*КоэффМерча*BO105</f>
        <v/>
      </c>
      <c r="BP106" s="116">
        <f>'03_Сеть'!BP18*КоэффМерча*BP105</f>
        <v/>
      </c>
      <c r="BQ106" s="116">
        <f>'03_Сеть'!BQ18*КоэффМерча*BQ105</f>
        <v/>
      </c>
      <c r="BR106" s="116">
        <f>'03_Сеть'!BR18*КоэффМерча*BR105</f>
        <v/>
      </c>
      <c r="BS106" s="116">
        <f>'03_Сеть'!BS18*КоэффМерча*BS105</f>
        <v/>
      </c>
    </row>
    <row r="107">
      <c r="B107" s="102" t="inlineStr">
        <is>
          <t>Школы, покупающие форму повторно (по возрасту)</t>
        </is>
      </c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  <c r="AA107" s="103" t="n"/>
      <c r="AB107" s="103" t="n"/>
      <c r="AC107" s="103" t="n"/>
      <c r="AD107" s="103" t="n"/>
      <c r="AE107" s="103" t="n"/>
      <c r="AF107" s="103" t="n"/>
      <c r="AG107" s="103" t="n"/>
      <c r="AH107" s="103" t="n"/>
      <c r="AI107" s="103" t="n"/>
      <c r="AJ107" s="103" t="n"/>
      <c r="AK107" s="103" t="n"/>
      <c r="AL107" s="103" t="n"/>
      <c r="AM107" s="103" t="n"/>
      <c r="AN107" s="103" t="n"/>
      <c r="AO107" s="103" t="n"/>
      <c r="AP107" s="103" t="n"/>
      <c r="AQ107" s="103" t="n"/>
      <c r="AR107" s="103" t="n"/>
      <c r="AS107" s="103" t="n"/>
      <c r="AT107" s="103" t="n"/>
      <c r="AU107" s="103" t="n"/>
      <c r="AV107" s="103" t="n"/>
      <c r="AW107" s="103" t="n"/>
      <c r="AX107" s="103" t="n"/>
      <c r="AY107" s="103" t="n"/>
      <c r="AZ107" s="103" t="n"/>
      <c r="BA107" s="103" t="n"/>
      <c r="BB107" s="103" t="n"/>
      <c r="BC107" s="103" t="n"/>
      <c r="BD107" s="103" t="n"/>
      <c r="BE107" s="103" t="n"/>
      <c r="BF107" s="103" t="n"/>
      <c r="BG107" s="103" t="n"/>
      <c r="BH107" s="103" t="n"/>
      <c r="BI107" s="103" t="n"/>
      <c r="BJ107" s="103" t="n"/>
      <c r="BK107" s="103" t="n"/>
      <c r="BL107" s="103" t="n"/>
      <c r="BM107" s="103" t="n"/>
      <c r="BN107" s="103" t="n"/>
      <c r="BO107" s="103" t="n"/>
      <c r="BP107" s="103" t="n"/>
      <c r="BQ107" s="103" t="n"/>
      <c r="BR107" s="103" t="n"/>
      <c r="BS107" s="103" t="n"/>
    </row>
    <row r="108">
      <c r="B108" t="inlineStr">
        <is>
          <t>1 мес.</t>
        </is>
      </c>
      <c r="C108" t="inlineStr">
        <is>
          <t>чел.</t>
        </is>
      </c>
      <c r="D108" s="104" t="inlineStr">
        <is>
          <t>Школы моложе пяти месяцев повторно не закупаются — у них ещё идёт первичная закупка</t>
        </is>
      </c>
      <c r="E108" s="114">
        <f>W108</f>
        <v/>
      </c>
      <c r="F108" s="114">
        <f>AI108</f>
        <v/>
      </c>
      <c r="G108" s="114">
        <f>AU108</f>
        <v/>
      </c>
      <c r="H108" s="114">
        <f>BG108</f>
        <v/>
      </c>
      <c r="I108" s="114">
        <f>BS108</f>
        <v/>
      </c>
      <c r="J108" s="115">
        <f>BS108</f>
        <v/>
      </c>
      <c r="L108" s="116">
        <f>0</f>
        <v/>
      </c>
      <c r="M108" s="116">
        <f>0</f>
        <v/>
      </c>
      <c r="N108" s="116">
        <f>0</f>
        <v/>
      </c>
      <c r="O108" s="116">
        <f>0</f>
        <v/>
      </c>
      <c r="P108" s="116">
        <f>0</f>
        <v/>
      </c>
      <c r="Q108" s="116">
        <f>0</f>
        <v/>
      </c>
      <c r="R108" s="116">
        <f>0</f>
        <v/>
      </c>
      <c r="S108" s="116">
        <f>0</f>
        <v/>
      </c>
      <c r="T108" s="116">
        <f>0</f>
        <v/>
      </c>
      <c r="U108" s="116">
        <f>0</f>
        <v/>
      </c>
      <c r="V108" s="116">
        <f>0</f>
        <v/>
      </c>
      <c r="W108" s="116">
        <f>0</f>
        <v/>
      </c>
      <c r="X108" s="116">
        <f>0</f>
        <v/>
      </c>
      <c r="Y108" s="116">
        <f>0</f>
        <v/>
      </c>
      <c r="Z108" s="116">
        <f>0</f>
        <v/>
      </c>
      <c r="AA108" s="116">
        <f>0</f>
        <v/>
      </c>
      <c r="AB108" s="116">
        <f>0</f>
        <v/>
      </c>
      <c r="AC108" s="116">
        <f>0</f>
        <v/>
      </c>
      <c r="AD108" s="116">
        <f>0</f>
        <v/>
      </c>
      <c r="AE108" s="116">
        <f>0</f>
        <v/>
      </c>
      <c r="AF108" s="116">
        <f>0</f>
        <v/>
      </c>
      <c r="AG108" s="116">
        <f>0</f>
        <v/>
      </c>
      <c r="AH108" s="116">
        <f>0</f>
        <v/>
      </c>
      <c r="AI108" s="116">
        <f>0</f>
        <v/>
      </c>
      <c r="AJ108" s="116">
        <f>0</f>
        <v/>
      </c>
      <c r="AK108" s="116">
        <f>0</f>
        <v/>
      </c>
      <c r="AL108" s="116">
        <f>0</f>
        <v/>
      </c>
      <c r="AM108" s="116">
        <f>0</f>
        <v/>
      </c>
      <c r="AN108" s="116">
        <f>0</f>
        <v/>
      </c>
      <c r="AO108" s="116">
        <f>0</f>
        <v/>
      </c>
      <c r="AP108" s="116">
        <f>0</f>
        <v/>
      </c>
      <c r="AQ108" s="116">
        <f>0</f>
        <v/>
      </c>
      <c r="AR108" s="116">
        <f>0</f>
        <v/>
      </c>
      <c r="AS108" s="116">
        <f>0</f>
        <v/>
      </c>
      <c r="AT108" s="116">
        <f>0</f>
        <v/>
      </c>
      <c r="AU108" s="116">
        <f>0</f>
        <v/>
      </c>
      <c r="AV108" s="116">
        <f>0</f>
        <v/>
      </c>
      <c r="AW108" s="116">
        <f>0</f>
        <v/>
      </c>
      <c r="AX108" s="116">
        <f>0</f>
        <v/>
      </c>
      <c r="AY108" s="116">
        <f>0</f>
        <v/>
      </c>
      <c r="AZ108" s="116">
        <f>0</f>
        <v/>
      </c>
      <c r="BA108" s="116">
        <f>0</f>
        <v/>
      </c>
      <c r="BB108" s="116">
        <f>0</f>
        <v/>
      </c>
      <c r="BC108" s="116">
        <f>0</f>
        <v/>
      </c>
      <c r="BD108" s="116">
        <f>0</f>
        <v/>
      </c>
      <c r="BE108" s="116">
        <f>0</f>
        <v/>
      </c>
      <c r="BF108" s="116">
        <f>0</f>
        <v/>
      </c>
      <c r="BG108" s="116">
        <f>0</f>
        <v/>
      </c>
      <c r="BH108" s="116">
        <f>0</f>
        <v/>
      </c>
      <c r="BI108" s="116">
        <f>0</f>
        <v/>
      </c>
      <c r="BJ108" s="116">
        <f>0</f>
        <v/>
      </c>
      <c r="BK108" s="116">
        <f>0</f>
        <v/>
      </c>
      <c r="BL108" s="116">
        <f>0</f>
        <v/>
      </c>
      <c r="BM108" s="116">
        <f>0</f>
        <v/>
      </c>
      <c r="BN108" s="116">
        <f>0</f>
        <v/>
      </c>
      <c r="BO108" s="116">
        <f>0</f>
        <v/>
      </c>
      <c r="BP108" s="116">
        <f>0</f>
        <v/>
      </c>
      <c r="BQ108" s="116">
        <f>0</f>
        <v/>
      </c>
      <c r="BR108" s="116">
        <f>0</f>
        <v/>
      </c>
      <c r="BS108" s="116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04" t="inlineStr"/>
      <c r="E109" s="114">
        <f>W109</f>
        <v/>
      </c>
      <c r="F109" s="114">
        <f>AI109</f>
        <v/>
      </c>
      <c r="G109" s="114">
        <f>AU109</f>
        <v/>
      </c>
      <c r="H109" s="114">
        <f>BG109</f>
        <v/>
      </c>
      <c r="I109" s="114">
        <f>BS109</f>
        <v/>
      </c>
      <c r="J109" s="115">
        <f>BS109</f>
        <v/>
      </c>
      <c r="L109" s="116">
        <f>0</f>
        <v/>
      </c>
      <c r="M109" s="116">
        <f>0</f>
        <v/>
      </c>
      <c r="N109" s="116">
        <f>0</f>
        <v/>
      </c>
      <c r="O109" s="116">
        <f>0</f>
        <v/>
      </c>
      <c r="P109" s="116">
        <f>0</f>
        <v/>
      </c>
      <c r="Q109" s="116">
        <f>0</f>
        <v/>
      </c>
      <c r="R109" s="116">
        <f>0</f>
        <v/>
      </c>
      <c r="S109" s="116">
        <f>0</f>
        <v/>
      </c>
      <c r="T109" s="116">
        <f>0</f>
        <v/>
      </c>
      <c r="U109" s="116">
        <f>0</f>
        <v/>
      </c>
      <c r="V109" s="116">
        <f>0</f>
        <v/>
      </c>
      <c r="W109" s="116">
        <f>0</f>
        <v/>
      </c>
      <c r="X109" s="116">
        <f>0</f>
        <v/>
      </c>
      <c r="Y109" s="116">
        <f>0</f>
        <v/>
      </c>
      <c r="Z109" s="116">
        <f>0</f>
        <v/>
      </c>
      <c r="AA109" s="116">
        <f>0</f>
        <v/>
      </c>
      <c r="AB109" s="116">
        <f>0</f>
        <v/>
      </c>
      <c r="AC109" s="116">
        <f>0</f>
        <v/>
      </c>
      <c r="AD109" s="116">
        <f>0</f>
        <v/>
      </c>
      <c r="AE109" s="116">
        <f>0</f>
        <v/>
      </c>
      <c r="AF109" s="116">
        <f>0</f>
        <v/>
      </c>
      <c r="AG109" s="116">
        <f>0</f>
        <v/>
      </c>
      <c r="AH109" s="116">
        <f>0</f>
        <v/>
      </c>
      <c r="AI109" s="116">
        <f>0</f>
        <v/>
      </c>
      <c r="AJ109" s="116">
        <f>0</f>
        <v/>
      </c>
      <c r="AK109" s="116">
        <f>0</f>
        <v/>
      </c>
      <c r="AL109" s="116">
        <f>0</f>
        <v/>
      </c>
      <c r="AM109" s="116">
        <f>0</f>
        <v/>
      </c>
      <c r="AN109" s="116">
        <f>0</f>
        <v/>
      </c>
      <c r="AO109" s="116">
        <f>0</f>
        <v/>
      </c>
      <c r="AP109" s="116">
        <f>0</f>
        <v/>
      </c>
      <c r="AQ109" s="116">
        <f>0</f>
        <v/>
      </c>
      <c r="AR109" s="116">
        <f>0</f>
        <v/>
      </c>
      <c r="AS109" s="116">
        <f>0</f>
        <v/>
      </c>
      <c r="AT109" s="116">
        <f>0</f>
        <v/>
      </c>
      <c r="AU109" s="116">
        <f>0</f>
        <v/>
      </c>
      <c r="AV109" s="116">
        <f>0</f>
        <v/>
      </c>
      <c r="AW109" s="116">
        <f>0</f>
        <v/>
      </c>
      <c r="AX109" s="116">
        <f>0</f>
        <v/>
      </c>
      <c r="AY109" s="116">
        <f>0</f>
        <v/>
      </c>
      <c r="AZ109" s="116">
        <f>0</f>
        <v/>
      </c>
      <c r="BA109" s="116">
        <f>0</f>
        <v/>
      </c>
      <c r="BB109" s="116">
        <f>0</f>
        <v/>
      </c>
      <c r="BC109" s="116">
        <f>0</f>
        <v/>
      </c>
      <c r="BD109" s="116">
        <f>0</f>
        <v/>
      </c>
      <c r="BE109" s="116">
        <f>0</f>
        <v/>
      </c>
      <c r="BF109" s="116">
        <f>0</f>
        <v/>
      </c>
      <c r="BG109" s="116">
        <f>0</f>
        <v/>
      </c>
      <c r="BH109" s="116">
        <f>0</f>
        <v/>
      </c>
      <c r="BI109" s="116">
        <f>0</f>
        <v/>
      </c>
      <c r="BJ109" s="116">
        <f>0</f>
        <v/>
      </c>
      <c r="BK109" s="116">
        <f>0</f>
        <v/>
      </c>
      <c r="BL109" s="116">
        <f>0</f>
        <v/>
      </c>
      <c r="BM109" s="116">
        <f>0</f>
        <v/>
      </c>
      <c r="BN109" s="116">
        <f>0</f>
        <v/>
      </c>
      <c r="BO109" s="116">
        <f>0</f>
        <v/>
      </c>
      <c r="BP109" s="116">
        <f>0</f>
        <v/>
      </c>
      <c r="BQ109" s="116">
        <f>0</f>
        <v/>
      </c>
      <c r="BR109" s="116">
        <f>0</f>
        <v/>
      </c>
      <c r="BS109" s="116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04" t="inlineStr"/>
      <c r="E110" s="114">
        <f>W110</f>
        <v/>
      </c>
      <c r="F110" s="114">
        <f>AI110</f>
        <v/>
      </c>
      <c r="G110" s="114">
        <f>AU110</f>
        <v/>
      </c>
      <c r="H110" s="114">
        <f>BG110</f>
        <v/>
      </c>
      <c r="I110" s="114">
        <f>BS110</f>
        <v/>
      </c>
      <c r="J110" s="115">
        <f>BS110</f>
        <v/>
      </c>
      <c r="L110" s="116">
        <f>0</f>
        <v/>
      </c>
      <c r="M110" s="116">
        <f>0</f>
        <v/>
      </c>
      <c r="N110" s="116">
        <f>0</f>
        <v/>
      </c>
      <c r="O110" s="116">
        <f>0</f>
        <v/>
      </c>
      <c r="P110" s="116">
        <f>0</f>
        <v/>
      </c>
      <c r="Q110" s="116">
        <f>0</f>
        <v/>
      </c>
      <c r="R110" s="116">
        <f>0</f>
        <v/>
      </c>
      <c r="S110" s="116">
        <f>0</f>
        <v/>
      </c>
      <c r="T110" s="116">
        <f>0</f>
        <v/>
      </c>
      <c r="U110" s="116">
        <f>0</f>
        <v/>
      </c>
      <c r="V110" s="116">
        <f>0</f>
        <v/>
      </c>
      <c r="W110" s="116">
        <f>0</f>
        <v/>
      </c>
      <c r="X110" s="116">
        <f>0</f>
        <v/>
      </c>
      <c r="Y110" s="116">
        <f>0</f>
        <v/>
      </c>
      <c r="Z110" s="116">
        <f>0</f>
        <v/>
      </c>
      <c r="AA110" s="116">
        <f>0</f>
        <v/>
      </c>
      <c r="AB110" s="116">
        <f>0</f>
        <v/>
      </c>
      <c r="AC110" s="116">
        <f>0</f>
        <v/>
      </c>
      <c r="AD110" s="116">
        <f>0</f>
        <v/>
      </c>
      <c r="AE110" s="116">
        <f>0</f>
        <v/>
      </c>
      <c r="AF110" s="116">
        <f>0</f>
        <v/>
      </c>
      <c r="AG110" s="116">
        <f>0</f>
        <v/>
      </c>
      <c r="AH110" s="116">
        <f>0</f>
        <v/>
      </c>
      <c r="AI110" s="116">
        <f>0</f>
        <v/>
      </c>
      <c r="AJ110" s="116">
        <f>0</f>
        <v/>
      </c>
      <c r="AK110" s="116">
        <f>0</f>
        <v/>
      </c>
      <c r="AL110" s="116">
        <f>0</f>
        <v/>
      </c>
      <c r="AM110" s="116">
        <f>0</f>
        <v/>
      </c>
      <c r="AN110" s="116">
        <f>0</f>
        <v/>
      </c>
      <c r="AO110" s="116">
        <f>0</f>
        <v/>
      </c>
      <c r="AP110" s="116">
        <f>0</f>
        <v/>
      </c>
      <c r="AQ110" s="116">
        <f>0</f>
        <v/>
      </c>
      <c r="AR110" s="116">
        <f>0</f>
        <v/>
      </c>
      <c r="AS110" s="116">
        <f>0</f>
        <v/>
      </c>
      <c r="AT110" s="116">
        <f>0</f>
        <v/>
      </c>
      <c r="AU110" s="116">
        <f>0</f>
        <v/>
      </c>
      <c r="AV110" s="116">
        <f>0</f>
        <v/>
      </c>
      <c r="AW110" s="116">
        <f>0</f>
        <v/>
      </c>
      <c r="AX110" s="116">
        <f>0</f>
        <v/>
      </c>
      <c r="AY110" s="116">
        <f>0</f>
        <v/>
      </c>
      <c r="AZ110" s="116">
        <f>0</f>
        <v/>
      </c>
      <c r="BA110" s="116">
        <f>0</f>
        <v/>
      </c>
      <c r="BB110" s="116">
        <f>0</f>
        <v/>
      </c>
      <c r="BC110" s="116">
        <f>0</f>
        <v/>
      </c>
      <c r="BD110" s="116">
        <f>0</f>
        <v/>
      </c>
      <c r="BE110" s="116">
        <f>0</f>
        <v/>
      </c>
      <c r="BF110" s="116">
        <f>0</f>
        <v/>
      </c>
      <c r="BG110" s="116">
        <f>0</f>
        <v/>
      </c>
      <c r="BH110" s="116">
        <f>0</f>
        <v/>
      </c>
      <c r="BI110" s="116">
        <f>0</f>
        <v/>
      </c>
      <c r="BJ110" s="116">
        <f>0</f>
        <v/>
      </c>
      <c r="BK110" s="116">
        <f>0</f>
        <v/>
      </c>
      <c r="BL110" s="116">
        <f>0</f>
        <v/>
      </c>
      <c r="BM110" s="116">
        <f>0</f>
        <v/>
      </c>
      <c r="BN110" s="116">
        <f>0</f>
        <v/>
      </c>
      <c r="BO110" s="116">
        <f>0</f>
        <v/>
      </c>
      <c r="BP110" s="116">
        <f>0</f>
        <v/>
      </c>
      <c r="BQ110" s="116">
        <f>0</f>
        <v/>
      </c>
      <c r="BR110" s="116">
        <f>0</f>
        <v/>
      </c>
      <c r="BS110" s="116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04" t="inlineStr"/>
      <c r="E111" s="114">
        <f>W111</f>
        <v/>
      </c>
      <c r="F111" s="114">
        <f>AI111</f>
        <v/>
      </c>
      <c r="G111" s="114">
        <f>AU111</f>
        <v/>
      </c>
      <c r="H111" s="114">
        <f>BG111</f>
        <v/>
      </c>
      <c r="I111" s="114">
        <f>BS111</f>
        <v/>
      </c>
      <c r="J111" s="115">
        <f>BS111</f>
        <v/>
      </c>
      <c r="L111" s="116">
        <f>0</f>
        <v/>
      </c>
      <c r="M111" s="116">
        <f>0</f>
        <v/>
      </c>
      <c r="N111" s="116">
        <f>0</f>
        <v/>
      </c>
      <c r="O111" s="116">
        <f>0</f>
        <v/>
      </c>
      <c r="P111" s="116">
        <f>0</f>
        <v/>
      </c>
      <c r="Q111" s="116">
        <f>0</f>
        <v/>
      </c>
      <c r="R111" s="116">
        <f>0</f>
        <v/>
      </c>
      <c r="S111" s="116">
        <f>0</f>
        <v/>
      </c>
      <c r="T111" s="116">
        <f>0</f>
        <v/>
      </c>
      <c r="U111" s="116">
        <f>0</f>
        <v/>
      </c>
      <c r="V111" s="116">
        <f>0</f>
        <v/>
      </c>
      <c r="W111" s="116">
        <f>0</f>
        <v/>
      </c>
      <c r="X111" s="116">
        <f>0</f>
        <v/>
      </c>
      <c r="Y111" s="116">
        <f>0</f>
        <v/>
      </c>
      <c r="Z111" s="116">
        <f>0</f>
        <v/>
      </c>
      <c r="AA111" s="116">
        <f>0</f>
        <v/>
      </c>
      <c r="AB111" s="116">
        <f>0</f>
        <v/>
      </c>
      <c r="AC111" s="116">
        <f>0</f>
        <v/>
      </c>
      <c r="AD111" s="116">
        <f>0</f>
        <v/>
      </c>
      <c r="AE111" s="116">
        <f>0</f>
        <v/>
      </c>
      <c r="AF111" s="116">
        <f>0</f>
        <v/>
      </c>
      <c r="AG111" s="116">
        <f>0</f>
        <v/>
      </c>
      <c r="AH111" s="116">
        <f>0</f>
        <v/>
      </c>
      <c r="AI111" s="116">
        <f>0</f>
        <v/>
      </c>
      <c r="AJ111" s="116">
        <f>0</f>
        <v/>
      </c>
      <c r="AK111" s="116">
        <f>0</f>
        <v/>
      </c>
      <c r="AL111" s="116">
        <f>0</f>
        <v/>
      </c>
      <c r="AM111" s="116">
        <f>0</f>
        <v/>
      </c>
      <c r="AN111" s="116">
        <f>0</f>
        <v/>
      </c>
      <c r="AO111" s="116">
        <f>0</f>
        <v/>
      </c>
      <c r="AP111" s="116">
        <f>0</f>
        <v/>
      </c>
      <c r="AQ111" s="116">
        <f>0</f>
        <v/>
      </c>
      <c r="AR111" s="116">
        <f>0</f>
        <v/>
      </c>
      <c r="AS111" s="116">
        <f>0</f>
        <v/>
      </c>
      <c r="AT111" s="116">
        <f>0</f>
        <v/>
      </c>
      <c r="AU111" s="116">
        <f>0</f>
        <v/>
      </c>
      <c r="AV111" s="116">
        <f>0</f>
        <v/>
      </c>
      <c r="AW111" s="116">
        <f>0</f>
        <v/>
      </c>
      <c r="AX111" s="116">
        <f>0</f>
        <v/>
      </c>
      <c r="AY111" s="116">
        <f>0</f>
        <v/>
      </c>
      <c r="AZ111" s="116">
        <f>0</f>
        <v/>
      </c>
      <c r="BA111" s="116">
        <f>0</f>
        <v/>
      </c>
      <c r="BB111" s="116">
        <f>0</f>
        <v/>
      </c>
      <c r="BC111" s="116">
        <f>0</f>
        <v/>
      </c>
      <c r="BD111" s="116">
        <f>0</f>
        <v/>
      </c>
      <c r="BE111" s="116">
        <f>0</f>
        <v/>
      </c>
      <c r="BF111" s="116">
        <f>0</f>
        <v/>
      </c>
      <c r="BG111" s="116">
        <f>0</f>
        <v/>
      </c>
      <c r="BH111" s="116">
        <f>0</f>
        <v/>
      </c>
      <c r="BI111" s="116">
        <f>0</f>
        <v/>
      </c>
      <c r="BJ111" s="116">
        <f>0</f>
        <v/>
      </c>
      <c r="BK111" s="116">
        <f>0</f>
        <v/>
      </c>
      <c r="BL111" s="116">
        <f>0</f>
        <v/>
      </c>
      <c r="BM111" s="116">
        <f>0</f>
        <v/>
      </c>
      <c r="BN111" s="116">
        <f>0</f>
        <v/>
      </c>
      <c r="BO111" s="116">
        <f>0</f>
        <v/>
      </c>
      <c r="BP111" s="116">
        <f>0</f>
        <v/>
      </c>
      <c r="BQ111" s="116">
        <f>0</f>
        <v/>
      </c>
      <c r="BR111" s="116">
        <f>0</f>
        <v/>
      </c>
      <c r="BS111" s="116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04" t="inlineStr">
        <is>
          <t>Покупают заново, если уже пережили начало сезона</t>
        </is>
      </c>
      <c r="E112" s="114">
        <f>W112</f>
        <v/>
      </c>
      <c r="F112" s="114">
        <f>AI112</f>
        <v/>
      </c>
      <c r="G112" s="114">
        <f>AU112</f>
        <v/>
      </c>
      <c r="H112" s="114">
        <f>BG112</f>
        <v/>
      </c>
      <c r="I112" s="114">
        <f>BS112</f>
        <v/>
      </c>
      <c r="J112" s="115">
        <f>BS112</f>
        <v/>
      </c>
      <c r="L112" s="116">
        <f>IF(AND(ПравилоПовтора="Новый сезон",5-1&gt;MOD(MONTH('03_Сеть'!L6)-9,12)),'03_Сеть'!L26*CapacityAge05*МножительДетей,0)</f>
        <v/>
      </c>
      <c r="M112" s="116">
        <f>IF(AND(ПравилоПовтора="Новый сезон",5-1&gt;MOD(MONTH('03_Сеть'!M6)-9,12)),'03_Сеть'!M26*CapacityAge05*МножительДетей,0)</f>
        <v/>
      </c>
      <c r="N112" s="116">
        <f>IF(AND(ПравилоПовтора="Новый сезон",5-1&gt;MOD(MONTH('03_Сеть'!N6)-9,12)),'03_Сеть'!N26*CapacityAge05*МножительДетей,0)</f>
        <v/>
      </c>
      <c r="O112" s="116">
        <f>IF(AND(ПравилоПовтора="Новый сезон",5-1&gt;MOD(MONTH('03_Сеть'!O6)-9,12)),'03_Сеть'!O26*CapacityAge05*МножительДетей,0)</f>
        <v/>
      </c>
      <c r="P112" s="116">
        <f>IF(AND(ПравилоПовтора="Новый сезон",5-1&gt;MOD(MONTH('03_Сеть'!P6)-9,12)),'03_Сеть'!P26*CapacityAge05*МножительДетей,0)</f>
        <v/>
      </c>
      <c r="Q112" s="116">
        <f>IF(AND(ПравилоПовтора="Новый сезон",5-1&gt;MOD(MONTH('03_Сеть'!Q6)-9,12)),'03_Сеть'!Q26*CapacityAge05*МножительДетей,0)</f>
        <v/>
      </c>
      <c r="R112" s="116">
        <f>IF(AND(ПравилоПовтора="Новый сезон",5-1&gt;MOD(MONTH('03_Сеть'!R6)-9,12)),'03_Сеть'!R26*CapacityAge05*МножительДетей,0)</f>
        <v/>
      </c>
      <c r="S112" s="116">
        <f>IF(AND(ПравилоПовтора="Новый сезон",5-1&gt;MOD(MONTH('03_Сеть'!S6)-9,12)),'03_Сеть'!S26*CapacityAge05*МножительДетей,0)</f>
        <v/>
      </c>
      <c r="T112" s="116">
        <f>IF(AND(ПравилоПовтора="Новый сезон",5-1&gt;MOD(MONTH('03_Сеть'!T6)-9,12)),'03_Сеть'!T26*CapacityAge05*МножительДетей,0)</f>
        <v/>
      </c>
      <c r="U112" s="116">
        <f>IF(AND(ПравилоПовтора="Новый сезон",5-1&gt;MOD(MONTH('03_Сеть'!U6)-9,12)),'03_Сеть'!U26*CapacityAge05*МножительДетей,0)</f>
        <v/>
      </c>
      <c r="V112" s="116">
        <f>IF(AND(ПравилоПовтора="Новый сезон",5-1&gt;MOD(MONTH('03_Сеть'!V6)-9,12)),'03_Сеть'!V26*CapacityAge05*МножительДетей,0)</f>
        <v/>
      </c>
      <c r="W112" s="116">
        <f>IF(AND(ПравилоПовтора="Новый сезон",5-1&gt;MOD(MONTH('03_Сеть'!W6)-9,12)),'03_Сеть'!W26*CapacityAge05*МножительДетей,0)</f>
        <v/>
      </c>
      <c r="X112" s="116">
        <f>IF(AND(ПравилоПовтора="Новый сезон",5-1&gt;MOD(MONTH('03_Сеть'!X6)-9,12)),'03_Сеть'!X26*CapacityAge05*МножительДетей,0)</f>
        <v/>
      </c>
      <c r="Y112" s="116">
        <f>IF(AND(ПравилоПовтора="Новый сезон",5-1&gt;MOD(MONTH('03_Сеть'!Y6)-9,12)),'03_Сеть'!Y26*CapacityAge05*МножительДетей,0)</f>
        <v/>
      </c>
      <c r="Z112" s="116">
        <f>IF(AND(ПравилоПовтора="Новый сезон",5-1&gt;MOD(MONTH('03_Сеть'!Z6)-9,12)),'03_Сеть'!Z26*CapacityAge05*МножительДетей,0)</f>
        <v/>
      </c>
      <c r="AA112" s="116">
        <f>IF(AND(ПравилоПовтора="Новый сезон",5-1&gt;MOD(MONTH('03_Сеть'!AA6)-9,12)),'03_Сеть'!AA26*CapacityAge05*МножительДетей,0)</f>
        <v/>
      </c>
      <c r="AB112" s="116">
        <f>IF(AND(ПравилоПовтора="Новый сезон",5-1&gt;MOD(MONTH('03_Сеть'!AB6)-9,12)),'03_Сеть'!AB26*CapacityAge05*МножительДетей,0)</f>
        <v/>
      </c>
      <c r="AC112" s="116">
        <f>IF(AND(ПравилоПовтора="Новый сезон",5-1&gt;MOD(MONTH('03_Сеть'!AC6)-9,12)),'03_Сеть'!AC26*CapacityAge05*МножительДетей,0)</f>
        <v/>
      </c>
      <c r="AD112" s="116">
        <f>IF(AND(ПравилоПовтора="Новый сезон",5-1&gt;MOD(MONTH('03_Сеть'!AD6)-9,12)),'03_Сеть'!AD26*CapacityAge05*МножительДетей,0)</f>
        <v/>
      </c>
      <c r="AE112" s="116">
        <f>IF(AND(ПравилоПовтора="Новый сезон",5-1&gt;MOD(MONTH('03_Сеть'!AE6)-9,12)),'03_Сеть'!AE26*CapacityAge05*МножительДетей,0)</f>
        <v/>
      </c>
      <c r="AF112" s="116">
        <f>IF(AND(ПравилоПовтора="Новый сезон",5-1&gt;MOD(MONTH('03_Сеть'!AF6)-9,12)),'03_Сеть'!AF26*CapacityAge05*МножительДетей,0)</f>
        <v/>
      </c>
      <c r="AG112" s="116">
        <f>IF(AND(ПравилоПовтора="Новый сезон",5-1&gt;MOD(MONTH('03_Сеть'!AG6)-9,12)),'03_Сеть'!AG26*CapacityAge05*МножительДетей,0)</f>
        <v/>
      </c>
      <c r="AH112" s="116">
        <f>IF(AND(ПравилоПовтора="Новый сезон",5-1&gt;MOD(MONTH('03_Сеть'!AH6)-9,12)),'03_Сеть'!AH26*CapacityAge05*МножительДетей,0)</f>
        <v/>
      </c>
      <c r="AI112" s="116">
        <f>IF(AND(ПравилоПовтора="Новый сезон",5-1&gt;MOD(MONTH('03_Сеть'!AI6)-9,12)),'03_Сеть'!AI26*CapacityAge05*МножительДетей,0)</f>
        <v/>
      </c>
      <c r="AJ112" s="116">
        <f>IF(AND(ПравилоПовтора="Новый сезон",5-1&gt;MOD(MONTH('03_Сеть'!AJ6)-9,12)),'03_Сеть'!AJ26*CapacityAge05*МножительДетей,0)</f>
        <v/>
      </c>
      <c r="AK112" s="116">
        <f>IF(AND(ПравилоПовтора="Новый сезон",5-1&gt;MOD(MONTH('03_Сеть'!AK6)-9,12)),'03_Сеть'!AK26*CapacityAge05*МножительДетей,0)</f>
        <v/>
      </c>
      <c r="AL112" s="116">
        <f>IF(AND(ПравилоПовтора="Новый сезон",5-1&gt;MOD(MONTH('03_Сеть'!AL6)-9,12)),'03_Сеть'!AL26*CapacityAge05*МножительДетей,0)</f>
        <v/>
      </c>
      <c r="AM112" s="116">
        <f>IF(AND(ПравилоПовтора="Новый сезон",5-1&gt;MOD(MONTH('03_Сеть'!AM6)-9,12)),'03_Сеть'!AM26*CapacityAge05*МножительДетей,0)</f>
        <v/>
      </c>
      <c r="AN112" s="116">
        <f>IF(AND(ПравилоПовтора="Новый сезон",5-1&gt;MOD(MONTH('03_Сеть'!AN6)-9,12)),'03_Сеть'!AN26*CapacityAge05*МножительДетей,0)</f>
        <v/>
      </c>
      <c r="AO112" s="116">
        <f>IF(AND(ПравилоПовтора="Новый сезон",5-1&gt;MOD(MONTH('03_Сеть'!AO6)-9,12)),'03_Сеть'!AO26*CapacityAge05*МножительДетей,0)</f>
        <v/>
      </c>
      <c r="AP112" s="116">
        <f>IF(AND(ПравилоПовтора="Новый сезон",5-1&gt;MOD(MONTH('03_Сеть'!AP6)-9,12)),'03_Сеть'!AP26*CapacityAge05*МножительДетей,0)</f>
        <v/>
      </c>
      <c r="AQ112" s="116">
        <f>IF(AND(ПравилоПовтора="Новый сезон",5-1&gt;MOD(MONTH('03_Сеть'!AQ6)-9,12)),'03_Сеть'!AQ26*CapacityAge05*МножительДетей,0)</f>
        <v/>
      </c>
      <c r="AR112" s="116">
        <f>IF(AND(ПравилоПовтора="Новый сезон",5-1&gt;MOD(MONTH('03_Сеть'!AR6)-9,12)),'03_Сеть'!AR26*CapacityAge05*МножительДетей,0)</f>
        <v/>
      </c>
      <c r="AS112" s="116">
        <f>IF(AND(ПравилоПовтора="Новый сезон",5-1&gt;MOD(MONTH('03_Сеть'!AS6)-9,12)),'03_Сеть'!AS26*CapacityAge05*МножительДетей,0)</f>
        <v/>
      </c>
      <c r="AT112" s="116">
        <f>IF(AND(ПравилоПовтора="Новый сезон",5-1&gt;MOD(MONTH('03_Сеть'!AT6)-9,12)),'03_Сеть'!AT26*CapacityAge05*МножительДетей,0)</f>
        <v/>
      </c>
      <c r="AU112" s="116">
        <f>IF(AND(ПравилоПовтора="Новый сезон",5-1&gt;MOD(MONTH('03_Сеть'!AU6)-9,12)),'03_Сеть'!AU26*CapacityAge05*МножительДетей,0)</f>
        <v/>
      </c>
      <c r="AV112" s="116">
        <f>IF(AND(ПравилоПовтора="Новый сезон",5-1&gt;MOD(MONTH('03_Сеть'!AV6)-9,12)),'03_Сеть'!AV26*CapacityAge05*МножительДетей,0)</f>
        <v/>
      </c>
      <c r="AW112" s="116">
        <f>IF(AND(ПравилоПовтора="Новый сезон",5-1&gt;MOD(MONTH('03_Сеть'!AW6)-9,12)),'03_Сеть'!AW26*CapacityAge05*МножительДетей,0)</f>
        <v/>
      </c>
      <c r="AX112" s="116">
        <f>IF(AND(ПравилоПовтора="Новый сезон",5-1&gt;MOD(MONTH('03_Сеть'!AX6)-9,12)),'03_Сеть'!AX26*CapacityAge05*МножительДетей,0)</f>
        <v/>
      </c>
      <c r="AY112" s="116">
        <f>IF(AND(ПравилоПовтора="Новый сезон",5-1&gt;MOD(MONTH('03_Сеть'!AY6)-9,12)),'03_Сеть'!AY26*CapacityAge05*МножительДетей,0)</f>
        <v/>
      </c>
      <c r="AZ112" s="116">
        <f>IF(AND(ПравилоПовтора="Новый сезон",5-1&gt;MOD(MONTH('03_Сеть'!AZ6)-9,12)),'03_Сеть'!AZ26*CapacityAge05*МножительДетей,0)</f>
        <v/>
      </c>
      <c r="BA112" s="116">
        <f>IF(AND(ПравилоПовтора="Новый сезон",5-1&gt;MOD(MONTH('03_Сеть'!BA6)-9,12)),'03_Сеть'!BA26*CapacityAge05*МножительДетей,0)</f>
        <v/>
      </c>
      <c r="BB112" s="116">
        <f>IF(AND(ПравилоПовтора="Новый сезон",5-1&gt;MOD(MONTH('03_Сеть'!BB6)-9,12)),'03_Сеть'!BB26*CapacityAge05*МножительДетей,0)</f>
        <v/>
      </c>
      <c r="BC112" s="116">
        <f>IF(AND(ПравилоПовтора="Новый сезон",5-1&gt;MOD(MONTH('03_Сеть'!BC6)-9,12)),'03_Сеть'!BC26*CapacityAge05*МножительДетей,0)</f>
        <v/>
      </c>
      <c r="BD112" s="116">
        <f>IF(AND(ПравилоПовтора="Новый сезон",5-1&gt;MOD(MONTH('03_Сеть'!BD6)-9,12)),'03_Сеть'!BD26*CapacityAge05*МножительДетей,0)</f>
        <v/>
      </c>
      <c r="BE112" s="116">
        <f>IF(AND(ПравилоПовтора="Новый сезон",5-1&gt;MOD(MONTH('03_Сеть'!BE6)-9,12)),'03_Сеть'!BE26*CapacityAge05*МножительДетей,0)</f>
        <v/>
      </c>
      <c r="BF112" s="116">
        <f>IF(AND(ПравилоПовтора="Новый сезон",5-1&gt;MOD(MONTH('03_Сеть'!BF6)-9,12)),'03_Сеть'!BF26*CapacityAge05*МножительДетей,0)</f>
        <v/>
      </c>
      <c r="BG112" s="116">
        <f>IF(AND(ПравилоПовтора="Новый сезон",5-1&gt;MOD(MONTH('03_Сеть'!BG6)-9,12)),'03_Сеть'!BG26*CapacityAge05*МножительДетей,0)</f>
        <v/>
      </c>
      <c r="BH112" s="116">
        <f>IF(AND(ПравилоПовтора="Новый сезон",5-1&gt;MOD(MONTH('03_Сеть'!BH6)-9,12)),'03_Сеть'!BH26*CapacityAge05*МножительДетей,0)</f>
        <v/>
      </c>
      <c r="BI112" s="116">
        <f>IF(AND(ПравилоПовтора="Новый сезон",5-1&gt;MOD(MONTH('03_Сеть'!BI6)-9,12)),'03_Сеть'!BI26*CapacityAge05*МножительДетей,0)</f>
        <v/>
      </c>
      <c r="BJ112" s="116">
        <f>IF(AND(ПравилоПовтора="Новый сезон",5-1&gt;MOD(MONTH('03_Сеть'!BJ6)-9,12)),'03_Сеть'!BJ26*CapacityAge05*МножительДетей,0)</f>
        <v/>
      </c>
      <c r="BK112" s="116">
        <f>IF(AND(ПравилоПовтора="Новый сезон",5-1&gt;MOD(MONTH('03_Сеть'!BK6)-9,12)),'03_Сеть'!BK26*CapacityAge05*МножительДетей,0)</f>
        <v/>
      </c>
      <c r="BL112" s="116">
        <f>IF(AND(ПравилоПовтора="Новый сезон",5-1&gt;MOD(MONTH('03_Сеть'!BL6)-9,12)),'03_Сеть'!BL26*CapacityAge05*МножительДетей,0)</f>
        <v/>
      </c>
      <c r="BM112" s="116">
        <f>IF(AND(ПравилоПовтора="Новый сезон",5-1&gt;MOD(MONTH('03_Сеть'!BM6)-9,12)),'03_Сеть'!BM26*CapacityAge05*МножительДетей,0)</f>
        <v/>
      </c>
      <c r="BN112" s="116">
        <f>IF(AND(ПравилоПовтора="Новый сезон",5-1&gt;MOD(MONTH('03_Сеть'!BN6)-9,12)),'03_Сеть'!BN26*CapacityAge05*МножительДетей,0)</f>
        <v/>
      </c>
      <c r="BO112" s="116">
        <f>IF(AND(ПравилоПовтора="Новый сезон",5-1&gt;MOD(MONTH('03_Сеть'!BO6)-9,12)),'03_Сеть'!BO26*CapacityAge05*МножительДетей,0)</f>
        <v/>
      </c>
      <c r="BP112" s="116">
        <f>IF(AND(ПравилоПовтора="Новый сезон",5-1&gt;MOD(MONTH('03_Сеть'!BP6)-9,12)),'03_Сеть'!BP26*CapacityAge05*МножительДетей,0)</f>
        <v/>
      </c>
      <c r="BQ112" s="116">
        <f>IF(AND(ПравилоПовтора="Новый сезон",5-1&gt;MOD(MONTH('03_Сеть'!BQ6)-9,12)),'03_Сеть'!BQ26*CapacityAge05*МножительДетей,0)</f>
        <v/>
      </c>
      <c r="BR112" s="116">
        <f>IF(AND(ПравилоПовтора="Новый сезон",5-1&gt;MOD(MONTH('03_Сеть'!BR6)-9,12)),'03_Сеть'!BR26*CapacityAge05*МножительДетей,0)</f>
        <v/>
      </c>
      <c r="BS112" s="116">
        <f>IF(AND(ПравилоПовтора="Новый сезон",5-1&gt;MOD(MONTH('03_Сеть'!BS6)-9,12)),'03_Сеть'!BS26*CapacityAge05*МножительДетей,0)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04" t="inlineStr"/>
      <c r="E113" s="114">
        <f>W113</f>
        <v/>
      </c>
      <c r="F113" s="114">
        <f>AI113</f>
        <v/>
      </c>
      <c r="G113" s="114">
        <f>AU113</f>
        <v/>
      </c>
      <c r="H113" s="114">
        <f>BG113</f>
        <v/>
      </c>
      <c r="I113" s="114">
        <f>BS113</f>
        <v/>
      </c>
      <c r="J113" s="115">
        <f>BS113</f>
        <v/>
      </c>
      <c r="L113" s="116">
        <f>IF(AND(ПравилоПовтора="Новый сезон",6-1&gt;MOD(MONTH('03_Сеть'!L6)-9,12)),'03_Сеть'!L27*CapacityAge06*МножительДетей,0)</f>
        <v/>
      </c>
      <c r="M113" s="116">
        <f>IF(AND(ПравилоПовтора="Новый сезон",6-1&gt;MOD(MONTH('03_Сеть'!M6)-9,12)),'03_Сеть'!M27*CapacityAge06*МножительДетей,0)</f>
        <v/>
      </c>
      <c r="N113" s="116">
        <f>IF(AND(ПравилоПовтора="Новый сезон",6-1&gt;MOD(MONTH('03_Сеть'!N6)-9,12)),'03_Сеть'!N27*CapacityAge06*МножительДетей,0)</f>
        <v/>
      </c>
      <c r="O113" s="116">
        <f>IF(AND(ПравилоПовтора="Новый сезон",6-1&gt;MOD(MONTH('03_Сеть'!O6)-9,12)),'03_Сеть'!O27*CapacityAge06*МножительДетей,0)</f>
        <v/>
      </c>
      <c r="P113" s="116">
        <f>IF(AND(ПравилоПовтора="Новый сезон",6-1&gt;MOD(MONTH('03_Сеть'!P6)-9,12)),'03_Сеть'!P27*CapacityAge06*МножительДетей,0)</f>
        <v/>
      </c>
      <c r="Q113" s="116">
        <f>IF(AND(ПравилоПовтора="Новый сезон",6-1&gt;MOD(MONTH('03_Сеть'!Q6)-9,12)),'03_Сеть'!Q27*CapacityAge06*МножительДетей,0)</f>
        <v/>
      </c>
      <c r="R113" s="116">
        <f>IF(AND(ПравилоПовтора="Новый сезон",6-1&gt;MOD(MONTH('03_Сеть'!R6)-9,12)),'03_Сеть'!R27*CapacityAge06*МножительДетей,0)</f>
        <v/>
      </c>
      <c r="S113" s="116">
        <f>IF(AND(ПравилоПовтора="Новый сезон",6-1&gt;MOD(MONTH('03_Сеть'!S6)-9,12)),'03_Сеть'!S27*CapacityAge06*МножительДетей,0)</f>
        <v/>
      </c>
      <c r="T113" s="116">
        <f>IF(AND(ПравилоПовтора="Новый сезон",6-1&gt;MOD(MONTH('03_Сеть'!T6)-9,12)),'03_Сеть'!T27*CapacityAge06*МножительДетей,0)</f>
        <v/>
      </c>
      <c r="U113" s="116">
        <f>IF(AND(ПравилоПовтора="Новый сезон",6-1&gt;MOD(MONTH('03_Сеть'!U6)-9,12)),'03_Сеть'!U27*CapacityAge06*МножительДетей,0)</f>
        <v/>
      </c>
      <c r="V113" s="116">
        <f>IF(AND(ПравилоПовтора="Новый сезон",6-1&gt;MOD(MONTH('03_Сеть'!V6)-9,12)),'03_Сеть'!V27*CapacityAge06*МножительДетей,0)</f>
        <v/>
      </c>
      <c r="W113" s="116">
        <f>IF(AND(ПравилоПовтора="Новый сезон",6-1&gt;MOD(MONTH('03_Сеть'!W6)-9,12)),'03_Сеть'!W27*CapacityAge06*МножительДетей,0)</f>
        <v/>
      </c>
      <c r="X113" s="116">
        <f>IF(AND(ПравилоПовтора="Новый сезон",6-1&gt;MOD(MONTH('03_Сеть'!X6)-9,12)),'03_Сеть'!X27*CapacityAge06*МножительДетей,0)</f>
        <v/>
      </c>
      <c r="Y113" s="116">
        <f>IF(AND(ПравилоПовтора="Новый сезон",6-1&gt;MOD(MONTH('03_Сеть'!Y6)-9,12)),'03_Сеть'!Y27*CapacityAge06*МножительДетей,0)</f>
        <v/>
      </c>
      <c r="Z113" s="116">
        <f>IF(AND(ПравилоПовтора="Новый сезон",6-1&gt;MOD(MONTH('03_Сеть'!Z6)-9,12)),'03_Сеть'!Z27*CapacityAge06*МножительДетей,0)</f>
        <v/>
      </c>
      <c r="AA113" s="116">
        <f>IF(AND(ПравилоПовтора="Новый сезон",6-1&gt;MOD(MONTH('03_Сеть'!AA6)-9,12)),'03_Сеть'!AA27*CapacityAge06*МножительДетей,0)</f>
        <v/>
      </c>
      <c r="AB113" s="116">
        <f>IF(AND(ПравилоПовтора="Новый сезон",6-1&gt;MOD(MONTH('03_Сеть'!AB6)-9,12)),'03_Сеть'!AB27*CapacityAge06*МножительДетей,0)</f>
        <v/>
      </c>
      <c r="AC113" s="116">
        <f>IF(AND(ПравилоПовтора="Новый сезон",6-1&gt;MOD(MONTH('03_Сеть'!AC6)-9,12)),'03_Сеть'!AC27*CapacityAge06*МножительДетей,0)</f>
        <v/>
      </c>
      <c r="AD113" s="116">
        <f>IF(AND(ПравилоПовтора="Новый сезон",6-1&gt;MOD(MONTH('03_Сеть'!AD6)-9,12)),'03_Сеть'!AD27*CapacityAge06*МножительДетей,0)</f>
        <v/>
      </c>
      <c r="AE113" s="116">
        <f>IF(AND(ПравилоПовтора="Новый сезон",6-1&gt;MOD(MONTH('03_Сеть'!AE6)-9,12)),'03_Сеть'!AE27*CapacityAge06*МножительДетей,0)</f>
        <v/>
      </c>
      <c r="AF113" s="116">
        <f>IF(AND(ПравилоПовтора="Новый сезон",6-1&gt;MOD(MONTH('03_Сеть'!AF6)-9,12)),'03_Сеть'!AF27*CapacityAge06*МножительДетей,0)</f>
        <v/>
      </c>
      <c r="AG113" s="116">
        <f>IF(AND(ПравилоПовтора="Новый сезон",6-1&gt;MOD(MONTH('03_Сеть'!AG6)-9,12)),'03_Сеть'!AG27*CapacityAge06*МножительДетей,0)</f>
        <v/>
      </c>
      <c r="AH113" s="116">
        <f>IF(AND(ПравилоПовтора="Новый сезон",6-1&gt;MOD(MONTH('03_Сеть'!AH6)-9,12)),'03_Сеть'!AH27*CapacityAge06*МножительДетей,0)</f>
        <v/>
      </c>
      <c r="AI113" s="116">
        <f>IF(AND(ПравилоПовтора="Новый сезон",6-1&gt;MOD(MONTH('03_Сеть'!AI6)-9,12)),'03_Сеть'!AI27*CapacityAge06*МножительДетей,0)</f>
        <v/>
      </c>
      <c r="AJ113" s="116">
        <f>IF(AND(ПравилоПовтора="Новый сезон",6-1&gt;MOD(MONTH('03_Сеть'!AJ6)-9,12)),'03_Сеть'!AJ27*CapacityAge06*МножительДетей,0)</f>
        <v/>
      </c>
      <c r="AK113" s="116">
        <f>IF(AND(ПравилоПовтора="Новый сезон",6-1&gt;MOD(MONTH('03_Сеть'!AK6)-9,12)),'03_Сеть'!AK27*CapacityAge06*МножительДетей,0)</f>
        <v/>
      </c>
      <c r="AL113" s="116">
        <f>IF(AND(ПравилоПовтора="Новый сезон",6-1&gt;MOD(MONTH('03_Сеть'!AL6)-9,12)),'03_Сеть'!AL27*CapacityAge06*МножительДетей,0)</f>
        <v/>
      </c>
      <c r="AM113" s="116">
        <f>IF(AND(ПравилоПовтора="Новый сезон",6-1&gt;MOD(MONTH('03_Сеть'!AM6)-9,12)),'03_Сеть'!AM27*CapacityAge06*МножительДетей,0)</f>
        <v/>
      </c>
      <c r="AN113" s="116">
        <f>IF(AND(ПравилоПовтора="Новый сезон",6-1&gt;MOD(MONTH('03_Сеть'!AN6)-9,12)),'03_Сеть'!AN27*CapacityAge06*МножительДетей,0)</f>
        <v/>
      </c>
      <c r="AO113" s="116">
        <f>IF(AND(ПравилоПовтора="Новый сезон",6-1&gt;MOD(MONTH('03_Сеть'!AO6)-9,12)),'03_Сеть'!AO27*CapacityAge06*МножительДетей,0)</f>
        <v/>
      </c>
      <c r="AP113" s="116">
        <f>IF(AND(ПравилоПовтора="Новый сезон",6-1&gt;MOD(MONTH('03_Сеть'!AP6)-9,12)),'03_Сеть'!AP27*CapacityAge06*МножительДетей,0)</f>
        <v/>
      </c>
      <c r="AQ113" s="116">
        <f>IF(AND(ПравилоПовтора="Новый сезон",6-1&gt;MOD(MONTH('03_Сеть'!AQ6)-9,12)),'03_Сеть'!AQ27*CapacityAge06*МножительДетей,0)</f>
        <v/>
      </c>
      <c r="AR113" s="116">
        <f>IF(AND(ПравилоПовтора="Новый сезон",6-1&gt;MOD(MONTH('03_Сеть'!AR6)-9,12)),'03_Сеть'!AR27*CapacityAge06*МножительДетей,0)</f>
        <v/>
      </c>
      <c r="AS113" s="116">
        <f>IF(AND(ПравилоПовтора="Новый сезон",6-1&gt;MOD(MONTH('03_Сеть'!AS6)-9,12)),'03_Сеть'!AS27*CapacityAge06*МножительДетей,0)</f>
        <v/>
      </c>
      <c r="AT113" s="116">
        <f>IF(AND(ПравилоПовтора="Новый сезон",6-1&gt;MOD(MONTH('03_Сеть'!AT6)-9,12)),'03_Сеть'!AT27*CapacityAge06*МножительДетей,0)</f>
        <v/>
      </c>
      <c r="AU113" s="116">
        <f>IF(AND(ПравилоПовтора="Новый сезон",6-1&gt;MOD(MONTH('03_Сеть'!AU6)-9,12)),'03_Сеть'!AU27*CapacityAge06*МножительДетей,0)</f>
        <v/>
      </c>
      <c r="AV113" s="116">
        <f>IF(AND(ПравилоПовтора="Новый сезон",6-1&gt;MOD(MONTH('03_Сеть'!AV6)-9,12)),'03_Сеть'!AV27*CapacityAge06*МножительДетей,0)</f>
        <v/>
      </c>
      <c r="AW113" s="116">
        <f>IF(AND(ПравилоПовтора="Новый сезон",6-1&gt;MOD(MONTH('03_Сеть'!AW6)-9,12)),'03_Сеть'!AW27*CapacityAge06*МножительДетей,0)</f>
        <v/>
      </c>
      <c r="AX113" s="116">
        <f>IF(AND(ПравилоПовтора="Новый сезон",6-1&gt;MOD(MONTH('03_Сеть'!AX6)-9,12)),'03_Сеть'!AX27*CapacityAge06*МножительДетей,0)</f>
        <v/>
      </c>
      <c r="AY113" s="116">
        <f>IF(AND(ПравилоПовтора="Новый сезон",6-1&gt;MOD(MONTH('03_Сеть'!AY6)-9,12)),'03_Сеть'!AY27*CapacityAge06*МножительДетей,0)</f>
        <v/>
      </c>
      <c r="AZ113" s="116">
        <f>IF(AND(ПравилоПовтора="Новый сезон",6-1&gt;MOD(MONTH('03_Сеть'!AZ6)-9,12)),'03_Сеть'!AZ27*CapacityAge06*МножительДетей,0)</f>
        <v/>
      </c>
      <c r="BA113" s="116">
        <f>IF(AND(ПравилоПовтора="Новый сезон",6-1&gt;MOD(MONTH('03_Сеть'!BA6)-9,12)),'03_Сеть'!BA27*CapacityAge06*МножительДетей,0)</f>
        <v/>
      </c>
      <c r="BB113" s="116">
        <f>IF(AND(ПравилоПовтора="Новый сезон",6-1&gt;MOD(MONTH('03_Сеть'!BB6)-9,12)),'03_Сеть'!BB27*CapacityAge06*МножительДетей,0)</f>
        <v/>
      </c>
      <c r="BC113" s="116">
        <f>IF(AND(ПравилоПовтора="Новый сезон",6-1&gt;MOD(MONTH('03_Сеть'!BC6)-9,12)),'03_Сеть'!BC27*CapacityAge06*МножительДетей,0)</f>
        <v/>
      </c>
      <c r="BD113" s="116">
        <f>IF(AND(ПравилоПовтора="Новый сезон",6-1&gt;MOD(MONTH('03_Сеть'!BD6)-9,12)),'03_Сеть'!BD27*CapacityAge06*МножительДетей,0)</f>
        <v/>
      </c>
      <c r="BE113" s="116">
        <f>IF(AND(ПравилоПовтора="Новый сезон",6-1&gt;MOD(MONTH('03_Сеть'!BE6)-9,12)),'03_Сеть'!BE27*CapacityAge06*МножительДетей,0)</f>
        <v/>
      </c>
      <c r="BF113" s="116">
        <f>IF(AND(ПравилоПовтора="Новый сезон",6-1&gt;MOD(MONTH('03_Сеть'!BF6)-9,12)),'03_Сеть'!BF27*CapacityAge06*МножительДетей,0)</f>
        <v/>
      </c>
      <c r="BG113" s="116">
        <f>IF(AND(ПравилоПовтора="Новый сезон",6-1&gt;MOD(MONTH('03_Сеть'!BG6)-9,12)),'03_Сеть'!BG27*CapacityAge06*МножительДетей,0)</f>
        <v/>
      </c>
      <c r="BH113" s="116">
        <f>IF(AND(ПравилоПовтора="Новый сезон",6-1&gt;MOD(MONTH('03_Сеть'!BH6)-9,12)),'03_Сеть'!BH27*CapacityAge06*МножительДетей,0)</f>
        <v/>
      </c>
      <c r="BI113" s="116">
        <f>IF(AND(ПравилоПовтора="Новый сезон",6-1&gt;MOD(MONTH('03_Сеть'!BI6)-9,12)),'03_Сеть'!BI27*CapacityAge06*МножительДетей,0)</f>
        <v/>
      </c>
      <c r="BJ113" s="116">
        <f>IF(AND(ПравилоПовтора="Новый сезон",6-1&gt;MOD(MONTH('03_Сеть'!BJ6)-9,12)),'03_Сеть'!BJ27*CapacityAge06*МножительДетей,0)</f>
        <v/>
      </c>
      <c r="BK113" s="116">
        <f>IF(AND(ПравилоПовтора="Новый сезон",6-1&gt;MOD(MONTH('03_Сеть'!BK6)-9,12)),'03_Сеть'!BK27*CapacityAge06*МножительДетей,0)</f>
        <v/>
      </c>
      <c r="BL113" s="116">
        <f>IF(AND(ПравилоПовтора="Новый сезон",6-1&gt;MOD(MONTH('03_Сеть'!BL6)-9,12)),'03_Сеть'!BL27*CapacityAge06*МножительДетей,0)</f>
        <v/>
      </c>
      <c r="BM113" s="116">
        <f>IF(AND(ПравилоПовтора="Новый сезон",6-1&gt;MOD(MONTH('03_Сеть'!BM6)-9,12)),'03_Сеть'!BM27*CapacityAge06*МножительДетей,0)</f>
        <v/>
      </c>
      <c r="BN113" s="116">
        <f>IF(AND(ПравилоПовтора="Новый сезон",6-1&gt;MOD(MONTH('03_Сеть'!BN6)-9,12)),'03_Сеть'!BN27*CapacityAge06*МножительДетей,0)</f>
        <v/>
      </c>
      <c r="BO113" s="116">
        <f>IF(AND(ПравилоПовтора="Новый сезон",6-1&gt;MOD(MONTH('03_Сеть'!BO6)-9,12)),'03_Сеть'!BO27*CapacityAge06*МножительДетей,0)</f>
        <v/>
      </c>
      <c r="BP113" s="116">
        <f>IF(AND(ПравилоПовтора="Новый сезон",6-1&gt;MOD(MONTH('03_Сеть'!BP6)-9,12)),'03_Сеть'!BP27*CapacityAge06*МножительДетей,0)</f>
        <v/>
      </c>
      <c r="BQ113" s="116">
        <f>IF(AND(ПравилоПовтора="Новый сезон",6-1&gt;MOD(MONTH('03_Сеть'!BQ6)-9,12)),'03_Сеть'!BQ27*CapacityAge06*МножительДетей,0)</f>
        <v/>
      </c>
      <c r="BR113" s="116">
        <f>IF(AND(ПравилоПовтора="Новый сезон",6-1&gt;MOD(MONTH('03_Сеть'!BR6)-9,12)),'03_Сеть'!BR27*CapacityAge06*МножительДетей,0)</f>
        <v/>
      </c>
      <c r="BS113" s="116">
        <f>IF(AND(ПравилоПовтора="Новый сезон",6-1&gt;MOD(MONTH('03_Сеть'!BS6)-9,12)),'03_Сеть'!BS27*CapacityAge06*МножительДетей,0)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04" t="inlineStr"/>
      <c r="E114" s="114">
        <f>W114</f>
        <v/>
      </c>
      <c r="F114" s="114">
        <f>AI114</f>
        <v/>
      </c>
      <c r="G114" s="114">
        <f>AU114</f>
        <v/>
      </c>
      <c r="H114" s="114">
        <f>BG114</f>
        <v/>
      </c>
      <c r="I114" s="114">
        <f>BS114</f>
        <v/>
      </c>
      <c r="J114" s="115">
        <f>BS114</f>
        <v/>
      </c>
      <c r="L114" s="116">
        <f>IF(AND(ПравилоПовтора="Новый сезон",7-1&gt;MOD(MONTH('03_Сеть'!L6)-9,12)),'03_Сеть'!L28*CapacityAge07*МножительДетей,0)</f>
        <v/>
      </c>
      <c r="M114" s="116">
        <f>IF(AND(ПравилоПовтора="Новый сезон",7-1&gt;MOD(MONTH('03_Сеть'!M6)-9,12)),'03_Сеть'!M28*CapacityAge07*МножительДетей,0)</f>
        <v/>
      </c>
      <c r="N114" s="116">
        <f>IF(AND(ПравилоПовтора="Новый сезон",7-1&gt;MOD(MONTH('03_Сеть'!N6)-9,12)),'03_Сеть'!N28*CapacityAge07*МножительДетей,0)</f>
        <v/>
      </c>
      <c r="O114" s="116">
        <f>IF(AND(ПравилоПовтора="Новый сезон",7-1&gt;MOD(MONTH('03_Сеть'!O6)-9,12)),'03_Сеть'!O28*CapacityAge07*МножительДетей,0)</f>
        <v/>
      </c>
      <c r="P114" s="116">
        <f>IF(AND(ПравилоПовтора="Новый сезон",7-1&gt;MOD(MONTH('03_Сеть'!P6)-9,12)),'03_Сеть'!P28*CapacityAge07*МножительДетей,0)</f>
        <v/>
      </c>
      <c r="Q114" s="116">
        <f>IF(AND(ПравилоПовтора="Новый сезон",7-1&gt;MOD(MONTH('03_Сеть'!Q6)-9,12)),'03_Сеть'!Q28*CapacityAge07*МножительДетей,0)</f>
        <v/>
      </c>
      <c r="R114" s="116">
        <f>IF(AND(ПравилоПовтора="Новый сезон",7-1&gt;MOD(MONTH('03_Сеть'!R6)-9,12)),'03_Сеть'!R28*CapacityAge07*МножительДетей,0)</f>
        <v/>
      </c>
      <c r="S114" s="116">
        <f>IF(AND(ПравилоПовтора="Новый сезон",7-1&gt;MOD(MONTH('03_Сеть'!S6)-9,12)),'03_Сеть'!S28*CapacityAge07*МножительДетей,0)</f>
        <v/>
      </c>
      <c r="T114" s="116">
        <f>IF(AND(ПравилоПовтора="Новый сезон",7-1&gt;MOD(MONTH('03_Сеть'!T6)-9,12)),'03_Сеть'!T28*CapacityAge07*МножительДетей,0)</f>
        <v/>
      </c>
      <c r="U114" s="116">
        <f>IF(AND(ПравилоПовтора="Новый сезон",7-1&gt;MOD(MONTH('03_Сеть'!U6)-9,12)),'03_Сеть'!U28*CapacityAge07*МножительДетей,0)</f>
        <v/>
      </c>
      <c r="V114" s="116">
        <f>IF(AND(ПравилоПовтора="Новый сезон",7-1&gt;MOD(MONTH('03_Сеть'!V6)-9,12)),'03_Сеть'!V28*CapacityAge07*МножительДетей,0)</f>
        <v/>
      </c>
      <c r="W114" s="116">
        <f>IF(AND(ПравилоПовтора="Новый сезон",7-1&gt;MOD(MONTH('03_Сеть'!W6)-9,12)),'03_Сеть'!W28*CapacityAge07*МножительДетей,0)</f>
        <v/>
      </c>
      <c r="X114" s="116">
        <f>IF(AND(ПравилоПовтора="Новый сезон",7-1&gt;MOD(MONTH('03_Сеть'!X6)-9,12)),'03_Сеть'!X28*CapacityAge07*МножительДетей,0)</f>
        <v/>
      </c>
      <c r="Y114" s="116">
        <f>IF(AND(ПравилоПовтора="Новый сезон",7-1&gt;MOD(MONTH('03_Сеть'!Y6)-9,12)),'03_Сеть'!Y28*CapacityAge07*МножительДетей,0)</f>
        <v/>
      </c>
      <c r="Z114" s="116">
        <f>IF(AND(ПравилоПовтора="Новый сезон",7-1&gt;MOD(MONTH('03_Сеть'!Z6)-9,12)),'03_Сеть'!Z28*CapacityAge07*МножительДетей,0)</f>
        <v/>
      </c>
      <c r="AA114" s="116">
        <f>IF(AND(ПравилоПовтора="Новый сезон",7-1&gt;MOD(MONTH('03_Сеть'!AA6)-9,12)),'03_Сеть'!AA28*CapacityAge07*МножительДетей,0)</f>
        <v/>
      </c>
      <c r="AB114" s="116">
        <f>IF(AND(ПравилоПовтора="Новый сезон",7-1&gt;MOD(MONTH('03_Сеть'!AB6)-9,12)),'03_Сеть'!AB28*CapacityAge07*МножительДетей,0)</f>
        <v/>
      </c>
      <c r="AC114" s="116">
        <f>IF(AND(ПравилоПовтора="Новый сезон",7-1&gt;MOD(MONTH('03_Сеть'!AC6)-9,12)),'03_Сеть'!AC28*CapacityAge07*МножительДетей,0)</f>
        <v/>
      </c>
      <c r="AD114" s="116">
        <f>IF(AND(ПравилоПовтора="Новый сезон",7-1&gt;MOD(MONTH('03_Сеть'!AD6)-9,12)),'03_Сеть'!AD28*CapacityAge07*МножительДетей,0)</f>
        <v/>
      </c>
      <c r="AE114" s="116">
        <f>IF(AND(ПравилоПовтора="Новый сезон",7-1&gt;MOD(MONTH('03_Сеть'!AE6)-9,12)),'03_Сеть'!AE28*CapacityAge07*МножительДетей,0)</f>
        <v/>
      </c>
      <c r="AF114" s="116">
        <f>IF(AND(ПравилоПовтора="Новый сезон",7-1&gt;MOD(MONTH('03_Сеть'!AF6)-9,12)),'03_Сеть'!AF28*CapacityAge07*МножительДетей,0)</f>
        <v/>
      </c>
      <c r="AG114" s="116">
        <f>IF(AND(ПравилоПовтора="Новый сезон",7-1&gt;MOD(MONTH('03_Сеть'!AG6)-9,12)),'03_Сеть'!AG28*CapacityAge07*МножительДетей,0)</f>
        <v/>
      </c>
      <c r="AH114" s="116">
        <f>IF(AND(ПравилоПовтора="Новый сезон",7-1&gt;MOD(MONTH('03_Сеть'!AH6)-9,12)),'03_Сеть'!AH28*CapacityAge07*МножительДетей,0)</f>
        <v/>
      </c>
      <c r="AI114" s="116">
        <f>IF(AND(ПравилоПовтора="Новый сезон",7-1&gt;MOD(MONTH('03_Сеть'!AI6)-9,12)),'03_Сеть'!AI28*CapacityAge07*МножительДетей,0)</f>
        <v/>
      </c>
      <c r="AJ114" s="116">
        <f>IF(AND(ПравилоПовтора="Новый сезон",7-1&gt;MOD(MONTH('03_Сеть'!AJ6)-9,12)),'03_Сеть'!AJ28*CapacityAge07*МножительДетей,0)</f>
        <v/>
      </c>
      <c r="AK114" s="116">
        <f>IF(AND(ПравилоПовтора="Новый сезон",7-1&gt;MOD(MONTH('03_Сеть'!AK6)-9,12)),'03_Сеть'!AK28*CapacityAge07*МножительДетей,0)</f>
        <v/>
      </c>
      <c r="AL114" s="116">
        <f>IF(AND(ПравилоПовтора="Новый сезон",7-1&gt;MOD(MONTH('03_Сеть'!AL6)-9,12)),'03_Сеть'!AL28*CapacityAge07*МножительДетей,0)</f>
        <v/>
      </c>
      <c r="AM114" s="116">
        <f>IF(AND(ПравилоПовтора="Новый сезон",7-1&gt;MOD(MONTH('03_Сеть'!AM6)-9,12)),'03_Сеть'!AM28*CapacityAge07*МножительДетей,0)</f>
        <v/>
      </c>
      <c r="AN114" s="116">
        <f>IF(AND(ПравилоПовтора="Новый сезон",7-1&gt;MOD(MONTH('03_Сеть'!AN6)-9,12)),'03_Сеть'!AN28*CapacityAge07*МножительДетей,0)</f>
        <v/>
      </c>
      <c r="AO114" s="116">
        <f>IF(AND(ПравилоПовтора="Новый сезон",7-1&gt;MOD(MONTH('03_Сеть'!AO6)-9,12)),'03_Сеть'!AO28*CapacityAge07*МножительДетей,0)</f>
        <v/>
      </c>
      <c r="AP114" s="116">
        <f>IF(AND(ПравилоПовтора="Новый сезон",7-1&gt;MOD(MONTH('03_Сеть'!AP6)-9,12)),'03_Сеть'!AP28*CapacityAge07*МножительДетей,0)</f>
        <v/>
      </c>
      <c r="AQ114" s="116">
        <f>IF(AND(ПравилоПовтора="Новый сезон",7-1&gt;MOD(MONTH('03_Сеть'!AQ6)-9,12)),'03_Сеть'!AQ28*CapacityAge07*МножительДетей,0)</f>
        <v/>
      </c>
      <c r="AR114" s="116">
        <f>IF(AND(ПравилоПовтора="Новый сезон",7-1&gt;MOD(MONTH('03_Сеть'!AR6)-9,12)),'03_Сеть'!AR28*CapacityAge07*МножительДетей,0)</f>
        <v/>
      </c>
      <c r="AS114" s="116">
        <f>IF(AND(ПравилоПовтора="Новый сезон",7-1&gt;MOD(MONTH('03_Сеть'!AS6)-9,12)),'03_Сеть'!AS28*CapacityAge07*МножительДетей,0)</f>
        <v/>
      </c>
      <c r="AT114" s="116">
        <f>IF(AND(ПравилоПовтора="Новый сезон",7-1&gt;MOD(MONTH('03_Сеть'!AT6)-9,12)),'03_Сеть'!AT28*CapacityAge07*МножительДетей,0)</f>
        <v/>
      </c>
      <c r="AU114" s="116">
        <f>IF(AND(ПравилоПовтора="Новый сезон",7-1&gt;MOD(MONTH('03_Сеть'!AU6)-9,12)),'03_Сеть'!AU28*CapacityAge07*МножительДетей,0)</f>
        <v/>
      </c>
      <c r="AV114" s="116">
        <f>IF(AND(ПравилоПовтора="Новый сезон",7-1&gt;MOD(MONTH('03_Сеть'!AV6)-9,12)),'03_Сеть'!AV28*CapacityAge07*МножительДетей,0)</f>
        <v/>
      </c>
      <c r="AW114" s="116">
        <f>IF(AND(ПравилоПовтора="Новый сезон",7-1&gt;MOD(MONTH('03_Сеть'!AW6)-9,12)),'03_Сеть'!AW28*CapacityAge07*МножительДетей,0)</f>
        <v/>
      </c>
      <c r="AX114" s="116">
        <f>IF(AND(ПравилоПовтора="Новый сезон",7-1&gt;MOD(MONTH('03_Сеть'!AX6)-9,12)),'03_Сеть'!AX28*CapacityAge07*МножительДетей,0)</f>
        <v/>
      </c>
      <c r="AY114" s="116">
        <f>IF(AND(ПравилоПовтора="Новый сезон",7-1&gt;MOD(MONTH('03_Сеть'!AY6)-9,12)),'03_Сеть'!AY28*CapacityAge07*МножительДетей,0)</f>
        <v/>
      </c>
      <c r="AZ114" s="116">
        <f>IF(AND(ПравилоПовтора="Новый сезон",7-1&gt;MOD(MONTH('03_Сеть'!AZ6)-9,12)),'03_Сеть'!AZ28*CapacityAge07*МножительДетей,0)</f>
        <v/>
      </c>
      <c r="BA114" s="116">
        <f>IF(AND(ПравилоПовтора="Новый сезон",7-1&gt;MOD(MONTH('03_Сеть'!BA6)-9,12)),'03_Сеть'!BA28*CapacityAge07*МножительДетей,0)</f>
        <v/>
      </c>
      <c r="BB114" s="116">
        <f>IF(AND(ПравилоПовтора="Новый сезон",7-1&gt;MOD(MONTH('03_Сеть'!BB6)-9,12)),'03_Сеть'!BB28*CapacityAge07*МножительДетей,0)</f>
        <v/>
      </c>
      <c r="BC114" s="116">
        <f>IF(AND(ПравилоПовтора="Новый сезон",7-1&gt;MOD(MONTH('03_Сеть'!BC6)-9,12)),'03_Сеть'!BC28*CapacityAge07*МножительДетей,0)</f>
        <v/>
      </c>
      <c r="BD114" s="116">
        <f>IF(AND(ПравилоПовтора="Новый сезон",7-1&gt;MOD(MONTH('03_Сеть'!BD6)-9,12)),'03_Сеть'!BD28*CapacityAge07*МножительДетей,0)</f>
        <v/>
      </c>
      <c r="BE114" s="116">
        <f>IF(AND(ПравилоПовтора="Новый сезон",7-1&gt;MOD(MONTH('03_Сеть'!BE6)-9,12)),'03_Сеть'!BE28*CapacityAge07*МножительДетей,0)</f>
        <v/>
      </c>
      <c r="BF114" s="116">
        <f>IF(AND(ПравилоПовтора="Новый сезон",7-1&gt;MOD(MONTH('03_Сеть'!BF6)-9,12)),'03_Сеть'!BF28*CapacityAge07*МножительДетей,0)</f>
        <v/>
      </c>
      <c r="BG114" s="116">
        <f>IF(AND(ПравилоПовтора="Новый сезон",7-1&gt;MOD(MONTH('03_Сеть'!BG6)-9,12)),'03_Сеть'!BG28*CapacityAge07*МножительДетей,0)</f>
        <v/>
      </c>
      <c r="BH114" s="116">
        <f>IF(AND(ПравилоПовтора="Новый сезон",7-1&gt;MOD(MONTH('03_Сеть'!BH6)-9,12)),'03_Сеть'!BH28*CapacityAge07*МножительДетей,0)</f>
        <v/>
      </c>
      <c r="BI114" s="116">
        <f>IF(AND(ПравилоПовтора="Новый сезон",7-1&gt;MOD(MONTH('03_Сеть'!BI6)-9,12)),'03_Сеть'!BI28*CapacityAge07*МножительДетей,0)</f>
        <v/>
      </c>
      <c r="BJ114" s="116">
        <f>IF(AND(ПравилоПовтора="Новый сезон",7-1&gt;MOD(MONTH('03_Сеть'!BJ6)-9,12)),'03_Сеть'!BJ28*CapacityAge07*МножительДетей,0)</f>
        <v/>
      </c>
      <c r="BK114" s="116">
        <f>IF(AND(ПравилоПовтора="Новый сезон",7-1&gt;MOD(MONTH('03_Сеть'!BK6)-9,12)),'03_Сеть'!BK28*CapacityAge07*МножительДетей,0)</f>
        <v/>
      </c>
      <c r="BL114" s="116">
        <f>IF(AND(ПравилоПовтора="Новый сезон",7-1&gt;MOD(MONTH('03_Сеть'!BL6)-9,12)),'03_Сеть'!BL28*CapacityAge07*МножительДетей,0)</f>
        <v/>
      </c>
      <c r="BM114" s="116">
        <f>IF(AND(ПравилоПовтора="Новый сезон",7-1&gt;MOD(MONTH('03_Сеть'!BM6)-9,12)),'03_Сеть'!BM28*CapacityAge07*МножительДетей,0)</f>
        <v/>
      </c>
      <c r="BN114" s="116">
        <f>IF(AND(ПравилоПовтора="Новый сезон",7-1&gt;MOD(MONTH('03_Сеть'!BN6)-9,12)),'03_Сеть'!BN28*CapacityAge07*МножительДетей,0)</f>
        <v/>
      </c>
      <c r="BO114" s="116">
        <f>IF(AND(ПравилоПовтора="Новый сезон",7-1&gt;MOD(MONTH('03_Сеть'!BO6)-9,12)),'03_Сеть'!BO28*CapacityAge07*МножительДетей,0)</f>
        <v/>
      </c>
      <c r="BP114" s="116">
        <f>IF(AND(ПравилоПовтора="Новый сезон",7-1&gt;MOD(MONTH('03_Сеть'!BP6)-9,12)),'03_Сеть'!BP28*CapacityAge07*МножительДетей,0)</f>
        <v/>
      </c>
      <c r="BQ114" s="116">
        <f>IF(AND(ПравилоПовтора="Новый сезон",7-1&gt;MOD(MONTH('03_Сеть'!BQ6)-9,12)),'03_Сеть'!BQ28*CapacityAge07*МножительДетей,0)</f>
        <v/>
      </c>
      <c r="BR114" s="116">
        <f>IF(AND(ПравилоПовтора="Новый сезон",7-1&gt;MOD(MONTH('03_Сеть'!BR6)-9,12)),'03_Сеть'!BR28*CapacityAge07*МножительДетей,0)</f>
        <v/>
      </c>
      <c r="BS114" s="116">
        <f>IF(AND(ПравилоПовтора="Новый сезон",7-1&gt;MOD(MONTH('03_Сеть'!BS6)-9,12)),'03_Сеть'!BS28*CapacityAge07*МножительДетей,0)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04" t="inlineStr"/>
      <c r="E115" s="114">
        <f>W115</f>
        <v/>
      </c>
      <c r="F115" s="114">
        <f>AI115</f>
        <v/>
      </c>
      <c r="G115" s="114">
        <f>AU115</f>
        <v/>
      </c>
      <c r="H115" s="114">
        <f>BG115</f>
        <v/>
      </c>
      <c r="I115" s="114">
        <f>BS115</f>
        <v/>
      </c>
      <c r="J115" s="115">
        <f>BS115</f>
        <v/>
      </c>
      <c r="L115" s="116">
        <f>IF(AND(ПравилоПовтора="Новый сезон",8-1&gt;MOD(MONTH('03_Сеть'!L6)-9,12)),'03_Сеть'!L29*CapacityAge08*МножительДетей,0)</f>
        <v/>
      </c>
      <c r="M115" s="116">
        <f>IF(AND(ПравилоПовтора="Новый сезон",8-1&gt;MOD(MONTH('03_Сеть'!M6)-9,12)),'03_Сеть'!M29*CapacityAge08*МножительДетей,0)</f>
        <v/>
      </c>
      <c r="N115" s="116">
        <f>IF(AND(ПравилоПовтора="Новый сезон",8-1&gt;MOD(MONTH('03_Сеть'!N6)-9,12)),'03_Сеть'!N29*CapacityAge08*МножительДетей,0)</f>
        <v/>
      </c>
      <c r="O115" s="116">
        <f>IF(AND(ПравилоПовтора="Новый сезон",8-1&gt;MOD(MONTH('03_Сеть'!O6)-9,12)),'03_Сеть'!O29*CapacityAge08*МножительДетей,0)</f>
        <v/>
      </c>
      <c r="P115" s="116">
        <f>IF(AND(ПравилоПовтора="Новый сезон",8-1&gt;MOD(MONTH('03_Сеть'!P6)-9,12)),'03_Сеть'!P29*CapacityAge08*МножительДетей,0)</f>
        <v/>
      </c>
      <c r="Q115" s="116">
        <f>IF(AND(ПравилоПовтора="Новый сезон",8-1&gt;MOD(MONTH('03_Сеть'!Q6)-9,12)),'03_Сеть'!Q29*CapacityAge08*МножительДетей,0)</f>
        <v/>
      </c>
      <c r="R115" s="116">
        <f>IF(AND(ПравилоПовтора="Новый сезон",8-1&gt;MOD(MONTH('03_Сеть'!R6)-9,12)),'03_Сеть'!R29*CapacityAge08*МножительДетей,0)</f>
        <v/>
      </c>
      <c r="S115" s="116">
        <f>IF(AND(ПравилоПовтора="Новый сезон",8-1&gt;MOD(MONTH('03_Сеть'!S6)-9,12)),'03_Сеть'!S29*CapacityAge08*МножительДетей,0)</f>
        <v/>
      </c>
      <c r="T115" s="116">
        <f>IF(AND(ПравилоПовтора="Новый сезон",8-1&gt;MOD(MONTH('03_Сеть'!T6)-9,12)),'03_Сеть'!T29*CapacityAge08*МножительДетей,0)</f>
        <v/>
      </c>
      <c r="U115" s="116">
        <f>IF(AND(ПравилоПовтора="Новый сезон",8-1&gt;MOD(MONTH('03_Сеть'!U6)-9,12)),'03_Сеть'!U29*CapacityAge08*МножительДетей,0)</f>
        <v/>
      </c>
      <c r="V115" s="116">
        <f>IF(AND(ПравилоПовтора="Новый сезон",8-1&gt;MOD(MONTH('03_Сеть'!V6)-9,12)),'03_Сеть'!V29*CapacityAge08*МножительДетей,0)</f>
        <v/>
      </c>
      <c r="W115" s="116">
        <f>IF(AND(ПравилоПовтора="Новый сезон",8-1&gt;MOD(MONTH('03_Сеть'!W6)-9,12)),'03_Сеть'!W29*CapacityAge08*МножительДетей,0)</f>
        <v/>
      </c>
      <c r="X115" s="116">
        <f>IF(AND(ПравилоПовтора="Новый сезон",8-1&gt;MOD(MONTH('03_Сеть'!X6)-9,12)),'03_Сеть'!X29*CapacityAge08*МножительДетей,0)</f>
        <v/>
      </c>
      <c r="Y115" s="116">
        <f>IF(AND(ПравилоПовтора="Новый сезон",8-1&gt;MOD(MONTH('03_Сеть'!Y6)-9,12)),'03_Сеть'!Y29*CapacityAge08*МножительДетей,0)</f>
        <v/>
      </c>
      <c r="Z115" s="116">
        <f>IF(AND(ПравилоПовтора="Новый сезон",8-1&gt;MOD(MONTH('03_Сеть'!Z6)-9,12)),'03_Сеть'!Z29*CapacityAge08*МножительДетей,0)</f>
        <v/>
      </c>
      <c r="AA115" s="116">
        <f>IF(AND(ПравилоПовтора="Новый сезон",8-1&gt;MOD(MONTH('03_Сеть'!AA6)-9,12)),'03_Сеть'!AA29*CapacityAge08*МножительДетей,0)</f>
        <v/>
      </c>
      <c r="AB115" s="116">
        <f>IF(AND(ПравилоПовтора="Новый сезон",8-1&gt;MOD(MONTH('03_Сеть'!AB6)-9,12)),'03_Сеть'!AB29*CapacityAge08*МножительДетей,0)</f>
        <v/>
      </c>
      <c r="AC115" s="116">
        <f>IF(AND(ПравилоПовтора="Новый сезон",8-1&gt;MOD(MONTH('03_Сеть'!AC6)-9,12)),'03_Сеть'!AC29*CapacityAge08*МножительДетей,0)</f>
        <v/>
      </c>
      <c r="AD115" s="116">
        <f>IF(AND(ПравилоПовтора="Новый сезон",8-1&gt;MOD(MONTH('03_Сеть'!AD6)-9,12)),'03_Сеть'!AD29*CapacityAge08*МножительДетей,0)</f>
        <v/>
      </c>
      <c r="AE115" s="116">
        <f>IF(AND(ПравилоПовтора="Новый сезон",8-1&gt;MOD(MONTH('03_Сеть'!AE6)-9,12)),'03_Сеть'!AE29*CapacityAge08*МножительДетей,0)</f>
        <v/>
      </c>
      <c r="AF115" s="116">
        <f>IF(AND(ПравилоПовтора="Новый сезон",8-1&gt;MOD(MONTH('03_Сеть'!AF6)-9,12)),'03_Сеть'!AF29*CapacityAge08*МножительДетей,0)</f>
        <v/>
      </c>
      <c r="AG115" s="116">
        <f>IF(AND(ПравилоПовтора="Новый сезон",8-1&gt;MOD(MONTH('03_Сеть'!AG6)-9,12)),'03_Сеть'!AG29*CapacityAge08*МножительДетей,0)</f>
        <v/>
      </c>
      <c r="AH115" s="116">
        <f>IF(AND(ПравилоПовтора="Новый сезон",8-1&gt;MOD(MONTH('03_Сеть'!AH6)-9,12)),'03_Сеть'!AH29*CapacityAge08*МножительДетей,0)</f>
        <v/>
      </c>
      <c r="AI115" s="116">
        <f>IF(AND(ПравилоПовтора="Новый сезон",8-1&gt;MOD(MONTH('03_Сеть'!AI6)-9,12)),'03_Сеть'!AI29*CapacityAge08*МножительДетей,0)</f>
        <v/>
      </c>
      <c r="AJ115" s="116">
        <f>IF(AND(ПравилоПовтора="Новый сезон",8-1&gt;MOD(MONTH('03_Сеть'!AJ6)-9,12)),'03_Сеть'!AJ29*CapacityAge08*МножительДетей,0)</f>
        <v/>
      </c>
      <c r="AK115" s="116">
        <f>IF(AND(ПравилоПовтора="Новый сезон",8-1&gt;MOD(MONTH('03_Сеть'!AK6)-9,12)),'03_Сеть'!AK29*CapacityAge08*МножительДетей,0)</f>
        <v/>
      </c>
      <c r="AL115" s="116">
        <f>IF(AND(ПравилоПовтора="Новый сезон",8-1&gt;MOD(MONTH('03_Сеть'!AL6)-9,12)),'03_Сеть'!AL29*CapacityAge08*МножительДетей,0)</f>
        <v/>
      </c>
      <c r="AM115" s="116">
        <f>IF(AND(ПравилоПовтора="Новый сезон",8-1&gt;MOD(MONTH('03_Сеть'!AM6)-9,12)),'03_Сеть'!AM29*CapacityAge08*МножительДетей,0)</f>
        <v/>
      </c>
      <c r="AN115" s="116">
        <f>IF(AND(ПравилоПовтора="Новый сезон",8-1&gt;MOD(MONTH('03_Сеть'!AN6)-9,12)),'03_Сеть'!AN29*CapacityAge08*МножительДетей,0)</f>
        <v/>
      </c>
      <c r="AO115" s="116">
        <f>IF(AND(ПравилоПовтора="Новый сезон",8-1&gt;MOD(MONTH('03_Сеть'!AO6)-9,12)),'03_Сеть'!AO29*CapacityAge08*МножительДетей,0)</f>
        <v/>
      </c>
      <c r="AP115" s="116">
        <f>IF(AND(ПравилоПовтора="Новый сезон",8-1&gt;MOD(MONTH('03_Сеть'!AP6)-9,12)),'03_Сеть'!AP29*CapacityAge08*МножительДетей,0)</f>
        <v/>
      </c>
      <c r="AQ115" s="116">
        <f>IF(AND(ПравилоПовтора="Новый сезон",8-1&gt;MOD(MONTH('03_Сеть'!AQ6)-9,12)),'03_Сеть'!AQ29*CapacityAge08*МножительДетей,0)</f>
        <v/>
      </c>
      <c r="AR115" s="116">
        <f>IF(AND(ПравилоПовтора="Новый сезон",8-1&gt;MOD(MONTH('03_Сеть'!AR6)-9,12)),'03_Сеть'!AR29*CapacityAge08*МножительДетей,0)</f>
        <v/>
      </c>
      <c r="AS115" s="116">
        <f>IF(AND(ПравилоПовтора="Новый сезон",8-1&gt;MOD(MONTH('03_Сеть'!AS6)-9,12)),'03_Сеть'!AS29*CapacityAge08*МножительДетей,0)</f>
        <v/>
      </c>
      <c r="AT115" s="116">
        <f>IF(AND(ПравилоПовтора="Новый сезон",8-1&gt;MOD(MONTH('03_Сеть'!AT6)-9,12)),'03_Сеть'!AT29*CapacityAge08*МножительДетей,0)</f>
        <v/>
      </c>
      <c r="AU115" s="116">
        <f>IF(AND(ПравилоПовтора="Новый сезон",8-1&gt;MOD(MONTH('03_Сеть'!AU6)-9,12)),'03_Сеть'!AU29*CapacityAge08*МножительДетей,0)</f>
        <v/>
      </c>
      <c r="AV115" s="116">
        <f>IF(AND(ПравилоПовтора="Новый сезон",8-1&gt;MOD(MONTH('03_Сеть'!AV6)-9,12)),'03_Сеть'!AV29*CapacityAge08*МножительДетей,0)</f>
        <v/>
      </c>
      <c r="AW115" s="116">
        <f>IF(AND(ПравилоПовтора="Новый сезон",8-1&gt;MOD(MONTH('03_Сеть'!AW6)-9,12)),'03_Сеть'!AW29*CapacityAge08*МножительДетей,0)</f>
        <v/>
      </c>
      <c r="AX115" s="116">
        <f>IF(AND(ПравилоПовтора="Новый сезон",8-1&gt;MOD(MONTH('03_Сеть'!AX6)-9,12)),'03_Сеть'!AX29*CapacityAge08*МножительДетей,0)</f>
        <v/>
      </c>
      <c r="AY115" s="116">
        <f>IF(AND(ПравилоПовтора="Новый сезон",8-1&gt;MOD(MONTH('03_Сеть'!AY6)-9,12)),'03_Сеть'!AY29*CapacityAge08*МножительДетей,0)</f>
        <v/>
      </c>
      <c r="AZ115" s="116">
        <f>IF(AND(ПравилоПовтора="Новый сезон",8-1&gt;MOD(MONTH('03_Сеть'!AZ6)-9,12)),'03_Сеть'!AZ29*CapacityAge08*МножительДетей,0)</f>
        <v/>
      </c>
      <c r="BA115" s="116">
        <f>IF(AND(ПравилоПовтора="Новый сезон",8-1&gt;MOD(MONTH('03_Сеть'!BA6)-9,12)),'03_Сеть'!BA29*CapacityAge08*МножительДетей,0)</f>
        <v/>
      </c>
      <c r="BB115" s="116">
        <f>IF(AND(ПравилоПовтора="Новый сезон",8-1&gt;MOD(MONTH('03_Сеть'!BB6)-9,12)),'03_Сеть'!BB29*CapacityAge08*МножительДетей,0)</f>
        <v/>
      </c>
      <c r="BC115" s="116">
        <f>IF(AND(ПравилоПовтора="Новый сезон",8-1&gt;MOD(MONTH('03_Сеть'!BC6)-9,12)),'03_Сеть'!BC29*CapacityAge08*МножительДетей,0)</f>
        <v/>
      </c>
      <c r="BD115" s="116">
        <f>IF(AND(ПравилоПовтора="Новый сезон",8-1&gt;MOD(MONTH('03_Сеть'!BD6)-9,12)),'03_Сеть'!BD29*CapacityAge08*МножительДетей,0)</f>
        <v/>
      </c>
      <c r="BE115" s="116">
        <f>IF(AND(ПравилоПовтора="Новый сезон",8-1&gt;MOD(MONTH('03_Сеть'!BE6)-9,12)),'03_Сеть'!BE29*CapacityAge08*МножительДетей,0)</f>
        <v/>
      </c>
      <c r="BF115" s="116">
        <f>IF(AND(ПравилоПовтора="Новый сезон",8-1&gt;MOD(MONTH('03_Сеть'!BF6)-9,12)),'03_Сеть'!BF29*CapacityAge08*МножительДетей,0)</f>
        <v/>
      </c>
      <c r="BG115" s="116">
        <f>IF(AND(ПравилоПовтора="Новый сезон",8-1&gt;MOD(MONTH('03_Сеть'!BG6)-9,12)),'03_Сеть'!BG29*CapacityAge08*МножительДетей,0)</f>
        <v/>
      </c>
      <c r="BH115" s="116">
        <f>IF(AND(ПравилоПовтора="Новый сезон",8-1&gt;MOD(MONTH('03_Сеть'!BH6)-9,12)),'03_Сеть'!BH29*CapacityAge08*МножительДетей,0)</f>
        <v/>
      </c>
      <c r="BI115" s="116">
        <f>IF(AND(ПравилоПовтора="Новый сезон",8-1&gt;MOD(MONTH('03_Сеть'!BI6)-9,12)),'03_Сеть'!BI29*CapacityAge08*МножительДетей,0)</f>
        <v/>
      </c>
      <c r="BJ115" s="116">
        <f>IF(AND(ПравилоПовтора="Новый сезон",8-1&gt;MOD(MONTH('03_Сеть'!BJ6)-9,12)),'03_Сеть'!BJ29*CapacityAge08*МножительДетей,0)</f>
        <v/>
      </c>
      <c r="BK115" s="116">
        <f>IF(AND(ПравилоПовтора="Новый сезон",8-1&gt;MOD(MONTH('03_Сеть'!BK6)-9,12)),'03_Сеть'!BK29*CapacityAge08*МножительДетей,0)</f>
        <v/>
      </c>
      <c r="BL115" s="116">
        <f>IF(AND(ПравилоПовтора="Новый сезон",8-1&gt;MOD(MONTH('03_Сеть'!BL6)-9,12)),'03_Сеть'!BL29*CapacityAge08*МножительДетей,0)</f>
        <v/>
      </c>
      <c r="BM115" s="116">
        <f>IF(AND(ПравилоПовтора="Новый сезон",8-1&gt;MOD(MONTH('03_Сеть'!BM6)-9,12)),'03_Сеть'!BM29*CapacityAge08*МножительДетей,0)</f>
        <v/>
      </c>
      <c r="BN115" s="116">
        <f>IF(AND(ПравилоПовтора="Новый сезон",8-1&gt;MOD(MONTH('03_Сеть'!BN6)-9,12)),'03_Сеть'!BN29*CapacityAge08*МножительДетей,0)</f>
        <v/>
      </c>
      <c r="BO115" s="116">
        <f>IF(AND(ПравилоПовтора="Новый сезон",8-1&gt;MOD(MONTH('03_Сеть'!BO6)-9,12)),'03_Сеть'!BO29*CapacityAge08*МножительДетей,0)</f>
        <v/>
      </c>
      <c r="BP115" s="116">
        <f>IF(AND(ПравилоПовтора="Новый сезон",8-1&gt;MOD(MONTH('03_Сеть'!BP6)-9,12)),'03_Сеть'!BP29*CapacityAge08*МножительДетей,0)</f>
        <v/>
      </c>
      <c r="BQ115" s="116">
        <f>IF(AND(ПравилоПовтора="Новый сезон",8-1&gt;MOD(MONTH('03_Сеть'!BQ6)-9,12)),'03_Сеть'!BQ29*CapacityAge08*МножительДетей,0)</f>
        <v/>
      </c>
      <c r="BR115" s="116">
        <f>IF(AND(ПравилоПовтора="Новый сезон",8-1&gt;MOD(MONTH('03_Сеть'!BR6)-9,12)),'03_Сеть'!BR29*CapacityAge08*МножительДетей,0)</f>
        <v/>
      </c>
      <c r="BS115" s="116">
        <f>IF(AND(ПравилоПовтора="Новый сезон",8-1&gt;MOD(MONTH('03_Сеть'!BS6)-9,12)),'03_Сеть'!BS29*CapacityAge08*МножительДетей,0)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04" t="inlineStr"/>
      <c r="E116" s="114">
        <f>W116</f>
        <v/>
      </c>
      <c r="F116" s="114">
        <f>AI116</f>
        <v/>
      </c>
      <c r="G116" s="114">
        <f>AU116</f>
        <v/>
      </c>
      <c r="H116" s="114">
        <f>BG116</f>
        <v/>
      </c>
      <c r="I116" s="114">
        <f>BS116</f>
        <v/>
      </c>
      <c r="J116" s="115">
        <f>BS116</f>
        <v/>
      </c>
      <c r="L116" s="116">
        <f>IF(AND(ПравилоПовтора="Новый сезон",9-1&gt;MOD(MONTH('03_Сеть'!L6)-9,12)),'03_Сеть'!L30*CapacityAge09*МножительДетей,0)</f>
        <v/>
      </c>
      <c r="M116" s="116">
        <f>IF(AND(ПравилоПовтора="Новый сезон",9-1&gt;MOD(MONTH('03_Сеть'!M6)-9,12)),'03_Сеть'!M30*CapacityAge09*МножительДетей,0)</f>
        <v/>
      </c>
      <c r="N116" s="116">
        <f>IF(AND(ПравилоПовтора="Новый сезон",9-1&gt;MOD(MONTH('03_Сеть'!N6)-9,12)),'03_Сеть'!N30*CapacityAge09*МножительДетей,0)</f>
        <v/>
      </c>
      <c r="O116" s="116">
        <f>IF(AND(ПравилоПовтора="Новый сезон",9-1&gt;MOD(MONTH('03_Сеть'!O6)-9,12)),'03_Сеть'!O30*CapacityAge09*МножительДетей,0)</f>
        <v/>
      </c>
      <c r="P116" s="116">
        <f>IF(AND(ПравилоПовтора="Новый сезон",9-1&gt;MOD(MONTH('03_Сеть'!P6)-9,12)),'03_Сеть'!P30*CapacityAge09*МножительДетей,0)</f>
        <v/>
      </c>
      <c r="Q116" s="116">
        <f>IF(AND(ПравилоПовтора="Новый сезон",9-1&gt;MOD(MONTH('03_Сеть'!Q6)-9,12)),'03_Сеть'!Q30*CapacityAge09*МножительДетей,0)</f>
        <v/>
      </c>
      <c r="R116" s="116">
        <f>IF(AND(ПравилоПовтора="Новый сезон",9-1&gt;MOD(MONTH('03_Сеть'!R6)-9,12)),'03_Сеть'!R30*CapacityAge09*МножительДетей,0)</f>
        <v/>
      </c>
      <c r="S116" s="116">
        <f>IF(AND(ПравилоПовтора="Новый сезон",9-1&gt;MOD(MONTH('03_Сеть'!S6)-9,12)),'03_Сеть'!S30*CapacityAge09*МножительДетей,0)</f>
        <v/>
      </c>
      <c r="T116" s="116">
        <f>IF(AND(ПравилоПовтора="Новый сезон",9-1&gt;MOD(MONTH('03_Сеть'!T6)-9,12)),'03_Сеть'!T30*CapacityAge09*МножительДетей,0)</f>
        <v/>
      </c>
      <c r="U116" s="116">
        <f>IF(AND(ПравилоПовтора="Новый сезон",9-1&gt;MOD(MONTH('03_Сеть'!U6)-9,12)),'03_Сеть'!U30*CapacityAge09*МножительДетей,0)</f>
        <v/>
      </c>
      <c r="V116" s="116">
        <f>IF(AND(ПравилоПовтора="Новый сезон",9-1&gt;MOD(MONTH('03_Сеть'!V6)-9,12)),'03_Сеть'!V30*CapacityAge09*МножительДетей,0)</f>
        <v/>
      </c>
      <c r="W116" s="116">
        <f>IF(AND(ПравилоПовтора="Новый сезон",9-1&gt;MOD(MONTH('03_Сеть'!W6)-9,12)),'03_Сеть'!W30*CapacityAge09*МножительДетей,0)</f>
        <v/>
      </c>
      <c r="X116" s="116">
        <f>IF(AND(ПравилоПовтора="Новый сезон",9-1&gt;MOD(MONTH('03_Сеть'!X6)-9,12)),'03_Сеть'!X30*CapacityAge09*МножительДетей,0)</f>
        <v/>
      </c>
      <c r="Y116" s="116">
        <f>IF(AND(ПравилоПовтора="Новый сезон",9-1&gt;MOD(MONTH('03_Сеть'!Y6)-9,12)),'03_Сеть'!Y30*CapacityAge09*МножительДетей,0)</f>
        <v/>
      </c>
      <c r="Z116" s="116">
        <f>IF(AND(ПравилоПовтора="Новый сезон",9-1&gt;MOD(MONTH('03_Сеть'!Z6)-9,12)),'03_Сеть'!Z30*CapacityAge09*МножительДетей,0)</f>
        <v/>
      </c>
      <c r="AA116" s="116">
        <f>IF(AND(ПравилоПовтора="Новый сезон",9-1&gt;MOD(MONTH('03_Сеть'!AA6)-9,12)),'03_Сеть'!AA30*CapacityAge09*МножительДетей,0)</f>
        <v/>
      </c>
      <c r="AB116" s="116">
        <f>IF(AND(ПравилоПовтора="Новый сезон",9-1&gt;MOD(MONTH('03_Сеть'!AB6)-9,12)),'03_Сеть'!AB30*CapacityAge09*МножительДетей,0)</f>
        <v/>
      </c>
      <c r="AC116" s="116">
        <f>IF(AND(ПравилоПовтора="Новый сезон",9-1&gt;MOD(MONTH('03_Сеть'!AC6)-9,12)),'03_Сеть'!AC30*CapacityAge09*МножительДетей,0)</f>
        <v/>
      </c>
      <c r="AD116" s="116">
        <f>IF(AND(ПравилоПовтора="Новый сезон",9-1&gt;MOD(MONTH('03_Сеть'!AD6)-9,12)),'03_Сеть'!AD30*CapacityAge09*МножительДетей,0)</f>
        <v/>
      </c>
      <c r="AE116" s="116">
        <f>IF(AND(ПравилоПовтора="Новый сезон",9-1&gt;MOD(MONTH('03_Сеть'!AE6)-9,12)),'03_Сеть'!AE30*CapacityAge09*МножительДетей,0)</f>
        <v/>
      </c>
      <c r="AF116" s="116">
        <f>IF(AND(ПравилоПовтора="Новый сезон",9-1&gt;MOD(MONTH('03_Сеть'!AF6)-9,12)),'03_Сеть'!AF30*CapacityAge09*МножительДетей,0)</f>
        <v/>
      </c>
      <c r="AG116" s="116">
        <f>IF(AND(ПравилоПовтора="Новый сезон",9-1&gt;MOD(MONTH('03_Сеть'!AG6)-9,12)),'03_Сеть'!AG30*CapacityAge09*МножительДетей,0)</f>
        <v/>
      </c>
      <c r="AH116" s="116">
        <f>IF(AND(ПравилоПовтора="Новый сезон",9-1&gt;MOD(MONTH('03_Сеть'!AH6)-9,12)),'03_Сеть'!AH30*CapacityAge09*МножительДетей,0)</f>
        <v/>
      </c>
      <c r="AI116" s="116">
        <f>IF(AND(ПравилоПовтора="Новый сезон",9-1&gt;MOD(MONTH('03_Сеть'!AI6)-9,12)),'03_Сеть'!AI30*CapacityAge09*МножительДетей,0)</f>
        <v/>
      </c>
      <c r="AJ116" s="116">
        <f>IF(AND(ПравилоПовтора="Новый сезон",9-1&gt;MOD(MONTH('03_Сеть'!AJ6)-9,12)),'03_Сеть'!AJ30*CapacityAge09*МножительДетей,0)</f>
        <v/>
      </c>
      <c r="AK116" s="116">
        <f>IF(AND(ПравилоПовтора="Новый сезон",9-1&gt;MOD(MONTH('03_Сеть'!AK6)-9,12)),'03_Сеть'!AK30*CapacityAge09*МножительДетей,0)</f>
        <v/>
      </c>
      <c r="AL116" s="116">
        <f>IF(AND(ПравилоПовтора="Новый сезон",9-1&gt;MOD(MONTH('03_Сеть'!AL6)-9,12)),'03_Сеть'!AL30*CapacityAge09*МножительДетей,0)</f>
        <v/>
      </c>
      <c r="AM116" s="116">
        <f>IF(AND(ПравилоПовтора="Новый сезон",9-1&gt;MOD(MONTH('03_Сеть'!AM6)-9,12)),'03_Сеть'!AM30*CapacityAge09*МножительДетей,0)</f>
        <v/>
      </c>
      <c r="AN116" s="116">
        <f>IF(AND(ПравилоПовтора="Новый сезон",9-1&gt;MOD(MONTH('03_Сеть'!AN6)-9,12)),'03_Сеть'!AN30*CapacityAge09*МножительДетей,0)</f>
        <v/>
      </c>
      <c r="AO116" s="116">
        <f>IF(AND(ПравилоПовтора="Новый сезон",9-1&gt;MOD(MONTH('03_Сеть'!AO6)-9,12)),'03_Сеть'!AO30*CapacityAge09*МножительДетей,0)</f>
        <v/>
      </c>
      <c r="AP116" s="116">
        <f>IF(AND(ПравилоПовтора="Новый сезон",9-1&gt;MOD(MONTH('03_Сеть'!AP6)-9,12)),'03_Сеть'!AP30*CapacityAge09*МножительДетей,0)</f>
        <v/>
      </c>
      <c r="AQ116" s="116">
        <f>IF(AND(ПравилоПовтора="Новый сезон",9-1&gt;MOD(MONTH('03_Сеть'!AQ6)-9,12)),'03_Сеть'!AQ30*CapacityAge09*МножительДетей,0)</f>
        <v/>
      </c>
      <c r="AR116" s="116">
        <f>IF(AND(ПравилоПовтора="Новый сезон",9-1&gt;MOD(MONTH('03_Сеть'!AR6)-9,12)),'03_Сеть'!AR30*CapacityAge09*МножительДетей,0)</f>
        <v/>
      </c>
      <c r="AS116" s="116">
        <f>IF(AND(ПравилоПовтора="Новый сезон",9-1&gt;MOD(MONTH('03_Сеть'!AS6)-9,12)),'03_Сеть'!AS30*CapacityAge09*МножительДетей,0)</f>
        <v/>
      </c>
      <c r="AT116" s="116">
        <f>IF(AND(ПравилоПовтора="Новый сезон",9-1&gt;MOD(MONTH('03_Сеть'!AT6)-9,12)),'03_Сеть'!AT30*CapacityAge09*МножительДетей,0)</f>
        <v/>
      </c>
      <c r="AU116" s="116">
        <f>IF(AND(ПравилоПовтора="Новый сезон",9-1&gt;MOD(MONTH('03_Сеть'!AU6)-9,12)),'03_Сеть'!AU30*CapacityAge09*МножительДетей,0)</f>
        <v/>
      </c>
      <c r="AV116" s="116">
        <f>IF(AND(ПравилоПовтора="Новый сезон",9-1&gt;MOD(MONTH('03_Сеть'!AV6)-9,12)),'03_Сеть'!AV30*CapacityAge09*МножительДетей,0)</f>
        <v/>
      </c>
      <c r="AW116" s="116">
        <f>IF(AND(ПравилоПовтора="Новый сезон",9-1&gt;MOD(MONTH('03_Сеть'!AW6)-9,12)),'03_Сеть'!AW30*CapacityAge09*МножительДетей,0)</f>
        <v/>
      </c>
      <c r="AX116" s="116">
        <f>IF(AND(ПравилоПовтора="Новый сезон",9-1&gt;MOD(MONTH('03_Сеть'!AX6)-9,12)),'03_Сеть'!AX30*CapacityAge09*МножительДетей,0)</f>
        <v/>
      </c>
      <c r="AY116" s="116">
        <f>IF(AND(ПравилоПовтора="Новый сезон",9-1&gt;MOD(MONTH('03_Сеть'!AY6)-9,12)),'03_Сеть'!AY30*CapacityAge09*МножительДетей,0)</f>
        <v/>
      </c>
      <c r="AZ116" s="116">
        <f>IF(AND(ПравилоПовтора="Новый сезон",9-1&gt;MOD(MONTH('03_Сеть'!AZ6)-9,12)),'03_Сеть'!AZ30*CapacityAge09*МножительДетей,0)</f>
        <v/>
      </c>
      <c r="BA116" s="116">
        <f>IF(AND(ПравилоПовтора="Новый сезон",9-1&gt;MOD(MONTH('03_Сеть'!BA6)-9,12)),'03_Сеть'!BA30*CapacityAge09*МножительДетей,0)</f>
        <v/>
      </c>
      <c r="BB116" s="116">
        <f>IF(AND(ПравилоПовтора="Новый сезон",9-1&gt;MOD(MONTH('03_Сеть'!BB6)-9,12)),'03_Сеть'!BB30*CapacityAge09*МножительДетей,0)</f>
        <v/>
      </c>
      <c r="BC116" s="116">
        <f>IF(AND(ПравилоПовтора="Новый сезон",9-1&gt;MOD(MONTH('03_Сеть'!BC6)-9,12)),'03_Сеть'!BC30*CapacityAge09*МножительДетей,0)</f>
        <v/>
      </c>
      <c r="BD116" s="116">
        <f>IF(AND(ПравилоПовтора="Новый сезон",9-1&gt;MOD(MONTH('03_Сеть'!BD6)-9,12)),'03_Сеть'!BD30*CapacityAge09*МножительДетей,0)</f>
        <v/>
      </c>
      <c r="BE116" s="116">
        <f>IF(AND(ПравилоПовтора="Новый сезон",9-1&gt;MOD(MONTH('03_Сеть'!BE6)-9,12)),'03_Сеть'!BE30*CapacityAge09*МножительДетей,0)</f>
        <v/>
      </c>
      <c r="BF116" s="116">
        <f>IF(AND(ПравилоПовтора="Новый сезон",9-1&gt;MOD(MONTH('03_Сеть'!BF6)-9,12)),'03_Сеть'!BF30*CapacityAge09*МножительДетей,0)</f>
        <v/>
      </c>
      <c r="BG116" s="116">
        <f>IF(AND(ПравилоПовтора="Новый сезон",9-1&gt;MOD(MONTH('03_Сеть'!BG6)-9,12)),'03_Сеть'!BG30*CapacityAge09*МножительДетей,0)</f>
        <v/>
      </c>
      <c r="BH116" s="116">
        <f>IF(AND(ПравилоПовтора="Новый сезон",9-1&gt;MOD(MONTH('03_Сеть'!BH6)-9,12)),'03_Сеть'!BH30*CapacityAge09*МножительДетей,0)</f>
        <v/>
      </c>
      <c r="BI116" s="116">
        <f>IF(AND(ПравилоПовтора="Новый сезон",9-1&gt;MOD(MONTH('03_Сеть'!BI6)-9,12)),'03_Сеть'!BI30*CapacityAge09*МножительДетей,0)</f>
        <v/>
      </c>
      <c r="BJ116" s="116">
        <f>IF(AND(ПравилоПовтора="Новый сезон",9-1&gt;MOD(MONTH('03_Сеть'!BJ6)-9,12)),'03_Сеть'!BJ30*CapacityAge09*МножительДетей,0)</f>
        <v/>
      </c>
      <c r="BK116" s="116">
        <f>IF(AND(ПравилоПовтора="Новый сезон",9-1&gt;MOD(MONTH('03_Сеть'!BK6)-9,12)),'03_Сеть'!BK30*CapacityAge09*МножительДетей,0)</f>
        <v/>
      </c>
      <c r="BL116" s="116">
        <f>IF(AND(ПравилоПовтора="Новый сезон",9-1&gt;MOD(MONTH('03_Сеть'!BL6)-9,12)),'03_Сеть'!BL30*CapacityAge09*МножительДетей,0)</f>
        <v/>
      </c>
      <c r="BM116" s="116">
        <f>IF(AND(ПравилоПовтора="Новый сезон",9-1&gt;MOD(MONTH('03_Сеть'!BM6)-9,12)),'03_Сеть'!BM30*CapacityAge09*МножительДетей,0)</f>
        <v/>
      </c>
      <c r="BN116" s="116">
        <f>IF(AND(ПравилоПовтора="Новый сезон",9-1&gt;MOD(MONTH('03_Сеть'!BN6)-9,12)),'03_Сеть'!BN30*CapacityAge09*МножительДетей,0)</f>
        <v/>
      </c>
      <c r="BO116" s="116">
        <f>IF(AND(ПравилоПовтора="Новый сезон",9-1&gt;MOD(MONTH('03_Сеть'!BO6)-9,12)),'03_Сеть'!BO30*CapacityAge09*МножительДетей,0)</f>
        <v/>
      </c>
      <c r="BP116" s="116">
        <f>IF(AND(ПравилоПовтора="Новый сезон",9-1&gt;MOD(MONTH('03_Сеть'!BP6)-9,12)),'03_Сеть'!BP30*CapacityAge09*МножительДетей,0)</f>
        <v/>
      </c>
      <c r="BQ116" s="116">
        <f>IF(AND(ПравилоПовтора="Новый сезон",9-1&gt;MOD(MONTH('03_Сеть'!BQ6)-9,12)),'03_Сеть'!BQ30*CapacityAge09*МножительДетей,0)</f>
        <v/>
      </c>
      <c r="BR116" s="116">
        <f>IF(AND(ПравилоПовтора="Новый сезон",9-1&gt;MOD(MONTH('03_Сеть'!BR6)-9,12)),'03_Сеть'!BR30*CapacityAge09*МножительДетей,0)</f>
        <v/>
      </c>
      <c r="BS116" s="116">
        <f>IF(AND(ПравилоПовтора="Новый сезон",9-1&gt;MOD(MONTH('03_Сеть'!BS6)-9,12)),'03_Сеть'!BS30*CapacityAge09*МножительДетей,0)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04" t="inlineStr"/>
      <c r="E117" s="114">
        <f>W117</f>
        <v/>
      </c>
      <c r="F117" s="114">
        <f>AI117</f>
        <v/>
      </c>
      <c r="G117" s="114">
        <f>AU117</f>
        <v/>
      </c>
      <c r="H117" s="114">
        <f>BG117</f>
        <v/>
      </c>
      <c r="I117" s="114">
        <f>BS117</f>
        <v/>
      </c>
      <c r="J117" s="115">
        <f>BS117</f>
        <v/>
      </c>
      <c r="L117" s="116">
        <f>IF(AND(ПравилоПовтора="Новый сезон",10-1&gt;MOD(MONTH('03_Сеть'!L6)-9,12)),'03_Сеть'!L31*CapacityAge10*МножительДетей,0)</f>
        <v/>
      </c>
      <c r="M117" s="116">
        <f>IF(AND(ПравилоПовтора="Новый сезон",10-1&gt;MOD(MONTH('03_Сеть'!M6)-9,12)),'03_Сеть'!M31*CapacityAge10*МножительДетей,0)</f>
        <v/>
      </c>
      <c r="N117" s="116">
        <f>IF(AND(ПравилоПовтора="Новый сезон",10-1&gt;MOD(MONTH('03_Сеть'!N6)-9,12)),'03_Сеть'!N31*CapacityAge10*МножительДетей,0)</f>
        <v/>
      </c>
      <c r="O117" s="116">
        <f>IF(AND(ПравилоПовтора="Новый сезон",10-1&gt;MOD(MONTH('03_Сеть'!O6)-9,12)),'03_Сеть'!O31*CapacityAge10*МножительДетей,0)</f>
        <v/>
      </c>
      <c r="P117" s="116">
        <f>IF(AND(ПравилоПовтора="Новый сезон",10-1&gt;MOD(MONTH('03_Сеть'!P6)-9,12)),'03_Сеть'!P31*CapacityAge10*МножительДетей,0)</f>
        <v/>
      </c>
      <c r="Q117" s="116">
        <f>IF(AND(ПравилоПовтора="Новый сезон",10-1&gt;MOD(MONTH('03_Сеть'!Q6)-9,12)),'03_Сеть'!Q31*CapacityAge10*МножительДетей,0)</f>
        <v/>
      </c>
      <c r="R117" s="116">
        <f>IF(AND(ПравилоПовтора="Новый сезон",10-1&gt;MOD(MONTH('03_Сеть'!R6)-9,12)),'03_Сеть'!R31*CapacityAge10*МножительДетей,0)</f>
        <v/>
      </c>
      <c r="S117" s="116">
        <f>IF(AND(ПравилоПовтора="Новый сезон",10-1&gt;MOD(MONTH('03_Сеть'!S6)-9,12)),'03_Сеть'!S31*CapacityAge10*МножительДетей,0)</f>
        <v/>
      </c>
      <c r="T117" s="116">
        <f>IF(AND(ПравилоПовтора="Новый сезон",10-1&gt;MOD(MONTH('03_Сеть'!T6)-9,12)),'03_Сеть'!T31*CapacityAge10*МножительДетей,0)</f>
        <v/>
      </c>
      <c r="U117" s="116">
        <f>IF(AND(ПравилоПовтора="Новый сезон",10-1&gt;MOD(MONTH('03_Сеть'!U6)-9,12)),'03_Сеть'!U31*CapacityAge10*МножительДетей,0)</f>
        <v/>
      </c>
      <c r="V117" s="116">
        <f>IF(AND(ПравилоПовтора="Новый сезон",10-1&gt;MOD(MONTH('03_Сеть'!V6)-9,12)),'03_Сеть'!V31*CapacityAge10*МножительДетей,0)</f>
        <v/>
      </c>
      <c r="W117" s="116">
        <f>IF(AND(ПравилоПовтора="Новый сезон",10-1&gt;MOD(MONTH('03_Сеть'!W6)-9,12)),'03_Сеть'!W31*CapacityAge10*МножительДетей,0)</f>
        <v/>
      </c>
      <c r="X117" s="116">
        <f>IF(AND(ПравилоПовтора="Новый сезон",10-1&gt;MOD(MONTH('03_Сеть'!X6)-9,12)),'03_Сеть'!X31*CapacityAge10*МножительДетей,0)</f>
        <v/>
      </c>
      <c r="Y117" s="116">
        <f>IF(AND(ПравилоПовтора="Новый сезон",10-1&gt;MOD(MONTH('03_Сеть'!Y6)-9,12)),'03_Сеть'!Y31*CapacityAge10*МножительДетей,0)</f>
        <v/>
      </c>
      <c r="Z117" s="116">
        <f>IF(AND(ПравилоПовтора="Новый сезон",10-1&gt;MOD(MONTH('03_Сеть'!Z6)-9,12)),'03_Сеть'!Z31*CapacityAge10*МножительДетей,0)</f>
        <v/>
      </c>
      <c r="AA117" s="116">
        <f>IF(AND(ПравилоПовтора="Новый сезон",10-1&gt;MOD(MONTH('03_Сеть'!AA6)-9,12)),'03_Сеть'!AA31*CapacityAge10*МножительДетей,0)</f>
        <v/>
      </c>
      <c r="AB117" s="116">
        <f>IF(AND(ПравилоПовтора="Новый сезон",10-1&gt;MOD(MONTH('03_Сеть'!AB6)-9,12)),'03_Сеть'!AB31*CapacityAge10*МножительДетей,0)</f>
        <v/>
      </c>
      <c r="AC117" s="116">
        <f>IF(AND(ПравилоПовтора="Новый сезон",10-1&gt;MOD(MONTH('03_Сеть'!AC6)-9,12)),'03_Сеть'!AC31*CapacityAge10*МножительДетей,0)</f>
        <v/>
      </c>
      <c r="AD117" s="116">
        <f>IF(AND(ПравилоПовтора="Новый сезон",10-1&gt;MOD(MONTH('03_Сеть'!AD6)-9,12)),'03_Сеть'!AD31*CapacityAge10*МножительДетей,0)</f>
        <v/>
      </c>
      <c r="AE117" s="116">
        <f>IF(AND(ПравилоПовтора="Новый сезон",10-1&gt;MOD(MONTH('03_Сеть'!AE6)-9,12)),'03_Сеть'!AE31*CapacityAge10*МножительДетей,0)</f>
        <v/>
      </c>
      <c r="AF117" s="116">
        <f>IF(AND(ПравилоПовтора="Новый сезон",10-1&gt;MOD(MONTH('03_Сеть'!AF6)-9,12)),'03_Сеть'!AF31*CapacityAge10*МножительДетей,0)</f>
        <v/>
      </c>
      <c r="AG117" s="116">
        <f>IF(AND(ПравилоПовтора="Новый сезон",10-1&gt;MOD(MONTH('03_Сеть'!AG6)-9,12)),'03_Сеть'!AG31*CapacityAge10*МножительДетей,0)</f>
        <v/>
      </c>
      <c r="AH117" s="116">
        <f>IF(AND(ПравилоПовтора="Новый сезон",10-1&gt;MOD(MONTH('03_Сеть'!AH6)-9,12)),'03_Сеть'!AH31*CapacityAge10*МножительДетей,0)</f>
        <v/>
      </c>
      <c r="AI117" s="116">
        <f>IF(AND(ПравилоПовтора="Новый сезон",10-1&gt;MOD(MONTH('03_Сеть'!AI6)-9,12)),'03_Сеть'!AI31*CapacityAge10*МножительДетей,0)</f>
        <v/>
      </c>
      <c r="AJ117" s="116">
        <f>IF(AND(ПравилоПовтора="Новый сезон",10-1&gt;MOD(MONTH('03_Сеть'!AJ6)-9,12)),'03_Сеть'!AJ31*CapacityAge10*МножительДетей,0)</f>
        <v/>
      </c>
      <c r="AK117" s="116">
        <f>IF(AND(ПравилоПовтора="Новый сезон",10-1&gt;MOD(MONTH('03_Сеть'!AK6)-9,12)),'03_Сеть'!AK31*CapacityAge10*МножительДетей,0)</f>
        <v/>
      </c>
      <c r="AL117" s="116">
        <f>IF(AND(ПравилоПовтора="Новый сезон",10-1&gt;MOD(MONTH('03_Сеть'!AL6)-9,12)),'03_Сеть'!AL31*CapacityAge10*МножительДетей,0)</f>
        <v/>
      </c>
      <c r="AM117" s="116">
        <f>IF(AND(ПравилоПовтора="Новый сезон",10-1&gt;MOD(MONTH('03_Сеть'!AM6)-9,12)),'03_Сеть'!AM31*CapacityAge10*МножительДетей,0)</f>
        <v/>
      </c>
      <c r="AN117" s="116">
        <f>IF(AND(ПравилоПовтора="Новый сезон",10-1&gt;MOD(MONTH('03_Сеть'!AN6)-9,12)),'03_Сеть'!AN31*CapacityAge10*МножительДетей,0)</f>
        <v/>
      </c>
      <c r="AO117" s="116">
        <f>IF(AND(ПравилоПовтора="Новый сезон",10-1&gt;MOD(MONTH('03_Сеть'!AO6)-9,12)),'03_Сеть'!AO31*CapacityAge10*МножительДетей,0)</f>
        <v/>
      </c>
      <c r="AP117" s="116">
        <f>IF(AND(ПравилоПовтора="Новый сезон",10-1&gt;MOD(MONTH('03_Сеть'!AP6)-9,12)),'03_Сеть'!AP31*CapacityAge10*МножительДетей,0)</f>
        <v/>
      </c>
      <c r="AQ117" s="116">
        <f>IF(AND(ПравилоПовтора="Новый сезон",10-1&gt;MOD(MONTH('03_Сеть'!AQ6)-9,12)),'03_Сеть'!AQ31*CapacityAge10*МножительДетей,0)</f>
        <v/>
      </c>
      <c r="AR117" s="116">
        <f>IF(AND(ПравилоПовтора="Новый сезон",10-1&gt;MOD(MONTH('03_Сеть'!AR6)-9,12)),'03_Сеть'!AR31*CapacityAge10*МножительДетей,0)</f>
        <v/>
      </c>
      <c r="AS117" s="116">
        <f>IF(AND(ПравилоПовтора="Новый сезон",10-1&gt;MOD(MONTH('03_Сеть'!AS6)-9,12)),'03_Сеть'!AS31*CapacityAge10*МножительДетей,0)</f>
        <v/>
      </c>
      <c r="AT117" s="116">
        <f>IF(AND(ПравилоПовтора="Новый сезон",10-1&gt;MOD(MONTH('03_Сеть'!AT6)-9,12)),'03_Сеть'!AT31*CapacityAge10*МножительДетей,0)</f>
        <v/>
      </c>
      <c r="AU117" s="116">
        <f>IF(AND(ПравилоПовтора="Новый сезон",10-1&gt;MOD(MONTH('03_Сеть'!AU6)-9,12)),'03_Сеть'!AU31*CapacityAge10*МножительДетей,0)</f>
        <v/>
      </c>
      <c r="AV117" s="116">
        <f>IF(AND(ПравилоПовтора="Новый сезон",10-1&gt;MOD(MONTH('03_Сеть'!AV6)-9,12)),'03_Сеть'!AV31*CapacityAge10*МножительДетей,0)</f>
        <v/>
      </c>
      <c r="AW117" s="116">
        <f>IF(AND(ПравилоПовтора="Новый сезон",10-1&gt;MOD(MONTH('03_Сеть'!AW6)-9,12)),'03_Сеть'!AW31*CapacityAge10*МножительДетей,0)</f>
        <v/>
      </c>
      <c r="AX117" s="116">
        <f>IF(AND(ПравилоПовтора="Новый сезон",10-1&gt;MOD(MONTH('03_Сеть'!AX6)-9,12)),'03_Сеть'!AX31*CapacityAge10*МножительДетей,0)</f>
        <v/>
      </c>
      <c r="AY117" s="116">
        <f>IF(AND(ПравилоПовтора="Новый сезон",10-1&gt;MOD(MONTH('03_Сеть'!AY6)-9,12)),'03_Сеть'!AY31*CapacityAge10*МножительДетей,0)</f>
        <v/>
      </c>
      <c r="AZ117" s="116">
        <f>IF(AND(ПравилоПовтора="Новый сезон",10-1&gt;MOD(MONTH('03_Сеть'!AZ6)-9,12)),'03_Сеть'!AZ31*CapacityAge10*МножительДетей,0)</f>
        <v/>
      </c>
      <c r="BA117" s="116">
        <f>IF(AND(ПравилоПовтора="Новый сезон",10-1&gt;MOD(MONTH('03_Сеть'!BA6)-9,12)),'03_Сеть'!BA31*CapacityAge10*МножительДетей,0)</f>
        <v/>
      </c>
      <c r="BB117" s="116">
        <f>IF(AND(ПравилоПовтора="Новый сезон",10-1&gt;MOD(MONTH('03_Сеть'!BB6)-9,12)),'03_Сеть'!BB31*CapacityAge10*МножительДетей,0)</f>
        <v/>
      </c>
      <c r="BC117" s="116">
        <f>IF(AND(ПравилоПовтора="Новый сезон",10-1&gt;MOD(MONTH('03_Сеть'!BC6)-9,12)),'03_Сеть'!BC31*CapacityAge10*МножительДетей,0)</f>
        <v/>
      </c>
      <c r="BD117" s="116">
        <f>IF(AND(ПравилоПовтора="Новый сезон",10-1&gt;MOD(MONTH('03_Сеть'!BD6)-9,12)),'03_Сеть'!BD31*CapacityAge10*МножительДетей,0)</f>
        <v/>
      </c>
      <c r="BE117" s="116">
        <f>IF(AND(ПравилоПовтора="Новый сезон",10-1&gt;MOD(MONTH('03_Сеть'!BE6)-9,12)),'03_Сеть'!BE31*CapacityAge10*МножительДетей,0)</f>
        <v/>
      </c>
      <c r="BF117" s="116">
        <f>IF(AND(ПравилоПовтора="Новый сезон",10-1&gt;MOD(MONTH('03_Сеть'!BF6)-9,12)),'03_Сеть'!BF31*CapacityAge10*МножительДетей,0)</f>
        <v/>
      </c>
      <c r="BG117" s="116">
        <f>IF(AND(ПравилоПовтора="Новый сезон",10-1&gt;MOD(MONTH('03_Сеть'!BG6)-9,12)),'03_Сеть'!BG31*CapacityAge10*МножительДетей,0)</f>
        <v/>
      </c>
      <c r="BH117" s="116">
        <f>IF(AND(ПравилоПовтора="Новый сезон",10-1&gt;MOD(MONTH('03_Сеть'!BH6)-9,12)),'03_Сеть'!BH31*CapacityAge10*МножительДетей,0)</f>
        <v/>
      </c>
      <c r="BI117" s="116">
        <f>IF(AND(ПравилоПовтора="Новый сезон",10-1&gt;MOD(MONTH('03_Сеть'!BI6)-9,12)),'03_Сеть'!BI31*CapacityAge10*МножительДетей,0)</f>
        <v/>
      </c>
      <c r="BJ117" s="116">
        <f>IF(AND(ПравилоПовтора="Новый сезон",10-1&gt;MOD(MONTH('03_Сеть'!BJ6)-9,12)),'03_Сеть'!BJ31*CapacityAge10*МножительДетей,0)</f>
        <v/>
      </c>
      <c r="BK117" s="116">
        <f>IF(AND(ПравилоПовтора="Новый сезон",10-1&gt;MOD(MONTH('03_Сеть'!BK6)-9,12)),'03_Сеть'!BK31*CapacityAge10*МножительДетей,0)</f>
        <v/>
      </c>
      <c r="BL117" s="116">
        <f>IF(AND(ПравилоПовтора="Новый сезон",10-1&gt;MOD(MONTH('03_Сеть'!BL6)-9,12)),'03_Сеть'!BL31*CapacityAge10*МножительДетей,0)</f>
        <v/>
      </c>
      <c r="BM117" s="116">
        <f>IF(AND(ПравилоПовтора="Новый сезон",10-1&gt;MOD(MONTH('03_Сеть'!BM6)-9,12)),'03_Сеть'!BM31*CapacityAge10*МножительДетей,0)</f>
        <v/>
      </c>
      <c r="BN117" s="116">
        <f>IF(AND(ПравилоПовтора="Новый сезон",10-1&gt;MOD(MONTH('03_Сеть'!BN6)-9,12)),'03_Сеть'!BN31*CapacityAge10*МножительДетей,0)</f>
        <v/>
      </c>
      <c r="BO117" s="116">
        <f>IF(AND(ПравилоПовтора="Новый сезон",10-1&gt;MOD(MONTH('03_Сеть'!BO6)-9,12)),'03_Сеть'!BO31*CapacityAge10*МножительДетей,0)</f>
        <v/>
      </c>
      <c r="BP117" s="116">
        <f>IF(AND(ПравилоПовтора="Новый сезон",10-1&gt;MOD(MONTH('03_Сеть'!BP6)-9,12)),'03_Сеть'!BP31*CapacityAge10*МножительДетей,0)</f>
        <v/>
      </c>
      <c r="BQ117" s="116">
        <f>IF(AND(ПравилоПовтора="Новый сезон",10-1&gt;MOD(MONTH('03_Сеть'!BQ6)-9,12)),'03_Сеть'!BQ31*CapacityAge10*МножительДетей,0)</f>
        <v/>
      </c>
      <c r="BR117" s="116">
        <f>IF(AND(ПравилоПовтора="Новый сезон",10-1&gt;MOD(MONTH('03_Сеть'!BR6)-9,12)),'03_Сеть'!BR31*CapacityAge10*МножительДетей,0)</f>
        <v/>
      </c>
      <c r="BS117" s="116">
        <f>IF(AND(ПравилоПовтора="Новый сезон",10-1&gt;MOD(MONTH('03_Сеть'!BS6)-9,12)),'03_Сеть'!BS31*CapacityAge10*МножительДетей,0)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04" t="inlineStr"/>
      <c r="E118" s="114">
        <f>W118</f>
        <v/>
      </c>
      <c r="F118" s="114">
        <f>AI118</f>
        <v/>
      </c>
      <c r="G118" s="114">
        <f>AU118</f>
        <v/>
      </c>
      <c r="H118" s="114">
        <f>BG118</f>
        <v/>
      </c>
      <c r="I118" s="114">
        <f>BS118</f>
        <v/>
      </c>
      <c r="J118" s="115">
        <f>BS118</f>
        <v/>
      </c>
      <c r="L118" s="116">
        <f>IF(AND(ПравилоПовтора="Новый сезон",11-1&gt;MOD(MONTH('03_Сеть'!L6)-9,12)),'03_Сеть'!L32*CapacityAge11*МножительДетей,0)</f>
        <v/>
      </c>
      <c r="M118" s="116">
        <f>IF(AND(ПравилоПовтора="Новый сезон",11-1&gt;MOD(MONTH('03_Сеть'!M6)-9,12)),'03_Сеть'!M32*CapacityAge11*МножительДетей,0)</f>
        <v/>
      </c>
      <c r="N118" s="116">
        <f>IF(AND(ПравилоПовтора="Новый сезон",11-1&gt;MOD(MONTH('03_Сеть'!N6)-9,12)),'03_Сеть'!N32*CapacityAge11*МножительДетей,0)</f>
        <v/>
      </c>
      <c r="O118" s="116">
        <f>IF(AND(ПравилоПовтора="Новый сезон",11-1&gt;MOD(MONTH('03_Сеть'!O6)-9,12)),'03_Сеть'!O32*CapacityAge11*МножительДетей,0)</f>
        <v/>
      </c>
      <c r="P118" s="116">
        <f>IF(AND(ПравилоПовтора="Новый сезон",11-1&gt;MOD(MONTH('03_Сеть'!P6)-9,12)),'03_Сеть'!P32*CapacityAge11*МножительДетей,0)</f>
        <v/>
      </c>
      <c r="Q118" s="116">
        <f>IF(AND(ПравилоПовтора="Новый сезон",11-1&gt;MOD(MONTH('03_Сеть'!Q6)-9,12)),'03_Сеть'!Q32*CapacityAge11*МножительДетей,0)</f>
        <v/>
      </c>
      <c r="R118" s="116">
        <f>IF(AND(ПравилоПовтора="Новый сезон",11-1&gt;MOD(MONTH('03_Сеть'!R6)-9,12)),'03_Сеть'!R32*CapacityAge11*МножительДетей,0)</f>
        <v/>
      </c>
      <c r="S118" s="116">
        <f>IF(AND(ПравилоПовтора="Новый сезон",11-1&gt;MOD(MONTH('03_Сеть'!S6)-9,12)),'03_Сеть'!S32*CapacityAge11*МножительДетей,0)</f>
        <v/>
      </c>
      <c r="T118" s="116">
        <f>IF(AND(ПравилоПовтора="Новый сезон",11-1&gt;MOD(MONTH('03_Сеть'!T6)-9,12)),'03_Сеть'!T32*CapacityAge11*МножительДетей,0)</f>
        <v/>
      </c>
      <c r="U118" s="116">
        <f>IF(AND(ПравилоПовтора="Новый сезон",11-1&gt;MOD(MONTH('03_Сеть'!U6)-9,12)),'03_Сеть'!U32*CapacityAge11*МножительДетей,0)</f>
        <v/>
      </c>
      <c r="V118" s="116">
        <f>IF(AND(ПравилоПовтора="Новый сезон",11-1&gt;MOD(MONTH('03_Сеть'!V6)-9,12)),'03_Сеть'!V32*CapacityAge11*МножительДетей,0)</f>
        <v/>
      </c>
      <c r="W118" s="116">
        <f>IF(AND(ПравилоПовтора="Новый сезон",11-1&gt;MOD(MONTH('03_Сеть'!W6)-9,12)),'03_Сеть'!W32*CapacityAge11*МножительДетей,0)</f>
        <v/>
      </c>
      <c r="X118" s="116">
        <f>IF(AND(ПравилоПовтора="Новый сезон",11-1&gt;MOD(MONTH('03_Сеть'!X6)-9,12)),'03_Сеть'!X32*CapacityAge11*МножительДетей,0)</f>
        <v/>
      </c>
      <c r="Y118" s="116">
        <f>IF(AND(ПравилоПовтора="Новый сезон",11-1&gt;MOD(MONTH('03_Сеть'!Y6)-9,12)),'03_Сеть'!Y32*CapacityAge11*МножительДетей,0)</f>
        <v/>
      </c>
      <c r="Z118" s="116">
        <f>IF(AND(ПравилоПовтора="Новый сезон",11-1&gt;MOD(MONTH('03_Сеть'!Z6)-9,12)),'03_Сеть'!Z32*CapacityAge11*МножительДетей,0)</f>
        <v/>
      </c>
      <c r="AA118" s="116">
        <f>IF(AND(ПравилоПовтора="Новый сезон",11-1&gt;MOD(MONTH('03_Сеть'!AA6)-9,12)),'03_Сеть'!AA32*CapacityAge11*МножительДетей,0)</f>
        <v/>
      </c>
      <c r="AB118" s="116">
        <f>IF(AND(ПравилоПовтора="Новый сезон",11-1&gt;MOD(MONTH('03_Сеть'!AB6)-9,12)),'03_Сеть'!AB32*CapacityAge11*МножительДетей,0)</f>
        <v/>
      </c>
      <c r="AC118" s="116">
        <f>IF(AND(ПравилоПовтора="Новый сезон",11-1&gt;MOD(MONTH('03_Сеть'!AC6)-9,12)),'03_Сеть'!AC32*CapacityAge11*МножительДетей,0)</f>
        <v/>
      </c>
      <c r="AD118" s="116">
        <f>IF(AND(ПравилоПовтора="Новый сезон",11-1&gt;MOD(MONTH('03_Сеть'!AD6)-9,12)),'03_Сеть'!AD32*CapacityAge11*МножительДетей,0)</f>
        <v/>
      </c>
      <c r="AE118" s="116">
        <f>IF(AND(ПравилоПовтора="Новый сезон",11-1&gt;MOD(MONTH('03_Сеть'!AE6)-9,12)),'03_Сеть'!AE32*CapacityAge11*МножительДетей,0)</f>
        <v/>
      </c>
      <c r="AF118" s="116">
        <f>IF(AND(ПравилоПовтора="Новый сезон",11-1&gt;MOD(MONTH('03_Сеть'!AF6)-9,12)),'03_Сеть'!AF32*CapacityAge11*МножительДетей,0)</f>
        <v/>
      </c>
      <c r="AG118" s="116">
        <f>IF(AND(ПравилоПовтора="Новый сезон",11-1&gt;MOD(MONTH('03_Сеть'!AG6)-9,12)),'03_Сеть'!AG32*CapacityAge11*МножительДетей,0)</f>
        <v/>
      </c>
      <c r="AH118" s="116">
        <f>IF(AND(ПравилоПовтора="Новый сезон",11-1&gt;MOD(MONTH('03_Сеть'!AH6)-9,12)),'03_Сеть'!AH32*CapacityAge11*МножительДетей,0)</f>
        <v/>
      </c>
      <c r="AI118" s="116">
        <f>IF(AND(ПравилоПовтора="Новый сезон",11-1&gt;MOD(MONTH('03_Сеть'!AI6)-9,12)),'03_Сеть'!AI32*CapacityAge11*МножительДетей,0)</f>
        <v/>
      </c>
      <c r="AJ118" s="116">
        <f>IF(AND(ПравилоПовтора="Новый сезон",11-1&gt;MOD(MONTH('03_Сеть'!AJ6)-9,12)),'03_Сеть'!AJ32*CapacityAge11*МножительДетей,0)</f>
        <v/>
      </c>
      <c r="AK118" s="116">
        <f>IF(AND(ПравилоПовтора="Новый сезон",11-1&gt;MOD(MONTH('03_Сеть'!AK6)-9,12)),'03_Сеть'!AK32*CapacityAge11*МножительДетей,0)</f>
        <v/>
      </c>
      <c r="AL118" s="116">
        <f>IF(AND(ПравилоПовтора="Новый сезон",11-1&gt;MOD(MONTH('03_Сеть'!AL6)-9,12)),'03_Сеть'!AL32*CapacityAge11*МножительДетей,0)</f>
        <v/>
      </c>
      <c r="AM118" s="116">
        <f>IF(AND(ПравилоПовтора="Новый сезон",11-1&gt;MOD(MONTH('03_Сеть'!AM6)-9,12)),'03_Сеть'!AM32*CapacityAge11*МножительДетей,0)</f>
        <v/>
      </c>
      <c r="AN118" s="116">
        <f>IF(AND(ПравилоПовтора="Новый сезон",11-1&gt;MOD(MONTH('03_Сеть'!AN6)-9,12)),'03_Сеть'!AN32*CapacityAge11*МножительДетей,0)</f>
        <v/>
      </c>
      <c r="AO118" s="116">
        <f>IF(AND(ПравилоПовтора="Новый сезон",11-1&gt;MOD(MONTH('03_Сеть'!AO6)-9,12)),'03_Сеть'!AO32*CapacityAge11*МножительДетей,0)</f>
        <v/>
      </c>
      <c r="AP118" s="116">
        <f>IF(AND(ПравилоПовтора="Новый сезон",11-1&gt;MOD(MONTH('03_Сеть'!AP6)-9,12)),'03_Сеть'!AP32*CapacityAge11*МножительДетей,0)</f>
        <v/>
      </c>
      <c r="AQ118" s="116">
        <f>IF(AND(ПравилоПовтора="Новый сезон",11-1&gt;MOD(MONTH('03_Сеть'!AQ6)-9,12)),'03_Сеть'!AQ32*CapacityAge11*МножительДетей,0)</f>
        <v/>
      </c>
      <c r="AR118" s="116">
        <f>IF(AND(ПравилоПовтора="Новый сезон",11-1&gt;MOD(MONTH('03_Сеть'!AR6)-9,12)),'03_Сеть'!AR32*CapacityAge11*МножительДетей,0)</f>
        <v/>
      </c>
      <c r="AS118" s="116">
        <f>IF(AND(ПравилоПовтора="Новый сезон",11-1&gt;MOD(MONTH('03_Сеть'!AS6)-9,12)),'03_Сеть'!AS32*CapacityAge11*МножительДетей,0)</f>
        <v/>
      </c>
      <c r="AT118" s="116">
        <f>IF(AND(ПравилоПовтора="Новый сезон",11-1&gt;MOD(MONTH('03_Сеть'!AT6)-9,12)),'03_Сеть'!AT32*CapacityAge11*МножительДетей,0)</f>
        <v/>
      </c>
      <c r="AU118" s="116">
        <f>IF(AND(ПравилоПовтора="Новый сезон",11-1&gt;MOD(MONTH('03_Сеть'!AU6)-9,12)),'03_Сеть'!AU32*CapacityAge11*МножительДетей,0)</f>
        <v/>
      </c>
      <c r="AV118" s="116">
        <f>IF(AND(ПравилоПовтора="Новый сезон",11-1&gt;MOD(MONTH('03_Сеть'!AV6)-9,12)),'03_Сеть'!AV32*CapacityAge11*МножительДетей,0)</f>
        <v/>
      </c>
      <c r="AW118" s="116">
        <f>IF(AND(ПравилоПовтора="Новый сезон",11-1&gt;MOD(MONTH('03_Сеть'!AW6)-9,12)),'03_Сеть'!AW32*CapacityAge11*МножительДетей,0)</f>
        <v/>
      </c>
      <c r="AX118" s="116">
        <f>IF(AND(ПравилоПовтора="Новый сезон",11-1&gt;MOD(MONTH('03_Сеть'!AX6)-9,12)),'03_Сеть'!AX32*CapacityAge11*МножительДетей,0)</f>
        <v/>
      </c>
      <c r="AY118" s="116">
        <f>IF(AND(ПравилоПовтора="Новый сезон",11-1&gt;MOD(MONTH('03_Сеть'!AY6)-9,12)),'03_Сеть'!AY32*CapacityAge11*МножительДетей,0)</f>
        <v/>
      </c>
      <c r="AZ118" s="116">
        <f>IF(AND(ПравилоПовтора="Новый сезон",11-1&gt;MOD(MONTH('03_Сеть'!AZ6)-9,12)),'03_Сеть'!AZ32*CapacityAge11*МножительДетей,0)</f>
        <v/>
      </c>
      <c r="BA118" s="116">
        <f>IF(AND(ПравилоПовтора="Новый сезон",11-1&gt;MOD(MONTH('03_Сеть'!BA6)-9,12)),'03_Сеть'!BA32*CapacityAge11*МножительДетей,0)</f>
        <v/>
      </c>
      <c r="BB118" s="116">
        <f>IF(AND(ПравилоПовтора="Новый сезон",11-1&gt;MOD(MONTH('03_Сеть'!BB6)-9,12)),'03_Сеть'!BB32*CapacityAge11*МножительДетей,0)</f>
        <v/>
      </c>
      <c r="BC118" s="116">
        <f>IF(AND(ПравилоПовтора="Новый сезон",11-1&gt;MOD(MONTH('03_Сеть'!BC6)-9,12)),'03_Сеть'!BC32*CapacityAge11*МножительДетей,0)</f>
        <v/>
      </c>
      <c r="BD118" s="116">
        <f>IF(AND(ПравилоПовтора="Новый сезон",11-1&gt;MOD(MONTH('03_Сеть'!BD6)-9,12)),'03_Сеть'!BD32*CapacityAge11*МножительДетей,0)</f>
        <v/>
      </c>
      <c r="BE118" s="116">
        <f>IF(AND(ПравилоПовтора="Новый сезон",11-1&gt;MOD(MONTH('03_Сеть'!BE6)-9,12)),'03_Сеть'!BE32*CapacityAge11*МножительДетей,0)</f>
        <v/>
      </c>
      <c r="BF118" s="116">
        <f>IF(AND(ПравилоПовтора="Новый сезон",11-1&gt;MOD(MONTH('03_Сеть'!BF6)-9,12)),'03_Сеть'!BF32*CapacityAge11*МножительДетей,0)</f>
        <v/>
      </c>
      <c r="BG118" s="116">
        <f>IF(AND(ПравилоПовтора="Новый сезон",11-1&gt;MOD(MONTH('03_Сеть'!BG6)-9,12)),'03_Сеть'!BG32*CapacityAge11*МножительДетей,0)</f>
        <v/>
      </c>
      <c r="BH118" s="116">
        <f>IF(AND(ПравилоПовтора="Новый сезон",11-1&gt;MOD(MONTH('03_Сеть'!BH6)-9,12)),'03_Сеть'!BH32*CapacityAge11*МножительДетей,0)</f>
        <v/>
      </c>
      <c r="BI118" s="116">
        <f>IF(AND(ПравилоПовтора="Новый сезон",11-1&gt;MOD(MONTH('03_Сеть'!BI6)-9,12)),'03_Сеть'!BI32*CapacityAge11*МножительДетей,0)</f>
        <v/>
      </c>
      <c r="BJ118" s="116">
        <f>IF(AND(ПравилоПовтора="Новый сезон",11-1&gt;MOD(MONTH('03_Сеть'!BJ6)-9,12)),'03_Сеть'!BJ32*CapacityAge11*МножительДетей,0)</f>
        <v/>
      </c>
      <c r="BK118" s="116">
        <f>IF(AND(ПравилоПовтора="Новый сезон",11-1&gt;MOD(MONTH('03_Сеть'!BK6)-9,12)),'03_Сеть'!BK32*CapacityAge11*МножительДетей,0)</f>
        <v/>
      </c>
      <c r="BL118" s="116">
        <f>IF(AND(ПравилоПовтора="Новый сезон",11-1&gt;MOD(MONTH('03_Сеть'!BL6)-9,12)),'03_Сеть'!BL32*CapacityAge11*МножительДетей,0)</f>
        <v/>
      </c>
      <c r="BM118" s="116">
        <f>IF(AND(ПравилоПовтора="Новый сезон",11-1&gt;MOD(MONTH('03_Сеть'!BM6)-9,12)),'03_Сеть'!BM32*CapacityAge11*МножительДетей,0)</f>
        <v/>
      </c>
      <c r="BN118" s="116">
        <f>IF(AND(ПравилоПовтора="Новый сезон",11-1&gt;MOD(MONTH('03_Сеть'!BN6)-9,12)),'03_Сеть'!BN32*CapacityAge11*МножительДетей,0)</f>
        <v/>
      </c>
      <c r="BO118" s="116">
        <f>IF(AND(ПравилоПовтора="Новый сезон",11-1&gt;MOD(MONTH('03_Сеть'!BO6)-9,12)),'03_Сеть'!BO32*CapacityAge11*МножительДетей,0)</f>
        <v/>
      </c>
      <c r="BP118" s="116">
        <f>IF(AND(ПравилоПовтора="Новый сезон",11-1&gt;MOD(MONTH('03_Сеть'!BP6)-9,12)),'03_Сеть'!BP32*CapacityAge11*МножительДетей,0)</f>
        <v/>
      </c>
      <c r="BQ118" s="116">
        <f>IF(AND(ПравилоПовтора="Новый сезон",11-1&gt;MOD(MONTH('03_Сеть'!BQ6)-9,12)),'03_Сеть'!BQ32*CapacityAge11*МножительДетей,0)</f>
        <v/>
      </c>
      <c r="BR118" s="116">
        <f>IF(AND(ПравилоПовтора="Новый сезон",11-1&gt;MOD(MONTH('03_Сеть'!BR6)-9,12)),'03_Сеть'!BR32*CapacityAge11*МножительДетей,0)</f>
        <v/>
      </c>
      <c r="BS118" s="116">
        <f>IF(AND(ПравилоПовтора="Новый сезон",11-1&gt;MOD(MONTH('03_Сеть'!BS6)-9,12)),'03_Сеть'!BS32*CapacityAge11*МножительДетей,0)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04" t="inlineStr"/>
      <c r="E119" s="114">
        <f>W119</f>
        <v/>
      </c>
      <c r="F119" s="114">
        <f>AI119</f>
        <v/>
      </c>
      <c r="G119" s="114">
        <f>AU119</f>
        <v/>
      </c>
      <c r="H119" s="114">
        <f>BG119</f>
        <v/>
      </c>
      <c r="I119" s="114">
        <f>BS119</f>
        <v/>
      </c>
      <c r="J119" s="115">
        <f>BS119</f>
        <v/>
      </c>
      <c r="L119" s="116">
        <f>IF(AND(ПравилоПовтора="Новый сезон",12-1&gt;MOD(MONTH('03_Сеть'!L6)-9,12)),'03_Сеть'!L33*CapacityAge12*МножительДетей,0)</f>
        <v/>
      </c>
      <c r="M119" s="116">
        <f>IF(AND(ПравилоПовтора="Новый сезон",12-1&gt;MOD(MONTH('03_Сеть'!M6)-9,12)),'03_Сеть'!M33*CapacityAge12*МножительДетей,0)</f>
        <v/>
      </c>
      <c r="N119" s="116">
        <f>IF(AND(ПравилоПовтора="Новый сезон",12-1&gt;MOD(MONTH('03_Сеть'!N6)-9,12)),'03_Сеть'!N33*CapacityAge12*МножительДетей,0)</f>
        <v/>
      </c>
      <c r="O119" s="116">
        <f>IF(AND(ПравилоПовтора="Новый сезон",12-1&gt;MOD(MONTH('03_Сеть'!O6)-9,12)),'03_Сеть'!O33*CapacityAge12*МножительДетей,0)</f>
        <v/>
      </c>
      <c r="P119" s="116">
        <f>IF(AND(ПравилоПовтора="Новый сезон",12-1&gt;MOD(MONTH('03_Сеть'!P6)-9,12)),'03_Сеть'!P33*CapacityAge12*МножительДетей,0)</f>
        <v/>
      </c>
      <c r="Q119" s="116">
        <f>IF(AND(ПравилоПовтора="Новый сезон",12-1&gt;MOD(MONTH('03_Сеть'!Q6)-9,12)),'03_Сеть'!Q33*CapacityAge12*МножительДетей,0)</f>
        <v/>
      </c>
      <c r="R119" s="116">
        <f>IF(AND(ПравилоПовтора="Новый сезон",12-1&gt;MOD(MONTH('03_Сеть'!R6)-9,12)),'03_Сеть'!R33*CapacityAge12*МножительДетей,0)</f>
        <v/>
      </c>
      <c r="S119" s="116">
        <f>IF(AND(ПравилоПовтора="Новый сезон",12-1&gt;MOD(MONTH('03_Сеть'!S6)-9,12)),'03_Сеть'!S33*CapacityAge12*МножительДетей,0)</f>
        <v/>
      </c>
      <c r="T119" s="116">
        <f>IF(AND(ПравилоПовтора="Новый сезон",12-1&gt;MOD(MONTH('03_Сеть'!T6)-9,12)),'03_Сеть'!T33*CapacityAge12*МножительДетей,0)</f>
        <v/>
      </c>
      <c r="U119" s="116">
        <f>IF(AND(ПравилоПовтора="Новый сезон",12-1&gt;MOD(MONTH('03_Сеть'!U6)-9,12)),'03_Сеть'!U33*CapacityAge12*МножительДетей,0)</f>
        <v/>
      </c>
      <c r="V119" s="116">
        <f>IF(AND(ПравилоПовтора="Новый сезон",12-1&gt;MOD(MONTH('03_Сеть'!V6)-9,12)),'03_Сеть'!V33*CapacityAge12*МножительДетей,0)</f>
        <v/>
      </c>
      <c r="W119" s="116">
        <f>IF(AND(ПравилоПовтора="Новый сезон",12-1&gt;MOD(MONTH('03_Сеть'!W6)-9,12)),'03_Сеть'!W33*CapacityAge12*МножительДетей,0)</f>
        <v/>
      </c>
      <c r="X119" s="116">
        <f>IF(AND(ПравилоПовтора="Новый сезон",12-1&gt;MOD(MONTH('03_Сеть'!X6)-9,12)),'03_Сеть'!X33*CapacityAge12*МножительДетей,0)</f>
        <v/>
      </c>
      <c r="Y119" s="116">
        <f>IF(AND(ПравилоПовтора="Новый сезон",12-1&gt;MOD(MONTH('03_Сеть'!Y6)-9,12)),'03_Сеть'!Y33*CapacityAge12*МножительДетей,0)</f>
        <v/>
      </c>
      <c r="Z119" s="116">
        <f>IF(AND(ПравилоПовтора="Новый сезон",12-1&gt;MOD(MONTH('03_Сеть'!Z6)-9,12)),'03_Сеть'!Z33*CapacityAge12*МножительДетей,0)</f>
        <v/>
      </c>
      <c r="AA119" s="116">
        <f>IF(AND(ПравилоПовтора="Новый сезон",12-1&gt;MOD(MONTH('03_Сеть'!AA6)-9,12)),'03_Сеть'!AA33*CapacityAge12*МножительДетей,0)</f>
        <v/>
      </c>
      <c r="AB119" s="116">
        <f>IF(AND(ПравилоПовтора="Новый сезон",12-1&gt;MOD(MONTH('03_Сеть'!AB6)-9,12)),'03_Сеть'!AB33*CapacityAge12*МножительДетей,0)</f>
        <v/>
      </c>
      <c r="AC119" s="116">
        <f>IF(AND(ПравилоПовтора="Новый сезон",12-1&gt;MOD(MONTH('03_Сеть'!AC6)-9,12)),'03_Сеть'!AC33*CapacityAge12*МножительДетей,0)</f>
        <v/>
      </c>
      <c r="AD119" s="116">
        <f>IF(AND(ПравилоПовтора="Новый сезон",12-1&gt;MOD(MONTH('03_Сеть'!AD6)-9,12)),'03_Сеть'!AD33*CapacityAge12*МножительДетей,0)</f>
        <v/>
      </c>
      <c r="AE119" s="116">
        <f>IF(AND(ПравилоПовтора="Новый сезон",12-1&gt;MOD(MONTH('03_Сеть'!AE6)-9,12)),'03_Сеть'!AE33*CapacityAge12*МножительДетей,0)</f>
        <v/>
      </c>
      <c r="AF119" s="116">
        <f>IF(AND(ПравилоПовтора="Новый сезон",12-1&gt;MOD(MONTH('03_Сеть'!AF6)-9,12)),'03_Сеть'!AF33*CapacityAge12*МножительДетей,0)</f>
        <v/>
      </c>
      <c r="AG119" s="116">
        <f>IF(AND(ПравилоПовтора="Новый сезон",12-1&gt;MOD(MONTH('03_Сеть'!AG6)-9,12)),'03_Сеть'!AG33*CapacityAge12*МножительДетей,0)</f>
        <v/>
      </c>
      <c r="AH119" s="116">
        <f>IF(AND(ПравилоПовтора="Новый сезон",12-1&gt;MOD(MONTH('03_Сеть'!AH6)-9,12)),'03_Сеть'!AH33*CapacityAge12*МножительДетей,0)</f>
        <v/>
      </c>
      <c r="AI119" s="116">
        <f>IF(AND(ПравилоПовтора="Новый сезон",12-1&gt;MOD(MONTH('03_Сеть'!AI6)-9,12)),'03_Сеть'!AI33*CapacityAge12*МножительДетей,0)</f>
        <v/>
      </c>
      <c r="AJ119" s="116">
        <f>IF(AND(ПравилоПовтора="Новый сезон",12-1&gt;MOD(MONTH('03_Сеть'!AJ6)-9,12)),'03_Сеть'!AJ33*CapacityAge12*МножительДетей,0)</f>
        <v/>
      </c>
      <c r="AK119" s="116">
        <f>IF(AND(ПравилоПовтора="Новый сезон",12-1&gt;MOD(MONTH('03_Сеть'!AK6)-9,12)),'03_Сеть'!AK33*CapacityAge12*МножительДетей,0)</f>
        <v/>
      </c>
      <c r="AL119" s="116">
        <f>IF(AND(ПравилоПовтора="Новый сезон",12-1&gt;MOD(MONTH('03_Сеть'!AL6)-9,12)),'03_Сеть'!AL33*CapacityAge12*МножительДетей,0)</f>
        <v/>
      </c>
      <c r="AM119" s="116">
        <f>IF(AND(ПравилоПовтора="Новый сезон",12-1&gt;MOD(MONTH('03_Сеть'!AM6)-9,12)),'03_Сеть'!AM33*CapacityAge12*МножительДетей,0)</f>
        <v/>
      </c>
      <c r="AN119" s="116">
        <f>IF(AND(ПравилоПовтора="Новый сезон",12-1&gt;MOD(MONTH('03_Сеть'!AN6)-9,12)),'03_Сеть'!AN33*CapacityAge12*МножительДетей,0)</f>
        <v/>
      </c>
      <c r="AO119" s="116">
        <f>IF(AND(ПравилоПовтора="Новый сезон",12-1&gt;MOD(MONTH('03_Сеть'!AO6)-9,12)),'03_Сеть'!AO33*CapacityAge12*МножительДетей,0)</f>
        <v/>
      </c>
      <c r="AP119" s="116">
        <f>IF(AND(ПравилоПовтора="Новый сезон",12-1&gt;MOD(MONTH('03_Сеть'!AP6)-9,12)),'03_Сеть'!AP33*CapacityAge12*МножительДетей,0)</f>
        <v/>
      </c>
      <c r="AQ119" s="116">
        <f>IF(AND(ПравилоПовтора="Новый сезон",12-1&gt;MOD(MONTH('03_Сеть'!AQ6)-9,12)),'03_Сеть'!AQ33*CapacityAge12*МножительДетей,0)</f>
        <v/>
      </c>
      <c r="AR119" s="116">
        <f>IF(AND(ПравилоПовтора="Новый сезон",12-1&gt;MOD(MONTH('03_Сеть'!AR6)-9,12)),'03_Сеть'!AR33*CapacityAge12*МножительДетей,0)</f>
        <v/>
      </c>
      <c r="AS119" s="116">
        <f>IF(AND(ПравилоПовтора="Новый сезон",12-1&gt;MOD(MONTH('03_Сеть'!AS6)-9,12)),'03_Сеть'!AS33*CapacityAge12*МножительДетей,0)</f>
        <v/>
      </c>
      <c r="AT119" s="116">
        <f>IF(AND(ПравилоПовтора="Новый сезон",12-1&gt;MOD(MONTH('03_Сеть'!AT6)-9,12)),'03_Сеть'!AT33*CapacityAge12*МножительДетей,0)</f>
        <v/>
      </c>
      <c r="AU119" s="116">
        <f>IF(AND(ПравилоПовтора="Новый сезон",12-1&gt;MOD(MONTH('03_Сеть'!AU6)-9,12)),'03_Сеть'!AU33*CapacityAge12*МножительДетей,0)</f>
        <v/>
      </c>
      <c r="AV119" s="116">
        <f>IF(AND(ПравилоПовтора="Новый сезон",12-1&gt;MOD(MONTH('03_Сеть'!AV6)-9,12)),'03_Сеть'!AV33*CapacityAge12*МножительДетей,0)</f>
        <v/>
      </c>
      <c r="AW119" s="116">
        <f>IF(AND(ПравилоПовтора="Новый сезон",12-1&gt;MOD(MONTH('03_Сеть'!AW6)-9,12)),'03_Сеть'!AW33*CapacityAge12*МножительДетей,0)</f>
        <v/>
      </c>
      <c r="AX119" s="116">
        <f>IF(AND(ПравилоПовтора="Новый сезон",12-1&gt;MOD(MONTH('03_Сеть'!AX6)-9,12)),'03_Сеть'!AX33*CapacityAge12*МножительДетей,0)</f>
        <v/>
      </c>
      <c r="AY119" s="116">
        <f>IF(AND(ПравилоПовтора="Новый сезон",12-1&gt;MOD(MONTH('03_Сеть'!AY6)-9,12)),'03_Сеть'!AY33*CapacityAge12*МножительДетей,0)</f>
        <v/>
      </c>
      <c r="AZ119" s="116">
        <f>IF(AND(ПравилоПовтора="Новый сезон",12-1&gt;MOD(MONTH('03_Сеть'!AZ6)-9,12)),'03_Сеть'!AZ33*CapacityAge12*МножительДетей,0)</f>
        <v/>
      </c>
      <c r="BA119" s="116">
        <f>IF(AND(ПравилоПовтора="Новый сезон",12-1&gt;MOD(MONTH('03_Сеть'!BA6)-9,12)),'03_Сеть'!BA33*CapacityAge12*МножительДетей,0)</f>
        <v/>
      </c>
      <c r="BB119" s="116">
        <f>IF(AND(ПравилоПовтора="Новый сезон",12-1&gt;MOD(MONTH('03_Сеть'!BB6)-9,12)),'03_Сеть'!BB33*CapacityAge12*МножительДетей,0)</f>
        <v/>
      </c>
      <c r="BC119" s="116">
        <f>IF(AND(ПравилоПовтора="Новый сезон",12-1&gt;MOD(MONTH('03_Сеть'!BC6)-9,12)),'03_Сеть'!BC33*CapacityAge12*МножительДетей,0)</f>
        <v/>
      </c>
      <c r="BD119" s="116">
        <f>IF(AND(ПравилоПовтора="Новый сезон",12-1&gt;MOD(MONTH('03_Сеть'!BD6)-9,12)),'03_Сеть'!BD33*CapacityAge12*МножительДетей,0)</f>
        <v/>
      </c>
      <c r="BE119" s="116">
        <f>IF(AND(ПравилоПовтора="Новый сезон",12-1&gt;MOD(MONTH('03_Сеть'!BE6)-9,12)),'03_Сеть'!BE33*CapacityAge12*МножительДетей,0)</f>
        <v/>
      </c>
      <c r="BF119" s="116">
        <f>IF(AND(ПравилоПовтора="Новый сезон",12-1&gt;MOD(MONTH('03_Сеть'!BF6)-9,12)),'03_Сеть'!BF33*CapacityAge12*МножительДетей,0)</f>
        <v/>
      </c>
      <c r="BG119" s="116">
        <f>IF(AND(ПравилоПовтора="Новый сезон",12-1&gt;MOD(MONTH('03_Сеть'!BG6)-9,12)),'03_Сеть'!BG33*CapacityAge12*МножительДетей,0)</f>
        <v/>
      </c>
      <c r="BH119" s="116">
        <f>IF(AND(ПравилоПовтора="Новый сезон",12-1&gt;MOD(MONTH('03_Сеть'!BH6)-9,12)),'03_Сеть'!BH33*CapacityAge12*МножительДетей,0)</f>
        <v/>
      </c>
      <c r="BI119" s="116">
        <f>IF(AND(ПравилоПовтора="Новый сезон",12-1&gt;MOD(MONTH('03_Сеть'!BI6)-9,12)),'03_Сеть'!BI33*CapacityAge12*МножительДетей,0)</f>
        <v/>
      </c>
      <c r="BJ119" s="116">
        <f>IF(AND(ПравилоПовтора="Новый сезон",12-1&gt;MOD(MONTH('03_Сеть'!BJ6)-9,12)),'03_Сеть'!BJ33*CapacityAge12*МножительДетей,0)</f>
        <v/>
      </c>
      <c r="BK119" s="116">
        <f>IF(AND(ПравилоПовтора="Новый сезон",12-1&gt;MOD(MONTH('03_Сеть'!BK6)-9,12)),'03_Сеть'!BK33*CapacityAge12*МножительДетей,0)</f>
        <v/>
      </c>
      <c r="BL119" s="116">
        <f>IF(AND(ПравилоПовтора="Новый сезон",12-1&gt;MOD(MONTH('03_Сеть'!BL6)-9,12)),'03_Сеть'!BL33*CapacityAge12*МножительДетей,0)</f>
        <v/>
      </c>
      <c r="BM119" s="116">
        <f>IF(AND(ПравилоПовтора="Новый сезон",12-1&gt;MOD(MONTH('03_Сеть'!BM6)-9,12)),'03_Сеть'!BM33*CapacityAge12*МножительДетей,0)</f>
        <v/>
      </c>
      <c r="BN119" s="116">
        <f>IF(AND(ПравилоПовтора="Новый сезон",12-1&gt;MOD(MONTH('03_Сеть'!BN6)-9,12)),'03_Сеть'!BN33*CapacityAge12*МножительДетей,0)</f>
        <v/>
      </c>
      <c r="BO119" s="116">
        <f>IF(AND(ПравилоПовтора="Новый сезон",12-1&gt;MOD(MONTH('03_Сеть'!BO6)-9,12)),'03_Сеть'!BO33*CapacityAge12*МножительДетей,0)</f>
        <v/>
      </c>
      <c r="BP119" s="116">
        <f>IF(AND(ПравилоПовтора="Новый сезон",12-1&gt;MOD(MONTH('03_Сеть'!BP6)-9,12)),'03_Сеть'!BP33*CapacityAge12*МножительДетей,0)</f>
        <v/>
      </c>
      <c r="BQ119" s="116">
        <f>IF(AND(ПравилоПовтора="Новый сезон",12-1&gt;MOD(MONTH('03_Сеть'!BQ6)-9,12)),'03_Сеть'!BQ33*CapacityAge12*МножительДетей,0)</f>
        <v/>
      </c>
      <c r="BR119" s="116">
        <f>IF(AND(ПравилоПовтора="Новый сезон",12-1&gt;MOD(MONTH('03_Сеть'!BR6)-9,12)),'03_Сеть'!BR33*CapacityAge12*МножительДетей,0)</f>
        <v/>
      </c>
      <c r="BS119" s="116">
        <f>IF(AND(ПравилоПовтора="Новый сезон",12-1&gt;MOD(MONTH('03_Сеть'!BS6)-9,12)),'03_Сеть'!BS33*CapacityAge12*МножительДетей,0)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04" t="inlineStr">
        <is>
          <t>Школы старше года покупают форму каждый сезон</t>
        </is>
      </c>
      <c r="E120" s="114">
        <f>W120</f>
        <v/>
      </c>
      <c r="F120" s="114">
        <f>AI120</f>
        <v/>
      </c>
      <c r="G120" s="114">
        <f>AU120</f>
        <v/>
      </c>
      <c r="H120" s="114">
        <f>BG120</f>
        <v/>
      </c>
      <c r="I120" s="114">
        <f>BS120</f>
        <v/>
      </c>
      <c r="J120" s="115">
        <f>BS120</f>
        <v/>
      </c>
      <c r="L120" s="116">
        <f>SUMPRODUCT('03_Сеть'!L34:L45,CapacityYear2)*МножительДетей+'03_Сеть'!L46*CapacityAge25*МножительДетей</f>
        <v/>
      </c>
      <c r="M120" s="116">
        <f>SUMPRODUCT('03_Сеть'!M34:M45,CapacityYear2)*МножительДетей+'03_Сеть'!M46*CapacityAge25*МножительДетей</f>
        <v/>
      </c>
      <c r="N120" s="116">
        <f>SUMPRODUCT('03_Сеть'!N34:N45,CapacityYear2)*МножительДетей+'03_Сеть'!N46*CapacityAge25*МножительДетей</f>
        <v/>
      </c>
      <c r="O120" s="116">
        <f>SUMPRODUCT('03_Сеть'!O34:O45,CapacityYear2)*МножительДетей+'03_Сеть'!O46*CapacityAge25*МножительДетей</f>
        <v/>
      </c>
      <c r="P120" s="116">
        <f>SUMPRODUCT('03_Сеть'!P34:P45,CapacityYear2)*МножительДетей+'03_Сеть'!P46*CapacityAge25*МножительДетей</f>
        <v/>
      </c>
      <c r="Q120" s="116">
        <f>SUMPRODUCT('03_Сеть'!Q34:Q45,CapacityYear2)*МножительДетей+'03_Сеть'!Q46*CapacityAge25*МножительДетей</f>
        <v/>
      </c>
      <c r="R120" s="116">
        <f>SUMPRODUCT('03_Сеть'!R34:R45,CapacityYear2)*МножительДетей+'03_Сеть'!R46*CapacityAge25*МножительДетей</f>
        <v/>
      </c>
      <c r="S120" s="116">
        <f>SUMPRODUCT('03_Сеть'!S34:S45,CapacityYear2)*МножительДетей+'03_Сеть'!S46*CapacityAge25*МножительДетей</f>
        <v/>
      </c>
      <c r="T120" s="116">
        <f>SUMPRODUCT('03_Сеть'!T34:T45,CapacityYear2)*МножительДетей+'03_Сеть'!T46*CapacityAge25*МножительДетей</f>
        <v/>
      </c>
      <c r="U120" s="116">
        <f>SUMPRODUCT('03_Сеть'!U34:U45,CapacityYear2)*МножительДетей+'03_Сеть'!U46*CapacityAge25*МножительДетей</f>
        <v/>
      </c>
      <c r="V120" s="116">
        <f>SUMPRODUCT('03_Сеть'!V34:V45,CapacityYear2)*МножительДетей+'03_Сеть'!V46*CapacityAge25*МножительДетей</f>
        <v/>
      </c>
      <c r="W120" s="116">
        <f>SUMPRODUCT('03_Сеть'!W34:W45,CapacityYear2)*МножительДетей+'03_Сеть'!W46*CapacityAge25*МножительДетей</f>
        <v/>
      </c>
      <c r="X120" s="116">
        <f>SUMPRODUCT('03_Сеть'!X34:X45,CapacityYear2)*МножительДетей+'03_Сеть'!X46*CapacityAge25*МножительДетей</f>
        <v/>
      </c>
      <c r="Y120" s="116">
        <f>SUMPRODUCT('03_Сеть'!Y34:Y45,CapacityYear2)*МножительДетей+'03_Сеть'!Y46*CapacityAge25*МножительДетей</f>
        <v/>
      </c>
      <c r="Z120" s="116">
        <f>SUMPRODUCT('03_Сеть'!Z34:Z45,CapacityYear2)*МножительДетей+'03_Сеть'!Z46*CapacityAge25*МножительДетей</f>
        <v/>
      </c>
      <c r="AA120" s="116">
        <f>SUMPRODUCT('03_Сеть'!AA34:AA45,CapacityYear2)*МножительДетей+'03_Сеть'!AA46*CapacityAge25*МножительДетей</f>
        <v/>
      </c>
      <c r="AB120" s="116">
        <f>SUMPRODUCT('03_Сеть'!AB34:AB45,CapacityYear2)*МножительДетей+'03_Сеть'!AB46*CapacityAge25*МножительДетей</f>
        <v/>
      </c>
      <c r="AC120" s="116">
        <f>SUMPRODUCT('03_Сеть'!AC34:AC45,CapacityYear2)*МножительДетей+'03_Сеть'!AC46*CapacityAge25*МножительДетей</f>
        <v/>
      </c>
      <c r="AD120" s="116">
        <f>SUMPRODUCT('03_Сеть'!AD34:AD45,CapacityYear2)*МножительДетей+'03_Сеть'!AD46*CapacityAge25*МножительДетей</f>
        <v/>
      </c>
      <c r="AE120" s="116">
        <f>SUMPRODUCT('03_Сеть'!AE34:AE45,CapacityYear2)*МножительДетей+'03_Сеть'!AE46*CapacityAge25*МножительДетей</f>
        <v/>
      </c>
      <c r="AF120" s="116">
        <f>SUMPRODUCT('03_Сеть'!AF34:AF45,CapacityYear2)*МножительДетей+'03_Сеть'!AF46*CapacityAge25*МножительДетей</f>
        <v/>
      </c>
      <c r="AG120" s="116">
        <f>SUMPRODUCT('03_Сеть'!AG34:AG45,CapacityYear2)*МножительДетей+'03_Сеть'!AG46*CapacityAge25*МножительДетей</f>
        <v/>
      </c>
      <c r="AH120" s="116">
        <f>SUMPRODUCT('03_Сеть'!AH34:AH45,CapacityYear2)*МножительДетей+'03_Сеть'!AH46*CapacityAge25*МножительДетей</f>
        <v/>
      </c>
      <c r="AI120" s="116">
        <f>SUMPRODUCT('03_Сеть'!AI34:AI45,CapacityYear2)*МножительДетей+'03_Сеть'!AI46*CapacityAge25*МножительДетей</f>
        <v/>
      </c>
      <c r="AJ120" s="116">
        <f>SUMPRODUCT('03_Сеть'!AJ34:AJ45,CapacityYear2)*МножительДетей+'03_Сеть'!AJ46*CapacityAge25*МножительДетей</f>
        <v/>
      </c>
      <c r="AK120" s="116">
        <f>SUMPRODUCT('03_Сеть'!AK34:AK45,CapacityYear2)*МножительДетей+'03_Сеть'!AK46*CapacityAge25*МножительДетей</f>
        <v/>
      </c>
      <c r="AL120" s="116">
        <f>SUMPRODUCT('03_Сеть'!AL34:AL45,CapacityYear2)*МножительДетей+'03_Сеть'!AL46*CapacityAge25*МножительДетей</f>
        <v/>
      </c>
      <c r="AM120" s="116">
        <f>SUMPRODUCT('03_Сеть'!AM34:AM45,CapacityYear2)*МножительДетей+'03_Сеть'!AM46*CapacityAge25*МножительДетей</f>
        <v/>
      </c>
      <c r="AN120" s="116">
        <f>SUMPRODUCT('03_Сеть'!AN34:AN45,CapacityYear2)*МножительДетей+'03_Сеть'!AN46*CapacityAge25*МножительДетей</f>
        <v/>
      </c>
      <c r="AO120" s="116">
        <f>SUMPRODUCT('03_Сеть'!AO34:AO45,CapacityYear2)*МножительДетей+'03_Сеть'!AO46*CapacityAge25*МножительДетей</f>
        <v/>
      </c>
      <c r="AP120" s="116">
        <f>SUMPRODUCT('03_Сеть'!AP34:AP45,CapacityYear2)*МножительДетей+'03_Сеть'!AP46*CapacityAge25*МножительДетей</f>
        <v/>
      </c>
      <c r="AQ120" s="116">
        <f>SUMPRODUCT('03_Сеть'!AQ34:AQ45,CapacityYear2)*МножительДетей+'03_Сеть'!AQ46*CapacityAge25*МножительДетей</f>
        <v/>
      </c>
      <c r="AR120" s="116">
        <f>SUMPRODUCT('03_Сеть'!AR34:AR45,CapacityYear2)*МножительДетей+'03_Сеть'!AR46*CapacityAge25*МножительДетей</f>
        <v/>
      </c>
      <c r="AS120" s="116">
        <f>SUMPRODUCT('03_Сеть'!AS34:AS45,CapacityYear2)*МножительДетей+'03_Сеть'!AS46*CapacityAge25*МножительДетей</f>
        <v/>
      </c>
      <c r="AT120" s="116">
        <f>SUMPRODUCT('03_Сеть'!AT34:AT45,CapacityYear2)*МножительДетей+'03_Сеть'!AT46*CapacityAge25*МножительДетей</f>
        <v/>
      </c>
      <c r="AU120" s="116">
        <f>SUMPRODUCT('03_Сеть'!AU34:AU45,CapacityYear2)*МножительДетей+'03_Сеть'!AU46*CapacityAge25*МножительДетей</f>
        <v/>
      </c>
      <c r="AV120" s="116">
        <f>SUMPRODUCT('03_Сеть'!AV34:AV45,CapacityYear2)*МножительДетей+'03_Сеть'!AV46*CapacityAge25*МножительДетей</f>
        <v/>
      </c>
      <c r="AW120" s="116">
        <f>SUMPRODUCT('03_Сеть'!AW34:AW45,CapacityYear2)*МножительДетей+'03_Сеть'!AW46*CapacityAge25*МножительДетей</f>
        <v/>
      </c>
      <c r="AX120" s="116">
        <f>SUMPRODUCT('03_Сеть'!AX34:AX45,CapacityYear2)*МножительДетей+'03_Сеть'!AX46*CapacityAge25*МножительДетей</f>
        <v/>
      </c>
      <c r="AY120" s="116">
        <f>SUMPRODUCT('03_Сеть'!AY34:AY45,CapacityYear2)*МножительДетей+'03_Сеть'!AY46*CapacityAge25*МножительДетей</f>
        <v/>
      </c>
      <c r="AZ120" s="116">
        <f>SUMPRODUCT('03_Сеть'!AZ34:AZ45,CapacityYear2)*МножительДетей+'03_Сеть'!AZ46*CapacityAge25*МножительДетей</f>
        <v/>
      </c>
      <c r="BA120" s="116">
        <f>SUMPRODUCT('03_Сеть'!BA34:BA45,CapacityYear2)*МножительДетей+'03_Сеть'!BA46*CapacityAge25*МножительДетей</f>
        <v/>
      </c>
      <c r="BB120" s="116">
        <f>SUMPRODUCT('03_Сеть'!BB34:BB45,CapacityYear2)*МножительДетей+'03_Сеть'!BB46*CapacityAge25*МножительДетей</f>
        <v/>
      </c>
      <c r="BC120" s="116">
        <f>SUMPRODUCT('03_Сеть'!BC34:BC45,CapacityYear2)*МножительДетей+'03_Сеть'!BC46*CapacityAge25*МножительДетей</f>
        <v/>
      </c>
      <c r="BD120" s="116">
        <f>SUMPRODUCT('03_Сеть'!BD34:BD45,CapacityYear2)*МножительДетей+'03_Сеть'!BD46*CapacityAge25*МножительДетей</f>
        <v/>
      </c>
      <c r="BE120" s="116">
        <f>SUMPRODUCT('03_Сеть'!BE34:BE45,CapacityYear2)*МножительДетей+'03_Сеть'!BE46*CapacityAge25*МножительДетей</f>
        <v/>
      </c>
      <c r="BF120" s="116">
        <f>SUMPRODUCT('03_Сеть'!BF34:BF45,CapacityYear2)*МножительДетей+'03_Сеть'!BF46*CapacityAge25*МножительДетей</f>
        <v/>
      </c>
      <c r="BG120" s="116">
        <f>SUMPRODUCT('03_Сеть'!BG34:BG45,CapacityYear2)*МножительДетей+'03_Сеть'!BG46*CapacityAge25*МножительДетей</f>
        <v/>
      </c>
      <c r="BH120" s="116">
        <f>SUMPRODUCT('03_Сеть'!BH34:BH45,CapacityYear2)*МножительДетей+'03_Сеть'!BH46*CapacityAge25*МножительДетей</f>
        <v/>
      </c>
      <c r="BI120" s="116">
        <f>SUMPRODUCT('03_Сеть'!BI34:BI45,CapacityYear2)*МножительДетей+'03_Сеть'!BI46*CapacityAge25*МножительДетей</f>
        <v/>
      </c>
      <c r="BJ120" s="116">
        <f>SUMPRODUCT('03_Сеть'!BJ34:BJ45,CapacityYear2)*МножительДетей+'03_Сеть'!BJ46*CapacityAge25*МножительДетей</f>
        <v/>
      </c>
      <c r="BK120" s="116">
        <f>SUMPRODUCT('03_Сеть'!BK34:BK45,CapacityYear2)*МножительДетей+'03_Сеть'!BK46*CapacityAge25*МножительДетей</f>
        <v/>
      </c>
      <c r="BL120" s="116">
        <f>SUMPRODUCT('03_Сеть'!BL34:BL45,CapacityYear2)*МножительДетей+'03_Сеть'!BL46*CapacityAge25*МножительДетей</f>
        <v/>
      </c>
      <c r="BM120" s="116">
        <f>SUMPRODUCT('03_Сеть'!BM34:BM45,CapacityYear2)*МножительДетей+'03_Сеть'!BM46*CapacityAge25*МножительДетей</f>
        <v/>
      </c>
      <c r="BN120" s="116">
        <f>SUMPRODUCT('03_Сеть'!BN34:BN45,CapacityYear2)*МножительДетей+'03_Сеть'!BN46*CapacityAge25*МножительДетей</f>
        <v/>
      </c>
      <c r="BO120" s="116">
        <f>SUMPRODUCT('03_Сеть'!BO34:BO45,CapacityYear2)*МножительДетей+'03_Сеть'!BO46*CapacityAge25*МножительДетей</f>
        <v/>
      </c>
      <c r="BP120" s="116">
        <f>SUMPRODUCT('03_Сеть'!BP34:BP45,CapacityYear2)*МножительДетей+'03_Сеть'!BP46*CapacityAge25*МножительДетей</f>
        <v/>
      </c>
      <c r="BQ120" s="116">
        <f>SUMPRODUCT('03_Сеть'!BQ34:BQ45,CapacityYear2)*МножительДетей+'03_Сеть'!BQ46*CapacityAge25*МножительДетей</f>
        <v/>
      </c>
      <c r="BR120" s="116">
        <f>SUMPRODUCT('03_Сеть'!BR34:BR45,CapacityYear2)*МножительДетей+'03_Сеть'!BR46*CapacityAge25*МножительДетей</f>
        <v/>
      </c>
      <c r="BS120" s="116">
        <f>SUMPRODUCT('03_Сеть'!BS34:BS45,CapacityYear2)*МножительДетей+'03_Сеть'!BS46*CapacityAge25*МножительДетей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04" t="inlineStr"/>
      <c r="E121" s="114">
        <f>W121</f>
        <v/>
      </c>
      <c r="F121" s="114">
        <f>AI121</f>
        <v/>
      </c>
      <c r="G121" s="114">
        <f>AU121</f>
        <v/>
      </c>
      <c r="H121" s="114">
        <f>BG121</f>
        <v/>
      </c>
      <c r="I121" s="114">
        <f>BS121</f>
        <v/>
      </c>
      <c r="J121" s="115">
        <f>BS121</f>
        <v/>
      </c>
      <c r="L121" s="116">
        <f>SUM(L108:L119)+L120</f>
        <v/>
      </c>
      <c r="M121" s="116">
        <f>SUM(M108:M119)+M120</f>
        <v/>
      </c>
      <c r="N121" s="116">
        <f>SUM(N108:N119)+N120</f>
        <v/>
      </c>
      <c r="O121" s="116">
        <f>SUM(O108:O119)+O120</f>
        <v/>
      </c>
      <c r="P121" s="116">
        <f>SUM(P108:P119)+P120</f>
        <v/>
      </c>
      <c r="Q121" s="116">
        <f>SUM(Q108:Q119)+Q120</f>
        <v/>
      </c>
      <c r="R121" s="116">
        <f>SUM(R108:R119)+R120</f>
        <v/>
      </c>
      <c r="S121" s="116">
        <f>SUM(S108:S119)+S120</f>
        <v/>
      </c>
      <c r="T121" s="116">
        <f>SUM(T108:T119)+T120</f>
        <v/>
      </c>
      <c r="U121" s="116">
        <f>SUM(U108:U119)+U120</f>
        <v/>
      </c>
      <c r="V121" s="116">
        <f>SUM(V108:V119)+V120</f>
        <v/>
      </c>
      <c r="W121" s="116">
        <f>SUM(W108:W119)+W120</f>
        <v/>
      </c>
      <c r="X121" s="116">
        <f>SUM(X108:X119)+X120</f>
        <v/>
      </c>
      <c r="Y121" s="116">
        <f>SUM(Y108:Y119)+Y120</f>
        <v/>
      </c>
      <c r="Z121" s="116">
        <f>SUM(Z108:Z119)+Z120</f>
        <v/>
      </c>
      <c r="AA121" s="116">
        <f>SUM(AA108:AA119)+AA120</f>
        <v/>
      </c>
      <c r="AB121" s="116">
        <f>SUM(AB108:AB119)+AB120</f>
        <v/>
      </c>
      <c r="AC121" s="116">
        <f>SUM(AC108:AC119)+AC120</f>
        <v/>
      </c>
      <c r="AD121" s="116">
        <f>SUM(AD108:AD119)+AD120</f>
        <v/>
      </c>
      <c r="AE121" s="116">
        <f>SUM(AE108:AE119)+AE120</f>
        <v/>
      </c>
      <c r="AF121" s="116">
        <f>SUM(AF108:AF119)+AF120</f>
        <v/>
      </c>
      <c r="AG121" s="116">
        <f>SUM(AG108:AG119)+AG120</f>
        <v/>
      </c>
      <c r="AH121" s="116">
        <f>SUM(AH108:AH119)+AH120</f>
        <v/>
      </c>
      <c r="AI121" s="116">
        <f>SUM(AI108:AI119)+AI120</f>
        <v/>
      </c>
      <c r="AJ121" s="116">
        <f>SUM(AJ108:AJ119)+AJ120</f>
        <v/>
      </c>
      <c r="AK121" s="116">
        <f>SUM(AK108:AK119)+AK120</f>
        <v/>
      </c>
      <c r="AL121" s="116">
        <f>SUM(AL108:AL119)+AL120</f>
        <v/>
      </c>
      <c r="AM121" s="116">
        <f>SUM(AM108:AM119)+AM120</f>
        <v/>
      </c>
      <c r="AN121" s="116">
        <f>SUM(AN108:AN119)+AN120</f>
        <v/>
      </c>
      <c r="AO121" s="116">
        <f>SUM(AO108:AO119)+AO120</f>
        <v/>
      </c>
      <c r="AP121" s="116">
        <f>SUM(AP108:AP119)+AP120</f>
        <v/>
      </c>
      <c r="AQ121" s="116">
        <f>SUM(AQ108:AQ119)+AQ120</f>
        <v/>
      </c>
      <c r="AR121" s="116">
        <f>SUM(AR108:AR119)+AR120</f>
        <v/>
      </c>
      <c r="AS121" s="116">
        <f>SUM(AS108:AS119)+AS120</f>
        <v/>
      </c>
      <c r="AT121" s="116">
        <f>SUM(AT108:AT119)+AT120</f>
        <v/>
      </c>
      <c r="AU121" s="116">
        <f>SUM(AU108:AU119)+AU120</f>
        <v/>
      </c>
      <c r="AV121" s="116">
        <f>SUM(AV108:AV119)+AV120</f>
        <v/>
      </c>
      <c r="AW121" s="116">
        <f>SUM(AW108:AW119)+AW120</f>
        <v/>
      </c>
      <c r="AX121" s="116">
        <f>SUM(AX108:AX119)+AX120</f>
        <v/>
      </c>
      <c r="AY121" s="116">
        <f>SUM(AY108:AY119)+AY120</f>
        <v/>
      </c>
      <c r="AZ121" s="116">
        <f>SUM(AZ108:AZ119)+AZ120</f>
        <v/>
      </c>
      <c r="BA121" s="116">
        <f>SUM(BA108:BA119)+BA120</f>
        <v/>
      </c>
      <c r="BB121" s="116">
        <f>SUM(BB108:BB119)+BB120</f>
        <v/>
      </c>
      <c r="BC121" s="116">
        <f>SUM(BC108:BC119)+BC120</f>
        <v/>
      </c>
      <c r="BD121" s="116">
        <f>SUM(BD108:BD119)+BD120</f>
        <v/>
      </c>
      <c r="BE121" s="116">
        <f>SUM(BE108:BE119)+BE120</f>
        <v/>
      </c>
      <c r="BF121" s="116">
        <f>SUM(BF108:BF119)+BF120</f>
        <v/>
      </c>
      <c r="BG121" s="116">
        <f>SUM(BG108:BG119)+BG120</f>
        <v/>
      </c>
      <c r="BH121" s="116">
        <f>SUM(BH108:BH119)+BH120</f>
        <v/>
      </c>
      <c r="BI121" s="116">
        <f>SUM(BI108:BI119)+BI120</f>
        <v/>
      </c>
      <c r="BJ121" s="116">
        <f>SUM(BJ108:BJ119)+BJ120</f>
        <v/>
      </c>
      <c r="BK121" s="116">
        <f>SUM(BK108:BK119)+BK120</f>
        <v/>
      </c>
      <c r="BL121" s="116">
        <f>SUM(BL108:BL119)+BL120</f>
        <v/>
      </c>
      <c r="BM121" s="116">
        <f>SUM(BM108:BM119)+BM120</f>
        <v/>
      </c>
      <c r="BN121" s="116">
        <f>SUM(BN108:BN119)+BN120</f>
        <v/>
      </c>
      <c r="BO121" s="116">
        <f>SUM(BO108:BO119)+BO120</f>
        <v/>
      </c>
      <c r="BP121" s="116">
        <f>SUM(BP108:BP119)+BP120</f>
        <v/>
      </c>
      <c r="BQ121" s="116">
        <f>SUM(BQ108:BQ119)+BQ120</f>
        <v/>
      </c>
      <c r="BR121" s="116">
        <f>SUM(BR108:BR119)+BR120</f>
        <v/>
      </c>
      <c r="BS121" s="116">
        <f>SUM(BS108:BS119)+BS120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04" t="inlineStr">
        <is>
          <t>Комплекты для только что открывшихся школ: закупка растянута на три месяца после открытия</t>
        </is>
      </c>
      <c r="E122" s="114">
        <f>SUM(L122:W122)</f>
        <v/>
      </c>
      <c r="F122" s="114">
        <f>SUM(X122:AI122)</f>
        <v/>
      </c>
      <c r="G122" s="114">
        <f>SUM(AJ122:AU122)</f>
        <v/>
      </c>
      <c r="H122" s="114">
        <f>SUM(AV122:BG122)</f>
        <v/>
      </c>
      <c r="I122" s="114">
        <f>SUM(BH122:BS122)</f>
        <v/>
      </c>
      <c r="J122" s="115">
        <f>SUM(L122:BS122)</f>
        <v/>
      </c>
      <c r="L122" s="116">
        <f>0</f>
        <v/>
      </c>
      <c r="M122" s="116">
        <f>('03_Сеть'!L13*ПервичнаяМес1*КоэффСохранения)*ДетиК12Мес*КоэффМерча</f>
        <v/>
      </c>
      <c r="N122" s="116">
        <f>('03_Сеть'!M13*ПервичнаяМес1*КоэффСохранения+'03_Сеть'!L13*ПервичнаяМес2*КоэффСохранения^2)*ДетиК12Мес*КоэффМерча</f>
        <v/>
      </c>
      <c r="O122" s="116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116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116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116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116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116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116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116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116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116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116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116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116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116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116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116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116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116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116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116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116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116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116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116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116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116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116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116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116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116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116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116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116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116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116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116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116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116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116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116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116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116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116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116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116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116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116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116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116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116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116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116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116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116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116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116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116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04" t="inlineStr"/>
      <c r="E123" s="114">
        <f>SUM(L123:W123)</f>
        <v/>
      </c>
      <c r="F123" s="114">
        <f>SUM(X123:AI123)</f>
        <v/>
      </c>
      <c r="G123" s="114">
        <f>SUM(AJ123:AU123)</f>
        <v/>
      </c>
      <c r="H123" s="114">
        <f>SUM(AV123:BG123)</f>
        <v/>
      </c>
      <c r="I123" s="114">
        <f>SUM(BH123:BS123)</f>
        <v/>
      </c>
      <c r="J123" s="115">
        <f>SUM(L123:BS123)</f>
        <v/>
      </c>
      <c r="L123" s="116">
        <f>L121*КоэффМерча*L105</f>
        <v/>
      </c>
      <c r="M123" s="116">
        <f>M121*КоэффМерча*M105</f>
        <v/>
      </c>
      <c r="N123" s="116">
        <f>N121*КоэффМерча*N105</f>
        <v/>
      </c>
      <c r="O123" s="116">
        <f>O121*КоэффМерча*O105</f>
        <v/>
      </c>
      <c r="P123" s="116">
        <f>P121*КоэффМерча*P105</f>
        <v/>
      </c>
      <c r="Q123" s="116">
        <f>Q121*КоэффМерча*Q105</f>
        <v/>
      </c>
      <c r="R123" s="116">
        <f>R121*КоэффМерча*R105</f>
        <v/>
      </c>
      <c r="S123" s="116">
        <f>S121*КоэффМерча*S105</f>
        <v/>
      </c>
      <c r="T123" s="116">
        <f>T121*КоэффМерча*T105</f>
        <v/>
      </c>
      <c r="U123" s="116">
        <f>U121*КоэффМерча*U105</f>
        <v/>
      </c>
      <c r="V123" s="116">
        <f>V121*КоэффМерча*V105</f>
        <v/>
      </c>
      <c r="W123" s="116">
        <f>W121*КоэффМерча*W105</f>
        <v/>
      </c>
      <c r="X123" s="116">
        <f>X121*КоэффМерча*X105</f>
        <v/>
      </c>
      <c r="Y123" s="116">
        <f>Y121*КоэффМерча*Y105</f>
        <v/>
      </c>
      <c r="Z123" s="116">
        <f>Z121*КоэффМерча*Z105</f>
        <v/>
      </c>
      <c r="AA123" s="116">
        <f>AA121*КоэффМерча*AA105</f>
        <v/>
      </c>
      <c r="AB123" s="116">
        <f>AB121*КоэффМерча*AB105</f>
        <v/>
      </c>
      <c r="AC123" s="116">
        <f>AC121*КоэффМерча*AC105</f>
        <v/>
      </c>
      <c r="AD123" s="116">
        <f>AD121*КоэффМерча*AD105</f>
        <v/>
      </c>
      <c r="AE123" s="116">
        <f>AE121*КоэффМерча*AE105</f>
        <v/>
      </c>
      <c r="AF123" s="116">
        <f>AF121*КоэффМерча*AF105</f>
        <v/>
      </c>
      <c r="AG123" s="116">
        <f>AG121*КоэффМерча*AG105</f>
        <v/>
      </c>
      <c r="AH123" s="116">
        <f>AH121*КоэффМерча*AH105</f>
        <v/>
      </c>
      <c r="AI123" s="116">
        <f>AI121*КоэффМерча*AI105</f>
        <v/>
      </c>
      <c r="AJ123" s="116">
        <f>AJ121*КоэффМерча*AJ105</f>
        <v/>
      </c>
      <c r="AK123" s="116">
        <f>AK121*КоэффМерча*AK105</f>
        <v/>
      </c>
      <c r="AL123" s="116">
        <f>AL121*КоэффМерча*AL105</f>
        <v/>
      </c>
      <c r="AM123" s="116">
        <f>AM121*КоэффМерча*AM105</f>
        <v/>
      </c>
      <c r="AN123" s="116">
        <f>AN121*КоэффМерча*AN105</f>
        <v/>
      </c>
      <c r="AO123" s="116">
        <f>AO121*КоэффМерча*AO105</f>
        <v/>
      </c>
      <c r="AP123" s="116">
        <f>AP121*КоэффМерча*AP105</f>
        <v/>
      </c>
      <c r="AQ123" s="116">
        <f>AQ121*КоэффМерча*AQ105</f>
        <v/>
      </c>
      <c r="AR123" s="116">
        <f>AR121*КоэффМерча*AR105</f>
        <v/>
      </c>
      <c r="AS123" s="116">
        <f>AS121*КоэффМерча*AS105</f>
        <v/>
      </c>
      <c r="AT123" s="116">
        <f>AT121*КоэффМерча*AT105</f>
        <v/>
      </c>
      <c r="AU123" s="116">
        <f>AU121*КоэффМерча*AU105</f>
        <v/>
      </c>
      <c r="AV123" s="116">
        <f>AV121*КоэффМерча*AV105</f>
        <v/>
      </c>
      <c r="AW123" s="116">
        <f>AW121*КоэффМерча*AW105</f>
        <v/>
      </c>
      <c r="AX123" s="116">
        <f>AX121*КоэффМерча*AX105</f>
        <v/>
      </c>
      <c r="AY123" s="116">
        <f>AY121*КоэффМерча*AY105</f>
        <v/>
      </c>
      <c r="AZ123" s="116">
        <f>AZ121*КоэффМерча*AZ105</f>
        <v/>
      </c>
      <c r="BA123" s="116">
        <f>BA121*КоэффМерча*BA105</f>
        <v/>
      </c>
      <c r="BB123" s="116">
        <f>BB121*КоэффМерча*BB105</f>
        <v/>
      </c>
      <c r="BC123" s="116">
        <f>BC121*КоэффМерча*BC105</f>
        <v/>
      </c>
      <c r="BD123" s="116">
        <f>BD121*КоэффМерча*BD105</f>
        <v/>
      </c>
      <c r="BE123" s="116">
        <f>BE121*КоэффМерча*BE105</f>
        <v/>
      </c>
      <c r="BF123" s="116">
        <f>BF121*КоэффМерча*BF105</f>
        <v/>
      </c>
      <c r="BG123" s="116">
        <f>BG121*КоэффМерча*BG105</f>
        <v/>
      </c>
      <c r="BH123" s="116">
        <f>BH121*КоэффМерча*BH105</f>
        <v/>
      </c>
      <c r="BI123" s="116">
        <f>BI121*КоэффМерча*BI105</f>
        <v/>
      </c>
      <c r="BJ123" s="116">
        <f>BJ121*КоэффМерча*BJ105</f>
        <v/>
      </c>
      <c r="BK123" s="116">
        <f>BK121*КоэффМерча*BK105</f>
        <v/>
      </c>
      <c r="BL123" s="116">
        <f>BL121*КоэффМерча*BL105</f>
        <v/>
      </c>
      <c r="BM123" s="116">
        <f>BM121*КоэффМерча*BM105</f>
        <v/>
      </c>
      <c r="BN123" s="116">
        <f>BN121*КоэффМерча*BN105</f>
        <v/>
      </c>
      <c r="BO123" s="116">
        <f>BO121*КоэффМерча*BO105</f>
        <v/>
      </c>
      <c r="BP123" s="116">
        <f>BP121*КоэффМерча*BP105</f>
        <v/>
      </c>
      <c r="BQ123" s="116">
        <f>BQ121*КоэффМерча*BQ105</f>
        <v/>
      </c>
      <c r="BR123" s="116">
        <f>BR121*КоэффМерча*BR105</f>
        <v/>
      </c>
      <c r="BS123" s="116">
        <f>BS121*КоэффМерча*BS105</f>
        <v/>
      </c>
    </row>
    <row r="125">
      <c r="B125" s="102" t="inlineStr">
        <is>
          <t>Мерч: деньги</t>
        </is>
      </c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  <c r="AA125" s="103" t="n"/>
      <c r="AB125" s="103" t="n"/>
      <c r="AC125" s="103" t="n"/>
      <c r="AD125" s="103" t="n"/>
      <c r="AE125" s="103" t="n"/>
      <c r="AF125" s="103" t="n"/>
      <c r="AG125" s="103" t="n"/>
      <c r="AH125" s="103" t="n"/>
      <c r="AI125" s="103" t="n"/>
      <c r="AJ125" s="103" t="n"/>
      <c r="AK125" s="103" t="n"/>
      <c r="AL125" s="103" t="n"/>
      <c r="AM125" s="103" t="n"/>
      <c r="AN125" s="103" t="n"/>
      <c r="AO125" s="103" t="n"/>
      <c r="AP125" s="103" t="n"/>
      <c r="AQ125" s="103" t="n"/>
      <c r="AR125" s="103" t="n"/>
      <c r="AS125" s="103" t="n"/>
      <c r="AT125" s="103" t="n"/>
      <c r="AU125" s="103" t="n"/>
      <c r="AV125" s="103" t="n"/>
      <c r="AW125" s="103" t="n"/>
      <c r="AX125" s="103" t="n"/>
      <c r="AY125" s="103" t="n"/>
      <c r="AZ125" s="103" t="n"/>
      <c r="BA125" s="103" t="n"/>
      <c r="BB125" s="103" t="n"/>
      <c r="BC125" s="103" t="n"/>
      <c r="BD125" s="103" t="n"/>
      <c r="BE125" s="103" t="n"/>
      <c r="BF125" s="103" t="n"/>
      <c r="BG125" s="103" t="n"/>
      <c r="BH125" s="103" t="n"/>
      <c r="BI125" s="103" t="n"/>
      <c r="BJ125" s="103" t="n"/>
      <c r="BK125" s="103" t="n"/>
      <c r="BL125" s="103" t="n"/>
      <c r="BM125" s="103" t="n"/>
      <c r="BN125" s="103" t="n"/>
      <c r="BO125" s="103" t="n"/>
      <c r="BP125" s="103" t="n"/>
      <c r="BQ125" s="103" t="n"/>
      <c r="BR125" s="103" t="n"/>
      <c r="BS125" s="103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04" t="inlineStr"/>
      <c r="E126" s="128">
        <f>SUM(L126:W126)</f>
        <v/>
      </c>
      <c r="F126" s="128">
        <f>SUM(X126:AI126)</f>
        <v/>
      </c>
      <c r="G126" s="128">
        <f>SUM(AJ126:AU126)</f>
        <v/>
      </c>
      <c r="H126" s="128">
        <f>SUM(AV126:BG126)</f>
        <v/>
      </c>
      <c r="I126" s="128">
        <f>SUM(BH126:BS126)</f>
        <v/>
      </c>
      <c r="J126" s="129">
        <f>SUM(L126:BS126)</f>
        <v/>
      </c>
      <c r="L126" s="130">
        <f>(L122+L123)*'07_Тарифы'!B$10</f>
        <v/>
      </c>
      <c r="M126" s="130">
        <f>(M122+M123)*'07_Тарифы'!C$10</f>
        <v/>
      </c>
      <c r="N126" s="130">
        <f>(N122+N123)*'07_Тарифы'!D$10</f>
        <v/>
      </c>
      <c r="O126" s="130">
        <f>(O122+O123)*'07_Тарифы'!E$10</f>
        <v/>
      </c>
      <c r="P126" s="130">
        <f>(P122+P123)*'07_Тарифы'!F$10</f>
        <v/>
      </c>
      <c r="Q126" s="130">
        <f>(Q122+Q123)*'07_Тарифы'!G$10</f>
        <v/>
      </c>
      <c r="R126" s="130">
        <f>(R122+R123)*'07_Тарифы'!H$10</f>
        <v/>
      </c>
      <c r="S126" s="130">
        <f>(S122+S123)*'07_Тарифы'!I$10</f>
        <v/>
      </c>
      <c r="T126" s="130">
        <f>(T122+T123)*'07_Тарифы'!J$10</f>
        <v/>
      </c>
      <c r="U126" s="130">
        <f>(U122+U123)*'07_Тарифы'!K$10</f>
        <v/>
      </c>
      <c r="V126" s="130">
        <f>(V122+V123)*'07_Тарифы'!L$10</f>
        <v/>
      </c>
      <c r="W126" s="130">
        <f>(W122+W123)*'07_Тарифы'!M$10</f>
        <v/>
      </c>
      <c r="X126" s="130">
        <f>(X122+X123)*'07_Тарифы'!N$10</f>
        <v/>
      </c>
      <c r="Y126" s="130">
        <f>(Y122+Y123)*'07_Тарифы'!O$10</f>
        <v/>
      </c>
      <c r="Z126" s="130">
        <f>(Z122+Z123)*'07_Тарифы'!P$10</f>
        <v/>
      </c>
      <c r="AA126" s="130">
        <f>(AA122+AA123)*'07_Тарифы'!Q$10</f>
        <v/>
      </c>
      <c r="AB126" s="130">
        <f>(AB122+AB123)*'07_Тарифы'!R$10</f>
        <v/>
      </c>
      <c r="AC126" s="130">
        <f>(AC122+AC123)*'07_Тарифы'!S$10</f>
        <v/>
      </c>
      <c r="AD126" s="130">
        <f>(AD122+AD123)*'07_Тарифы'!T$10</f>
        <v/>
      </c>
      <c r="AE126" s="130">
        <f>(AE122+AE123)*'07_Тарифы'!U$10</f>
        <v/>
      </c>
      <c r="AF126" s="130">
        <f>(AF122+AF123)*'07_Тарифы'!V$10</f>
        <v/>
      </c>
      <c r="AG126" s="130">
        <f>(AG122+AG123)*'07_Тарифы'!W$10</f>
        <v/>
      </c>
      <c r="AH126" s="130">
        <f>(AH122+AH123)*'07_Тарифы'!X$10</f>
        <v/>
      </c>
      <c r="AI126" s="130">
        <f>(AI122+AI123)*'07_Тарифы'!Y$10</f>
        <v/>
      </c>
      <c r="AJ126" s="130">
        <f>(AJ122+AJ123)*'07_Тарифы'!Z$10</f>
        <v/>
      </c>
      <c r="AK126" s="130">
        <f>(AK122+AK123)*'07_Тарифы'!AA$10</f>
        <v/>
      </c>
      <c r="AL126" s="130">
        <f>(AL122+AL123)*'07_Тарифы'!AB$10</f>
        <v/>
      </c>
      <c r="AM126" s="130">
        <f>(AM122+AM123)*'07_Тарифы'!AC$10</f>
        <v/>
      </c>
      <c r="AN126" s="130">
        <f>(AN122+AN123)*'07_Тарифы'!AD$10</f>
        <v/>
      </c>
      <c r="AO126" s="130">
        <f>(AO122+AO123)*'07_Тарифы'!AE$10</f>
        <v/>
      </c>
      <c r="AP126" s="130">
        <f>(AP122+AP123)*'07_Тарифы'!AF$10</f>
        <v/>
      </c>
      <c r="AQ126" s="130">
        <f>(AQ122+AQ123)*'07_Тарифы'!AG$10</f>
        <v/>
      </c>
      <c r="AR126" s="130">
        <f>(AR122+AR123)*'07_Тарифы'!AH$10</f>
        <v/>
      </c>
      <c r="AS126" s="130">
        <f>(AS122+AS123)*'07_Тарифы'!AI$10</f>
        <v/>
      </c>
      <c r="AT126" s="130">
        <f>(AT122+AT123)*'07_Тарифы'!AJ$10</f>
        <v/>
      </c>
      <c r="AU126" s="130">
        <f>(AU122+AU123)*'07_Тарифы'!AK$10</f>
        <v/>
      </c>
      <c r="AV126" s="130">
        <f>(AV122+AV123)*'07_Тарифы'!AL$10</f>
        <v/>
      </c>
      <c r="AW126" s="130">
        <f>(AW122+AW123)*'07_Тарифы'!AM$10</f>
        <v/>
      </c>
      <c r="AX126" s="130">
        <f>(AX122+AX123)*'07_Тарифы'!AN$10</f>
        <v/>
      </c>
      <c r="AY126" s="130">
        <f>(AY122+AY123)*'07_Тарифы'!AO$10</f>
        <v/>
      </c>
      <c r="AZ126" s="130">
        <f>(AZ122+AZ123)*'07_Тарифы'!AP$10</f>
        <v/>
      </c>
      <c r="BA126" s="130">
        <f>(BA122+BA123)*'07_Тарифы'!AQ$10</f>
        <v/>
      </c>
      <c r="BB126" s="130">
        <f>(BB122+BB123)*'07_Тарифы'!AR$10</f>
        <v/>
      </c>
      <c r="BC126" s="130">
        <f>(BC122+BC123)*'07_Тарифы'!AS$10</f>
        <v/>
      </c>
      <c r="BD126" s="130">
        <f>(BD122+BD123)*'07_Тарифы'!AT$10</f>
        <v/>
      </c>
      <c r="BE126" s="130">
        <f>(BE122+BE123)*'07_Тарифы'!AU$10</f>
        <v/>
      </c>
      <c r="BF126" s="130">
        <f>(BF122+BF123)*'07_Тарифы'!AV$10</f>
        <v/>
      </c>
      <c r="BG126" s="130">
        <f>(BG122+BG123)*'07_Тарифы'!AW$10</f>
        <v/>
      </c>
      <c r="BH126" s="130">
        <f>(BH122+BH123)*'07_Тарифы'!AX$10</f>
        <v/>
      </c>
      <c r="BI126" s="130">
        <f>(BI122+BI123)*'07_Тарифы'!AY$10</f>
        <v/>
      </c>
      <c r="BJ126" s="130">
        <f>(BJ122+BJ123)*'07_Тарифы'!AZ$10</f>
        <v/>
      </c>
      <c r="BK126" s="130">
        <f>(BK122+BK123)*'07_Тарифы'!BA$10</f>
        <v/>
      </c>
      <c r="BL126" s="130">
        <f>(BL122+BL123)*'07_Тарифы'!BB$10</f>
        <v/>
      </c>
      <c r="BM126" s="130">
        <f>(BM122+BM123)*'07_Тарифы'!BC$10</f>
        <v/>
      </c>
      <c r="BN126" s="130">
        <f>(BN122+BN123)*'07_Тарифы'!BD$10</f>
        <v/>
      </c>
      <c r="BO126" s="130">
        <f>(BO122+BO123)*'07_Тарифы'!BE$10</f>
        <v/>
      </c>
      <c r="BP126" s="130">
        <f>(BP122+BP123)*'07_Тарифы'!BF$10</f>
        <v/>
      </c>
      <c r="BQ126" s="130">
        <f>(BQ122+BQ123)*'07_Тарифы'!BG$10</f>
        <v/>
      </c>
      <c r="BR126" s="130">
        <f>(BR122+BR123)*'07_Тарифы'!BH$10</f>
        <v/>
      </c>
      <c r="BS126" s="130">
        <f>(BS122+BS123)*'07_Тарифы'!BI$10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04" t="inlineStr"/>
      <c r="E127" s="128">
        <f>SUM(L127:W127)</f>
        <v/>
      </c>
      <c r="F127" s="128">
        <f>SUM(X127:AI127)</f>
        <v/>
      </c>
      <c r="G127" s="128">
        <f>SUM(AJ127:AU127)</f>
        <v/>
      </c>
      <c r="H127" s="128">
        <f>SUM(AV127:BG127)</f>
        <v/>
      </c>
      <c r="I127" s="128">
        <f>SUM(BH127:BS127)</f>
        <v/>
      </c>
      <c r="J127" s="129">
        <f>SUM(L127:BS127)</f>
        <v/>
      </c>
      <c r="L127" s="130">
        <f>(L122+L123)*'07_Тарифы'!B$9</f>
        <v/>
      </c>
      <c r="M127" s="130">
        <f>(M122+M123)*'07_Тарифы'!C$9</f>
        <v/>
      </c>
      <c r="N127" s="130">
        <f>(N122+N123)*'07_Тарифы'!D$9</f>
        <v/>
      </c>
      <c r="O127" s="130">
        <f>(O122+O123)*'07_Тарифы'!E$9</f>
        <v/>
      </c>
      <c r="P127" s="130">
        <f>(P122+P123)*'07_Тарифы'!F$9</f>
        <v/>
      </c>
      <c r="Q127" s="130">
        <f>(Q122+Q123)*'07_Тарифы'!G$9</f>
        <v/>
      </c>
      <c r="R127" s="130">
        <f>(R122+R123)*'07_Тарифы'!H$9</f>
        <v/>
      </c>
      <c r="S127" s="130">
        <f>(S122+S123)*'07_Тарифы'!I$9</f>
        <v/>
      </c>
      <c r="T127" s="130">
        <f>(T122+T123)*'07_Тарифы'!J$9</f>
        <v/>
      </c>
      <c r="U127" s="130">
        <f>(U122+U123)*'07_Тарифы'!K$9</f>
        <v/>
      </c>
      <c r="V127" s="130">
        <f>(V122+V123)*'07_Тарифы'!L$9</f>
        <v/>
      </c>
      <c r="W127" s="130">
        <f>(W122+W123)*'07_Тарифы'!M$9</f>
        <v/>
      </c>
      <c r="X127" s="130">
        <f>(X122+X123)*'07_Тарифы'!N$9</f>
        <v/>
      </c>
      <c r="Y127" s="130">
        <f>(Y122+Y123)*'07_Тарифы'!O$9</f>
        <v/>
      </c>
      <c r="Z127" s="130">
        <f>(Z122+Z123)*'07_Тарифы'!P$9</f>
        <v/>
      </c>
      <c r="AA127" s="130">
        <f>(AA122+AA123)*'07_Тарифы'!Q$9</f>
        <v/>
      </c>
      <c r="AB127" s="130">
        <f>(AB122+AB123)*'07_Тарифы'!R$9</f>
        <v/>
      </c>
      <c r="AC127" s="130">
        <f>(AC122+AC123)*'07_Тарифы'!S$9</f>
        <v/>
      </c>
      <c r="AD127" s="130">
        <f>(AD122+AD123)*'07_Тарифы'!T$9</f>
        <v/>
      </c>
      <c r="AE127" s="130">
        <f>(AE122+AE123)*'07_Тарифы'!U$9</f>
        <v/>
      </c>
      <c r="AF127" s="130">
        <f>(AF122+AF123)*'07_Тарифы'!V$9</f>
        <v/>
      </c>
      <c r="AG127" s="130">
        <f>(AG122+AG123)*'07_Тарифы'!W$9</f>
        <v/>
      </c>
      <c r="AH127" s="130">
        <f>(AH122+AH123)*'07_Тарифы'!X$9</f>
        <v/>
      </c>
      <c r="AI127" s="130">
        <f>(AI122+AI123)*'07_Тарифы'!Y$9</f>
        <v/>
      </c>
      <c r="AJ127" s="130">
        <f>(AJ122+AJ123)*'07_Тарифы'!Z$9</f>
        <v/>
      </c>
      <c r="AK127" s="130">
        <f>(AK122+AK123)*'07_Тарифы'!AA$9</f>
        <v/>
      </c>
      <c r="AL127" s="130">
        <f>(AL122+AL123)*'07_Тарифы'!AB$9</f>
        <v/>
      </c>
      <c r="AM127" s="130">
        <f>(AM122+AM123)*'07_Тарифы'!AC$9</f>
        <v/>
      </c>
      <c r="AN127" s="130">
        <f>(AN122+AN123)*'07_Тарифы'!AD$9</f>
        <v/>
      </c>
      <c r="AO127" s="130">
        <f>(AO122+AO123)*'07_Тарифы'!AE$9</f>
        <v/>
      </c>
      <c r="AP127" s="130">
        <f>(AP122+AP123)*'07_Тарифы'!AF$9</f>
        <v/>
      </c>
      <c r="AQ127" s="130">
        <f>(AQ122+AQ123)*'07_Тарифы'!AG$9</f>
        <v/>
      </c>
      <c r="AR127" s="130">
        <f>(AR122+AR123)*'07_Тарифы'!AH$9</f>
        <v/>
      </c>
      <c r="AS127" s="130">
        <f>(AS122+AS123)*'07_Тарифы'!AI$9</f>
        <v/>
      </c>
      <c r="AT127" s="130">
        <f>(AT122+AT123)*'07_Тарифы'!AJ$9</f>
        <v/>
      </c>
      <c r="AU127" s="130">
        <f>(AU122+AU123)*'07_Тарифы'!AK$9</f>
        <v/>
      </c>
      <c r="AV127" s="130">
        <f>(AV122+AV123)*'07_Тарифы'!AL$9</f>
        <v/>
      </c>
      <c r="AW127" s="130">
        <f>(AW122+AW123)*'07_Тарифы'!AM$9</f>
        <v/>
      </c>
      <c r="AX127" s="130">
        <f>(AX122+AX123)*'07_Тарифы'!AN$9</f>
        <v/>
      </c>
      <c r="AY127" s="130">
        <f>(AY122+AY123)*'07_Тарифы'!AO$9</f>
        <v/>
      </c>
      <c r="AZ127" s="130">
        <f>(AZ122+AZ123)*'07_Тарифы'!AP$9</f>
        <v/>
      </c>
      <c r="BA127" s="130">
        <f>(BA122+BA123)*'07_Тарифы'!AQ$9</f>
        <v/>
      </c>
      <c r="BB127" s="130">
        <f>(BB122+BB123)*'07_Тарифы'!AR$9</f>
        <v/>
      </c>
      <c r="BC127" s="130">
        <f>(BC122+BC123)*'07_Тарифы'!AS$9</f>
        <v/>
      </c>
      <c r="BD127" s="130">
        <f>(BD122+BD123)*'07_Тарифы'!AT$9</f>
        <v/>
      </c>
      <c r="BE127" s="130">
        <f>(BE122+BE123)*'07_Тарифы'!AU$9</f>
        <v/>
      </c>
      <c r="BF127" s="130">
        <f>(BF122+BF123)*'07_Тарифы'!AV$9</f>
        <v/>
      </c>
      <c r="BG127" s="130">
        <f>(BG122+BG123)*'07_Тарифы'!AW$9</f>
        <v/>
      </c>
      <c r="BH127" s="130">
        <f>(BH122+BH123)*'07_Тарифы'!AX$9</f>
        <v/>
      </c>
      <c r="BI127" s="130">
        <f>(BI122+BI123)*'07_Тарифы'!AY$9</f>
        <v/>
      </c>
      <c r="BJ127" s="130">
        <f>(BJ122+BJ123)*'07_Тарифы'!AZ$9</f>
        <v/>
      </c>
      <c r="BK127" s="130">
        <f>(BK122+BK123)*'07_Тарифы'!BA$9</f>
        <v/>
      </c>
      <c r="BL127" s="130">
        <f>(BL122+BL123)*'07_Тарифы'!BB$9</f>
        <v/>
      </c>
      <c r="BM127" s="130">
        <f>(BM122+BM123)*'07_Тарифы'!BC$9</f>
        <v/>
      </c>
      <c r="BN127" s="130">
        <f>(BN122+BN123)*'07_Тарифы'!BD$9</f>
        <v/>
      </c>
      <c r="BO127" s="130">
        <f>(BO122+BO123)*'07_Тарифы'!BE$9</f>
        <v/>
      </c>
      <c r="BP127" s="130">
        <f>(BP122+BP123)*'07_Тарифы'!BF$9</f>
        <v/>
      </c>
      <c r="BQ127" s="130">
        <f>(BQ122+BQ123)*'07_Тарифы'!BG$9</f>
        <v/>
      </c>
      <c r="BR127" s="130">
        <f>(BR122+BR123)*'07_Тарифы'!BH$9</f>
        <v/>
      </c>
      <c r="BS127" s="130">
        <f>(BS122+BS123)*'07_Тарифы'!BI$9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04" t="inlineStr"/>
      <c r="E128" s="128">
        <f>SUM(L128:W128)</f>
        <v/>
      </c>
      <c r="F128" s="128">
        <f>SUM(X128:AI128)</f>
        <v/>
      </c>
      <c r="G128" s="128">
        <f>SUM(AJ128:AU128)</f>
        <v/>
      </c>
      <c r="H128" s="128">
        <f>SUM(AV128:BG128)</f>
        <v/>
      </c>
      <c r="I128" s="128">
        <f>SUM(BH128:BS128)</f>
        <v/>
      </c>
      <c r="J128" s="129">
        <f>SUM(L128:BS128)</f>
        <v/>
      </c>
      <c r="L128" s="130">
        <f>'01_Вводные'!B$100</f>
        <v/>
      </c>
      <c r="M128" s="130">
        <f>'01_Вводные'!C$100</f>
        <v/>
      </c>
      <c r="N128" s="130">
        <f>'01_Вводные'!D$100</f>
        <v/>
      </c>
      <c r="O128" s="130">
        <f>'01_Вводные'!E$100</f>
        <v/>
      </c>
      <c r="P128" s="130">
        <f>P106*'07_Тарифы'!F$10</f>
        <v/>
      </c>
      <c r="Q128" s="130">
        <f>Q106*'07_Тарифы'!G$10</f>
        <v/>
      </c>
      <c r="R128" s="130">
        <f>R106*'07_Тарифы'!H$10</f>
        <v/>
      </c>
      <c r="S128" s="130">
        <f>S106*'07_Тарифы'!I$10</f>
        <v/>
      </c>
      <c r="T128" s="130">
        <f>T106*'07_Тарифы'!J$10</f>
        <v/>
      </c>
      <c r="U128" s="130">
        <f>U106*'07_Тарифы'!K$10</f>
        <v/>
      </c>
      <c r="V128" s="130">
        <f>V106*'07_Тарифы'!L$10</f>
        <v/>
      </c>
      <c r="W128" s="130">
        <f>W106*'07_Тарифы'!M$10</f>
        <v/>
      </c>
      <c r="X128" s="130">
        <f>X106*'07_Тарифы'!N$10</f>
        <v/>
      </c>
      <c r="Y128" s="130">
        <f>Y106*'07_Тарифы'!O$10</f>
        <v/>
      </c>
      <c r="Z128" s="130">
        <f>Z106*'07_Тарифы'!P$10</f>
        <v/>
      </c>
      <c r="AA128" s="130">
        <f>AA106*'07_Тарифы'!Q$10</f>
        <v/>
      </c>
      <c r="AB128" s="130">
        <f>AB106*'07_Тарифы'!R$10</f>
        <v/>
      </c>
      <c r="AC128" s="130">
        <f>AC106*'07_Тарифы'!S$10</f>
        <v/>
      </c>
      <c r="AD128" s="130">
        <f>AD106*'07_Тарифы'!T$10</f>
        <v/>
      </c>
      <c r="AE128" s="130">
        <f>AE106*'07_Тарифы'!U$10</f>
        <v/>
      </c>
      <c r="AF128" s="130">
        <f>AF106*'07_Тарифы'!V$10</f>
        <v/>
      </c>
      <c r="AG128" s="130">
        <f>AG106*'07_Тарифы'!W$10</f>
        <v/>
      </c>
      <c r="AH128" s="130">
        <f>AH106*'07_Тарифы'!X$10</f>
        <v/>
      </c>
      <c r="AI128" s="130">
        <f>AI106*'07_Тарифы'!Y$10</f>
        <v/>
      </c>
      <c r="AJ128" s="130">
        <f>AJ106*'07_Тарифы'!Z$10</f>
        <v/>
      </c>
      <c r="AK128" s="130">
        <f>AK106*'07_Тарифы'!AA$10</f>
        <v/>
      </c>
      <c r="AL128" s="130">
        <f>AL106*'07_Тарифы'!AB$10</f>
        <v/>
      </c>
      <c r="AM128" s="130">
        <f>AM106*'07_Тарифы'!AC$10</f>
        <v/>
      </c>
      <c r="AN128" s="130">
        <f>AN106*'07_Тарифы'!AD$10</f>
        <v/>
      </c>
      <c r="AO128" s="130">
        <f>AO106*'07_Тарифы'!AE$10</f>
        <v/>
      </c>
      <c r="AP128" s="130">
        <f>AP106*'07_Тарифы'!AF$10</f>
        <v/>
      </c>
      <c r="AQ128" s="130">
        <f>AQ106*'07_Тарифы'!AG$10</f>
        <v/>
      </c>
      <c r="AR128" s="130">
        <f>AR106*'07_Тарифы'!AH$10</f>
        <v/>
      </c>
      <c r="AS128" s="130">
        <f>AS106*'07_Тарифы'!AI$10</f>
        <v/>
      </c>
      <c r="AT128" s="130">
        <f>AT106*'07_Тарифы'!AJ$10</f>
        <v/>
      </c>
      <c r="AU128" s="130">
        <f>AU106*'07_Тарифы'!AK$10</f>
        <v/>
      </c>
      <c r="AV128" s="130">
        <f>AV106*'07_Тарифы'!AL$10</f>
        <v/>
      </c>
      <c r="AW128" s="130">
        <f>AW106*'07_Тарифы'!AM$10</f>
        <v/>
      </c>
      <c r="AX128" s="130">
        <f>AX106*'07_Тарифы'!AN$10</f>
        <v/>
      </c>
      <c r="AY128" s="130">
        <f>AY106*'07_Тарифы'!AO$10</f>
        <v/>
      </c>
      <c r="AZ128" s="130">
        <f>AZ106*'07_Тарифы'!AP$10</f>
        <v/>
      </c>
      <c r="BA128" s="130">
        <f>BA106*'07_Тарифы'!AQ$10</f>
        <v/>
      </c>
      <c r="BB128" s="130">
        <f>BB106*'07_Тарифы'!AR$10</f>
        <v/>
      </c>
      <c r="BC128" s="130">
        <f>BC106*'07_Тарифы'!AS$10</f>
        <v/>
      </c>
      <c r="BD128" s="130">
        <f>BD106*'07_Тарифы'!AT$10</f>
        <v/>
      </c>
      <c r="BE128" s="130">
        <f>BE106*'07_Тарифы'!AU$10</f>
        <v/>
      </c>
      <c r="BF128" s="130">
        <f>BF106*'07_Тарифы'!AV$10</f>
        <v/>
      </c>
      <c r="BG128" s="130">
        <f>BG106*'07_Тарифы'!AW$10</f>
        <v/>
      </c>
      <c r="BH128" s="130">
        <f>BH106*'07_Тарифы'!AX$10</f>
        <v/>
      </c>
      <c r="BI128" s="130">
        <f>BI106*'07_Тарифы'!AY$10</f>
        <v/>
      </c>
      <c r="BJ128" s="130">
        <f>BJ106*'07_Тарифы'!AZ$10</f>
        <v/>
      </c>
      <c r="BK128" s="130">
        <f>BK106*'07_Тарифы'!BA$10</f>
        <v/>
      </c>
      <c r="BL128" s="130">
        <f>BL106*'07_Тарифы'!BB$10</f>
        <v/>
      </c>
      <c r="BM128" s="130">
        <f>BM106*'07_Тарифы'!BC$10</f>
        <v/>
      </c>
      <c r="BN128" s="130">
        <f>BN106*'07_Тарифы'!BD$10</f>
        <v/>
      </c>
      <c r="BO128" s="130">
        <f>BO106*'07_Тарифы'!BE$10</f>
        <v/>
      </c>
      <c r="BP128" s="130">
        <f>BP106*'07_Тарифы'!BF$10</f>
        <v/>
      </c>
      <c r="BQ128" s="130">
        <f>BQ106*'07_Тарифы'!BG$10</f>
        <v/>
      </c>
      <c r="BR128" s="130">
        <f>BR106*'07_Тарифы'!BH$10</f>
        <v/>
      </c>
      <c r="BS128" s="130">
        <f>BS106*'07_Тарифы'!BI$10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04" t="inlineStr"/>
      <c r="E129" s="128">
        <f>SUM(L129:W129)</f>
        <v/>
      </c>
      <c r="F129" s="128">
        <f>SUM(X129:AI129)</f>
        <v/>
      </c>
      <c r="G129" s="128">
        <f>SUM(AJ129:AU129)</f>
        <v/>
      </c>
      <c r="H129" s="128">
        <f>SUM(AV129:BG129)</f>
        <v/>
      </c>
      <c r="I129" s="128">
        <f>SUM(BH129:BS129)</f>
        <v/>
      </c>
      <c r="J129" s="129">
        <f>SUM(L129:BS129)</f>
        <v/>
      </c>
      <c r="L129" s="130">
        <f>'01_Вводные'!B$101</f>
        <v/>
      </c>
      <c r="M129" s="130">
        <f>'01_Вводные'!C$101</f>
        <v/>
      </c>
      <c r="N129" s="130">
        <f>'01_Вводные'!D$101</f>
        <v/>
      </c>
      <c r="O129" s="130">
        <f>'01_Вводные'!E$101</f>
        <v/>
      </c>
      <c r="P129" s="130">
        <f>P106*'07_Тарифы'!F$9</f>
        <v/>
      </c>
      <c r="Q129" s="130">
        <f>Q106*'07_Тарифы'!G$9</f>
        <v/>
      </c>
      <c r="R129" s="130">
        <f>R106*'07_Тарифы'!H$9</f>
        <v/>
      </c>
      <c r="S129" s="130">
        <f>S106*'07_Тарифы'!I$9</f>
        <v/>
      </c>
      <c r="T129" s="130">
        <f>T106*'07_Тарифы'!J$9</f>
        <v/>
      </c>
      <c r="U129" s="130">
        <f>U106*'07_Тарифы'!K$9</f>
        <v/>
      </c>
      <c r="V129" s="130">
        <f>V106*'07_Тарифы'!L$9</f>
        <v/>
      </c>
      <c r="W129" s="130">
        <f>W106*'07_Тарифы'!M$9</f>
        <v/>
      </c>
      <c r="X129" s="130">
        <f>X106*'07_Тарифы'!N$9</f>
        <v/>
      </c>
      <c r="Y129" s="130">
        <f>Y106*'07_Тарифы'!O$9</f>
        <v/>
      </c>
      <c r="Z129" s="130">
        <f>Z106*'07_Тарифы'!P$9</f>
        <v/>
      </c>
      <c r="AA129" s="130">
        <f>AA106*'07_Тарифы'!Q$9</f>
        <v/>
      </c>
      <c r="AB129" s="130">
        <f>AB106*'07_Тарифы'!R$9</f>
        <v/>
      </c>
      <c r="AC129" s="130">
        <f>AC106*'07_Тарифы'!S$9</f>
        <v/>
      </c>
      <c r="AD129" s="130">
        <f>AD106*'07_Тарифы'!T$9</f>
        <v/>
      </c>
      <c r="AE129" s="130">
        <f>AE106*'07_Тарифы'!U$9</f>
        <v/>
      </c>
      <c r="AF129" s="130">
        <f>AF106*'07_Тарифы'!V$9</f>
        <v/>
      </c>
      <c r="AG129" s="130">
        <f>AG106*'07_Тарифы'!W$9</f>
        <v/>
      </c>
      <c r="AH129" s="130">
        <f>AH106*'07_Тарифы'!X$9</f>
        <v/>
      </c>
      <c r="AI129" s="130">
        <f>AI106*'07_Тарифы'!Y$9</f>
        <v/>
      </c>
      <c r="AJ129" s="130">
        <f>AJ106*'07_Тарифы'!Z$9</f>
        <v/>
      </c>
      <c r="AK129" s="130">
        <f>AK106*'07_Тарифы'!AA$9</f>
        <v/>
      </c>
      <c r="AL129" s="130">
        <f>AL106*'07_Тарифы'!AB$9</f>
        <v/>
      </c>
      <c r="AM129" s="130">
        <f>AM106*'07_Тарифы'!AC$9</f>
        <v/>
      </c>
      <c r="AN129" s="130">
        <f>AN106*'07_Тарифы'!AD$9</f>
        <v/>
      </c>
      <c r="AO129" s="130">
        <f>AO106*'07_Тарифы'!AE$9</f>
        <v/>
      </c>
      <c r="AP129" s="130">
        <f>AP106*'07_Тарифы'!AF$9</f>
        <v/>
      </c>
      <c r="AQ129" s="130">
        <f>AQ106*'07_Тарифы'!AG$9</f>
        <v/>
      </c>
      <c r="AR129" s="130">
        <f>AR106*'07_Тарифы'!AH$9</f>
        <v/>
      </c>
      <c r="AS129" s="130">
        <f>AS106*'07_Тарифы'!AI$9</f>
        <v/>
      </c>
      <c r="AT129" s="130">
        <f>AT106*'07_Тарифы'!AJ$9</f>
        <v/>
      </c>
      <c r="AU129" s="130">
        <f>AU106*'07_Тарифы'!AK$9</f>
        <v/>
      </c>
      <c r="AV129" s="130">
        <f>AV106*'07_Тарифы'!AL$9</f>
        <v/>
      </c>
      <c r="AW129" s="130">
        <f>AW106*'07_Тарифы'!AM$9</f>
        <v/>
      </c>
      <c r="AX129" s="130">
        <f>AX106*'07_Тарифы'!AN$9</f>
        <v/>
      </c>
      <c r="AY129" s="130">
        <f>AY106*'07_Тарифы'!AO$9</f>
        <v/>
      </c>
      <c r="AZ129" s="130">
        <f>AZ106*'07_Тарифы'!AP$9</f>
        <v/>
      </c>
      <c r="BA129" s="130">
        <f>BA106*'07_Тарифы'!AQ$9</f>
        <v/>
      </c>
      <c r="BB129" s="130">
        <f>BB106*'07_Тарифы'!AR$9</f>
        <v/>
      </c>
      <c r="BC129" s="130">
        <f>BC106*'07_Тарифы'!AS$9</f>
        <v/>
      </c>
      <c r="BD129" s="130">
        <f>BD106*'07_Тарифы'!AT$9</f>
        <v/>
      </c>
      <c r="BE129" s="130">
        <f>BE106*'07_Тарифы'!AU$9</f>
        <v/>
      </c>
      <c r="BF129" s="130">
        <f>BF106*'07_Тарифы'!AV$9</f>
        <v/>
      </c>
      <c r="BG129" s="130">
        <f>BG106*'07_Тарифы'!AW$9</f>
        <v/>
      </c>
      <c r="BH129" s="130">
        <f>BH106*'07_Тарифы'!AX$9</f>
        <v/>
      </c>
      <c r="BI129" s="130">
        <f>BI106*'07_Тарифы'!AY$9</f>
        <v/>
      </c>
      <c r="BJ129" s="130">
        <f>BJ106*'07_Тарифы'!AZ$9</f>
        <v/>
      </c>
      <c r="BK129" s="130">
        <f>BK106*'07_Тарифы'!BA$9</f>
        <v/>
      </c>
      <c r="BL129" s="130">
        <f>BL106*'07_Тарифы'!BB$9</f>
        <v/>
      </c>
      <c r="BM129" s="130">
        <f>BM106*'07_Тарифы'!BC$9</f>
        <v/>
      </c>
      <c r="BN129" s="130">
        <f>BN106*'07_Тарифы'!BD$9</f>
        <v/>
      </c>
      <c r="BO129" s="130">
        <f>BO106*'07_Тарифы'!BE$9</f>
        <v/>
      </c>
      <c r="BP129" s="130">
        <f>BP106*'07_Тарифы'!BF$9</f>
        <v/>
      </c>
      <c r="BQ129" s="130">
        <f>BQ106*'07_Тарифы'!BG$9</f>
        <v/>
      </c>
      <c r="BR129" s="130">
        <f>BR106*'07_Тарифы'!BH$9</f>
        <v/>
      </c>
      <c r="BS129" s="130">
        <f>BS106*'07_Тарифы'!BI$9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04" t="inlineStr"/>
      <c r="E130" s="128">
        <f>SUM(L130:W130)</f>
        <v/>
      </c>
      <c r="F130" s="128">
        <f>SUM(X130:AI130)</f>
        <v/>
      </c>
      <c r="G130" s="128">
        <f>SUM(AJ130:AU130)</f>
        <v/>
      </c>
      <c r="H130" s="128">
        <f>SUM(AV130:BG130)</f>
        <v/>
      </c>
      <c r="I130" s="128">
        <f>SUM(BH130:BS130)</f>
        <v/>
      </c>
      <c r="J130" s="129">
        <f>SUM(L130:BS130)</f>
        <v/>
      </c>
      <c r="L130" s="130">
        <f>L128+L126</f>
        <v/>
      </c>
      <c r="M130" s="130">
        <f>M128+M126</f>
        <v/>
      </c>
      <c r="N130" s="130">
        <f>N128+N126</f>
        <v/>
      </c>
      <c r="O130" s="130">
        <f>O128+O126</f>
        <v/>
      </c>
      <c r="P130" s="130">
        <f>P128+P126</f>
        <v/>
      </c>
      <c r="Q130" s="130">
        <f>Q128+Q126</f>
        <v/>
      </c>
      <c r="R130" s="130">
        <f>R128+R126</f>
        <v/>
      </c>
      <c r="S130" s="130">
        <f>S128+S126</f>
        <v/>
      </c>
      <c r="T130" s="130">
        <f>T128+T126</f>
        <v/>
      </c>
      <c r="U130" s="130">
        <f>U128+U126</f>
        <v/>
      </c>
      <c r="V130" s="130">
        <f>V128+V126</f>
        <v/>
      </c>
      <c r="W130" s="130">
        <f>W128+W126</f>
        <v/>
      </c>
      <c r="X130" s="130">
        <f>X128+X126</f>
        <v/>
      </c>
      <c r="Y130" s="130">
        <f>Y128+Y126</f>
        <v/>
      </c>
      <c r="Z130" s="130">
        <f>Z128+Z126</f>
        <v/>
      </c>
      <c r="AA130" s="130">
        <f>AA128+AA126</f>
        <v/>
      </c>
      <c r="AB130" s="130">
        <f>AB128+AB126</f>
        <v/>
      </c>
      <c r="AC130" s="130">
        <f>AC128+AC126</f>
        <v/>
      </c>
      <c r="AD130" s="130">
        <f>AD128+AD126</f>
        <v/>
      </c>
      <c r="AE130" s="130">
        <f>AE128+AE126</f>
        <v/>
      </c>
      <c r="AF130" s="130">
        <f>AF128+AF126</f>
        <v/>
      </c>
      <c r="AG130" s="130">
        <f>AG128+AG126</f>
        <v/>
      </c>
      <c r="AH130" s="130">
        <f>AH128+AH126</f>
        <v/>
      </c>
      <c r="AI130" s="130">
        <f>AI128+AI126</f>
        <v/>
      </c>
      <c r="AJ130" s="130">
        <f>AJ128+AJ126</f>
        <v/>
      </c>
      <c r="AK130" s="130">
        <f>AK128+AK126</f>
        <v/>
      </c>
      <c r="AL130" s="130">
        <f>AL128+AL126</f>
        <v/>
      </c>
      <c r="AM130" s="130">
        <f>AM128+AM126</f>
        <v/>
      </c>
      <c r="AN130" s="130">
        <f>AN128+AN126</f>
        <v/>
      </c>
      <c r="AO130" s="130">
        <f>AO128+AO126</f>
        <v/>
      </c>
      <c r="AP130" s="130">
        <f>AP128+AP126</f>
        <v/>
      </c>
      <c r="AQ130" s="130">
        <f>AQ128+AQ126</f>
        <v/>
      </c>
      <c r="AR130" s="130">
        <f>AR128+AR126</f>
        <v/>
      </c>
      <c r="AS130" s="130">
        <f>AS128+AS126</f>
        <v/>
      </c>
      <c r="AT130" s="130">
        <f>AT128+AT126</f>
        <v/>
      </c>
      <c r="AU130" s="130">
        <f>AU128+AU126</f>
        <v/>
      </c>
      <c r="AV130" s="130">
        <f>AV128+AV126</f>
        <v/>
      </c>
      <c r="AW130" s="130">
        <f>AW128+AW126</f>
        <v/>
      </c>
      <c r="AX130" s="130">
        <f>AX128+AX126</f>
        <v/>
      </c>
      <c r="AY130" s="130">
        <f>AY128+AY126</f>
        <v/>
      </c>
      <c r="AZ130" s="130">
        <f>AZ128+AZ126</f>
        <v/>
      </c>
      <c r="BA130" s="130">
        <f>BA128+BA126</f>
        <v/>
      </c>
      <c r="BB130" s="130">
        <f>BB128+BB126</f>
        <v/>
      </c>
      <c r="BC130" s="130">
        <f>BC128+BC126</f>
        <v/>
      </c>
      <c r="BD130" s="130">
        <f>BD128+BD126</f>
        <v/>
      </c>
      <c r="BE130" s="130">
        <f>BE128+BE126</f>
        <v/>
      </c>
      <c r="BF130" s="130">
        <f>BF128+BF126</f>
        <v/>
      </c>
      <c r="BG130" s="130">
        <f>BG128+BG126</f>
        <v/>
      </c>
      <c r="BH130" s="130">
        <f>BH128+BH126</f>
        <v/>
      </c>
      <c r="BI130" s="130">
        <f>BI128+BI126</f>
        <v/>
      </c>
      <c r="BJ130" s="130">
        <f>BJ128+BJ126</f>
        <v/>
      </c>
      <c r="BK130" s="130">
        <f>BK128+BK126</f>
        <v/>
      </c>
      <c r="BL130" s="130">
        <f>BL128+BL126</f>
        <v/>
      </c>
      <c r="BM130" s="130">
        <f>BM128+BM126</f>
        <v/>
      </c>
      <c r="BN130" s="130">
        <f>BN128+BN126</f>
        <v/>
      </c>
      <c r="BO130" s="130">
        <f>BO128+BO126</f>
        <v/>
      </c>
      <c r="BP130" s="130">
        <f>BP128+BP126</f>
        <v/>
      </c>
      <c r="BQ130" s="130">
        <f>BQ128+BQ126</f>
        <v/>
      </c>
      <c r="BR130" s="130">
        <f>BR128+BR126</f>
        <v/>
      </c>
      <c r="BS130" s="130">
        <f>BS128+BS126</f>
        <v/>
      </c>
    </row>
    <row r="131">
      <c r="B131" s="117" t="inlineStr">
        <is>
          <t>Выручка мерча, без НДС</t>
        </is>
      </c>
      <c r="C131" s="117" t="inlineStr">
        <is>
          <t>₽</t>
        </is>
      </c>
      <c r="D131" s="118" t="inlineStr"/>
      <c r="E131" s="131">
        <f>SUM(L131:W131)</f>
        <v/>
      </c>
      <c r="F131" s="131">
        <f>SUM(X131:AI131)</f>
        <v/>
      </c>
      <c r="G131" s="131">
        <f>SUM(AJ131:AU131)</f>
        <v/>
      </c>
      <c r="H131" s="131">
        <f>SUM(AV131:BG131)</f>
        <v/>
      </c>
      <c r="I131" s="131">
        <f>SUM(BH131:BS131)</f>
        <v/>
      </c>
      <c r="J131" s="132">
        <f>SUM(L131:BS131)</f>
        <v/>
      </c>
      <c r="L131" s="133">
        <f>L130/(1+НДС)</f>
        <v/>
      </c>
      <c r="M131" s="133">
        <f>M130/(1+НДС)</f>
        <v/>
      </c>
      <c r="N131" s="133">
        <f>N130/(1+НДС)</f>
        <v/>
      </c>
      <c r="O131" s="133">
        <f>O130/(1+НДС)</f>
        <v/>
      </c>
      <c r="P131" s="133">
        <f>P130/(1+НДС)</f>
        <v/>
      </c>
      <c r="Q131" s="133">
        <f>Q130/(1+НДС)</f>
        <v/>
      </c>
      <c r="R131" s="133">
        <f>R130/(1+НДС)</f>
        <v/>
      </c>
      <c r="S131" s="133">
        <f>S130/(1+НДС)</f>
        <v/>
      </c>
      <c r="T131" s="133">
        <f>T130/(1+НДС)</f>
        <v/>
      </c>
      <c r="U131" s="133">
        <f>U130/(1+НДС)</f>
        <v/>
      </c>
      <c r="V131" s="133">
        <f>V130/(1+НДС)</f>
        <v/>
      </c>
      <c r="W131" s="133">
        <f>W130/(1+НДС)</f>
        <v/>
      </c>
      <c r="X131" s="133">
        <f>X130/(1+НДС)</f>
        <v/>
      </c>
      <c r="Y131" s="133">
        <f>Y130/(1+НДС)</f>
        <v/>
      </c>
      <c r="Z131" s="133">
        <f>Z130/(1+НДС)</f>
        <v/>
      </c>
      <c r="AA131" s="133">
        <f>AA130/(1+НДС)</f>
        <v/>
      </c>
      <c r="AB131" s="133">
        <f>AB130/(1+НДС)</f>
        <v/>
      </c>
      <c r="AC131" s="133">
        <f>AC130/(1+НДС)</f>
        <v/>
      </c>
      <c r="AD131" s="133">
        <f>AD130/(1+НДС)</f>
        <v/>
      </c>
      <c r="AE131" s="133">
        <f>AE130/(1+НДС)</f>
        <v/>
      </c>
      <c r="AF131" s="133">
        <f>AF130/(1+НДС)</f>
        <v/>
      </c>
      <c r="AG131" s="133">
        <f>AG130/(1+НДС)</f>
        <v/>
      </c>
      <c r="AH131" s="133">
        <f>AH130/(1+НДС)</f>
        <v/>
      </c>
      <c r="AI131" s="133">
        <f>AI130/(1+НДС)</f>
        <v/>
      </c>
      <c r="AJ131" s="133">
        <f>AJ130/(1+НДС)</f>
        <v/>
      </c>
      <c r="AK131" s="133">
        <f>AK130/(1+НДС)</f>
        <v/>
      </c>
      <c r="AL131" s="133">
        <f>AL130/(1+НДС)</f>
        <v/>
      </c>
      <c r="AM131" s="133">
        <f>AM130/(1+НДС)</f>
        <v/>
      </c>
      <c r="AN131" s="133">
        <f>AN130/(1+НДС)</f>
        <v/>
      </c>
      <c r="AO131" s="133">
        <f>AO130/(1+НДС)</f>
        <v/>
      </c>
      <c r="AP131" s="133">
        <f>AP130/(1+НДС)</f>
        <v/>
      </c>
      <c r="AQ131" s="133">
        <f>AQ130/(1+НДС)</f>
        <v/>
      </c>
      <c r="AR131" s="133">
        <f>AR130/(1+НДС)</f>
        <v/>
      </c>
      <c r="AS131" s="133">
        <f>AS130/(1+НДС)</f>
        <v/>
      </c>
      <c r="AT131" s="133">
        <f>AT130/(1+НДС)</f>
        <v/>
      </c>
      <c r="AU131" s="133">
        <f>AU130/(1+НДС)</f>
        <v/>
      </c>
      <c r="AV131" s="133">
        <f>AV130/(1+НДС)</f>
        <v/>
      </c>
      <c r="AW131" s="133">
        <f>AW130/(1+НДС)</f>
        <v/>
      </c>
      <c r="AX131" s="133">
        <f>AX130/(1+НДС)</f>
        <v/>
      </c>
      <c r="AY131" s="133">
        <f>AY130/(1+НДС)</f>
        <v/>
      </c>
      <c r="AZ131" s="133">
        <f>AZ130/(1+НДС)</f>
        <v/>
      </c>
      <c r="BA131" s="133">
        <f>BA130/(1+НДС)</f>
        <v/>
      </c>
      <c r="BB131" s="133">
        <f>BB130/(1+НДС)</f>
        <v/>
      </c>
      <c r="BC131" s="133">
        <f>BC130/(1+НДС)</f>
        <v/>
      </c>
      <c r="BD131" s="133">
        <f>BD130/(1+НДС)</f>
        <v/>
      </c>
      <c r="BE131" s="133">
        <f>BE130/(1+НДС)</f>
        <v/>
      </c>
      <c r="BF131" s="133">
        <f>BF130/(1+НДС)</f>
        <v/>
      </c>
      <c r="BG131" s="133">
        <f>BG130/(1+НДС)</f>
        <v/>
      </c>
      <c r="BH131" s="133">
        <f>BH130/(1+НДС)</f>
        <v/>
      </c>
      <c r="BI131" s="133">
        <f>BI130/(1+НДС)</f>
        <v/>
      </c>
      <c r="BJ131" s="133">
        <f>BJ130/(1+НДС)</f>
        <v/>
      </c>
      <c r="BK131" s="133">
        <f>BK130/(1+НДС)</f>
        <v/>
      </c>
      <c r="BL131" s="133">
        <f>BL130/(1+НДС)</f>
        <v/>
      </c>
      <c r="BM131" s="133">
        <f>BM130/(1+НДС)</f>
        <v/>
      </c>
      <c r="BN131" s="133">
        <f>BN130/(1+НДС)</f>
        <v/>
      </c>
      <c r="BO131" s="133">
        <f>BO130/(1+НДС)</f>
        <v/>
      </c>
      <c r="BP131" s="133">
        <f>BP130/(1+НДС)</f>
        <v/>
      </c>
      <c r="BQ131" s="133">
        <f>BQ130/(1+НДС)</f>
        <v/>
      </c>
      <c r="BR131" s="133">
        <f>BR130/(1+НДС)</f>
        <v/>
      </c>
      <c r="BS131" s="133">
        <f>BS130/(1+НДС)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04" t="inlineStr"/>
      <c r="E132" s="128">
        <f>SUM(L132:W132)</f>
        <v/>
      </c>
      <c r="F132" s="128">
        <f>SUM(X132:AI132)</f>
        <v/>
      </c>
      <c r="G132" s="128">
        <f>SUM(AJ132:AU132)</f>
        <v/>
      </c>
      <c r="H132" s="128">
        <f>SUM(AV132:BG132)</f>
        <v/>
      </c>
      <c r="I132" s="128">
        <f>SUM(BH132:BS132)</f>
        <v/>
      </c>
      <c r="J132" s="129">
        <f>SUM(L132:BS132)</f>
        <v/>
      </c>
      <c r="L132" s="130">
        <f>L129+L127</f>
        <v/>
      </c>
      <c r="M132" s="130">
        <f>M129+M127</f>
        <v/>
      </c>
      <c r="N132" s="130">
        <f>N129+N127</f>
        <v/>
      </c>
      <c r="O132" s="130">
        <f>O129+O127</f>
        <v/>
      </c>
      <c r="P132" s="130">
        <f>P129+P127</f>
        <v/>
      </c>
      <c r="Q132" s="130">
        <f>Q129+Q127</f>
        <v/>
      </c>
      <c r="R132" s="130">
        <f>R129+R127</f>
        <v/>
      </c>
      <c r="S132" s="130">
        <f>S129+S127</f>
        <v/>
      </c>
      <c r="T132" s="130">
        <f>T129+T127</f>
        <v/>
      </c>
      <c r="U132" s="130">
        <f>U129+U127</f>
        <v/>
      </c>
      <c r="V132" s="130">
        <f>V129+V127</f>
        <v/>
      </c>
      <c r="W132" s="130">
        <f>W129+W127</f>
        <v/>
      </c>
      <c r="X132" s="130">
        <f>X129+X127</f>
        <v/>
      </c>
      <c r="Y132" s="130">
        <f>Y129+Y127</f>
        <v/>
      </c>
      <c r="Z132" s="130">
        <f>Z129+Z127</f>
        <v/>
      </c>
      <c r="AA132" s="130">
        <f>AA129+AA127</f>
        <v/>
      </c>
      <c r="AB132" s="130">
        <f>AB129+AB127</f>
        <v/>
      </c>
      <c r="AC132" s="130">
        <f>AC129+AC127</f>
        <v/>
      </c>
      <c r="AD132" s="130">
        <f>AD129+AD127</f>
        <v/>
      </c>
      <c r="AE132" s="130">
        <f>AE129+AE127</f>
        <v/>
      </c>
      <c r="AF132" s="130">
        <f>AF129+AF127</f>
        <v/>
      </c>
      <c r="AG132" s="130">
        <f>AG129+AG127</f>
        <v/>
      </c>
      <c r="AH132" s="130">
        <f>AH129+AH127</f>
        <v/>
      </c>
      <c r="AI132" s="130">
        <f>AI129+AI127</f>
        <v/>
      </c>
      <c r="AJ132" s="130">
        <f>AJ129+AJ127</f>
        <v/>
      </c>
      <c r="AK132" s="130">
        <f>AK129+AK127</f>
        <v/>
      </c>
      <c r="AL132" s="130">
        <f>AL129+AL127</f>
        <v/>
      </c>
      <c r="AM132" s="130">
        <f>AM129+AM127</f>
        <v/>
      </c>
      <c r="AN132" s="130">
        <f>AN129+AN127</f>
        <v/>
      </c>
      <c r="AO132" s="130">
        <f>AO129+AO127</f>
        <v/>
      </c>
      <c r="AP132" s="130">
        <f>AP129+AP127</f>
        <v/>
      </c>
      <c r="AQ132" s="130">
        <f>AQ129+AQ127</f>
        <v/>
      </c>
      <c r="AR132" s="130">
        <f>AR129+AR127</f>
        <v/>
      </c>
      <c r="AS132" s="130">
        <f>AS129+AS127</f>
        <v/>
      </c>
      <c r="AT132" s="130">
        <f>AT129+AT127</f>
        <v/>
      </c>
      <c r="AU132" s="130">
        <f>AU129+AU127</f>
        <v/>
      </c>
      <c r="AV132" s="130">
        <f>AV129+AV127</f>
        <v/>
      </c>
      <c r="AW132" s="130">
        <f>AW129+AW127</f>
        <v/>
      </c>
      <c r="AX132" s="130">
        <f>AX129+AX127</f>
        <v/>
      </c>
      <c r="AY132" s="130">
        <f>AY129+AY127</f>
        <v/>
      </c>
      <c r="AZ132" s="130">
        <f>AZ129+AZ127</f>
        <v/>
      </c>
      <c r="BA132" s="130">
        <f>BA129+BA127</f>
        <v/>
      </c>
      <c r="BB132" s="130">
        <f>BB129+BB127</f>
        <v/>
      </c>
      <c r="BC132" s="130">
        <f>BC129+BC127</f>
        <v/>
      </c>
      <c r="BD132" s="130">
        <f>BD129+BD127</f>
        <v/>
      </c>
      <c r="BE132" s="130">
        <f>BE129+BE127</f>
        <v/>
      </c>
      <c r="BF132" s="130">
        <f>BF129+BF127</f>
        <v/>
      </c>
      <c r="BG132" s="130">
        <f>BG129+BG127</f>
        <v/>
      </c>
      <c r="BH132" s="130">
        <f>BH129+BH127</f>
        <v/>
      </c>
      <c r="BI132" s="130">
        <f>BI129+BI127</f>
        <v/>
      </c>
      <c r="BJ132" s="130">
        <f>BJ129+BJ127</f>
        <v/>
      </c>
      <c r="BK132" s="130">
        <f>BK129+BK127</f>
        <v/>
      </c>
      <c r="BL132" s="130">
        <f>BL129+BL127</f>
        <v/>
      </c>
      <c r="BM132" s="130">
        <f>BM129+BM127</f>
        <v/>
      </c>
      <c r="BN132" s="130">
        <f>BN129+BN127</f>
        <v/>
      </c>
      <c r="BO132" s="130">
        <f>BO129+BO127</f>
        <v/>
      </c>
      <c r="BP132" s="130">
        <f>BP129+BP127</f>
        <v/>
      </c>
      <c r="BQ132" s="130">
        <f>BQ129+BQ127</f>
        <v/>
      </c>
      <c r="BR132" s="130">
        <f>BR129+BR127</f>
        <v/>
      </c>
      <c r="BS132" s="130">
        <f>BS129+BS127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04" t="inlineStr"/>
      <c r="E133" s="128">
        <f>SUM(L133:W133)</f>
        <v/>
      </c>
      <c r="F133" s="128">
        <f>SUM(X133:AI133)</f>
        <v/>
      </c>
      <c r="G133" s="128">
        <f>SUM(AJ133:AU133)</f>
        <v/>
      </c>
      <c r="H133" s="128">
        <f>SUM(AV133:BG133)</f>
        <v/>
      </c>
      <c r="I133" s="128">
        <f>SUM(BH133:BS133)</f>
        <v/>
      </c>
      <c r="J133" s="129">
        <f>SUM(L133:BS133)</f>
        <v/>
      </c>
      <c r="L133" s="130">
        <f>L131*ЛогистикаМерча</f>
        <v/>
      </c>
      <c r="M133" s="130">
        <f>M131*ЛогистикаМерча</f>
        <v/>
      </c>
      <c r="N133" s="130">
        <f>N131*ЛогистикаМерча</f>
        <v/>
      </c>
      <c r="O133" s="130">
        <f>O131*ЛогистикаМерча</f>
        <v/>
      </c>
      <c r="P133" s="130">
        <f>P131*ЛогистикаМерча</f>
        <v/>
      </c>
      <c r="Q133" s="130">
        <f>Q131*ЛогистикаМерча</f>
        <v/>
      </c>
      <c r="R133" s="130">
        <f>R131*ЛогистикаМерча</f>
        <v/>
      </c>
      <c r="S133" s="130">
        <f>S131*ЛогистикаМерча</f>
        <v/>
      </c>
      <c r="T133" s="130">
        <f>T131*ЛогистикаМерча</f>
        <v/>
      </c>
      <c r="U133" s="130">
        <f>U131*ЛогистикаМерча</f>
        <v/>
      </c>
      <c r="V133" s="130">
        <f>V131*ЛогистикаМерча</f>
        <v/>
      </c>
      <c r="W133" s="130">
        <f>W131*ЛогистикаМерча</f>
        <v/>
      </c>
      <c r="X133" s="130">
        <f>X131*ЛогистикаМерча</f>
        <v/>
      </c>
      <c r="Y133" s="130">
        <f>Y131*ЛогистикаМерча</f>
        <v/>
      </c>
      <c r="Z133" s="130">
        <f>Z131*ЛогистикаМерча</f>
        <v/>
      </c>
      <c r="AA133" s="130">
        <f>AA131*ЛогистикаМерча</f>
        <v/>
      </c>
      <c r="AB133" s="130">
        <f>AB131*ЛогистикаМерча</f>
        <v/>
      </c>
      <c r="AC133" s="130">
        <f>AC131*ЛогистикаМерча</f>
        <v/>
      </c>
      <c r="AD133" s="130">
        <f>AD131*ЛогистикаМерча</f>
        <v/>
      </c>
      <c r="AE133" s="130">
        <f>AE131*ЛогистикаМерча</f>
        <v/>
      </c>
      <c r="AF133" s="130">
        <f>AF131*ЛогистикаМерча</f>
        <v/>
      </c>
      <c r="AG133" s="130">
        <f>AG131*ЛогистикаМерча</f>
        <v/>
      </c>
      <c r="AH133" s="130">
        <f>AH131*ЛогистикаМерча</f>
        <v/>
      </c>
      <c r="AI133" s="130">
        <f>AI131*ЛогистикаМерча</f>
        <v/>
      </c>
      <c r="AJ133" s="130">
        <f>AJ131*ЛогистикаМерча</f>
        <v/>
      </c>
      <c r="AK133" s="130">
        <f>AK131*ЛогистикаМерча</f>
        <v/>
      </c>
      <c r="AL133" s="130">
        <f>AL131*ЛогистикаМерча</f>
        <v/>
      </c>
      <c r="AM133" s="130">
        <f>AM131*ЛогистикаМерча</f>
        <v/>
      </c>
      <c r="AN133" s="130">
        <f>AN131*ЛогистикаМерча</f>
        <v/>
      </c>
      <c r="AO133" s="130">
        <f>AO131*ЛогистикаМерча</f>
        <v/>
      </c>
      <c r="AP133" s="130">
        <f>AP131*ЛогистикаМерча</f>
        <v/>
      </c>
      <c r="AQ133" s="130">
        <f>AQ131*ЛогистикаМерча</f>
        <v/>
      </c>
      <c r="AR133" s="130">
        <f>AR131*ЛогистикаМерча</f>
        <v/>
      </c>
      <c r="AS133" s="130">
        <f>AS131*ЛогистикаМерча</f>
        <v/>
      </c>
      <c r="AT133" s="130">
        <f>AT131*ЛогистикаМерча</f>
        <v/>
      </c>
      <c r="AU133" s="130">
        <f>AU131*ЛогистикаМерча</f>
        <v/>
      </c>
      <c r="AV133" s="130">
        <f>AV131*ЛогистикаМерча</f>
        <v/>
      </c>
      <c r="AW133" s="130">
        <f>AW131*ЛогистикаМерча</f>
        <v/>
      </c>
      <c r="AX133" s="130">
        <f>AX131*ЛогистикаМерча</f>
        <v/>
      </c>
      <c r="AY133" s="130">
        <f>AY131*ЛогистикаМерча</f>
        <v/>
      </c>
      <c r="AZ133" s="130">
        <f>AZ131*ЛогистикаМерча</f>
        <v/>
      </c>
      <c r="BA133" s="130">
        <f>BA131*ЛогистикаМерча</f>
        <v/>
      </c>
      <c r="BB133" s="130">
        <f>BB131*ЛогистикаМерча</f>
        <v/>
      </c>
      <c r="BC133" s="130">
        <f>BC131*ЛогистикаМерча</f>
        <v/>
      </c>
      <c r="BD133" s="130">
        <f>BD131*ЛогистикаМерча</f>
        <v/>
      </c>
      <c r="BE133" s="130">
        <f>BE131*ЛогистикаМерча</f>
        <v/>
      </c>
      <c r="BF133" s="130">
        <f>BF131*ЛогистикаМерча</f>
        <v/>
      </c>
      <c r="BG133" s="130">
        <f>BG131*ЛогистикаМерча</f>
        <v/>
      </c>
      <c r="BH133" s="130">
        <f>BH131*ЛогистикаМерча</f>
        <v/>
      </c>
      <c r="BI133" s="130">
        <f>BI131*ЛогистикаМерча</f>
        <v/>
      </c>
      <c r="BJ133" s="130">
        <f>BJ131*ЛогистикаМерча</f>
        <v/>
      </c>
      <c r="BK133" s="130">
        <f>BK131*ЛогистикаМерча</f>
        <v/>
      </c>
      <c r="BL133" s="130">
        <f>BL131*ЛогистикаМерча</f>
        <v/>
      </c>
      <c r="BM133" s="130">
        <f>BM131*ЛогистикаМерча</f>
        <v/>
      </c>
      <c r="BN133" s="130">
        <f>BN131*ЛогистикаМерча</f>
        <v/>
      </c>
      <c r="BO133" s="130">
        <f>BO131*ЛогистикаМерча</f>
        <v/>
      </c>
      <c r="BP133" s="130">
        <f>BP131*ЛогистикаМерча</f>
        <v/>
      </c>
      <c r="BQ133" s="130">
        <f>BQ131*ЛогистикаМерча</f>
        <v/>
      </c>
      <c r="BR133" s="130">
        <f>BR131*ЛогистикаМерча</f>
        <v/>
      </c>
      <c r="BS133" s="130">
        <f>BS131*ЛогистикаМерча</f>
        <v/>
      </c>
    </row>
    <row r="134">
      <c r="B134" s="117" t="inlineStr">
        <is>
          <t>Прибыль мерча до доли ФК</t>
        </is>
      </c>
      <c r="C134" s="117" t="inlineStr">
        <is>
          <t>₽</t>
        </is>
      </c>
      <c r="D134" s="118" t="inlineStr">
        <is>
          <t>Ниже нуля не опускается: делить убыток с клубом нечем</t>
        </is>
      </c>
      <c r="E134" s="131">
        <f>SUM(L134:W134)</f>
        <v/>
      </c>
      <c r="F134" s="131">
        <f>SUM(X134:AI134)</f>
        <v/>
      </c>
      <c r="G134" s="131">
        <f>SUM(AJ134:AU134)</f>
        <v/>
      </c>
      <c r="H134" s="131">
        <f>SUM(AV134:BG134)</f>
        <v/>
      </c>
      <c r="I134" s="131">
        <f>SUM(BH134:BS134)</f>
        <v/>
      </c>
      <c r="J134" s="132">
        <f>SUM(L134:BS134)</f>
        <v/>
      </c>
      <c r="L134" s="133">
        <f>MAX(0,L131-L132-L133)</f>
        <v/>
      </c>
      <c r="M134" s="133">
        <f>MAX(0,M131-M132-M133)</f>
        <v/>
      </c>
      <c r="N134" s="133">
        <f>MAX(0,N131-N132-N133)</f>
        <v/>
      </c>
      <c r="O134" s="133">
        <f>MAX(0,O131-O132-O133)</f>
        <v/>
      </c>
      <c r="P134" s="133">
        <f>MAX(0,P131-P132-P133)</f>
        <v/>
      </c>
      <c r="Q134" s="133">
        <f>MAX(0,Q131-Q132-Q133)</f>
        <v/>
      </c>
      <c r="R134" s="133">
        <f>MAX(0,R131-R132-R133)</f>
        <v/>
      </c>
      <c r="S134" s="133">
        <f>MAX(0,S131-S132-S133)</f>
        <v/>
      </c>
      <c r="T134" s="133">
        <f>MAX(0,T131-T132-T133)</f>
        <v/>
      </c>
      <c r="U134" s="133">
        <f>MAX(0,U131-U132-U133)</f>
        <v/>
      </c>
      <c r="V134" s="133">
        <f>MAX(0,V131-V132-V133)</f>
        <v/>
      </c>
      <c r="W134" s="133">
        <f>MAX(0,W131-W132-W133)</f>
        <v/>
      </c>
      <c r="X134" s="133">
        <f>MAX(0,X131-X132-X133)</f>
        <v/>
      </c>
      <c r="Y134" s="133">
        <f>MAX(0,Y131-Y132-Y133)</f>
        <v/>
      </c>
      <c r="Z134" s="133">
        <f>MAX(0,Z131-Z132-Z133)</f>
        <v/>
      </c>
      <c r="AA134" s="133">
        <f>MAX(0,AA131-AA132-AA133)</f>
        <v/>
      </c>
      <c r="AB134" s="133">
        <f>MAX(0,AB131-AB132-AB133)</f>
        <v/>
      </c>
      <c r="AC134" s="133">
        <f>MAX(0,AC131-AC132-AC133)</f>
        <v/>
      </c>
      <c r="AD134" s="133">
        <f>MAX(0,AD131-AD132-AD133)</f>
        <v/>
      </c>
      <c r="AE134" s="133">
        <f>MAX(0,AE131-AE132-AE133)</f>
        <v/>
      </c>
      <c r="AF134" s="133">
        <f>MAX(0,AF131-AF132-AF133)</f>
        <v/>
      </c>
      <c r="AG134" s="133">
        <f>MAX(0,AG131-AG132-AG133)</f>
        <v/>
      </c>
      <c r="AH134" s="133">
        <f>MAX(0,AH131-AH132-AH133)</f>
        <v/>
      </c>
      <c r="AI134" s="133">
        <f>MAX(0,AI131-AI132-AI133)</f>
        <v/>
      </c>
      <c r="AJ134" s="133">
        <f>MAX(0,AJ131-AJ132-AJ133)</f>
        <v/>
      </c>
      <c r="AK134" s="133">
        <f>MAX(0,AK131-AK132-AK133)</f>
        <v/>
      </c>
      <c r="AL134" s="133">
        <f>MAX(0,AL131-AL132-AL133)</f>
        <v/>
      </c>
      <c r="AM134" s="133">
        <f>MAX(0,AM131-AM132-AM133)</f>
        <v/>
      </c>
      <c r="AN134" s="133">
        <f>MAX(0,AN131-AN132-AN133)</f>
        <v/>
      </c>
      <c r="AO134" s="133">
        <f>MAX(0,AO131-AO132-AO133)</f>
        <v/>
      </c>
      <c r="AP134" s="133">
        <f>MAX(0,AP131-AP132-AP133)</f>
        <v/>
      </c>
      <c r="AQ134" s="133">
        <f>MAX(0,AQ131-AQ132-AQ133)</f>
        <v/>
      </c>
      <c r="AR134" s="133">
        <f>MAX(0,AR131-AR132-AR133)</f>
        <v/>
      </c>
      <c r="AS134" s="133">
        <f>MAX(0,AS131-AS132-AS133)</f>
        <v/>
      </c>
      <c r="AT134" s="133">
        <f>MAX(0,AT131-AT132-AT133)</f>
        <v/>
      </c>
      <c r="AU134" s="133">
        <f>MAX(0,AU131-AU132-AU133)</f>
        <v/>
      </c>
      <c r="AV134" s="133">
        <f>MAX(0,AV131-AV132-AV133)</f>
        <v/>
      </c>
      <c r="AW134" s="133">
        <f>MAX(0,AW131-AW132-AW133)</f>
        <v/>
      </c>
      <c r="AX134" s="133">
        <f>MAX(0,AX131-AX132-AX133)</f>
        <v/>
      </c>
      <c r="AY134" s="133">
        <f>MAX(0,AY131-AY132-AY133)</f>
        <v/>
      </c>
      <c r="AZ134" s="133">
        <f>MAX(0,AZ131-AZ132-AZ133)</f>
        <v/>
      </c>
      <c r="BA134" s="133">
        <f>MAX(0,BA131-BA132-BA133)</f>
        <v/>
      </c>
      <c r="BB134" s="133">
        <f>MAX(0,BB131-BB132-BB133)</f>
        <v/>
      </c>
      <c r="BC134" s="133">
        <f>MAX(0,BC131-BC132-BC133)</f>
        <v/>
      </c>
      <c r="BD134" s="133">
        <f>MAX(0,BD131-BD132-BD133)</f>
        <v/>
      </c>
      <c r="BE134" s="133">
        <f>MAX(0,BE131-BE132-BE133)</f>
        <v/>
      </c>
      <c r="BF134" s="133">
        <f>MAX(0,BF131-BF132-BF133)</f>
        <v/>
      </c>
      <c r="BG134" s="133">
        <f>MAX(0,BG131-BG132-BG133)</f>
        <v/>
      </c>
      <c r="BH134" s="133">
        <f>MAX(0,BH131-BH132-BH133)</f>
        <v/>
      </c>
      <c r="BI134" s="133">
        <f>MAX(0,BI131-BI132-BI133)</f>
        <v/>
      </c>
      <c r="BJ134" s="133">
        <f>MAX(0,BJ131-BJ132-BJ133)</f>
        <v/>
      </c>
      <c r="BK134" s="133">
        <f>MAX(0,BK131-BK132-BK133)</f>
        <v/>
      </c>
      <c r="BL134" s="133">
        <f>MAX(0,BL131-BL132-BL133)</f>
        <v/>
      </c>
      <c r="BM134" s="133">
        <f>MAX(0,BM131-BM132-BM133)</f>
        <v/>
      </c>
      <c r="BN134" s="133">
        <f>MAX(0,BN131-BN132-BN133)</f>
        <v/>
      </c>
      <c r="BO134" s="133">
        <f>MAX(0,BO131-BO132-BO133)</f>
        <v/>
      </c>
      <c r="BP134" s="133">
        <f>MAX(0,BP131-BP132-BP133)</f>
        <v/>
      </c>
      <c r="BQ134" s="133">
        <f>MAX(0,BQ131-BQ132-BQ133)</f>
        <v/>
      </c>
      <c r="BR134" s="133">
        <f>MAX(0,BR131-BR132-BR133)</f>
        <v/>
      </c>
      <c r="BS134" s="133">
        <f>MAX(0,BS131-BS132-BS133)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4" t="inlineStr">
        <is>
          <t>Календарь и возрастные тарифы - только формулы</t>
        </is>
      </c>
    </row>
    <row r="3">
      <c r="B3" s="135">
        <f>DATE(YEAR('01_Вводные'!$B$7),MONTH('01_Вводные'!$B$7)+0,1)</f>
        <v/>
      </c>
      <c r="C3" s="135">
        <f>DATE(YEAR('01_Вводные'!$B$7),MONTH('01_Вводные'!$B$7)+1,1)</f>
        <v/>
      </c>
      <c r="D3" s="135">
        <f>DATE(YEAR('01_Вводные'!$B$7),MONTH('01_Вводные'!$B$7)+2,1)</f>
        <v/>
      </c>
      <c r="E3" s="135">
        <f>DATE(YEAR('01_Вводные'!$B$7),MONTH('01_Вводные'!$B$7)+3,1)</f>
        <v/>
      </c>
      <c r="F3" s="135">
        <f>DATE(YEAR('01_Вводные'!$B$7),MONTH('01_Вводные'!$B$7)+4,1)</f>
        <v/>
      </c>
      <c r="G3" s="135">
        <f>DATE(YEAR('01_Вводные'!$B$7),MONTH('01_Вводные'!$B$7)+5,1)</f>
        <v/>
      </c>
      <c r="H3" s="135">
        <f>DATE(YEAR('01_Вводные'!$B$7),MONTH('01_Вводные'!$B$7)+6,1)</f>
        <v/>
      </c>
      <c r="I3" s="135">
        <f>DATE(YEAR('01_Вводные'!$B$7),MONTH('01_Вводные'!$B$7)+7,1)</f>
        <v/>
      </c>
      <c r="J3" s="135">
        <f>DATE(YEAR('01_Вводные'!$B$7),MONTH('01_Вводные'!$B$7)+8,1)</f>
        <v/>
      </c>
      <c r="K3" s="135">
        <f>DATE(YEAR('01_Вводные'!$B$7),MONTH('01_Вводные'!$B$7)+9,1)</f>
        <v/>
      </c>
      <c r="L3" s="135">
        <f>DATE(YEAR('01_Вводные'!$B$7),MONTH('01_Вводные'!$B$7)+10,1)</f>
        <v/>
      </c>
      <c r="M3" s="135">
        <f>DATE(YEAR('01_Вводные'!$B$7),MONTH('01_Вводные'!$B$7)+11,1)</f>
        <v/>
      </c>
      <c r="N3" s="135">
        <f>DATE(YEAR('01_Вводные'!$B$7),MONTH('01_Вводные'!$B$7)+12,1)</f>
        <v/>
      </c>
      <c r="O3" s="135">
        <f>DATE(YEAR('01_Вводные'!$B$7),MONTH('01_Вводные'!$B$7)+13,1)</f>
        <v/>
      </c>
      <c r="P3" s="135">
        <f>DATE(YEAR('01_Вводные'!$B$7),MONTH('01_Вводные'!$B$7)+14,1)</f>
        <v/>
      </c>
      <c r="Q3" s="135">
        <f>DATE(YEAR('01_Вводные'!$B$7),MONTH('01_Вводные'!$B$7)+15,1)</f>
        <v/>
      </c>
      <c r="R3" s="135">
        <f>DATE(YEAR('01_Вводные'!$B$7),MONTH('01_Вводные'!$B$7)+16,1)</f>
        <v/>
      </c>
      <c r="S3" s="135">
        <f>DATE(YEAR('01_Вводные'!$B$7),MONTH('01_Вводные'!$B$7)+17,1)</f>
        <v/>
      </c>
      <c r="T3" s="135">
        <f>DATE(YEAR('01_Вводные'!$B$7),MONTH('01_Вводные'!$B$7)+18,1)</f>
        <v/>
      </c>
      <c r="U3" s="135">
        <f>DATE(YEAR('01_Вводные'!$B$7),MONTH('01_Вводные'!$B$7)+19,1)</f>
        <v/>
      </c>
      <c r="V3" s="135">
        <f>DATE(YEAR('01_Вводные'!$B$7),MONTH('01_Вводные'!$B$7)+20,1)</f>
        <v/>
      </c>
      <c r="W3" s="135">
        <f>DATE(YEAR('01_Вводные'!$B$7),MONTH('01_Вводные'!$B$7)+21,1)</f>
        <v/>
      </c>
      <c r="X3" s="135">
        <f>DATE(YEAR('01_Вводные'!$B$7),MONTH('01_Вводные'!$B$7)+22,1)</f>
        <v/>
      </c>
      <c r="Y3" s="135">
        <f>DATE(YEAR('01_Вводные'!$B$7),MONTH('01_Вводные'!$B$7)+23,1)</f>
        <v/>
      </c>
      <c r="Z3" s="135">
        <f>DATE(YEAR('01_Вводные'!$B$7),MONTH('01_Вводные'!$B$7)+24,1)</f>
        <v/>
      </c>
      <c r="AA3" s="135">
        <f>DATE(YEAR('01_Вводные'!$B$7),MONTH('01_Вводные'!$B$7)+25,1)</f>
        <v/>
      </c>
      <c r="AB3" s="135">
        <f>DATE(YEAR('01_Вводные'!$B$7),MONTH('01_Вводные'!$B$7)+26,1)</f>
        <v/>
      </c>
      <c r="AC3" s="135">
        <f>DATE(YEAR('01_Вводные'!$B$7),MONTH('01_Вводные'!$B$7)+27,1)</f>
        <v/>
      </c>
      <c r="AD3" s="135">
        <f>DATE(YEAR('01_Вводные'!$B$7),MONTH('01_Вводные'!$B$7)+28,1)</f>
        <v/>
      </c>
      <c r="AE3" s="135">
        <f>DATE(YEAR('01_Вводные'!$B$7),MONTH('01_Вводные'!$B$7)+29,1)</f>
        <v/>
      </c>
      <c r="AF3" s="135">
        <f>DATE(YEAR('01_Вводные'!$B$7),MONTH('01_Вводные'!$B$7)+30,1)</f>
        <v/>
      </c>
      <c r="AG3" s="135">
        <f>DATE(YEAR('01_Вводные'!$B$7),MONTH('01_Вводные'!$B$7)+31,1)</f>
        <v/>
      </c>
      <c r="AH3" s="135">
        <f>DATE(YEAR('01_Вводные'!$B$7),MONTH('01_Вводные'!$B$7)+32,1)</f>
        <v/>
      </c>
      <c r="AI3" s="135">
        <f>DATE(YEAR('01_Вводные'!$B$7),MONTH('01_Вводные'!$B$7)+33,1)</f>
        <v/>
      </c>
      <c r="AJ3" s="135">
        <f>DATE(YEAR('01_Вводные'!$B$7),MONTH('01_Вводные'!$B$7)+34,1)</f>
        <v/>
      </c>
      <c r="AK3" s="135">
        <f>DATE(YEAR('01_Вводные'!$B$7),MONTH('01_Вводные'!$B$7)+35,1)</f>
        <v/>
      </c>
      <c r="AL3" s="135">
        <f>DATE(YEAR('01_Вводные'!$B$7),MONTH('01_Вводные'!$B$7)+36,1)</f>
        <v/>
      </c>
      <c r="AM3" s="135">
        <f>DATE(YEAR('01_Вводные'!$B$7),MONTH('01_Вводные'!$B$7)+37,1)</f>
        <v/>
      </c>
      <c r="AN3" s="135">
        <f>DATE(YEAR('01_Вводные'!$B$7),MONTH('01_Вводные'!$B$7)+38,1)</f>
        <v/>
      </c>
      <c r="AO3" s="135">
        <f>DATE(YEAR('01_Вводные'!$B$7),MONTH('01_Вводные'!$B$7)+39,1)</f>
        <v/>
      </c>
      <c r="AP3" s="135">
        <f>DATE(YEAR('01_Вводные'!$B$7),MONTH('01_Вводные'!$B$7)+40,1)</f>
        <v/>
      </c>
      <c r="AQ3" s="135">
        <f>DATE(YEAR('01_Вводные'!$B$7),MONTH('01_Вводные'!$B$7)+41,1)</f>
        <v/>
      </c>
      <c r="AR3" s="135">
        <f>DATE(YEAR('01_Вводные'!$B$7),MONTH('01_Вводные'!$B$7)+42,1)</f>
        <v/>
      </c>
      <c r="AS3" s="135">
        <f>DATE(YEAR('01_Вводные'!$B$7),MONTH('01_Вводные'!$B$7)+43,1)</f>
        <v/>
      </c>
      <c r="AT3" s="135">
        <f>DATE(YEAR('01_Вводные'!$B$7),MONTH('01_Вводные'!$B$7)+44,1)</f>
        <v/>
      </c>
      <c r="AU3" s="135">
        <f>DATE(YEAR('01_Вводные'!$B$7),MONTH('01_Вводные'!$B$7)+45,1)</f>
        <v/>
      </c>
      <c r="AV3" s="135">
        <f>DATE(YEAR('01_Вводные'!$B$7),MONTH('01_Вводные'!$B$7)+46,1)</f>
        <v/>
      </c>
      <c r="AW3" s="135">
        <f>DATE(YEAR('01_Вводные'!$B$7),MONTH('01_Вводные'!$B$7)+47,1)</f>
        <v/>
      </c>
      <c r="AX3" s="135">
        <f>DATE(YEAR('01_Вводные'!$B$7),MONTH('01_Вводные'!$B$7)+48,1)</f>
        <v/>
      </c>
      <c r="AY3" s="135">
        <f>DATE(YEAR('01_Вводные'!$B$7),MONTH('01_Вводные'!$B$7)+49,1)</f>
        <v/>
      </c>
      <c r="AZ3" s="135">
        <f>DATE(YEAR('01_Вводные'!$B$7),MONTH('01_Вводные'!$B$7)+50,1)</f>
        <v/>
      </c>
      <c r="BA3" s="135">
        <f>DATE(YEAR('01_Вводные'!$B$7),MONTH('01_Вводные'!$B$7)+51,1)</f>
        <v/>
      </c>
      <c r="BB3" s="135">
        <f>DATE(YEAR('01_Вводные'!$B$7),MONTH('01_Вводные'!$B$7)+52,1)</f>
        <v/>
      </c>
      <c r="BC3" s="135">
        <f>DATE(YEAR('01_Вводные'!$B$7),MONTH('01_Вводные'!$B$7)+53,1)</f>
        <v/>
      </c>
      <c r="BD3" s="135">
        <f>DATE(YEAR('01_Вводные'!$B$7),MONTH('01_Вводные'!$B$7)+54,1)</f>
        <v/>
      </c>
      <c r="BE3" s="135">
        <f>DATE(YEAR('01_Вводные'!$B$7),MONTH('01_Вводные'!$B$7)+55,1)</f>
        <v/>
      </c>
      <c r="BF3" s="135">
        <f>DATE(YEAR('01_Вводные'!$B$7),MONTH('01_Вводные'!$B$7)+56,1)</f>
        <v/>
      </c>
      <c r="BG3" s="135">
        <f>DATE(YEAR('01_Вводные'!$B$7),MONTH('01_Вводные'!$B$7)+57,1)</f>
        <v/>
      </c>
      <c r="BH3" s="135">
        <f>DATE(YEAR('01_Вводные'!$B$7),MONTH('01_Вводные'!$B$7)+58,1)</f>
        <v/>
      </c>
      <c r="BI3" s="135">
        <f>DATE(YEAR('01_Вводные'!$B$7),MONTH('01_Вводные'!$B$7)+59,1)</f>
        <v/>
      </c>
      <c r="BJ3" s="135">
        <f>DATE(YEAR('01_Вводные'!$B$7),MONTH('01_Вводные'!$B$7)+60,1)</f>
        <v/>
      </c>
      <c r="BK3" s="135">
        <f>DATE(YEAR('01_Вводные'!$B$7),MONTH('01_Вводные'!$B$7)+61,1)</f>
        <v/>
      </c>
      <c r="BL3" s="135">
        <f>DATE(YEAR('01_Вводные'!$B$7),MONTH('01_Вводные'!$B$7)+62,1)</f>
        <v/>
      </c>
      <c r="BM3" s="135">
        <f>DATE(YEAR('01_Вводные'!$B$7),MONTH('01_Вводные'!$B$7)+63,1)</f>
        <v/>
      </c>
      <c r="BN3" s="135">
        <f>DATE(YEAR('01_Вводные'!$B$7),MONTH('01_Вводные'!$B$7)+64,1)</f>
        <v/>
      </c>
      <c r="BO3" s="135">
        <f>DATE(YEAR('01_Вводные'!$B$7),MONTH('01_Вводные'!$B$7)+65,1)</f>
        <v/>
      </c>
    </row>
    <row r="4">
      <c r="A4" s="134" t="inlineStr">
        <is>
          <t>Накопленный индекс цен / OPEX</t>
        </is>
      </c>
      <c r="B4" s="136">
        <f>1*IF(AND('01_Вводные'!$B$294="Да",B$3&gt;='01_Вводные'!$B$293,MONTH(B$3)=MONTH('01_Вводные'!$B$293)),1+B5,1)</f>
        <v/>
      </c>
      <c r="C4" s="136">
        <f>B4*IF(AND('01_Вводные'!$B$294="Да",C$3&gt;='01_Вводные'!$B$293,MONTH(C$3)=MONTH('01_Вводные'!$B$293)),1+C5,1)</f>
        <v/>
      </c>
      <c r="D4" s="136">
        <f>C4*IF(AND('01_Вводные'!$B$294="Да",D$3&gt;='01_Вводные'!$B$293,MONTH(D$3)=MONTH('01_Вводные'!$B$293)),1+D5,1)</f>
        <v/>
      </c>
      <c r="E4" s="136">
        <f>D4*IF(AND('01_Вводные'!$B$294="Да",E$3&gt;='01_Вводные'!$B$293,MONTH(E$3)=MONTH('01_Вводные'!$B$293)),1+E5,1)</f>
        <v/>
      </c>
      <c r="F4" s="136">
        <f>E4*IF(AND('01_Вводные'!$B$294="Да",F$3&gt;='01_Вводные'!$B$293,MONTH(F$3)=MONTH('01_Вводные'!$B$293)),1+F5,1)</f>
        <v/>
      </c>
      <c r="G4" s="136">
        <f>F4*IF(AND('01_Вводные'!$B$294="Да",G$3&gt;='01_Вводные'!$B$293,MONTH(G$3)=MONTH('01_Вводные'!$B$293)),1+G5,1)</f>
        <v/>
      </c>
      <c r="H4" s="136">
        <f>G4*IF(AND('01_Вводные'!$B$294="Да",H$3&gt;='01_Вводные'!$B$293,MONTH(H$3)=MONTH('01_Вводные'!$B$293)),1+H5,1)</f>
        <v/>
      </c>
      <c r="I4" s="136">
        <f>H4*IF(AND('01_Вводные'!$B$294="Да",I$3&gt;='01_Вводные'!$B$293,MONTH(I$3)=MONTH('01_Вводные'!$B$293)),1+I5,1)</f>
        <v/>
      </c>
      <c r="J4" s="136">
        <f>I4*IF(AND('01_Вводные'!$B$294="Да",J$3&gt;='01_Вводные'!$B$293,MONTH(J$3)=MONTH('01_Вводные'!$B$293)),1+J5,1)</f>
        <v/>
      </c>
      <c r="K4" s="136">
        <f>J4*IF(AND('01_Вводные'!$B$294="Да",K$3&gt;='01_Вводные'!$B$293,MONTH(K$3)=MONTH('01_Вводные'!$B$293)),1+K5,1)</f>
        <v/>
      </c>
      <c r="L4" s="136">
        <f>K4*IF(AND('01_Вводные'!$B$294="Да",L$3&gt;='01_Вводные'!$B$293,MONTH(L$3)=MONTH('01_Вводные'!$B$293)),1+L5,1)</f>
        <v/>
      </c>
      <c r="M4" s="136">
        <f>L4*IF(AND('01_Вводные'!$B$294="Да",M$3&gt;='01_Вводные'!$B$293,MONTH(M$3)=MONTH('01_Вводные'!$B$293)),1+M5,1)</f>
        <v/>
      </c>
      <c r="N4" s="136">
        <f>M4*IF(AND('01_Вводные'!$B$294="Да",N$3&gt;='01_Вводные'!$B$293,MONTH(N$3)=MONTH('01_Вводные'!$B$293)),1+N5,1)</f>
        <v/>
      </c>
      <c r="O4" s="136">
        <f>N4*IF(AND('01_Вводные'!$B$294="Да",O$3&gt;='01_Вводные'!$B$293,MONTH(O$3)=MONTH('01_Вводные'!$B$293)),1+O5,1)</f>
        <v/>
      </c>
      <c r="P4" s="136">
        <f>O4*IF(AND('01_Вводные'!$B$294="Да",P$3&gt;='01_Вводные'!$B$293,MONTH(P$3)=MONTH('01_Вводные'!$B$293)),1+P5,1)</f>
        <v/>
      </c>
      <c r="Q4" s="136">
        <f>P4*IF(AND('01_Вводные'!$B$294="Да",Q$3&gt;='01_Вводные'!$B$293,MONTH(Q$3)=MONTH('01_Вводные'!$B$293)),1+Q5,1)</f>
        <v/>
      </c>
      <c r="R4" s="136">
        <f>Q4*IF(AND('01_Вводные'!$B$294="Да",R$3&gt;='01_Вводные'!$B$293,MONTH(R$3)=MONTH('01_Вводные'!$B$293)),1+R5,1)</f>
        <v/>
      </c>
      <c r="S4" s="136">
        <f>R4*IF(AND('01_Вводные'!$B$294="Да",S$3&gt;='01_Вводные'!$B$293,MONTH(S$3)=MONTH('01_Вводные'!$B$293)),1+S5,1)</f>
        <v/>
      </c>
      <c r="T4" s="136">
        <f>S4*IF(AND('01_Вводные'!$B$294="Да",T$3&gt;='01_Вводные'!$B$293,MONTH(T$3)=MONTH('01_Вводные'!$B$293)),1+T5,1)</f>
        <v/>
      </c>
      <c r="U4" s="136">
        <f>T4*IF(AND('01_Вводные'!$B$294="Да",U$3&gt;='01_Вводные'!$B$293,MONTH(U$3)=MONTH('01_Вводные'!$B$293)),1+U5,1)</f>
        <v/>
      </c>
      <c r="V4" s="136">
        <f>U4*IF(AND('01_Вводные'!$B$294="Да",V$3&gt;='01_Вводные'!$B$293,MONTH(V$3)=MONTH('01_Вводные'!$B$293)),1+V5,1)</f>
        <v/>
      </c>
      <c r="W4" s="136">
        <f>V4*IF(AND('01_Вводные'!$B$294="Да",W$3&gt;='01_Вводные'!$B$293,MONTH(W$3)=MONTH('01_Вводные'!$B$293)),1+W5,1)</f>
        <v/>
      </c>
      <c r="X4" s="136">
        <f>W4*IF(AND('01_Вводные'!$B$294="Да",X$3&gt;='01_Вводные'!$B$293,MONTH(X$3)=MONTH('01_Вводные'!$B$293)),1+X5,1)</f>
        <v/>
      </c>
      <c r="Y4" s="136">
        <f>X4*IF(AND('01_Вводные'!$B$294="Да",Y$3&gt;='01_Вводные'!$B$293,MONTH(Y$3)=MONTH('01_Вводные'!$B$293)),1+Y5,1)</f>
        <v/>
      </c>
      <c r="Z4" s="136">
        <f>Y4*IF(AND('01_Вводные'!$B$294="Да",Z$3&gt;='01_Вводные'!$B$293,MONTH(Z$3)=MONTH('01_Вводные'!$B$293)),1+Z5,1)</f>
        <v/>
      </c>
      <c r="AA4" s="136">
        <f>Z4*IF(AND('01_Вводные'!$B$294="Да",AA$3&gt;='01_Вводные'!$B$293,MONTH(AA$3)=MONTH('01_Вводные'!$B$293)),1+AA5,1)</f>
        <v/>
      </c>
      <c r="AB4" s="136">
        <f>AA4*IF(AND('01_Вводные'!$B$294="Да",AB$3&gt;='01_Вводные'!$B$293,MONTH(AB$3)=MONTH('01_Вводные'!$B$293)),1+AB5,1)</f>
        <v/>
      </c>
      <c r="AC4" s="136">
        <f>AB4*IF(AND('01_Вводные'!$B$294="Да",AC$3&gt;='01_Вводные'!$B$293,MONTH(AC$3)=MONTH('01_Вводные'!$B$293)),1+AC5,1)</f>
        <v/>
      </c>
      <c r="AD4" s="136">
        <f>AC4*IF(AND('01_Вводные'!$B$294="Да",AD$3&gt;='01_Вводные'!$B$293,MONTH(AD$3)=MONTH('01_Вводные'!$B$293)),1+AD5,1)</f>
        <v/>
      </c>
      <c r="AE4" s="136">
        <f>AD4*IF(AND('01_Вводные'!$B$294="Да",AE$3&gt;='01_Вводные'!$B$293,MONTH(AE$3)=MONTH('01_Вводные'!$B$293)),1+AE5,1)</f>
        <v/>
      </c>
      <c r="AF4" s="136">
        <f>AE4*IF(AND('01_Вводные'!$B$294="Да",AF$3&gt;='01_Вводные'!$B$293,MONTH(AF$3)=MONTH('01_Вводные'!$B$293)),1+AF5,1)</f>
        <v/>
      </c>
      <c r="AG4" s="136">
        <f>AF4*IF(AND('01_Вводные'!$B$294="Да",AG$3&gt;='01_Вводные'!$B$293,MONTH(AG$3)=MONTH('01_Вводные'!$B$293)),1+AG5,1)</f>
        <v/>
      </c>
      <c r="AH4" s="136">
        <f>AG4*IF(AND('01_Вводные'!$B$294="Да",AH$3&gt;='01_Вводные'!$B$293,MONTH(AH$3)=MONTH('01_Вводные'!$B$293)),1+AH5,1)</f>
        <v/>
      </c>
      <c r="AI4" s="136">
        <f>AH4*IF(AND('01_Вводные'!$B$294="Да",AI$3&gt;='01_Вводные'!$B$293,MONTH(AI$3)=MONTH('01_Вводные'!$B$293)),1+AI5,1)</f>
        <v/>
      </c>
      <c r="AJ4" s="136">
        <f>AI4*IF(AND('01_Вводные'!$B$294="Да",AJ$3&gt;='01_Вводные'!$B$293,MONTH(AJ$3)=MONTH('01_Вводные'!$B$293)),1+AJ5,1)</f>
        <v/>
      </c>
      <c r="AK4" s="136">
        <f>AJ4*IF(AND('01_Вводные'!$B$294="Да",AK$3&gt;='01_Вводные'!$B$293,MONTH(AK$3)=MONTH('01_Вводные'!$B$293)),1+AK5,1)</f>
        <v/>
      </c>
      <c r="AL4" s="136">
        <f>AK4*IF(AND('01_Вводные'!$B$294="Да",AL$3&gt;='01_Вводные'!$B$293,MONTH(AL$3)=MONTH('01_Вводные'!$B$293)),1+AL5,1)</f>
        <v/>
      </c>
      <c r="AM4" s="136">
        <f>AL4*IF(AND('01_Вводные'!$B$294="Да",AM$3&gt;='01_Вводные'!$B$293,MONTH(AM$3)=MONTH('01_Вводные'!$B$293)),1+AM5,1)</f>
        <v/>
      </c>
      <c r="AN4" s="136">
        <f>AM4*IF(AND('01_Вводные'!$B$294="Да",AN$3&gt;='01_Вводные'!$B$293,MONTH(AN$3)=MONTH('01_Вводные'!$B$293)),1+AN5,1)</f>
        <v/>
      </c>
      <c r="AO4" s="136">
        <f>AN4*IF(AND('01_Вводные'!$B$294="Да",AO$3&gt;='01_Вводные'!$B$293,MONTH(AO$3)=MONTH('01_Вводные'!$B$293)),1+AO5,1)</f>
        <v/>
      </c>
      <c r="AP4" s="136">
        <f>AO4*IF(AND('01_Вводные'!$B$294="Да",AP$3&gt;='01_Вводные'!$B$293,MONTH(AP$3)=MONTH('01_Вводные'!$B$293)),1+AP5,1)</f>
        <v/>
      </c>
      <c r="AQ4" s="136">
        <f>AP4*IF(AND('01_Вводные'!$B$294="Да",AQ$3&gt;='01_Вводные'!$B$293,MONTH(AQ$3)=MONTH('01_Вводные'!$B$293)),1+AQ5,1)</f>
        <v/>
      </c>
      <c r="AR4" s="136">
        <f>AQ4*IF(AND('01_Вводные'!$B$294="Да",AR$3&gt;='01_Вводные'!$B$293,MONTH(AR$3)=MONTH('01_Вводные'!$B$293)),1+AR5,1)</f>
        <v/>
      </c>
      <c r="AS4" s="136">
        <f>AR4*IF(AND('01_Вводные'!$B$294="Да",AS$3&gt;='01_Вводные'!$B$293,MONTH(AS$3)=MONTH('01_Вводные'!$B$293)),1+AS5,1)</f>
        <v/>
      </c>
      <c r="AT4" s="136">
        <f>AS4*IF(AND('01_Вводные'!$B$294="Да",AT$3&gt;='01_Вводные'!$B$293,MONTH(AT$3)=MONTH('01_Вводные'!$B$293)),1+AT5,1)</f>
        <v/>
      </c>
      <c r="AU4" s="136">
        <f>AT4*IF(AND('01_Вводные'!$B$294="Да",AU$3&gt;='01_Вводные'!$B$293,MONTH(AU$3)=MONTH('01_Вводные'!$B$293)),1+AU5,1)</f>
        <v/>
      </c>
      <c r="AV4" s="136">
        <f>AU4*IF(AND('01_Вводные'!$B$294="Да",AV$3&gt;='01_Вводные'!$B$293,MONTH(AV$3)=MONTH('01_Вводные'!$B$293)),1+AV5,1)</f>
        <v/>
      </c>
      <c r="AW4" s="136">
        <f>AV4*IF(AND('01_Вводные'!$B$294="Да",AW$3&gt;='01_Вводные'!$B$293,MONTH(AW$3)=MONTH('01_Вводные'!$B$293)),1+AW5,1)</f>
        <v/>
      </c>
      <c r="AX4" s="136">
        <f>AW4*IF(AND('01_Вводные'!$B$294="Да",AX$3&gt;='01_Вводные'!$B$293,MONTH(AX$3)=MONTH('01_Вводные'!$B$293)),1+AX5,1)</f>
        <v/>
      </c>
      <c r="AY4" s="136">
        <f>AX4*IF(AND('01_Вводные'!$B$294="Да",AY$3&gt;='01_Вводные'!$B$293,MONTH(AY$3)=MONTH('01_Вводные'!$B$293)),1+AY5,1)</f>
        <v/>
      </c>
      <c r="AZ4" s="136">
        <f>AY4*IF(AND('01_Вводные'!$B$294="Да",AZ$3&gt;='01_Вводные'!$B$293,MONTH(AZ$3)=MONTH('01_Вводные'!$B$293)),1+AZ5,1)</f>
        <v/>
      </c>
      <c r="BA4" s="136">
        <f>AZ4*IF(AND('01_Вводные'!$B$294="Да",BA$3&gt;='01_Вводные'!$B$293,MONTH(BA$3)=MONTH('01_Вводные'!$B$293)),1+BA5,1)</f>
        <v/>
      </c>
      <c r="BB4" s="136">
        <f>BA4*IF(AND('01_Вводные'!$B$294="Да",BB$3&gt;='01_Вводные'!$B$293,MONTH(BB$3)=MONTH('01_Вводные'!$B$293)),1+BB5,1)</f>
        <v/>
      </c>
      <c r="BC4" s="136">
        <f>BB4*IF(AND('01_Вводные'!$B$294="Да",BC$3&gt;='01_Вводные'!$B$293,MONTH(BC$3)=MONTH('01_Вводные'!$B$293)),1+BC5,1)</f>
        <v/>
      </c>
      <c r="BD4" s="136">
        <f>BC4*IF(AND('01_Вводные'!$B$294="Да",BD$3&gt;='01_Вводные'!$B$293,MONTH(BD$3)=MONTH('01_Вводные'!$B$293)),1+BD5,1)</f>
        <v/>
      </c>
      <c r="BE4" s="136">
        <f>BD4*IF(AND('01_Вводные'!$B$294="Да",BE$3&gt;='01_Вводные'!$B$293,MONTH(BE$3)=MONTH('01_Вводные'!$B$293)),1+BE5,1)</f>
        <v/>
      </c>
      <c r="BF4" s="136">
        <f>BE4*IF(AND('01_Вводные'!$B$294="Да",BF$3&gt;='01_Вводные'!$B$293,MONTH(BF$3)=MONTH('01_Вводные'!$B$293)),1+BF5,1)</f>
        <v/>
      </c>
      <c r="BG4" s="136">
        <f>BF4*IF(AND('01_Вводные'!$B$294="Да",BG$3&gt;='01_Вводные'!$B$293,MONTH(BG$3)=MONTH('01_Вводные'!$B$293)),1+BG5,1)</f>
        <v/>
      </c>
      <c r="BH4" s="136">
        <f>BG4*IF(AND('01_Вводные'!$B$294="Да",BH$3&gt;='01_Вводные'!$B$293,MONTH(BH$3)=MONTH('01_Вводные'!$B$293)),1+BH5,1)</f>
        <v/>
      </c>
      <c r="BI4" s="136">
        <f>BH4*IF(AND('01_Вводные'!$B$294="Да",BI$3&gt;='01_Вводные'!$B$293,MONTH(BI$3)=MONTH('01_Вводные'!$B$293)),1+BI5,1)</f>
        <v/>
      </c>
      <c r="BJ4" s="136">
        <f>BI4*IF(AND('01_Вводные'!$B$294="Да",BJ$3&gt;='01_Вводные'!$B$293,MONTH(BJ$3)=MONTH('01_Вводные'!$B$293)),1+BJ5,1)</f>
        <v/>
      </c>
      <c r="BK4" s="136">
        <f>BJ4*IF(AND('01_Вводные'!$B$294="Да",BK$3&gt;='01_Вводные'!$B$293,MONTH(BK$3)=MONTH('01_Вводные'!$B$293)),1+BK5,1)</f>
        <v/>
      </c>
      <c r="BL4" s="136">
        <f>BK4*IF(AND('01_Вводные'!$B$294="Да",BL$3&gt;='01_Вводные'!$B$293,MONTH(BL$3)=MONTH('01_Вводные'!$B$293)),1+BL5,1)</f>
        <v/>
      </c>
      <c r="BM4" s="136">
        <f>BL4*IF(AND('01_Вводные'!$B$294="Да",BM$3&gt;='01_Вводные'!$B$293,MONTH(BM$3)=MONTH('01_Вводные'!$B$293)),1+BM5,1)</f>
        <v/>
      </c>
      <c r="BN4" s="136">
        <f>BM4*IF(AND('01_Вводные'!$B$294="Да",BN$3&gt;='01_Вводные'!$B$293,MONTH(BN$3)=MONTH('01_Вводные'!$B$293)),1+BN5,1)</f>
        <v/>
      </c>
      <c r="BO4" s="136">
        <f>BN4*IF(AND('01_Вводные'!$B$294="Да",BO$3&gt;='01_Вводные'!$B$293,MONTH(BO$3)=MONTH('01_Вводные'!$B$293)),1+BO5,1)</f>
        <v/>
      </c>
    </row>
    <row r="5">
      <c r="A5" s="134" t="inlineStr">
        <is>
          <t>Инфляция года</t>
        </is>
      </c>
      <c r="B5" s="136">
        <f>SUMIF('01_Вводные'!$A$301:$A$307,YEAR(B$3),'01_Вводные'!$B$301:$B$307)</f>
        <v/>
      </c>
      <c r="C5" s="136">
        <f>SUMIF('01_Вводные'!$A$301:$A$307,YEAR(C$3),'01_Вводные'!$B$301:$B$307)</f>
        <v/>
      </c>
      <c r="D5" s="136">
        <f>SUMIF('01_Вводные'!$A$301:$A$307,YEAR(D$3),'01_Вводные'!$B$301:$B$307)</f>
        <v/>
      </c>
      <c r="E5" s="136">
        <f>SUMIF('01_Вводные'!$A$301:$A$307,YEAR(E$3),'01_Вводные'!$B$301:$B$307)</f>
        <v/>
      </c>
      <c r="F5" s="136">
        <f>SUMIF('01_Вводные'!$A$301:$A$307,YEAR(F$3),'01_Вводные'!$B$301:$B$307)</f>
        <v/>
      </c>
      <c r="G5" s="136">
        <f>SUMIF('01_Вводные'!$A$301:$A$307,YEAR(G$3),'01_Вводные'!$B$301:$B$307)</f>
        <v/>
      </c>
      <c r="H5" s="136">
        <f>SUMIF('01_Вводные'!$A$301:$A$307,YEAR(H$3),'01_Вводные'!$B$301:$B$307)</f>
        <v/>
      </c>
      <c r="I5" s="136">
        <f>SUMIF('01_Вводные'!$A$301:$A$307,YEAR(I$3),'01_Вводные'!$B$301:$B$307)</f>
        <v/>
      </c>
      <c r="J5" s="136">
        <f>SUMIF('01_Вводные'!$A$301:$A$307,YEAR(J$3),'01_Вводные'!$B$301:$B$307)</f>
        <v/>
      </c>
      <c r="K5" s="136">
        <f>SUMIF('01_Вводные'!$A$301:$A$307,YEAR(K$3),'01_Вводные'!$B$301:$B$307)</f>
        <v/>
      </c>
      <c r="L5" s="136">
        <f>SUMIF('01_Вводные'!$A$301:$A$307,YEAR(L$3),'01_Вводные'!$B$301:$B$307)</f>
        <v/>
      </c>
      <c r="M5" s="136">
        <f>SUMIF('01_Вводные'!$A$301:$A$307,YEAR(M$3),'01_Вводные'!$B$301:$B$307)</f>
        <v/>
      </c>
      <c r="N5" s="136">
        <f>SUMIF('01_Вводные'!$A$301:$A$307,YEAR(N$3),'01_Вводные'!$B$301:$B$307)</f>
        <v/>
      </c>
      <c r="O5" s="136">
        <f>SUMIF('01_Вводные'!$A$301:$A$307,YEAR(O$3),'01_Вводные'!$B$301:$B$307)</f>
        <v/>
      </c>
      <c r="P5" s="136">
        <f>SUMIF('01_Вводные'!$A$301:$A$307,YEAR(P$3),'01_Вводные'!$B$301:$B$307)</f>
        <v/>
      </c>
      <c r="Q5" s="136">
        <f>SUMIF('01_Вводные'!$A$301:$A$307,YEAR(Q$3),'01_Вводные'!$B$301:$B$307)</f>
        <v/>
      </c>
      <c r="R5" s="136">
        <f>SUMIF('01_Вводные'!$A$301:$A$307,YEAR(R$3),'01_Вводные'!$B$301:$B$307)</f>
        <v/>
      </c>
      <c r="S5" s="136">
        <f>SUMIF('01_Вводные'!$A$301:$A$307,YEAR(S$3),'01_Вводные'!$B$301:$B$307)</f>
        <v/>
      </c>
      <c r="T5" s="136">
        <f>SUMIF('01_Вводные'!$A$301:$A$307,YEAR(T$3),'01_Вводные'!$B$301:$B$307)</f>
        <v/>
      </c>
      <c r="U5" s="136">
        <f>SUMIF('01_Вводные'!$A$301:$A$307,YEAR(U$3),'01_Вводные'!$B$301:$B$307)</f>
        <v/>
      </c>
      <c r="V5" s="136">
        <f>SUMIF('01_Вводные'!$A$301:$A$307,YEAR(V$3),'01_Вводные'!$B$301:$B$307)</f>
        <v/>
      </c>
      <c r="W5" s="136">
        <f>SUMIF('01_Вводные'!$A$301:$A$307,YEAR(W$3),'01_Вводные'!$B$301:$B$307)</f>
        <v/>
      </c>
      <c r="X5" s="136">
        <f>SUMIF('01_Вводные'!$A$301:$A$307,YEAR(X$3),'01_Вводные'!$B$301:$B$307)</f>
        <v/>
      </c>
      <c r="Y5" s="136">
        <f>SUMIF('01_Вводные'!$A$301:$A$307,YEAR(Y$3),'01_Вводные'!$B$301:$B$307)</f>
        <v/>
      </c>
      <c r="Z5" s="136">
        <f>SUMIF('01_Вводные'!$A$301:$A$307,YEAR(Z$3),'01_Вводные'!$B$301:$B$307)</f>
        <v/>
      </c>
      <c r="AA5" s="136">
        <f>SUMIF('01_Вводные'!$A$301:$A$307,YEAR(AA$3),'01_Вводные'!$B$301:$B$307)</f>
        <v/>
      </c>
      <c r="AB5" s="136">
        <f>SUMIF('01_Вводные'!$A$301:$A$307,YEAR(AB$3),'01_Вводные'!$B$301:$B$307)</f>
        <v/>
      </c>
      <c r="AC5" s="136">
        <f>SUMIF('01_Вводные'!$A$301:$A$307,YEAR(AC$3),'01_Вводные'!$B$301:$B$307)</f>
        <v/>
      </c>
      <c r="AD5" s="136">
        <f>SUMIF('01_Вводные'!$A$301:$A$307,YEAR(AD$3),'01_Вводные'!$B$301:$B$307)</f>
        <v/>
      </c>
      <c r="AE5" s="136">
        <f>SUMIF('01_Вводные'!$A$301:$A$307,YEAR(AE$3),'01_Вводные'!$B$301:$B$307)</f>
        <v/>
      </c>
      <c r="AF5" s="136">
        <f>SUMIF('01_Вводные'!$A$301:$A$307,YEAR(AF$3),'01_Вводные'!$B$301:$B$307)</f>
        <v/>
      </c>
      <c r="AG5" s="136">
        <f>SUMIF('01_Вводные'!$A$301:$A$307,YEAR(AG$3),'01_Вводные'!$B$301:$B$307)</f>
        <v/>
      </c>
      <c r="AH5" s="136">
        <f>SUMIF('01_Вводные'!$A$301:$A$307,YEAR(AH$3),'01_Вводные'!$B$301:$B$307)</f>
        <v/>
      </c>
      <c r="AI5" s="136">
        <f>SUMIF('01_Вводные'!$A$301:$A$307,YEAR(AI$3),'01_Вводные'!$B$301:$B$307)</f>
        <v/>
      </c>
      <c r="AJ5" s="136">
        <f>SUMIF('01_Вводные'!$A$301:$A$307,YEAR(AJ$3),'01_Вводные'!$B$301:$B$307)</f>
        <v/>
      </c>
      <c r="AK5" s="136">
        <f>SUMIF('01_Вводные'!$A$301:$A$307,YEAR(AK$3),'01_Вводные'!$B$301:$B$307)</f>
        <v/>
      </c>
      <c r="AL5" s="136">
        <f>SUMIF('01_Вводные'!$A$301:$A$307,YEAR(AL$3),'01_Вводные'!$B$301:$B$307)</f>
        <v/>
      </c>
      <c r="AM5" s="136">
        <f>SUMIF('01_Вводные'!$A$301:$A$307,YEAR(AM$3),'01_Вводные'!$B$301:$B$307)</f>
        <v/>
      </c>
      <c r="AN5" s="136">
        <f>SUMIF('01_Вводные'!$A$301:$A$307,YEAR(AN$3),'01_Вводные'!$B$301:$B$307)</f>
        <v/>
      </c>
      <c r="AO5" s="136">
        <f>SUMIF('01_Вводные'!$A$301:$A$307,YEAR(AO$3),'01_Вводные'!$B$301:$B$307)</f>
        <v/>
      </c>
      <c r="AP5" s="136">
        <f>SUMIF('01_Вводные'!$A$301:$A$307,YEAR(AP$3),'01_Вводные'!$B$301:$B$307)</f>
        <v/>
      </c>
      <c r="AQ5" s="136">
        <f>SUMIF('01_Вводные'!$A$301:$A$307,YEAR(AQ$3),'01_Вводные'!$B$301:$B$307)</f>
        <v/>
      </c>
      <c r="AR5" s="136">
        <f>SUMIF('01_Вводные'!$A$301:$A$307,YEAR(AR$3),'01_Вводные'!$B$301:$B$307)</f>
        <v/>
      </c>
      <c r="AS5" s="136">
        <f>SUMIF('01_Вводные'!$A$301:$A$307,YEAR(AS$3),'01_Вводные'!$B$301:$B$307)</f>
        <v/>
      </c>
      <c r="AT5" s="136">
        <f>SUMIF('01_Вводные'!$A$301:$A$307,YEAR(AT$3),'01_Вводные'!$B$301:$B$307)</f>
        <v/>
      </c>
      <c r="AU5" s="136">
        <f>SUMIF('01_Вводные'!$A$301:$A$307,YEAR(AU$3),'01_Вводные'!$B$301:$B$307)</f>
        <v/>
      </c>
      <c r="AV5" s="136">
        <f>SUMIF('01_Вводные'!$A$301:$A$307,YEAR(AV$3),'01_Вводные'!$B$301:$B$307)</f>
        <v/>
      </c>
      <c r="AW5" s="136">
        <f>SUMIF('01_Вводные'!$A$301:$A$307,YEAR(AW$3),'01_Вводные'!$B$301:$B$307)</f>
        <v/>
      </c>
      <c r="AX5" s="136">
        <f>SUMIF('01_Вводные'!$A$301:$A$307,YEAR(AX$3),'01_Вводные'!$B$301:$B$307)</f>
        <v/>
      </c>
      <c r="AY5" s="136">
        <f>SUMIF('01_Вводные'!$A$301:$A$307,YEAR(AY$3),'01_Вводные'!$B$301:$B$307)</f>
        <v/>
      </c>
      <c r="AZ5" s="136">
        <f>SUMIF('01_Вводные'!$A$301:$A$307,YEAR(AZ$3),'01_Вводные'!$B$301:$B$307)</f>
        <v/>
      </c>
      <c r="BA5" s="136">
        <f>SUMIF('01_Вводные'!$A$301:$A$307,YEAR(BA$3),'01_Вводные'!$B$301:$B$307)</f>
        <v/>
      </c>
      <c r="BB5" s="136">
        <f>SUMIF('01_Вводные'!$A$301:$A$307,YEAR(BB$3),'01_Вводные'!$B$301:$B$307)</f>
        <v/>
      </c>
      <c r="BC5" s="136">
        <f>SUMIF('01_Вводные'!$A$301:$A$307,YEAR(BC$3),'01_Вводные'!$B$301:$B$307)</f>
        <v/>
      </c>
      <c r="BD5" s="136">
        <f>SUMIF('01_Вводные'!$A$301:$A$307,YEAR(BD$3),'01_Вводные'!$B$301:$B$307)</f>
        <v/>
      </c>
      <c r="BE5" s="136">
        <f>SUMIF('01_Вводные'!$A$301:$A$307,YEAR(BE$3),'01_Вводные'!$B$301:$B$307)</f>
        <v/>
      </c>
      <c r="BF5" s="136">
        <f>SUMIF('01_Вводные'!$A$301:$A$307,YEAR(BF$3),'01_Вводные'!$B$301:$B$307)</f>
        <v/>
      </c>
      <c r="BG5" s="136">
        <f>SUMIF('01_Вводные'!$A$301:$A$307,YEAR(BG$3),'01_Вводные'!$B$301:$B$307)</f>
        <v/>
      </c>
      <c r="BH5" s="136">
        <f>SUMIF('01_Вводные'!$A$301:$A$307,YEAR(BH$3),'01_Вводные'!$B$301:$B$307)</f>
        <v/>
      </c>
      <c r="BI5" s="136">
        <f>SUMIF('01_Вводные'!$A$301:$A$307,YEAR(BI$3),'01_Вводные'!$B$301:$B$307)</f>
        <v/>
      </c>
      <c r="BJ5" s="136">
        <f>SUMIF('01_Вводные'!$A$301:$A$307,YEAR(BJ$3),'01_Вводные'!$B$301:$B$307)</f>
        <v/>
      </c>
      <c r="BK5" s="136">
        <f>SUMIF('01_Вводные'!$A$301:$A$307,YEAR(BK$3),'01_Вводные'!$B$301:$B$307)</f>
        <v/>
      </c>
      <c r="BL5" s="136">
        <f>SUMIF('01_Вводные'!$A$301:$A$307,YEAR(BL$3),'01_Вводные'!$B$301:$B$307)</f>
        <v/>
      </c>
      <c r="BM5" s="136">
        <f>SUMIF('01_Вводные'!$A$301:$A$307,YEAR(BM$3),'01_Вводные'!$B$301:$B$307)</f>
        <v/>
      </c>
      <c r="BN5" s="136">
        <f>SUMIF('01_Вводные'!$A$301:$A$307,YEAR(BN$3),'01_Вводные'!$B$301:$B$307)</f>
        <v/>
      </c>
      <c r="BO5" s="136">
        <f>SUMIF('01_Вводные'!$A$301:$A$307,YEAR(BO$3),'01_Вводные'!$B$301:$B$307)</f>
        <v/>
      </c>
    </row>
    <row r="6">
      <c r="A6" s="134" t="inlineStr">
        <is>
          <t>Паушальный, с НДС</t>
        </is>
      </c>
      <c r="B6" s="136">
        <f>INDEX('01_Вводные'!$B$63:$B$67,MIN(5,INT(0/12)+1),1)*B4</f>
        <v/>
      </c>
      <c r="C6" s="136">
        <f>INDEX('01_Вводные'!$B$63:$B$67,MIN(5,INT(1/12)+1),1)*C4</f>
        <v/>
      </c>
      <c r="D6" s="136">
        <f>INDEX('01_Вводные'!$B$63:$B$67,MIN(5,INT(2/12)+1),1)*D4</f>
        <v/>
      </c>
      <c r="E6" s="136">
        <f>INDEX('01_Вводные'!$B$63:$B$67,MIN(5,INT(3/12)+1),1)*E4</f>
        <v/>
      </c>
      <c r="F6" s="136">
        <f>INDEX('01_Вводные'!$B$63:$B$67,MIN(5,INT(4/12)+1),1)*F4</f>
        <v/>
      </c>
      <c r="G6" s="136">
        <f>INDEX('01_Вводные'!$B$63:$B$67,MIN(5,INT(5/12)+1),1)*G4</f>
        <v/>
      </c>
      <c r="H6" s="136">
        <f>INDEX('01_Вводные'!$B$63:$B$67,MIN(5,INT(6/12)+1),1)*H4</f>
        <v/>
      </c>
      <c r="I6" s="136">
        <f>INDEX('01_Вводные'!$B$63:$B$67,MIN(5,INT(7/12)+1),1)*I4</f>
        <v/>
      </c>
      <c r="J6" s="136">
        <f>INDEX('01_Вводные'!$B$63:$B$67,MIN(5,INT(8/12)+1),1)*J4</f>
        <v/>
      </c>
      <c r="K6" s="136">
        <f>INDEX('01_Вводные'!$B$63:$B$67,MIN(5,INT(9/12)+1),1)*K4</f>
        <v/>
      </c>
      <c r="L6" s="136">
        <f>INDEX('01_Вводные'!$B$63:$B$67,MIN(5,INT(10/12)+1),1)*L4</f>
        <v/>
      </c>
      <c r="M6" s="136">
        <f>INDEX('01_Вводные'!$B$63:$B$67,MIN(5,INT(11/12)+1),1)*M4</f>
        <v/>
      </c>
      <c r="N6" s="136">
        <f>INDEX('01_Вводные'!$B$63:$B$67,MIN(5,INT(12/12)+1),1)*N4</f>
        <v/>
      </c>
      <c r="O6" s="136">
        <f>INDEX('01_Вводные'!$B$63:$B$67,MIN(5,INT(13/12)+1),1)*O4</f>
        <v/>
      </c>
      <c r="P6" s="136">
        <f>INDEX('01_Вводные'!$B$63:$B$67,MIN(5,INT(14/12)+1),1)*P4</f>
        <v/>
      </c>
      <c r="Q6" s="136">
        <f>INDEX('01_Вводные'!$B$63:$B$67,MIN(5,INT(15/12)+1),1)*Q4</f>
        <v/>
      </c>
      <c r="R6" s="136">
        <f>INDEX('01_Вводные'!$B$63:$B$67,MIN(5,INT(16/12)+1),1)*R4</f>
        <v/>
      </c>
      <c r="S6" s="136">
        <f>INDEX('01_Вводные'!$B$63:$B$67,MIN(5,INT(17/12)+1),1)*S4</f>
        <v/>
      </c>
      <c r="T6" s="136">
        <f>INDEX('01_Вводные'!$B$63:$B$67,MIN(5,INT(18/12)+1),1)*T4</f>
        <v/>
      </c>
      <c r="U6" s="136">
        <f>INDEX('01_Вводные'!$B$63:$B$67,MIN(5,INT(19/12)+1),1)*U4</f>
        <v/>
      </c>
      <c r="V6" s="136">
        <f>INDEX('01_Вводные'!$B$63:$B$67,MIN(5,INT(20/12)+1),1)*V4</f>
        <v/>
      </c>
      <c r="W6" s="136">
        <f>INDEX('01_Вводные'!$B$63:$B$67,MIN(5,INT(21/12)+1),1)*W4</f>
        <v/>
      </c>
      <c r="X6" s="136">
        <f>INDEX('01_Вводные'!$B$63:$B$67,MIN(5,INT(22/12)+1),1)*X4</f>
        <v/>
      </c>
      <c r="Y6" s="136">
        <f>INDEX('01_Вводные'!$B$63:$B$67,MIN(5,INT(23/12)+1),1)*Y4</f>
        <v/>
      </c>
      <c r="Z6" s="136">
        <f>INDEX('01_Вводные'!$B$63:$B$67,MIN(5,INT(24/12)+1),1)*Z4</f>
        <v/>
      </c>
      <c r="AA6" s="136">
        <f>INDEX('01_Вводные'!$B$63:$B$67,MIN(5,INT(25/12)+1),1)*AA4</f>
        <v/>
      </c>
      <c r="AB6" s="136">
        <f>INDEX('01_Вводные'!$B$63:$B$67,MIN(5,INT(26/12)+1),1)*AB4</f>
        <v/>
      </c>
      <c r="AC6" s="136">
        <f>INDEX('01_Вводные'!$B$63:$B$67,MIN(5,INT(27/12)+1),1)*AC4</f>
        <v/>
      </c>
      <c r="AD6" s="136">
        <f>INDEX('01_Вводные'!$B$63:$B$67,MIN(5,INT(28/12)+1),1)*AD4</f>
        <v/>
      </c>
      <c r="AE6" s="136">
        <f>INDEX('01_Вводные'!$B$63:$B$67,MIN(5,INT(29/12)+1),1)*AE4</f>
        <v/>
      </c>
      <c r="AF6" s="136">
        <f>INDEX('01_Вводные'!$B$63:$B$67,MIN(5,INT(30/12)+1),1)*AF4</f>
        <v/>
      </c>
      <c r="AG6" s="136">
        <f>INDEX('01_Вводные'!$B$63:$B$67,MIN(5,INT(31/12)+1),1)*AG4</f>
        <v/>
      </c>
      <c r="AH6" s="136">
        <f>INDEX('01_Вводные'!$B$63:$B$67,MIN(5,INT(32/12)+1),1)*AH4</f>
        <v/>
      </c>
      <c r="AI6" s="136">
        <f>INDEX('01_Вводные'!$B$63:$B$67,MIN(5,INT(33/12)+1),1)*AI4</f>
        <v/>
      </c>
      <c r="AJ6" s="136">
        <f>INDEX('01_Вводные'!$B$63:$B$67,MIN(5,INT(34/12)+1),1)*AJ4</f>
        <v/>
      </c>
      <c r="AK6" s="136">
        <f>INDEX('01_Вводные'!$B$63:$B$67,MIN(5,INT(35/12)+1),1)*AK4</f>
        <v/>
      </c>
      <c r="AL6" s="136">
        <f>INDEX('01_Вводные'!$B$63:$B$67,MIN(5,INT(36/12)+1),1)*AL4</f>
        <v/>
      </c>
      <c r="AM6" s="136">
        <f>INDEX('01_Вводные'!$B$63:$B$67,MIN(5,INT(37/12)+1),1)*AM4</f>
        <v/>
      </c>
      <c r="AN6" s="136">
        <f>INDEX('01_Вводные'!$B$63:$B$67,MIN(5,INT(38/12)+1),1)*AN4</f>
        <v/>
      </c>
      <c r="AO6" s="136">
        <f>INDEX('01_Вводные'!$B$63:$B$67,MIN(5,INT(39/12)+1),1)*AO4</f>
        <v/>
      </c>
      <c r="AP6" s="136">
        <f>INDEX('01_Вводные'!$B$63:$B$67,MIN(5,INT(40/12)+1),1)*AP4</f>
        <v/>
      </c>
      <c r="AQ6" s="136">
        <f>INDEX('01_Вводные'!$B$63:$B$67,MIN(5,INT(41/12)+1),1)*AQ4</f>
        <v/>
      </c>
      <c r="AR6" s="136">
        <f>INDEX('01_Вводные'!$B$63:$B$67,MIN(5,INT(42/12)+1),1)*AR4</f>
        <v/>
      </c>
      <c r="AS6" s="136">
        <f>INDEX('01_Вводные'!$B$63:$B$67,MIN(5,INT(43/12)+1),1)*AS4</f>
        <v/>
      </c>
      <c r="AT6" s="136">
        <f>INDEX('01_Вводные'!$B$63:$B$67,MIN(5,INT(44/12)+1),1)*AT4</f>
        <v/>
      </c>
      <c r="AU6" s="136">
        <f>INDEX('01_Вводные'!$B$63:$B$67,MIN(5,INT(45/12)+1),1)*AU4</f>
        <v/>
      </c>
      <c r="AV6" s="136">
        <f>INDEX('01_Вводные'!$B$63:$B$67,MIN(5,INT(46/12)+1),1)*AV4</f>
        <v/>
      </c>
      <c r="AW6" s="136">
        <f>INDEX('01_Вводные'!$B$63:$B$67,MIN(5,INT(47/12)+1),1)*AW4</f>
        <v/>
      </c>
      <c r="AX6" s="136">
        <f>INDEX('01_Вводные'!$B$63:$B$67,MIN(5,INT(48/12)+1),1)*AX4</f>
        <v/>
      </c>
      <c r="AY6" s="136">
        <f>INDEX('01_Вводные'!$B$63:$B$67,MIN(5,INT(49/12)+1),1)*AY4</f>
        <v/>
      </c>
      <c r="AZ6" s="136">
        <f>INDEX('01_Вводные'!$B$63:$B$67,MIN(5,INT(50/12)+1),1)*AZ4</f>
        <v/>
      </c>
      <c r="BA6" s="136">
        <f>INDEX('01_Вводные'!$B$63:$B$67,MIN(5,INT(51/12)+1),1)*BA4</f>
        <v/>
      </c>
      <c r="BB6" s="136">
        <f>INDEX('01_Вводные'!$B$63:$B$67,MIN(5,INT(52/12)+1),1)*BB4</f>
        <v/>
      </c>
      <c r="BC6" s="136">
        <f>INDEX('01_Вводные'!$B$63:$B$67,MIN(5,INT(53/12)+1),1)*BC4</f>
        <v/>
      </c>
      <c r="BD6" s="136">
        <f>INDEX('01_Вводные'!$B$63:$B$67,MIN(5,INT(54/12)+1),1)*BD4</f>
        <v/>
      </c>
      <c r="BE6" s="136">
        <f>INDEX('01_Вводные'!$B$63:$B$67,MIN(5,INT(55/12)+1),1)*BE4</f>
        <v/>
      </c>
      <c r="BF6" s="136">
        <f>INDEX('01_Вводные'!$B$63:$B$67,MIN(5,INT(56/12)+1),1)*BF4</f>
        <v/>
      </c>
      <c r="BG6" s="136">
        <f>INDEX('01_Вводные'!$B$63:$B$67,MIN(5,INT(57/12)+1),1)*BG4</f>
        <v/>
      </c>
      <c r="BH6" s="136">
        <f>INDEX('01_Вводные'!$B$63:$B$67,MIN(5,INT(58/12)+1),1)*BH4</f>
        <v/>
      </c>
      <c r="BI6" s="136">
        <f>INDEX('01_Вводные'!$B$63:$B$67,MIN(5,INT(59/12)+1),1)*BI4</f>
        <v/>
      </c>
      <c r="BJ6" s="136">
        <f>INDEX('01_Вводные'!$B$63:$B$67,MIN(5,INT(60/12)+1),1)*BJ4</f>
        <v/>
      </c>
      <c r="BK6" s="136">
        <f>INDEX('01_Вводные'!$B$63:$B$67,MIN(5,INT(61/12)+1),1)*BK4</f>
        <v/>
      </c>
      <c r="BL6" s="136">
        <f>INDEX('01_Вводные'!$B$63:$B$67,MIN(5,INT(62/12)+1),1)*BL4</f>
        <v/>
      </c>
      <c r="BM6" s="136">
        <f>INDEX('01_Вводные'!$B$63:$B$67,MIN(5,INT(63/12)+1),1)*BM4</f>
        <v/>
      </c>
      <c r="BN6" s="136">
        <f>INDEX('01_Вводные'!$B$63:$B$67,MIN(5,INT(64/12)+1),1)*BN4</f>
        <v/>
      </c>
      <c r="BO6" s="136">
        <f>INDEX('01_Вводные'!$B$63:$B$67,MIN(5,INT(65/12)+1),1)*BO4</f>
        <v/>
      </c>
    </row>
    <row r="7">
      <c r="A7" s="134" t="inlineStr">
        <is>
          <t>Абонемент новой школы</t>
        </is>
      </c>
      <c r="B7" s="136">
        <f>INDEX('01_Вводные'!$C$63:$C$67,MIN(5,INT(0/12)+1),1)*B4</f>
        <v/>
      </c>
      <c r="C7" s="136">
        <f>INDEX('01_Вводные'!$C$63:$C$67,MIN(5,INT(1/12)+1),1)*C4</f>
        <v/>
      </c>
      <c r="D7" s="136">
        <f>INDEX('01_Вводные'!$C$63:$C$67,MIN(5,INT(2/12)+1),1)*D4</f>
        <v/>
      </c>
      <c r="E7" s="136">
        <f>INDEX('01_Вводные'!$C$63:$C$67,MIN(5,INT(3/12)+1),1)*E4</f>
        <v/>
      </c>
      <c r="F7" s="136">
        <f>INDEX('01_Вводные'!$C$63:$C$67,MIN(5,INT(4/12)+1),1)*F4</f>
        <v/>
      </c>
      <c r="G7" s="136">
        <f>INDEX('01_Вводные'!$C$63:$C$67,MIN(5,INT(5/12)+1),1)*G4</f>
        <v/>
      </c>
      <c r="H7" s="136">
        <f>INDEX('01_Вводные'!$C$63:$C$67,MIN(5,INT(6/12)+1),1)*H4</f>
        <v/>
      </c>
      <c r="I7" s="136">
        <f>INDEX('01_Вводные'!$C$63:$C$67,MIN(5,INT(7/12)+1),1)*I4</f>
        <v/>
      </c>
      <c r="J7" s="136">
        <f>INDEX('01_Вводные'!$C$63:$C$67,MIN(5,INT(8/12)+1),1)*J4</f>
        <v/>
      </c>
      <c r="K7" s="136">
        <f>INDEX('01_Вводные'!$C$63:$C$67,MIN(5,INT(9/12)+1),1)*K4</f>
        <v/>
      </c>
      <c r="L7" s="136">
        <f>INDEX('01_Вводные'!$C$63:$C$67,MIN(5,INT(10/12)+1),1)*L4</f>
        <v/>
      </c>
      <c r="M7" s="136">
        <f>INDEX('01_Вводные'!$C$63:$C$67,MIN(5,INT(11/12)+1),1)*M4</f>
        <v/>
      </c>
      <c r="N7" s="136">
        <f>INDEX('01_Вводные'!$C$63:$C$67,MIN(5,INT(12/12)+1),1)*N4</f>
        <v/>
      </c>
      <c r="O7" s="136">
        <f>INDEX('01_Вводные'!$C$63:$C$67,MIN(5,INT(13/12)+1),1)*O4</f>
        <v/>
      </c>
      <c r="P7" s="136">
        <f>INDEX('01_Вводные'!$C$63:$C$67,MIN(5,INT(14/12)+1),1)*P4</f>
        <v/>
      </c>
      <c r="Q7" s="136">
        <f>INDEX('01_Вводные'!$C$63:$C$67,MIN(5,INT(15/12)+1),1)*Q4</f>
        <v/>
      </c>
      <c r="R7" s="136">
        <f>INDEX('01_Вводные'!$C$63:$C$67,MIN(5,INT(16/12)+1),1)*R4</f>
        <v/>
      </c>
      <c r="S7" s="136">
        <f>INDEX('01_Вводные'!$C$63:$C$67,MIN(5,INT(17/12)+1),1)*S4</f>
        <v/>
      </c>
      <c r="T7" s="136">
        <f>INDEX('01_Вводные'!$C$63:$C$67,MIN(5,INT(18/12)+1),1)*T4</f>
        <v/>
      </c>
      <c r="U7" s="136">
        <f>INDEX('01_Вводные'!$C$63:$C$67,MIN(5,INT(19/12)+1),1)*U4</f>
        <v/>
      </c>
      <c r="V7" s="136">
        <f>INDEX('01_Вводные'!$C$63:$C$67,MIN(5,INT(20/12)+1),1)*V4</f>
        <v/>
      </c>
      <c r="W7" s="136">
        <f>INDEX('01_Вводные'!$C$63:$C$67,MIN(5,INT(21/12)+1),1)*W4</f>
        <v/>
      </c>
      <c r="X7" s="136">
        <f>INDEX('01_Вводные'!$C$63:$C$67,MIN(5,INT(22/12)+1),1)*X4</f>
        <v/>
      </c>
      <c r="Y7" s="136">
        <f>INDEX('01_Вводные'!$C$63:$C$67,MIN(5,INT(23/12)+1),1)*Y4</f>
        <v/>
      </c>
      <c r="Z7" s="136">
        <f>INDEX('01_Вводные'!$C$63:$C$67,MIN(5,INT(24/12)+1),1)*Z4</f>
        <v/>
      </c>
      <c r="AA7" s="136">
        <f>INDEX('01_Вводные'!$C$63:$C$67,MIN(5,INT(25/12)+1),1)*AA4</f>
        <v/>
      </c>
      <c r="AB7" s="136">
        <f>INDEX('01_Вводные'!$C$63:$C$67,MIN(5,INT(26/12)+1),1)*AB4</f>
        <v/>
      </c>
      <c r="AC7" s="136">
        <f>INDEX('01_Вводные'!$C$63:$C$67,MIN(5,INT(27/12)+1),1)*AC4</f>
        <v/>
      </c>
      <c r="AD7" s="136">
        <f>INDEX('01_Вводные'!$C$63:$C$67,MIN(5,INT(28/12)+1),1)*AD4</f>
        <v/>
      </c>
      <c r="AE7" s="136">
        <f>INDEX('01_Вводные'!$C$63:$C$67,MIN(5,INT(29/12)+1),1)*AE4</f>
        <v/>
      </c>
      <c r="AF7" s="136">
        <f>INDEX('01_Вводные'!$C$63:$C$67,MIN(5,INT(30/12)+1),1)*AF4</f>
        <v/>
      </c>
      <c r="AG7" s="136">
        <f>INDEX('01_Вводные'!$C$63:$C$67,MIN(5,INT(31/12)+1),1)*AG4</f>
        <v/>
      </c>
      <c r="AH7" s="136">
        <f>INDEX('01_Вводные'!$C$63:$C$67,MIN(5,INT(32/12)+1),1)*AH4</f>
        <v/>
      </c>
      <c r="AI7" s="136">
        <f>INDEX('01_Вводные'!$C$63:$C$67,MIN(5,INT(33/12)+1),1)*AI4</f>
        <v/>
      </c>
      <c r="AJ7" s="136">
        <f>INDEX('01_Вводные'!$C$63:$C$67,MIN(5,INT(34/12)+1),1)*AJ4</f>
        <v/>
      </c>
      <c r="AK7" s="136">
        <f>INDEX('01_Вводные'!$C$63:$C$67,MIN(5,INT(35/12)+1),1)*AK4</f>
        <v/>
      </c>
      <c r="AL7" s="136">
        <f>INDEX('01_Вводные'!$C$63:$C$67,MIN(5,INT(36/12)+1),1)*AL4</f>
        <v/>
      </c>
      <c r="AM7" s="136">
        <f>INDEX('01_Вводные'!$C$63:$C$67,MIN(5,INT(37/12)+1),1)*AM4</f>
        <v/>
      </c>
      <c r="AN7" s="136">
        <f>INDEX('01_Вводные'!$C$63:$C$67,MIN(5,INT(38/12)+1),1)*AN4</f>
        <v/>
      </c>
      <c r="AO7" s="136">
        <f>INDEX('01_Вводные'!$C$63:$C$67,MIN(5,INT(39/12)+1),1)*AO4</f>
        <v/>
      </c>
      <c r="AP7" s="136">
        <f>INDEX('01_Вводные'!$C$63:$C$67,MIN(5,INT(40/12)+1),1)*AP4</f>
        <v/>
      </c>
      <c r="AQ7" s="136">
        <f>INDEX('01_Вводные'!$C$63:$C$67,MIN(5,INT(41/12)+1),1)*AQ4</f>
        <v/>
      </c>
      <c r="AR7" s="136">
        <f>INDEX('01_Вводные'!$C$63:$C$67,MIN(5,INT(42/12)+1),1)*AR4</f>
        <v/>
      </c>
      <c r="AS7" s="136">
        <f>INDEX('01_Вводные'!$C$63:$C$67,MIN(5,INT(43/12)+1),1)*AS4</f>
        <v/>
      </c>
      <c r="AT7" s="136">
        <f>INDEX('01_Вводные'!$C$63:$C$67,MIN(5,INT(44/12)+1),1)*AT4</f>
        <v/>
      </c>
      <c r="AU7" s="136">
        <f>INDEX('01_Вводные'!$C$63:$C$67,MIN(5,INT(45/12)+1),1)*AU4</f>
        <v/>
      </c>
      <c r="AV7" s="136">
        <f>INDEX('01_Вводные'!$C$63:$C$67,MIN(5,INT(46/12)+1),1)*AV4</f>
        <v/>
      </c>
      <c r="AW7" s="136">
        <f>INDEX('01_Вводные'!$C$63:$C$67,MIN(5,INT(47/12)+1),1)*AW4</f>
        <v/>
      </c>
      <c r="AX7" s="136">
        <f>INDEX('01_Вводные'!$C$63:$C$67,MIN(5,INT(48/12)+1),1)*AX4</f>
        <v/>
      </c>
      <c r="AY7" s="136">
        <f>INDEX('01_Вводные'!$C$63:$C$67,MIN(5,INT(49/12)+1),1)*AY4</f>
        <v/>
      </c>
      <c r="AZ7" s="136">
        <f>INDEX('01_Вводные'!$C$63:$C$67,MIN(5,INT(50/12)+1),1)*AZ4</f>
        <v/>
      </c>
      <c r="BA7" s="136">
        <f>INDEX('01_Вводные'!$C$63:$C$67,MIN(5,INT(51/12)+1),1)*BA4</f>
        <v/>
      </c>
      <c r="BB7" s="136">
        <f>INDEX('01_Вводные'!$C$63:$C$67,MIN(5,INT(52/12)+1),1)*BB4</f>
        <v/>
      </c>
      <c r="BC7" s="136">
        <f>INDEX('01_Вводные'!$C$63:$C$67,MIN(5,INT(53/12)+1),1)*BC4</f>
        <v/>
      </c>
      <c r="BD7" s="136">
        <f>INDEX('01_Вводные'!$C$63:$C$67,MIN(5,INT(54/12)+1),1)*BD4</f>
        <v/>
      </c>
      <c r="BE7" s="136">
        <f>INDEX('01_Вводные'!$C$63:$C$67,MIN(5,INT(55/12)+1),1)*BE4</f>
        <v/>
      </c>
      <c r="BF7" s="136">
        <f>INDEX('01_Вводные'!$C$63:$C$67,MIN(5,INT(56/12)+1),1)*BF4</f>
        <v/>
      </c>
      <c r="BG7" s="136">
        <f>INDEX('01_Вводные'!$C$63:$C$67,MIN(5,INT(57/12)+1),1)*BG4</f>
        <v/>
      </c>
      <c r="BH7" s="136">
        <f>INDEX('01_Вводные'!$C$63:$C$67,MIN(5,INT(58/12)+1),1)*BH4</f>
        <v/>
      </c>
      <c r="BI7" s="136">
        <f>INDEX('01_Вводные'!$C$63:$C$67,MIN(5,INT(59/12)+1),1)*BI4</f>
        <v/>
      </c>
      <c r="BJ7" s="136">
        <f>INDEX('01_Вводные'!$C$63:$C$67,MIN(5,INT(60/12)+1),1)*BJ4</f>
        <v/>
      </c>
      <c r="BK7" s="136">
        <f>INDEX('01_Вводные'!$C$63:$C$67,MIN(5,INT(61/12)+1),1)*BK4</f>
        <v/>
      </c>
      <c r="BL7" s="136">
        <f>INDEX('01_Вводные'!$C$63:$C$67,MIN(5,INT(62/12)+1),1)*BL4</f>
        <v/>
      </c>
      <c r="BM7" s="136">
        <f>INDEX('01_Вводные'!$C$63:$C$67,MIN(5,INT(63/12)+1),1)*BM4</f>
        <v/>
      </c>
      <c r="BN7" s="136">
        <f>INDEX('01_Вводные'!$C$63:$C$67,MIN(5,INT(64/12)+1),1)*BN4</f>
        <v/>
      </c>
      <c r="BO7" s="136">
        <f>INDEX('01_Вводные'!$C$63:$C$67,MIN(5,INT(65/12)+1),1)*BO4</f>
        <v/>
      </c>
    </row>
    <row r="8">
      <c r="A8" s="134" t="inlineStr">
        <is>
          <t>Абонемент действующей сети</t>
        </is>
      </c>
      <c r="B8" s="136">
        <f>'01_Вводные'!$B$51*B4</f>
        <v/>
      </c>
      <c r="C8" s="136">
        <f>'01_Вводные'!$B$51*C4</f>
        <v/>
      </c>
      <c r="D8" s="136">
        <f>'01_Вводные'!$B$51*D4</f>
        <v/>
      </c>
      <c r="E8" s="136">
        <f>'01_Вводные'!$B$51*E4</f>
        <v/>
      </c>
      <c r="F8" s="136">
        <f>'01_Вводные'!$B$51*F4</f>
        <v/>
      </c>
      <c r="G8" s="136">
        <f>'01_Вводные'!$B$51*G4</f>
        <v/>
      </c>
      <c r="H8" s="136">
        <f>'01_Вводные'!$B$51*H4</f>
        <v/>
      </c>
      <c r="I8" s="136">
        <f>'01_Вводные'!$B$51*I4</f>
        <v/>
      </c>
      <c r="J8" s="136">
        <f>'01_Вводные'!$B$51*J4</f>
        <v/>
      </c>
      <c r="K8" s="136">
        <f>'01_Вводные'!$B$51*K4</f>
        <v/>
      </c>
      <c r="L8" s="136">
        <f>'01_Вводные'!$B$51*L4</f>
        <v/>
      </c>
      <c r="M8" s="136">
        <f>'01_Вводные'!$B$51*M4</f>
        <v/>
      </c>
      <c r="N8" s="136">
        <f>'01_Вводные'!$B$51*N4</f>
        <v/>
      </c>
      <c r="O8" s="136">
        <f>'01_Вводные'!$B$51*O4</f>
        <v/>
      </c>
      <c r="P8" s="136">
        <f>'01_Вводные'!$B$51*P4</f>
        <v/>
      </c>
      <c r="Q8" s="136">
        <f>'01_Вводные'!$B$51*Q4</f>
        <v/>
      </c>
      <c r="R8" s="136">
        <f>'01_Вводные'!$B$51*R4</f>
        <v/>
      </c>
      <c r="S8" s="136">
        <f>'01_Вводные'!$B$51*S4</f>
        <v/>
      </c>
      <c r="T8" s="136">
        <f>'01_Вводные'!$B$51*T4</f>
        <v/>
      </c>
      <c r="U8" s="136">
        <f>'01_Вводные'!$B$51*U4</f>
        <v/>
      </c>
      <c r="V8" s="136">
        <f>'01_Вводные'!$B$51*V4</f>
        <v/>
      </c>
      <c r="W8" s="136">
        <f>'01_Вводные'!$B$51*W4</f>
        <v/>
      </c>
      <c r="X8" s="136">
        <f>'01_Вводные'!$B$51*X4</f>
        <v/>
      </c>
      <c r="Y8" s="136">
        <f>'01_Вводные'!$B$51*Y4</f>
        <v/>
      </c>
      <c r="Z8" s="136">
        <f>'01_Вводные'!$B$51*Z4</f>
        <v/>
      </c>
      <c r="AA8" s="136">
        <f>'01_Вводные'!$B$51*AA4</f>
        <v/>
      </c>
      <c r="AB8" s="136">
        <f>'01_Вводные'!$B$51*AB4</f>
        <v/>
      </c>
      <c r="AC8" s="136">
        <f>'01_Вводные'!$B$51*AC4</f>
        <v/>
      </c>
      <c r="AD8" s="136">
        <f>'01_Вводные'!$B$51*AD4</f>
        <v/>
      </c>
      <c r="AE8" s="136">
        <f>'01_Вводные'!$B$51*AE4</f>
        <v/>
      </c>
      <c r="AF8" s="136">
        <f>'01_Вводные'!$B$51*AF4</f>
        <v/>
      </c>
      <c r="AG8" s="136">
        <f>'01_Вводные'!$B$51*AG4</f>
        <v/>
      </c>
      <c r="AH8" s="136">
        <f>'01_Вводные'!$B$51*AH4</f>
        <v/>
      </c>
      <c r="AI8" s="136">
        <f>'01_Вводные'!$B$51*AI4</f>
        <v/>
      </c>
      <c r="AJ8" s="136">
        <f>'01_Вводные'!$B$51*AJ4</f>
        <v/>
      </c>
      <c r="AK8" s="136">
        <f>'01_Вводные'!$B$51*AK4</f>
        <v/>
      </c>
      <c r="AL8" s="136">
        <f>'01_Вводные'!$B$51*AL4</f>
        <v/>
      </c>
      <c r="AM8" s="136">
        <f>'01_Вводные'!$B$51*AM4</f>
        <v/>
      </c>
      <c r="AN8" s="136">
        <f>'01_Вводные'!$B$51*AN4</f>
        <v/>
      </c>
      <c r="AO8" s="136">
        <f>'01_Вводные'!$B$51*AO4</f>
        <v/>
      </c>
      <c r="AP8" s="136">
        <f>'01_Вводные'!$B$51*AP4</f>
        <v/>
      </c>
      <c r="AQ8" s="136">
        <f>'01_Вводные'!$B$51*AQ4</f>
        <v/>
      </c>
      <c r="AR8" s="136">
        <f>'01_Вводные'!$B$51*AR4</f>
        <v/>
      </c>
      <c r="AS8" s="136">
        <f>'01_Вводные'!$B$51*AS4</f>
        <v/>
      </c>
      <c r="AT8" s="136">
        <f>'01_Вводные'!$B$51*AT4</f>
        <v/>
      </c>
      <c r="AU8" s="136">
        <f>'01_Вводные'!$B$51*AU4</f>
        <v/>
      </c>
      <c r="AV8" s="136">
        <f>'01_Вводные'!$B$51*AV4</f>
        <v/>
      </c>
      <c r="AW8" s="136">
        <f>'01_Вводные'!$B$51*AW4</f>
        <v/>
      </c>
      <c r="AX8" s="136">
        <f>'01_Вводные'!$B$51*AX4</f>
        <v/>
      </c>
      <c r="AY8" s="136">
        <f>'01_Вводные'!$B$51*AY4</f>
        <v/>
      </c>
      <c r="AZ8" s="136">
        <f>'01_Вводные'!$B$51*AZ4</f>
        <v/>
      </c>
      <c r="BA8" s="136">
        <f>'01_Вводные'!$B$51*BA4</f>
        <v/>
      </c>
      <c r="BB8" s="136">
        <f>'01_Вводные'!$B$51*BB4</f>
        <v/>
      </c>
      <c r="BC8" s="136">
        <f>'01_Вводные'!$B$51*BC4</f>
        <v/>
      </c>
      <c r="BD8" s="136">
        <f>'01_Вводные'!$B$51*BD4</f>
        <v/>
      </c>
      <c r="BE8" s="136">
        <f>'01_Вводные'!$B$51*BE4</f>
        <v/>
      </c>
      <c r="BF8" s="136">
        <f>'01_Вводные'!$B$51*BF4</f>
        <v/>
      </c>
      <c r="BG8" s="136">
        <f>'01_Вводные'!$B$51*BG4</f>
        <v/>
      </c>
      <c r="BH8" s="136">
        <f>'01_Вводные'!$B$51*BH4</f>
        <v/>
      </c>
      <c r="BI8" s="136">
        <f>'01_Вводные'!$B$51*BI4</f>
        <v/>
      </c>
      <c r="BJ8" s="136">
        <f>'01_Вводные'!$B$51*BJ4</f>
        <v/>
      </c>
      <c r="BK8" s="136">
        <f>'01_Вводные'!$B$51*BK4</f>
        <v/>
      </c>
      <c r="BL8" s="136">
        <f>'01_Вводные'!$B$51*BL4</f>
        <v/>
      </c>
      <c r="BM8" s="136">
        <f>'01_Вводные'!$B$51*BM4</f>
        <v/>
      </c>
      <c r="BN8" s="136">
        <f>'01_Вводные'!$B$51*BN4</f>
        <v/>
      </c>
      <c r="BO8" s="136">
        <f>'01_Вводные'!$B$51*BO4</f>
        <v/>
      </c>
    </row>
    <row r="9">
      <c r="A9" s="134" t="inlineStr">
        <is>
          <t>Себестоимость комплекта</t>
        </is>
      </c>
      <c r="B9" s="136">
        <f>'01_Вводные'!$B$71*B4</f>
        <v/>
      </c>
      <c r="C9" s="136">
        <f>'01_Вводные'!$B$71*C4</f>
        <v/>
      </c>
      <c r="D9" s="136">
        <f>'01_Вводные'!$B$71*D4</f>
        <v/>
      </c>
      <c r="E9" s="136">
        <f>'01_Вводные'!$B$71*E4</f>
        <v/>
      </c>
      <c r="F9" s="136">
        <f>'01_Вводные'!$B$71*F4</f>
        <v/>
      </c>
      <c r="G9" s="136">
        <f>'01_Вводные'!$B$71*G4</f>
        <v/>
      </c>
      <c r="H9" s="136">
        <f>'01_Вводные'!$B$71*H4</f>
        <v/>
      </c>
      <c r="I9" s="136">
        <f>'01_Вводные'!$B$71*I4</f>
        <v/>
      </c>
      <c r="J9" s="136">
        <f>'01_Вводные'!$B$71*J4</f>
        <v/>
      </c>
      <c r="K9" s="136">
        <f>'01_Вводные'!$B$71*K4</f>
        <v/>
      </c>
      <c r="L9" s="136">
        <f>'01_Вводные'!$B$71*L4</f>
        <v/>
      </c>
      <c r="M9" s="136">
        <f>'01_Вводные'!$B$71*M4</f>
        <v/>
      </c>
      <c r="N9" s="136">
        <f>'01_Вводные'!$B$71*N4</f>
        <v/>
      </c>
      <c r="O9" s="136">
        <f>'01_Вводные'!$B$71*O4</f>
        <v/>
      </c>
      <c r="P9" s="136">
        <f>'01_Вводные'!$B$71*P4</f>
        <v/>
      </c>
      <c r="Q9" s="136">
        <f>'01_Вводные'!$B$71*Q4</f>
        <v/>
      </c>
      <c r="R9" s="136">
        <f>'01_Вводные'!$B$71*R4</f>
        <v/>
      </c>
      <c r="S9" s="136">
        <f>'01_Вводные'!$B$71*S4</f>
        <v/>
      </c>
      <c r="T9" s="136">
        <f>'01_Вводные'!$B$71*T4</f>
        <v/>
      </c>
      <c r="U9" s="136">
        <f>'01_Вводные'!$B$71*U4</f>
        <v/>
      </c>
      <c r="V9" s="136">
        <f>'01_Вводные'!$B$71*V4</f>
        <v/>
      </c>
      <c r="W9" s="136">
        <f>'01_Вводные'!$B$71*W4</f>
        <v/>
      </c>
      <c r="X9" s="136">
        <f>'01_Вводные'!$B$71*X4</f>
        <v/>
      </c>
      <c r="Y9" s="136">
        <f>'01_Вводные'!$B$71*Y4</f>
        <v/>
      </c>
      <c r="Z9" s="136">
        <f>'01_Вводные'!$B$71*Z4</f>
        <v/>
      </c>
      <c r="AA9" s="136">
        <f>'01_Вводные'!$B$71*AA4</f>
        <v/>
      </c>
      <c r="AB9" s="136">
        <f>'01_Вводные'!$B$71*AB4</f>
        <v/>
      </c>
      <c r="AC9" s="136">
        <f>'01_Вводные'!$B$71*AC4</f>
        <v/>
      </c>
      <c r="AD9" s="136">
        <f>'01_Вводные'!$B$71*AD4</f>
        <v/>
      </c>
      <c r="AE9" s="136">
        <f>'01_Вводные'!$B$71*AE4</f>
        <v/>
      </c>
      <c r="AF9" s="136">
        <f>'01_Вводные'!$B$71*AF4</f>
        <v/>
      </c>
      <c r="AG9" s="136">
        <f>'01_Вводные'!$B$71*AG4</f>
        <v/>
      </c>
      <c r="AH9" s="136">
        <f>'01_Вводные'!$B$71*AH4</f>
        <v/>
      </c>
      <c r="AI9" s="136">
        <f>'01_Вводные'!$B$71*AI4</f>
        <v/>
      </c>
      <c r="AJ9" s="136">
        <f>'01_Вводные'!$B$71*AJ4</f>
        <v/>
      </c>
      <c r="AK9" s="136">
        <f>'01_Вводные'!$B$71*AK4</f>
        <v/>
      </c>
      <c r="AL9" s="136">
        <f>'01_Вводные'!$B$71*AL4</f>
        <v/>
      </c>
      <c r="AM9" s="136">
        <f>'01_Вводные'!$B$71*AM4</f>
        <v/>
      </c>
      <c r="AN9" s="136">
        <f>'01_Вводные'!$B$71*AN4</f>
        <v/>
      </c>
      <c r="AO9" s="136">
        <f>'01_Вводные'!$B$71*AO4</f>
        <v/>
      </c>
      <c r="AP9" s="136">
        <f>'01_Вводные'!$B$71*AP4</f>
        <v/>
      </c>
      <c r="AQ9" s="136">
        <f>'01_Вводные'!$B$71*AQ4</f>
        <v/>
      </c>
      <c r="AR9" s="136">
        <f>'01_Вводные'!$B$71*AR4</f>
        <v/>
      </c>
      <c r="AS9" s="136">
        <f>'01_Вводные'!$B$71*AS4</f>
        <v/>
      </c>
      <c r="AT9" s="136">
        <f>'01_Вводные'!$B$71*AT4</f>
        <v/>
      </c>
      <c r="AU9" s="136">
        <f>'01_Вводные'!$B$71*AU4</f>
        <v/>
      </c>
      <c r="AV9" s="136">
        <f>'01_Вводные'!$B$71*AV4</f>
        <v/>
      </c>
      <c r="AW9" s="136">
        <f>'01_Вводные'!$B$71*AW4</f>
        <v/>
      </c>
      <c r="AX9" s="136">
        <f>'01_Вводные'!$B$71*AX4</f>
        <v/>
      </c>
      <c r="AY9" s="136">
        <f>'01_Вводные'!$B$71*AY4</f>
        <v/>
      </c>
      <c r="AZ9" s="136">
        <f>'01_Вводные'!$B$71*AZ4</f>
        <v/>
      </c>
      <c r="BA9" s="136">
        <f>'01_Вводные'!$B$71*BA4</f>
        <v/>
      </c>
      <c r="BB9" s="136">
        <f>'01_Вводные'!$B$71*BB4</f>
        <v/>
      </c>
      <c r="BC9" s="136">
        <f>'01_Вводные'!$B$71*BC4</f>
        <v/>
      </c>
      <c r="BD9" s="136">
        <f>'01_Вводные'!$B$71*BD4</f>
        <v/>
      </c>
      <c r="BE9" s="136">
        <f>'01_Вводные'!$B$71*BE4</f>
        <v/>
      </c>
      <c r="BF9" s="136">
        <f>'01_Вводные'!$B$71*BF4</f>
        <v/>
      </c>
      <c r="BG9" s="136">
        <f>'01_Вводные'!$B$71*BG4</f>
        <v/>
      </c>
      <c r="BH9" s="136">
        <f>'01_Вводные'!$B$71*BH4</f>
        <v/>
      </c>
      <c r="BI9" s="136">
        <f>'01_Вводные'!$B$71*BI4</f>
        <v/>
      </c>
      <c r="BJ9" s="136">
        <f>'01_Вводные'!$B$71*BJ4</f>
        <v/>
      </c>
      <c r="BK9" s="136">
        <f>'01_Вводные'!$B$71*BK4</f>
        <v/>
      </c>
      <c r="BL9" s="136">
        <f>'01_Вводные'!$B$71*BL4</f>
        <v/>
      </c>
      <c r="BM9" s="136">
        <f>'01_Вводные'!$B$71*BM4</f>
        <v/>
      </c>
      <c r="BN9" s="136">
        <f>'01_Вводные'!$B$71*BN4</f>
        <v/>
      </c>
      <c r="BO9" s="136">
        <f>'01_Вводные'!$B$71*BO4</f>
        <v/>
      </c>
    </row>
    <row r="10">
      <c r="A10" s="134" t="inlineStr">
        <is>
          <t>Цена комплекта</t>
        </is>
      </c>
      <c r="B10" s="136">
        <f>'01_Вводные'!$B$73*B4</f>
        <v/>
      </c>
      <c r="C10" s="136">
        <f>'01_Вводные'!$B$73*C4</f>
        <v/>
      </c>
      <c r="D10" s="136">
        <f>'01_Вводные'!$B$73*D4</f>
        <v/>
      </c>
      <c r="E10" s="136">
        <f>'01_Вводные'!$B$73*E4</f>
        <v/>
      </c>
      <c r="F10" s="136">
        <f>'01_Вводные'!$B$73*F4</f>
        <v/>
      </c>
      <c r="G10" s="136">
        <f>'01_Вводные'!$B$73*G4</f>
        <v/>
      </c>
      <c r="H10" s="136">
        <f>'01_Вводные'!$B$73*H4</f>
        <v/>
      </c>
      <c r="I10" s="136">
        <f>'01_Вводные'!$B$73*I4</f>
        <v/>
      </c>
      <c r="J10" s="136">
        <f>'01_Вводные'!$B$73*J4</f>
        <v/>
      </c>
      <c r="K10" s="136">
        <f>'01_Вводные'!$B$73*K4</f>
        <v/>
      </c>
      <c r="L10" s="136">
        <f>'01_Вводные'!$B$73*L4</f>
        <v/>
      </c>
      <c r="M10" s="136">
        <f>'01_Вводные'!$B$73*M4</f>
        <v/>
      </c>
      <c r="N10" s="136">
        <f>'01_Вводные'!$B$73*N4</f>
        <v/>
      </c>
      <c r="O10" s="136">
        <f>'01_Вводные'!$B$73*O4</f>
        <v/>
      </c>
      <c r="P10" s="136">
        <f>'01_Вводные'!$B$73*P4</f>
        <v/>
      </c>
      <c r="Q10" s="136">
        <f>'01_Вводные'!$B$73*Q4</f>
        <v/>
      </c>
      <c r="R10" s="136">
        <f>'01_Вводные'!$B$73*R4</f>
        <v/>
      </c>
      <c r="S10" s="136">
        <f>'01_Вводные'!$B$73*S4</f>
        <v/>
      </c>
      <c r="T10" s="136">
        <f>'01_Вводные'!$B$73*T4</f>
        <v/>
      </c>
      <c r="U10" s="136">
        <f>'01_Вводные'!$B$73*U4</f>
        <v/>
      </c>
      <c r="V10" s="136">
        <f>'01_Вводные'!$B$73*V4</f>
        <v/>
      </c>
      <c r="W10" s="136">
        <f>'01_Вводные'!$B$73*W4</f>
        <v/>
      </c>
      <c r="X10" s="136">
        <f>'01_Вводные'!$B$73*X4</f>
        <v/>
      </c>
      <c r="Y10" s="136">
        <f>'01_Вводные'!$B$73*Y4</f>
        <v/>
      </c>
      <c r="Z10" s="136">
        <f>'01_Вводные'!$B$73*Z4</f>
        <v/>
      </c>
      <c r="AA10" s="136">
        <f>'01_Вводные'!$B$73*AA4</f>
        <v/>
      </c>
      <c r="AB10" s="136">
        <f>'01_Вводные'!$B$73*AB4</f>
        <v/>
      </c>
      <c r="AC10" s="136">
        <f>'01_Вводные'!$B$73*AC4</f>
        <v/>
      </c>
      <c r="AD10" s="136">
        <f>'01_Вводные'!$B$73*AD4</f>
        <v/>
      </c>
      <c r="AE10" s="136">
        <f>'01_Вводные'!$B$73*AE4</f>
        <v/>
      </c>
      <c r="AF10" s="136">
        <f>'01_Вводные'!$B$73*AF4</f>
        <v/>
      </c>
      <c r="AG10" s="136">
        <f>'01_Вводные'!$B$73*AG4</f>
        <v/>
      </c>
      <c r="AH10" s="136">
        <f>'01_Вводные'!$B$73*AH4</f>
        <v/>
      </c>
      <c r="AI10" s="136">
        <f>'01_Вводные'!$B$73*AI4</f>
        <v/>
      </c>
      <c r="AJ10" s="136">
        <f>'01_Вводные'!$B$73*AJ4</f>
        <v/>
      </c>
      <c r="AK10" s="136">
        <f>'01_Вводные'!$B$73*AK4</f>
        <v/>
      </c>
      <c r="AL10" s="136">
        <f>'01_Вводные'!$B$73*AL4</f>
        <v/>
      </c>
      <c r="AM10" s="136">
        <f>'01_Вводные'!$B$73*AM4</f>
        <v/>
      </c>
      <c r="AN10" s="136">
        <f>'01_Вводные'!$B$73*AN4</f>
        <v/>
      </c>
      <c r="AO10" s="136">
        <f>'01_Вводные'!$B$73*AO4</f>
        <v/>
      </c>
      <c r="AP10" s="136">
        <f>'01_Вводные'!$B$73*AP4</f>
        <v/>
      </c>
      <c r="AQ10" s="136">
        <f>'01_Вводные'!$B$73*AQ4</f>
        <v/>
      </c>
      <c r="AR10" s="136">
        <f>'01_Вводные'!$B$73*AR4</f>
        <v/>
      </c>
      <c r="AS10" s="136">
        <f>'01_Вводные'!$B$73*AS4</f>
        <v/>
      </c>
      <c r="AT10" s="136">
        <f>'01_Вводные'!$B$73*AT4</f>
        <v/>
      </c>
      <c r="AU10" s="136">
        <f>'01_Вводные'!$B$73*AU4</f>
        <v/>
      </c>
      <c r="AV10" s="136">
        <f>'01_Вводные'!$B$73*AV4</f>
        <v/>
      </c>
      <c r="AW10" s="136">
        <f>'01_Вводные'!$B$73*AW4</f>
        <v/>
      </c>
      <c r="AX10" s="136">
        <f>'01_Вводные'!$B$73*AX4</f>
        <v/>
      </c>
      <c r="AY10" s="136">
        <f>'01_Вводные'!$B$73*AY4</f>
        <v/>
      </c>
      <c r="AZ10" s="136">
        <f>'01_Вводные'!$B$73*AZ4</f>
        <v/>
      </c>
      <c r="BA10" s="136">
        <f>'01_Вводные'!$B$73*BA4</f>
        <v/>
      </c>
      <c r="BB10" s="136">
        <f>'01_Вводные'!$B$73*BB4</f>
        <v/>
      </c>
      <c r="BC10" s="136">
        <f>'01_Вводные'!$B$73*BC4</f>
        <v/>
      </c>
      <c r="BD10" s="136">
        <f>'01_Вводные'!$B$73*BD4</f>
        <v/>
      </c>
      <c r="BE10" s="136">
        <f>'01_Вводные'!$B$73*BE4</f>
        <v/>
      </c>
      <c r="BF10" s="136">
        <f>'01_Вводные'!$B$73*BF4</f>
        <v/>
      </c>
      <c r="BG10" s="136">
        <f>'01_Вводные'!$B$73*BG4</f>
        <v/>
      </c>
      <c r="BH10" s="136">
        <f>'01_Вводные'!$B$73*BH4</f>
        <v/>
      </c>
      <c r="BI10" s="136">
        <f>'01_Вводные'!$B$73*BI4</f>
        <v/>
      </c>
      <c r="BJ10" s="136">
        <f>'01_Вводные'!$B$73*BJ4</f>
        <v/>
      </c>
      <c r="BK10" s="136">
        <f>'01_Вводные'!$B$73*BK4</f>
        <v/>
      </c>
      <c r="BL10" s="136">
        <f>'01_Вводные'!$B$73*BL4</f>
        <v/>
      </c>
      <c r="BM10" s="136">
        <f>'01_Вводные'!$B$73*BM4</f>
        <v/>
      </c>
      <c r="BN10" s="136">
        <f>'01_Вводные'!$B$73*BN4</f>
        <v/>
      </c>
      <c r="BO10" s="136">
        <f>'01_Вводные'!$B$73*BO4</f>
        <v/>
      </c>
    </row>
    <row r="11">
      <c r="A11" s="134" t="inlineStr">
        <is>
          <t>Таргет на продажу</t>
        </is>
      </c>
      <c r="B11" s="136">
        <f>'01_Вводные'!$B$26*B4</f>
        <v/>
      </c>
      <c r="C11" s="136">
        <f>'01_Вводные'!$B$26*C4</f>
        <v/>
      </c>
      <c r="D11" s="136">
        <f>'01_Вводные'!$B$26*D4</f>
        <v/>
      </c>
      <c r="E11" s="136">
        <f>'01_Вводные'!$B$26*E4</f>
        <v/>
      </c>
      <c r="F11" s="136">
        <f>'01_Вводные'!$B$26*F4</f>
        <v/>
      </c>
      <c r="G11" s="136">
        <f>'01_Вводные'!$B$26*G4</f>
        <v/>
      </c>
      <c r="H11" s="136">
        <f>'01_Вводные'!$B$26*H4</f>
        <v/>
      </c>
      <c r="I11" s="136">
        <f>'01_Вводные'!$B$26*I4</f>
        <v/>
      </c>
      <c r="J11" s="136">
        <f>'01_Вводные'!$B$26*J4</f>
        <v/>
      </c>
      <c r="K11" s="136">
        <f>'01_Вводные'!$B$26*K4</f>
        <v/>
      </c>
      <c r="L11" s="136">
        <f>'01_Вводные'!$B$26*L4</f>
        <v/>
      </c>
      <c r="M11" s="136">
        <f>'01_Вводные'!$B$26*M4</f>
        <v/>
      </c>
      <c r="N11" s="136">
        <f>'01_Вводные'!$B$26*N4</f>
        <v/>
      </c>
      <c r="O11" s="136">
        <f>'01_Вводные'!$B$26*O4</f>
        <v/>
      </c>
      <c r="P11" s="136">
        <f>'01_Вводные'!$B$26*P4</f>
        <v/>
      </c>
      <c r="Q11" s="136">
        <f>'01_Вводные'!$B$26*Q4</f>
        <v/>
      </c>
      <c r="R11" s="136">
        <f>'01_Вводные'!$B$26*R4</f>
        <v/>
      </c>
      <c r="S11" s="136">
        <f>'01_Вводные'!$B$26*S4</f>
        <v/>
      </c>
      <c r="T11" s="136">
        <f>'01_Вводные'!$B$26*T4</f>
        <v/>
      </c>
      <c r="U11" s="136">
        <f>'01_Вводные'!$B$26*U4</f>
        <v/>
      </c>
      <c r="V11" s="136">
        <f>'01_Вводные'!$B$26*V4</f>
        <v/>
      </c>
      <c r="W11" s="136">
        <f>'01_Вводные'!$B$26*W4</f>
        <v/>
      </c>
      <c r="X11" s="136">
        <f>'01_Вводные'!$B$26*X4</f>
        <v/>
      </c>
      <c r="Y11" s="136">
        <f>'01_Вводные'!$B$26*Y4</f>
        <v/>
      </c>
      <c r="Z11" s="136">
        <f>'01_Вводные'!$B$26*Z4</f>
        <v/>
      </c>
      <c r="AA11" s="136">
        <f>'01_Вводные'!$B$26*AA4</f>
        <v/>
      </c>
      <c r="AB11" s="136">
        <f>'01_Вводные'!$B$26*AB4</f>
        <v/>
      </c>
      <c r="AC11" s="136">
        <f>'01_Вводные'!$B$26*AC4</f>
        <v/>
      </c>
      <c r="AD11" s="136">
        <f>'01_Вводные'!$B$26*AD4</f>
        <v/>
      </c>
      <c r="AE11" s="136">
        <f>'01_Вводные'!$B$26*AE4</f>
        <v/>
      </c>
      <c r="AF11" s="136">
        <f>'01_Вводные'!$B$26*AF4</f>
        <v/>
      </c>
      <c r="AG11" s="136">
        <f>'01_Вводные'!$B$26*AG4</f>
        <v/>
      </c>
      <c r="AH11" s="136">
        <f>'01_Вводные'!$B$26*AH4</f>
        <v/>
      </c>
      <c r="AI11" s="136">
        <f>'01_Вводные'!$B$26*AI4</f>
        <v/>
      </c>
      <c r="AJ11" s="136">
        <f>'01_Вводные'!$B$26*AJ4</f>
        <v/>
      </c>
      <c r="AK11" s="136">
        <f>'01_Вводные'!$B$26*AK4</f>
        <v/>
      </c>
      <c r="AL11" s="136">
        <f>'01_Вводные'!$B$26*AL4</f>
        <v/>
      </c>
      <c r="AM11" s="136">
        <f>'01_Вводные'!$B$26*AM4</f>
        <v/>
      </c>
      <c r="AN11" s="136">
        <f>'01_Вводные'!$B$26*AN4</f>
        <v/>
      </c>
      <c r="AO11" s="136">
        <f>'01_Вводные'!$B$26*AO4</f>
        <v/>
      </c>
      <c r="AP11" s="136">
        <f>'01_Вводные'!$B$26*AP4</f>
        <v/>
      </c>
      <c r="AQ11" s="136">
        <f>'01_Вводные'!$B$26*AQ4</f>
        <v/>
      </c>
      <c r="AR11" s="136">
        <f>'01_Вводные'!$B$26*AR4</f>
        <v/>
      </c>
      <c r="AS11" s="136">
        <f>'01_Вводные'!$B$26*AS4</f>
        <v/>
      </c>
      <c r="AT11" s="136">
        <f>'01_Вводные'!$B$26*AT4</f>
        <v/>
      </c>
      <c r="AU11" s="136">
        <f>'01_Вводные'!$B$26*AU4</f>
        <v/>
      </c>
      <c r="AV11" s="136">
        <f>'01_Вводные'!$B$26*AV4</f>
        <v/>
      </c>
      <c r="AW11" s="136">
        <f>'01_Вводные'!$B$26*AW4</f>
        <v/>
      </c>
      <c r="AX11" s="136">
        <f>'01_Вводные'!$B$26*AX4</f>
        <v/>
      </c>
      <c r="AY11" s="136">
        <f>'01_Вводные'!$B$26*AY4</f>
        <v/>
      </c>
      <c r="AZ11" s="136">
        <f>'01_Вводные'!$B$26*AZ4</f>
        <v/>
      </c>
      <c r="BA11" s="136">
        <f>'01_Вводные'!$B$26*BA4</f>
        <v/>
      </c>
      <c r="BB11" s="136">
        <f>'01_Вводные'!$B$26*BB4</f>
        <v/>
      </c>
      <c r="BC11" s="136">
        <f>'01_Вводные'!$B$26*BC4</f>
        <v/>
      </c>
      <c r="BD11" s="136">
        <f>'01_Вводные'!$B$26*BD4</f>
        <v/>
      </c>
      <c r="BE11" s="136">
        <f>'01_Вводные'!$B$26*BE4</f>
        <v/>
      </c>
      <c r="BF11" s="136">
        <f>'01_Вводные'!$B$26*BF4</f>
        <v/>
      </c>
      <c r="BG11" s="136">
        <f>'01_Вводные'!$B$26*BG4</f>
        <v/>
      </c>
      <c r="BH11" s="136">
        <f>'01_Вводные'!$B$26*BH4</f>
        <v/>
      </c>
      <c r="BI11" s="136">
        <f>'01_Вводные'!$B$26*BI4</f>
        <v/>
      </c>
      <c r="BJ11" s="136">
        <f>'01_Вводные'!$B$26*BJ4</f>
        <v/>
      </c>
      <c r="BK11" s="136">
        <f>'01_Вводные'!$B$26*BK4</f>
        <v/>
      </c>
      <c r="BL11" s="136">
        <f>'01_Вводные'!$B$26*BL4</f>
        <v/>
      </c>
      <c r="BM11" s="136">
        <f>'01_Вводные'!$B$26*BM4</f>
        <v/>
      </c>
      <c r="BN11" s="136">
        <f>'01_Вводные'!$B$26*BN4</f>
        <v/>
      </c>
      <c r="BO11" s="136">
        <f>'01_Вводные'!$B$26*BO4</f>
        <v/>
      </c>
    </row>
    <row r="12"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</row>
    <row r="13">
      <c r="A13" s="134" t="inlineStr">
        <is>
          <t>SMM-подрядчики</t>
        </is>
      </c>
      <c r="B13" s="136">
        <f>IF(B$3&lt;'01_Вводные'!$B$248,'01_Вводные'!$B$111*B4,'01_Вводные'!$B$112*B4/$B$16)</f>
        <v/>
      </c>
      <c r="C13" s="136">
        <f>IF(C$3&lt;'01_Вводные'!$B$248,'01_Вводные'!$B$111*C4,'01_Вводные'!$B$112*C4/$B$16)</f>
        <v/>
      </c>
      <c r="D13" s="136">
        <f>IF(D$3&lt;'01_Вводные'!$B$248,'01_Вводные'!$B$111*D4,'01_Вводные'!$B$112*D4/$B$16)</f>
        <v/>
      </c>
      <c r="E13" s="136">
        <f>IF(E$3&lt;'01_Вводные'!$B$248,'01_Вводные'!$B$111*E4,'01_Вводные'!$B$112*E4/$B$16)</f>
        <v/>
      </c>
      <c r="F13" s="136">
        <f>IF(F$3&lt;'01_Вводные'!$B$248,'01_Вводные'!$B$111*F4,'01_Вводные'!$B$112*F4/$B$16)</f>
        <v/>
      </c>
      <c r="G13" s="136">
        <f>IF(G$3&lt;'01_Вводные'!$B$248,'01_Вводные'!$B$111*G4,'01_Вводные'!$B$112*G4/$B$16)</f>
        <v/>
      </c>
      <c r="H13" s="136">
        <f>IF(H$3&lt;'01_Вводные'!$B$248,'01_Вводные'!$B$111*H4,'01_Вводные'!$B$112*H4/$B$16)</f>
        <v/>
      </c>
      <c r="I13" s="136">
        <f>IF(I$3&lt;'01_Вводные'!$B$248,'01_Вводные'!$B$111*I4,'01_Вводные'!$B$112*I4/$B$16)</f>
        <v/>
      </c>
      <c r="J13" s="136">
        <f>IF(J$3&lt;'01_Вводные'!$B$248,'01_Вводные'!$B$111*J4,'01_Вводные'!$B$112*J4/$B$16)</f>
        <v/>
      </c>
      <c r="K13" s="136">
        <f>IF(K$3&lt;'01_Вводные'!$B$248,'01_Вводные'!$B$111*K4,'01_Вводные'!$B$112*K4/$B$16)</f>
        <v/>
      </c>
      <c r="L13" s="136">
        <f>IF(L$3&lt;'01_Вводные'!$B$248,'01_Вводные'!$B$111*L4,'01_Вводные'!$B$112*L4/$B$16)</f>
        <v/>
      </c>
      <c r="M13" s="136">
        <f>IF(M$3&lt;'01_Вводные'!$B$248,'01_Вводные'!$B$111*M4,'01_Вводные'!$B$112*M4/$B$16)</f>
        <v/>
      </c>
      <c r="N13" s="136">
        <f>IF(N$3&lt;'01_Вводные'!$B$248,'01_Вводные'!$B$111*N4,'01_Вводные'!$B$112*N4/$B$16)</f>
        <v/>
      </c>
      <c r="O13" s="136">
        <f>IF(O$3&lt;'01_Вводные'!$B$248,'01_Вводные'!$B$111*O4,'01_Вводные'!$B$112*O4/$B$16)</f>
        <v/>
      </c>
      <c r="P13" s="136">
        <f>IF(P$3&lt;'01_Вводные'!$B$248,'01_Вводные'!$B$111*P4,'01_Вводные'!$B$112*P4/$B$16)</f>
        <v/>
      </c>
      <c r="Q13" s="136">
        <f>IF(Q$3&lt;'01_Вводные'!$B$248,'01_Вводные'!$B$111*Q4,'01_Вводные'!$B$112*Q4/$B$16)</f>
        <v/>
      </c>
      <c r="R13" s="136">
        <f>IF(R$3&lt;'01_Вводные'!$B$248,'01_Вводные'!$B$111*R4,'01_Вводные'!$B$112*R4/$B$16)</f>
        <v/>
      </c>
      <c r="S13" s="136">
        <f>IF(S$3&lt;'01_Вводные'!$B$248,'01_Вводные'!$B$111*S4,'01_Вводные'!$B$112*S4/$B$16)</f>
        <v/>
      </c>
      <c r="T13" s="136">
        <f>IF(T$3&lt;'01_Вводные'!$B$248,'01_Вводные'!$B$111*T4,'01_Вводные'!$B$112*T4/$B$16)</f>
        <v/>
      </c>
      <c r="U13" s="136">
        <f>IF(U$3&lt;'01_Вводные'!$B$248,'01_Вводные'!$B$111*U4,'01_Вводные'!$B$112*U4/$B$16)</f>
        <v/>
      </c>
      <c r="V13" s="136">
        <f>IF(V$3&lt;'01_Вводные'!$B$248,'01_Вводные'!$B$111*V4,'01_Вводные'!$B$112*V4/$B$16)</f>
        <v/>
      </c>
      <c r="W13" s="136">
        <f>IF(W$3&lt;'01_Вводные'!$B$248,'01_Вводные'!$B$111*W4,'01_Вводные'!$B$112*W4/$B$16)</f>
        <v/>
      </c>
      <c r="X13" s="136">
        <f>IF(X$3&lt;'01_Вводные'!$B$248,'01_Вводные'!$B$111*X4,'01_Вводные'!$B$112*X4/$B$16)</f>
        <v/>
      </c>
      <c r="Y13" s="136">
        <f>IF(Y$3&lt;'01_Вводные'!$B$248,'01_Вводные'!$B$111*Y4,'01_Вводные'!$B$112*Y4/$B$16)</f>
        <v/>
      </c>
      <c r="Z13" s="136">
        <f>IF(Z$3&lt;'01_Вводные'!$B$248,'01_Вводные'!$B$111*Z4,'01_Вводные'!$B$112*Z4/$B$16)</f>
        <v/>
      </c>
      <c r="AA13" s="136">
        <f>IF(AA$3&lt;'01_Вводные'!$B$248,'01_Вводные'!$B$111*AA4,'01_Вводные'!$B$112*AA4/$B$16)</f>
        <v/>
      </c>
      <c r="AB13" s="136">
        <f>IF(AB$3&lt;'01_Вводные'!$B$248,'01_Вводные'!$B$111*AB4,'01_Вводные'!$B$112*AB4/$B$16)</f>
        <v/>
      </c>
      <c r="AC13" s="136">
        <f>IF(AC$3&lt;'01_Вводные'!$B$248,'01_Вводные'!$B$111*AC4,'01_Вводные'!$B$112*AC4/$B$16)</f>
        <v/>
      </c>
      <c r="AD13" s="136">
        <f>IF(AD$3&lt;'01_Вводные'!$B$248,'01_Вводные'!$B$111*AD4,'01_Вводные'!$B$112*AD4/$B$16)</f>
        <v/>
      </c>
      <c r="AE13" s="136">
        <f>IF(AE$3&lt;'01_Вводные'!$B$248,'01_Вводные'!$B$111*AE4,'01_Вводные'!$B$112*AE4/$B$16)</f>
        <v/>
      </c>
      <c r="AF13" s="136">
        <f>IF(AF$3&lt;'01_Вводные'!$B$248,'01_Вводные'!$B$111*AF4,'01_Вводные'!$B$112*AF4/$B$16)</f>
        <v/>
      </c>
      <c r="AG13" s="136">
        <f>IF(AG$3&lt;'01_Вводные'!$B$248,'01_Вводные'!$B$111*AG4,'01_Вводные'!$B$112*AG4/$B$16)</f>
        <v/>
      </c>
      <c r="AH13" s="136">
        <f>IF(AH$3&lt;'01_Вводные'!$B$248,'01_Вводные'!$B$111*AH4,'01_Вводные'!$B$112*AH4/$B$16)</f>
        <v/>
      </c>
      <c r="AI13" s="136">
        <f>IF(AI$3&lt;'01_Вводные'!$B$248,'01_Вводные'!$B$111*AI4,'01_Вводные'!$B$112*AI4/$B$16)</f>
        <v/>
      </c>
      <c r="AJ13" s="136">
        <f>IF(AJ$3&lt;'01_Вводные'!$B$248,'01_Вводные'!$B$111*AJ4,'01_Вводные'!$B$112*AJ4/$B$16)</f>
        <v/>
      </c>
      <c r="AK13" s="136">
        <f>IF(AK$3&lt;'01_Вводные'!$B$248,'01_Вводные'!$B$111*AK4,'01_Вводные'!$B$112*AK4/$B$16)</f>
        <v/>
      </c>
      <c r="AL13" s="136">
        <f>IF(AL$3&lt;'01_Вводные'!$B$248,'01_Вводные'!$B$111*AL4,'01_Вводные'!$B$112*AL4/$B$16)</f>
        <v/>
      </c>
      <c r="AM13" s="136">
        <f>IF(AM$3&lt;'01_Вводные'!$B$248,'01_Вводные'!$B$111*AM4,'01_Вводные'!$B$112*AM4/$B$16)</f>
        <v/>
      </c>
      <c r="AN13" s="136">
        <f>IF(AN$3&lt;'01_Вводные'!$B$248,'01_Вводные'!$B$111*AN4,'01_Вводные'!$B$112*AN4/$B$16)</f>
        <v/>
      </c>
      <c r="AO13" s="136">
        <f>IF(AO$3&lt;'01_Вводные'!$B$248,'01_Вводные'!$B$111*AO4,'01_Вводные'!$B$112*AO4/$B$16)</f>
        <v/>
      </c>
      <c r="AP13" s="136">
        <f>IF(AP$3&lt;'01_Вводные'!$B$248,'01_Вводные'!$B$111*AP4,'01_Вводные'!$B$112*AP4/$B$16)</f>
        <v/>
      </c>
      <c r="AQ13" s="136">
        <f>IF(AQ$3&lt;'01_Вводные'!$B$248,'01_Вводные'!$B$111*AQ4,'01_Вводные'!$B$112*AQ4/$B$16)</f>
        <v/>
      </c>
      <c r="AR13" s="136">
        <f>IF(AR$3&lt;'01_Вводные'!$B$248,'01_Вводные'!$B$111*AR4,'01_Вводные'!$B$112*AR4/$B$16)</f>
        <v/>
      </c>
      <c r="AS13" s="136">
        <f>IF(AS$3&lt;'01_Вводные'!$B$248,'01_Вводные'!$B$111*AS4,'01_Вводные'!$B$112*AS4/$B$16)</f>
        <v/>
      </c>
      <c r="AT13" s="136">
        <f>IF(AT$3&lt;'01_Вводные'!$B$248,'01_Вводные'!$B$111*AT4,'01_Вводные'!$B$112*AT4/$B$16)</f>
        <v/>
      </c>
      <c r="AU13" s="136">
        <f>IF(AU$3&lt;'01_Вводные'!$B$248,'01_Вводные'!$B$111*AU4,'01_Вводные'!$B$112*AU4/$B$16)</f>
        <v/>
      </c>
      <c r="AV13" s="136">
        <f>IF(AV$3&lt;'01_Вводные'!$B$248,'01_Вводные'!$B$111*AV4,'01_Вводные'!$B$112*AV4/$B$16)</f>
        <v/>
      </c>
      <c r="AW13" s="136">
        <f>IF(AW$3&lt;'01_Вводные'!$B$248,'01_Вводные'!$B$111*AW4,'01_Вводные'!$B$112*AW4/$B$16)</f>
        <v/>
      </c>
      <c r="AX13" s="136">
        <f>IF(AX$3&lt;'01_Вводные'!$B$248,'01_Вводные'!$B$111*AX4,'01_Вводные'!$B$112*AX4/$B$16)</f>
        <v/>
      </c>
      <c r="AY13" s="136">
        <f>IF(AY$3&lt;'01_Вводные'!$B$248,'01_Вводные'!$B$111*AY4,'01_Вводные'!$B$112*AY4/$B$16)</f>
        <v/>
      </c>
      <c r="AZ13" s="136">
        <f>IF(AZ$3&lt;'01_Вводные'!$B$248,'01_Вводные'!$B$111*AZ4,'01_Вводные'!$B$112*AZ4/$B$16)</f>
        <v/>
      </c>
      <c r="BA13" s="136">
        <f>IF(BA$3&lt;'01_Вводные'!$B$248,'01_Вводные'!$B$111*BA4,'01_Вводные'!$B$112*BA4/$B$16)</f>
        <v/>
      </c>
      <c r="BB13" s="136">
        <f>IF(BB$3&lt;'01_Вводные'!$B$248,'01_Вводные'!$B$111*BB4,'01_Вводные'!$B$112*BB4/$B$16)</f>
        <v/>
      </c>
      <c r="BC13" s="136">
        <f>IF(BC$3&lt;'01_Вводные'!$B$248,'01_Вводные'!$B$111*BC4,'01_Вводные'!$B$112*BC4/$B$16)</f>
        <v/>
      </c>
      <c r="BD13" s="136">
        <f>IF(BD$3&lt;'01_Вводные'!$B$248,'01_Вводные'!$B$111*BD4,'01_Вводные'!$B$112*BD4/$B$16)</f>
        <v/>
      </c>
      <c r="BE13" s="136">
        <f>IF(BE$3&lt;'01_Вводные'!$B$248,'01_Вводные'!$B$111*BE4,'01_Вводные'!$B$112*BE4/$B$16)</f>
        <v/>
      </c>
      <c r="BF13" s="136">
        <f>IF(BF$3&lt;'01_Вводные'!$B$248,'01_Вводные'!$B$111*BF4,'01_Вводные'!$B$112*BF4/$B$16)</f>
        <v/>
      </c>
      <c r="BG13" s="136">
        <f>IF(BG$3&lt;'01_Вводные'!$B$248,'01_Вводные'!$B$111*BG4,'01_Вводные'!$B$112*BG4/$B$16)</f>
        <v/>
      </c>
      <c r="BH13" s="136">
        <f>IF(BH$3&lt;'01_Вводные'!$B$248,'01_Вводные'!$B$111*BH4,'01_Вводные'!$B$112*BH4/$B$16)</f>
        <v/>
      </c>
      <c r="BI13" s="136">
        <f>IF(BI$3&lt;'01_Вводные'!$B$248,'01_Вводные'!$B$111*BI4,'01_Вводные'!$B$112*BI4/$B$16)</f>
        <v/>
      </c>
      <c r="BJ13" s="136">
        <f>IF(BJ$3&lt;'01_Вводные'!$B$248,'01_Вводные'!$B$111*BJ4,'01_Вводные'!$B$112*BJ4/$B$16)</f>
        <v/>
      </c>
      <c r="BK13" s="136">
        <f>IF(BK$3&lt;'01_Вводные'!$B$248,'01_Вводные'!$B$111*BK4,'01_Вводные'!$B$112*BK4/$B$16)</f>
        <v/>
      </c>
      <c r="BL13" s="136">
        <f>IF(BL$3&lt;'01_Вводные'!$B$248,'01_Вводные'!$B$111*BL4,'01_Вводные'!$B$112*BL4/$B$16)</f>
        <v/>
      </c>
      <c r="BM13" s="136">
        <f>IF(BM$3&lt;'01_Вводные'!$B$248,'01_Вводные'!$B$111*BM4,'01_Вводные'!$B$112*BM4/$B$16)</f>
        <v/>
      </c>
      <c r="BN13" s="136">
        <f>IF(BN$3&lt;'01_Вводные'!$B$248,'01_Вводные'!$B$111*BN4,'01_Вводные'!$B$112*BN4/$B$16)</f>
        <v/>
      </c>
      <c r="BO13" s="136">
        <f>IF(BO$3&lt;'01_Вводные'!$B$248,'01_Вводные'!$B$111*BO4,'01_Вводные'!$B$112*BO4/$B$16)</f>
        <v/>
      </c>
    </row>
    <row r="14">
      <c r="A14" s="134" t="inlineStr">
        <is>
          <t>Резерв ротации</t>
        </is>
      </c>
      <c r="B14" s="136">
        <f>'01_Вводные'!$B$122*B4</f>
        <v/>
      </c>
      <c r="C14" s="136">
        <f>'01_Вводные'!$B$122*C4</f>
        <v/>
      </c>
      <c r="D14" s="136">
        <f>'01_Вводные'!$B$122*D4</f>
        <v/>
      </c>
      <c r="E14" s="136">
        <f>'01_Вводные'!$B$122*E4</f>
        <v/>
      </c>
      <c r="F14" s="136">
        <f>'01_Вводные'!$B$122*F4</f>
        <v/>
      </c>
      <c r="G14" s="136">
        <f>'01_Вводные'!$B$122*G4</f>
        <v/>
      </c>
      <c r="H14" s="136">
        <f>'01_Вводные'!$B$122*H4</f>
        <v/>
      </c>
      <c r="I14" s="136">
        <f>'01_Вводные'!$B$122*I4</f>
        <v/>
      </c>
      <c r="J14" s="136">
        <f>'01_Вводные'!$B$122*J4</f>
        <v/>
      </c>
      <c r="K14" s="136">
        <f>'01_Вводные'!$B$122*K4</f>
        <v/>
      </c>
      <c r="L14" s="136">
        <f>'01_Вводные'!$B$122*L4</f>
        <v/>
      </c>
      <c r="M14" s="136">
        <f>'01_Вводные'!$B$122*M4</f>
        <v/>
      </c>
      <c r="N14" s="136">
        <f>'01_Вводные'!$B$122*N4</f>
        <v/>
      </c>
      <c r="O14" s="136">
        <f>'01_Вводные'!$B$122*O4</f>
        <v/>
      </c>
      <c r="P14" s="136">
        <f>'01_Вводные'!$B$122*P4</f>
        <v/>
      </c>
      <c r="Q14" s="136">
        <f>'01_Вводные'!$B$122*Q4</f>
        <v/>
      </c>
      <c r="R14" s="136">
        <f>'01_Вводные'!$B$122*R4</f>
        <v/>
      </c>
      <c r="S14" s="136">
        <f>'01_Вводные'!$B$122*S4</f>
        <v/>
      </c>
      <c r="T14" s="136">
        <f>'01_Вводные'!$B$122*T4</f>
        <v/>
      </c>
      <c r="U14" s="136">
        <f>'01_Вводные'!$B$122*U4</f>
        <v/>
      </c>
      <c r="V14" s="136">
        <f>'01_Вводные'!$B$122*V4</f>
        <v/>
      </c>
      <c r="W14" s="136">
        <f>'01_Вводные'!$B$122*W4</f>
        <v/>
      </c>
      <c r="X14" s="136">
        <f>'01_Вводные'!$B$122*X4</f>
        <v/>
      </c>
      <c r="Y14" s="136">
        <f>'01_Вводные'!$B$122*Y4</f>
        <v/>
      </c>
      <c r="Z14" s="136">
        <f>'01_Вводные'!$B$122*Z4</f>
        <v/>
      </c>
      <c r="AA14" s="136">
        <f>'01_Вводные'!$B$122*AA4</f>
        <v/>
      </c>
      <c r="AB14" s="136">
        <f>'01_Вводные'!$B$122*AB4</f>
        <v/>
      </c>
      <c r="AC14" s="136">
        <f>'01_Вводные'!$B$122*AC4</f>
        <v/>
      </c>
      <c r="AD14" s="136">
        <f>'01_Вводные'!$B$122*AD4</f>
        <v/>
      </c>
      <c r="AE14" s="136">
        <f>'01_Вводные'!$B$122*AE4</f>
        <v/>
      </c>
      <c r="AF14" s="136">
        <f>'01_Вводные'!$B$122*AF4</f>
        <v/>
      </c>
      <c r="AG14" s="136">
        <f>'01_Вводные'!$B$122*AG4</f>
        <v/>
      </c>
      <c r="AH14" s="136">
        <f>'01_Вводные'!$B$122*AH4</f>
        <v/>
      </c>
      <c r="AI14" s="136">
        <f>'01_Вводные'!$B$122*AI4</f>
        <v/>
      </c>
      <c r="AJ14" s="136">
        <f>'01_Вводные'!$B$122*AJ4</f>
        <v/>
      </c>
      <c r="AK14" s="136">
        <f>'01_Вводные'!$B$122*AK4</f>
        <v/>
      </c>
      <c r="AL14" s="136">
        <f>'01_Вводные'!$B$122*AL4</f>
        <v/>
      </c>
      <c r="AM14" s="136">
        <f>'01_Вводные'!$B$122*AM4</f>
        <v/>
      </c>
      <c r="AN14" s="136">
        <f>'01_Вводные'!$B$122*AN4</f>
        <v/>
      </c>
      <c r="AO14" s="136">
        <f>'01_Вводные'!$B$122*AO4</f>
        <v/>
      </c>
      <c r="AP14" s="136">
        <f>'01_Вводные'!$B$122*AP4</f>
        <v/>
      </c>
      <c r="AQ14" s="136">
        <f>'01_Вводные'!$B$122*AQ4</f>
        <v/>
      </c>
      <c r="AR14" s="136">
        <f>'01_Вводные'!$B$122*AR4</f>
        <v/>
      </c>
      <c r="AS14" s="136">
        <f>'01_Вводные'!$B$122*AS4</f>
        <v/>
      </c>
      <c r="AT14" s="136">
        <f>'01_Вводные'!$B$122*AT4</f>
        <v/>
      </c>
      <c r="AU14" s="136">
        <f>'01_Вводные'!$B$122*AU4</f>
        <v/>
      </c>
      <c r="AV14" s="136">
        <f>'01_Вводные'!$B$122*AV4</f>
        <v/>
      </c>
      <c r="AW14" s="136">
        <f>'01_Вводные'!$B$122*AW4</f>
        <v/>
      </c>
      <c r="AX14" s="136">
        <f>'01_Вводные'!$B$122*AX4</f>
        <v/>
      </c>
      <c r="AY14" s="136">
        <f>'01_Вводные'!$B$122*AY4</f>
        <v/>
      </c>
      <c r="AZ14" s="136">
        <f>'01_Вводные'!$B$122*AZ4</f>
        <v/>
      </c>
      <c r="BA14" s="136">
        <f>'01_Вводные'!$B$122*BA4</f>
        <v/>
      </c>
      <c r="BB14" s="136">
        <f>'01_Вводные'!$B$122*BB4</f>
        <v/>
      </c>
      <c r="BC14" s="136">
        <f>'01_Вводные'!$B$122*BC4</f>
        <v/>
      </c>
      <c r="BD14" s="136">
        <f>'01_Вводные'!$B$122*BD4</f>
        <v/>
      </c>
      <c r="BE14" s="136">
        <f>'01_Вводные'!$B$122*BE4</f>
        <v/>
      </c>
      <c r="BF14" s="136">
        <f>'01_Вводные'!$B$122*BF4</f>
        <v/>
      </c>
      <c r="BG14" s="136">
        <f>'01_Вводные'!$B$122*BG4</f>
        <v/>
      </c>
      <c r="BH14" s="136">
        <f>'01_Вводные'!$B$122*BH4</f>
        <v/>
      </c>
      <c r="BI14" s="136">
        <f>'01_Вводные'!$B$122*BI4</f>
        <v/>
      </c>
      <c r="BJ14" s="136">
        <f>'01_Вводные'!$B$122*BJ4</f>
        <v/>
      </c>
      <c r="BK14" s="136">
        <f>'01_Вводные'!$B$122*BK4</f>
        <v/>
      </c>
      <c r="BL14" s="136">
        <f>'01_Вводные'!$B$122*BL4</f>
        <v/>
      </c>
      <c r="BM14" s="136">
        <f>'01_Вводные'!$B$122*BM4</f>
        <v/>
      </c>
      <c r="BN14" s="136">
        <f>'01_Вводные'!$B$122*BN4</f>
        <v/>
      </c>
      <c r="BO14" s="136">
        <f>'01_Вводные'!$B$122*BO4</f>
        <v/>
      </c>
    </row>
    <row r="16">
      <c r="A16" s="134" t="inlineStr">
        <is>
          <t>Индекс на дату нового SMM-тарифа</t>
        </is>
      </c>
      <c r="B16" s="136">
        <f>INDEX($B$4:$BO$4,1,MAX(1,MIN(66,(YEAR('01_Вводные'!$B$248)-YEAR('01_Вводные'!$B$7))*12+MONTH('01_Вводные'!$B$248)-MONTH('01_Вводные'!$B$7)+1)))</f>
        <v/>
      </c>
    </row>
    <row r="22">
      <c r="A22" s="134" t="inlineStr">
        <is>
          <t>Веса тарифов</t>
        </is>
      </c>
      <c r="B22" s="136">
        <f>'01_Вводные'!$C$263/'01_Вводные'!$C$283</f>
        <v/>
      </c>
      <c r="C22" s="136">
        <f>'01_Вводные'!$C$264/'01_Вводные'!$C$283</f>
        <v/>
      </c>
      <c r="D22" s="136">
        <f>'01_Вводные'!$C$265/'01_Вводные'!$C$283</f>
        <v/>
      </c>
      <c r="E22" s="136">
        <f>'01_Вводные'!$C$266/'01_Вводные'!$C$283</f>
        <v/>
      </c>
      <c r="F22" s="136">
        <f>'01_Вводные'!$C$267/'01_Вводные'!$C$283</f>
        <v/>
      </c>
      <c r="G22" s="136">
        <f>'01_Вводные'!$C$268/'01_Вводные'!$C$283</f>
        <v/>
      </c>
      <c r="H22" s="136">
        <f>'01_Вводные'!$C$269/'01_Вводные'!$C$283</f>
        <v/>
      </c>
      <c r="I22" s="136">
        <f>'01_Вводные'!$C$270/'01_Вводные'!$C$283</f>
        <v/>
      </c>
      <c r="J22" s="136">
        <f>'01_Вводные'!$C$271/'01_Вводные'!$C$283</f>
        <v/>
      </c>
      <c r="K22" s="136">
        <f>'01_Вводные'!$C$272/'01_Вводные'!$C$283</f>
        <v/>
      </c>
      <c r="L22" s="136">
        <f>'01_Вводные'!$C$273/'01_Вводные'!$C$283</f>
        <v/>
      </c>
      <c r="M22" s="136">
        <f>'01_Вводные'!$C$274/'01_Вводные'!$C$283</f>
        <v/>
      </c>
      <c r="N22" s="136">
        <f>'01_Вводные'!$C$275/'01_Вводные'!$C$283</f>
        <v/>
      </c>
      <c r="O22" s="136">
        <f>'01_Вводные'!$C$276/'01_Вводные'!$C$283</f>
        <v/>
      </c>
      <c r="P22" s="136">
        <f>'01_Вводные'!$C$277/'01_Вводные'!$C$283</f>
        <v/>
      </c>
      <c r="Q22" s="136">
        <f>'01_Вводные'!$C$278/'01_Вводные'!$C$283</f>
        <v/>
      </c>
      <c r="R22" s="136">
        <f>'01_Вводные'!$C$279/'01_Вводные'!$C$283</f>
        <v/>
      </c>
      <c r="S22" s="136">
        <f>'01_Вводные'!$C$280/'01_Вводные'!$C$283</f>
        <v/>
      </c>
      <c r="T22" s="136">
        <f>'01_Вводные'!$C$281/'01_Вводные'!$C$283</f>
        <v/>
      </c>
      <c r="U22" s="136">
        <f>'01_Вводные'!$C$282/'01_Вводные'!$C$283</f>
        <v/>
      </c>
    </row>
    <row r="24">
      <c r="A24" s="134" t="inlineStr">
        <is>
          <t>1</t>
        </is>
      </c>
      <c r="B24" s="136">
        <f>B86*'01_Вводные'!$H$263</f>
        <v/>
      </c>
      <c r="C24" s="136">
        <f>C86*'01_Вводные'!$H$264</f>
        <v/>
      </c>
      <c r="D24" s="136">
        <f>D86*'01_Вводные'!$H$265</f>
        <v/>
      </c>
      <c r="E24" s="136">
        <f>E86*'01_Вводные'!$H$266</f>
        <v/>
      </c>
      <c r="F24" s="136">
        <f>F86*'01_Вводные'!$H$267</f>
        <v/>
      </c>
      <c r="G24" s="136">
        <f>G86*'01_Вводные'!$H$268</f>
        <v/>
      </c>
      <c r="H24" s="136">
        <f>H86*'01_Вводные'!$H$269</f>
        <v/>
      </c>
      <c r="I24" s="136">
        <f>I86*'01_Вводные'!$H$270</f>
        <v/>
      </c>
      <c r="J24" s="136">
        <f>J86*'01_Вводные'!$H$271</f>
        <v/>
      </c>
      <c r="K24" s="136">
        <f>K86*'01_Вводные'!$H$272</f>
        <v/>
      </c>
      <c r="L24" s="136">
        <f>L86*'01_Вводные'!$H$273</f>
        <v/>
      </c>
      <c r="M24" s="136">
        <f>M86*'01_Вводные'!$H$274</f>
        <v/>
      </c>
      <c r="N24" s="136">
        <f>N86*'01_Вводные'!$H$275</f>
        <v/>
      </c>
      <c r="O24" s="136">
        <f>O86*'01_Вводные'!$H$276</f>
        <v/>
      </c>
      <c r="P24" s="136">
        <f>P86*'01_Вводные'!$H$277</f>
        <v/>
      </c>
      <c r="Q24" s="136">
        <f>Q86*'01_Вводные'!$H$278</f>
        <v/>
      </c>
      <c r="R24" s="136">
        <f>R86*'01_Вводные'!$H$279</f>
        <v/>
      </c>
      <c r="S24" s="136">
        <f>S86*'01_Вводные'!$H$280</f>
        <v/>
      </c>
      <c r="T24" s="136">
        <f>T86*'01_Вводные'!$H$281</f>
        <v/>
      </c>
      <c r="U24" s="136">
        <f>U86*'01_Вводные'!$H$282</f>
        <v/>
      </c>
      <c r="W24" s="138">
        <f>SUMPRODUCT($B$22:$U$22,B86:U86)</f>
        <v/>
      </c>
      <c r="X24" s="138">
        <f>SUMPRODUCT($B$22:$U$22,B54:U54)</f>
        <v/>
      </c>
    </row>
    <row r="25">
      <c r="A25" s="134" t="inlineStr">
        <is>
          <t>2</t>
        </is>
      </c>
      <c r="B25" s="136">
        <f>B87*'01_Вводные'!$H$263</f>
        <v/>
      </c>
      <c r="C25" s="136">
        <f>C87*'01_Вводные'!$H$264</f>
        <v/>
      </c>
      <c r="D25" s="136">
        <f>D87*'01_Вводные'!$H$265</f>
        <v/>
      </c>
      <c r="E25" s="136">
        <f>E87*'01_Вводные'!$H$266</f>
        <v/>
      </c>
      <c r="F25" s="136">
        <f>F87*'01_Вводные'!$H$267</f>
        <v/>
      </c>
      <c r="G25" s="136">
        <f>G87*'01_Вводные'!$H$268</f>
        <v/>
      </c>
      <c r="H25" s="136">
        <f>H87*'01_Вводные'!$H$269</f>
        <v/>
      </c>
      <c r="I25" s="136">
        <f>I87*'01_Вводные'!$H$270</f>
        <v/>
      </c>
      <c r="J25" s="136">
        <f>J87*'01_Вводные'!$H$271</f>
        <v/>
      </c>
      <c r="K25" s="136">
        <f>K87*'01_Вводные'!$H$272</f>
        <v/>
      </c>
      <c r="L25" s="136">
        <f>L87*'01_Вводные'!$H$273</f>
        <v/>
      </c>
      <c r="M25" s="136">
        <f>M87*'01_Вводные'!$H$274</f>
        <v/>
      </c>
      <c r="N25" s="136">
        <f>N87*'01_Вводные'!$H$275</f>
        <v/>
      </c>
      <c r="O25" s="136">
        <f>O87*'01_Вводные'!$H$276</f>
        <v/>
      </c>
      <c r="P25" s="136">
        <f>P87*'01_Вводные'!$H$277</f>
        <v/>
      </c>
      <c r="Q25" s="136">
        <f>Q87*'01_Вводные'!$H$278</f>
        <v/>
      </c>
      <c r="R25" s="136">
        <f>R87*'01_Вводные'!$H$279</f>
        <v/>
      </c>
      <c r="S25" s="136">
        <f>S87*'01_Вводные'!$H$280</f>
        <v/>
      </c>
      <c r="T25" s="136">
        <f>T87*'01_Вводные'!$H$281</f>
        <v/>
      </c>
      <c r="U25" s="136">
        <f>U87*'01_Вводные'!$H$282</f>
        <v/>
      </c>
      <c r="W25" s="138">
        <f>SUMPRODUCT($B$22:$U$22,B87:U87)</f>
        <v/>
      </c>
      <c r="X25" s="138">
        <f>SUMPRODUCT($B$22:$U$22,B55:U55)</f>
        <v/>
      </c>
    </row>
    <row r="26">
      <c r="A26" s="134" t="inlineStr">
        <is>
          <t>3</t>
        </is>
      </c>
      <c r="B26" s="136">
        <f>B88*'01_Вводные'!$H$263</f>
        <v/>
      </c>
      <c r="C26" s="136">
        <f>C88*'01_Вводные'!$H$264</f>
        <v/>
      </c>
      <c r="D26" s="136">
        <f>D88*'01_Вводные'!$H$265</f>
        <v/>
      </c>
      <c r="E26" s="136">
        <f>E88*'01_Вводные'!$H$266</f>
        <v/>
      </c>
      <c r="F26" s="136">
        <f>F88*'01_Вводные'!$H$267</f>
        <v/>
      </c>
      <c r="G26" s="136">
        <f>G88*'01_Вводные'!$H$268</f>
        <v/>
      </c>
      <c r="H26" s="136">
        <f>H88*'01_Вводные'!$H$269</f>
        <v/>
      </c>
      <c r="I26" s="136">
        <f>I88*'01_Вводные'!$H$270</f>
        <v/>
      </c>
      <c r="J26" s="136">
        <f>J88*'01_Вводные'!$H$271</f>
        <v/>
      </c>
      <c r="K26" s="136">
        <f>K88*'01_Вводные'!$H$272</f>
        <v/>
      </c>
      <c r="L26" s="136">
        <f>L88*'01_Вводные'!$H$273</f>
        <v/>
      </c>
      <c r="M26" s="136">
        <f>M88*'01_Вводные'!$H$274</f>
        <v/>
      </c>
      <c r="N26" s="136">
        <f>N88*'01_Вводные'!$H$275</f>
        <v/>
      </c>
      <c r="O26" s="136">
        <f>O88*'01_Вводные'!$H$276</f>
        <v/>
      </c>
      <c r="P26" s="136">
        <f>P88*'01_Вводные'!$H$277</f>
        <v/>
      </c>
      <c r="Q26" s="136">
        <f>Q88*'01_Вводные'!$H$278</f>
        <v/>
      </c>
      <c r="R26" s="136">
        <f>R88*'01_Вводные'!$H$279</f>
        <v/>
      </c>
      <c r="S26" s="136">
        <f>S88*'01_Вводные'!$H$280</f>
        <v/>
      </c>
      <c r="T26" s="136">
        <f>T88*'01_Вводные'!$H$281</f>
        <v/>
      </c>
      <c r="U26" s="136">
        <f>U88*'01_Вводные'!$H$282</f>
        <v/>
      </c>
      <c r="W26" s="138">
        <f>SUMPRODUCT($B$22:$U$22,B88:U88)</f>
        <v/>
      </c>
      <c r="X26" s="138">
        <f>SUMPRODUCT($B$22:$U$22,B56:U56)</f>
        <v/>
      </c>
    </row>
    <row r="27">
      <c r="A27" s="134" t="inlineStr">
        <is>
          <t>4</t>
        </is>
      </c>
      <c r="B27" s="136">
        <f>B89*'01_Вводные'!$H$263</f>
        <v/>
      </c>
      <c r="C27" s="136">
        <f>C89*'01_Вводные'!$H$264</f>
        <v/>
      </c>
      <c r="D27" s="136">
        <f>D89*'01_Вводные'!$H$265</f>
        <v/>
      </c>
      <c r="E27" s="136">
        <f>E89*'01_Вводные'!$H$266</f>
        <v/>
      </c>
      <c r="F27" s="136">
        <f>F89*'01_Вводные'!$H$267</f>
        <v/>
      </c>
      <c r="G27" s="136">
        <f>G89*'01_Вводные'!$H$268</f>
        <v/>
      </c>
      <c r="H27" s="136">
        <f>H89*'01_Вводные'!$H$269</f>
        <v/>
      </c>
      <c r="I27" s="136">
        <f>I89*'01_Вводные'!$H$270</f>
        <v/>
      </c>
      <c r="J27" s="136">
        <f>J89*'01_Вводные'!$H$271</f>
        <v/>
      </c>
      <c r="K27" s="136">
        <f>K89*'01_Вводные'!$H$272</f>
        <v/>
      </c>
      <c r="L27" s="136">
        <f>L89*'01_Вводные'!$H$273</f>
        <v/>
      </c>
      <c r="M27" s="136">
        <f>M89*'01_Вводные'!$H$274</f>
        <v/>
      </c>
      <c r="N27" s="136">
        <f>N89*'01_Вводные'!$H$275</f>
        <v/>
      </c>
      <c r="O27" s="136">
        <f>O89*'01_Вводные'!$H$276</f>
        <v/>
      </c>
      <c r="P27" s="136">
        <f>P89*'01_Вводные'!$H$277</f>
        <v/>
      </c>
      <c r="Q27" s="136">
        <f>Q89*'01_Вводные'!$H$278</f>
        <v/>
      </c>
      <c r="R27" s="136">
        <f>R89*'01_Вводные'!$H$279</f>
        <v/>
      </c>
      <c r="S27" s="136">
        <f>S89*'01_Вводные'!$H$280</f>
        <v/>
      </c>
      <c r="T27" s="136">
        <f>T89*'01_Вводные'!$H$281</f>
        <v/>
      </c>
      <c r="U27" s="136">
        <f>U89*'01_Вводные'!$H$282</f>
        <v/>
      </c>
      <c r="W27" s="138">
        <f>SUMPRODUCT($B$22:$U$22,B89:U89)</f>
        <v/>
      </c>
      <c r="X27" s="138">
        <f>SUMPRODUCT($B$22:$U$22,B57:U57)</f>
        <v/>
      </c>
    </row>
    <row r="28">
      <c r="A28" s="134" t="inlineStr">
        <is>
          <t>5</t>
        </is>
      </c>
      <c r="B28" s="136">
        <f>B90*'01_Вводные'!$H$263</f>
        <v/>
      </c>
      <c r="C28" s="136">
        <f>C90*'01_Вводные'!$H$264</f>
        <v/>
      </c>
      <c r="D28" s="136">
        <f>D90*'01_Вводные'!$H$265</f>
        <v/>
      </c>
      <c r="E28" s="136">
        <f>E90*'01_Вводные'!$H$266</f>
        <v/>
      </c>
      <c r="F28" s="136">
        <f>F90*'01_Вводные'!$H$267</f>
        <v/>
      </c>
      <c r="G28" s="136">
        <f>G90*'01_Вводные'!$H$268</f>
        <v/>
      </c>
      <c r="H28" s="136">
        <f>H90*'01_Вводные'!$H$269</f>
        <v/>
      </c>
      <c r="I28" s="136">
        <f>I90*'01_Вводные'!$H$270</f>
        <v/>
      </c>
      <c r="J28" s="136">
        <f>J90*'01_Вводные'!$H$271</f>
        <v/>
      </c>
      <c r="K28" s="136">
        <f>K90*'01_Вводные'!$H$272</f>
        <v/>
      </c>
      <c r="L28" s="136">
        <f>L90*'01_Вводные'!$H$273</f>
        <v/>
      </c>
      <c r="M28" s="136">
        <f>M90*'01_Вводные'!$H$274</f>
        <v/>
      </c>
      <c r="N28" s="136">
        <f>N90*'01_Вводные'!$H$275</f>
        <v/>
      </c>
      <c r="O28" s="136">
        <f>O90*'01_Вводные'!$H$276</f>
        <v/>
      </c>
      <c r="P28" s="136">
        <f>P90*'01_Вводные'!$H$277</f>
        <v/>
      </c>
      <c r="Q28" s="136">
        <f>Q90*'01_Вводные'!$H$278</f>
        <v/>
      </c>
      <c r="R28" s="136">
        <f>R90*'01_Вводные'!$H$279</f>
        <v/>
      </c>
      <c r="S28" s="136">
        <f>S90*'01_Вводные'!$H$280</f>
        <v/>
      </c>
      <c r="T28" s="136">
        <f>T90*'01_Вводные'!$H$281</f>
        <v/>
      </c>
      <c r="U28" s="136">
        <f>U90*'01_Вводные'!$H$282</f>
        <v/>
      </c>
      <c r="W28" s="138">
        <f>SUMPRODUCT($B$22:$U$22,B90:U90)</f>
        <v/>
      </c>
      <c r="X28" s="138">
        <f>SUMPRODUCT($B$22:$U$22,B58:U58)</f>
        <v/>
      </c>
    </row>
    <row r="29">
      <c r="A29" s="134" t="inlineStr">
        <is>
          <t>6</t>
        </is>
      </c>
      <c r="B29" s="136">
        <f>B91*'01_Вводные'!$H$263</f>
        <v/>
      </c>
      <c r="C29" s="136">
        <f>C91*'01_Вводные'!$H$264</f>
        <v/>
      </c>
      <c r="D29" s="136">
        <f>D91*'01_Вводные'!$H$265</f>
        <v/>
      </c>
      <c r="E29" s="136">
        <f>E91*'01_Вводные'!$H$266</f>
        <v/>
      </c>
      <c r="F29" s="136">
        <f>F91*'01_Вводные'!$H$267</f>
        <v/>
      </c>
      <c r="G29" s="136">
        <f>G91*'01_Вводные'!$H$268</f>
        <v/>
      </c>
      <c r="H29" s="136">
        <f>H91*'01_Вводные'!$H$269</f>
        <v/>
      </c>
      <c r="I29" s="136">
        <f>I91*'01_Вводные'!$H$270</f>
        <v/>
      </c>
      <c r="J29" s="136">
        <f>J91*'01_Вводные'!$H$271</f>
        <v/>
      </c>
      <c r="K29" s="136">
        <f>K91*'01_Вводные'!$H$272</f>
        <v/>
      </c>
      <c r="L29" s="136">
        <f>L91*'01_Вводные'!$H$273</f>
        <v/>
      </c>
      <c r="M29" s="136">
        <f>M91*'01_Вводные'!$H$274</f>
        <v/>
      </c>
      <c r="N29" s="136">
        <f>N91*'01_Вводные'!$H$275</f>
        <v/>
      </c>
      <c r="O29" s="136">
        <f>O91*'01_Вводные'!$H$276</f>
        <v/>
      </c>
      <c r="P29" s="136">
        <f>P91*'01_Вводные'!$H$277</f>
        <v/>
      </c>
      <c r="Q29" s="136">
        <f>Q91*'01_Вводные'!$H$278</f>
        <v/>
      </c>
      <c r="R29" s="136">
        <f>R91*'01_Вводные'!$H$279</f>
        <v/>
      </c>
      <c r="S29" s="136">
        <f>S91*'01_Вводные'!$H$280</f>
        <v/>
      </c>
      <c r="T29" s="136">
        <f>T91*'01_Вводные'!$H$281</f>
        <v/>
      </c>
      <c r="U29" s="136">
        <f>U91*'01_Вводные'!$H$282</f>
        <v/>
      </c>
      <c r="W29" s="138">
        <f>SUMPRODUCT($B$22:$U$22,B91:U91)</f>
        <v/>
      </c>
      <c r="X29" s="138">
        <f>SUMPRODUCT($B$22:$U$22,B59:U59)</f>
        <v/>
      </c>
    </row>
    <row r="30">
      <c r="A30" s="134" t="inlineStr">
        <is>
          <t>7</t>
        </is>
      </c>
      <c r="B30" s="136">
        <f>B92*'01_Вводные'!$H$263</f>
        <v/>
      </c>
      <c r="C30" s="136">
        <f>C92*'01_Вводные'!$H$264</f>
        <v/>
      </c>
      <c r="D30" s="136">
        <f>D92*'01_Вводные'!$H$265</f>
        <v/>
      </c>
      <c r="E30" s="136">
        <f>E92*'01_Вводные'!$H$266</f>
        <v/>
      </c>
      <c r="F30" s="136">
        <f>F92*'01_Вводные'!$H$267</f>
        <v/>
      </c>
      <c r="G30" s="136">
        <f>G92*'01_Вводные'!$H$268</f>
        <v/>
      </c>
      <c r="H30" s="136">
        <f>H92*'01_Вводные'!$H$269</f>
        <v/>
      </c>
      <c r="I30" s="136">
        <f>I92*'01_Вводные'!$H$270</f>
        <v/>
      </c>
      <c r="J30" s="136">
        <f>J92*'01_Вводные'!$H$271</f>
        <v/>
      </c>
      <c r="K30" s="136">
        <f>K92*'01_Вводные'!$H$272</f>
        <v/>
      </c>
      <c r="L30" s="136">
        <f>L92*'01_Вводные'!$H$273</f>
        <v/>
      </c>
      <c r="M30" s="136">
        <f>M92*'01_Вводные'!$H$274</f>
        <v/>
      </c>
      <c r="N30" s="136">
        <f>N92*'01_Вводные'!$H$275</f>
        <v/>
      </c>
      <c r="O30" s="136">
        <f>O92*'01_Вводные'!$H$276</f>
        <v/>
      </c>
      <c r="P30" s="136">
        <f>P92*'01_Вводные'!$H$277</f>
        <v/>
      </c>
      <c r="Q30" s="136">
        <f>Q92*'01_Вводные'!$H$278</f>
        <v/>
      </c>
      <c r="R30" s="136">
        <f>R92*'01_Вводные'!$H$279</f>
        <v/>
      </c>
      <c r="S30" s="136">
        <f>S92*'01_Вводные'!$H$280</f>
        <v/>
      </c>
      <c r="T30" s="136">
        <f>T92*'01_Вводные'!$H$281</f>
        <v/>
      </c>
      <c r="U30" s="136">
        <f>U92*'01_Вводные'!$H$282</f>
        <v/>
      </c>
      <c r="W30" s="138">
        <f>SUMPRODUCT($B$22:$U$22,B92:U92)</f>
        <v/>
      </c>
      <c r="X30" s="138">
        <f>SUMPRODUCT($B$22:$U$22,B60:U60)</f>
        <v/>
      </c>
    </row>
    <row r="31">
      <c r="A31" s="134" t="inlineStr">
        <is>
          <t>8</t>
        </is>
      </c>
      <c r="B31" s="136">
        <f>B93*'01_Вводные'!$H$263</f>
        <v/>
      </c>
      <c r="C31" s="136">
        <f>C93*'01_Вводные'!$H$264</f>
        <v/>
      </c>
      <c r="D31" s="136">
        <f>D93*'01_Вводные'!$H$265</f>
        <v/>
      </c>
      <c r="E31" s="136">
        <f>E93*'01_Вводные'!$H$266</f>
        <v/>
      </c>
      <c r="F31" s="136">
        <f>F93*'01_Вводные'!$H$267</f>
        <v/>
      </c>
      <c r="G31" s="136">
        <f>G93*'01_Вводные'!$H$268</f>
        <v/>
      </c>
      <c r="H31" s="136">
        <f>H93*'01_Вводные'!$H$269</f>
        <v/>
      </c>
      <c r="I31" s="136">
        <f>I93*'01_Вводные'!$H$270</f>
        <v/>
      </c>
      <c r="J31" s="136">
        <f>J93*'01_Вводные'!$H$271</f>
        <v/>
      </c>
      <c r="K31" s="136">
        <f>K93*'01_Вводные'!$H$272</f>
        <v/>
      </c>
      <c r="L31" s="136">
        <f>L93*'01_Вводные'!$H$273</f>
        <v/>
      </c>
      <c r="M31" s="136">
        <f>M93*'01_Вводные'!$H$274</f>
        <v/>
      </c>
      <c r="N31" s="136">
        <f>N93*'01_Вводные'!$H$275</f>
        <v/>
      </c>
      <c r="O31" s="136">
        <f>O93*'01_Вводные'!$H$276</f>
        <v/>
      </c>
      <c r="P31" s="136">
        <f>P93*'01_Вводные'!$H$277</f>
        <v/>
      </c>
      <c r="Q31" s="136">
        <f>Q93*'01_Вводные'!$H$278</f>
        <v/>
      </c>
      <c r="R31" s="136">
        <f>R93*'01_Вводные'!$H$279</f>
        <v/>
      </c>
      <c r="S31" s="136">
        <f>S93*'01_Вводные'!$H$280</f>
        <v/>
      </c>
      <c r="T31" s="136">
        <f>T93*'01_Вводные'!$H$281</f>
        <v/>
      </c>
      <c r="U31" s="136">
        <f>U93*'01_Вводные'!$H$282</f>
        <v/>
      </c>
      <c r="W31" s="138">
        <f>SUMPRODUCT($B$22:$U$22,B93:U93)</f>
        <v/>
      </c>
      <c r="X31" s="138">
        <f>SUMPRODUCT($B$22:$U$22,B61:U61)</f>
        <v/>
      </c>
    </row>
    <row r="32">
      <c r="A32" s="134" t="inlineStr">
        <is>
          <t>9</t>
        </is>
      </c>
      <c r="B32" s="136">
        <f>B94*'01_Вводные'!$H$263</f>
        <v/>
      </c>
      <c r="C32" s="136">
        <f>C94*'01_Вводные'!$H$264</f>
        <v/>
      </c>
      <c r="D32" s="136">
        <f>D94*'01_Вводные'!$H$265</f>
        <v/>
      </c>
      <c r="E32" s="136">
        <f>E94*'01_Вводные'!$H$266</f>
        <v/>
      </c>
      <c r="F32" s="136">
        <f>F94*'01_Вводные'!$H$267</f>
        <v/>
      </c>
      <c r="G32" s="136">
        <f>G94*'01_Вводные'!$H$268</f>
        <v/>
      </c>
      <c r="H32" s="136">
        <f>H94*'01_Вводные'!$H$269</f>
        <v/>
      </c>
      <c r="I32" s="136">
        <f>I94*'01_Вводные'!$H$270</f>
        <v/>
      </c>
      <c r="J32" s="136">
        <f>J94*'01_Вводные'!$H$271</f>
        <v/>
      </c>
      <c r="K32" s="136">
        <f>K94*'01_Вводные'!$H$272</f>
        <v/>
      </c>
      <c r="L32" s="136">
        <f>L94*'01_Вводные'!$H$273</f>
        <v/>
      </c>
      <c r="M32" s="136">
        <f>M94*'01_Вводные'!$H$274</f>
        <v/>
      </c>
      <c r="N32" s="136">
        <f>N94*'01_Вводные'!$H$275</f>
        <v/>
      </c>
      <c r="O32" s="136">
        <f>O94*'01_Вводные'!$H$276</f>
        <v/>
      </c>
      <c r="P32" s="136">
        <f>P94*'01_Вводные'!$H$277</f>
        <v/>
      </c>
      <c r="Q32" s="136">
        <f>Q94*'01_Вводные'!$H$278</f>
        <v/>
      </c>
      <c r="R32" s="136">
        <f>R94*'01_Вводные'!$H$279</f>
        <v/>
      </c>
      <c r="S32" s="136">
        <f>S94*'01_Вводные'!$H$280</f>
        <v/>
      </c>
      <c r="T32" s="136">
        <f>T94*'01_Вводные'!$H$281</f>
        <v/>
      </c>
      <c r="U32" s="136">
        <f>U94*'01_Вводные'!$H$282</f>
        <v/>
      </c>
      <c r="W32" s="138">
        <f>SUMPRODUCT($B$22:$U$22,B94:U94)</f>
        <v/>
      </c>
      <c r="X32" s="138">
        <f>SUMPRODUCT($B$22:$U$22,B62:U62)</f>
        <v/>
      </c>
    </row>
    <row r="33">
      <c r="A33" s="134" t="inlineStr">
        <is>
          <t>10</t>
        </is>
      </c>
      <c r="B33" s="136">
        <f>B95*'01_Вводные'!$H$263</f>
        <v/>
      </c>
      <c r="C33" s="136">
        <f>C95*'01_Вводные'!$H$264</f>
        <v/>
      </c>
      <c r="D33" s="136">
        <f>D95*'01_Вводные'!$H$265</f>
        <v/>
      </c>
      <c r="E33" s="136">
        <f>E95*'01_Вводные'!$H$266</f>
        <v/>
      </c>
      <c r="F33" s="136">
        <f>F95*'01_Вводные'!$H$267</f>
        <v/>
      </c>
      <c r="G33" s="136">
        <f>G95*'01_Вводные'!$H$268</f>
        <v/>
      </c>
      <c r="H33" s="136">
        <f>H95*'01_Вводные'!$H$269</f>
        <v/>
      </c>
      <c r="I33" s="136">
        <f>I95*'01_Вводные'!$H$270</f>
        <v/>
      </c>
      <c r="J33" s="136">
        <f>J95*'01_Вводные'!$H$271</f>
        <v/>
      </c>
      <c r="K33" s="136">
        <f>K95*'01_Вводные'!$H$272</f>
        <v/>
      </c>
      <c r="L33" s="136">
        <f>L95*'01_Вводные'!$H$273</f>
        <v/>
      </c>
      <c r="M33" s="136">
        <f>M95*'01_Вводные'!$H$274</f>
        <v/>
      </c>
      <c r="N33" s="136">
        <f>N95*'01_Вводные'!$H$275</f>
        <v/>
      </c>
      <c r="O33" s="136">
        <f>O95*'01_Вводные'!$H$276</f>
        <v/>
      </c>
      <c r="P33" s="136">
        <f>P95*'01_Вводные'!$H$277</f>
        <v/>
      </c>
      <c r="Q33" s="136">
        <f>Q95*'01_Вводные'!$H$278</f>
        <v/>
      </c>
      <c r="R33" s="136">
        <f>R95*'01_Вводные'!$H$279</f>
        <v/>
      </c>
      <c r="S33" s="136">
        <f>S95*'01_Вводные'!$H$280</f>
        <v/>
      </c>
      <c r="T33" s="136">
        <f>T95*'01_Вводные'!$H$281</f>
        <v/>
      </c>
      <c r="U33" s="136">
        <f>U95*'01_Вводные'!$H$282</f>
        <v/>
      </c>
      <c r="W33" s="138">
        <f>SUMPRODUCT($B$22:$U$22,B95:U95)</f>
        <v/>
      </c>
      <c r="X33" s="138">
        <f>SUMPRODUCT($B$22:$U$22,B63:U63)</f>
        <v/>
      </c>
    </row>
    <row r="34">
      <c r="A34" s="134" t="inlineStr">
        <is>
          <t>11</t>
        </is>
      </c>
      <c r="B34" s="136">
        <f>B96*'01_Вводные'!$H$263</f>
        <v/>
      </c>
      <c r="C34" s="136">
        <f>C96*'01_Вводные'!$H$264</f>
        <v/>
      </c>
      <c r="D34" s="136">
        <f>D96*'01_Вводные'!$H$265</f>
        <v/>
      </c>
      <c r="E34" s="136">
        <f>E96*'01_Вводные'!$H$266</f>
        <v/>
      </c>
      <c r="F34" s="136">
        <f>F96*'01_Вводные'!$H$267</f>
        <v/>
      </c>
      <c r="G34" s="136">
        <f>G96*'01_Вводные'!$H$268</f>
        <v/>
      </c>
      <c r="H34" s="136">
        <f>H96*'01_Вводные'!$H$269</f>
        <v/>
      </c>
      <c r="I34" s="136">
        <f>I96*'01_Вводные'!$H$270</f>
        <v/>
      </c>
      <c r="J34" s="136">
        <f>J96*'01_Вводные'!$H$271</f>
        <v/>
      </c>
      <c r="K34" s="136">
        <f>K96*'01_Вводные'!$H$272</f>
        <v/>
      </c>
      <c r="L34" s="136">
        <f>L96*'01_Вводные'!$H$273</f>
        <v/>
      </c>
      <c r="M34" s="136">
        <f>M96*'01_Вводные'!$H$274</f>
        <v/>
      </c>
      <c r="N34" s="136">
        <f>N96*'01_Вводные'!$H$275</f>
        <v/>
      </c>
      <c r="O34" s="136">
        <f>O96*'01_Вводные'!$H$276</f>
        <v/>
      </c>
      <c r="P34" s="136">
        <f>P96*'01_Вводные'!$H$277</f>
        <v/>
      </c>
      <c r="Q34" s="136">
        <f>Q96*'01_Вводные'!$H$278</f>
        <v/>
      </c>
      <c r="R34" s="136">
        <f>R96*'01_Вводные'!$H$279</f>
        <v/>
      </c>
      <c r="S34" s="136">
        <f>S96*'01_Вводные'!$H$280</f>
        <v/>
      </c>
      <c r="T34" s="136">
        <f>T96*'01_Вводные'!$H$281</f>
        <v/>
      </c>
      <c r="U34" s="136">
        <f>U96*'01_Вводные'!$H$282</f>
        <v/>
      </c>
      <c r="W34" s="138">
        <f>SUMPRODUCT($B$22:$U$22,B96:U96)</f>
        <v/>
      </c>
      <c r="X34" s="138">
        <f>SUMPRODUCT($B$22:$U$22,B64:U64)</f>
        <v/>
      </c>
    </row>
    <row r="35">
      <c r="A35" s="134" t="inlineStr">
        <is>
          <t>12</t>
        </is>
      </c>
      <c r="B35" s="136">
        <f>B97*'01_Вводные'!$H$263</f>
        <v/>
      </c>
      <c r="C35" s="136">
        <f>C97*'01_Вводные'!$H$264</f>
        <v/>
      </c>
      <c r="D35" s="136">
        <f>D97*'01_Вводные'!$H$265</f>
        <v/>
      </c>
      <c r="E35" s="136">
        <f>E97*'01_Вводные'!$H$266</f>
        <v/>
      </c>
      <c r="F35" s="136">
        <f>F97*'01_Вводные'!$H$267</f>
        <v/>
      </c>
      <c r="G35" s="136">
        <f>G97*'01_Вводные'!$H$268</f>
        <v/>
      </c>
      <c r="H35" s="136">
        <f>H97*'01_Вводные'!$H$269</f>
        <v/>
      </c>
      <c r="I35" s="136">
        <f>I97*'01_Вводные'!$H$270</f>
        <v/>
      </c>
      <c r="J35" s="136">
        <f>J97*'01_Вводные'!$H$271</f>
        <v/>
      </c>
      <c r="K35" s="136">
        <f>K97*'01_Вводные'!$H$272</f>
        <v/>
      </c>
      <c r="L35" s="136">
        <f>L97*'01_Вводные'!$H$273</f>
        <v/>
      </c>
      <c r="M35" s="136">
        <f>M97*'01_Вводные'!$H$274</f>
        <v/>
      </c>
      <c r="N35" s="136">
        <f>N97*'01_Вводные'!$H$275</f>
        <v/>
      </c>
      <c r="O35" s="136">
        <f>O97*'01_Вводные'!$H$276</f>
        <v/>
      </c>
      <c r="P35" s="136">
        <f>P97*'01_Вводные'!$H$277</f>
        <v/>
      </c>
      <c r="Q35" s="136">
        <f>Q97*'01_Вводные'!$H$278</f>
        <v/>
      </c>
      <c r="R35" s="136">
        <f>R97*'01_Вводные'!$H$279</f>
        <v/>
      </c>
      <c r="S35" s="136">
        <f>S97*'01_Вводные'!$H$280</f>
        <v/>
      </c>
      <c r="T35" s="136">
        <f>T97*'01_Вводные'!$H$281</f>
        <v/>
      </c>
      <c r="U35" s="136">
        <f>U97*'01_Вводные'!$H$282</f>
        <v/>
      </c>
      <c r="W35" s="138">
        <f>SUMPRODUCT($B$22:$U$22,B97:U97)</f>
        <v/>
      </c>
      <c r="X35" s="138">
        <f>SUMPRODUCT($B$22:$U$22,B65:U65)</f>
        <v/>
      </c>
    </row>
    <row r="36">
      <c r="A36" s="134" t="inlineStr">
        <is>
          <t>13</t>
        </is>
      </c>
      <c r="B36" s="136">
        <f>B98*'01_Вводные'!$H$263</f>
        <v/>
      </c>
      <c r="C36" s="136">
        <f>C98*'01_Вводные'!$H$264</f>
        <v/>
      </c>
      <c r="D36" s="136">
        <f>D98*'01_Вводные'!$H$265</f>
        <v/>
      </c>
      <c r="E36" s="136">
        <f>E98*'01_Вводные'!$H$266</f>
        <v/>
      </c>
      <c r="F36" s="136">
        <f>F98*'01_Вводные'!$H$267</f>
        <v/>
      </c>
      <c r="G36" s="136">
        <f>G98*'01_Вводные'!$H$268</f>
        <v/>
      </c>
      <c r="H36" s="136">
        <f>H98*'01_Вводные'!$H$269</f>
        <v/>
      </c>
      <c r="I36" s="136">
        <f>I98*'01_Вводные'!$H$270</f>
        <v/>
      </c>
      <c r="J36" s="136">
        <f>J98*'01_Вводные'!$H$271</f>
        <v/>
      </c>
      <c r="K36" s="136">
        <f>K98*'01_Вводные'!$H$272</f>
        <v/>
      </c>
      <c r="L36" s="136">
        <f>L98*'01_Вводные'!$H$273</f>
        <v/>
      </c>
      <c r="M36" s="136">
        <f>M98*'01_Вводные'!$H$274</f>
        <v/>
      </c>
      <c r="N36" s="136">
        <f>N98*'01_Вводные'!$H$275</f>
        <v/>
      </c>
      <c r="O36" s="136">
        <f>O98*'01_Вводные'!$H$276</f>
        <v/>
      </c>
      <c r="P36" s="136">
        <f>P98*'01_Вводные'!$H$277</f>
        <v/>
      </c>
      <c r="Q36" s="136">
        <f>Q98*'01_Вводные'!$H$278</f>
        <v/>
      </c>
      <c r="R36" s="136">
        <f>R98*'01_Вводные'!$H$279</f>
        <v/>
      </c>
      <c r="S36" s="136">
        <f>S98*'01_Вводные'!$H$280</f>
        <v/>
      </c>
      <c r="T36" s="136">
        <f>T98*'01_Вводные'!$H$281</f>
        <v/>
      </c>
      <c r="U36" s="136">
        <f>U98*'01_Вводные'!$H$282</f>
        <v/>
      </c>
      <c r="W36" s="138">
        <f>SUMPRODUCT($B$22:$U$22,B98:U98)</f>
        <v/>
      </c>
      <c r="X36" s="138">
        <f>SUMPRODUCT($B$22:$U$22,B66:U66)</f>
        <v/>
      </c>
    </row>
    <row r="37">
      <c r="A37" s="134" t="inlineStr">
        <is>
          <t>14</t>
        </is>
      </c>
      <c r="B37" s="136">
        <f>B99*'01_Вводные'!$H$263</f>
        <v/>
      </c>
      <c r="C37" s="136">
        <f>C99*'01_Вводные'!$H$264</f>
        <v/>
      </c>
      <c r="D37" s="136">
        <f>D99*'01_Вводные'!$H$265</f>
        <v/>
      </c>
      <c r="E37" s="136">
        <f>E99*'01_Вводные'!$H$266</f>
        <v/>
      </c>
      <c r="F37" s="136">
        <f>F99*'01_Вводные'!$H$267</f>
        <v/>
      </c>
      <c r="G37" s="136">
        <f>G99*'01_Вводные'!$H$268</f>
        <v/>
      </c>
      <c r="H37" s="136">
        <f>H99*'01_Вводные'!$H$269</f>
        <v/>
      </c>
      <c r="I37" s="136">
        <f>I99*'01_Вводные'!$H$270</f>
        <v/>
      </c>
      <c r="J37" s="136">
        <f>J99*'01_Вводные'!$H$271</f>
        <v/>
      </c>
      <c r="K37" s="136">
        <f>K99*'01_Вводные'!$H$272</f>
        <v/>
      </c>
      <c r="L37" s="136">
        <f>L99*'01_Вводные'!$H$273</f>
        <v/>
      </c>
      <c r="M37" s="136">
        <f>M99*'01_Вводные'!$H$274</f>
        <v/>
      </c>
      <c r="N37" s="136">
        <f>N99*'01_Вводные'!$H$275</f>
        <v/>
      </c>
      <c r="O37" s="136">
        <f>O99*'01_Вводные'!$H$276</f>
        <v/>
      </c>
      <c r="P37" s="136">
        <f>P99*'01_Вводные'!$H$277</f>
        <v/>
      </c>
      <c r="Q37" s="136">
        <f>Q99*'01_Вводные'!$H$278</f>
        <v/>
      </c>
      <c r="R37" s="136">
        <f>R99*'01_Вводные'!$H$279</f>
        <v/>
      </c>
      <c r="S37" s="136">
        <f>S99*'01_Вводные'!$H$280</f>
        <v/>
      </c>
      <c r="T37" s="136">
        <f>T99*'01_Вводные'!$H$281</f>
        <v/>
      </c>
      <c r="U37" s="136">
        <f>U99*'01_Вводные'!$H$282</f>
        <v/>
      </c>
      <c r="W37" s="138">
        <f>SUMPRODUCT($B$22:$U$22,B99:U99)</f>
        <v/>
      </c>
      <c r="X37" s="138">
        <f>SUMPRODUCT($B$22:$U$22,B67:U67)</f>
        <v/>
      </c>
    </row>
    <row r="38">
      <c r="A38" s="134" t="inlineStr">
        <is>
          <t>15</t>
        </is>
      </c>
      <c r="B38" s="136">
        <f>B100*'01_Вводные'!$H$263</f>
        <v/>
      </c>
      <c r="C38" s="136">
        <f>C100*'01_Вводные'!$H$264</f>
        <v/>
      </c>
      <c r="D38" s="136">
        <f>D100*'01_Вводные'!$H$265</f>
        <v/>
      </c>
      <c r="E38" s="136">
        <f>E100*'01_Вводные'!$H$266</f>
        <v/>
      </c>
      <c r="F38" s="136">
        <f>F100*'01_Вводные'!$H$267</f>
        <v/>
      </c>
      <c r="G38" s="136">
        <f>G100*'01_Вводные'!$H$268</f>
        <v/>
      </c>
      <c r="H38" s="136">
        <f>H100*'01_Вводные'!$H$269</f>
        <v/>
      </c>
      <c r="I38" s="136">
        <f>I100*'01_Вводные'!$H$270</f>
        <v/>
      </c>
      <c r="J38" s="136">
        <f>J100*'01_Вводные'!$H$271</f>
        <v/>
      </c>
      <c r="K38" s="136">
        <f>K100*'01_Вводные'!$H$272</f>
        <v/>
      </c>
      <c r="L38" s="136">
        <f>L100*'01_Вводные'!$H$273</f>
        <v/>
      </c>
      <c r="M38" s="136">
        <f>M100*'01_Вводные'!$H$274</f>
        <v/>
      </c>
      <c r="N38" s="136">
        <f>N100*'01_Вводные'!$H$275</f>
        <v/>
      </c>
      <c r="O38" s="136">
        <f>O100*'01_Вводные'!$H$276</f>
        <v/>
      </c>
      <c r="P38" s="136">
        <f>P100*'01_Вводные'!$H$277</f>
        <v/>
      </c>
      <c r="Q38" s="136">
        <f>Q100*'01_Вводные'!$H$278</f>
        <v/>
      </c>
      <c r="R38" s="136">
        <f>R100*'01_Вводные'!$H$279</f>
        <v/>
      </c>
      <c r="S38" s="136">
        <f>S100*'01_Вводные'!$H$280</f>
        <v/>
      </c>
      <c r="T38" s="136">
        <f>T100*'01_Вводные'!$H$281</f>
        <v/>
      </c>
      <c r="U38" s="136">
        <f>U100*'01_Вводные'!$H$282</f>
        <v/>
      </c>
      <c r="W38" s="138">
        <f>SUMPRODUCT($B$22:$U$22,B100:U100)</f>
        <v/>
      </c>
      <c r="X38" s="138">
        <f>SUMPRODUCT($B$22:$U$22,B68:U68)</f>
        <v/>
      </c>
    </row>
    <row r="39">
      <c r="A39" s="134" t="inlineStr">
        <is>
          <t>16</t>
        </is>
      </c>
      <c r="B39" s="136">
        <f>B101*'01_Вводные'!$H$263</f>
        <v/>
      </c>
      <c r="C39" s="136">
        <f>C101*'01_Вводные'!$H$264</f>
        <v/>
      </c>
      <c r="D39" s="136">
        <f>D101*'01_Вводные'!$H$265</f>
        <v/>
      </c>
      <c r="E39" s="136">
        <f>E101*'01_Вводные'!$H$266</f>
        <v/>
      </c>
      <c r="F39" s="136">
        <f>F101*'01_Вводные'!$H$267</f>
        <v/>
      </c>
      <c r="G39" s="136">
        <f>G101*'01_Вводные'!$H$268</f>
        <v/>
      </c>
      <c r="H39" s="136">
        <f>H101*'01_Вводные'!$H$269</f>
        <v/>
      </c>
      <c r="I39" s="136">
        <f>I101*'01_Вводные'!$H$270</f>
        <v/>
      </c>
      <c r="J39" s="136">
        <f>J101*'01_Вводные'!$H$271</f>
        <v/>
      </c>
      <c r="K39" s="136">
        <f>K101*'01_Вводные'!$H$272</f>
        <v/>
      </c>
      <c r="L39" s="136">
        <f>L101*'01_Вводные'!$H$273</f>
        <v/>
      </c>
      <c r="M39" s="136">
        <f>M101*'01_Вводные'!$H$274</f>
        <v/>
      </c>
      <c r="N39" s="136">
        <f>N101*'01_Вводные'!$H$275</f>
        <v/>
      </c>
      <c r="O39" s="136">
        <f>O101*'01_Вводные'!$H$276</f>
        <v/>
      </c>
      <c r="P39" s="136">
        <f>P101*'01_Вводные'!$H$277</f>
        <v/>
      </c>
      <c r="Q39" s="136">
        <f>Q101*'01_Вводные'!$H$278</f>
        <v/>
      </c>
      <c r="R39" s="136">
        <f>R101*'01_Вводные'!$H$279</f>
        <v/>
      </c>
      <c r="S39" s="136">
        <f>S101*'01_Вводные'!$H$280</f>
        <v/>
      </c>
      <c r="T39" s="136">
        <f>T101*'01_Вводные'!$H$281</f>
        <v/>
      </c>
      <c r="U39" s="136">
        <f>U101*'01_Вводные'!$H$282</f>
        <v/>
      </c>
      <c r="W39" s="138">
        <f>SUMPRODUCT($B$22:$U$22,B101:U101)</f>
        <v/>
      </c>
      <c r="X39" s="138">
        <f>SUMPRODUCT($B$22:$U$22,B69:U69)</f>
        <v/>
      </c>
    </row>
    <row r="40">
      <c r="A40" s="134" t="inlineStr">
        <is>
          <t>17</t>
        </is>
      </c>
      <c r="B40" s="136">
        <f>B102*'01_Вводные'!$H$263</f>
        <v/>
      </c>
      <c r="C40" s="136">
        <f>C102*'01_Вводные'!$H$264</f>
        <v/>
      </c>
      <c r="D40" s="136">
        <f>D102*'01_Вводные'!$H$265</f>
        <v/>
      </c>
      <c r="E40" s="136">
        <f>E102*'01_Вводные'!$H$266</f>
        <v/>
      </c>
      <c r="F40" s="136">
        <f>F102*'01_Вводные'!$H$267</f>
        <v/>
      </c>
      <c r="G40" s="136">
        <f>G102*'01_Вводные'!$H$268</f>
        <v/>
      </c>
      <c r="H40" s="136">
        <f>H102*'01_Вводные'!$H$269</f>
        <v/>
      </c>
      <c r="I40" s="136">
        <f>I102*'01_Вводные'!$H$270</f>
        <v/>
      </c>
      <c r="J40" s="136">
        <f>J102*'01_Вводные'!$H$271</f>
        <v/>
      </c>
      <c r="K40" s="136">
        <f>K102*'01_Вводные'!$H$272</f>
        <v/>
      </c>
      <c r="L40" s="136">
        <f>L102*'01_Вводные'!$H$273</f>
        <v/>
      </c>
      <c r="M40" s="136">
        <f>M102*'01_Вводные'!$H$274</f>
        <v/>
      </c>
      <c r="N40" s="136">
        <f>N102*'01_Вводные'!$H$275</f>
        <v/>
      </c>
      <c r="O40" s="136">
        <f>O102*'01_Вводные'!$H$276</f>
        <v/>
      </c>
      <c r="P40" s="136">
        <f>P102*'01_Вводные'!$H$277</f>
        <v/>
      </c>
      <c r="Q40" s="136">
        <f>Q102*'01_Вводные'!$H$278</f>
        <v/>
      </c>
      <c r="R40" s="136">
        <f>R102*'01_Вводные'!$H$279</f>
        <v/>
      </c>
      <c r="S40" s="136">
        <f>S102*'01_Вводные'!$H$280</f>
        <v/>
      </c>
      <c r="T40" s="136">
        <f>T102*'01_Вводные'!$H$281</f>
        <v/>
      </c>
      <c r="U40" s="136">
        <f>U102*'01_Вводные'!$H$282</f>
        <v/>
      </c>
      <c r="W40" s="138">
        <f>SUMPRODUCT($B$22:$U$22,B102:U102)</f>
        <v/>
      </c>
      <c r="X40" s="138">
        <f>SUMPRODUCT($B$22:$U$22,B70:U70)</f>
        <v/>
      </c>
    </row>
    <row r="41">
      <c r="A41" s="134" t="inlineStr">
        <is>
          <t>18</t>
        </is>
      </c>
      <c r="B41" s="136">
        <f>B103*'01_Вводные'!$H$263</f>
        <v/>
      </c>
      <c r="C41" s="136">
        <f>C103*'01_Вводные'!$H$264</f>
        <v/>
      </c>
      <c r="D41" s="136">
        <f>D103*'01_Вводные'!$H$265</f>
        <v/>
      </c>
      <c r="E41" s="136">
        <f>E103*'01_Вводные'!$H$266</f>
        <v/>
      </c>
      <c r="F41" s="136">
        <f>F103*'01_Вводные'!$H$267</f>
        <v/>
      </c>
      <c r="G41" s="136">
        <f>G103*'01_Вводные'!$H$268</f>
        <v/>
      </c>
      <c r="H41" s="136">
        <f>H103*'01_Вводные'!$H$269</f>
        <v/>
      </c>
      <c r="I41" s="136">
        <f>I103*'01_Вводные'!$H$270</f>
        <v/>
      </c>
      <c r="J41" s="136">
        <f>J103*'01_Вводные'!$H$271</f>
        <v/>
      </c>
      <c r="K41" s="136">
        <f>K103*'01_Вводные'!$H$272</f>
        <v/>
      </c>
      <c r="L41" s="136">
        <f>L103*'01_Вводные'!$H$273</f>
        <v/>
      </c>
      <c r="M41" s="136">
        <f>M103*'01_Вводные'!$H$274</f>
        <v/>
      </c>
      <c r="N41" s="136">
        <f>N103*'01_Вводные'!$H$275</f>
        <v/>
      </c>
      <c r="O41" s="136">
        <f>O103*'01_Вводные'!$H$276</f>
        <v/>
      </c>
      <c r="P41" s="136">
        <f>P103*'01_Вводные'!$H$277</f>
        <v/>
      </c>
      <c r="Q41" s="136">
        <f>Q103*'01_Вводные'!$H$278</f>
        <v/>
      </c>
      <c r="R41" s="136">
        <f>R103*'01_Вводные'!$H$279</f>
        <v/>
      </c>
      <c r="S41" s="136">
        <f>S103*'01_Вводные'!$H$280</f>
        <v/>
      </c>
      <c r="T41" s="136">
        <f>T103*'01_Вводные'!$H$281</f>
        <v/>
      </c>
      <c r="U41" s="136">
        <f>U103*'01_Вводные'!$H$282</f>
        <v/>
      </c>
      <c r="W41" s="138">
        <f>SUMPRODUCT($B$22:$U$22,B103:U103)</f>
        <v/>
      </c>
      <c r="X41" s="138">
        <f>SUMPRODUCT($B$22:$U$22,B71:U71)</f>
        <v/>
      </c>
    </row>
    <row r="42">
      <c r="A42" s="134" t="inlineStr">
        <is>
          <t>19</t>
        </is>
      </c>
      <c r="B42" s="136">
        <f>B104*'01_Вводные'!$H$263</f>
        <v/>
      </c>
      <c r="C42" s="136">
        <f>C104*'01_Вводные'!$H$264</f>
        <v/>
      </c>
      <c r="D42" s="136">
        <f>D104*'01_Вводные'!$H$265</f>
        <v/>
      </c>
      <c r="E42" s="136">
        <f>E104*'01_Вводные'!$H$266</f>
        <v/>
      </c>
      <c r="F42" s="136">
        <f>F104*'01_Вводные'!$H$267</f>
        <v/>
      </c>
      <c r="G42" s="136">
        <f>G104*'01_Вводные'!$H$268</f>
        <v/>
      </c>
      <c r="H42" s="136">
        <f>H104*'01_Вводные'!$H$269</f>
        <v/>
      </c>
      <c r="I42" s="136">
        <f>I104*'01_Вводные'!$H$270</f>
        <v/>
      </c>
      <c r="J42" s="136">
        <f>J104*'01_Вводные'!$H$271</f>
        <v/>
      </c>
      <c r="K42" s="136">
        <f>K104*'01_Вводные'!$H$272</f>
        <v/>
      </c>
      <c r="L42" s="136">
        <f>L104*'01_Вводные'!$H$273</f>
        <v/>
      </c>
      <c r="M42" s="136">
        <f>M104*'01_Вводные'!$H$274</f>
        <v/>
      </c>
      <c r="N42" s="136">
        <f>N104*'01_Вводные'!$H$275</f>
        <v/>
      </c>
      <c r="O42" s="136">
        <f>O104*'01_Вводные'!$H$276</f>
        <v/>
      </c>
      <c r="P42" s="136">
        <f>P104*'01_Вводные'!$H$277</f>
        <v/>
      </c>
      <c r="Q42" s="136">
        <f>Q104*'01_Вводные'!$H$278</f>
        <v/>
      </c>
      <c r="R42" s="136">
        <f>R104*'01_Вводные'!$H$279</f>
        <v/>
      </c>
      <c r="S42" s="136">
        <f>S104*'01_Вводные'!$H$280</f>
        <v/>
      </c>
      <c r="T42" s="136">
        <f>T104*'01_Вводные'!$H$281</f>
        <v/>
      </c>
      <c r="U42" s="136">
        <f>U104*'01_Вводные'!$H$282</f>
        <v/>
      </c>
      <c r="W42" s="138">
        <f>SUMPRODUCT($B$22:$U$22,B104:U104)</f>
        <v/>
      </c>
      <c r="X42" s="138">
        <f>SUMPRODUCT($B$22:$U$22,B72:U72)</f>
        <v/>
      </c>
    </row>
    <row r="43">
      <c r="A43" s="134" t="inlineStr">
        <is>
          <t>20</t>
        </is>
      </c>
      <c r="B43" s="136">
        <f>B105*'01_Вводные'!$H$263</f>
        <v/>
      </c>
      <c r="C43" s="136">
        <f>C105*'01_Вводные'!$H$264</f>
        <v/>
      </c>
      <c r="D43" s="136">
        <f>D105*'01_Вводные'!$H$265</f>
        <v/>
      </c>
      <c r="E43" s="136">
        <f>E105*'01_Вводные'!$H$266</f>
        <v/>
      </c>
      <c r="F43" s="136">
        <f>F105*'01_Вводные'!$H$267</f>
        <v/>
      </c>
      <c r="G43" s="136">
        <f>G105*'01_Вводные'!$H$268</f>
        <v/>
      </c>
      <c r="H43" s="136">
        <f>H105*'01_Вводные'!$H$269</f>
        <v/>
      </c>
      <c r="I43" s="136">
        <f>I105*'01_Вводные'!$H$270</f>
        <v/>
      </c>
      <c r="J43" s="136">
        <f>J105*'01_Вводные'!$H$271</f>
        <v/>
      </c>
      <c r="K43" s="136">
        <f>K105*'01_Вводные'!$H$272</f>
        <v/>
      </c>
      <c r="L43" s="136">
        <f>L105*'01_Вводные'!$H$273</f>
        <v/>
      </c>
      <c r="M43" s="136">
        <f>M105*'01_Вводные'!$H$274</f>
        <v/>
      </c>
      <c r="N43" s="136">
        <f>N105*'01_Вводные'!$H$275</f>
        <v/>
      </c>
      <c r="O43" s="136">
        <f>O105*'01_Вводные'!$H$276</f>
        <v/>
      </c>
      <c r="P43" s="136">
        <f>P105*'01_Вводные'!$H$277</f>
        <v/>
      </c>
      <c r="Q43" s="136">
        <f>Q105*'01_Вводные'!$H$278</f>
        <v/>
      </c>
      <c r="R43" s="136">
        <f>R105*'01_Вводные'!$H$279</f>
        <v/>
      </c>
      <c r="S43" s="136">
        <f>S105*'01_Вводные'!$H$280</f>
        <v/>
      </c>
      <c r="T43" s="136">
        <f>T105*'01_Вводные'!$H$281</f>
        <v/>
      </c>
      <c r="U43" s="136">
        <f>U105*'01_Вводные'!$H$282</f>
        <v/>
      </c>
      <c r="W43" s="138">
        <f>SUMPRODUCT($B$22:$U$22,B105:U105)</f>
        <v/>
      </c>
      <c r="X43" s="138">
        <f>SUMPRODUCT($B$22:$U$22,B73:U73)</f>
        <v/>
      </c>
    </row>
    <row r="44">
      <c r="A44" s="134" t="inlineStr">
        <is>
          <t>21</t>
        </is>
      </c>
      <c r="B44" s="136">
        <f>B106*'01_Вводные'!$H$263</f>
        <v/>
      </c>
      <c r="C44" s="136">
        <f>C106*'01_Вводные'!$H$264</f>
        <v/>
      </c>
      <c r="D44" s="136">
        <f>D106*'01_Вводные'!$H$265</f>
        <v/>
      </c>
      <c r="E44" s="136">
        <f>E106*'01_Вводные'!$H$266</f>
        <v/>
      </c>
      <c r="F44" s="136">
        <f>F106*'01_Вводные'!$H$267</f>
        <v/>
      </c>
      <c r="G44" s="136">
        <f>G106*'01_Вводные'!$H$268</f>
        <v/>
      </c>
      <c r="H44" s="136">
        <f>H106*'01_Вводные'!$H$269</f>
        <v/>
      </c>
      <c r="I44" s="136">
        <f>I106*'01_Вводные'!$H$270</f>
        <v/>
      </c>
      <c r="J44" s="136">
        <f>J106*'01_Вводные'!$H$271</f>
        <v/>
      </c>
      <c r="K44" s="136">
        <f>K106*'01_Вводные'!$H$272</f>
        <v/>
      </c>
      <c r="L44" s="136">
        <f>L106*'01_Вводные'!$H$273</f>
        <v/>
      </c>
      <c r="M44" s="136">
        <f>M106*'01_Вводные'!$H$274</f>
        <v/>
      </c>
      <c r="N44" s="136">
        <f>N106*'01_Вводные'!$H$275</f>
        <v/>
      </c>
      <c r="O44" s="136">
        <f>O106*'01_Вводные'!$H$276</f>
        <v/>
      </c>
      <c r="P44" s="136">
        <f>P106*'01_Вводные'!$H$277</f>
        <v/>
      </c>
      <c r="Q44" s="136">
        <f>Q106*'01_Вводные'!$H$278</f>
        <v/>
      </c>
      <c r="R44" s="136">
        <f>R106*'01_Вводные'!$H$279</f>
        <v/>
      </c>
      <c r="S44" s="136">
        <f>S106*'01_Вводные'!$H$280</f>
        <v/>
      </c>
      <c r="T44" s="136">
        <f>T106*'01_Вводные'!$H$281</f>
        <v/>
      </c>
      <c r="U44" s="136">
        <f>U106*'01_Вводные'!$H$282</f>
        <v/>
      </c>
      <c r="W44" s="138">
        <f>SUMPRODUCT($B$22:$U$22,B106:U106)</f>
        <v/>
      </c>
      <c r="X44" s="138">
        <f>SUMPRODUCT($B$22:$U$22,B74:U74)</f>
        <v/>
      </c>
    </row>
    <row r="45">
      <c r="A45" s="134" t="inlineStr">
        <is>
          <t>22</t>
        </is>
      </c>
      <c r="B45" s="136">
        <f>B107*'01_Вводные'!$H$263</f>
        <v/>
      </c>
      <c r="C45" s="136">
        <f>C107*'01_Вводные'!$H$264</f>
        <v/>
      </c>
      <c r="D45" s="136">
        <f>D107*'01_Вводные'!$H$265</f>
        <v/>
      </c>
      <c r="E45" s="136">
        <f>E107*'01_Вводные'!$H$266</f>
        <v/>
      </c>
      <c r="F45" s="136">
        <f>F107*'01_Вводные'!$H$267</f>
        <v/>
      </c>
      <c r="G45" s="136">
        <f>G107*'01_Вводные'!$H$268</f>
        <v/>
      </c>
      <c r="H45" s="136">
        <f>H107*'01_Вводные'!$H$269</f>
        <v/>
      </c>
      <c r="I45" s="136">
        <f>I107*'01_Вводные'!$H$270</f>
        <v/>
      </c>
      <c r="J45" s="136">
        <f>J107*'01_Вводные'!$H$271</f>
        <v/>
      </c>
      <c r="K45" s="136">
        <f>K107*'01_Вводные'!$H$272</f>
        <v/>
      </c>
      <c r="L45" s="136">
        <f>L107*'01_Вводные'!$H$273</f>
        <v/>
      </c>
      <c r="M45" s="136">
        <f>M107*'01_Вводные'!$H$274</f>
        <v/>
      </c>
      <c r="N45" s="136">
        <f>N107*'01_Вводные'!$H$275</f>
        <v/>
      </c>
      <c r="O45" s="136">
        <f>O107*'01_Вводные'!$H$276</f>
        <v/>
      </c>
      <c r="P45" s="136">
        <f>P107*'01_Вводные'!$H$277</f>
        <v/>
      </c>
      <c r="Q45" s="136">
        <f>Q107*'01_Вводные'!$H$278</f>
        <v/>
      </c>
      <c r="R45" s="136">
        <f>R107*'01_Вводные'!$H$279</f>
        <v/>
      </c>
      <c r="S45" s="136">
        <f>S107*'01_Вводные'!$H$280</f>
        <v/>
      </c>
      <c r="T45" s="136">
        <f>T107*'01_Вводные'!$H$281</f>
        <v/>
      </c>
      <c r="U45" s="136">
        <f>U107*'01_Вводные'!$H$282</f>
        <v/>
      </c>
      <c r="W45" s="138">
        <f>SUMPRODUCT($B$22:$U$22,B107:U107)</f>
        <v/>
      </c>
      <c r="X45" s="138">
        <f>SUMPRODUCT($B$22:$U$22,B75:U75)</f>
        <v/>
      </c>
    </row>
    <row r="46">
      <c r="A46" s="134" t="inlineStr">
        <is>
          <t>23</t>
        </is>
      </c>
      <c r="B46" s="136">
        <f>B108*'01_Вводные'!$H$263</f>
        <v/>
      </c>
      <c r="C46" s="136">
        <f>C108*'01_Вводные'!$H$264</f>
        <v/>
      </c>
      <c r="D46" s="136">
        <f>D108*'01_Вводные'!$H$265</f>
        <v/>
      </c>
      <c r="E46" s="136">
        <f>E108*'01_Вводные'!$H$266</f>
        <v/>
      </c>
      <c r="F46" s="136">
        <f>F108*'01_Вводные'!$H$267</f>
        <v/>
      </c>
      <c r="G46" s="136">
        <f>G108*'01_Вводные'!$H$268</f>
        <v/>
      </c>
      <c r="H46" s="136">
        <f>H108*'01_Вводные'!$H$269</f>
        <v/>
      </c>
      <c r="I46" s="136">
        <f>I108*'01_Вводные'!$H$270</f>
        <v/>
      </c>
      <c r="J46" s="136">
        <f>J108*'01_Вводные'!$H$271</f>
        <v/>
      </c>
      <c r="K46" s="136">
        <f>K108*'01_Вводные'!$H$272</f>
        <v/>
      </c>
      <c r="L46" s="136">
        <f>L108*'01_Вводные'!$H$273</f>
        <v/>
      </c>
      <c r="M46" s="136">
        <f>M108*'01_Вводные'!$H$274</f>
        <v/>
      </c>
      <c r="N46" s="136">
        <f>N108*'01_Вводные'!$H$275</f>
        <v/>
      </c>
      <c r="O46" s="136">
        <f>O108*'01_Вводные'!$H$276</f>
        <v/>
      </c>
      <c r="P46" s="136">
        <f>P108*'01_Вводные'!$H$277</f>
        <v/>
      </c>
      <c r="Q46" s="136">
        <f>Q108*'01_Вводные'!$H$278</f>
        <v/>
      </c>
      <c r="R46" s="136">
        <f>R108*'01_Вводные'!$H$279</f>
        <v/>
      </c>
      <c r="S46" s="136">
        <f>S108*'01_Вводные'!$H$280</f>
        <v/>
      </c>
      <c r="T46" s="136">
        <f>T108*'01_Вводные'!$H$281</f>
        <v/>
      </c>
      <c r="U46" s="136">
        <f>U108*'01_Вводные'!$H$282</f>
        <v/>
      </c>
      <c r="W46" s="138">
        <f>SUMPRODUCT($B$22:$U$22,B108:U108)</f>
        <v/>
      </c>
      <c r="X46" s="138">
        <f>SUMPRODUCT($B$22:$U$22,B76:U76)</f>
        <v/>
      </c>
    </row>
    <row r="47">
      <c r="A47" s="134" t="inlineStr">
        <is>
          <t>24</t>
        </is>
      </c>
      <c r="B47" s="136">
        <f>B109*'01_Вводные'!$H$263</f>
        <v/>
      </c>
      <c r="C47" s="136">
        <f>C109*'01_Вводные'!$H$264</f>
        <v/>
      </c>
      <c r="D47" s="136">
        <f>D109*'01_Вводные'!$H$265</f>
        <v/>
      </c>
      <c r="E47" s="136">
        <f>E109*'01_Вводные'!$H$266</f>
        <v/>
      </c>
      <c r="F47" s="136">
        <f>F109*'01_Вводные'!$H$267</f>
        <v/>
      </c>
      <c r="G47" s="136">
        <f>G109*'01_Вводные'!$H$268</f>
        <v/>
      </c>
      <c r="H47" s="136">
        <f>H109*'01_Вводные'!$H$269</f>
        <v/>
      </c>
      <c r="I47" s="136">
        <f>I109*'01_Вводные'!$H$270</f>
        <v/>
      </c>
      <c r="J47" s="136">
        <f>J109*'01_Вводные'!$H$271</f>
        <v/>
      </c>
      <c r="K47" s="136">
        <f>K109*'01_Вводные'!$H$272</f>
        <v/>
      </c>
      <c r="L47" s="136">
        <f>L109*'01_Вводные'!$H$273</f>
        <v/>
      </c>
      <c r="M47" s="136">
        <f>M109*'01_Вводные'!$H$274</f>
        <v/>
      </c>
      <c r="N47" s="136">
        <f>N109*'01_Вводные'!$H$275</f>
        <v/>
      </c>
      <c r="O47" s="136">
        <f>O109*'01_Вводные'!$H$276</f>
        <v/>
      </c>
      <c r="P47" s="136">
        <f>P109*'01_Вводные'!$H$277</f>
        <v/>
      </c>
      <c r="Q47" s="136">
        <f>Q109*'01_Вводные'!$H$278</f>
        <v/>
      </c>
      <c r="R47" s="136">
        <f>R109*'01_Вводные'!$H$279</f>
        <v/>
      </c>
      <c r="S47" s="136">
        <f>S109*'01_Вводные'!$H$280</f>
        <v/>
      </c>
      <c r="T47" s="136">
        <f>T109*'01_Вводные'!$H$281</f>
        <v/>
      </c>
      <c r="U47" s="136">
        <f>U109*'01_Вводные'!$H$282</f>
        <v/>
      </c>
      <c r="W47" s="138">
        <f>SUMPRODUCT($B$22:$U$22,B109:U109)</f>
        <v/>
      </c>
      <c r="X47" s="138">
        <f>SUMPRODUCT($B$22:$U$22,B77:U77)</f>
        <v/>
      </c>
    </row>
    <row r="48">
      <c r="A48" s="134" t="inlineStr">
        <is>
          <t>25+</t>
        </is>
      </c>
      <c r="B48" s="136">
        <f>B110*'01_Вводные'!$H$263</f>
        <v/>
      </c>
      <c r="C48" s="136">
        <f>C110*'01_Вводные'!$H$264</f>
        <v/>
      </c>
      <c r="D48" s="136">
        <f>D110*'01_Вводные'!$H$265</f>
        <v/>
      </c>
      <c r="E48" s="136">
        <f>E110*'01_Вводные'!$H$266</f>
        <v/>
      </c>
      <c r="F48" s="136">
        <f>F110*'01_Вводные'!$H$267</f>
        <v/>
      </c>
      <c r="G48" s="136">
        <f>G110*'01_Вводные'!$H$268</f>
        <v/>
      </c>
      <c r="H48" s="136">
        <f>H110*'01_Вводные'!$H$269</f>
        <v/>
      </c>
      <c r="I48" s="136">
        <f>I110*'01_Вводные'!$H$270</f>
        <v/>
      </c>
      <c r="J48" s="136">
        <f>J110*'01_Вводные'!$H$271</f>
        <v/>
      </c>
      <c r="K48" s="136">
        <f>K110*'01_Вводные'!$H$272</f>
        <v/>
      </c>
      <c r="L48" s="136">
        <f>L110*'01_Вводные'!$H$273</f>
        <v/>
      </c>
      <c r="M48" s="136">
        <f>M110*'01_Вводные'!$H$274</f>
        <v/>
      </c>
      <c r="N48" s="136">
        <f>N110*'01_Вводные'!$H$275</f>
        <v/>
      </c>
      <c r="O48" s="136">
        <f>O110*'01_Вводные'!$H$276</f>
        <v/>
      </c>
      <c r="P48" s="136">
        <f>P110*'01_Вводные'!$H$277</f>
        <v/>
      </c>
      <c r="Q48" s="136">
        <f>Q110*'01_Вводные'!$H$278</f>
        <v/>
      </c>
      <c r="R48" s="136">
        <f>R110*'01_Вводные'!$H$279</f>
        <v/>
      </c>
      <c r="S48" s="136">
        <f>S110*'01_Вводные'!$H$280</f>
        <v/>
      </c>
      <c r="T48" s="136">
        <f>T110*'01_Вводные'!$H$281</f>
        <v/>
      </c>
      <c r="U48" s="136">
        <f>U110*'01_Вводные'!$H$282</f>
        <v/>
      </c>
      <c r="W48" s="138">
        <f>SUMPRODUCT($B$22:$U$22,B110:U110)</f>
        <v/>
      </c>
      <c r="X48" s="138">
        <f>SUMPRODUCT($B$22:$U$22,B78:U78)</f>
        <v/>
      </c>
    </row>
    <row r="54">
      <c r="A54" s="134" t="inlineStr">
        <is>
          <t>1</t>
        </is>
      </c>
      <c r="B54" s="136">
        <f>'01_Вводные'!$I$263</f>
        <v/>
      </c>
      <c r="C54" s="136">
        <f>'01_Вводные'!$I$264</f>
        <v/>
      </c>
      <c r="D54" s="136">
        <f>'01_Вводные'!$I$265</f>
        <v/>
      </c>
      <c r="E54" s="136">
        <f>'01_Вводные'!$I$266</f>
        <v/>
      </c>
      <c r="F54" s="136">
        <f>'01_Вводные'!$I$267</f>
        <v/>
      </c>
      <c r="G54" s="136">
        <f>'01_Вводные'!$I$268</f>
        <v/>
      </c>
      <c r="H54" s="136">
        <f>'01_Вводные'!$I$269</f>
        <v/>
      </c>
      <c r="I54" s="136">
        <f>'01_Вводные'!$I$270</f>
        <v/>
      </c>
      <c r="J54" s="136">
        <f>'01_Вводные'!$I$271</f>
        <v/>
      </c>
      <c r="K54" s="136">
        <f>'01_Вводные'!$I$272</f>
        <v/>
      </c>
      <c r="L54" s="136">
        <f>'01_Вводные'!$I$273</f>
        <v/>
      </c>
      <c r="M54" s="136">
        <f>'01_Вводные'!$I$274</f>
        <v/>
      </c>
      <c r="N54" s="136">
        <f>'01_Вводные'!$I$275</f>
        <v/>
      </c>
      <c r="O54" s="136">
        <f>'01_Вводные'!$I$276</f>
        <v/>
      </c>
      <c r="P54" s="136">
        <f>'01_Вводные'!$I$277</f>
        <v/>
      </c>
      <c r="Q54" s="136">
        <f>'01_Вводные'!$I$278</f>
        <v/>
      </c>
      <c r="R54" s="136">
        <f>'01_Вводные'!$I$279</f>
        <v/>
      </c>
      <c r="S54" s="136">
        <f>'01_Вводные'!$I$280</f>
        <v/>
      </c>
      <c r="T54" s="136">
        <f>'01_Вводные'!$I$281</f>
        <v/>
      </c>
      <c r="U54" s="136">
        <f>'01_Вводные'!$I$282</f>
        <v/>
      </c>
    </row>
    <row r="55">
      <c r="A55" s="134" t="inlineStr">
        <is>
          <t>2</t>
        </is>
      </c>
      <c r="B55" s="136">
        <f>'01_Вводные'!$I$263</f>
        <v/>
      </c>
      <c r="C55" s="136">
        <f>'01_Вводные'!$I$264</f>
        <v/>
      </c>
      <c r="D55" s="136">
        <f>'01_Вводные'!$I$265</f>
        <v/>
      </c>
      <c r="E55" s="136">
        <f>'01_Вводные'!$I$266</f>
        <v/>
      </c>
      <c r="F55" s="136">
        <f>'01_Вводные'!$I$267</f>
        <v/>
      </c>
      <c r="G55" s="136">
        <f>'01_Вводные'!$I$268</f>
        <v/>
      </c>
      <c r="H55" s="136">
        <f>'01_Вводные'!$I$269</f>
        <v/>
      </c>
      <c r="I55" s="136">
        <f>'01_Вводные'!$I$270</f>
        <v/>
      </c>
      <c r="J55" s="136">
        <f>'01_Вводные'!$I$271</f>
        <v/>
      </c>
      <c r="K55" s="136">
        <f>'01_Вводные'!$I$272</f>
        <v/>
      </c>
      <c r="L55" s="136">
        <f>'01_Вводные'!$I$273</f>
        <v/>
      </c>
      <c r="M55" s="136">
        <f>'01_Вводные'!$I$274</f>
        <v/>
      </c>
      <c r="N55" s="136">
        <f>'01_Вводные'!$I$275</f>
        <v/>
      </c>
      <c r="O55" s="136">
        <f>'01_Вводные'!$I$276</f>
        <v/>
      </c>
      <c r="P55" s="136">
        <f>'01_Вводные'!$I$277</f>
        <v/>
      </c>
      <c r="Q55" s="136">
        <f>'01_Вводные'!$I$278</f>
        <v/>
      </c>
      <c r="R55" s="136">
        <f>'01_Вводные'!$I$279</f>
        <v/>
      </c>
      <c r="S55" s="136">
        <f>'01_Вводные'!$I$280</f>
        <v/>
      </c>
      <c r="T55" s="136">
        <f>'01_Вводные'!$I$281</f>
        <v/>
      </c>
      <c r="U55" s="136">
        <f>'01_Вводные'!$I$282</f>
        <v/>
      </c>
    </row>
    <row r="56">
      <c r="A56" s="134" t="inlineStr">
        <is>
          <t>3</t>
        </is>
      </c>
      <c r="B56" s="136">
        <f>'01_Вводные'!$I$263</f>
        <v/>
      </c>
      <c r="C56" s="136">
        <f>'01_Вводные'!$I$264</f>
        <v/>
      </c>
      <c r="D56" s="136">
        <f>'01_Вводные'!$I$265</f>
        <v/>
      </c>
      <c r="E56" s="136">
        <f>'01_Вводные'!$I$266</f>
        <v/>
      </c>
      <c r="F56" s="136">
        <f>'01_Вводные'!$I$267</f>
        <v/>
      </c>
      <c r="G56" s="136">
        <f>'01_Вводные'!$I$268</f>
        <v/>
      </c>
      <c r="H56" s="136">
        <f>'01_Вводные'!$I$269</f>
        <v/>
      </c>
      <c r="I56" s="136">
        <f>'01_Вводные'!$I$270</f>
        <v/>
      </c>
      <c r="J56" s="136">
        <f>'01_Вводные'!$I$271</f>
        <v/>
      </c>
      <c r="K56" s="136">
        <f>'01_Вводные'!$I$272</f>
        <v/>
      </c>
      <c r="L56" s="136">
        <f>'01_Вводные'!$I$273</f>
        <v/>
      </c>
      <c r="M56" s="136">
        <f>'01_Вводные'!$I$274</f>
        <v/>
      </c>
      <c r="N56" s="136">
        <f>'01_Вводные'!$I$275</f>
        <v/>
      </c>
      <c r="O56" s="136">
        <f>'01_Вводные'!$I$276</f>
        <v/>
      </c>
      <c r="P56" s="136">
        <f>'01_Вводные'!$I$277</f>
        <v/>
      </c>
      <c r="Q56" s="136">
        <f>'01_Вводные'!$I$278</f>
        <v/>
      </c>
      <c r="R56" s="136">
        <f>'01_Вводные'!$I$279</f>
        <v/>
      </c>
      <c r="S56" s="136">
        <f>'01_Вводные'!$I$280</f>
        <v/>
      </c>
      <c r="T56" s="136">
        <f>'01_Вводные'!$I$281</f>
        <v/>
      </c>
      <c r="U56" s="136">
        <f>'01_Вводные'!$I$282</f>
        <v/>
      </c>
    </row>
    <row r="57">
      <c r="A57" s="134" t="inlineStr">
        <is>
          <t>4</t>
        </is>
      </c>
      <c r="B57" s="136">
        <f>'01_Вводные'!$I$263</f>
        <v/>
      </c>
      <c r="C57" s="136">
        <f>'01_Вводные'!$I$264</f>
        <v/>
      </c>
      <c r="D57" s="136">
        <f>'01_Вводные'!$I$265</f>
        <v/>
      </c>
      <c r="E57" s="136">
        <f>'01_Вводные'!$I$266</f>
        <v/>
      </c>
      <c r="F57" s="136">
        <f>'01_Вводные'!$I$267</f>
        <v/>
      </c>
      <c r="G57" s="136">
        <f>'01_Вводные'!$I$268</f>
        <v/>
      </c>
      <c r="H57" s="136">
        <f>'01_Вводные'!$I$269</f>
        <v/>
      </c>
      <c r="I57" s="136">
        <f>'01_Вводные'!$I$270</f>
        <v/>
      </c>
      <c r="J57" s="136">
        <f>'01_Вводные'!$I$271</f>
        <v/>
      </c>
      <c r="K57" s="136">
        <f>'01_Вводные'!$I$272</f>
        <v/>
      </c>
      <c r="L57" s="136">
        <f>'01_Вводные'!$I$273</f>
        <v/>
      </c>
      <c r="M57" s="136">
        <f>'01_Вводные'!$I$274</f>
        <v/>
      </c>
      <c r="N57" s="136">
        <f>'01_Вводные'!$I$275</f>
        <v/>
      </c>
      <c r="O57" s="136">
        <f>'01_Вводные'!$I$276</f>
        <v/>
      </c>
      <c r="P57" s="136">
        <f>'01_Вводные'!$I$277</f>
        <v/>
      </c>
      <c r="Q57" s="136">
        <f>'01_Вводные'!$I$278</f>
        <v/>
      </c>
      <c r="R57" s="136">
        <f>'01_Вводные'!$I$279</f>
        <v/>
      </c>
      <c r="S57" s="136">
        <f>'01_Вводные'!$I$280</f>
        <v/>
      </c>
      <c r="T57" s="136">
        <f>'01_Вводные'!$I$281</f>
        <v/>
      </c>
      <c r="U57" s="136">
        <f>'01_Вводные'!$I$282</f>
        <v/>
      </c>
    </row>
    <row r="58">
      <c r="A58" s="134" t="inlineStr">
        <is>
          <t>5</t>
        </is>
      </c>
      <c r="B58" s="136">
        <f>'01_Вводные'!$I$263</f>
        <v/>
      </c>
      <c r="C58" s="136">
        <f>'01_Вводные'!$I$264</f>
        <v/>
      </c>
      <c r="D58" s="136">
        <f>'01_Вводные'!$I$265</f>
        <v/>
      </c>
      <c r="E58" s="136">
        <f>'01_Вводные'!$I$266</f>
        <v/>
      </c>
      <c r="F58" s="136">
        <f>'01_Вводные'!$I$267</f>
        <v/>
      </c>
      <c r="G58" s="136">
        <f>'01_Вводные'!$I$268</f>
        <v/>
      </c>
      <c r="H58" s="136">
        <f>'01_Вводные'!$I$269</f>
        <v/>
      </c>
      <c r="I58" s="136">
        <f>'01_Вводные'!$I$270</f>
        <v/>
      </c>
      <c r="J58" s="136">
        <f>'01_Вводные'!$I$271</f>
        <v/>
      </c>
      <c r="K58" s="136">
        <f>'01_Вводные'!$I$272</f>
        <v/>
      </c>
      <c r="L58" s="136">
        <f>'01_Вводные'!$I$273</f>
        <v/>
      </c>
      <c r="M58" s="136">
        <f>'01_Вводные'!$I$274</f>
        <v/>
      </c>
      <c r="N58" s="136">
        <f>'01_Вводные'!$I$275</f>
        <v/>
      </c>
      <c r="O58" s="136">
        <f>'01_Вводные'!$I$276</f>
        <v/>
      </c>
      <c r="P58" s="136">
        <f>'01_Вводные'!$I$277</f>
        <v/>
      </c>
      <c r="Q58" s="136">
        <f>'01_Вводные'!$I$278</f>
        <v/>
      </c>
      <c r="R58" s="136">
        <f>'01_Вводные'!$I$279</f>
        <v/>
      </c>
      <c r="S58" s="136">
        <f>'01_Вводные'!$I$280</f>
        <v/>
      </c>
      <c r="T58" s="136">
        <f>'01_Вводные'!$I$281</f>
        <v/>
      </c>
      <c r="U58" s="136">
        <f>'01_Вводные'!$I$282</f>
        <v/>
      </c>
    </row>
    <row r="59">
      <c r="A59" s="134" t="inlineStr">
        <is>
          <t>6</t>
        </is>
      </c>
      <c r="B59" s="136">
        <f>'01_Вводные'!$I$263</f>
        <v/>
      </c>
      <c r="C59" s="136">
        <f>'01_Вводные'!$I$264</f>
        <v/>
      </c>
      <c r="D59" s="136">
        <f>'01_Вводные'!$I$265</f>
        <v/>
      </c>
      <c r="E59" s="136">
        <f>'01_Вводные'!$I$266</f>
        <v/>
      </c>
      <c r="F59" s="136">
        <f>'01_Вводные'!$I$267</f>
        <v/>
      </c>
      <c r="G59" s="136">
        <f>'01_Вводные'!$I$268</f>
        <v/>
      </c>
      <c r="H59" s="136">
        <f>'01_Вводные'!$I$269</f>
        <v/>
      </c>
      <c r="I59" s="136">
        <f>'01_Вводные'!$I$270</f>
        <v/>
      </c>
      <c r="J59" s="136">
        <f>'01_Вводные'!$I$271</f>
        <v/>
      </c>
      <c r="K59" s="136">
        <f>'01_Вводные'!$I$272</f>
        <v/>
      </c>
      <c r="L59" s="136">
        <f>'01_Вводные'!$I$273</f>
        <v/>
      </c>
      <c r="M59" s="136">
        <f>'01_Вводные'!$I$274</f>
        <v/>
      </c>
      <c r="N59" s="136">
        <f>'01_Вводные'!$I$275</f>
        <v/>
      </c>
      <c r="O59" s="136">
        <f>'01_Вводные'!$I$276</f>
        <v/>
      </c>
      <c r="P59" s="136">
        <f>'01_Вводные'!$I$277</f>
        <v/>
      </c>
      <c r="Q59" s="136">
        <f>'01_Вводные'!$I$278</f>
        <v/>
      </c>
      <c r="R59" s="136">
        <f>'01_Вводные'!$I$279</f>
        <v/>
      </c>
      <c r="S59" s="136">
        <f>'01_Вводные'!$I$280</f>
        <v/>
      </c>
      <c r="T59" s="136">
        <f>'01_Вводные'!$I$281</f>
        <v/>
      </c>
      <c r="U59" s="136">
        <f>'01_Вводные'!$I$282</f>
        <v/>
      </c>
    </row>
    <row r="60">
      <c r="A60" s="134" t="inlineStr">
        <is>
          <t>7</t>
        </is>
      </c>
      <c r="B60" s="136">
        <f>'01_Вводные'!$I$263</f>
        <v/>
      </c>
      <c r="C60" s="136">
        <f>'01_Вводные'!$I$264</f>
        <v/>
      </c>
      <c r="D60" s="136">
        <f>'01_Вводные'!$I$265</f>
        <v/>
      </c>
      <c r="E60" s="136">
        <f>'01_Вводные'!$I$266</f>
        <v/>
      </c>
      <c r="F60" s="136">
        <f>'01_Вводные'!$I$267</f>
        <v/>
      </c>
      <c r="G60" s="136">
        <f>'01_Вводные'!$I$268</f>
        <v/>
      </c>
      <c r="H60" s="136">
        <f>'01_Вводные'!$I$269</f>
        <v/>
      </c>
      <c r="I60" s="136">
        <f>'01_Вводные'!$I$270</f>
        <v/>
      </c>
      <c r="J60" s="136">
        <f>'01_Вводные'!$I$271</f>
        <v/>
      </c>
      <c r="K60" s="136">
        <f>'01_Вводные'!$I$272</f>
        <v/>
      </c>
      <c r="L60" s="136">
        <f>'01_Вводные'!$I$273</f>
        <v/>
      </c>
      <c r="M60" s="136">
        <f>'01_Вводные'!$I$274</f>
        <v/>
      </c>
      <c r="N60" s="136">
        <f>'01_Вводные'!$I$275</f>
        <v/>
      </c>
      <c r="O60" s="136">
        <f>'01_Вводные'!$I$276</f>
        <v/>
      </c>
      <c r="P60" s="136">
        <f>'01_Вводные'!$I$277</f>
        <v/>
      </c>
      <c r="Q60" s="136">
        <f>'01_Вводные'!$I$278</f>
        <v/>
      </c>
      <c r="R60" s="136">
        <f>'01_Вводные'!$I$279</f>
        <v/>
      </c>
      <c r="S60" s="136">
        <f>'01_Вводные'!$I$280</f>
        <v/>
      </c>
      <c r="T60" s="136">
        <f>'01_Вводные'!$I$281</f>
        <v/>
      </c>
      <c r="U60" s="136">
        <f>'01_Вводные'!$I$282</f>
        <v/>
      </c>
    </row>
    <row r="61">
      <c r="A61" s="134" t="inlineStr">
        <is>
          <t>8</t>
        </is>
      </c>
      <c r="B61" s="136">
        <f>'01_Вводные'!$I$263</f>
        <v/>
      </c>
      <c r="C61" s="136">
        <f>'01_Вводные'!$I$264</f>
        <v/>
      </c>
      <c r="D61" s="136">
        <f>'01_Вводные'!$I$265</f>
        <v/>
      </c>
      <c r="E61" s="136">
        <f>'01_Вводные'!$I$266</f>
        <v/>
      </c>
      <c r="F61" s="136">
        <f>'01_Вводные'!$I$267</f>
        <v/>
      </c>
      <c r="G61" s="136">
        <f>'01_Вводные'!$I$268</f>
        <v/>
      </c>
      <c r="H61" s="136">
        <f>'01_Вводные'!$I$269</f>
        <v/>
      </c>
      <c r="I61" s="136">
        <f>'01_Вводные'!$I$270</f>
        <v/>
      </c>
      <c r="J61" s="136">
        <f>'01_Вводные'!$I$271</f>
        <v/>
      </c>
      <c r="K61" s="136">
        <f>'01_Вводные'!$I$272</f>
        <v/>
      </c>
      <c r="L61" s="136">
        <f>'01_Вводные'!$I$273</f>
        <v/>
      </c>
      <c r="M61" s="136">
        <f>'01_Вводные'!$I$274</f>
        <v/>
      </c>
      <c r="N61" s="136">
        <f>'01_Вводные'!$I$275</f>
        <v/>
      </c>
      <c r="O61" s="136">
        <f>'01_Вводные'!$I$276</f>
        <v/>
      </c>
      <c r="P61" s="136">
        <f>'01_Вводные'!$I$277</f>
        <v/>
      </c>
      <c r="Q61" s="136">
        <f>'01_Вводные'!$I$278</f>
        <v/>
      </c>
      <c r="R61" s="136">
        <f>'01_Вводные'!$I$279</f>
        <v/>
      </c>
      <c r="S61" s="136">
        <f>'01_Вводные'!$I$280</f>
        <v/>
      </c>
      <c r="T61" s="136">
        <f>'01_Вводные'!$I$281</f>
        <v/>
      </c>
      <c r="U61" s="136">
        <f>'01_Вводные'!$I$282</f>
        <v/>
      </c>
    </row>
    <row r="62">
      <c r="A62" s="134" t="inlineStr">
        <is>
          <t>9</t>
        </is>
      </c>
      <c r="B62" s="136">
        <f>'01_Вводные'!$I$263</f>
        <v/>
      </c>
      <c r="C62" s="136">
        <f>'01_Вводные'!$I$264</f>
        <v/>
      </c>
      <c r="D62" s="136">
        <f>'01_Вводные'!$I$265</f>
        <v/>
      </c>
      <c r="E62" s="136">
        <f>'01_Вводные'!$I$266</f>
        <v/>
      </c>
      <c r="F62" s="136">
        <f>'01_Вводные'!$I$267</f>
        <v/>
      </c>
      <c r="G62" s="136">
        <f>'01_Вводные'!$I$268</f>
        <v/>
      </c>
      <c r="H62" s="136">
        <f>'01_Вводные'!$I$269</f>
        <v/>
      </c>
      <c r="I62" s="136">
        <f>'01_Вводные'!$I$270</f>
        <v/>
      </c>
      <c r="J62" s="136">
        <f>'01_Вводные'!$I$271</f>
        <v/>
      </c>
      <c r="K62" s="136">
        <f>'01_Вводные'!$I$272</f>
        <v/>
      </c>
      <c r="L62" s="136">
        <f>'01_Вводные'!$I$273</f>
        <v/>
      </c>
      <c r="M62" s="136">
        <f>'01_Вводные'!$I$274</f>
        <v/>
      </c>
      <c r="N62" s="136">
        <f>'01_Вводные'!$I$275</f>
        <v/>
      </c>
      <c r="O62" s="136">
        <f>'01_Вводные'!$I$276</f>
        <v/>
      </c>
      <c r="P62" s="136">
        <f>'01_Вводные'!$I$277</f>
        <v/>
      </c>
      <c r="Q62" s="136">
        <f>'01_Вводные'!$I$278</f>
        <v/>
      </c>
      <c r="R62" s="136">
        <f>'01_Вводные'!$I$279</f>
        <v/>
      </c>
      <c r="S62" s="136">
        <f>'01_Вводные'!$I$280</f>
        <v/>
      </c>
      <c r="T62" s="136">
        <f>'01_Вводные'!$I$281</f>
        <v/>
      </c>
      <c r="U62" s="136">
        <f>'01_Вводные'!$I$282</f>
        <v/>
      </c>
    </row>
    <row r="63">
      <c r="A63" s="134" t="inlineStr">
        <is>
          <t>10</t>
        </is>
      </c>
      <c r="B63" s="136">
        <f>'01_Вводные'!$I$263</f>
        <v/>
      </c>
      <c r="C63" s="136">
        <f>'01_Вводные'!$I$264</f>
        <v/>
      </c>
      <c r="D63" s="136">
        <f>'01_Вводные'!$I$265</f>
        <v/>
      </c>
      <c r="E63" s="136">
        <f>'01_Вводные'!$I$266</f>
        <v/>
      </c>
      <c r="F63" s="136">
        <f>'01_Вводные'!$I$267</f>
        <v/>
      </c>
      <c r="G63" s="136">
        <f>'01_Вводные'!$I$268</f>
        <v/>
      </c>
      <c r="H63" s="136">
        <f>'01_Вводные'!$I$269</f>
        <v/>
      </c>
      <c r="I63" s="136">
        <f>'01_Вводные'!$I$270</f>
        <v/>
      </c>
      <c r="J63" s="136">
        <f>'01_Вводные'!$I$271</f>
        <v/>
      </c>
      <c r="K63" s="136">
        <f>'01_Вводные'!$I$272</f>
        <v/>
      </c>
      <c r="L63" s="136">
        <f>'01_Вводные'!$I$273</f>
        <v/>
      </c>
      <c r="M63" s="136">
        <f>'01_Вводные'!$I$274</f>
        <v/>
      </c>
      <c r="N63" s="136">
        <f>'01_Вводные'!$I$275</f>
        <v/>
      </c>
      <c r="O63" s="136">
        <f>'01_Вводные'!$I$276</f>
        <v/>
      </c>
      <c r="P63" s="136">
        <f>'01_Вводные'!$I$277</f>
        <v/>
      </c>
      <c r="Q63" s="136">
        <f>'01_Вводные'!$I$278</f>
        <v/>
      </c>
      <c r="R63" s="136">
        <f>'01_Вводные'!$I$279</f>
        <v/>
      </c>
      <c r="S63" s="136">
        <f>'01_Вводные'!$I$280</f>
        <v/>
      </c>
      <c r="T63" s="136">
        <f>'01_Вводные'!$I$281</f>
        <v/>
      </c>
      <c r="U63" s="136">
        <f>'01_Вводные'!$I$282</f>
        <v/>
      </c>
    </row>
    <row r="64">
      <c r="A64" s="134" t="inlineStr">
        <is>
          <t>11</t>
        </is>
      </c>
      <c r="B64" s="136">
        <f>'01_Вводные'!$I$263</f>
        <v/>
      </c>
      <c r="C64" s="136">
        <f>'01_Вводные'!$I$264</f>
        <v/>
      </c>
      <c r="D64" s="136">
        <f>'01_Вводные'!$I$265</f>
        <v/>
      </c>
      <c r="E64" s="136">
        <f>'01_Вводные'!$I$266</f>
        <v/>
      </c>
      <c r="F64" s="136">
        <f>'01_Вводные'!$I$267</f>
        <v/>
      </c>
      <c r="G64" s="136">
        <f>'01_Вводные'!$I$268</f>
        <v/>
      </c>
      <c r="H64" s="136">
        <f>'01_Вводные'!$I$269</f>
        <v/>
      </c>
      <c r="I64" s="136">
        <f>'01_Вводные'!$I$270</f>
        <v/>
      </c>
      <c r="J64" s="136">
        <f>'01_Вводные'!$I$271</f>
        <v/>
      </c>
      <c r="K64" s="136">
        <f>'01_Вводные'!$I$272</f>
        <v/>
      </c>
      <c r="L64" s="136">
        <f>'01_Вводные'!$I$273</f>
        <v/>
      </c>
      <c r="M64" s="136">
        <f>'01_Вводные'!$I$274</f>
        <v/>
      </c>
      <c r="N64" s="136">
        <f>'01_Вводные'!$I$275</f>
        <v/>
      </c>
      <c r="O64" s="136">
        <f>'01_Вводные'!$I$276</f>
        <v/>
      </c>
      <c r="P64" s="136">
        <f>'01_Вводные'!$I$277</f>
        <v/>
      </c>
      <c r="Q64" s="136">
        <f>'01_Вводные'!$I$278</f>
        <v/>
      </c>
      <c r="R64" s="136">
        <f>'01_Вводные'!$I$279</f>
        <v/>
      </c>
      <c r="S64" s="136">
        <f>'01_Вводные'!$I$280</f>
        <v/>
      </c>
      <c r="T64" s="136">
        <f>'01_Вводные'!$I$281</f>
        <v/>
      </c>
      <c r="U64" s="136">
        <f>'01_Вводные'!$I$282</f>
        <v/>
      </c>
    </row>
    <row r="65">
      <c r="A65" s="134" t="inlineStr">
        <is>
          <t>12</t>
        </is>
      </c>
      <c r="B65" s="136">
        <f>'01_Вводные'!$I$263</f>
        <v/>
      </c>
      <c r="C65" s="136">
        <f>'01_Вводные'!$I$264</f>
        <v/>
      </c>
      <c r="D65" s="136">
        <f>'01_Вводные'!$I$265</f>
        <v/>
      </c>
      <c r="E65" s="136">
        <f>'01_Вводные'!$I$266</f>
        <v/>
      </c>
      <c r="F65" s="136">
        <f>'01_Вводные'!$I$267</f>
        <v/>
      </c>
      <c r="G65" s="136">
        <f>'01_Вводные'!$I$268</f>
        <v/>
      </c>
      <c r="H65" s="136">
        <f>'01_Вводные'!$I$269</f>
        <v/>
      </c>
      <c r="I65" s="136">
        <f>'01_Вводные'!$I$270</f>
        <v/>
      </c>
      <c r="J65" s="136">
        <f>'01_Вводные'!$I$271</f>
        <v/>
      </c>
      <c r="K65" s="136">
        <f>'01_Вводные'!$I$272</f>
        <v/>
      </c>
      <c r="L65" s="136">
        <f>'01_Вводные'!$I$273</f>
        <v/>
      </c>
      <c r="M65" s="136">
        <f>'01_Вводные'!$I$274</f>
        <v/>
      </c>
      <c r="N65" s="136">
        <f>'01_Вводные'!$I$275</f>
        <v/>
      </c>
      <c r="O65" s="136">
        <f>'01_Вводные'!$I$276</f>
        <v/>
      </c>
      <c r="P65" s="136">
        <f>'01_Вводные'!$I$277</f>
        <v/>
      </c>
      <c r="Q65" s="136">
        <f>'01_Вводные'!$I$278</f>
        <v/>
      </c>
      <c r="R65" s="136">
        <f>'01_Вводные'!$I$279</f>
        <v/>
      </c>
      <c r="S65" s="136">
        <f>'01_Вводные'!$I$280</f>
        <v/>
      </c>
      <c r="T65" s="136">
        <f>'01_Вводные'!$I$281</f>
        <v/>
      </c>
      <c r="U65" s="136">
        <f>'01_Вводные'!$I$282</f>
        <v/>
      </c>
    </row>
    <row r="66">
      <c r="A66" s="134" t="inlineStr">
        <is>
          <t>13</t>
        </is>
      </c>
      <c r="B66" s="136">
        <f>'01_Вводные'!$J$263</f>
        <v/>
      </c>
      <c r="C66" s="136">
        <f>'01_Вводные'!$J$264</f>
        <v/>
      </c>
      <c r="D66" s="136">
        <f>'01_Вводные'!$J$265</f>
        <v/>
      </c>
      <c r="E66" s="136">
        <f>'01_Вводные'!$J$266</f>
        <v/>
      </c>
      <c r="F66" s="136">
        <f>'01_Вводные'!$J$267</f>
        <v/>
      </c>
      <c r="G66" s="136">
        <f>'01_Вводные'!$J$268</f>
        <v/>
      </c>
      <c r="H66" s="136">
        <f>'01_Вводные'!$J$269</f>
        <v/>
      </c>
      <c r="I66" s="136">
        <f>'01_Вводные'!$J$270</f>
        <v/>
      </c>
      <c r="J66" s="136">
        <f>'01_Вводные'!$J$271</f>
        <v/>
      </c>
      <c r="K66" s="136">
        <f>'01_Вводные'!$J$272</f>
        <v/>
      </c>
      <c r="L66" s="136">
        <f>'01_Вводные'!$J$273</f>
        <v/>
      </c>
      <c r="M66" s="136">
        <f>'01_Вводные'!$J$274</f>
        <v/>
      </c>
      <c r="N66" s="136">
        <f>'01_Вводные'!$J$275</f>
        <v/>
      </c>
      <c r="O66" s="136">
        <f>'01_Вводные'!$J$276</f>
        <v/>
      </c>
      <c r="P66" s="136">
        <f>'01_Вводные'!$J$277</f>
        <v/>
      </c>
      <c r="Q66" s="136">
        <f>'01_Вводные'!$J$278</f>
        <v/>
      </c>
      <c r="R66" s="136">
        <f>'01_Вводные'!$J$279</f>
        <v/>
      </c>
      <c r="S66" s="136">
        <f>'01_Вводные'!$J$280</f>
        <v/>
      </c>
      <c r="T66" s="136">
        <f>'01_Вводные'!$J$281</f>
        <v/>
      </c>
      <c r="U66" s="136">
        <f>'01_Вводные'!$J$282</f>
        <v/>
      </c>
    </row>
    <row r="67">
      <c r="A67" s="134" t="inlineStr">
        <is>
          <t>14</t>
        </is>
      </c>
      <c r="B67" s="136">
        <f>'01_Вводные'!$J$263</f>
        <v/>
      </c>
      <c r="C67" s="136">
        <f>'01_Вводные'!$J$264</f>
        <v/>
      </c>
      <c r="D67" s="136">
        <f>'01_Вводные'!$J$265</f>
        <v/>
      </c>
      <c r="E67" s="136">
        <f>'01_Вводные'!$J$266</f>
        <v/>
      </c>
      <c r="F67" s="136">
        <f>'01_Вводные'!$J$267</f>
        <v/>
      </c>
      <c r="G67" s="136">
        <f>'01_Вводные'!$J$268</f>
        <v/>
      </c>
      <c r="H67" s="136">
        <f>'01_Вводные'!$J$269</f>
        <v/>
      </c>
      <c r="I67" s="136">
        <f>'01_Вводные'!$J$270</f>
        <v/>
      </c>
      <c r="J67" s="136">
        <f>'01_Вводные'!$J$271</f>
        <v/>
      </c>
      <c r="K67" s="136">
        <f>'01_Вводные'!$J$272</f>
        <v/>
      </c>
      <c r="L67" s="136">
        <f>'01_Вводные'!$J$273</f>
        <v/>
      </c>
      <c r="M67" s="136">
        <f>'01_Вводные'!$J$274</f>
        <v/>
      </c>
      <c r="N67" s="136">
        <f>'01_Вводные'!$J$275</f>
        <v/>
      </c>
      <c r="O67" s="136">
        <f>'01_Вводные'!$J$276</f>
        <v/>
      </c>
      <c r="P67" s="136">
        <f>'01_Вводные'!$J$277</f>
        <v/>
      </c>
      <c r="Q67" s="136">
        <f>'01_Вводные'!$J$278</f>
        <v/>
      </c>
      <c r="R67" s="136">
        <f>'01_Вводные'!$J$279</f>
        <v/>
      </c>
      <c r="S67" s="136">
        <f>'01_Вводные'!$J$280</f>
        <v/>
      </c>
      <c r="T67" s="136">
        <f>'01_Вводные'!$J$281</f>
        <v/>
      </c>
      <c r="U67" s="136">
        <f>'01_Вводные'!$J$282</f>
        <v/>
      </c>
    </row>
    <row r="68">
      <c r="A68" s="134" t="inlineStr">
        <is>
          <t>15</t>
        </is>
      </c>
      <c r="B68" s="136">
        <f>'01_Вводные'!$J$263</f>
        <v/>
      </c>
      <c r="C68" s="136">
        <f>'01_Вводные'!$J$264</f>
        <v/>
      </c>
      <c r="D68" s="136">
        <f>'01_Вводные'!$J$265</f>
        <v/>
      </c>
      <c r="E68" s="136">
        <f>'01_Вводные'!$J$266</f>
        <v/>
      </c>
      <c r="F68" s="136">
        <f>'01_Вводные'!$J$267</f>
        <v/>
      </c>
      <c r="G68" s="136">
        <f>'01_Вводные'!$J$268</f>
        <v/>
      </c>
      <c r="H68" s="136">
        <f>'01_Вводные'!$J$269</f>
        <v/>
      </c>
      <c r="I68" s="136">
        <f>'01_Вводные'!$J$270</f>
        <v/>
      </c>
      <c r="J68" s="136">
        <f>'01_Вводные'!$J$271</f>
        <v/>
      </c>
      <c r="K68" s="136">
        <f>'01_Вводные'!$J$272</f>
        <v/>
      </c>
      <c r="L68" s="136">
        <f>'01_Вводные'!$J$273</f>
        <v/>
      </c>
      <c r="M68" s="136">
        <f>'01_Вводные'!$J$274</f>
        <v/>
      </c>
      <c r="N68" s="136">
        <f>'01_Вводные'!$J$275</f>
        <v/>
      </c>
      <c r="O68" s="136">
        <f>'01_Вводные'!$J$276</f>
        <v/>
      </c>
      <c r="P68" s="136">
        <f>'01_Вводные'!$J$277</f>
        <v/>
      </c>
      <c r="Q68" s="136">
        <f>'01_Вводные'!$J$278</f>
        <v/>
      </c>
      <c r="R68" s="136">
        <f>'01_Вводные'!$J$279</f>
        <v/>
      </c>
      <c r="S68" s="136">
        <f>'01_Вводные'!$J$280</f>
        <v/>
      </c>
      <c r="T68" s="136">
        <f>'01_Вводные'!$J$281</f>
        <v/>
      </c>
      <c r="U68" s="136">
        <f>'01_Вводные'!$J$282</f>
        <v/>
      </c>
    </row>
    <row r="69">
      <c r="A69" s="134" t="inlineStr">
        <is>
          <t>16</t>
        </is>
      </c>
      <c r="B69" s="136">
        <f>'01_Вводные'!$J$263</f>
        <v/>
      </c>
      <c r="C69" s="136">
        <f>'01_Вводные'!$J$264</f>
        <v/>
      </c>
      <c r="D69" s="136">
        <f>'01_Вводные'!$J$265</f>
        <v/>
      </c>
      <c r="E69" s="136">
        <f>'01_Вводные'!$J$266</f>
        <v/>
      </c>
      <c r="F69" s="136">
        <f>'01_Вводные'!$J$267</f>
        <v/>
      </c>
      <c r="G69" s="136">
        <f>'01_Вводные'!$J$268</f>
        <v/>
      </c>
      <c r="H69" s="136">
        <f>'01_Вводные'!$J$269</f>
        <v/>
      </c>
      <c r="I69" s="136">
        <f>'01_Вводные'!$J$270</f>
        <v/>
      </c>
      <c r="J69" s="136">
        <f>'01_Вводные'!$J$271</f>
        <v/>
      </c>
      <c r="K69" s="136">
        <f>'01_Вводные'!$J$272</f>
        <v/>
      </c>
      <c r="L69" s="136">
        <f>'01_Вводные'!$J$273</f>
        <v/>
      </c>
      <c r="M69" s="136">
        <f>'01_Вводные'!$J$274</f>
        <v/>
      </c>
      <c r="N69" s="136">
        <f>'01_Вводные'!$J$275</f>
        <v/>
      </c>
      <c r="O69" s="136">
        <f>'01_Вводные'!$J$276</f>
        <v/>
      </c>
      <c r="P69" s="136">
        <f>'01_Вводные'!$J$277</f>
        <v/>
      </c>
      <c r="Q69" s="136">
        <f>'01_Вводные'!$J$278</f>
        <v/>
      </c>
      <c r="R69" s="136">
        <f>'01_Вводные'!$J$279</f>
        <v/>
      </c>
      <c r="S69" s="136">
        <f>'01_Вводные'!$J$280</f>
        <v/>
      </c>
      <c r="T69" s="136">
        <f>'01_Вводные'!$J$281</f>
        <v/>
      </c>
      <c r="U69" s="136">
        <f>'01_Вводные'!$J$282</f>
        <v/>
      </c>
    </row>
    <row r="70">
      <c r="A70" s="134" t="inlineStr">
        <is>
          <t>17</t>
        </is>
      </c>
      <c r="B70" s="136">
        <f>'01_Вводные'!$J$263</f>
        <v/>
      </c>
      <c r="C70" s="136">
        <f>'01_Вводные'!$J$264</f>
        <v/>
      </c>
      <c r="D70" s="136">
        <f>'01_Вводные'!$J$265</f>
        <v/>
      </c>
      <c r="E70" s="136">
        <f>'01_Вводные'!$J$266</f>
        <v/>
      </c>
      <c r="F70" s="136">
        <f>'01_Вводные'!$J$267</f>
        <v/>
      </c>
      <c r="G70" s="136">
        <f>'01_Вводные'!$J$268</f>
        <v/>
      </c>
      <c r="H70" s="136">
        <f>'01_Вводные'!$J$269</f>
        <v/>
      </c>
      <c r="I70" s="136">
        <f>'01_Вводные'!$J$270</f>
        <v/>
      </c>
      <c r="J70" s="136">
        <f>'01_Вводные'!$J$271</f>
        <v/>
      </c>
      <c r="K70" s="136">
        <f>'01_Вводные'!$J$272</f>
        <v/>
      </c>
      <c r="L70" s="136">
        <f>'01_Вводные'!$J$273</f>
        <v/>
      </c>
      <c r="M70" s="136">
        <f>'01_Вводные'!$J$274</f>
        <v/>
      </c>
      <c r="N70" s="136">
        <f>'01_Вводные'!$J$275</f>
        <v/>
      </c>
      <c r="O70" s="136">
        <f>'01_Вводные'!$J$276</f>
        <v/>
      </c>
      <c r="P70" s="136">
        <f>'01_Вводные'!$J$277</f>
        <v/>
      </c>
      <c r="Q70" s="136">
        <f>'01_Вводные'!$J$278</f>
        <v/>
      </c>
      <c r="R70" s="136">
        <f>'01_Вводные'!$J$279</f>
        <v/>
      </c>
      <c r="S70" s="136">
        <f>'01_Вводные'!$J$280</f>
        <v/>
      </c>
      <c r="T70" s="136">
        <f>'01_Вводные'!$J$281</f>
        <v/>
      </c>
      <c r="U70" s="136">
        <f>'01_Вводные'!$J$282</f>
        <v/>
      </c>
    </row>
    <row r="71">
      <c r="A71" s="134" t="inlineStr">
        <is>
          <t>18</t>
        </is>
      </c>
      <c r="B71" s="136">
        <f>'01_Вводные'!$J$263</f>
        <v/>
      </c>
      <c r="C71" s="136">
        <f>'01_Вводные'!$J$264</f>
        <v/>
      </c>
      <c r="D71" s="136">
        <f>'01_Вводные'!$J$265</f>
        <v/>
      </c>
      <c r="E71" s="136">
        <f>'01_Вводные'!$J$266</f>
        <v/>
      </c>
      <c r="F71" s="136">
        <f>'01_Вводные'!$J$267</f>
        <v/>
      </c>
      <c r="G71" s="136">
        <f>'01_Вводные'!$J$268</f>
        <v/>
      </c>
      <c r="H71" s="136">
        <f>'01_Вводные'!$J$269</f>
        <v/>
      </c>
      <c r="I71" s="136">
        <f>'01_Вводные'!$J$270</f>
        <v/>
      </c>
      <c r="J71" s="136">
        <f>'01_Вводные'!$J$271</f>
        <v/>
      </c>
      <c r="K71" s="136">
        <f>'01_Вводные'!$J$272</f>
        <v/>
      </c>
      <c r="L71" s="136">
        <f>'01_Вводные'!$J$273</f>
        <v/>
      </c>
      <c r="M71" s="136">
        <f>'01_Вводные'!$J$274</f>
        <v/>
      </c>
      <c r="N71" s="136">
        <f>'01_Вводные'!$J$275</f>
        <v/>
      </c>
      <c r="O71" s="136">
        <f>'01_Вводные'!$J$276</f>
        <v/>
      </c>
      <c r="P71" s="136">
        <f>'01_Вводные'!$J$277</f>
        <v/>
      </c>
      <c r="Q71" s="136">
        <f>'01_Вводные'!$J$278</f>
        <v/>
      </c>
      <c r="R71" s="136">
        <f>'01_Вводные'!$J$279</f>
        <v/>
      </c>
      <c r="S71" s="136">
        <f>'01_Вводные'!$J$280</f>
        <v/>
      </c>
      <c r="T71" s="136">
        <f>'01_Вводные'!$J$281</f>
        <v/>
      </c>
      <c r="U71" s="136">
        <f>'01_Вводные'!$J$282</f>
        <v/>
      </c>
    </row>
    <row r="72">
      <c r="A72" s="134" t="inlineStr">
        <is>
          <t>19</t>
        </is>
      </c>
      <c r="B72" s="136">
        <f>'01_Вводные'!$J$263</f>
        <v/>
      </c>
      <c r="C72" s="136">
        <f>'01_Вводные'!$J$264</f>
        <v/>
      </c>
      <c r="D72" s="136">
        <f>'01_Вводные'!$J$265</f>
        <v/>
      </c>
      <c r="E72" s="136">
        <f>'01_Вводные'!$J$266</f>
        <v/>
      </c>
      <c r="F72" s="136">
        <f>'01_Вводные'!$J$267</f>
        <v/>
      </c>
      <c r="G72" s="136">
        <f>'01_Вводные'!$J$268</f>
        <v/>
      </c>
      <c r="H72" s="136">
        <f>'01_Вводные'!$J$269</f>
        <v/>
      </c>
      <c r="I72" s="136">
        <f>'01_Вводные'!$J$270</f>
        <v/>
      </c>
      <c r="J72" s="136">
        <f>'01_Вводные'!$J$271</f>
        <v/>
      </c>
      <c r="K72" s="136">
        <f>'01_Вводные'!$J$272</f>
        <v/>
      </c>
      <c r="L72" s="136">
        <f>'01_Вводные'!$J$273</f>
        <v/>
      </c>
      <c r="M72" s="136">
        <f>'01_Вводные'!$J$274</f>
        <v/>
      </c>
      <c r="N72" s="136">
        <f>'01_Вводные'!$J$275</f>
        <v/>
      </c>
      <c r="O72" s="136">
        <f>'01_Вводные'!$J$276</f>
        <v/>
      </c>
      <c r="P72" s="136">
        <f>'01_Вводные'!$J$277</f>
        <v/>
      </c>
      <c r="Q72" s="136">
        <f>'01_Вводные'!$J$278</f>
        <v/>
      </c>
      <c r="R72" s="136">
        <f>'01_Вводные'!$J$279</f>
        <v/>
      </c>
      <c r="S72" s="136">
        <f>'01_Вводные'!$J$280</f>
        <v/>
      </c>
      <c r="T72" s="136">
        <f>'01_Вводные'!$J$281</f>
        <v/>
      </c>
      <c r="U72" s="136">
        <f>'01_Вводные'!$J$282</f>
        <v/>
      </c>
    </row>
    <row r="73">
      <c r="A73" s="134" t="inlineStr">
        <is>
          <t>20</t>
        </is>
      </c>
      <c r="B73" s="136">
        <f>'01_Вводные'!$J$263</f>
        <v/>
      </c>
      <c r="C73" s="136">
        <f>'01_Вводные'!$J$264</f>
        <v/>
      </c>
      <c r="D73" s="136">
        <f>'01_Вводные'!$J$265</f>
        <v/>
      </c>
      <c r="E73" s="136">
        <f>'01_Вводные'!$J$266</f>
        <v/>
      </c>
      <c r="F73" s="136">
        <f>'01_Вводные'!$J$267</f>
        <v/>
      </c>
      <c r="G73" s="136">
        <f>'01_Вводные'!$J$268</f>
        <v/>
      </c>
      <c r="H73" s="136">
        <f>'01_Вводные'!$J$269</f>
        <v/>
      </c>
      <c r="I73" s="136">
        <f>'01_Вводные'!$J$270</f>
        <v/>
      </c>
      <c r="J73" s="136">
        <f>'01_Вводные'!$J$271</f>
        <v/>
      </c>
      <c r="K73" s="136">
        <f>'01_Вводные'!$J$272</f>
        <v/>
      </c>
      <c r="L73" s="136">
        <f>'01_Вводные'!$J$273</f>
        <v/>
      </c>
      <c r="M73" s="136">
        <f>'01_Вводные'!$J$274</f>
        <v/>
      </c>
      <c r="N73" s="136">
        <f>'01_Вводные'!$J$275</f>
        <v/>
      </c>
      <c r="O73" s="136">
        <f>'01_Вводные'!$J$276</f>
        <v/>
      </c>
      <c r="P73" s="136">
        <f>'01_Вводные'!$J$277</f>
        <v/>
      </c>
      <c r="Q73" s="136">
        <f>'01_Вводные'!$J$278</f>
        <v/>
      </c>
      <c r="R73" s="136">
        <f>'01_Вводные'!$J$279</f>
        <v/>
      </c>
      <c r="S73" s="136">
        <f>'01_Вводные'!$J$280</f>
        <v/>
      </c>
      <c r="T73" s="136">
        <f>'01_Вводные'!$J$281</f>
        <v/>
      </c>
      <c r="U73" s="136">
        <f>'01_Вводные'!$J$282</f>
        <v/>
      </c>
    </row>
    <row r="74">
      <c r="A74" s="134" t="inlineStr">
        <is>
          <t>21</t>
        </is>
      </c>
      <c r="B74" s="136">
        <f>'01_Вводные'!$J$263</f>
        <v/>
      </c>
      <c r="C74" s="136">
        <f>'01_Вводные'!$J$264</f>
        <v/>
      </c>
      <c r="D74" s="136">
        <f>'01_Вводные'!$J$265</f>
        <v/>
      </c>
      <c r="E74" s="136">
        <f>'01_Вводные'!$J$266</f>
        <v/>
      </c>
      <c r="F74" s="136">
        <f>'01_Вводные'!$J$267</f>
        <v/>
      </c>
      <c r="G74" s="136">
        <f>'01_Вводные'!$J$268</f>
        <v/>
      </c>
      <c r="H74" s="136">
        <f>'01_Вводные'!$J$269</f>
        <v/>
      </c>
      <c r="I74" s="136">
        <f>'01_Вводные'!$J$270</f>
        <v/>
      </c>
      <c r="J74" s="136">
        <f>'01_Вводные'!$J$271</f>
        <v/>
      </c>
      <c r="K74" s="136">
        <f>'01_Вводные'!$J$272</f>
        <v/>
      </c>
      <c r="L74" s="136">
        <f>'01_Вводные'!$J$273</f>
        <v/>
      </c>
      <c r="M74" s="136">
        <f>'01_Вводные'!$J$274</f>
        <v/>
      </c>
      <c r="N74" s="136">
        <f>'01_Вводные'!$J$275</f>
        <v/>
      </c>
      <c r="O74" s="136">
        <f>'01_Вводные'!$J$276</f>
        <v/>
      </c>
      <c r="P74" s="136">
        <f>'01_Вводные'!$J$277</f>
        <v/>
      </c>
      <c r="Q74" s="136">
        <f>'01_Вводные'!$J$278</f>
        <v/>
      </c>
      <c r="R74" s="136">
        <f>'01_Вводные'!$J$279</f>
        <v/>
      </c>
      <c r="S74" s="136">
        <f>'01_Вводные'!$J$280</f>
        <v/>
      </c>
      <c r="T74" s="136">
        <f>'01_Вводные'!$J$281</f>
        <v/>
      </c>
      <c r="U74" s="136">
        <f>'01_Вводные'!$J$282</f>
        <v/>
      </c>
    </row>
    <row r="75">
      <c r="A75" s="134" t="inlineStr">
        <is>
          <t>22</t>
        </is>
      </c>
      <c r="B75" s="136">
        <f>'01_Вводные'!$J$263</f>
        <v/>
      </c>
      <c r="C75" s="136">
        <f>'01_Вводные'!$J$264</f>
        <v/>
      </c>
      <c r="D75" s="136">
        <f>'01_Вводные'!$J$265</f>
        <v/>
      </c>
      <c r="E75" s="136">
        <f>'01_Вводные'!$J$266</f>
        <v/>
      </c>
      <c r="F75" s="136">
        <f>'01_Вводные'!$J$267</f>
        <v/>
      </c>
      <c r="G75" s="136">
        <f>'01_Вводные'!$J$268</f>
        <v/>
      </c>
      <c r="H75" s="136">
        <f>'01_Вводные'!$J$269</f>
        <v/>
      </c>
      <c r="I75" s="136">
        <f>'01_Вводные'!$J$270</f>
        <v/>
      </c>
      <c r="J75" s="136">
        <f>'01_Вводные'!$J$271</f>
        <v/>
      </c>
      <c r="K75" s="136">
        <f>'01_Вводные'!$J$272</f>
        <v/>
      </c>
      <c r="L75" s="136">
        <f>'01_Вводные'!$J$273</f>
        <v/>
      </c>
      <c r="M75" s="136">
        <f>'01_Вводные'!$J$274</f>
        <v/>
      </c>
      <c r="N75" s="136">
        <f>'01_Вводные'!$J$275</f>
        <v/>
      </c>
      <c r="O75" s="136">
        <f>'01_Вводные'!$J$276</f>
        <v/>
      </c>
      <c r="P75" s="136">
        <f>'01_Вводные'!$J$277</f>
        <v/>
      </c>
      <c r="Q75" s="136">
        <f>'01_Вводные'!$J$278</f>
        <v/>
      </c>
      <c r="R75" s="136">
        <f>'01_Вводные'!$J$279</f>
        <v/>
      </c>
      <c r="S75" s="136">
        <f>'01_Вводные'!$J$280</f>
        <v/>
      </c>
      <c r="T75" s="136">
        <f>'01_Вводные'!$J$281</f>
        <v/>
      </c>
      <c r="U75" s="136">
        <f>'01_Вводные'!$J$282</f>
        <v/>
      </c>
    </row>
    <row r="76">
      <c r="A76" s="134" t="inlineStr">
        <is>
          <t>23</t>
        </is>
      </c>
      <c r="B76" s="136">
        <f>'01_Вводные'!$J$263</f>
        <v/>
      </c>
      <c r="C76" s="136">
        <f>'01_Вводные'!$J$264</f>
        <v/>
      </c>
      <c r="D76" s="136">
        <f>'01_Вводные'!$J$265</f>
        <v/>
      </c>
      <c r="E76" s="136">
        <f>'01_Вводные'!$J$266</f>
        <v/>
      </c>
      <c r="F76" s="136">
        <f>'01_Вводные'!$J$267</f>
        <v/>
      </c>
      <c r="G76" s="136">
        <f>'01_Вводные'!$J$268</f>
        <v/>
      </c>
      <c r="H76" s="136">
        <f>'01_Вводные'!$J$269</f>
        <v/>
      </c>
      <c r="I76" s="136">
        <f>'01_Вводные'!$J$270</f>
        <v/>
      </c>
      <c r="J76" s="136">
        <f>'01_Вводные'!$J$271</f>
        <v/>
      </c>
      <c r="K76" s="136">
        <f>'01_Вводные'!$J$272</f>
        <v/>
      </c>
      <c r="L76" s="136">
        <f>'01_Вводные'!$J$273</f>
        <v/>
      </c>
      <c r="M76" s="136">
        <f>'01_Вводные'!$J$274</f>
        <v/>
      </c>
      <c r="N76" s="136">
        <f>'01_Вводные'!$J$275</f>
        <v/>
      </c>
      <c r="O76" s="136">
        <f>'01_Вводные'!$J$276</f>
        <v/>
      </c>
      <c r="P76" s="136">
        <f>'01_Вводные'!$J$277</f>
        <v/>
      </c>
      <c r="Q76" s="136">
        <f>'01_Вводные'!$J$278</f>
        <v/>
      </c>
      <c r="R76" s="136">
        <f>'01_Вводные'!$J$279</f>
        <v/>
      </c>
      <c r="S76" s="136">
        <f>'01_Вводные'!$J$280</f>
        <v/>
      </c>
      <c r="T76" s="136">
        <f>'01_Вводные'!$J$281</f>
        <v/>
      </c>
      <c r="U76" s="136">
        <f>'01_Вводные'!$J$282</f>
        <v/>
      </c>
    </row>
    <row r="77">
      <c r="A77" s="134" t="inlineStr">
        <is>
          <t>24</t>
        </is>
      </c>
      <c r="B77" s="136">
        <f>'01_Вводные'!$J$263</f>
        <v/>
      </c>
      <c r="C77" s="136">
        <f>'01_Вводные'!$J$264</f>
        <v/>
      </c>
      <c r="D77" s="136">
        <f>'01_Вводные'!$J$265</f>
        <v/>
      </c>
      <c r="E77" s="136">
        <f>'01_Вводные'!$J$266</f>
        <v/>
      </c>
      <c r="F77" s="136">
        <f>'01_Вводные'!$J$267</f>
        <v/>
      </c>
      <c r="G77" s="136">
        <f>'01_Вводные'!$J$268</f>
        <v/>
      </c>
      <c r="H77" s="136">
        <f>'01_Вводные'!$J$269</f>
        <v/>
      </c>
      <c r="I77" s="136">
        <f>'01_Вводные'!$J$270</f>
        <v/>
      </c>
      <c r="J77" s="136">
        <f>'01_Вводные'!$J$271</f>
        <v/>
      </c>
      <c r="K77" s="136">
        <f>'01_Вводные'!$J$272</f>
        <v/>
      </c>
      <c r="L77" s="136">
        <f>'01_Вводные'!$J$273</f>
        <v/>
      </c>
      <c r="M77" s="136">
        <f>'01_Вводные'!$J$274</f>
        <v/>
      </c>
      <c r="N77" s="136">
        <f>'01_Вводные'!$J$275</f>
        <v/>
      </c>
      <c r="O77" s="136">
        <f>'01_Вводные'!$J$276</f>
        <v/>
      </c>
      <c r="P77" s="136">
        <f>'01_Вводные'!$J$277</f>
        <v/>
      </c>
      <c r="Q77" s="136">
        <f>'01_Вводные'!$J$278</f>
        <v/>
      </c>
      <c r="R77" s="136">
        <f>'01_Вводные'!$J$279</f>
        <v/>
      </c>
      <c r="S77" s="136">
        <f>'01_Вводные'!$J$280</f>
        <v/>
      </c>
      <c r="T77" s="136">
        <f>'01_Вводные'!$J$281</f>
        <v/>
      </c>
      <c r="U77" s="136">
        <f>'01_Вводные'!$J$282</f>
        <v/>
      </c>
    </row>
    <row r="78">
      <c r="A78" s="134" t="inlineStr">
        <is>
          <t>25+</t>
        </is>
      </c>
      <c r="B78" s="136">
        <f>'01_Вводные'!$J$263</f>
        <v/>
      </c>
      <c r="C78" s="136">
        <f>'01_Вводные'!$J$264</f>
        <v/>
      </c>
      <c r="D78" s="136">
        <f>'01_Вводные'!$J$265</f>
        <v/>
      </c>
      <c r="E78" s="136">
        <f>'01_Вводные'!$J$266</f>
        <v/>
      </c>
      <c r="F78" s="136">
        <f>'01_Вводные'!$J$267</f>
        <v/>
      </c>
      <c r="G78" s="136">
        <f>'01_Вводные'!$J$268</f>
        <v/>
      </c>
      <c r="H78" s="136">
        <f>'01_Вводные'!$J$269</f>
        <v/>
      </c>
      <c r="I78" s="136">
        <f>'01_Вводные'!$J$270</f>
        <v/>
      </c>
      <c r="J78" s="136">
        <f>'01_Вводные'!$J$271</f>
        <v/>
      </c>
      <c r="K78" s="136">
        <f>'01_Вводные'!$J$272</f>
        <v/>
      </c>
      <c r="L78" s="136">
        <f>'01_Вводные'!$J$273</f>
        <v/>
      </c>
      <c r="M78" s="136">
        <f>'01_Вводные'!$J$274</f>
        <v/>
      </c>
      <c r="N78" s="136">
        <f>'01_Вводные'!$J$275</f>
        <v/>
      </c>
      <c r="O78" s="136">
        <f>'01_Вводные'!$J$276</f>
        <v/>
      </c>
      <c r="P78" s="136">
        <f>'01_Вводные'!$J$277</f>
        <v/>
      </c>
      <c r="Q78" s="136">
        <f>'01_Вводные'!$J$278</f>
        <v/>
      </c>
      <c r="R78" s="136">
        <f>'01_Вводные'!$J$279</f>
        <v/>
      </c>
      <c r="S78" s="136">
        <f>'01_Вводные'!$J$280</f>
        <v/>
      </c>
      <c r="T78" s="136">
        <f>'01_Вводные'!$J$281</f>
        <v/>
      </c>
      <c r="U78" s="136">
        <f>'01_Вводные'!$J$282</f>
        <v/>
      </c>
    </row>
    <row r="86">
      <c r="A86" s="134" t="inlineStr">
        <is>
          <t>1</t>
        </is>
      </c>
      <c r="B86" s="136">
        <f>'01_Вводные'!$E$263*IF('01_Вводные'!$B$295="Да",1/12,1)</f>
        <v/>
      </c>
      <c r="C86" s="136">
        <f>'01_Вводные'!$E$264*IF('01_Вводные'!$B$295="Да",1/12,1)</f>
        <v/>
      </c>
      <c r="D86" s="136">
        <f>'01_Вводные'!$E$265*IF('01_Вводные'!$B$295="Да",1/12,1)</f>
        <v/>
      </c>
      <c r="E86" s="136">
        <f>'01_Вводные'!$E$266*IF('01_Вводные'!$B$295="Да",1/12,1)</f>
        <v/>
      </c>
      <c r="F86" s="136">
        <f>'01_Вводные'!$E$267*IF('01_Вводные'!$B$295="Да",1/12,1)</f>
        <v/>
      </c>
      <c r="G86" s="136">
        <f>'01_Вводные'!$E$268*IF('01_Вводные'!$B$295="Да",1/12,1)</f>
        <v/>
      </c>
      <c r="H86" s="136">
        <f>'01_Вводные'!$E$269*IF('01_Вводные'!$B$295="Да",1/12,1)</f>
        <v/>
      </c>
      <c r="I86" s="136">
        <f>'01_Вводные'!$E$270*IF('01_Вводные'!$B$295="Да",1/12,1)</f>
        <v/>
      </c>
      <c r="J86" s="136">
        <f>'01_Вводные'!$E$271*IF('01_Вводные'!$B$295="Да",1/12,1)</f>
        <v/>
      </c>
      <c r="K86" s="136">
        <f>'01_Вводные'!$E$272*IF('01_Вводные'!$B$295="Да",1/12,1)</f>
        <v/>
      </c>
      <c r="L86" s="136">
        <f>'01_Вводные'!$E$273*IF('01_Вводные'!$B$295="Да",1/12,1)</f>
        <v/>
      </c>
      <c r="M86" s="136">
        <f>'01_Вводные'!$E$274*IF('01_Вводные'!$B$295="Да",1/12,1)</f>
        <v/>
      </c>
      <c r="N86" s="136">
        <f>'01_Вводные'!$E$275*IF('01_Вводные'!$B$295="Да",1/12,1)</f>
        <v/>
      </c>
      <c r="O86" s="136">
        <f>'01_Вводные'!$E$276*IF('01_Вводные'!$B$295="Да",1/12,1)</f>
        <v/>
      </c>
      <c r="P86" s="136">
        <f>'01_Вводные'!$E$277*IF('01_Вводные'!$B$295="Да",1/12,1)</f>
        <v/>
      </c>
      <c r="Q86" s="136">
        <f>'01_Вводные'!$E$278*IF('01_Вводные'!$B$295="Да",1/12,1)</f>
        <v/>
      </c>
      <c r="R86" s="136">
        <f>'01_Вводные'!$E$279*IF('01_Вводные'!$B$295="Да",1/12,1)</f>
        <v/>
      </c>
      <c r="S86" s="136">
        <f>'01_Вводные'!$E$280*IF('01_Вводные'!$B$295="Да",1/12,1)</f>
        <v/>
      </c>
      <c r="T86" s="136">
        <f>'01_Вводные'!$E$281*IF('01_Вводные'!$B$295="Да",1/12,1)</f>
        <v/>
      </c>
      <c r="U86" s="136">
        <f>'01_Вводные'!$E$282*IF('01_Вводные'!$B$295="Да",1/12,1)</f>
        <v/>
      </c>
    </row>
    <row r="87">
      <c r="A87" s="134" t="inlineStr">
        <is>
          <t>2</t>
        </is>
      </c>
      <c r="B87" s="136">
        <f>'01_Вводные'!$E$263*IF('01_Вводные'!$B$295="Да",2/12,1)</f>
        <v/>
      </c>
      <c r="C87" s="136">
        <f>'01_Вводные'!$E$264*IF('01_Вводные'!$B$295="Да",2/12,1)</f>
        <v/>
      </c>
      <c r="D87" s="136">
        <f>'01_Вводные'!$E$265*IF('01_Вводные'!$B$295="Да",2/12,1)</f>
        <v/>
      </c>
      <c r="E87" s="136">
        <f>'01_Вводные'!$E$266*IF('01_Вводные'!$B$295="Да",2/12,1)</f>
        <v/>
      </c>
      <c r="F87" s="136">
        <f>'01_Вводные'!$E$267*IF('01_Вводные'!$B$295="Да",2/12,1)</f>
        <v/>
      </c>
      <c r="G87" s="136">
        <f>'01_Вводные'!$E$268*IF('01_Вводные'!$B$295="Да",2/12,1)</f>
        <v/>
      </c>
      <c r="H87" s="136">
        <f>'01_Вводные'!$E$269*IF('01_Вводные'!$B$295="Да",2/12,1)</f>
        <v/>
      </c>
      <c r="I87" s="136">
        <f>'01_Вводные'!$E$270*IF('01_Вводные'!$B$295="Да",2/12,1)</f>
        <v/>
      </c>
      <c r="J87" s="136">
        <f>'01_Вводные'!$E$271*IF('01_Вводные'!$B$295="Да",2/12,1)</f>
        <v/>
      </c>
      <c r="K87" s="136">
        <f>'01_Вводные'!$E$272*IF('01_Вводные'!$B$295="Да",2/12,1)</f>
        <v/>
      </c>
      <c r="L87" s="136">
        <f>'01_Вводные'!$E$273*IF('01_Вводные'!$B$295="Да",2/12,1)</f>
        <v/>
      </c>
      <c r="M87" s="136">
        <f>'01_Вводные'!$E$274*IF('01_Вводные'!$B$295="Да",2/12,1)</f>
        <v/>
      </c>
      <c r="N87" s="136">
        <f>'01_Вводные'!$E$275*IF('01_Вводные'!$B$295="Да",2/12,1)</f>
        <v/>
      </c>
      <c r="O87" s="136">
        <f>'01_Вводные'!$E$276*IF('01_Вводные'!$B$295="Да",2/12,1)</f>
        <v/>
      </c>
      <c r="P87" s="136">
        <f>'01_Вводные'!$E$277*IF('01_Вводные'!$B$295="Да",2/12,1)</f>
        <v/>
      </c>
      <c r="Q87" s="136">
        <f>'01_Вводные'!$E$278*IF('01_Вводные'!$B$295="Да",2/12,1)</f>
        <v/>
      </c>
      <c r="R87" s="136">
        <f>'01_Вводные'!$E$279*IF('01_Вводные'!$B$295="Да",2/12,1)</f>
        <v/>
      </c>
      <c r="S87" s="136">
        <f>'01_Вводные'!$E$280*IF('01_Вводные'!$B$295="Да",2/12,1)</f>
        <v/>
      </c>
      <c r="T87" s="136">
        <f>'01_Вводные'!$E$281*IF('01_Вводные'!$B$295="Да",2/12,1)</f>
        <v/>
      </c>
      <c r="U87" s="136">
        <f>'01_Вводные'!$E$282*IF('01_Вводные'!$B$295="Да",2/12,1)</f>
        <v/>
      </c>
    </row>
    <row r="88">
      <c r="A88" s="134" t="inlineStr">
        <is>
          <t>3</t>
        </is>
      </c>
      <c r="B88" s="136">
        <f>'01_Вводные'!$E$263*IF('01_Вводные'!$B$295="Да",3/12,1)</f>
        <v/>
      </c>
      <c r="C88" s="136">
        <f>'01_Вводные'!$E$264*IF('01_Вводные'!$B$295="Да",3/12,1)</f>
        <v/>
      </c>
      <c r="D88" s="136">
        <f>'01_Вводные'!$E$265*IF('01_Вводные'!$B$295="Да",3/12,1)</f>
        <v/>
      </c>
      <c r="E88" s="136">
        <f>'01_Вводные'!$E$266*IF('01_Вводные'!$B$295="Да",3/12,1)</f>
        <v/>
      </c>
      <c r="F88" s="136">
        <f>'01_Вводные'!$E$267*IF('01_Вводные'!$B$295="Да",3/12,1)</f>
        <v/>
      </c>
      <c r="G88" s="136">
        <f>'01_Вводные'!$E$268*IF('01_Вводные'!$B$295="Да",3/12,1)</f>
        <v/>
      </c>
      <c r="H88" s="136">
        <f>'01_Вводные'!$E$269*IF('01_Вводные'!$B$295="Да",3/12,1)</f>
        <v/>
      </c>
      <c r="I88" s="136">
        <f>'01_Вводные'!$E$270*IF('01_Вводные'!$B$295="Да",3/12,1)</f>
        <v/>
      </c>
      <c r="J88" s="136">
        <f>'01_Вводные'!$E$271*IF('01_Вводные'!$B$295="Да",3/12,1)</f>
        <v/>
      </c>
      <c r="K88" s="136">
        <f>'01_Вводные'!$E$272*IF('01_Вводные'!$B$295="Да",3/12,1)</f>
        <v/>
      </c>
      <c r="L88" s="136">
        <f>'01_Вводные'!$E$273*IF('01_Вводные'!$B$295="Да",3/12,1)</f>
        <v/>
      </c>
      <c r="M88" s="136">
        <f>'01_Вводные'!$E$274*IF('01_Вводные'!$B$295="Да",3/12,1)</f>
        <v/>
      </c>
      <c r="N88" s="136">
        <f>'01_Вводные'!$E$275*IF('01_Вводные'!$B$295="Да",3/12,1)</f>
        <v/>
      </c>
      <c r="O88" s="136">
        <f>'01_Вводные'!$E$276*IF('01_Вводные'!$B$295="Да",3/12,1)</f>
        <v/>
      </c>
      <c r="P88" s="136">
        <f>'01_Вводные'!$E$277*IF('01_Вводные'!$B$295="Да",3/12,1)</f>
        <v/>
      </c>
      <c r="Q88" s="136">
        <f>'01_Вводные'!$E$278*IF('01_Вводные'!$B$295="Да",3/12,1)</f>
        <v/>
      </c>
      <c r="R88" s="136">
        <f>'01_Вводные'!$E$279*IF('01_Вводные'!$B$295="Да",3/12,1)</f>
        <v/>
      </c>
      <c r="S88" s="136">
        <f>'01_Вводные'!$E$280*IF('01_Вводные'!$B$295="Да",3/12,1)</f>
        <v/>
      </c>
      <c r="T88" s="136">
        <f>'01_Вводные'!$E$281*IF('01_Вводные'!$B$295="Да",3/12,1)</f>
        <v/>
      </c>
      <c r="U88" s="136">
        <f>'01_Вводные'!$E$282*IF('01_Вводные'!$B$295="Да",3/12,1)</f>
        <v/>
      </c>
    </row>
    <row r="89">
      <c r="A89" s="134" t="inlineStr">
        <is>
          <t>4</t>
        </is>
      </c>
      <c r="B89" s="136">
        <f>'01_Вводные'!$E$263*IF('01_Вводные'!$B$295="Да",4/12,1)</f>
        <v/>
      </c>
      <c r="C89" s="136">
        <f>'01_Вводные'!$E$264*IF('01_Вводные'!$B$295="Да",4/12,1)</f>
        <v/>
      </c>
      <c r="D89" s="136">
        <f>'01_Вводные'!$E$265*IF('01_Вводные'!$B$295="Да",4/12,1)</f>
        <v/>
      </c>
      <c r="E89" s="136">
        <f>'01_Вводные'!$E$266*IF('01_Вводные'!$B$295="Да",4/12,1)</f>
        <v/>
      </c>
      <c r="F89" s="136">
        <f>'01_Вводные'!$E$267*IF('01_Вводные'!$B$295="Да",4/12,1)</f>
        <v/>
      </c>
      <c r="G89" s="136">
        <f>'01_Вводные'!$E$268*IF('01_Вводные'!$B$295="Да",4/12,1)</f>
        <v/>
      </c>
      <c r="H89" s="136">
        <f>'01_Вводные'!$E$269*IF('01_Вводные'!$B$295="Да",4/12,1)</f>
        <v/>
      </c>
      <c r="I89" s="136">
        <f>'01_Вводные'!$E$270*IF('01_Вводные'!$B$295="Да",4/12,1)</f>
        <v/>
      </c>
      <c r="J89" s="136">
        <f>'01_Вводные'!$E$271*IF('01_Вводные'!$B$295="Да",4/12,1)</f>
        <v/>
      </c>
      <c r="K89" s="136">
        <f>'01_Вводные'!$E$272*IF('01_Вводные'!$B$295="Да",4/12,1)</f>
        <v/>
      </c>
      <c r="L89" s="136">
        <f>'01_Вводные'!$E$273*IF('01_Вводные'!$B$295="Да",4/12,1)</f>
        <v/>
      </c>
      <c r="M89" s="136">
        <f>'01_Вводные'!$E$274*IF('01_Вводные'!$B$295="Да",4/12,1)</f>
        <v/>
      </c>
      <c r="N89" s="136">
        <f>'01_Вводные'!$E$275*IF('01_Вводные'!$B$295="Да",4/12,1)</f>
        <v/>
      </c>
      <c r="O89" s="136">
        <f>'01_Вводные'!$E$276*IF('01_Вводные'!$B$295="Да",4/12,1)</f>
        <v/>
      </c>
      <c r="P89" s="136">
        <f>'01_Вводные'!$E$277*IF('01_Вводные'!$B$295="Да",4/12,1)</f>
        <v/>
      </c>
      <c r="Q89" s="136">
        <f>'01_Вводные'!$E$278*IF('01_Вводные'!$B$295="Да",4/12,1)</f>
        <v/>
      </c>
      <c r="R89" s="136">
        <f>'01_Вводные'!$E$279*IF('01_Вводные'!$B$295="Да",4/12,1)</f>
        <v/>
      </c>
      <c r="S89" s="136">
        <f>'01_Вводные'!$E$280*IF('01_Вводные'!$B$295="Да",4/12,1)</f>
        <v/>
      </c>
      <c r="T89" s="136">
        <f>'01_Вводные'!$E$281*IF('01_Вводные'!$B$295="Да",4/12,1)</f>
        <v/>
      </c>
      <c r="U89" s="136">
        <f>'01_Вводные'!$E$282*IF('01_Вводные'!$B$295="Да",4/12,1)</f>
        <v/>
      </c>
    </row>
    <row r="90">
      <c r="A90" s="134" t="inlineStr">
        <is>
          <t>5</t>
        </is>
      </c>
      <c r="B90" s="136">
        <f>'01_Вводные'!$E$263*IF('01_Вводные'!$B$295="Да",5/12,1)</f>
        <v/>
      </c>
      <c r="C90" s="136">
        <f>'01_Вводные'!$E$264*IF('01_Вводные'!$B$295="Да",5/12,1)</f>
        <v/>
      </c>
      <c r="D90" s="136">
        <f>'01_Вводные'!$E$265*IF('01_Вводные'!$B$295="Да",5/12,1)</f>
        <v/>
      </c>
      <c r="E90" s="136">
        <f>'01_Вводные'!$E$266*IF('01_Вводные'!$B$295="Да",5/12,1)</f>
        <v/>
      </c>
      <c r="F90" s="136">
        <f>'01_Вводные'!$E$267*IF('01_Вводные'!$B$295="Да",5/12,1)</f>
        <v/>
      </c>
      <c r="G90" s="136">
        <f>'01_Вводные'!$E$268*IF('01_Вводные'!$B$295="Да",5/12,1)</f>
        <v/>
      </c>
      <c r="H90" s="136">
        <f>'01_Вводные'!$E$269*IF('01_Вводные'!$B$295="Да",5/12,1)</f>
        <v/>
      </c>
      <c r="I90" s="136">
        <f>'01_Вводные'!$E$270*IF('01_Вводные'!$B$295="Да",5/12,1)</f>
        <v/>
      </c>
      <c r="J90" s="136">
        <f>'01_Вводные'!$E$271*IF('01_Вводные'!$B$295="Да",5/12,1)</f>
        <v/>
      </c>
      <c r="K90" s="136">
        <f>'01_Вводные'!$E$272*IF('01_Вводные'!$B$295="Да",5/12,1)</f>
        <v/>
      </c>
      <c r="L90" s="136">
        <f>'01_Вводные'!$E$273*IF('01_Вводные'!$B$295="Да",5/12,1)</f>
        <v/>
      </c>
      <c r="M90" s="136">
        <f>'01_Вводные'!$E$274*IF('01_Вводные'!$B$295="Да",5/12,1)</f>
        <v/>
      </c>
      <c r="N90" s="136">
        <f>'01_Вводные'!$E$275*IF('01_Вводные'!$B$295="Да",5/12,1)</f>
        <v/>
      </c>
      <c r="O90" s="136">
        <f>'01_Вводные'!$E$276*IF('01_Вводные'!$B$295="Да",5/12,1)</f>
        <v/>
      </c>
      <c r="P90" s="136">
        <f>'01_Вводные'!$E$277*IF('01_Вводные'!$B$295="Да",5/12,1)</f>
        <v/>
      </c>
      <c r="Q90" s="136">
        <f>'01_Вводные'!$E$278*IF('01_Вводные'!$B$295="Да",5/12,1)</f>
        <v/>
      </c>
      <c r="R90" s="136">
        <f>'01_Вводные'!$E$279*IF('01_Вводные'!$B$295="Да",5/12,1)</f>
        <v/>
      </c>
      <c r="S90" s="136">
        <f>'01_Вводные'!$E$280*IF('01_Вводные'!$B$295="Да",5/12,1)</f>
        <v/>
      </c>
      <c r="T90" s="136">
        <f>'01_Вводные'!$E$281*IF('01_Вводные'!$B$295="Да",5/12,1)</f>
        <v/>
      </c>
      <c r="U90" s="136">
        <f>'01_Вводные'!$E$282*IF('01_Вводные'!$B$295="Да",5/12,1)</f>
        <v/>
      </c>
    </row>
    <row r="91">
      <c r="A91" s="134" t="inlineStr">
        <is>
          <t>6</t>
        </is>
      </c>
      <c r="B91" s="136">
        <f>'01_Вводные'!$E$263*IF('01_Вводные'!$B$295="Да",6/12,1)</f>
        <v/>
      </c>
      <c r="C91" s="136">
        <f>'01_Вводные'!$E$264*IF('01_Вводные'!$B$295="Да",6/12,1)</f>
        <v/>
      </c>
      <c r="D91" s="136">
        <f>'01_Вводные'!$E$265*IF('01_Вводные'!$B$295="Да",6/12,1)</f>
        <v/>
      </c>
      <c r="E91" s="136">
        <f>'01_Вводные'!$E$266*IF('01_Вводные'!$B$295="Да",6/12,1)</f>
        <v/>
      </c>
      <c r="F91" s="136">
        <f>'01_Вводные'!$E$267*IF('01_Вводные'!$B$295="Да",6/12,1)</f>
        <v/>
      </c>
      <c r="G91" s="136">
        <f>'01_Вводные'!$E$268*IF('01_Вводные'!$B$295="Да",6/12,1)</f>
        <v/>
      </c>
      <c r="H91" s="136">
        <f>'01_Вводные'!$E$269*IF('01_Вводные'!$B$295="Да",6/12,1)</f>
        <v/>
      </c>
      <c r="I91" s="136">
        <f>'01_Вводные'!$E$270*IF('01_Вводные'!$B$295="Да",6/12,1)</f>
        <v/>
      </c>
      <c r="J91" s="136">
        <f>'01_Вводные'!$E$271*IF('01_Вводные'!$B$295="Да",6/12,1)</f>
        <v/>
      </c>
      <c r="K91" s="136">
        <f>'01_Вводные'!$E$272*IF('01_Вводные'!$B$295="Да",6/12,1)</f>
        <v/>
      </c>
      <c r="L91" s="136">
        <f>'01_Вводные'!$E$273*IF('01_Вводные'!$B$295="Да",6/12,1)</f>
        <v/>
      </c>
      <c r="M91" s="136">
        <f>'01_Вводные'!$E$274*IF('01_Вводные'!$B$295="Да",6/12,1)</f>
        <v/>
      </c>
      <c r="N91" s="136">
        <f>'01_Вводные'!$E$275*IF('01_Вводные'!$B$295="Да",6/12,1)</f>
        <v/>
      </c>
      <c r="O91" s="136">
        <f>'01_Вводные'!$E$276*IF('01_Вводные'!$B$295="Да",6/12,1)</f>
        <v/>
      </c>
      <c r="P91" s="136">
        <f>'01_Вводные'!$E$277*IF('01_Вводные'!$B$295="Да",6/12,1)</f>
        <v/>
      </c>
      <c r="Q91" s="136">
        <f>'01_Вводные'!$E$278*IF('01_Вводные'!$B$295="Да",6/12,1)</f>
        <v/>
      </c>
      <c r="R91" s="136">
        <f>'01_Вводные'!$E$279*IF('01_Вводные'!$B$295="Да",6/12,1)</f>
        <v/>
      </c>
      <c r="S91" s="136">
        <f>'01_Вводные'!$E$280*IF('01_Вводные'!$B$295="Да",6/12,1)</f>
        <v/>
      </c>
      <c r="T91" s="136">
        <f>'01_Вводные'!$E$281*IF('01_Вводные'!$B$295="Да",6/12,1)</f>
        <v/>
      </c>
      <c r="U91" s="136">
        <f>'01_Вводные'!$E$282*IF('01_Вводные'!$B$295="Да",6/12,1)</f>
        <v/>
      </c>
    </row>
    <row r="92">
      <c r="A92" s="134" t="inlineStr">
        <is>
          <t>7</t>
        </is>
      </c>
      <c r="B92" s="136">
        <f>'01_Вводные'!$E$263*IF('01_Вводные'!$B$295="Да",7/12,1)</f>
        <v/>
      </c>
      <c r="C92" s="136">
        <f>'01_Вводные'!$E$264*IF('01_Вводные'!$B$295="Да",7/12,1)</f>
        <v/>
      </c>
      <c r="D92" s="136">
        <f>'01_Вводные'!$E$265*IF('01_Вводные'!$B$295="Да",7/12,1)</f>
        <v/>
      </c>
      <c r="E92" s="136">
        <f>'01_Вводные'!$E$266*IF('01_Вводные'!$B$295="Да",7/12,1)</f>
        <v/>
      </c>
      <c r="F92" s="136">
        <f>'01_Вводные'!$E$267*IF('01_Вводные'!$B$295="Да",7/12,1)</f>
        <v/>
      </c>
      <c r="G92" s="136">
        <f>'01_Вводные'!$E$268*IF('01_Вводные'!$B$295="Да",7/12,1)</f>
        <v/>
      </c>
      <c r="H92" s="136">
        <f>'01_Вводные'!$E$269*IF('01_Вводные'!$B$295="Да",7/12,1)</f>
        <v/>
      </c>
      <c r="I92" s="136">
        <f>'01_Вводные'!$E$270*IF('01_Вводные'!$B$295="Да",7/12,1)</f>
        <v/>
      </c>
      <c r="J92" s="136">
        <f>'01_Вводные'!$E$271*IF('01_Вводные'!$B$295="Да",7/12,1)</f>
        <v/>
      </c>
      <c r="K92" s="136">
        <f>'01_Вводные'!$E$272*IF('01_Вводные'!$B$295="Да",7/12,1)</f>
        <v/>
      </c>
      <c r="L92" s="136">
        <f>'01_Вводные'!$E$273*IF('01_Вводные'!$B$295="Да",7/12,1)</f>
        <v/>
      </c>
      <c r="M92" s="136">
        <f>'01_Вводные'!$E$274*IF('01_Вводные'!$B$295="Да",7/12,1)</f>
        <v/>
      </c>
      <c r="N92" s="136">
        <f>'01_Вводные'!$E$275*IF('01_Вводные'!$B$295="Да",7/12,1)</f>
        <v/>
      </c>
      <c r="O92" s="136">
        <f>'01_Вводные'!$E$276*IF('01_Вводные'!$B$295="Да",7/12,1)</f>
        <v/>
      </c>
      <c r="P92" s="136">
        <f>'01_Вводные'!$E$277*IF('01_Вводные'!$B$295="Да",7/12,1)</f>
        <v/>
      </c>
      <c r="Q92" s="136">
        <f>'01_Вводные'!$E$278*IF('01_Вводные'!$B$295="Да",7/12,1)</f>
        <v/>
      </c>
      <c r="R92" s="136">
        <f>'01_Вводные'!$E$279*IF('01_Вводные'!$B$295="Да",7/12,1)</f>
        <v/>
      </c>
      <c r="S92" s="136">
        <f>'01_Вводные'!$E$280*IF('01_Вводные'!$B$295="Да",7/12,1)</f>
        <v/>
      </c>
      <c r="T92" s="136">
        <f>'01_Вводные'!$E$281*IF('01_Вводные'!$B$295="Да",7/12,1)</f>
        <v/>
      </c>
      <c r="U92" s="136">
        <f>'01_Вводные'!$E$282*IF('01_Вводные'!$B$295="Да",7/12,1)</f>
        <v/>
      </c>
    </row>
    <row r="93">
      <c r="A93" s="134" t="inlineStr">
        <is>
          <t>8</t>
        </is>
      </c>
      <c r="B93" s="136">
        <f>'01_Вводные'!$E$263*IF('01_Вводные'!$B$295="Да",8/12,1)</f>
        <v/>
      </c>
      <c r="C93" s="136">
        <f>'01_Вводные'!$E$264*IF('01_Вводные'!$B$295="Да",8/12,1)</f>
        <v/>
      </c>
      <c r="D93" s="136">
        <f>'01_Вводные'!$E$265*IF('01_Вводные'!$B$295="Да",8/12,1)</f>
        <v/>
      </c>
      <c r="E93" s="136">
        <f>'01_Вводные'!$E$266*IF('01_Вводные'!$B$295="Да",8/12,1)</f>
        <v/>
      </c>
      <c r="F93" s="136">
        <f>'01_Вводные'!$E$267*IF('01_Вводные'!$B$295="Да",8/12,1)</f>
        <v/>
      </c>
      <c r="G93" s="136">
        <f>'01_Вводные'!$E$268*IF('01_Вводные'!$B$295="Да",8/12,1)</f>
        <v/>
      </c>
      <c r="H93" s="136">
        <f>'01_Вводные'!$E$269*IF('01_Вводные'!$B$295="Да",8/12,1)</f>
        <v/>
      </c>
      <c r="I93" s="136">
        <f>'01_Вводные'!$E$270*IF('01_Вводные'!$B$295="Да",8/12,1)</f>
        <v/>
      </c>
      <c r="J93" s="136">
        <f>'01_Вводные'!$E$271*IF('01_Вводные'!$B$295="Да",8/12,1)</f>
        <v/>
      </c>
      <c r="K93" s="136">
        <f>'01_Вводные'!$E$272*IF('01_Вводные'!$B$295="Да",8/12,1)</f>
        <v/>
      </c>
      <c r="L93" s="136">
        <f>'01_Вводные'!$E$273*IF('01_Вводные'!$B$295="Да",8/12,1)</f>
        <v/>
      </c>
      <c r="M93" s="136">
        <f>'01_Вводные'!$E$274*IF('01_Вводные'!$B$295="Да",8/12,1)</f>
        <v/>
      </c>
      <c r="N93" s="136">
        <f>'01_Вводные'!$E$275*IF('01_Вводные'!$B$295="Да",8/12,1)</f>
        <v/>
      </c>
      <c r="O93" s="136">
        <f>'01_Вводные'!$E$276*IF('01_Вводные'!$B$295="Да",8/12,1)</f>
        <v/>
      </c>
      <c r="P93" s="136">
        <f>'01_Вводные'!$E$277*IF('01_Вводные'!$B$295="Да",8/12,1)</f>
        <v/>
      </c>
      <c r="Q93" s="136">
        <f>'01_Вводные'!$E$278*IF('01_Вводные'!$B$295="Да",8/12,1)</f>
        <v/>
      </c>
      <c r="R93" s="136">
        <f>'01_Вводные'!$E$279*IF('01_Вводные'!$B$295="Да",8/12,1)</f>
        <v/>
      </c>
      <c r="S93" s="136">
        <f>'01_Вводные'!$E$280*IF('01_Вводные'!$B$295="Да",8/12,1)</f>
        <v/>
      </c>
      <c r="T93" s="136">
        <f>'01_Вводные'!$E$281*IF('01_Вводные'!$B$295="Да",8/12,1)</f>
        <v/>
      </c>
      <c r="U93" s="136">
        <f>'01_Вводные'!$E$282*IF('01_Вводные'!$B$295="Да",8/12,1)</f>
        <v/>
      </c>
    </row>
    <row r="94">
      <c r="A94" s="134" t="inlineStr">
        <is>
          <t>9</t>
        </is>
      </c>
      <c r="B94" s="136">
        <f>'01_Вводные'!$E$263*IF('01_Вводные'!$B$295="Да",9/12,1)</f>
        <v/>
      </c>
      <c r="C94" s="136">
        <f>'01_Вводные'!$E$264*IF('01_Вводные'!$B$295="Да",9/12,1)</f>
        <v/>
      </c>
      <c r="D94" s="136">
        <f>'01_Вводные'!$E$265*IF('01_Вводные'!$B$295="Да",9/12,1)</f>
        <v/>
      </c>
      <c r="E94" s="136">
        <f>'01_Вводные'!$E$266*IF('01_Вводные'!$B$295="Да",9/12,1)</f>
        <v/>
      </c>
      <c r="F94" s="136">
        <f>'01_Вводные'!$E$267*IF('01_Вводные'!$B$295="Да",9/12,1)</f>
        <v/>
      </c>
      <c r="G94" s="136">
        <f>'01_Вводные'!$E$268*IF('01_Вводные'!$B$295="Да",9/12,1)</f>
        <v/>
      </c>
      <c r="H94" s="136">
        <f>'01_Вводные'!$E$269*IF('01_Вводные'!$B$295="Да",9/12,1)</f>
        <v/>
      </c>
      <c r="I94" s="136">
        <f>'01_Вводные'!$E$270*IF('01_Вводные'!$B$295="Да",9/12,1)</f>
        <v/>
      </c>
      <c r="J94" s="136">
        <f>'01_Вводные'!$E$271*IF('01_Вводные'!$B$295="Да",9/12,1)</f>
        <v/>
      </c>
      <c r="K94" s="136">
        <f>'01_Вводные'!$E$272*IF('01_Вводные'!$B$295="Да",9/12,1)</f>
        <v/>
      </c>
      <c r="L94" s="136">
        <f>'01_Вводные'!$E$273*IF('01_Вводные'!$B$295="Да",9/12,1)</f>
        <v/>
      </c>
      <c r="M94" s="136">
        <f>'01_Вводные'!$E$274*IF('01_Вводные'!$B$295="Да",9/12,1)</f>
        <v/>
      </c>
      <c r="N94" s="136">
        <f>'01_Вводные'!$E$275*IF('01_Вводные'!$B$295="Да",9/12,1)</f>
        <v/>
      </c>
      <c r="O94" s="136">
        <f>'01_Вводные'!$E$276*IF('01_Вводные'!$B$295="Да",9/12,1)</f>
        <v/>
      </c>
      <c r="P94" s="136">
        <f>'01_Вводные'!$E$277*IF('01_Вводные'!$B$295="Да",9/12,1)</f>
        <v/>
      </c>
      <c r="Q94" s="136">
        <f>'01_Вводные'!$E$278*IF('01_Вводные'!$B$295="Да",9/12,1)</f>
        <v/>
      </c>
      <c r="R94" s="136">
        <f>'01_Вводные'!$E$279*IF('01_Вводные'!$B$295="Да",9/12,1)</f>
        <v/>
      </c>
      <c r="S94" s="136">
        <f>'01_Вводные'!$E$280*IF('01_Вводные'!$B$295="Да",9/12,1)</f>
        <v/>
      </c>
      <c r="T94" s="136">
        <f>'01_Вводные'!$E$281*IF('01_Вводные'!$B$295="Да",9/12,1)</f>
        <v/>
      </c>
      <c r="U94" s="136">
        <f>'01_Вводные'!$E$282*IF('01_Вводные'!$B$295="Да",9/12,1)</f>
        <v/>
      </c>
    </row>
    <row r="95">
      <c r="A95" s="134" t="inlineStr">
        <is>
          <t>10</t>
        </is>
      </c>
      <c r="B95" s="136">
        <f>'01_Вводные'!$E$263*IF('01_Вводные'!$B$295="Да",10/12,1)</f>
        <v/>
      </c>
      <c r="C95" s="136">
        <f>'01_Вводные'!$E$264*IF('01_Вводные'!$B$295="Да",10/12,1)</f>
        <v/>
      </c>
      <c r="D95" s="136">
        <f>'01_Вводные'!$E$265*IF('01_Вводные'!$B$295="Да",10/12,1)</f>
        <v/>
      </c>
      <c r="E95" s="136">
        <f>'01_Вводные'!$E$266*IF('01_Вводные'!$B$295="Да",10/12,1)</f>
        <v/>
      </c>
      <c r="F95" s="136">
        <f>'01_Вводные'!$E$267*IF('01_Вводные'!$B$295="Да",10/12,1)</f>
        <v/>
      </c>
      <c r="G95" s="136">
        <f>'01_Вводные'!$E$268*IF('01_Вводные'!$B$295="Да",10/12,1)</f>
        <v/>
      </c>
      <c r="H95" s="136">
        <f>'01_Вводные'!$E$269*IF('01_Вводные'!$B$295="Да",10/12,1)</f>
        <v/>
      </c>
      <c r="I95" s="136">
        <f>'01_Вводные'!$E$270*IF('01_Вводные'!$B$295="Да",10/12,1)</f>
        <v/>
      </c>
      <c r="J95" s="136">
        <f>'01_Вводные'!$E$271*IF('01_Вводные'!$B$295="Да",10/12,1)</f>
        <v/>
      </c>
      <c r="K95" s="136">
        <f>'01_Вводные'!$E$272*IF('01_Вводные'!$B$295="Да",10/12,1)</f>
        <v/>
      </c>
      <c r="L95" s="136">
        <f>'01_Вводные'!$E$273*IF('01_Вводные'!$B$295="Да",10/12,1)</f>
        <v/>
      </c>
      <c r="M95" s="136">
        <f>'01_Вводные'!$E$274*IF('01_Вводные'!$B$295="Да",10/12,1)</f>
        <v/>
      </c>
      <c r="N95" s="136">
        <f>'01_Вводные'!$E$275*IF('01_Вводные'!$B$295="Да",10/12,1)</f>
        <v/>
      </c>
      <c r="O95" s="136">
        <f>'01_Вводные'!$E$276*IF('01_Вводные'!$B$295="Да",10/12,1)</f>
        <v/>
      </c>
      <c r="P95" s="136">
        <f>'01_Вводные'!$E$277*IF('01_Вводные'!$B$295="Да",10/12,1)</f>
        <v/>
      </c>
      <c r="Q95" s="136">
        <f>'01_Вводные'!$E$278*IF('01_Вводные'!$B$295="Да",10/12,1)</f>
        <v/>
      </c>
      <c r="R95" s="136">
        <f>'01_Вводные'!$E$279*IF('01_Вводные'!$B$295="Да",10/12,1)</f>
        <v/>
      </c>
      <c r="S95" s="136">
        <f>'01_Вводные'!$E$280*IF('01_Вводные'!$B$295="Да",10/12,1)</f>
        <v/>
      </c>
      <c r="T95" s="136">
        <f>'01_Вводные'!$E$281*IF('01_Вводные'!$B$295="Да",10/12,1)</f>
        <v/>
      </c>
      <c r="U95" s="136">
        <f>'01_Вводные'!$E$282*IF('01_Вводные'!$B$295="Да",10/12,1)</f>
        <v/>
      </c>
    </row>
    <row r="96">
      <c r="A96" s="134" t="inlineStr">
        <is>
          <t>11</t>
        </is>
      </c>
      <c r="B96" s="136">
        <f>'01_Вводные'!$E$263*IF('01_Вводные'!$B$295="Да",11/12,1)</f>
        <v/>
      </c>
      <c r="C96" s="136">
        <f>'01_Вводные'!$E$264*IF('01_Вводные'!$B$295="Да",11/12,1)</f>
        <v/>
      </c>
      <c r="D96" s="136">
        <f>'01_Вводные'!$E$265*IF('01_Вводные'!$B$295="Да",11/12,1)</f>
        <v/>
      </c>
      <c r="E96" s="136">
        <f>'01_Вводные'!$E$266*IF('01_Вводные'!$B$295="Да",11/12,1)</f>
        <v/>
      </c>
      <c r="F96" s="136">
        <f>'01_Вводные'!$E$267*IF('01_Вводные'!$B$295="Да",11/12,1)</f>
        <v/>
      </c>
      <c r="G96" s="136">
        <f>'01_Вводные'!$E$268*IF('01_Вводные'!$B$295="Да",11/12,1)</f>
        <v/>
      </c>
      <c r="H96" s="136">
        <f>'01_Вводные'!$E$269*IF('01_Вводные'!$B$295="Да",11/12,1)</f>
        <v/>
      </c>
      <c r="I96" s="136">
        <f>'01_Вводные'!$E$270*IF('01_Вводные'!$B$295="Да",11/12,1)</f>
        <v/>
      </c>
      <c r="J96" s="136">
        <f>'01_Вводные'!$E$271*IF('01_Вводные'!$B$295="Да",11/12,1)</f>
        <v/>
      </c>
      <c r="K96" s="136">
        <f>'01_Вводные'!$E$272*IF('01_Вводные'!$B$295="Да",11/12,1)</f>
        <v/>
      </c>
      <c r="L96" s="136">
        <f>'01_Вводные'!$E$273*IF('01_Вводные'!$B$295="Да",11/12,1)</f>
        <v/>
      </c>
      <c r="M96" s="136">
        <f>'01_Вводные'!$E$274*IF('01_Вводные'!$B$295="Да",11/12,1)</f>
        <v/>
      </c>
      <c r="N96" s="136">
        <f>'01_Вводные'!$E$275*IF('01_Вводные'!$B$295="Да",11/12,1)</f>
        <v/>
      </c>
      <c r="O96" s="136">
        <f>'01_Вводные'!$E$276*IF('01_Вводные'!$B$295="Да",11/12,1)</f>
        <v/>
      </c>
      <c r="P96" s="136">
        <f>'01_Вводные'!$E$277*IF('01_Вводные'!$B$295="Да",11/12,1)</f>
        <v/>
      </c>
      <c r="Q96" s="136">
        <f>'01_Вводные'!$E$278*IF('01_Вводные'!$B$295="Да",11/12,1)</f>
        <v/>
      </c>
      <c r="R96" s="136">
        <f>'01_Вводные'!$E$279*IF('01_Вводные'!$B$295="Да",11/12,1)</f>
        <v/>
      </c>
      <c r="S96" s="136">
        <f>'01_Вводные'!$E$280*IF('01_Вводные'!$B$295="Да",11/12,1)</f>
        <v/>
      </c>
      <c r="T96" s="136">
        <f>'01_Вводные'!$E$281*IF('01_Вводные'!$B$295="Да",11/12,1)</f>
        <v/>
      </c>
      <c r="U96" s="136">
        <f>'01_Вводные'!$E$282*IF('01_Вводные'!$B$295="Да",11/12,1)</f>
        <v/>
      </c>
    </row>
    <row r="97">
      <c r="A97" s="134" t="inlineStr">
        <is>
          <t>12</t>
        </is>
      </c>
      <c r="B97" s="136">
        <f>'01_Вводные'!$E$263*IF('01_Вводные'!$B$295="Да",12/12,1)</f>
        <v/>
      </c>
      <c r="C97" s="136">
        <f>'01_Вводные'!$E$264*IF('01_Вводные'!$B$295="Да",12/12,1)</f>
        <v/>
      </c>
      <c r="D97" s="136">
        <f>'01_Вводные'!$E$265*IF('01_Вводные'!$B$295="Да",12/12,1)</f>
        <v/>
      </c>
      <c r="E97" s="136">
        <f>'01_Вводные'!$E$266*IF('01_Вводные'!$B$295="Да",12/12,1)</f>
        <v/>
      </c>
      <c r="F97" s="136">
        <f>'01_Вводные'!$E$267*IF('01_Вводные'!$B$295="Да",12/12,1)</f>
        <v/>
      </c>
      <c r="G97" s="136">
        <f>'01_Вводные'!$E$268*IF('01_Вводные'!$B$295="Да",12/12,1)</f>
        <v/>
      </c>
      <c r="H97" s="136">
        <f>'01_Вводные'!$E$269*IF('01_Вводные'!$B$295="Да",12/12,1)</f>
        <v/>
      </c>
      <c r="I97" s="136">
        <f>'01_Вводные'!$E$270*IF('01_Вводные'!$B$295="Да",12/12,1)</f>
        <v/>
      </c>
      <c r="J97" s="136">
        <f>'01_Вводные'!$E$271*IF('01_Вводные'!$B$295="Да",12/12,1)</f>
        <v/>
      </c>
      <c r="K97" s="136">
        <f>'01_Вводные'!$E$272*IF('01_Вводные'!$B$295="Да",12/12,1)</f>
        <v/>
      </c>
      <c r="L97" s="136">
        <f>'01_Вводные'!$E$273*IF('01_Вводные'!$B$295="Да",12/12,1)</f>
        <v/>
      </c>
      <c r="M97" s="136">
        <f>'01_Вводные'!$E$274*IF('01_Вводные'!$B$295="Да",12/12,1)</f>
        <v/>
      </c>
      <c r="N97" s="136">
        <f>'01_Вводные'!$E$275*IF('01_Вводные'!$B$295="Да",12/12,1)</f>
        <v/>
      </c>
      <c r="O97" s="136">
        <f>'01_Вводные'!$E$276*IF('01_Вводные'!$B$295="Да",12/12,1)</f>
        <v/>
      </c>
      <c r="P97" s="136">
        <f>'01_Вводные'!$E$277*IF('01_Вводные'!$B$295="Да",12/12,1)</f>
        <v/>
      </c>
      <c r="Q97" s="136">
        <f>'01_Вводные'!$E$278*IF('01_Вводные'!$B$295="Да",12/12,1)</f>
        <v/>
      </c>
      <c r="R97" s="136">
        <f>'01_Вводные'!$E$279*IF('01_Вводные'!$B$295="Да",12/12,1)</f>
        <v/>
      </c>
      <c r="S97" s="136">
        <f>'01_Вводные'!$E$280*IF('01_Вводные'!$B$295="Да",12/12,1)</f>
        <v/>
      </c>
      <c r="T97" s="136">
        <f>'01_Вводные'!$E$281*IF('01_Вводные'!$B$295="Да",12/12,1)</f>
        <v/>
      </c>
      <c r="U97" s="136">
        <f>'01_Вводные'!$E$282*IF('01_Вводные'!$B$295="Да",12/12,1)</f>
        <v/>
      </c>
    </row>
    <row r="98">
      <c r="A98" s="134" t="inlineStr">
        <is>
          <t>13</t>
        </is>
      </c>
      <c r="B98" s="136">
        <f>IF('01_Вводные'!$B$295="Да",'01_Вводные'!$E$263+('01_Вводные'!$F$263-'01_Вводные'!$E$263)*1/12,'01_Вводные'!$F$263)</f>
        <v/>
      </c>
      <c r="C98" s="136">
        <f>IF('01_Вводные'!$B$295="Да",'01_Вводные'!$E$264+('01_Вводные'!$F$264-'01_Вводные'!$E$264)*1/12,'01_Вводные'!$F$264)</f>
        <v/>
      </c>
      <c r="D98" s="136">
        <f>IF('01_Вводные'!$B$295="Да",'01_Вводные'!$E$265+('01_Вводные'!$F$265-'01_Вводные'!$E$265)*1/12,'01_Вводные'!$F$265)</f>
        <v/>
      </c>
      <c r="E98" s="136">
        <f>IF('01_Вводные'!$B$295="Да",'01_Вводные'!$E$266+('01_Вводные'!$F$266-'01_Вводные'!$E$266)*1/12,'01_Вводные'!$F$266)</f>
        <v/>
      </c>
      <c r="F98" s="136">
        <f>IF('01_Вводные'!$B$295="Да",'01_Вводные'!$E$267+('01_Вводные'!$F$267-'01_Вводные'!$E$267)*1/12,'01_Вводные'!$F$267)</f>
        <v/>
      </c>
      <c r="G98" s="136">
        <f>IF('01_Вводные'!$B$295="Да",'01_Вводные'!$E$268+('01_Вводные'!$F$268-'01_Вводные'!$E$268)*1/12,'01_Вводные'!$F$268)</f>
        <v/>
      </c>
      <c r="H98" s="136">
        <f>IF('01_Вводные'!$B$295="Да",'01_Вводные'!$E$269+('01_Вводные'!$F$269-'01_Вводные'!$E$269)*1/12,'01_Вводные'!$F$269)</f>
        <v/>
      </c>
      <c r="I98" s="136">
        <f>IF('01_Вводные'!$B$295="Да",'01_Вводные'!$E$270+('01_Вводные'!$F$270-'01_Вводные'!$E$270)*1/12,'01_Вводные'!$F$270)</f>
        <v/>
      </c>
      <c r="J98" s="136">
        <f>IF('01_Вводные'!$B$295="Да",'01_Вводные'!$E$271+('01_Вводные'!$F$271-'01_Вводные'!$E$271)*1/12,'01_Вводные'!$F$271)</f>
        <v/>
      </c>
      <c r="K98" s="136">
        <f>IF('01_Вводные'!$B$295="Да",'01_Вводные'!$E$272+('01_Вводные'!$F$272-'01_Вводные'!$E$272)*1/12,'01_Вводные'!$F$272)</f>
        <v/>
      </c>
      <c r="L98" s="136">
        <f>IF('01_Вводные'!$B$295="Да",'01_Вводные'!$E$273+('01_Вводные'!$F$273-'01_Вводные'!$E$273)*1/12,'01_Вводные'!$F$273)</f>
        <v/>
      </c>
      <c r="M98" s="136">
        <f>IF('01_Вводные'!$B$295="Да",'01_Вводные'!$E$274+('01_Вводные'!$F$274-'01_Вводные'!$E$274)*1/12,'01_Вводные'!$F$274)</f>
        <v/>
      </c>
      <c r="N98" s="136">
        <f>IF('01_Вводные'!$B$295="Да",'01_Вводные'!$E$275+('01_Вводные'!$F$275-'01_Вводные'!$E$275)*1/12,'01_Вводные'!$F$275)</f>
        <v/>
      </c>
      <c r="O98" s="136">
        <f>IF('01_Вводные'!$B$295="Да",'01_Вводные'!$E$276+('01_Вводные'!$F$276-'01_Вводные'!$E$276)*1/12,'01_Вводные'!$F$276)</f>
        <v/>
      </c>
      <c r="P98" s="136">
        <f>IF('01_Вводные'!$B$295="Да",'01_Вводные'!$E$277+('01_Вводные'!$F$277-'01_Вводные'!$E$277)*1/12,'01_Вводные'!$F$277)</f>
        <v/>
      </c>
      <c r="Q98" s="136">
        <f>IF('01_Вводные'!$B$295="Да",'01_Вводные'!$E$278+('01_Вводные'!$F$278-'01_Вводные'!$E$278)*1/12,'01_Вводные'!$F$278)</f>
        <v/>
      </c>
      <c r="R98" s="136">
        <f>IF('01_Вводные'!$B$295="Да",'01_Вводные'!$E$279+('01_Вводные'!$F$279-'01_Вводные'!$E$279)*1/12,'01_Вводные'!$F$279)</f>
        <v/>
      </c>
      <c r="S98" s="136">
        <f>IF('01_Вводные'!$B$295="Да",'01_Вводные'!$E$280+('01_Вводные'!$F$280-'01_Вводные'!$E$280)*1/12,'01_Вводные'!$F$280)</f>
        <v/>
      </c>
      <c r="T98" s="136">
        <f>IF('01_Вводные'!$B$295="Да",'01_Вводные'!$E$281+('01_Вводные'!$F$281-'01_Вводные'!$E$281)*1/12,'01_Вводные'!$F$281)</f>
        <v/>
      </c>
      <c r="U98" s="136">
        <f>IF('01_Вводные'!$B$295="Да",'01_Вводные'!$E$282+('01_Вводные'!$F$282-'01_Вводные'!$E$282)*1/12,'01_Вводные'!$F$282)</f>
        <v/>
      </c>
    </row>
    <row r="99">
      <c r="A99" s="134" t="inlineStr">
        <is>
          <t>14</t>
        </is>
      </c>
      <c r="B99" s="136">
        <f>IF('01_Вводные'!$B$295="Да",'01_Вводные'!$E$263+('01_Вводные'!$F$263-'01_Вводные'!$E$263)*2/12,'01_Вводные'!$F$263)</f>
        <v/>
      </c>
      <c r="C99" s="136">
        <f>IF('01_Вводные'!$B$295="Да",'01_Вводные'!$E$264+('01_Вводные'!$F$264-'01_Вводные'!$E$264)*2/12,'01_Вводные'!$F$264)</f>
        <v/>
      </c>
      <c r="D99" s="136">
        <f>IF('01_Вводные'!$B$295="Да",'01_Вводные'!$E$265+('01_Вводные'!$F$265-'01_Вводные'!$E$265)*2/12,'01_Вводные'!$F$265)</f>
        <v/>
      </c>
      <c r="E99" s="136">
        <f>IF('01_Вводные'!$B$295="Да",'01_Вводные'!$E$266+('01_Вводные'!$F$266-'01_Вводные'!$E$266)*2/12,'01_Вводные'!$F$266)</f>
        <v/>
      </c>
      <c r="F99" s="136">
        <f>IF('01_Вводные'!$B$295="Да",'01_Вводные'!$E$267+('01_Вводные'!$F$267-'01_Вводные'!$E$267)*2/12,'01_Вводные'!$F$267)</f>
        <v/>
      </c>
      <c r="G99" s="136">
        <f>IF('01_Вводные'!$B$295="Да",'01_Вводные'!$E$268+('01_Вводные'!$F$268-'01_Вводные'!$E$268)*2/12,'01_Вводные'!$F$268)</f>
        <v/>
      </c>
      <c r="H99" s="136">
        <f>IF('01_Вводные'!$B$295="Да",'01_Вводные'!$E$269+('01_Вводные'!$F$269-'01_Вводные'!$E$269)*2/12,'01_Вводные'!$F$269)</f>
        <v/>
      </c>
      <c r="I99" s="136">
        <f>IF('01_Вводные'!$B$295="Да",'01_Вводные'!$E$270+('01_Вводные'!$F$270-'01_Вводные'!$E$270)*2/12,'01_Вводные'!$F$270)</f>
        <v/>
      </c>
      <c r="J99" s="136">
        <f>IF('01_Вводные'!$B$295="Да",'01_Вводные'!$E$271+('01_Вводные'!$F$271-'01_Вводные'!$E$271)*2/12,'01_Вводные'!$F$271)</f>
        <v/>
      </c>
      <c r="K99" s="136">
        <f>IF('01_Вводные'!$B$295="Да",'01_Вводные'!$E$272+('01_Вводные'!$F$272-'01_Вводные'!$E$272)*2/12,'01_Вводные'!$F$272)</f>
        <v/>
      </c>
      <c r="L99" s="136">
        <f>IF('01_Вводные'!$B$295="Да",'01_Вводные'!$E$273+('01_Вводные'!$F$273-'01_Вводные'!$E$273)*2/12,'01_Вводные'!$F$273)</f>
        <v/>
      </c>
      <c r="M99" s="136">
        <f>IF('01_Вводные'!$B$295="Да",'01_Вводные'!$E$274+('01_Вводные'!$F$274-'01_Вводные'!$E$274)*2/12,'01_Вводные'!$F$274)</f>
        <v/>
      </c>
      <c r="N99" s="136">
        <f>IF('01_Вводные'!$B$295="Да",'01_Вводные'!$E$275+('01_Вводные'!$F$275-'01_Вводные'!$E$275)*2/12,'01_Вводные'!$F$275)</f>
        <v/>
      </c>
      <c r="O99" s="136">
        <f>IF('01_Вводные'!$B$295="Да",'01_Вводные'!$E$276+('01_Вводные'!$F$276-'01_Вводные'!$E$276)*2/12,'01_Вводные'!$F$276)</f>
        <v/>
      </c>
      <c r="P99" s="136">
        <f>IF('01_Вводные'!$B$295="Да",'01_Вводные'!$E$277+('01_Вводные'!$F$277-'01_Вводные'!$E$277)*2/12,'01_Вводные'!$F$277)</f>
        <v/>
      </c>
      <c r="Q99" s="136">
        <f>IF('01_Вводные'!$B$295="Да",'01_Вводные'!$E$278+('01_Вводные'!$F$278-'01_Вводные'!$E$278)*2/12,'01_Вводные'!$F$278)</f>
        <v/>
      </c>
      <c r="R99" s="136">
        <f>IF('01_Вводные'!$B$295="Да",'01_Вводные'!$E$279+('01_Вводные'!$F$279-'01_Вводные'!$E$279)*2/12,'01_Вводные'!$F$279)</f>
        <v/>
      </c>
      <c r="S99" s="136">
        <f>IF('01_Вводные'!$B$295="Да",'01_Вводные'!$E$280+('01_Вводные'!$F$280-'01_Вводные'!$E$280)*2/12,'01_Вводные'!$F$280)</f>
        <v/>
      </c>
      <c r="T99" s="136">
        <f>IF('01_Вводные'!$B$295="Да",'01_Вводные'!$E$281+('01_Вводные'!$F$281-'01_Вводные'!$E$281)*2/12,'01_Вводные'!$F$281)</f>
        <v/>
      </c>
      <c r="U99" s="136">
        <f>IF('01_Вводные'!$B$295="Да",'01_Вводные'!$E$282+('01_Вводные'!$F$282-'01_Вводные'!$E$282)*2/12,'01_Вводные'!$F$282)</f>
        <v/>
      </c>
    </row>
    <row r="100">
      <c r="A100" s="134" t="inlineStr">
        <is>
          <t>15</t>
        </is>
      </c>
      <c r="B100" s="136">
        <f>IF('01_Вводные'!$B$295="Да",'01_Вводные'!$E$263+('01_Вводные'!$F$263-'01_Вводные'!$E$263)*3/12,'01_Вводные'!$F$263)</f>
        <v/>
      </c>
      <c r="C100" s="136">
        <f>IF('01_Вводные'!$B$295="Да",'01_Вводные'!$E$264+('01_Вводные'!$F$264-'01_Вводные'!$E$264)*3/12,'01_Вводные'!$F$264)</f>
        <v/>
      </c>
      <c r="D100" s="136">
        <f>IF('01_Вводные'!$B$295="Да",'01_Вводные'!$E$265+('01_Вводные'!$F$265-'01_Вводные'!$E$265)*3/12,'01_Вводные'!$F$265)</f>
        <v/>
      </c>
      <c r="E100" s="136">
        <f>IF('01_Вводные'!$B$295="Да",'01_Вводные'!$E$266+('01_Вводные'!$F$266-'01_Вводные'!$E$266)*3/12,'01_Вводные'!$F$266)</f>
        <v/>
      </c>
      <c r="F100" s="136">
        <f>IF('01_Вводные'!$B$295="Да",'01_Вводные'!$E$267+('01_Вводные'!$F$267-'01_Вводные'!$E$267)*3/12,'01_Вводные'!$F$267)</f>
        <v/>
      </c>
      <c r="G100" s="136">
        <f>IF('01_Вводные'!$B$295="Да",'01_Вводные'!$E$268+('01_Вводные'!$F$268-'01_Вводные'!$E$268)*3/12,'01_Вводные'!$F$268)</f>
        <v/>
      </c>
      <c r="H100" s="136">
        <f>IF('01_Вводные'!$B$295="Да",'01_Вводные'!$E$269+('01_Вводные'!$F$269-'01_Вводные'!$E$269)*3/12,'01_Вводные'!$F$269)</f>
        <v/>
      </c>
      <c r="I100" s="136">
        <f>IF('01_Вводные'!$B$295="Да",'01_Вводные'!$E$270+('01_Вводные'!$F$270-'01_Вводные'!$E$270)*3/12,'01_Вводные'!$F$270)</f>
        <v/>
      </c>
      <c r="J100" s="136">
        <f>IF('01_Вводные'!$B$295="Да",'01_Вводные'!$E$271+('01_Вводные'!$F$271-'01_Вводные'!$E$271)*3/12,'01_Вводные'!$F$271)</f>
        <v/>
      </c>
      <c r="K100" s="136">
        <f>IF('01_Вводные'!$B$295="Да",'01_Вводные'!$E$272+('01_Вводные'!$F$272-'01_Вводные'!$E$272)*3/12,'01_Вводные'!$F$272)</f>
        <v/>
      </c>
      <c r="L100" s="136">
        <f>IF('01_Вводные'!$B$295="Да",'01_Вводные'!$E$273+('01_Вводные'!$F$273-'01_Вводные'!$E$273)*3/12,'01_Вводные'!$F$273)</f>
        <v/>
      </c>
      <c r="M100" s="136">
        <f>IF('01_Вводные'!$B$295="Да",'01_Вводные'!$E$274+('01_Вводные'!$F$274-'01_Вводные'!$E$274)*3/12,'01_Вводные'!$F$274)</f>
        <v/>
      </c>
      <c r="N100" s="136">
        <f>IF('01_Вводные'!$B$295="Да",'01_Вводные'!$E$275+('01_Вводные'!$F$275-'01_Вводные'!$E$275)*3/12,'01_Вводные'!$F$275)</f>
        <v/>
      </c>
      <c r="O100" s="136">
        <f>IF('01_Вводные'!$B$295="Да",'01_Вводные'!$E$276+('01_Вводные'!$F$276-'01_Вводные'!$E$276)*3/12,'01_Вводные'!$F$276)</f>
        <v/>
      </c>
      <c r="P100" s="136">
        <f>IF('01_Вводные'!$B$295="Да",'01_Вводные'!$E$277+('01_Вводные'!$F$277-'01_Вводные'!$E$277)*3/12,'01_Вводные'!$F$277)</f>
        <v/>
      </c>
      <c r="Q100" s="136">
        <f>IF('01_Вводные'!$B$295="Да",'01_Вводные'!$E$278+('01_Вводные'!$F$278-'01_Вводные'!$E$278)*3/12,'01_Вводные'!$F$278)</f>
        <v/>
      </c>
      <c r="R100" s="136">
        <f>IF('01_Вводные'!$B$295="Да",'01_Вводные'!$E$279+('01_Вводные'!$F$279-'01_Вводные'!$E$279)*3/12,'01_Вводные'!$F$279)</f>
        <v/>
      </c>
      <c r="S100" s="136">
        <f>IF('01_Вводные'!$B$295="Да",'01_Вводные'!$E$280+('01_Вводные'!$F$280-'01_Вводные'!$E$280)*3/12,'01_Вводные'!$F$280)</f>
        <v/>
      </c>
      <c r="T100" s="136">
        <f>IF('01_Вводные'!$B$295="Да",'01_Вводные'!$E$281+('01_Вводные'!$F$281-'01_Вводные'!$E$281)*3/12,'01_Вводные'!$F$281)</f>
        <v/>
      </c>
      <c r="U100" s="136">
        <f>IF('01_Вводные'!$B$295="Да",'01_Вводные'!$E$282+('01_Вводные'!$F$282-'01_Вводные'!$E$282)*3/12,'01_Вводные'!$F$282)</f>
        <v/>
      </c>
    </row>
    <row r="101">
      <c r="A101" s="134" t="inlineStr">
        <is>
          <t>16</t>
        </is>
      </c>
      <c r="B101" s="136">
        <f>IF('01_Вводные'!$B$295="Да",'01_Вводные'!$E$263+('01_Вводные'!$F$263-'01_Вводные'!$E$263)*4/12,'01_Вводные'!$F$263)</f>
        <v/>
      </c>
      <c r="C101" s="136">
        <f>IF('01_Вводные'!$B$295="Да",'01_Вводные'!$E$264+('01_Вводные'!$F$264-'01_Вводные'!$E$264)*4/12,'01_Вводные'!$F$264)</f>
        <v/>
      </c>
      <c r="D101" s="136">
        <f>IF('01_Вводные'!$B$295="Да",'01_Вводные'!$E$265+('01_Вводные'!$F$265-'01_Вводные'!$E$265)*4/12,'01_Вводные'!$F$265)</f>
        <v/>
      </c>
      <c r="E101" s="136">
        <f>IF('01_Вводные'!$B$295="Да",'01_Вводные'!$E$266+('01_Вводные'!$F$266-'01_Вводные'!$E$266)*4/12,'01_Вводные'!$F$266)</f>
        <v/>
      </c>
      <c r="F101" s="136">
        <f>IF('01_Вводные'!$B$295="Да",'01_Вводные'!$E$267+('01_Вводные'!$F$267-'01_Вводные'!$E$267)*4/12,'01_Вводные'!$F$267)</f>
        <v/>
      </c>
      <c r="G101" s="136">
        <f>IF('01_Вводные'!$B$295="Да",'01_Вводные'!$E$268+('01_Вводные'!$F$268-'01_Вводные'!$E$268)*4/12,'01_Вводные'!$F$268)</f>
        <v/>
      </c>
      <c r="H101" s="136">
        <f>IF('01_Вводные'!$B$295="Да",'01_Вводные'!$E$269+('01_Вводные'!$F$269-'01_Вводные'!$E$269)*4/12,'01_Вводные'!$F$269)</f>
        <v/>
      </c>
      <c r="I101" s="136">
        <f>IF('01_Вводные'!$B$295="Да",'01_Вводные'!$E$270+('01_Вводные'!$F$270-'01_Вводные'!$E$270)*4/12,'01_Вводные'!$F$270)</f>
        <v/>
      </c>
      <c r="J101" s="136">
        <f>IF('01_Вводные'!$B$295="Да",'01_Вводные'!$E$271+('01_Вводные'!$F$271-'01_Вводные'!$E$271)*4/12,'01_Вводные'!$F$271)</f>
        <v/>
      </c>
      <c r="K101" s="136">
        <f>IF('01_Вводные'!$B$295="Да",'01_Вводные'!$E$272+('01_Вводные'!$F$272-'01_Вводные'!$E$272)*4/12,'01_Вводные'!$F$272)</f>
        <v/>
      </c>
      <c r="L101" s="136">
        <f>IF('01_Вводные'!$B$295="Да",'01_Вводные'!$E$273+('01_Вводные'!$F$273-'01_Вводные'!$E$273)*4/12,'01_Вводные'!$F$273)</f>
        <v/>
      </c>
      <c r="M101" s="136">
        <f>IF('01_Вводные'!$B$295="Да",'01_Вводные'!$E$274+('01_Вводные'!$F$274-'01_Вводные'!$E$274)*4/12,'01_Вводные'!$F$274)</f>
        <v/>
      </c>
      <c r="N101" s="136">
        <f>IF('01_Вводные'!$B$295="Да",'01_Вводные'!$E$275+('01_Вводные'!$F$275-'01_Вводные'!$E$275)*4/12,'01_Вводные'!$F$275)</f>
        <v/>
      </c>
      <c r="O101" s="136">
        <f>IF('01_Вводные'!$B$295="Да",'01_Вводные'!$E$276+('01_Вводные'!$F$276-'01_Вводные'!$E$276)*4/12,'01_Вводные'!$F$276)</f>
        <v/>
      </c>
      <c r="P101" s="136">
        <f>IF('01_Вводные'!$B$295="Да",'01_Вводные'!$E$277+('01_Вводные'!$F$277-'01_Вводные'!$E$277)*4/12,'01_Вводные'!$F$277)</f>
        <v/>
      </c>
      <c r="Q101" s="136">
        <f>IF('01_Вводные'!$B$295="Да",'01_Вводные'!$E$278+('01_Вводные'!$F$278-'01_Вводные'!$E$278)*4/12,'01_Вводные'!$F$278)</f>
        <v/>
      </c>
      <c r="R101" s="136">
        <f>IF('01_Вводные'!$B$295="Да",'01_Вводные'!$E$279+('01_Вводные'!$F$279-'01_Вводные'!$E$279)*4/12,'01_Вводные'!$F$279)</f>
        <v/>
      </c>
      <c r="S101" s="136">
        <f>IF('01_Вводные'!$B$295="Да",'01_Вводные'!$E$280+('01_Вводные'!$F$280-'01_Вводные'!$E$280)*4/12,'01_Вводные'!$F$280)</f>
        <v/>
      </c>
      <c r="T101" s="136">
        <f>IF('01_Вводные'!$B$295="Да",'01_Вводные'!$E$281+('01_Вводные'!$F$281-'01_Вводные'!$E$281)*4/12,'01_Вводные'!$F$281)</f>
        <v/>
      </c>
      <c r="U101" s="136">
        <f>IF('01_Вводные'!$B$295="Да",'01_Вводные'!$E$282+('01_Вводные'!$F$282-'01_Вводные'!$E$282)*4/12,'01_Вводные'!$F$282)</f>
        <v/>
      </c>
    </row>
    <row r="102">
      <c r="A102" s="134" t="inlineStr">
        <is>
          <t>17</t>
        </is>
      </c>
      <c r="B102" s="136">
        <f>IF('01_Вводные'!$B$295="Да",'01_Вводные'!$E$263+('01_Вводные'!$F$263-'01_Вводные'!$E$263)*5/12,'01_Вводные'!$F$263)</f>
        <v/>
      </c>
      <c r="C102" s="136">
        <f>IF('01_Вводные'!$B$295="Да",'01_Вводные'!$E$264+('01_Вводные'!$F$264-'01_Вводные'!$E$264)*5/12,'01_Вводные'!$F$264)</f>
        <v/>
      </c>
      <c r="D102" s="136">
        <f>IF('01_Вводные'!$B$295="Да",'01_Вводные'!$E$265+('01_Вводные'!$F$265-'01_Вводные'!$E$265)*5/12,'01_Вводные'!$F$265)</f>
        <v/>
      </c>
      <c r="E102" s="136">
        <f>IF('01_Вводные'!$B$295="Да",'01_Вводные'!$E$266+('01_Вводные'!$F$266-'01_Вводные'!$E$266)*5/12,'01_Вводные'!$F$266)</f>
        <v/>
      </c>
      <c r="F102" s="136">
        <f>IF('01_Вводные'!$B$295="Да",'01_Вводные'!$E$267+('01_Вводные'!$F$267-'01_Вводные'!$E$267)*5/12,'01_Вводные'!$F$267)</f>
        <v/>
      </c>
      <c r="G102" s="136">
        <f>IF('01_Вводные'!$B$295="Да",'01_Вводные'!$E$268+('01_Вводные'!$F$268-'01_Вводные'!$E$268)*5/12,'01_Вводные'!$F$268)</f>
        <v/>
      </c>
      <c r="H102" s="136">
        <f>IF('01_Вводные'!$B$295="Да",'01_Вводные'!$E$269+('01_Вводные'!$F$269-'01_Вводные'!$E$269)*5/12,'01_Вводные'!$F$269)</f>
        <v/>
      </c>
      <c r="I102" s="136">
        <f>IF('01_Вводные'!$B$295="Да",'01_Вводные'!$E$270+('01_Вводные'!$F$270-'01_Вводные'!$E$270)*5/12,'01_Вводные'!$F$270)</f>
        <v/>
      </c>
      <c r="J102" s="136">
        <f>IF('01_Вводные'!$B$295="Да",'01_Вводные'!$E$271+('01_Вводные'!$F$271-'01_Вводные'!$E$271)*5/12,'01_Вводные'!$F$271)</f>
        <v/>
      </c>
      <c r="K102" s="136">
        <f>IF('01_Вводные'!$B$295="Да",'01_Вводные'!$E$272+('01_Вводные'!$F$272-'01_Вводные'!$E$272)*5/12,'01_Вводные'!$F$272)</f>
        <v/>
      </c>
      <c r="L102" s="136">
        <f>IF('01_Вводные'!$B$295="Да",'01_Вводные'!$E$273+('01_Вводные'!$F$273-'01_Вводные'!$E$273)*5/12,'01_Вводные'!$F$273)</f>
        <v/>
      </c>
      <c r="M102" s="136">
        <f>IF('01_Вводные'!$B$295="Да",'01_Вводные'!$E$274+('01_Вводные'!$F$274-'01_Вводные'!$E$274)*5/12,'01_Вводные'!$F$274)</f>
        <v/>
      </c>
      <c r="N102" s="136">
        <f>IF('01_Вводные'!$B$295="Да",'01_Вводные'!$E$275+('01_Вводные'!$F$275-'01_Вводные'!$E$275)*5/12,'01_Вводные'!$F$275)</f>
        <v/>
      </c>
      <c r="O102" s="136">
        <f>IF('01_Вводные'!$B$295="Да",'01_Вводные'!$E$276+('01_Вводные'!$F$276-'01_Вводные'!$E$276)*5/12,'01_Вводные'!$F$276)</f>
        <v/>
      </c>
      <c r="P102" s="136">
        <f>IF('01_Вводные'!$B$295="Да",'01_Вводные'!$E$277+('01_Вводные'!$F$277-'01_Вводные'!$E$277)*5/12,'01_Вводные'!$F$277)</f>
        <v/>
      </c>
      <c r="Q102" s="136">
        <f>IF('01_Вводные'!$B$295="Да",'01_Вводные'!$E$278+('01_Вводные'!$F$278-'01_Вводные'!$E$278)*5/12,'01_Вводные'!$F$278)</f>
        <v/>
      </c>
      <c r="R102" s="136">
        <f>IF('01_Вводные'!$B$295="Да",'01_Вводные'!$E$279+('01_Вводные'!$F$279-'01_Вводные'!$E$279)*5/12,'01_Вводные'!$F$279)</f>
        <v/>
      </c>
      <c r="S102" s="136">
        <f>IF('01_Вводные'!$B$295="Да",'01_Вводные'!$E$280+('01_Вводные'!$F$280-'01_Вводные'!$E$280)*5/12,'01_Вводные'!$F$280)</f>
        <v/>
      </c>
      <c r="T102" s="136">
        <f>IF('01_Вводные'!$B$295="Да",'01_Вводные'!$E$281+('01_Вводные'!$F$281-'01_Вводные'!$E$281)*5/12,'01_Вводные'!$F$281)</f>
        <v/>
      </c>
      <c r="U102" s="136">
        <f>IF('01_Вводные'!$B$295="Да",'01_Вводные'!$E$282+('01_Вводные'!$F$282-'01_Вводные'!$E$282)*5/12,'01_Вводные'!$F$282)</f>
        <v/>
      </c>
    </row>
    <row r="103">
      <c r="A103" s="134" t="inlineStr">
        <is>
          <t>18</t>
        </is>
      </c>
      <c r="B103" s="136">
        <f>IF('01_Вводные'!$B$295="Да",'01_Вводные'!$E$263+('01_Вводные'!$F$263-'01_Вводные'!$E$263)*6/12,'01_Вводные'!$F$263)</f>
        <v/>
      </c>
      <c r="C103" s="136">
        <f>IF('01_Вводные'!$B$295="Да",'01_Вводные'!$E$264+('01_Вводные'!$F$264-'01_Вводные'!$E$264)*6/12,'01_Вводные'!$F$264)</f>
        <v/>
      </c>
      <c r="D103" s="136">
        <f>IF('01_Вводные'!$B$295="Да",'01_Вводные'!$E$265+('01_Вводные'!$F$265-'01_Вводные'!$E$265)*6/12,'01_Вводные'!$F$265)</f>
        <v/>
      </c>
      <c r="E103" s="136">
        <f>IF('01_Вводные'!$B$295="Да",'01_Вводные'!$E$266+('01_Вводные'!$F$266-'01_Вводные'!$E$266)*6/12,'01_Вводные'!$F$266)</f>
        <v/>
      </c>
      <c r="F103" s="136">
        <f>IF('01_Вводные'!$B$295="Да",'01_Вводные'!$E$267+('01_Вводные'!$F$267-'01_Вводные'!$E$267)*6/12,'01_Вводные'!$F$267)</f>
        <v/>
      </c>
      <c r="G103" s="136">
        <f>IF('01_Вводные'!$B$295="Да",'01_Вводные'!$E$268+('01_Вводные'!$F$268-'01_Вводные'!$E$268)*6/12,'01_Вводные'!$F$268)</f>
        <v/>
      </c>
      <c r="H103" s="136">
        <f>IF('01_Вводные'!$B$295="Да",'01_Вводные'!$E$269+('01_Вводные'!$F$269-'01_Вводные'!$E$269)*6/12,'01_Вводные'!$F$269)</f>
        <v/>
      </c>
      <c r="I103" s="136">
        <f>IF('01_Вводные'!$B$295="Да",'01_Вводные'!$E$270+('01_Вводные'!$F$270-'01_Вводные'!$E$270)*6/12,'01_Вводные'!$F$270)</f>
        <v/>
      </c>
      <c r="J103" s="136">
        <f>IF('01_Вводные'!$B$295="Да",'01_Вводные'!$E$271+('01_Вводные'!$F$271-'01_Вводные'!$E$271)*6/12,'01_Вводные'!$F$271)</f>
        <v/>
      </c>
      <c r="K103" s="136">
        <f>IF('01_Вводные'!$B$295="Да",'01_Вводные'!$E$272+('01_Вводные'!$F$272-'01_Вводные'!$E$272)*6/12,'01_Вводные'!$F$272)</f>
        <v/>
      </c>
      <c r="L103" s="136">
        <f>IF('01_Вводные'!$B$295="Да",'01_Вводные'!$E$273+('01_Вводные'!$F$273-'01_Вводные'!$E$273)*6/12,'01_Вводные'!$F$273)</f>
        <v/>
      </c>
      <c r="M103" s="136">
        <f>IF('01_Вводные'!$B$295="Да",'01_Вводные'!$E$274+('01_Вводные'!$F$274-'01_Вводные'!$E$274)*6/12,'01_Вводные'!$F$274)</f>
        <v/>
      </c>
      <c r="N103" s="136">
        <f>IF('01_Вводные'!$B$295="Да",'01_Вводные'!$E$275+('01_Вводные'!$F$275-'01_Вводные'!$E$275)*6/12,'01_Вводные'!$F$275)</f>
        <v/>
      </c>
      <c r="O103" s="136">
        <f>IF('01_Вводные'!$B$295="Да",'01_Вводные'!$E$276+('01_Вводные'!$F$276-'01_Вводные'!$E$276)*6/12,'01_Вводные'!$F$276)</f>
        <v/>
      </c>
      <c r="P103" s="136">
        <f>IF('01_Вводные'!$B$295="Да",'01_Вводные'!$E$277+('01_Вводные'!$F$277-'01_Вводные'!$E$277)*6/12,'01_Вводные'!$F$277)</f>
        <v/>
      </c>
      <c r="Q103" s="136">
        <f>IF('01_Вводные'!$B$295="Да",'01_Вводные'!$E$278+('01_Вводные'!$F$278-'01_Вводные'!$E$278)*6/12,'01_Вводные'!$F$278)</f>
        <v/>
      </c>
      <c r="R103" s="136">
        <f>IF('01_Вводные'!$B$295="Да",'01_Вводные'!$E$279+('01_Вводные'!$F$279-'01_Вводные'!$E$279)*6/12,'01_Вводные'!$F$279)</f>
        <v/>
      </c>
      <c r="S103" s="136">
        <f>IF('01_Вводные'!$B$295="Да",'01_Вводные'!$E$280+('01_Вводные'!$F$280-'01_Вводные'!$E$280)*6/12,'01_Вводные'!$F$280)</f>
        <v/>
      </c>
      <c r="T103" s="136">
        <f>IF('01_Вводные'!$B$295="Да",'01_Вводные'!$E$281+('01_Вводные'!$F$281-'01_Вводные'!$E$281)*6/12,'01_Вводные'!$F$281)</f>
        <v/>
      </c>
      <c r="U103" s="136">
        <f>IF('01_Вводные'!$B$295="Да",'01_Вводные'!$E$282+('01_Вводные'!$F$282-'01_Вводные'!$E$282)*6/12,'01_Вводные'!$F$282)</f>
        <v/>
      </c>
    </row>
    <row r="104">
      <c r="A104" s="134" t="inlineStr">
        <is>
          <t>19</t>
        </is>
      </c>
      <c r="B104" s="136">
        <f>IF('01_Вводные'!$B$295="Да",'01_Вводные'!$E$263+('01_Вводные'!$F$263-'01_Вводные'!$E$263)*7/12,'01_Вводные'!$F$263)</f>
        <v/>
      </c>
      <c r="C104" s="136">
        <f>IF('01_Вводные'!$B$295="Да",'01_Вводные'!$E$264+('01_Вводные'!$F$264-'01_Вводные'!$E$264)*7/12,'01_Вводные'!$F$264)</f>
        <v/>
      </c>
      <c r="D104" s="136">
        <f>IF('01_Вводные'!$B$295="Да",'01_Вводные'!$E$265+('01_Вводные'!$F$265-'01_Вводные'!$E$265)*7/12,'01_Вводные'!$F$265)</f>
        <v/>
      </c>
      <c r="E104" s="136">
        <f>IF('01_Вводные'!$B$295="Да",'01_Вводные'!$E$266+('01_Вводные'!$F$266-'01_Вводные'!$E$266)*7/12,'01_Вводные'!$F$266)</f>
        <v/>
      </c>
      <c r="F104" s="136">
        <f>IF('01_Вводные'!$B$295="Да",'01_Вводные'!$E$267+('01_Вводные'!$F$267-'01_Вводные'!$E$267)*7/12,'01_Вводные'!$F$267)</f>
        <v/>
      </c>
      <c r="G104" s="136">
        <f>IF('01_Вводные'!$B$295="Да",'01_Вводные'!$E$268+('01_Вводные'!$F$268-'01_Вводные'!$E$268)*7/12,'01_Вводные'!$F$268)</f>
        <v/>
      </c>
      <c r="H104" s="136">
        <f>IF('01_Вводные'!$B$295="Да",'01_Вводные'!$E$269+('01_Вводные'!$F$269-'01_Вводные'!$E$269)*7/12,'01_Вводные'!$F$269)</f>
        <v/>
      </c>
      <c r="I104" s="136">
        <f>IF('01_Вводные'!$B$295="Да",'01_Вводные'!$E$270+('01_Вводные'!$F$270-'01_Вводные'!$E$270)*7/12,'01_Вводные'!$F$270)</f>
        <v/>
      </c>
      <c r="J104" s="136">
        <f>IF('01_Вводные'!$B$295="Да",'01_Вводные'!$E$271+('01_Вводные'!$F$271-'01_Вводные'!$E$271)*7/12,'01_Вводные'!$F$271)</f>
        <v/>
      </c>
      <c r="K104" s="136">
        <f>IF('01_Вводные'!$B$295="Да",'01_Вводные'!$E$272+('01_Вводные'!$F$272-'01_Вводные'!$E$272)*7/12,'01_Вводные'!$F$272)</f>
        <v/>
      </c>
      <c r="L104" s="136">
        <f>IF('01_Вводные'!$B$295="Да",'01_Вводные'!$E$273+('01_Вводные'!$F$273-'01_Вводные'!$E$273)*7/12,'01_Вводные'!$F$273)</f>
        <v/>
      </c>
      <c r="M104" s="136">
        <f>IF('01_Вводные'!$B$295="Да",'01_Вводные'!$E$274+('01_Вводные'!$F$274-'01_Вводные'!$E$274)*7/12,'01_Вводные'!$F$274)</f>
        <v/>
      </c>
      <c r="N104" s="136">
        <f>IF('01_Вводные'!$B$295="Да",'01_Вводные'!$E$275+('01_Вводные'!$F$275-'01_Вводные'!$E$275)*7/12,'01_Вводные'!$F$275)</f>
        <v/>
      </c>
      <c r="O104" s="136">
        <f>IF('01_Вводные'!$B$295="Да",'01_Вводные'!$E$276+('01_Вводные'!$F$276-'01_Вводные'!$E$276)*7/12,'01_Вводные'!$F$276)</f>
        <v/>
      </c>
      <c r="P104" s="136">
        <f>IF('01_Вводные'!$B$295="Да",'01_Вводные'!$E$277+('01_Вводные'!$F$277-'01_Вводные'!$E$277)*7/12,'01_Вводные'!$F$277)</f>
        <v/>
      </c>
      <c r="Q104" s="136">
        <f>IF('01_Вводные'!$B$295="Да",'01_Вводные'!$E$278+('01_Вводные'!$F$278-'01_Вводные'!$E$278)*7/12,'01_Вводные'!$F$278)</f>
        <v/>
      </c>
      <c r="R104" s="136">
        <f>IF('01_Вводные'!$B$295="Да",'01_Вводные'!$E$279+('01_Вводные'!$F$279-'01_Вводные'!$E$279)*7/12,'01_Вводные'!$F$279)</f>
        <v/>
      </c>
      <c r="S104" s="136">
        <f>IF('01_Вводные'!$B$295="Да",'01_Вводные'!$E$280+('01_Вводные'!$F$280-'01_Вводные'!$E$280)*7/12,'01_Вводные'!$F$280)</f>
        <v/>
      </c>
      <c r="T104" s="136">
        <f>IF('01_Вводные'!$B$295="Да",'01_Вводные'!$E$281+('01_Вводные'!$F$281-'01_Вводные'!$E$281)*7/12,'01_Вводные'!$F$281)</f>
        <v/>
      </c>
      <c r="U104" s="136">
        <f>IF('01_Вводные'!$B$295="Да",'01_Вводные'!$E$282+('01_Вводные'!$F$282-'01_Вводные'!$E$282)*7/12,'01_Вводные'!$F$282)</f>
        <v/>
      </c>
    </row>
    <row r="105">
      <c r="A105" s="134" t="inlineStr">
        <is>
          <t>20</t>
        </is>
      </c>
      <c r="B105" s="136">
        <f>IF('01_Вводные'!$B$295="Да",'01_Вводные'!$E$263+('01_Вводные'!$F$263-'01_Вводные'!$E$263)*8/12,'01_Вводные'!$F$263)</f>
        <v/>
      </c>
      <c r="C105" s="136">
        <f>IF('01_Вводные'!$B$295="Да",'01_Вводные'!$E$264+('01_Вводные'!$F$264-'01_Вводные'!$E$264)*8/12,'01_Вводные'!$F$264)</f>
        <v/>
      </c>
      <c r="D105" s="136">
        <f>IF('01_Вводные'!$B$295="Да",'01_Вводные'!$E$265+('01_Вводные'!$F$265-'01_Вводные'!$E$265)*8/12,'01_Вводные'!$F$265)</f>
        <v/>
      </c>
      <c r="E105" s="136">
        <f>IF('01_Вводные'!$B$295="Да",'01_Вводные'!$E$266+('01_Вводные'!$F$266-'01_Вводные'!$E$266)*8/12,'01_Вводные'!$F$266)</f>
        <v/>
      </c>
      <c r="F105" s="136">
        <f>IF('01_Вводные'!$B$295="Да",'01_Вводные'!$E$267+('01_Вводные'!$F$267-'01_Вводные'!$E$267)*8/12,'01_Вводные'!$F$267)</f>
        <v/>
      </c>
      <c r="G105" s="136">
        <f>IF('01_Вводные'!$B$295="Да",'01_Вводные'!$E$268+('01_Вводные'!$F$268-'01_Вводные'!$E$268)*8/12,'01_Вводные'!$F$268)</f>
        <v/>
      </c>
      <c r="H105" s="136">
        <f>IF('01_Вводные'!$B$295="Да",'01_Вводные'!$E$269+('01_Вводные'!$F$269-'01_Вводные'!$E$269)*8/12,'01_Вводные'!$F$269)</f>
        <v/>
      </c>
      <c r="I105" s="136">
        <f>IF('01_Вводные'!$B$295="Да",'01_Вводные'!$E$270+('01_Вводные'!$F$270-'01_Вводные'!$E$270)*8/12,'01_Вводные'!$F$270)</f>
        <v/>
      </c>
      <c r="J105" s="136">
        <f>IF('01_Вводные'!$B$295="Да",'01_Вводные'!$E$271+('01_Вводные'!$F$271-'01_Вводные'!$E$271)*8/12,'01_Вводные'!$F$271)</f>
        <v/>
      </c>
      <c r="K105" s="136">
        <f>IF('01_Вводные'!$B$295="Да",'01_Вводные'!$E$272+('01_Вводные'!$F$272-'01_Вводные'!$E$272)*8/12,'01_Вводные'!$F$272)</f>
        <v/>
      </c>
      <c r="L105" s="136">
        <f>IF('01_Вводные'!$B$295="Да",'01_Вводные'!$E$273+('01_Вводные'!$F$273-'01_Вводные'!$E$273)*8/12,'01_Вводные'!$F$273)</f>
        <v/>
      </c>
      <c r="M105" s="136">
        <f>IF('01_Вводные'!$B$295="Да",'01_Вводные'!$E$274+('01_Вводные'!$F$274-'01_Вводные'!$E$274)*8/12,'01_Вводные'!$F$274)</f>
        <v/>
      </c>
      <c r="N105" s="136">
        <f>IF('01_Вводные'!$B$295="Да",'01_Вводные'!$E$275+('01_Вводные'!$F$275-'01_Вводные'!$E$275)*8/12,'01_Вводные'!$F$275)</f>
        <v/>
      </c>
      <c r="O105" s="136">
        <f>IF('01_Вводные'!$B$295="Да",'01_Вводные'!$E$276+('01_Вводные'!$F$276-'01_Вводные'!$E$276)*8/12,'01_Вводные'!$F$276)</f>
        <v/>
      </c>
      <c r="P105" s="136">
        <f>IF('01_Вводные'!$B$295="Да",'01_Вводные'!$E$277+('01_Вводные'!$F$277-'01_Вводные'!$E$277)*8/12,'01_Вводные'!$F$277)</f>
        <v/>
      </c>
      <c r="Q105" s="136">
        <f>IF('01_Вводные'!$B$295="Да",'01_Вводные'!$E$278+('01_Вводные'!$F$278-'01_Вводные'!$E$278)*8/12,'01_Вводные'!$F$278)</f>
        <v/>
      </c>
      <c r="R105" s="136">
        <f>IF('01_Вводные'!$B$295="Да",'01_Вводные'!$E$279+('01_Вводные'!$F$279-'01_Вводные'!$E$279)*8/12,'01_Вводные'!$F$279)</f>
        <v/>
      </c>
      <c r="S105" s="136">
        <f>IF('01_Вводные'!$B$295="Да",'01_Вводные'!$E$280+('01_Вводные'!$F$280-'01_Вводные'!$E$280)*8/12,'01_Вводные'!$F$280)</f>
        <v/>
      </c>
      <c r="T105" s="136">
        <f>IF('01_Вводные'!$B$295="Да",'01_Вводные'!$E$281+('01_Вводные'!$F$281-'01_Вводные'!$E$281)*8/12,'01_Вводные'!$F$281)</f>
        <v/>
      </c>
      <c r="U105" s="136">
        <f>IF('01_Вводные'!$B$295="Да",'01_Вводные'!$E$282+('01_Вводные'!$F$282-'01_Вводные'!$E$282)*8/12,'01_Вводные'!$F$282)</f>
        <v/>
      </c>
    </row>
    <row r="106">
      <c r="A106" s="134" t="inlineStr">
        <is>
          <t>21</t>
        </is>
      </c>
      <c r="B106" s="136">
        <f>IF('01_Вводные'!$B$295="Да",'01_Вводные'!$E$263+('01_Вводные'!$F$263-'01_Вводные'!$E$263)*9/12,'01_Вводные'!$F$263)</f>
        <v/>
      </c>
      <c r="C106" s="136">
        <f>IF('01_Вводные'!$B$295="Да",'01_Вводные'!$E$264+('01_Вводные'!$F$264-'01_Вводные'!$E$264)*9/12,'01_Вводные'!$F$264)</f>
        <v/>
      </c>
      <c r="D106" s="136">
        <f>IF('01_Вводные'!$B$295="Да",'01_Вводные'!$E$265+('01_Вводные'!$F$265-'01_Вводные'!$E$265)*9/12,'01_Вводные'!$F$265)</f>
        <v/>
      </c>
      <c r="E106" s="136">
        <f>IF('01_Вводные'!$B$295="Да",'01_Вводные'!$E$266+('01_Вводные'!$F$266-'01_Вводные'!$E$266)*9/12,'01_Вводные'!$F$266)</f>
        <v/>
      </c>
      <c r="F106" s="136">
        <f>IF('01_Вводные'!$B$295="Да",'01_Вводные'!$E$267+('01_Вводные'!$F$267-'01_Вводные'!$E$267)*9/12,'01_Вводные'!$F$267)</f>
        <v/>
      </c>
      <c r="G106" s="136">
        <f>IF('01_Вводные'!$B$295="Да",'01_Вводные'!$E$268+('01_Вводные'!$F$268-'01_Вводные'!$E$268)*9/12,'01_Вводные'!$F$268)</f>
        <v/>
      </c>
      <c r="H106" s="136">
        <f>IF('01_Вводные'!$B$295="Да",'01_Вводные'!$E$269+('01_Вводные'!$F$269-'01_Вводные'!$E$269)*9/12,'01_Вводные'!$F$269)</f>
        <v/>
      </c>
      <c r="I106" s="136">
        <f>IF('01_Вводные'!$B$295="Да",'01_Вводные'!$E$270+('01_Вводные'!$F$270-'01_Вводные'!$E$270)*9/12,'01_Вводные'!$F$270)</f>
        <v/>
      </c>
      <c r="J106" s="136">
        <f>IF('01_Вводные'!$B$295="Да",'01_Вводные'!$E$271+('01_Вводные'!$F$271-'01_Вводные'!$E$271)*9/12,'01_Вводные'!$F$271)</f>
        <v/>
      </c>
      <c r="K106" s="136">
        <f>IF('01_Вводные'!$B$295="Да",'01_Вводные'!$E$272+('01_Вводные'!$F$272-'01_Вводные'!$E$272)*9/12,'01_Вводные'!$F$272)</f>
        <v/>
      </c>
      <c r="L106" s="136">
        <f>IF('01_Вводные'!$B$295="Да",'01_Вводные'!$E$273+('01_Вводные'!$F$273-'01_Вводные'!$E$273)*9/12,'01_Вводные'!$F$273)</f>
        <v/>
      </c>
      <c r="M106" s="136">
        <f>IF('01_Вводные'!$B$295="Да",'01_Вводные'!$E$274+('01_Вводные'!$F$274-'01_Вводные'!$E$274)*9/12,'01_Вводные'!$F$274)</f>
        <v/>
      </c>
      <c r="N106" s="136">
        <f>IF('01_Вводные'!$B$295="Да",'01_Вводные'!$E$275+('01_Вводные'!$F$275-'01_Вводные'!$E$275)*9/12,'01_Вводные'!$F$275)</f>
        <v/>
      </c>
      <c r="O106" s="136">
        <f>IF('01_Вводные'!$B$295="Да",'01_Вводные'!$E$276+('01_Вводные'!$F$276-'01_Вводные'!$E$276)*9/12,'01_Вводные'!$F$276)</f>
        <v/>
      </c>
      <c r="P106" s="136">
        <f>IF('01_Вводные'!$B$295="Да",'01_Вводные'!$E$277+('01_Вводные'!$F$277-'01_Вводные'!$E$277)*9/12,'01_Вводные'!$F$277)</f>
        <v/>
      </c>
      <c r="Q106" s="136">
        <f>IF('01_Вводные'!$B$295="Да",'01_Вводные'!$E$278+('01_Вводные'!$F$278-'01_Вводные'!$E$278)*9/12,'01_Вводные'!$F$278)</f>
        <v/>
      </c>
      <c r="R106" s="136">
        <f>IF('01_Вводные'!$B$295="Да",'01_Вводные'!$E$279+('01_Вводные'!$F$279-'01_Вводные'!$E$279)*9/12,'01_Вводные'!$F$279)</f>
        <v/>
      </c>
      <c r="S106" s="136">
        <f>IF('01_Вводные'!$B$295="Да",'01_Вводные'!$E$280+('01_Вводные'!$F$280-'01_Вводные'!$E$280)*9/12,'01_Вводные'!$F$280)</f>
        <v/>
      </c>
      <c r="T106" s="136">
        <f>IF('01_Вводные'!$B$295="Да",'01_Вводные'!$E$281+('01_Вводные'!$F$281-'01_Вводные'!$E$281)*9/12,'01_Вводные'!$F$281)</f>
        <v/>
      </c>
      <c r="U106" s="136">
        <f>IF('01_Вводные'!$B$295="Да",'01_Вводные'!$E$282+('01_Вводные'!$F$282-'01_Вводные'!$E$282)*9/12,'01_Вводные'!$F$282)</f>
        <v/>
      </c>
    </row>
    <row r="107">
      <c r="A107" s="134" t="inlineStr">
        <is>
          <t>22</t>
        </is>
      </c>
      <c r="B107" s="136">
        <f>IF('01_Вводные'!$B$295="Да",'01_Вводные'!$E$263+('01_Вводные'!$F$263-'01_Вводные'!$E$263)*10/12,'01_Вводные'!$F$263)</f>
        <v/>
      </c>
      <c r="C107" s="136">
        <f>IF('01_Вводные'!$B$295="Да",'01_Вводные'!$E$264+('01_Вводные'!$F$264-'01_Вводные'!$E$264)*10/12,'01_Вводные'!$F$264)</f>
        <v/>
      </c>
      <c r="D107" s="136">
        <f>IF('01_Вводные'!$B$295="Да",'01_Вводные'!$E$265+('01_Вводные'!$F$265-'01_Вводные'!$E$265)*10/12,'01_Вводные'!$F$265)</f>
        <v/>
      </c>
      <c r="E107" s="136">
        <f>IF('01_Вводные'!$B$295="Да",'01_Вводные'!$E$266+('01_Вводные'!$F$266-'01_Вводные'!$E$266)*10/12,'01_Вводные'!$F$266)</f>
        <v/>
      </c>
      <c r="F107" s="136">
        <f>IF('01_Вводные'!$B$295="Да",'01_Вводные'!$E$267+('01_Вводные'!$F$267-'01_Вводные'!$E$267)*10/12,'01_Вводные'!$F$267)</f>
        <v/>
      </c>
      <c r="G107" s="136">
        <f>IF('01_Вводные'!$B$295="Да",'01_Вводные'!$E$268+('01_Вводные'!$F$268-'01_Вводные'!$E$268)*10/12,'01_Вводные'!$F$268)</f>
        <v/>
      </c>
      <c r="H107" s="136">
        <f>IF('01_Вводные'!$B$295="Да",'01_Вводные'!$E$269+('01_Вводные'!$F$269-'01_Вводные'!$E$269)*10/12,'01_Вводные'!$F$269)</f>
        <v/>
      </c>
      <c r="I107" s="136">
        <f>IF('01_Вводные'!$B$295="Да",'01_Вводные'!$E$270+('01_Вводные'!$F$270-'01_Вводные'!$E$270)*10/12,'01_Вводные'!$F$270)</f>
        <v/>
      </c>
      <c r="J107" s="136">
        <f>IF('01_Вводные'!$B$295="Да",'01_Вводные'!$E$271+('01_Вводные'!$F$271-'01_Вводные'!$E$271)*10/12,'01_Вводные'!$F$271)</f>
        <v/>
      </c>
      <c r="K107" s="136">
        <f>IF('01_Вводные'!$B$295="Да",'01_Вводные'!$E$272+('01_Вводные'!$F$272-'01_Вводные'!$E$272)*10/12,'01_Вводные'!$F$272)</f>
        <v/>
      </c>
      <c r="L107" s="136">
        <f>IF('01_Вводные'!$B$295="Да",'01_Вводные'!$E$273+('01_Вводные'!$F$273-'01_Вводные'!$E$273)*10/12,'01_Вводные'!$F$273)</f>
        <v/>
      </c>
      <c r="M107" s="136">
        <f>IF('01_Вводные'!$B$295="Да",'01_Вводные'!$E$274+('01_Вводные'!$F$274-'01_Вводные'!$E$274)*10/12,'01_Вводные'!$F$274)</f>
        <v/>
      </c>
      <c r="N107" s="136">
        <f>IF('01_Вводные'!$B$295="Да",'01_Вводные'!$E$275+('01_Вводные'!$F$275-'01_Вводные'!$E$275)*10/12,'01_Вводные'!$F$275)</f>
        <v/>
      </c>
      <c r="O107" s="136">
        <f>IF('01_Вводные'!$B$295="Да",'01_Вводные'!$E$276+('01_Вводные'!$F$276-'01_Вводные'!$E$276)*10/12,'01_Вводные'!$F$276)</f>
        <v/>
      </c>
      <c r="P107" s="136">
        <f>IF('01_Вводные'!$B$295="Да",'01_Вводные'!$E$277+('01_Вводные'!$F$277-'01_Вводные'!$E$277)*10/12,'01_Вводные'!$F$277)</f>
        <v/>
      </c>
      <c r="Q107" s="136">
        <f>IF('01_Вводные'!$B$295="Да",'01_Вводные'!$E$278+('01_Вводные'!$F$278-'01_Вводные'!$E$278)*10/12,'01_Вводные'!$F$278)</f>
        <v/>
      </c>
      <c r="R107" s="136">
        <f>IF('01_Вводные'!$B$295="Да",'01_Вводные'!$E$279+('01_Вводные'!$F$279-'01_Вводные'!$E$279)*10/12,'01_Вводные'!$F$279)</f>
        <v/>
      </c>
      <c r="S107" s="136">
        <f>IF('01_Вводные'!$B$295="Да",'01_Вводные'!$E$280+('01_Вводные'!$F$280-'01_Вводные'!$E$280)*10/12,'01_Вводные'!$F$280)</f>
        <v/>
      </c>
      <c r="T107" s="136">
        <f>IF('01_Вводные'!$B$295="Да",'01_Вводные'!$E$281+('01_Вводные'!$F$281-'01_Вводные'!$E$281)*10/12,'01_Вводные'!$F$281)</f>
        <v/>
      </c>
      <c r="U107" s="136">
        <f>IF('01_Вводные'!$B$295="Да",'01_Вводные'!$E$282+('01_Вводные'!$F$282-'01_Вводные'!$E$282)*10/12,'01_Вводные'!$F$282)</f>
        <v/>
      </c>
    </row>
    <row r="108">
      <c r="A108" s="134" t="inlineStr">
        <is>
          <t>23</t>
        </is>
      </c>
      <c r="B108" s="136">
        <f>IF('01_Вводные'!$B$295="Да",'01_Вводные'!$E$263+('01_Вводные'!$F$263-'01_Вводные'!$E$263)*11/12,'01_Вводные'!$F$263)</f>
        <v/>
      </c>
      <c r="C108" s="136">
        <f>IF('01_Вводные'!$B$295="Да",'01_Вводные'!$E$264+('01_Вводные'!$F$264-'01_Вводные'!$E$264)*11/12,'01_Вводные'!$F$264)</f>
        <v/>
      </c>
      <c r="D108" s="136">
        <f>IF('01_Вводные'!$B$295="Да",'01_Вводные'!$E$265+('01_Вводные'!$F$265-'01_Вводные'!$E$265)*11/12,'01_Вводные'!$F$265)</f>
        <v/>
      </c>
      <c r="E108" s="136">
        <f>IF('01_Вводные'!$B$295="Да",'01_Вводные'!$E$266+('01_Вводные'!$F$266-'01_Вводные'!$E$266)*11/12,'01_Вводные'!$F$266)</f>
        <v/>
      </c>
      <c r="F108" s="136">
        <f>IF('01_Вводные'!$B$295="Да",'01_Вводные'!$E$267+('01_Вводные'!$F$267-'01_Вводные'!$E$267)*11/12,'01_Вводные'!$F$267)</f>
        <v/>
      </c>
      <c r="G108" s="136">
        <f>IF('01_Вводные'!$B$295="Да",'01_Вводные'!$E$268+('01_Вводные'!$F$268-'01_Вводные'!$E$268)*11/12,'01_Вводные'!$F$268)</f>
        <v/>
      </c>
      <c r="H108" s="136">
        <f>IF('01_Вводные'!$B$295="Да",'01_Вводные'!$E$269+('01_Вводные'!$F$269-'01_Вводные'!$E$269)*11/12,'01_Вводные'!$F$269)</f>
        <v/>
      </c>
      <c r="I108" s="136">
        <f>IF('01_Вводные'!$B$295="Да",'01_Вводные'!$E$270+('01_Вводные'!$F$270-'01_Вводные'!$E$270)*11/12,'01_Вводные'!$F$270)</f>
        <v/>
      </c>
      <c r="J108" s="136">
        <f>IF('01_Вводные'!$B$295="Да",'01_Вводные'!$E$271+('01_Вводные'!$F$271-'01_Вводные'!$E$271)*11/12,'01_Вводные'!$F$271)</f>
        <v/>
      </c>
      <c r="K108" s="136">
        <f>IF('01_Вводные'!$B$295="Да",'01_Вводные'!$E$272+('01_Вводные'!$F$272-'01_Вводные'!$E$272)*11/12,'01_Вводные'!$F$272)</f>
        <v/>
      </c>
      <c r="L108" s="136">
        <f>IF('01_Вводные'!$B$295="Да",'01_Вводные'!$E$273+('01_Вводные'!$F$273-'01_Вводные'!$E$273)*11/12,'01_Вводные'!$F$273)</f>
        <v/>
      </c>
      <c r="M108" s="136">
        <f>IF('01_Вводные'!$B$295="Да",'01_Вводные'!$E$274+('01_Вводные'!$F$274-'01_Вводные'!$E$274)*11/12,'01_Вводные'!$F$274)</f>
        <v/>
      </c>
      <c r="N108" s="136">
        <f>IF('01_Вводные'!$B$295="Да",'01_Вводные'!$E$275+('01_Вводные'!$F$275-'01_Вводные'!$E$275)*11/12,'01_Вводные'!$F$275)</f>
        <v/>
      </c>
      <c r="O108" s="136">
        <f>IF('01_Вводные'!$B$295="Да",'01_Вводные'!$E$276+('01_Вводные'!$F$276-'01_Вводные'!$E$276)*11/12,'01_Вводные'!$F$276)</f>
        <v/>
      </c>
      <c r="P108" s="136">
        <f>IF('01_Вводные'!$B$295="Да",'01_Вводные'!$E$277+('01_Вводные'!$F$277-'01_Вводные'!$E$277)*11/12,'01_Вводные'!$F$277)</f>
        <v/>
      </c>
      <c r="Q108" s="136">
        <f>IF('01_Вводные'!$B$295="Да",'01_Вводные'!$E$278+('01_Вводные'!$F$278-'01_Вводные'!$E$278)*11/12,'01_Вводные'!$F$278)</f>
        <v/>
      </c>
      <c r="R108" s="136">
        <f>IF('01_Вводные'!$B$295="Да",'01_Вводные'!$E$279+('01_Вводные'!$F$279-'01_Вводные'!$E$279)*11/12,'01_Вводные'!$F$279)</f>
        <v/>
      </c>
      <c r="S108" s="136">
        <f>IF('01_Вводные'!$B$295="Да",'01_Вводные'!$E$280+('01_Вводные'!$F$280-'01_Вводные'!$E$280)*11/12,'01_Вводные'!$F$280)</f>
        <v/>
      </c>
      <c r="T108" s="136">
        <f>IF('01_Вводные'!$B$295="Да",'01_Вводные'!$E$281+('01_Вводные'!$F$281-'01_Вводные'!$E$281)*11/12,'01_Вводные'!$F$281)</f>
        <v/>
      </c>
      <c r="U108" s="136">
        <f>IF('01_Вводные'!$B$295="Да",'01_Вводные'!$E$282+('01_Вводные'!$F$282-'01_Вводные'!$E$282)*11/12,'01_Вводные'!$F$282)</f>
        <v/>
      </c>
    </row>
    <row r="109">
      <c r="A109" s="134" t="inlineStr">
        <is>
          <t>24</t>
        </is>
      </c>
      <c r="B109" s="136">
        <f>IF('01_Вводные'!$B$295="Да",'01_Вводные'!$E$263+('01_Вводные'!$F$263-'01_Вводные'!$E$263)*12/12,'01_Вводные'!$F$263)</f>
        <v/>
      </c>
      <c r="C109" s="136">
        <f>IF('01_Вводные'!$B$295="Да",'01_Вводные'!$E$264+('01_Вводные'!$F$264-'01_Вводные'!$E$264)*12/12,'01_Вводные'!$F$264)</f>
        <v/>
      </c>
      <c r="D109" s="136">
        <f>IF('01_Вводные'!$B$295="Да",'01_Вводные'!$E$265+('01_Вводные'!$F$265-'01_Вводные'!$E$265)*12/12,'01_Вводные'!$F$265)</f>
        <v/>
      </c>
      <c r="E109" s="136">
        <f>IF('01_Вводные'!$B$295="Да",'01_Вводные'!$E$266+('01_Вводные'!$F$266-'01_Вводные'!$E$266)*12/12,'01_Вводные'!$F$266)</f>
        <v/>
      </c>
      <c r="F109" s="136">
        <f>IF('01_Вводные'!$B$295="Да",'01_Вводные'!$E$267+('01_Вводные'!$F$267-'01_Вводные'!$E$267)*12/12,'01_Вводные'!$F$267)</f>
        <v/>
      </c>
      <c r="G109" s="136">
        <f>IF('01_Вводные'!$B$295="Да",'01_Вводные'!$E$268+('01_Вводные'!$F$268-'01_Вводные'!$E$268)*12/12,'01_Вводные'!$F$268)</f>
        <v/>
      </c>
      <c r="H109" s="136">
        <f>IF('01_Вводные'!$B$295="Да",'01_Вводные'!$E$269+('01_Вводные'!$F$269-'01_Вводные'!$E$269)*12/12,'01_Вводные'!$F$269)</f>
        <v/>
      </c>
      <c r="I109" s="136">
        <f>IF('01_Вводные'!$B$295="Да",'01_Вводные'!$E$270+('01_Вводные'!$F$270-'01_Вводные'!$E$270)*12/12,'01_Вводные'!$F$270)</f>
        <v/>
      </c>
      <c r="J109" s="136">
        <f>IF('01_Вводные'!$B$295="Да",'01_Вводные'!$E$271+('01_Вводные'!$F$271-'01_Вводные'!$E$271)*12/12,'01_Вводные'!$F$271)</f>
        <v/>
      </c>
      <c r="K109" s="136">
        <f>IF('01_Вводные'!$B$295="Да",'01_Вводные'!$E$272+('01_Вводные'!$F$272-'01_Вводные'!$E$272)*12/12,'01_Вводные'!$F$272)</f>
        <v/>
      </c>
      <c r="L109" s="136">
        <f>IF('01_Вводные'!$B$295="Да",'01_Вводные'!$E$273+('01_Вводные'!$F$273-'01_Вводные'!$E$273)*12/12,'01_Вводные'!$F$273)</f>
        <v/>
      </c>
      <c r="M109" s="136">
        <f>IF('01_Вводные'!$B$295="Да",'01_Вводные'!$E$274+('01_Вводные'!$F$274-'01_Вводные'!$E$274)*12/12,'01_Вводные'!$F$274)</f>
        <v/>
      </c>
      <c r="N109" s="136">
        <f>IF('01_Вводные'!$B$295="Да",'01_Вводные'!$E$275+('01_Вводные'!$F$275-'01_Вводные'!$E$275)*12/12,'01_Вводные'!$F$275)</f>
        <v/>
      </c>
      <c r="O109" s="136">
        <f>IF('01_Вводные'!$B$295="Да",'01_Вводные'!$E$276+('01_Вводные'!$F$276-'01_Вводные'!$E$276)*12/12,'01_Вводные'!$F$276)</f>
        <v/>
      </c>
      <c r="P109" s="136">
        <f>IF('01_Вводные'!$B$295="Да",'01_Вводные'!$E$277+('01_Вводные'!$F$277-'01_Вводные'!$E$277)*12/12,'01_Вводные'!$F$277)</f>
        <v/>
      </c>
      <c r="Q109" s="136">
        <f>IF('01_Вводные'!$B$295="Да",'01_Вводные'!$E$278+('01_Вводные'!$F$278-'01_Вводные'!$E$278)*12/12,'01_Вводные'!$F$278)</f>
        <v/>
      </c>
      <c r="R109" s="136">
        <f>IF('01_Вводные'!$B$295="Да",'01_Вводные'!$E$279+('01_Вводные'!$F$279-'01_Вводные'!$E$279)*12/12,'01_Вводные'!$F$279)</f>
        <v/>
      </c>
      <c r="S109" s="136">
        <f>IF('01_Вводные'!$B$295="Да",'01_Вводные'!$E$280+('01_Вводные'!$F$280-'01_Вводные'!$E$280)*12/12,'01_Вводные'!$F$280)</f>
        <v/>
      </c>
      <c r="T109" s="136">
        <f>IF('01_Вводные'!$B$295="Да",'01_Вводные'!$E$281+('01_Вводные'!$F$281-'01_Вводные'!$E$281)*12/12,'01_Вводные'!$F$281)</f>
        <v/>
      </c>
      <c r="U109" s="136">
        <f>IF('01_Вводные'!$B$295="Да",'01_Вводные'!$E$282+('01_Вводные'!$F$282-'01_Вводные'!$E$282)*12/12,'01_Вводные'!$F$282)</f>
        <v/>
      </c>
    </row>
    <row r="110">
      <c r="A110" s="134" t="inlineStr">
        <is>
          <t>25+</t>
        </is>
      </c>
      <c r="B110" s="136">
        <f>'01_Вводные'!$G$263</f>
        <v/>
      </c>
      <c r="C110" s="136">
        <f>'01_Вводные'!$G$264</f>
        <v/>
      </c>
      <c r="D110" s="136">
        <f>'01_Вводные'!$G$265</f>
        <v/>
      </c>
      <c r="E110" s="136">
        <f>'01_Вводные'!$G$266</f>
        <v/>
      </c>
      <c r="F110" s="136">
        <f>'01_Вводные'!$G$267</f>
        <v/>
      </c>
      <c r="G110" s="136">
        <f>'01_Вводные'!$G$268</f>
        <v/>
      </c>
      <c r="H110" s="136">
        <f>'01_Вводные'!$G$269</f>
        <v/>
      </c>
      <c r="I110" s="136">
        <f>'01_Вводные'!$G$270</f>
        <v/>
      </c>
      <c r="J110" s="136">
        <f>'01_Вводные'!$G$271</f>
        <v/>
      </c>
      <c r="K110" s="136">
        <f>'01_Вводные'!$G$272</f>
        <v/>
      </c>
      <c r="L110" s="136">
        <f>'01_Вводные'!$G$273</f>
        <v/>
      </c>
      <c r="M110" s="136">
        <f>'01_Вводные'!$G$274</f>
        <v/>
      </c>
      <c r="N110" s="136">
        <f>'01_Вводные'!$G$275</f>
        <v/>
      </c>
      <c r="O110" s="136">
        <f>'01_Вводные'!$G$276</f>
        <v/>
      </c>
      <c r="P110" s="136">
        <f>'01_Вводные'!$G$277</f>
        <v/>
      </c>
      <c r="Q110" s="136">
        <f>'01_Вводные'!$G$278</f>
        <v/>
      </c>
      <c r="R110" s="136">
        <f>'01_Вводные'!$G$279</f>
        <v/>
      </c>
      <c r="S110" s="136">
        <f>'01_Вводные'!$G$280</f>
        <v/>
      </c>
      <c r="T110" s="136">
        <f>'01_Вводные'!$G$281</f>
        <v/>
      </c>
      <c r="U110" s="136">
        <f>'01_Вводные'!$G$282</f>
        <v/>
      </c>
    </row>
    <row r="114">
      <c r="B114" s="138">
        <f>IF(B24&gt;0,B54/B24,1E99)</f>
        <v/>
      </c>
      <c r="C114" s="138">
        <f>IF(C24&gt;0,C54/C24,1E99)</f>
        <v/>
      </c>
      <c r="D114" s="138">
        <f>IF(D24&gt;0,D54/D24,1E99)</f>
        <v/>
      </c>
      <c r="E114" s="138">
        <f>IF(E24&gt;0,E54/E24,1E99)</f>
        <v/>
      </c>
      <c r="F114" s="138">
        <f>IF(F24&gt;0,F54/F24,1E99)</f>
        <v/>
      </c>
      <c r="G114" s="138">
        <f>IF(G24&gt;0,G54/G24,1E99)</f>
        <v/>
      </c>
      <c r="H114" s="138">
        <f>IF(H24&gt;0,H54/H24,1E99)</f>
        <v/>
      </c>
      <c r="I114" s="138">
        <f>IF(I24&gt;0,I54/I24,1E99)</f>
        <v/>
      </c>
      <c r="J114" s="138">
        <f>IF(J24&gt;0,J54/J24,1E99)</f>
        <v/>
      </c>
      <c r="K114" s="138">
        <f>IF(K24&gt;0,K54/K24,1E99)</f>
        <v/>
      </c>
      <c r="L114" s="138">
        <f>IF(L24&gt;0,L54/L24,1E99)</f>
        <v/>
      </c>
      <c r="M114" s="138">
        <f>IF(M24&gt;0,M54/M24,1E99)</f>
        <v/>
      </c>
      <c r="N114" s="138">
        <f>IF(N24&gt;0,N54/N24,1E99)</f>
        <v/>
      </c>
      <c r="O114" s="138">
        <f>IF(O24&gt;0,O54/O24,1E99)</f>
        <v/>
      </c>
      <c r="P114" s="138">
        <f>IF(P24&gt;0,P54/P24,1E99)</f>
        <v/>
      </c>
      <c r="Q114" s="138">
        <f>IF(Q24&gt;0,Q54/Q24,1E99)</f>
        <v/>
      </c>
      <c r="R114" s="138">
        <f>IF(R24&gt;0,R54/R24,1E99)</f>
        <v/>
      </c>
      <c r="S114" s="138">
        <f>IF(S24&gt;0,S54/S24,1E99)</f>
        <v/>
      </c>
      <c r="T114" s="138">
        <f>IF(T24&gt;0,T54/T24,1E99)</f>
        <v/>
      </c>
      <c r="U114" s="138">
        <f>IF(U24&gt;0,U54/U24,1E99)</f>
        <v/>
      </c>
    </row>
    <row r="115">
      <c r="B115" s="138">
        <f>IF(B25&gt;0,B55/B25,1E99)</f>
        <v/>
      </c>
      <c r="C115" s="138">
        <f>IF(C25&gt;0,C55/C25,1E99)</f>
        <v/>
      </c>
      <c r="D115" s="138">
        <f>IF(D25&gt;0,D55/D25,1E99)</f>
        <v/>
      </c>
      <c r="E115" s="138">
        <f>IF(E25&gt;0,E55/E25,1E99)</f>
        <v/>
      </c>
      <c r="F115" s="138">
        <f>IF(F25&gt;0,F55/F25,1E99)</f>
        <v/>
      </c>
      <c r="G115" s="138">
        <f>IF(G25&gt;0,G55/G25,1E99)</f>
        <v/>
      </c>
      <c r="H115" s="138">
        <f>IF(H25&gt;0,H55/H25,1E99)</f>
        <v/>
      </c>
      <c r="I115" s="138">
        <f>IF(I25&gt;0,I55/I25,1E99)</f>
        <v/>
      </c>
      <c r="J115" s="138">
        <f>IF(J25&gt;0,J55/J25,1E99)</f>
        <v/>
      </c>
      <c r="K115" s="138">
        <f>IF(K25&gt;0,K55/K25,1E99)</f>
        <v/>
      </c>
      <c r="L115" s="138">
        <f>IF(L25&gt;0,L55/L25,1E99)</f>
        <v/>
      </c>
      <c r="M115" s="138">
        <f>IF(M25&gt;0,M55/M25,1E99)</f>
        <v/>
      </c>
      <c r="N115" s="138">
        <f>IF(N25&gt;0,N55/N25,1E99)</f>
        <v/>
      </c>
      <c r="O115" s="138">
        <f>IF(O25&gt;0,O55/O25,1E99)</f>
        <v/>
      </c>
      <c r="P115" s="138">
        <f>IF(P25&gt;0,P55/P25,1E99)</f>
        <v/>
      </c>
      <c r="Q115" s="138">
        <f>IF(Q25&gt;0,Q55/Q25,1E99)</f>
        <v/>
      </c>
      <c r="R115" s="138">
        <f>IF(R25&gt;0,R55/R25,1E99)</f>
        <v/>
      </c>
      <c r="S115" s="138">
        <f>IF(S25&gt;0,S55/S25,1E99)</f>
        <v/>
      </c>
      <c r="T115" s="138">
        <f>IF(T25&gt;0,T55/T25,1E99)</f>
        <v/>
      </c>
      <c r="U115" s="138">
        <f>IF(U25&gt;0,U55/U25,1E99)</f>
        <v/>
      </c>
    </row>
    <row r="116">
      <c r="B116" s="138">
        <f>IF(B26&gt;0,B56/B26,1E99)</f>
        <v/>
      </c>
      <c r="C116" s="138">
        <f>IF(C26&gt;0,C56/C26,1E99)</f>
        <v/>
      </c>
      <c r="D116" s="138">
        <f>IF(D26&gt;0,D56/D26,1E99)</f>
        <v/>
      </c>
      <c r="E116" s="138">
        <f>IF(E26&gt;0,E56/E26,1E99)</f>
        <v/>
      </c>
      <c r="F116" s="138">
        <f>IF(F26&gt;0,F56/F26,1E99)</f>
        <v/>
      </c>
      <c r="G116" s="138">
        <f>IF(G26&gt;0,G56/G26,1E99)</f>
        <v/>
      </c>
      <c r="H116" s="138">
        <f>IF(H26&gt;0,H56/H26,1E99)</f>
        <v/>
      </c>
      <c r="I116" s="138">
        <f>IF(I26&gt;0,I56/I26,1E99)</f>
        <v/>
      </c>
      <c r="J116" s="138">
        <f>IF(J26&gt;0,J56/J26,1E99)</f>
        <v/>
      </c>
      <c r="K116" s="138">
        <f>IF(K26&gt;0,K56/K26,1E99)</f>
        <v/>
      </c>
      <c r="L116" s="138">
        <f>IF(L26&gt;0,L56/L26,1E99)</f>
        <v/>
      </c>
      <c r="M116" s="138">
        <f>IF(M26&gt;0,M56/M26,1E99)</f>
        <v/>
      </c>
      <c r="N116" s="138">
        <f>IF(N26&gt;0,N56/N26,1E99)</f>
        <v/>
      </c>
      <c r="O116" s="138">
        <f>IF(O26&gt;0,O56/O26,1E99)</f>
        <v/>
      </c>
      <c r="P116" s="138">
        <f>IF(P26&gt;0,P56/P26,1E99)</f>
        <v/>
      </c>
      <c r="Q116" s="138">
        <f>IF(Q26&gt;0,Q56/Q26,1E99)</f>
        <v/>
      </c>
      <c r="R116" s="138">
        <f>IF(R26&gt;0,R56/R26,1E99)</f>
        <v/>
      </c>
      <c r="S116" s="138">
        <f>IF(S26&gt;0,S56/S26,1E99)</f>
        <v/>
      </c>
      <c r="T116" s="138">
        <f>IF(T26&gt;0,T56/T26,1E99)</f>
        <v/>
      </c>
      <c r="U116" s="138">
        <f>IF(U26&gt;0,U56/U26,1E99)</f>
        <v/>
      </c>
    </row>
    <row r="117">
      <c r="B117" s="138">
        <f>IF(B27&gt;0,B57/B27,1E99)</f>
        <v/>
      </c>
      <c r="C117" s="138">
        <f>IF(C27&gt;0,C57/C27,1E99)</f>
        <v/>
      </c>
      <c r="D117" s="138">
        <f>IF(D27&gt;0,D57/D27,1E99)</f>
        <v/>
      </c>
      <c r="E117" s="138">
        <f>IF(E27&gt;0,E57/E27,1E99)</f>
        <v/>
      </c>
      <c r="F117" s="138">
        <f>IF(F27&gt;0,F57/F27,1E99)</f>
        <v/>
      </c>
      <c r="G117" s="138">
        <f>IF(G27&gt;0,G57/G27,1E99)</f>
        <v/>
      </c>
      <c r="H117" s="138">
        <f>IF(H27&gt;0,H57/H27,1E99)</f>
        <v/>
      </c>
      <c r="I117" s="138">
        <f>IF(I27&gt;0,I57/I27,1E99)</f>
        <v/>
      </c>
      <c r="J117" s="138">
        <f>IF(J27&gt;0,J57/J27,1E99)</f>
        <v/>
      </c>
      <c r="K117" s="138">
        <f>IF(K27&gt;0,K57/K27,1E99)</f>
        <v/>
      </c>
      <c r="L117" s="138">
        <f>IF(L27&gt;0,L57/L27,1E99)</f>
        <v/>
      </c>
      <c r="M117" s="138">
        <f>IF(M27&gt;0,M57/M27,1E99)</f>
        <v/>
      </c>
      <c r="N117" s="138">
        <f>IF(N27&gt;0,N57/N27,1E99)</f>
        <v/>
      </c>
      <c r="O117" s="138">
        <f>IF(O27&gt;0,O57/O27,1E99)</f>
        <v/>
      </c>
      <c r="P117" s="138">
        <f>IF(P27&gt;0,P57/P27,1E99)</f>
        <v/>
      </c>
      <c r="Q117" s="138">
        <f>IF(Q27&gt;0,Q57/Q27,1E99)</f>
        <v/>
      </c>
      <c r="R117" s="138">
        <f>IF(R27&gt;0,R57/R27,1E99)</f>
        <v/>
      </c>
      <c r="S117" s="138">
        <f>IF(S27&gt;0,S57/S27,1E99)</f>
        <v/>
      </c>
      <c r="T117" s="138">
        <f>IF(T27&gt;0,T57/T27,1E99)</f>
        <v/>
      </c>
      <c r="U117" s="138">
        <f>IF(U27&gt;0,U57/U27,1E99)</f>
        <v/>
      </c>
    </row>
    <row r="118">
      <c r="B118" s="138">
        <f>IF(B28&gt;0,B58/B28,1E99)</f>
        <v/>
      </c>
      <c r="C118" s="138">
        <f>IF(C28&gt;0,C58/C28,1E99)</f>
        <v/>
      </c>
      <c r="D118" s="138">
        <f>IF(D28&gt;0,D58/D28,1E99)</f>
        <v/>
      </c>
      <c r="E118" s="138">
        <f>IF(E28&gt;0,E58/E28,1E99)</f>
        <v/>
      </c>
      <c r="F118" s="138">
        <f>IF(F28&gt;0,F58/F28,1E99)</f>
        <v/>
      </c>
      <c r="G118" s="138">
        <f>IF(G28&gt;0,G58/G28,1E99)</f>
        <v/>
      </c>
      <c r="H118" s="138">
        <f>IF(H28&gt;0,H58/H28,1E99)</f>
        <v/>
      </c>
      <c r="I118" s="138">
        <f>IF(I28&gt;0,I58/I28,1E99)</f>
        <v/>
      </c>
      <c r="J118" s="138">
        <f>IF(J28&gt;0,J58/J28,1E99)</f>
        <v/>
      </c>
      <c r="K118" s="138">
        <f>IF(K28&gt;0,K58/K28,1E99)</f>
        <v/>
      </c>
      <c r="L118" s="138">
        <f>IF(L28&gt;0,L58/L28,1E99)</f>
        <v/>
      </c>
      <c r="M118" s="138">
        <f>IF(M28&gt;0,M58/M28,1E99)</f>
        <v/>
      </c>
      <c r="N118" s="138">
        <f>IF(N28&gt;0,N58/N28,1E99)</f>
        <v/>
      </c>
      <c r="O118" s="138">
        <f>IF(O28&gt;0,O58/O28,1E99)</f>
        <v/>
      </c>
      <c r="P118" s="138">
        <f>IF(P28&gt;0,P58/P28,1E99)</f>
        <v/>
      </c>
      <c r="Q118" s="138">
        <f>IF(Q28&gt;0,Q58/Q28,1E99)</f>
        <v/>
      </c>
      <c r="R118" s="138">
        <f>IF(R28&gt;0,R58/R28,1E99)</f>
        <v/>
      </c>
      <c r="S118" s="138">
        <f>IF(S28&gt;0,S58/S28,1E99)</f>
        <v/>
      </c>
      <c r="T118" s="138">
        <f>IF(T28&gt;0,T58/T28,1E99)</f>
        <v/>
      </c>
      <c r="U118" s="138">
        <f>IF(U28&gt;0,U58/U28,1E99)</f>
        <v/>
      </c>
    </row>
    <row r="119">
      <c r="B119" s="138">
        <f>IF(B29&gt;0,B59/B29,1E99)</f>
        <v/>
      </c>
      <c r="C119" s="138">
        <f>IF(C29&gt;0,C59/C29,1E99)</f>
        <v/>
      </c>
      <c r="D119" s="138">
        <f>IF(D29&gt;0,D59/D29,1E99)</f>
        <v/>
      </c>
      <c r="E119" s="138">
        <f>IF(E29&gt;0,E59/E29,1E99)</f>
        <v/>
      </c>
      <c r="F119" s="138">
        <f>IF(F29&gt;0,F59/F29,1E99)</f>
        <v/>
      </c>
      <c r="G119" s="138">
        <f>IF(G29&gt;0,G59/G29,1E99)</f>
        <v/>
      </c>
      <c r="H119" s="138">
        <f>IF(H29&gt;0,H59/H29,1E99)</f>
        <v/>
      </c>
      <c r="I119" s="138">
        <f>IF(I29&gt;0,I59/I29,1E99)</f>
        <v/>
      </c>
      <c r="J119" s="138">
        <f>IF(J29&gt;0,J59/J29,1E99)</f>
        <v/>
      </c>
      <c r="K119" s="138">
        <f>IF(K29&gt;0,K59/K29,1E99)</f>
        <v/>
      </c>
      <c r="L119" s="138">
        <f>IF(L29&gt;0,L59/L29,1E99)</f>
        <v/>
      </c>
      <c r="M119" s="138">
        <f>IF(M29&gt;0,M59/M29,1E99)</f>
        <v/>
      </c>
      <c r="N119" s="138">
        <f>IF(N29&gt;0,N59/N29,1E99)</f>
        <v/>
      </c>
      <c r="O119" s="138">
        <f>IF(O29&gt;0,O59/O29,1E99)</f>
        <v/>
      </c>
      <c r="P119" s="138">
        <f>IF(P29&gt;0,P59/P29,1E99)</f>
        <v/>
      </c>
      <c r="Q119" s="138">
        <f>IF(Q29&gt;0,Q59/Q29,1E99)</f>
        <v/>
      </c>
      <c r="R119" s="138">
        <f>IF(R29&gt;0,R59/R29,1E99)</f>
        <v/>
      </c>
      <c r="S119" s="138">
        <f>IF(S29&gt;0,S59/S29,1E99)</f>
        <v/>
      </c>
      <c r="T119" s="138">
        <f>IF(T29&gt;0,T59/T29,1E99)</f>
        <v/>
      </c>
      <c r="U119" s="138">
        <f>IF(U29&gt;0,U59/U29,1E99)</f>
        <v/>
      </c>
    </row>
    <row r="120">
      <c r="B120" s="138">
        <f>IF(B30&gt;0,B60/B30,1E99)</f>
        <v/>
      </c>
      <c r="C120" s="138">
        <f>IF(C30&gt;0,C60/C30,1E99)</f>
        <v/>
      </c>
      <c r="D120" s="138">
        <f>IF(D30&gt;0,D60/D30,1E99)</f>
        <v/>
      </c>
      <c r="E120" s="138">
        <f>IF(E30&gt;0,E60/E30,1E99)</f>
        <v/>
      </c>
      <c r="F120" s="138">
        <f>IF(F30&gt;0,F60/F30,1E99)</f>
        <v/>
      </c>
      <c r="G120" s="138">
        <f>IF(G30&gt;0,G60/G30,1E99)</f>
        <v/>
      </c>
      <c r="H120" s="138">
        <f>IF(H30&gt;0,H60/H30,1E99)</f>
        <v/>
      </c>
      <c r="I120" s="138">
        <f>IF(I30&gt;0,I60/I30,1E99)</f>
        <v/>
      </c>
      <c r="J120" s="138">
        <f>IF(J30&gt;0,J60/J30,1E99)</f>
        <v/>
      </c>
      <c r="K120" s="138">
        <f>IF(K30&gt;0,K60/K30,1E99)</f>
        <v/>
      </c>
      <c r="L120" s="138">
        <f>IF(L30&gt;0,L60/L30,1E99)</f>
        <v/>
      </c>
      <c r="M120" s="138">
        <f>IF(M30&gt;0,M60/M30,1E99)</f>
        <v/>
      </c>
      <c r="N120" s="138">
        <f>IF(N30&gt;0,N60/N30,1E99)</f>
        <v/>
      </c>
      <c r="O120" s="138">
        <f>IF(O30&gt;0,O60/O30,1E99)</f>
        <v/>
      </c>
      <c r="P120" s="138">
        <f>IF(P30&gt;0,P60/P30,1E99)</f>
        <v/>
      </c>
      <c r="Q120" s="138">
        <f>IF(Q30&gt;0,Q60/Q30,1E99)</f>
        <v/>
      </c>
      <c r="R120" s="138">
        <f>IF(R30&gt;0,R60/R30,1E99)</f>
        <v/>
      </c>
      <c r="S120" s="138">
        <f>IF(S30&gt;0,S60/S30,1E99)</f>
        <v/>
      </c>
      <c r="T120" s="138">
        <f>IF(T30&gt;0,T60/T30,1E99)</f>
        <v/>
      </c>
      <c r="U120" s="138">
        <f>IF(U30&gt;0,U60/U30,1E99)</f>
        <v/>
      </c>
    </row>
    <row r="121">
      <c r="B121" s="138">
        <f>IF(B31&gt;0,B61/B31,1E99)</f>
        <v/>
      </c>
      <c r="C121" s="138">
        <f>IF(C31&gt;0,C61/C31,1E99)</f>
        <v/>
      </c>
      <c r="D121" s="138">
        <f>IF(D31&gt;0,D61/D31,1E99)</f>
        <v/>
      </c>
      <c r="E121" s="138">
        <f>IF(E31&gt;0,E61/E31,1E99)</f>
        <v/>
      </c>
      <c r="F121" s="138">
        <f>IF(F31&gt;0,F61/F31,1E99)</f>
        <v/>
      </c>
      <c r="G121" s="138">
        <f>IF(G31&gt;0,G61/G31,1E99)</f>
        <v/>
      </c>
      <c r="H121" s="138">
        <f>IF(H31&gt;0,H61/H31,1E99)</f>
        <v/>
      </c>
      <c r="I121" s="138">
        <f>IF(I31&gt;0,I61/I31,1E99)</f>
        <v/>
      </c>
      <c r="J121" s="138">
        <f>IF(J31&gt;0,J61/J31,1E99)</f>
        <v/>
      </c>
      <c r="K121" s="138">
        <f>IF(K31&gt;0,K61/K31,1E99)</f>
        <v/>
      </c>
      <c r="L121" s="138">
        <f>IF(L31&gt;0,L61/L31,1E99)</f>
        <v/>
      </c>
      <c r="M121" s="138">
        <f>IF(M31&gt;0,M61/M31,1E99)</f>
        <v/>
      </c>
      <c r="N121" s="138">
        <f>IF(N31&gt;0,N61/N31,1E99)</f>
        <v/>
      </c>
      <c r="O121" s="138">
        <f>IF(O31&gt;0,O61/O31,1E99)</f>
        <v/>
      </c>
      <c r="P121" s="138">
        <f>IF(P31&gt;0,P61/P31,1E99)</f>
        <v/>
      </c>
      <c r="Q121" s="138">
        <f>IF(Q31&gt;0,Q61/Q31,1E99)</f>
        <v/>
      </c>
      <c r="R121" s="138">
        <f>IF(R31&gt;0,R61/R31,1E99)</f>
        <v/>
      </c>
      <c r="S121" s="138">
        <f>IF(S31&gt;0,S61/S31,1E99)</f>
        <v/>
      </c>
      <c r="T121" s="138">
        <f>IF(T31&gt;0,T61/T31,1E99)</f>
        <v/>
      </c>
      <c r="U121" s="138">
        <f>IF(U31&gt;0,U61/U31,1E99)</f>
        <v/>
      </c>
    </row>
    <row r="122">
      <c r="B122" s="138">
        <f>IF(B32&gt;0,B62/B32,1E99)</f>
        <v/>
      </c>
      <c r="C122" s="138">
        <f>IF(C32&gt;0,C62/C32,1E99)</f>
        <v/>
      </c>
      <c r="D122" s="138">
        <f>IF(D32&gt;0,D62/D32,1E99)</f>
        <v/>
      </c>
      <c r="E122" s="138">
        <f>IF(E32&gt;0,E62/E32,1E99)</f>
        <v/>
      </c>
      <c r="F122" s="138">
        <f>IF(F32&gt;0,F62/F32,1E99)</f>
        <v/>
      </c>
      <c r="G122" s="138">
        <f>IF(G32&gt;0,G62/G32,1E99)</f>
        <v/>
      </c>
      <c r="H122" s="138">
        <f>IF(H32&gt;0,H62/H32,1E99)</f>
        <v/>
      </c>
      <c r="I122" s="138">
        <f>IF(I32&gt;0,I62/I32,1E99)</f>
        <v/>
      </c>
      <c r="J122" s="138">
        <f>IF(J32&gt;0,J62/J32,1E99)</f>
        <v/>
      </c>
      <c r="K122" s="138">
        <f>IF(K32&gt;0,K62/K32,1E99)</f>
        <v/>
      </c>
      <c r="L122" s="138">
        <f>IF(L32&gt;0,L62/L32,1E99)</f>
        <v/>
      </c>
      <c r="M122" s="138">
        <f>IF(M32&gt;0,M62/M32,1E99)</f>
        <v/>
      </c>
      <c r="N122" s="138">
        <f>IF(N32&gt;0,N62/N32,1E99)</f>
        <v/>
      </c>
      <c r="O122" s="138">
        <f>IF(O32&gt;0,O62/O32,1E99)</f>
        <v/>
      </c>
      <c r="P122" s="138">
        <f>IF(P32&gt;0,P62/P32,1E99)</f>
        <v/>
      </c>
      <c r="Q122" s="138">
        <f>IF(Q32&gt;0,Q62/Q32,1E99)</f>
        <v/>
      </c>
      <c r="R122" s="138">
        <f>IF(R32&gt;0,R62/R32,1E99)</f>
        <v/>
      </c>
      <c r="S122" s="138">
        <f>IF(S32&gt;0,S62/S32,1E99)</f>
        <v/>
      </c>
      <c r="T122" s="138">
        <f>IF(T32&gt;0,T62/T32,1E99)</f>
        <v/>
      </c>
      <c r="U122" s="138">
        <f>IF(U32&gt;0,U62/U32,1E99)</f>
        <v/>
      </c>
    </row>
    <row r="123">
      <c r="B123" s="138">
        <f>IF(B33&gt;0,B63/B33,1E99)</f>
        <v/>
      </c>
      <c r="C123" s="138">
        <f>IF(C33&gt;0,C63/C33,1E99)</f>
        <v/>
      </c>
      <c r="D123" s="138">
        <f>IF(D33&gt;0,D63/D33,1E99)</f>
        <v/>
      </c>
      <c r="E123" s="138">
        <f>IF(E33&gt;0,E63/E33,1E99)</f>
        <v/>
      </c>
      <c r="F123" s="138">
        <f>IF(F33&gt;0,F63/F33,1E99)</f>
        <v/>
      </c>
      <c r="G123" s="138">
        <f>IF(G33&gt;0,G63/G33,1E99)</f>
        <v/>
      </c>
      <c r="H123" s="138">
        <f>IF(H33&gt;0,H63/H33,1E99)</f>
        <v/>
      </c>
      <c r="I123" s="138">
        <f>IF(I33&gt;0,I63/I33,1E99)</f>
        <v/>
      </c>
      <c r="J123" s="138">
        <f>IF(J33&gt;0,J63/J33,1E99)</f>
        <v/>
      </c>
      <c r="K123" s="138">
        <f>IF(K33&gt;0,K63/K33,1E99)</f>
        <v/>
      </c>
      <c r="L123" s="138">
        <f>IF(L33&gt;0,L63/L33,1E99)</f>
        <v/>
      </c>
      <c r="M123" s="138">
        <f>IF(M33&gt;0,M63/M33,1E99)</f>
        <v/>
      </c>
      <c r="N123" s="138">
        <f>IF(N33&gt;0,N63/N33,1E99)</f>
        <v/>
      </c>
      <c r="O123" s="138">
        <f>IF(O33&gt;0,O63/O33,1E99)</f>
        <v/>
      </c>
      <c r="P123" s="138">
        <f>IF(P33&gt;0,P63/P33,1E99)</f>
        <v/>
      </c>
      <c r="Q123" s="138">
        <f>IF(Q33&gt;0,Q63/Q33,1E99)</f>
        <v/>
      </c>
      <c r="R123" s="138">
        <f>IF(R33&gt;0,R63/R33,1E99)</f>
        <v/>
      </c>
      <c r="S123" s="138">
        <f>IF(S33&gt;0,S63/S33,1E99)</f>
        <v/>
      </c>
      <c r="T123" s="138">
        <f>IF(T33&gt;0,T63/T33,1E99)</f>
        <v/>
      </c>
      <c r="U123" s="138">
        <f>IF(U33&gt;0,U63/U33,1E99)</f>
        <v/>
      </c>
    </row>
    <row r="124">
      <c r="B124" s="138">
        <f>IF(B34&gt;0,B64/B34,1E99)</f>
        <v/>
      </c>
      <c r="C124" s="138">
        <f>IF(C34&gt;0,C64/C34,1E99)</f>
        <v/>
      </c>
      <c r="D124" s="138">
        <f>IF(D34&gt;0,D64/D34,1E99)</f>
        <v/>
      </c>
      <c r="E124" s="138">
        <f>IF(E34&gt;0,E64/E34,1E99)</f>
        <v/>
      </c>
      <c r="F124" s="138">
        <f>IF(F34&gt;0,F64/F34,1E99)</f>
        <v/>
      </c>
      <c r="G124" s="138">
        <f>IF(G34&gt;0,G64/G34,1E99)</f>
        <v/>
      </c>
      <c r="H124" s="138">
        <f>IF(H34&gt;0,H64/H34,1E99)</f>
        <v/>
      </c>
      <c r="I124" s="138">
        <f>IF(I34&gt;0,I64/I34,1E99)</f>
        <v/>
      </c>
      <c r="J124" s="138">
        <f>IF(J34&gt;0,J64/J34,1E99)</f>
        <v/>
      </c>
      <c r="K124" s="138">
        <f>IF(K34&gt;0,K64/K34,1E99)</f>
        <v/>
      </c>
      <c r="L124" s="138">
        <f>IF(L34&gt;0,L64/L34,1E99)</f>
        <v/>
      </c>
      <c r="M124" s="138">
        <f>IF(M34&gt;0,M64/M34,1E99)</f>
        <v/>
      </c>
      <c r="N124" s="138">
        <f>IF(N34&gt;0,N64/N34,1E99)</f>
        <v/>
      </c>
      <c r="O124" s="138">
        <f>IF(O34&gt;0,O64/O34,1E99)</f>
        <v/>
      </c>
      <c r="P124" s="138">
        <f>IF(P34&gt;0,P64/P34,1E99)</f>
        <v/>
      </c>
      <c r="Q124" s="138">
        <f>IF(Q34&gt;0,Q64/Q34,1E99)</f>
        <v/>
      </c>
      <c r="R124" s="138">
        <f>IF(R34&gt;0,R64/R34,1E99)</f>
        <v/>
      </c>
      <c r="S124" s="138">
        <f>IF(S34&gt;0,S64/S34,1E99)</f>
        <v/>
      </c>
      <c r="T124" s="138">
        <f>IF(T34&gt;0,T64/T34,1E99)</f>
        <v/>
      </c>
      <c r="U124" s="138">
        <f>IF(U34&gt;0,U64/U34,1E99)</f>
        <v/>
      </c>
    </row>
    <row r="125">
      <c r="B125" s="138">
        <f>IF(B35&gt;0,B65/B35,1E99)</f>
        <v/>
      </c>
      <c r="C125" s="138">
        <f>IF(C35&gt;0,C65/C35,1E99)</f>
        <v/>
      </c>
      <c r="D125" s="138">
        <f>IF(D35&gt;0,D65/D35,1E99)</f>
        <v/>
      </c>
      <c r="E125" s="138">
        <f>IF(E35&gt;0,E65/E35,1E99)</f>
        <v/>
      </c>
      <c r="F125" s="138">
        <f>IF(F35&gt;0,F65/F35,1E99)</f>
        <v/>
      </c>
      <c r="G125" s="138">
        <f>IF(G35&gt;0,G65/G35,1E99)</f>
        <v/>
      </c>
      <c r="H125" s="138">
        <f>IF(H35&gt;0,H65/H35,1E99)</f>
        <v/>
      </c>
      <c r="I125" s="138">
        <f>IF(I35&gt;0,I65/I35,1E99)</f>
        <v/>
      </c>
      <c r="J125" s="138">
        <f>IF(J35&gt;0,J65/J35,1E99)</f>
        <v/>
      </c>
      <c r="K125" s="138">
        <f>IF(K35&gt;0,K65/K35,1E99)</f>
        <v/>
      </c>
      <c r="L125" s="138">
        <f>IF(L35&gt;0,L65/L35,1E99)</f>
        <v/>
      </c>
      <c r="M125" s="138">
        <f>IF(M35&gt;0,M65/M35,1E99)</f>
        <v/>
      </c>
      <c r="N125" s="138">
        <f>IF(N35&gt;0,N65/N35,1E99)</f>
        <v/>
      </c>
      <c r="O125" s="138">
        <f>IF(O35&gt;0,O65/O35,1E99)</f>
        <v/>
      </c>
      <c r="P125" s="138">
        <f>IF(P35&gt;0,P65/P35,1E99)</f>
        <v/>
      </c>
      <c r="Q125" s="138">
        <f>IF(Q35&gt;0,Q65/Q35,1E99)</f>
        <v/>
      </c>
      <c r="R125" s="138">
        <f>IF(R35&gt;0,R65/R35,1E99)</f>
        <v/>
      </c>
      <c r="S125" s="138">
        <f>IF(S35&gt;0,S65/S35,1E99)</f>
        <v/>
      </c>
      <c r="T125" s="138">
        <f>IF(T35&gt;0,T65/T35,1E99)</f>
        <v/>
      </c>
      <c r="U125" s="138">
        <f>IF(U35&gt;0,U65/U35,1E99)</f>
        <v/>
      </c>
    </row>
    <row r="126">
      <c r="B126" s="138">
        <f>IF(B36&gt;0,B66/B36,1E99)</f>
        <v/>
      </c>
      <c r="C126" s="138">
        <f>IF(C36&gt;0,C66/C36,1E99)</f>
        <v/>
      </c>
      <c r="D126" s="138">
        <f>IF(D36&gt;0,D66/D36,1E99)</f>
        <v/>
      </c>
      <c r="E126" s="138">
        <f>IF(E36&gt;0,E66/E36,1E99)</f>
        <v/>
      </c>
      <c r="F126" s="138">
        <f>IF(F36&gt;0,F66/F36,1E99)</f>
        <v/>
      </c>
      <c r="G126" s="138">
        <f>IF(G36&gt;0,G66/G36,1E99)</f>
        <v/>
      </c>
      <c r="H126" s="138">
        <f>IF(H36&gt;0,H66/H36,1E99)</f>
        <v/>
      </c>
      <c r="I126" s="138">
        <f>IF(I36&gt;0,I66/I36,1E99)</f>
        <v/>
      </c>
      <c r="J126" s="138">
        <f>IF(J36&gt;0,J66/J36,1E99)</f>
        <v/>
      </c>
      <c r="K126" s="138">
        <f>IF(K36&gt;0,K66/K36,1E99)</f>
        <v/>
      </c>
      <c r="L126" s="138">
        <f>IF(L36&gt;0,L66/L36,1E99)</f>
        <v/>
      </c>
      <c r="M126" s="138">
        <f>IF(M36&gt;0,M66/M36,1E99)</f>
        <v/>
      </c>
      <c r="N126" s="138">
        <f>IF(N36&gt;0,N66/N36,1E99)</f>
        <v/>
      </c>
      <c r="O126" s="138">
        <f>IF(O36&gt;0,O66/O36,1E99)</f>
        <v/>
      </c>
      <c r="P126" s="138">
        <f>IF(P36&gt;0,P66/P36,1E99)</f>
        <v/>
      </c>
      <c r="Q126" s="138">
        <f>IF(Q36&gt;0,Q66/Q36,1E99)</f>
        <v/>
      </c>
      <c r="R126" s="138">
        <f>IF(R36&gt;0,R66/R36,1E99)</f>
        <v/>
      </c>
      <c r="S126" s="138">
        <f>IF(S36&gt;0,S66/S36,1E99)</f>
        <v/>
      </c>
      <c r="T126" s="138">
        <f>IF(T36&gt;0,T66/T36,1E99)</f>
        <v/>
      </c>
      <c r="U126" s="138">
        <f>IF(U36&gt;0,U66/U36,1E99)</f>
        <v/>
      </c>
    </row>
    <row r="127">
      <c r="B127" s="138">
        <f>IF(B37&gt;0,B67/B37,1E99)</f>
        <v/>
      </c>
      <c r="C127" s="138">
        <f>IF(C37&gt;0,C67/C37,1E99)</f>
        <v/>
      </c>
      <c r="D127" s="138">
        <f>IF(D37&gt;0,D67/D37,1E99)</f>
        <v/>
      </c>
      <c r="E127" s="138">
        <f>IF(E37&gt;0,E67/E37,1E99)</f>
        <v/>
      </c>
      <c r="F127" s="138">
        <f>IF(F37&gt;0,F67/F37,1E99)</f>
        <v/>
      </c>
      <c r="G127" s="138">
        <f>IF(G37&gt;0,G67/G37,1E99)</f>
        <v/>
      </c>
      <c r="H127" s="138">
        <f>IF(H37&gt;0,H67/H37,1E99)</f>
        <v/>
      </c>
      <c r="I127" s="138">
        <f>IF(I37&gt;0,I67/I37,1E99)</f>
        <v/>
      </c>
      <c r="J127" s="138">
        <f>IF(J37&gt;0,J67/J37,1E99)</f>
        <v/>
      </c>
      <c r="K127" s="138">
        <f>IF(K37&gt;0,K67/K37,1E99)</f>
        <v/>
      </c>
      <c r="L127" s="138">
        <f>IF(L37&gt;0,L67/L37,1E99)</f>
        <v/>
      </c>
      <c r="M127" s="138">
        <f>IF(M37&gt;0,M67/M37,1E99)</f>
        <v/>
      </c>
      <c r="N127" s="138">
        <f>IF(N37&gt;0,N67/N37,1E99)</f>
        <v/>
      </c>
      <c r="O127" s="138">
        <f>IF(O37&gt;0,O67/O37,1E99)</f>
        <v/>
      </c>
      <c r="P127" s="138">
        <f>IF(P37&gt;0,P67/P37,1E99)</f>
        <v/>
      </c>
      <c r="Q127" s="138">
        <f>IF(Q37&gt;0,Q67/Q37,1E99)</f>
        <v/>
      </c>
      <c r="R127" s="138">
        <f>IF(R37&gt;0,R67/R37,1E99)</f>
        <v/>
      </c>
      <c r="S127" s="138">
        <f>IF(S37&gt;0,S67/S37,1E99)</f>
        <v/>
      </c>
      <c r="T127" s="138">
        <f>IF(T37&gt;0,T67/T37,1E99)</f>
        <v/>
      </c>
      <c r="U127" s="138">
        <f>IF(U37&gt;0,U67/U37,1E99)</f>
        <v/>
      </c>
    </row>
    <row r="128">
      <c r="B128" s="138">
        <f>IF(B38&gt;0,B68/B38,1E99)</f>
        <v/>
      </c>
      <c r="C128" s="138">
        <f>IF(C38&gt;0,C68/C38,1E99)</f>
        <v/>
      </c>
      <c r="D128" s="138">
        <f>IF(D38&gt;0,D68/D38,1E99)</f>
        <v/>
      </c>
      <c r="E128" s="138">
        <f>IF(E38&gt;0,E68/E38,1E99)</f>
        <v/>
      </c>
      <c r="F128" s="138">
        <f>IF(F38&gt;0,F68/F38,1E99)</f>
        <v/>
      </c>
      <c r="G128" s="138">
        <f>IF(G38&gt;0,G68/G38,1E99)</f>
        <v/>
      </c>
      <c r="H128" s="138">
        <f>IF(H38&gt;0,H68/H38,1E99)</f>
        <v/>
      </c>
      <c r="I128" s="138">
        <f>IF(I38&gt;0,I68/I38,1E99)</f>
        <v/>
      </c>
      <c r="J128" s="138">
        <f>IF(J38&gt;0,J68/J38,1E99)</f>
        <v/>
      </c>
      <c r="K128" s="138">
        <f>IF(K38&gt;0,K68/K38,1E99)</f>
        <v/>
      </c>
      <c r="L128" s="138">
        <f>IF(L38&gt;0,L68/L38,1E99)</f>
        <v/>
      </c>
      <c r="M128" s="138">
        <f>IF(M38&gt;0,M68/M38,1E99)</f>
        <v/>
      </c>
      <c r="N128" s="138">
        <f>IF(N38&gt;0,N68/N38,1E99)</f>
        <v/>
      </c>
      <c r="O128" s="138">
        <f>IF(O38&gt;0,O68/O38,1E99)</f>
        <v/>
      </c>
      <c r="P128" s="138">
        <f>IF(P38&gt;0,P68/P38,1E99)</f>
        <v/>
      </c>
      <c r="Q128" s="138">
        <f>IF(Q38&gt;0,Q68/Q38,1E99)</f>
        <v/>
      </c>
      <c r="R128" s="138">
        <f>IF(R38&gt;0,R68/R38,1E99)</f>
        <v/>
      </c>
      <c r="S128" s="138">
        <f>IF(S38&gt;0,S68/S38,1E99)</f>
        <v/>
      </c>
      <c r="T128" s="138">
        <f>IF(T38&gt;0,T68/T38,1E99)</f>
        <v/>
      </c>
      <c r="U128" s="138">
        <f>IF(U38&gt;0,U68/U38,1E99)</f>
        <v/>
      </c>
    </row>
    <row r="129">
      <c r="B129" s="138">
        <f>IF(B39&gt;0,B69/B39,1E99)</f>
        <v/>
      </c>
      <c r="C129" s="138">
        <f>IF(C39&gt;0,C69/C39,1E99)</f>
        <v/>
      </c>
      <c r="D129" s="138">
        <f>IF(D39&gt;0,D69/D39,1E99)</f>
        <v/>
      </c>
      <c r="E129" s="138">
        <f>IF(E39&gt;0,E69/E39,1E99)</f>
        <v/>
      </c>
      <c r="F129" s="138">
        <f>IF(F39&gt;0,F69/F39,1E99)</f>
        <v/>
      </c>
      <c r="G129" s="138">
        <f>IF(G39&gt;0,G69/G39,1E99)</f>
        <v/>
      </c>
      <c r="H129" s="138">
        <f>IF(H39&gt;0,H69/H39,1E99)</f>
        <v/>
      </c>
      <c r="I129" s="138">
        <f>IF(I39&gt;0,I69/I39,1E99)</f>
        <v/>
      </c>
      <c r="J129" s="138">
        <f>IF(J39&gt;0,J69/J39,1E99)</f>
        <v/>
      </c>
      <c r="K129" s="138">
        <f>IF(K39&gt;0,K69/K39,1E99)</f>
        <v/>
      </c>
      <c r="L129" s="138">
        <f>IF(L39&gt;0,L69/L39,1E99)</f>
        <v/>
      </c>
      <c r="M129" s="138">
        <f>IF(M39&gt;0,M69/M39,1E99)</f>
        <v/>
      </c>
      <c r="N129" s="138">
        <f>IF(N39&gt;0,N69/N39,1E99)</f>
        <v/>
      </c>
      <c r="O129" s="138">
        <f>IF(O39&gt;0,O69/O39,1E99)</f>
        <v/>
      </c>
      <c r="P129" s="138">
        <f>IF(P39&gt;0,P69/P39,1E99)</f>
        <v/>
      </c>
      <c r="Q129" s="138">
        <f>IF(Q39&gt;0,Q69/Q39,1E99)</f>
        <v/>
      </c>
      <c r="R129" s="138">
        <f>IF(R39&gt;0,R69/R39,1E99)</f>
        <v/>
      </c>
      <c r="S129" s="138">
        <f>IF(S39&gt;0,S69/S39,1E99)</f>
        <v/>
      </c>
      <c r="T129" s="138">
        <f>IF(T39&gt;0,T69/T39,1E99)</f>
        <v/>
      </c>
      <c r="U129" s="138">
        <f>IF(U39&gt;0,U69/U39,1E99)</f>
        <v/>
      </c>
    </row>
    <row r="130">
      <c r="B130" s="138">
        <f>IF(B40&gt;0,B70/B40,1E99)</f>
        <v/>
      </c>
      <c r="C130" s="138">
        <f>IF(C40&gt;0,C70/C40,1E99)</f>
        <v/>
      </c>
      <c r="D130" s="138">
        <f>IF(D40&gt;0,D70/D40,1E99)</f>
        <v/>
      </c>
      <c r="E130" s="138">
        <f>IF(E40&gt;0,E70/E40,1E99)</f>
        <v/>
      </c>
      <c r="F130" s="138">
        <f>IF(F40&gt;0,F70/F40,1E99)</f>
        <v/>
      </c>
      <c r="G130" s="138">
        <f>IF(G40&gt;0,G70/G40,1E99)</f>
        <v/>
      </c>
      <c r="H130" s="138">
        <f>IF(H40&gt;0,H70/H40,1E99)</f>
        <v/>
      </c>
      <c r="I130" s="138">
        <f>IF(I40&gt;0,I70/I40,1E99)</f>
        <v/>
      </c>
      <c r="J130" s="138">
        <f>IF(J40&gt;0,J70/J40,1E99)</f>
        <v/>
      </c>
      <c r="K130" s="138">
        <f>IF(K40&gt;0,K70/K40,1E99)</f>
        <v/>
      </c>
      <c r="L130" s="138">
        <f>IF(L40&gt;0,L70/L40,1E99)</f>
        <v/>
      </c>
      <c r="M130" s="138">
        <f>IF(M40&gt;0,M70/M40,1E99)</f>
        <v/>
      </c>
      <c r="N130" s="138">
        <f>IF(N40&gt;0,N70/N40,1E99)</f>
        <v/>
      </c>
      <c r="O130" s="138">
        <f>IF(O40&gt;0,O70/O40,1E99)</f>
        <v/>
      </c>
      <c r="P130" s="138">
        <f>IF(P40&gt;0,P70/P40,1E99)</f>
        <v/>
      </c>
      <c r="Q130" s="138">
        <f>IF(Q40&gt;0,Q70/Q40,1E99)</f>
        <v/>
      </c>
      <c r="R130" s="138">
        <f>IF(R40&gt;0,R70/R40,1E99)</f>
        <v/>
      </c>
      <c r="S130" s="138">
        <f>IF(S40&gt;0,S70/S40,1E99)</f>
        <v/>
      </c>
      <c r="T130" s="138">
        <f>IF(T40&gt;0,T70/T40,1E99)</f>
        <v/>
      </c>
      <c r="U130" s="138">
        <f>IF(U40&gt;0,U70/U40,1E99)</f>
        <v/>
      </c>
    </row>
    <row r="131">
      <c r="B131" s="138">
        <f>IF(B41&gt;0,B71/B41,1E99)</f>
        <v/>
      </c>
      <c r="C131" s="138">
        <f>IF(C41&gt;0,C71/C41,1E99)</f>
        <v/>
      </c>
      <c r="D131" s="138">
        <f>IF(D41&gt;0,D71/D41,1E99)</f>
        <v/>
      </c>
      <c r="E131" s="138">
        <f>IF(E41&gt;0,E71/E41,1E99)</f>
        <v/>
      </c>
      <c r="F131" s="138">
        <f>IF(F41&gt;0,F71/F41,1E99)</f>
        <v/>
      </c>
      <c r="G131" s="138">
        <f>IF(G41&gt;0,G71/G41,1E99)</f>
        <v/>
      </c>
      <c r="H131" s="138">
        <f>IF(H41&gt;0,H71/H41,1E99)</f>
        <v/>
      </c>
      <c r="I131" s="138">
        <f>IF(I41&gt;0,I71/I41,1E99)</f>
        <v/>
      </c>
      <c r="J131" s="138">
        <f>IF(J41&gt;0,J71/J41,1E99)</f>
        <v/>
      </c>
      <c r="K131" s="138">
        <f>IF(K41&gt;0,K71/K41,1E99)</f>
        <v/>
      </c>
      <c r="L131" s="138">
        <f>IF(L41&gt;0,L71/L41,1E99)</f>
        <v/>
      </c>
      <c r="M131" s="138">
        <f>IF(M41&gt;0,M71/M41,1E99)</f>
        <v/>
      </c>
      <c r="N131" s="138">
        <f>IF(N41&gt;0,N71/N41,1E99)</f>
        <v/>
      </c>
      <c r="O131" s="138">
        <f>IF(O41&gt;0,O71/O41,1E99)</f>
        <v/>
      </c>
      <c r="P131" s="138">
        <f>IF(P41&gt;0,P71/P41,1E99)</f>
        <v/>
      </c>
      <c r="Q131" s="138">
        <f>IF(Q41&gt;0,Q71/Q41,1E99)</f>
        <v/>
      </c>
      <c r="R131" s="138">
        <f>IF(R41&gt;0,R71/R41,1E99)</f>
        <v/>
      </c>
      <c r="S131" s="138">
        <f>IF(S41&gt;0,S71/S41,1E99)</f>
        <v/>
      </c>
      <c r="T131" s="138">
        <f>IF(T41&gt;0,T71/T41,1E99)</f>
        <v/>
      </c>
      <c r="U131" s="138">
        <f>IF(U41&gt;0,U71/U41,1E99)</f>
        <v/>
      </c>
    </row>
    <row r="132">
      <c r="B132" s="138">
        <f>IF(B42&gt;0,B72/B42,1E99)</f>
        <v/>
      </c>
      <c r="C132" s="138">
        <f>IF(C42&gt;0,C72/C42,1E99)</f>
        <v/>
      </c>
      <c r="D132" s="138">
        <f>IF(D42&gt;0,D72/D42,1E99)</f>
        <v/>
      </c>
      <c r="E132" s="138">
        <f>IF(E42&gt;0,E72/E42,1E99)</f>
        <v/>
      </c>
      <c r="F132" s="138">
        <f>IF(F42&gt;0,F72/F42,1E99)</f>
        <v/>
      </c>
      <c r="G132" s="138">
        <f>IF(G42&gt;0,G72/G42,1E99)</f>
        <v/>
      </c>
      <c r="H132" s="138">
        <f>IF(H42&gt;0,H72/H42,1E99)</f>
        <v/>
      </c>
      <c r="I132" s="138">
        <f>IF(I42&gt;0,I72/I42,1E99)</f>
        <v/>
      </c>
      <c r="J132" s="138">
        <f>IF(J42&gt;0,J72/J42,1E99)</f>
        <v/>
      </c>
      <c r="K132" s="138">
        <f>IF(K42&gt;0,K72/K42,1E99)</f>
        <v/>
      </c>
      <c r="L132" s="138">
        <f>IF(L42&gt;0,L72/L42,1E99)</f>
        <v/>
      </c>
      <c r="M132" s="138">
        <f>IF(M42&gt;0,M72/M42,1E99)</f>
        <v/>
      </c>
      <c r="N132" s="138">
        <f>IF(N42&gt;0,N72/N42,1E99)</f>
        <v/>
      </c>
      <c r="O132" s="138">
        <f>IF(O42&gt;0,O72/O42,1E99)</f>
        <v/>
      </c>
      <c r="P132" s="138">
        <f>IF(P42&gt;0,P72/P42,1E99)</f>
        <v/>
      </c>
      <c r="Q132" s="138">
        <f>IF(Q42&gt;0,Q72/Q42,1E99)</f>
        <v/>
      </c>
      <c r="R132" s="138">
        <f>IF(R42&gt;0,R72/R42,1E99)</f>
        <v/>
      </c>
      <c r="S132" s="138">
        <f>IF(S42&gt;0,S72/S42,1E99)</f>
        <v/>
      </c>
      <c r="T132" s="138">
        <f>IF(T42&gt;0,T72/T42,1E99)</f>
        <v/>
      </c>
      <c r="U132" s="138">
        <f>IF(U42&gt;0,U72/U42,1E99)</f>
        <v/>
      </c>
    </row>
    <row r="133">
      <c r="B133" s="138">
        <f>IF(B43&gt;0,B73/B43,1E99)</f>
        <v/>
      </c>
      <c r="C133" s="138">
        <f>IF(C43&gt;0,C73/C43,1E99)</f>
        <v/>
      </c>
      <c r="D133" s="138">
        <f>IF(D43&gt;0,D73/D43,1E99)</f>
        <v/>
      </c>
      <c r="E133" s="138">
        <f>IF(E43&gt;0,E73/E43,1E99)</f>
        <v/>
      </c>
      <c r="F133" s="138">
        <f>IF(F43&gt;0,F73/F43,1E99)</f>
        <v/>
      </c>
      <c r="G133" s="138">
        <f>IF(G43&gt;0,G73/G43,1E99)</f>
        <v/>
      </c>
      <c r="H133" s="138">
        <f>IF(H43&gt;0,H73/H43,1E99)</f>
        <v/>
      </c>
      <c r="I133" s="138">
        <f>IF(I43&gt;0,I73/I43,1E99)</f>
        <v/>
      </c>
      <c r="J133" s="138">
        <f>IF(J43&gt;0,J73/J43,1E99)</f>
        <v/>
      </c>
      <c r="K133" s="138">
        <f>IF(K43&gt;0,K73/K43,1E99)</f>
        <v/>
      </c>
      <c r="L133" s="138">
        <f>IF(L43&gt;0,L73/L43,1E99)</f>
        <v/>
      </c>
      <c r="M133" s="138">
        <f>IF(M43&gt;0,M73/M43,1E99)</f>
        <v/>
      </c>
      <c r="N133" s="138">
        <f>IF(N43&gt;0,N73/N43,1E99)</f>
        <v/>
      </c>
      <c r="O133" s="138">
        <f>IF(O43&gt;0,O73/O43,1E99)</f>
        <v/>
      </c>
      <c r="P133" s="138">
        <f>IF(P43&gt;0,P73/P43,1E99)</f>
        <v/>
      </c>
      <c r="Q133" s="138">
        <f>IF(Q43&gt;0,Q73/Q43,1E99)</f>
        <v/>
      </c>
      <c r="R133" s="138">
        <f>IF(R43&gt;0,R73/R43,1E99)</f>
        <v/>
      </c>
      <c r="S133" s="138">
        <f>IF(S43&gt;0,S73/S43,1E99)</f>
        <v/>
      </c>
      <c r="T133" s="138">
        <f>IF(T43&gt;0,T73/T43,1E99)</f>
        <v/>
      </c>
      <c r="U133" s="138">
        <f>IF(U43&gt;0,U73/U43,1E99)</f>
        <v/>
      </c>
    </row>
    <row r="134">
      <c r="B134" s="138">
        <f>IF(B44&gt;0,B74/B44,1E99)</f>
        <v/>
      </c>
      <c r="C134" s="138">
        <f>IF(C44&gt;0,C74/C44,1E99)</f>
        <v/>
      </c>
      <c r="D134" s="138">
        <f>IF(D44&gt;0,D74/D44,1E99)</f>
        <v/>
      </c>
      <c r="E134" s="138">
        <f>IF(E44&gt;0,E74/E44,1E99)</f>
        <v/>
      </c>
      <c r="F134" s="138">
        <f>IF(F44&gt;0,F74/F44,1E99)</f>
        <v/>
      </c>
      <c r="G134" s="138">
        <f>IF(G44&gt;0,G74/G44,1E99)</f>
        <v/>
      </c>
      <c r="H134" s="138">
        <f>IF(H44&gt;0,H74/H44,1E99)</f>
        <v/>
      </c>
      <c r="I134" s="138">
        <f>IF(I44&gt;0,I74/I44,1E99)</f>
        <v/>
      </c>
      <c r="J134" s="138">
        <f>IF(J44&gt;0,J74/J44,1E99)</f>
        <v/>
      </c>
      <c r="K134" s="138">
        <f>IF(K44&gt;0,K74/K44,1E99)</f>
        <v/>
      </c>
      <c r="L134" s="138">
        <f>IF(L44&gt;0,L74/L44,1E99)</f>
        <v/>
      </c>
      <c r="M134" s="138">
        <f>IF(M44&gt;0,M74/M44,1E99)</f>
        <v/>
      </c>
      <c r="N134" s="138">
        <f>IF(N44&gt;0,N74/N44,1E99)</f>
        <v/>
      </c>
      <c r="O134" s="138">
        <f>IF(O44&gt;0,O74/O44,1E99)</f>
        <v/>
      </c>
      <c r="P134" s="138">
        <f>IF(P44&gt;0,P74/P44,1E99)</f>
        <v/>
      </c>
      <c r="Q134" s="138">
        <f>IF(Q44&gt;0,Q74/Q44,1E99)</f>
        <v/>
      </c>
      <c r="R134" s="138">
        <f>IF(R44&gt;0,R74/R44,1E99)</f>
        <v/>
      </c>
      <c r="S134" s="138">
        <f>IF(S44&gt;0,S74/S44,1E99)</f>
        <v/>
      </c>
      <c r="T134" s="138">
        <f>IF(T44&gt;0,T74/T44,1E99)</f>
        <v/>
      </c>
      <c r="U134" s="138">
        <f>IF(U44&gt;0,U74/U44,1E99)</f>
        <v/>
      </c>
    </row>
    <row r="135">
      <c r="B135" s="138">
        <f>IF(B45&gt;0,B75/B45,1E99)</f>
        <v/>
      </c>
      <c r="C135" s="138">
        <f>IF(C45&gt;0,C75/C45,1E99)</f>
        <v/>
      </c>
      <c r="D135" s="138">
        <f>IF(D45&gt;0,D75/D45,1E99)</f>
        <v/>
      </c>
      <c r="E135" s="138">
        <f>IF(E45&gt;0,E75/E45,1E99)</f>
        <v/>
      </c>
      <c r="F135" s="138">
        <f>IF(F45&gt;0,F75/F45,1E99)</f>
        <v/>
      </c>
      <c r="G135" s="138">
        <f>IF(G45&gt;0,G75/G45,1E99)</f>
        <v/>
      </c>
      <c r="H135" s="138">
        <f>IF(H45&gt;0,H75/H45,1E99)</f>
        <v/>
      </c>
      <c r="I135" s="138">
        <f>IF(I45&gt;0,I75/I45,1E99)</f>
        <v/>
      </c>
      <c r="J135" s="138">
        <f>IF(J45&gt;0,J75/J45,1E99)</f>
        <v/>
      </c>
      <c r="K135" s="138">
        <f>IF(K45&gt;0,K75/K45,1E99)</f>
        <v/>
      </c>
      <c r="L135" s="138">
        <f>IF(L45&gt;0,L75/L45,1E99)</f>
        <v/>
      </c>
      <c r="M135" s="138">
        <f>IF(M45&gt;0,M75/M45,1E99)</f>
        <v/>
      </c>
      <c r="N135" s="138">
        <f>IF(N45&gt;0,N75/N45,1E99)</f>
        <v/>
      </c>
      <c r="O135" s="138">
        <f>IF(O45&gt;0,O75/O45,1E99)</f>
        <v/>
      </c>
      <c r="P135" s="138">
        <f>IF(P45&gt;0,P75/P45,1E99)</f>
        <v/>
      </c>
      <c r="Q135" s="138">
        <f>IF(Q45&gt;0,Q75/Q45,1E99)</f>
        <v/>
      </c>
      <c r="R135" s="138">
        <f>IF(R45&gt;0,R75/R45,1E99)</f>
        <v/>
      </c>
      <c r="S135" s="138">
        <f>IF(S45&gt;0,S75/S45,1E99)</f>
        <v/>
      </c>
      <c r="T135" s="138">
        <f>IF(T45&gt;0,T75/T45,1E99)</f>
        <v/>
      </c>
      <c r="U135" s="138">
        <f>IF(U45&gt;0,U75/U45,1E99)</f>
        <v/>
      </c>
    </row>
    <row r="136">
      <c r="B136" s="138">
        <f>IF(B46&gt;0,B76/B46,1E99)</f>
        <v/>
      </c>
      <c r="C136" s="138">
        <f>IF(C46&gt;0,C76/C46,1E99)</f>
        <v/>
      </c>
      <c r="D136" s="138">
        <f>IF(D46&gt;0,D76/D46,1E99)</f>
        <v/>
      </c>
      <c r="E136" s="138">
        <f>IF(E46&gt;0,E76/E46,1E99)</f>
        <v/>
      </c>
      <c r="F136" s="138">
        <f>IF(F46&gt;0,F76/F46,1E99)</f>
        <v/>
      </c>
      <c r="G136" s="138">
        <f>IF(G46&gt;0,G76/G46,1E99)</f>
        <v/>
      </c>
      <c r="H136" s="138">
        <f>IF(H46&gt;0,H76/H46,1E99)</f>
        <v/>
      </c>
      <c r="I136" s="138">
        <f>IF(I46&gt;0,I76/I46,1E99)</f>
        <v/>
      </c>
      <c r="J136" s="138">
        <f>IF(J46&gt;0,J76/J46,1E99)</f>
        <v/>
      </c>
      <c r="K136" s="138">
        <f>IF(K46&gt;0,K76/K46,1E99)</f>
        <v/>
      </c>
      <c r="L136" s="138">
        <f>IF(L46&gt;0,L76/L46,1E99)</f>
        <v/>
      </c>
      <c r="M136" s="138">
        <f>IF(M46&gt;0,M76/M46,1E99)</f>
        <v/>
      </c>
      <c r="N136" s="138">
        <f>IF(N46&gt;0,N76/N46,1E99)</f>
        <v/>
      </c>
      <c r="O136" s="138">
        <f>IF(O46&gt;0,O76/O46,1E99)</f>
        <v/>
      </c>
      <c r="P136" s="138">
        <f>IF(P46&gt;0,P76/P46,1E99)</f>
        <v/>
      </c>
      <c r="Q136" s="138">
        <f>IF(Q46&gt;0,Q76/Q46,1E99)</f>
        <v/>
      </c>
      <c r="R136" s="138">
        <f>IF(R46&gt;0,R76/R46,1E99)</f>
        <v/>
      </c>
      <c r="S136" s="138">
        <f>IF(S46&gt;0,S76/S46,1E99)</f>
        <v/>
      </c>
      <c r="T136" s="138">
        <f>IF(T46&gt;0,T76/T46,1E99)</f>
        <v/>
      </c>
      <c r="U136" s="138">
        <f>IF(U46&gt;0,U76/U46,1E99)</f>
        <v/>
      </c>
    </row>
    <row r="137">
      <c r="B137" s="138">
        <f>IF(B47&gt;0,B77/B47,1E99)</f>
        <v/>
      </c>
      <c r="C137" s="138">
        <f>IF(C47&gt;0,C77/C47,1E99)</f>
        <v/>
      </c>
      <c r="D137" s="138">
        <f>IF(D47&gt;0,D77/D47,1E99)</f>
        <v/>
      </c>
      <c r="E137" s="138">
        <f>IF(E47&gt;0,E77/E47,1E99)</f>
        <v/>
      </c>
      <c r="F137" s="138">
        <f>IF(F47&gt;0,F77/F47,1E99)</f>
        <v/>
      </c>
      <c r="G137" s="138">
        <f>IF(G47&gt;0,G77/G47,1E99)</f>
        <v/>
      </c>
      <c r="H137" s="138">
        <f>IF(H47&gt;0,H77/H47,1E99)</f>
        <v/>
      </c>
      <c r="I137" s="138">
        <f>IF(I47&gt;0,I77/I47,1E99)</f>
        <v/>
      </c>
      <c r="J137" s="138">
        <f>IF(J47&gt;0,J77/J47,1E99)</f>
        <v/>
      </c>
      <c r="K137" s="138">
        <f>IF(K47&gt;0,K77/K47,1E99)</f>
        <v/>
      </c>
      <c r="L137" s="138">
        <f>IF(L47&gt;0,L77/L47,1E99)</f>
        <v/>
      </c>
      <c r="M137" s="138">
        <f>IF(M47&gt;0,M77/M47,1E99)</f>
        <v/>
      </c>
      <c r="N137" s="138">
        <f>IF(N47&gt;0,N77/N47,1E99)</f>
        <v/>
      </c>
      <c r="O137" s="138">
        <f>IF(O47&gt;0,O77/O47,1E99)</f>
        <v/>
      </c>
      <c r="P137" s="138">
        <f>IF(P47&gt;0,P77/P47,1E99)</f>
        <v/>
      </c>
      <c r="Q137" s="138">
        <f>IF(Q47&gt;0,Q77/Q47,1E99)</f>
        <v/>
      </c>
      <c r="R137" s="138">
        <f>IF(R47&gt;0,R77/R47,1E99)</f>
        <v/>
      </c>
      <c r="S137" s="138">
        <f>IF(S47&gt;0,S77/S47,1E99)</f>
        <v/>
      </c>
      <c r="T137" s="138">
        <f>IF(T47&gt;0,T77/T47,1E99)</f>
        <v/>
      </c>
      <c r="U137" s="138">
        <f>IF(U47&gt;0,U77/U47,1E99)</f>
        <v/>
      </c>
    </row>
    <row r="138">
      <c r="B138" s="138">
        <f>IF(B48&gt;0,B78/B48,1E99)</f>
        <v/>
      </c>
      <c r="C138" s="138">
        <f>IF(C48&gt;0,C78/C48,1E99)</f>
        <v/>
      </c>
      <c r="D138" s="138">
        <f>IF(D48&gt;0,D78/D48,1E99)</f>
        <v/>
      </c>
      <c r="E138" s="138">
        <f>IF(E48&gt;0,E78/E48,1E99)</f>
        <v/>
      </c>
      <c r="F138" s="138">
        <f>IF(F48&gt;0,F78/F48,1E99)</f>
        <v/>
      </c>
      <c r="G138" s="138">
        <f>IF(G48&gt;0,G78/G48,1E99)</f>
        <v/>
      </c>
      <c r="H138" s="138">
        <f>IF(H48&gt;0,H78/H48,1E99)</f>
        <v/>
      </c>
      <c r="I138" s="138">
        <f>IF(I48&gt;0,I78/I48,1E99)</f>
        <v/>
      </c>
      <c r="J138" s="138">
        <f>IF(J48&gt;0,J78/J48,1E99)</f>
        <v/>
      </c>
      <c r="K138" s="138">
        <f>IF(K48&gt;0,K78/K48,1E99)</f>
        <v/>
      </c>
      <c r="L138" s="138">
        <f>IF(L48&gt;0,L78/L48,1E99)</f>
        <v/>
      </c>
      <c r="M138" s="138">
        <f>IF(M48&gt;0,M78/M48,1E99)</f>
        <v/>
      </c>
      <c r="N138" s="138">
        <f>IF(N48&gt;0,N78/N48,1E99)</f>
        <v/>
      </c>
      <c r="O138" s="138">
        <f>IF(O48&gt;0,O78/O48,1E99)</f>
        <v/>
      </c>
      <c r="P138" s="138">
        <f>IF(P48&gt;0,P78/P48,1E99)</f>
        <v/>
      </c>
      <c r="Q138" s="138">
        <f>IF(Q48&gt;0,Q78/Q48,1E99)</f>
        <v/>
      </c>
      <c r="R138" s="138">
        <f>IF(R48&gt;0,R78/R48,1E99)</f>
        <v/>
      </c>
      <c r="S138" s="138">
        <f>IF(S48&gt;0,S78/S48,1E99)</f>
        <v/>
      </c>
      <c r="T138" s="138">
        <f>IF(T48&gt;0,T78/T48,1E99)</f>
        <v/>
      </c>
      <c r="U138" s="138">
        <f>IF(U48&gt;0,U78/U48,1E99)</f>
        <v/>
      </c>
    </row>
    <row r="144">
      <c r="B144" s="138">
        <f>B24*B$22</f>
        <v/>
      </c>
      <c r="C144" s="138">
        <f>C24*C$22</f>
        <v/>
      </c>
      <c r="D144" s="138">
        <f>D24*D$22</f>
        <v/>
      </c>
      <c r="E144" s="138">
        <f>E24*E$22</f>
        <v/>
      </c>
      <c r="F144" s="138">
        <f>F24*F$22</f>
        <v/>
      </c>
      <c r="G144" s="138">
        <f>G24*G$22</f>
        <v/>
      </c>
      <c r="H144" s="138">
        <f>H24*H$22</f>
        <v/>
      </c>
      <c r="I144" s="138">
        <f>I24*I$22</f>
        <v/>
      </c>
      <c r="J144" s="138">
        <f>J24*J$22</f>
        <v/>
      </c>
      <c r="K144" s="138">
        <f>K24*K$22</f>
        <v/>
      </c>
      <c r="L144" s="138">
        <f>L24*L$22</f>
        <v/>
      </c>
      <c r="M144" s="138">
        <f>M24*M$22</f>
        <v/>
      </c>
      <c r="N144" s="138">
        <f>N24*N$22</f>
        <v/>
      </c>
      <c r="O144" s="138">
        <f>O24*O$22</f>
        <v/>
      </c>
      <c r="P144" s="138">
        <f>P24*P$22</f>
        <v/>
      </c>
      <c r="Q144" s="138">
        <f>Q24*Q$22</f>
        <v/>
      </c>
      <c r="R144" s="138">
        <f>R24*R$22</f>
        <v/>
      </c>
      <c r="S144" s="138">
        <f>S24*S$22</f>
        <v/>
      </c>
      <c r="T144" s="138">
        <f>T24*T$22</f>
        <v/>
      </c>
      <c r="U144" s="138">
        <f>U24*U$22</f>
        <v/>
      </c>
    </row>
    <row r="145">
      <c r="B145" s="138">
        <f>B25*B$22</f>
        <v/>
      </c>
      <c r="C145" s="138">
        <f>C25*C$22</f>
        <v/>
      </c>
      <c r="D145" s="138">
        <f>D25*D$22</f>
        <v/>
      </c>
      <c r="E145" s="138">
        <f>E25*E$22</f>
        <v/>
      </c>
      <c r="F145" s="138">
        <f>F25*F$22</f>
        <v/>
      </c>
      <c r="G145" s="138">
        <f>G25*G$22</f>
        <v/>
      </c>
      <c r="H145" s="138">
        <f>H25*H$22</f>
        <v/>
      </c>
      <c r="I145" s="138">
        <f>I25*I$22</f>
        <v/>
      </c>
      <c r="J145" s="138">
        <f>J25*J$22</f>
        <v/>
      </c>
      <c r="K145" s="138">
        <f>K25*K$22</f>
        <v/>
      </c>
      <c r="L145" s="138">
        <f>L25*L$22</f>
        <v/>
      </c>
      <c r="M145" s="138">
        <f>M25*M$22</f>
        <v/>
      </c>
      <c r="N145" s="138">
        <f>N25*N$22</f>
        <v/>
      </c>
      <c r="O145" s="138">
        <f>O25*O$22</f>
        <v/>
      </c>
      <c r="P145" s="138">
        <f>P25*P$22</f>
        <v/>
      </c>
      <c r="Q145" s="138">
        <f>Q25*Q$22</f>
        <v/>
      </c>
      <c r="R145" s="138">
        <f>R25*R$22</f>
        <v/>
      </c>
      <c r="S145" s="138">
        <f>S25*S$22</f>
        <v/>
      </c>
      <c r="T145" s="138">
        <f>T25*T$22</f>
        <v/>
      </c>
      <c r="U145" s="138">
        <f>U25*U$22</f>
        <v/>
      </c>
    </row>
    <row r="146">
      <c r="B146" s="138">
        <f>B26*B$22</f>
        <v/>
      </c>
      <c r="C146" s="138">
        <f>C26*C$22</f>
        <v/>
      </c>
      <c r="D146" s="138">
        <f>D26*D$22</f>
        <v/>
      </c>
      <c r="E146" s="138">
        <f>E26*E$22</f>
        <v/>
      </c>
      <c r="F146" s="138">
        <f>F26*F$22</f>
        <v/>
      </c>
      <c r="G146" s="138">
        <f>G26*G$22</f>
        <v/>
      </c>
      <c r="H146" s="138">
        <f>H26*H$22</f>
        <v/>
      </c>
      <c r="I146" s="138">
        <f>I26*I$22</f>
        <v/>
      </c>
      <c r="J146" s="138">
        <f>J26*J$22</f>
        <v/>
      </c>
      <c r="K146" s="138">
        <f>K26*K$22</f>
        <v/>
      </c>
      <c r="L146" s="138">
        <f>L26*L$22</f>
        <v/>
      </c>
      <c r="M146" s="138">
        <f>M26*M$22</f>
        <v/>
      </c>
      <c r="N146" s="138">
        <f>N26*N$22</f>
        <v/>
      </c>
      <c r="O146" s="138">
        <f>O26*O$22</f>
        <v/>
      </c>
      <c r="P146" s="138">
        <f>P26*P$22</f>
        <v/>
      </c>
      <c r="Q146" s="138">
        <f>Q26*Q$22</f>
        <v/>
      </c>
      <c r="R146" s="138">
        <f>R26*R$22</f>
        <v/>
      </c>
      <c r="S146" s="138">
        <f>S26*S$22</f>
        <v/>
      </c>
      <c r="T146" s="138">
        <f>T26*T$22</f>
        <v/>
      </c>
      <c r="U146" s="138">
        <f>U26*U$22</f>
        <v/>
      </c>
    </row>
    <row r="147">
      <c r="B147" s="138">
        <f>B27*B$22</f>
        <v/>
      </c>
      <c r="C147" s="138">
        <f>C27*C$22</f>
        <v/>
      </c>
      <c r="D147" s="138">
        <f>D27*D$22</f>
        <v/>
      </c>
      <c r="E147" s="138">
        <f>E27*E$22</f>
        <v/>
      </c>
      <c r="F147" s="138">
        <f>F27*F$22</f>
        <v/>
      </c>
      <c r="G147" s="138">
        <f>G27*G$22</f>
        <v/>
      </c>
      <c r="H147" s="138">
        <f>H27*H$22</f>
        <v/>
      </c>
      <c r="I147" s="138">
        <f>I27*I$22</f>
        <v/>
      </c>
      <c r="J147" s="138">
        <f>J27*J$22</f>
        <v/>
      </c>
      <c r="K147" s="138">
        <f>K27*K$22</f>
        <v/>
      </c>
      <c r="L147" s="138">
        <f>L27*L$22</f>
        <v/>
      </c>
      <c r="M147" s="138">
        <f>M27*M$22</f>
        <v/>
      </c>
      <c r="N147" s="138">
        <f>N27*N$22</f>
        <v/>
      </c>
      <c r="O147" s="138">
        <f>O27*O$22</f>
        <v/>
      </c>
      <c r="P147" s="138">
        <f>P27*P$22</f>
        <v/>
      </c>
      <c r="Q147" s="138">
        <f>Q27*Q$22</f>
        <v/>
      </c>
      <c r="R147" s="138">
        <f>R27*R$22</f>
        <v/>
      </c>
      <c r="S147" s="138">
        <f>S27*S$22</f>
        <v/>
      </c>
      <c r="T147" s="138">
        <f>T27*T$22</f>
        <v/>
      </c>
      <c r="U147" s="138">
        <f>U27*U$22</f>
        <v/>
      </c>
    </row>
    <row r="148">
      <c r="B148" s="138">
        <f>B28*B$22</f>
        <v/>
      </c>
      <c r="C148" s="138">
        <f>C28*C$22</f>
        <v/>
      </c>
      <c r="D148" s="138">
        <f>D28*D$22</f>
        <v/>
      </c>
      <c r="E148" s="138">
        <f>E28*E$22</f>
        <v/>
      </c>
      <c r="F148" s="138">
        <f>F28*F$22</f>
        <v/>
      </c>
      <c r="G148" s="138">
        <f>G28*G$22</f>
        <v/>
      </c>
      <c r="H148" s="138">
        <f>H28*H$22</f>
        <v/>
      </c>
      <c r="I148" s="138">
        <f>I28*I$22</f>
        <v/>
      </c>
      <c r="J148" s="138">
        <f>J28*J$22</f>
        <v/>
      </c>
      <c r="K148" s="138">
        <f>K28*K$22</f>
        <v/>
      </c>
      <c r="L148" s="138">
        <f>L28*L$22</f>
        <v/>
      </c>
      <c r="M148" s="138">
        <f>M28*M$22</f>
        <v/>
      </c>
      <c r="N148" s="138">
        <f>N28*N$22</f>
        <v/>
      </c>
      <c r="O148" s="138">
        <f>O28*O$22</f>
        <v/>
      </c>
      <c r="P148" s="138">
        <f>P28*P$22</f>
        <v/>
      </c>
      <c r="Q148" s="138">
        <f>Q28*Q$22</f>
        <v/>
      </c>
      <c r="R148" s="138">
        <f>R28*R$22</f>
        <v/>
      </c>
      <c r="S148" s="138">
        <f>S28*S$22</f>
        <v/>
      </c>
      <c r="T148" s="138">
        <f>T28*T$22</f>
        <v/>
      </c>
      <c r="U148" s="138">
        <f>U28*U$22</f>
        <v/>
      </c>
    </row>
    <row r="149">
      <c r="B149" s="138">
        <f>B29*B$22</f>
        <v/>
      </c>
      <c r="C149" s="138">
        <f>C29*C$22</f>
        <v/>
      </c>
      <c r="D149" s="138">
        <f>D29*D$22</f>
        <v/>
      </c>
      <c r="E149" s="138">
        <f>E29*E$22</f>
        <v/>
      </c>
      <c r="F149" s="138">
        <f>F29*F$22</f>
        <v/>
      </c>
      <c r="G149" s="138">
        <f>G29*G$22</f>
        <v/>
      </c>
      <c r="H149" s="138">
        <f>H29*H$22</f>
        <v/>
      </c>
      <c r="I149" s="138">
        <f>I29*I$22</f>
        <v/>
      </c>
      <c r="J149" s="138">
        <f>J29*J$22</f>
        <v/>
      </c>
      <c r="K149" s="138">
        <f>K29*K$22</f>
        <v/>
      </c>
      <c r="L149" s="138">
        <f>L29*L$22</f>
        <v/>
      </c>
      <c r="M149" s="138">
        <f>M29*M$22</f>
        <v/>
      </c>
      <c r="N149" s="138">
        <f>N29*N$22</f>
        <v/>
      </c>
      <c r="O149" s="138">
        <f>O29*O$22</f>
        <v/>
      </c>
      <c r="P149" s="138">
        <f>P29*P$22</f>
        <v/>
      </c>
      <c r="Q149" s="138">
        <f>Q29*Q$22</f>
        <v/>
      </c>
      <c r="R149" s="138">
        <f>R29*R$22</f>
        <v/>
      </c>
      <c r="S149" s="138">
        <f>S29*S$22</f>
        <v/>
      </c>
      <c r="T149" s="138">
        <f>T29*T$22</f>
        <v/>
      </c>
      <c r="U149" s="138">
        <f>U29*U$22</f>
        <v/>
      </c>
    </row>
    <row r="150">
      <c r="B150" s="138">
        <f>B30*B$22</f>
        <v/>
      </c>
      <c r="C150" s="138">
        <f>C30*C$22</f>
        <v/>
      </c>
      <c r="D150" s="138">
        <f>D30*D$22</f>
        <v/>
      </c>
      <c r="E150" s="138">
        <f>E30*E$22</f>
        <v/>
      </c>
      <c r="F150" s="138">
        <f>F30*F$22</f>
        <v/>
      </c>
      <c r="G150" s="138">
        <f>G30*G$22</f>
        <v/>
      </c>
      <c r="H150" s="138">
        <f>H30*H$22</f>
        <v/>
      </c>
      <c r="I150" s="138">
        <f>I30*I$22</f>
        <v/>
      </c>
      <c r="J150" s="138">
        <f>J30*J$22</f>
        <v/>
      </c>
      <c r="K150" s="138">
        <f>K30*K$22</f>
        <v/>
      </c>
      <c r="L150" s="138">
        <f>L30*L$22</f>
        <v/>
      </c>
      <c r="M150" s="138">
        <f>M30*M$22</f>
        <v/>
      </c>
      <c r="N150" s="138">
        <f>N30*N$22</f>
        <v/>
      </c>
      <c r="O150" s="138">
        <f>O30*O$22</f>
        <v/>
      </c>
      <c r="P150" s="138">
        <f>P30*P$22</f>
        <v/>
      </c>
      <c r="Q150" s="138">
        <f>Q30*Q$22</f>
        <v/>
      </c>
      <c r="R150" s="138">
        <f>R30*R$22</f>
        <v/>
      </c>
      <c r="S150" s="138">
        <f>S30*S$22</f>
        <v/>
      </c>
      <c r="T150" s="138">
        <f>T30*T$22</f>
        <v/>
      </c>
      <c r="U150" s="138">
        <f>U30*U$22</f>
        <v/>
      </c>
    </row>
    <row r="151">
      <c r="B151" s="138">
        <f>B31*B$22</f>
        <v/>
      </c>
      <c r="C151" s="138">
        <f>C31*C$22</f>
        <v/>
      </c>
      <c r="D151" s="138">
        <f>D31*D$22</f>
        <v/>
      </c>
      <c r="E151" s="138">
        <f>E31*E$22</f>
        <v/>
      </c>
      <c r="F151" s="138">
        <f>F31*F$22</f>
        <v/>
      </c>
      <c r="G151" s="138">
        <f>G31*G$22</f>
        <v/>
      </c>
      <c r="H151" s="138">
        <f>H31*H$22</f>
        <v/>
      </c>
      <c r="I151" s="138">
        <f>I31*I$22</f>
        <v/>
      </c>
      <c r="J151" s="138">
        <f>J31*J$22</f>
        <v/>
      </c>
      <c r="K151" s="138">
        <f>K31*K$22</f>
        <v/>
      </c>
      <c r="L151" s="138">
        <f>L31*L$22</f>
        <v/>
      </c>
      <c r="M151" s="138">
        <f>M31*M$22</f>
        <v/>
      </c>
      <c r="N151" s="138">
        <f>N31*N$22</f>
        <v/>
      </c>
      <c r="O151" s="138">
        <f>O31*O$22</f>
        <v/>
      </c>
      <c r="P151" s="138">
        <f>P31*P$22</f>
        <v/>
      </c>
      <c r="Q151" s="138">
        <f>Q31*Q$22</f>
        <v/>
      </c>
      <c r="R151" s="138">
        <f>R31*R$22</f>
        <v/>
      </c>
      <c r="S151" s="138">
        <f>S31*S$22</f>
        <v/>
      </c>
      <c r="T151" s="138">
        <f>T31*T$22</f>
        <v/>
      </c>
      <c r="U151" s="138">
        <f>U31*U$22</f>
        <v/>
      </c>
    </row>
    <row r="152">
      <c r="B152" s="138">
        <f>B32*B$22</f>
        <v/>
      </c>
      <c r="C152" s="138">
        <f>C32*C$22</f>
        <v/>
      </c>
      <c r="D152" s="138">
        <f>D32*D$22</f>
        <v/>
      </c>
      <c r="E152" s="138">
        <f>E32*E$22</f>
        <v/>
      </c>
      <c r="F152" s="138">
        <f>F32*F$22</f>
        <v/>
      </c>
      <c r="G152" s="138">
        <f>G32*G$22</f>
        <v/>
      </c>
      <c r="H152" s="138">
        <f>H32*H$22</f>
        <v/>
      </c>
      <c r="I152" s="138">
        <f>I32*I$22</f>
        <v/>
      </c>
      <c r="J152" s="138">
        <f>J32*J$22</f>
        <v/>
      </c>
      <c r="K152" s="138">
        <f>K32*K$22</f>
        <v/>
      </c>
      <c r="L152" s="138">
        <f>L32*L$22</f>
        <v/>
      </c>
      <c r="M152" s="138">
        <f>M32*M$22</f>
        <v/>
      </c>
      <c r="N152" s="138">
        <f>N32*N$22</f>
        <v/>
      </c>
      <c r="O152" s="138">
        <f>O32*O$22</f>
        <v/>
      </c>
      <c r="P152" s="138">
        <f>P32*P$22</f>
        <v/>
      </c>
      <c r="Q152" s="138">
        <f>Q32*Q$22</f>
        <v/>
      </c>
      <c r="R152" s="138">
        <f>R32*R$22</f>
        <v/>
      </c>
      <c r="S152" s="138">
        <f>S32*S$22</f>
        <v/>
      </c>
      <c r="T152" s="138">
        <f>T32*T$22</f>
        <v/>
      </c>
      <c r="U152" s="138">
        <f>U32*U$22</f>
        <v/>
      </c>
    </row>
    <row r="153">
      <c r="B153" s="138">
        <f>B33*B$22</f>
        <v/>
      </c>
      <c r="C153" s="138">
        <f>C33*C$22</f>
        <v/>
      </c>
      <c r="D153" s="138">
        <f>D33*D$22</f>
        <v/>
      </c>
      <c r="E153" s="138">
        <f>E33*E$22</f>
        <v/>
      </c>
      <c r="F153" s="138">
        <f>F33*F$22</f>
        <v/>
      </c>
      <c r="G153" s="138">
        <f>G33*G$22</f>
        <v/>
      </c>
      <c r="H153" s="138">
        <f>H33*H$22</f>
        <v/>
      </c>
      <c r="I153" s="138">
        <f>I33*I$22</f>
        <v/>
      </c>
      <c r="J153" s="138">
        <f>J33*J$22</f>
        <v/>
      </c>
      <c r="K153" s="138">
        <f>K33*K$22</f>
        <v/>
      </c>
      <c r="L153" s="138">
        <f>L33*L$22</f>
        <v/>
      </c>
      <c r="M153" s="138">
        <f>M33*M$22</f>
        <v/>
      </c>
      <c r="N153" s="138">
        <f>N33*N$22</f>
        <v/>
      </c>
      <c r="O153" s="138">
        <f>O33*O$22</f>
        <v/>
      </c>
      <c r="P153" s="138">
        <f>P33*P$22</f>
        <v/>
      </c>
      <c r="Q153" s="138">
        <f>Q33*Q$22</f>
        <v/>
      </c>
      <c r="R153" s="138">
        <f>R33*R$22</f>
        <v/>
      </c>
      <c r="S153" s="138">
        <f>S33*S$22</f>
        <v/>
      </c>
      <c r="T153" s="138">
        <f>T33*T$22</f>
        <v/>
      </c>
      <c r="U153" s="138">
        <f>U33*U$22</f>
        <v/>
      </c>
    </row>
    <row r="154">
      <c r="B154" s="138">
        <f>B34*B$22</f>
        <v/>
      </c>
      <c r="C154" s="138">
        <f>C34*C$22</f>
        <v/>
      </c>
      <c r="D154" s="138">
        <f>D34*D$22</f>
        <v/>
      </c>
      <c r="E154" s="138">
        <f>E34*E$22</f>
        <v/>
      </c>
      <c r="F154" s="138">
        <f>F34*F$22</f>
        <v/>
      </c>
      <c r="G154" s="138">
        <f>G34*G$22</f>
        <v/>
      </c>
      <c r="H154" s="138">
        <f>H34*H$22</f>
        <v/>
      </c>
      <c r="I154" s="138">
        <f>I34*I$22</f>
        <v/>
      </c>
      <c r="J154" s="138">
        <f>J34*J$22</f>
        <v/>
      </c>
      <c r="K154" s="138">
        <f>K34*K$22</f>
        <v/>
      </c>
      <c r="L154" s="138">
        <f>L34*L$22</f>
        <v/>
      </c>
      <c r="M154" s="138">
        <f>M34*M$22</f>
        <v/>
      </c>
      <c r="N154" s="138">
        <f>N34*N$22</f>
        <v/>
      </c>
      <c r="O154" s="138">
        <f>O34*O$22</f>
        <v/>
      </c>
      <c r="P154" s="138">
        <f>P34*P$22</f>
        <v/>
      </c>
      <c r="Q154" s="138">
        <f>Q34*Q$22</f>
        <v/>
      </c>
      <c r="R154" s="138">
        <f>R34*R$22</f>
        <v/>
      </c>
      <c r="S154" s="138">
        <f>S34*S$22</f>
        <v/>
      </c>
      <c r="T154" s="138">
        <f>T34*T$22</f>
        <v/>
      </c>
      <c r="U154" s="138">
        <f>U34*U$22</f>
        <v/>
      </c>
    </row>
    <row r="155">
      <c r="B155" s="138">
        <f>B35*B$22</f>
        <v/>
      </c>
      <c r="C155" s="138">
        <f>C35*C$22</f>
        <v/>
      </c>
      <c r="D155" s="138">
        <f>D35*D$22</f>
        <v/>
      </c>
      <c r="E155" s="138">
        <f>E35*E$22</f>
        <v/>
      </c>
      <c r="F155" s="138">
        <f>F35*F$22</f>
        <v/>
      </c>
      <c r="G155" s="138">
        <f>G35*G$22</f>
        <v/>
      </c>
      <c r="H155" s="138">
        <f>H35*H$22</f>
        <v/>
      </c>
      <c r="I155" s="138">
        <f>I35*I$22</f>
        <v/>
      </c>
      <c r="J155" s="138">
        <f>J35*J$22</f>
        <v/>
      </c>
      <c r="K155" s="138">
        <f>K35*K$22</f>
        <v/>
      </c>
      <c r="L155" s="138">
        <f>L35*L$22</f>
        <v/>
      </c>
      <c r="M155" s="138">
        <f>M35*M$22</f>
        <v/>
      </c>
      <c r="N155" s="138">
        <f>N35*N$22</f>
        <v/>
      </c>
      <c r="O155" s="138">
        <f>O35*O$22</f>
        <v/>
      </c>
      <c r="P155" s="138">
        <f>P35*P$22</f>
        <v/>
      </c>
      <c r="Q155" s="138">
        <f>Q35*Q$22</f>
        <v/>
      </c>
      <c r="R155" s="138">
        <f>R35*R$22</f>
        <v/>
      </c>
      <c r="S155" s="138">
        <f>S35*S$22</f>
        <v/>
      </c>
      <c r="T155" s="138">
        <f>T35*T$22</f>
        <v/>
      </c>
      <c r="U155" s="138">
        <f>U35*U$22</f>
        <v/>
      </c>
    </row>
    <row r="156">
      <c r="B156" s="138">
        <f>B36*B$22</f>
        <v/>
      </c>
      <c r="C156" s="138">
        <f>C36*C$22</f>
        <v/>
      </c>
      <c r="D156" s="138">
        <f>D36*D$22</f>
        <v/>
      </c>
      <c r="E156" s="138">
        <f>E36*E$22</f>
        <v/>
      </c>
      <c r="F156" s="138">
        <f>F36*F$22</f>
        <v/>
      </c>
      <c r="G156" s="138">
        <f>G36*G$22</f>
        <v/>
      </c>
      <c r="H156" s="138">
        <f>H36*H$22</f>
        <v/>
      </c>
      <c r="I156" s="138">
        <f>I36*I$22</f>
        <v/>
      </c>
      <c r="J156" s="138">
        <f>J36*J$22</f>
        <v/>
      </c>
      <c r="K156" s="138">
        <f>K36*K$22</f>
        <v/>
      </c>
      <c r="L156" s="138">
        <f>L36*L$22</f>
        <v/>
      </c>
      <c r="M156" s="138">
        <f>M36*M$22</f>
        <v/>
      </c>
      <c r="N156" s="138">
        <f>N36*N$22</f>
        <v/>
      </c>
      <c r="O156" s="138">
        <f>O36*O$22</f>
        <v/>
      </c>
      <c r="P156" s="138">
        <f>P36*P$22</f>
        <v/>
      </c>
      <c r="Q156" s="138">
        <f>Q36*Q$22</f>
        <v/>
      </c>
      <c r="R156" s="138">
        <f>R36*R$22</f>
        <v/>
      </c>
      <c r="S156" s="138">
        <f>S36*S$22</f>
        <v/>
      </c>
      <c r="T156" s="138">
        <f>T36*T$22</f>
        <v/>
      </c>
      <c r="U156" s="138">
        <f>U36*U$22</f>
        <v/>
      </c>
    </row>
    <row r="157">
      <c r="B157" s="138">
        <f>B37*B$22</f>
        <v/>
      </c>
      <c r="C157" s="138">
        <f>C37*C$22</f>
        <v/>
      </c>
      <c r="D157" s="138">
        <f>D37*D$22</f>
        <v/>
      </c>
      <c r="E157" s="138">
        <f>E37*E$22</f>
        <v/>
      </c>
      <c r="F157" s="138">
        <f>F37*F$22</f>
        <v/>
      </c>
      <c r="G157" s="138">
        <f>G37*G$22</f>
        <v/>
      </c>
      <c r="H157" s="138">
        <f>H37*H$22</f>
        <v/>
      </c>
      <c r="I157" s="138">
        <f>I37*I$22</f>
        <v/>
      </c>
      <c r="J157" s="138">
        <f>J37*J$22</f>
        <v/>
      </c>
      <c r="K157" s="138">
        <f>K37*K$22</f>
        <v/>
      </c>
      <c r="L157" s="138">
        <f>L37*L$22</f>
        <v/>
      </c>
      <c r="M157" s="138">
        <f>M37*M$22</f>
        <v/>
      </c>
      <c r="N157" s="138">
        <f>N37*N$22</f>
        <v/>
      </c>
      <c r="O157" s="138">
        <f>O37*O$22</f>
        <v/>
      </c>
      <c r="P157" s="138">
        <f>P37*P$22</f>
        <v/>
      </c>
      <c r="Q157" s="138">
        <f>Q37*Q$22</f>
        <v/>
      </c>
      <c r="R157" s="138">
        <f>R37*R$22</f>
        <v/>
      </c>
      <c r="S157" s="138">
        <f>S37*S$22</f>
        <v/>
      </c>
      <c r="T157" s="138">
        <f>T37*T$22</f>
        <v/>
      </c>
      <c r="U157" s="138">
        <f>U37*U$22</f>
        <v/>
      </c>
    </row>
    <row r="158">
      <c r="B158" s="138">
        <f>B38*B$22</f>
        <v/>
      </c>
      <c r="C158" s="138">
        <f>C38*C$22</f>
        <v/>
      </c>
      <c r="D158" s="138">
        <f>D38*D$22</f>
        <v/>
      </c>
      <c r="E158" s="138">
        <f>E38*E$22</f>
        <v/>
      </c>
      <c r="F158" s="138">
        <f>F38*F$22</f>
        <v/>
      </c>
      <c r="G158" s="138">
        <f>G38*G$22</f>
        <v/>
      </c>
      <c r="H158" s="138">
        <f>H38*H$22</f>
        <v/>
      </c>
      <c r="I158" s="138">
        <f>I38*I$22</f>
        <v/>
      </c>
      <c r="J158" s="138">
        <f>J38*J$22</f>
        <v/>
      </c>
      <c r="K158" s="138">
        <f>K38*K$22</f>
        <v/>
      </c>
      <c r="L158" s="138">
        <f>L38*L$22</f>
        <v/>
      </c>
      <c r="M158" s="138">
        <f>M38*M$22</f>
        <v/>
      </c>
      <c r="N158" s="138">
        <f>N38*N$22</f>
        <v/>
      </c>
      <c r="O158" s="138">
        <f>O38*O$22</f>
        <v/>
      </c>
      <c r="P158" s="138">
        <f>P38*P$22</f>
        <v/>
      </c>
      <c r="Q158" s="138">
        <f>Q38*Q$22</f>
        <v/>
      </c>
      <c r="R158" s="138">
        <f>R38*R$22</f>
        <v/>
      </c>
      <c r="S158" s="138">
        <f>S38*S$22</f>
        <v/>
      </c>
      <c r="T158" s="138">
        <f>T38*T$22</f>
        <v/>
      </c>
      <c r="U158" s="138">
        <f>U38*U$22</f>
        <v/>
      </c>
    </row>
    <row r="159">
      <c r="B159" s="138">
        <f>B39*B$22</f>
        <v/>
      </c>
      <c r="C159" s="138">
        <f>C39*C$22</f>
        <v/>
      </c>
      <c r="D159" s="138">
        <f>D39*D$22</f>
        <v/>
      </c>
      <c r="E159" s="138">
        <f>E39*E$22</f>
        <v/>
      </c>
      <c r="F159" s="138">
        <f>F39*F$22</f>
        <v/>
      </c>
      <c r="G159" s="138">
        <f>G39*G$22</f>
        <v/>
      </c>
      <c r="H159" s="138">
        <f>H39*H$22</f>
        <v/>
      </c>
      <c r="I159" s="138">
        <f>I39*I$22</f>
        <v/>
      </c>
      <c r="J159" s="138">
        <f>J39*J$22</f>
        <v/>
      </c>
      <c r="K159" s="138">
        <f>K39*K$22</f>
        <v/>
      </c>
      <c r="L159" s="138">
        <f>L39*L$22</f>
        <v/>
      </c>
      <c r="M159" s="138">
        <f>M39*M$22</f>
        <v/>
      </c>
      <c r="N159" s="138">
        <f>N39*N$22</f>
        <v/>
      </c>
      <c r="O159" s="138">
        <f>O39*O$22</f>
        <v/>
      </c>
      <c r="P159" s="138">
        <f>P39*P$22</f>
        <v/>
      </c>
      <c r="Q159" s="138">
        <f>Q39*Q$22</f>
        <v/>
      </c>
      <c r="R159" s="138">
        <f>R39*R$22</f>
        <v/>
      </c>
      <c r="S159" s="138">
        <f>S39*S$22</f>
        <v/>
      </c>
      <c r="T159" s="138">
        <f>T39*T$22</f>
        <v/>
      </c>
      <c r="U159" s="138">
        <f>U39*U$22</f>
        <v/>
      </c>
    </row>
    <row r="160">
      <c r="B160" s="138">
        <f>B40*B$22</f>
        <v/>
      </c>
      <c r="C160" s="138">
        <f>C40*C$22</f>
        <v/>
      </c>
      <c r="D160" s="138">
        <f>D40*D$22</f>
        <v/>
      </c>
      <c r="E160" s="138">
        <f>E40*E$22</f>
        <v/>
      </c>
      <c r="F160" s="138">
        <f>F40*F$22</f>
        <v/>
      </c>
      <c r="G160" s="138">
        <f>G40*G$22</f>
        <v/>
      </c>
      <c r="H160" s="138">
        <f>H40*H$22</f>
        <v/>
      </c>
      <c r="I160" s="138">
        <f>I40*I$22</f>
        <v/>
      </c>
      <c r="J160" s="138">
        <f>J40*J$22</f>
        <v/>
      </c>
      <c r="K160" s="138">
        <f>K40*K$22</f>
        <v/>
      </c>
      <c r="L160" s="138">
        <f>L40*L$22</f>
        <v/>
      </c>
      <c r="M160" s="138">
        <f>M40*M$22</f>
        <v/>
      </c>
      <c r="N160" s="138">
        <f>N40*N$22</f>
        <v/>
      </c>
      <c r="O160" s="138">
        <f>O40*O$22</f>
        <v/>
      </c>
      <c r="P160" s="138">
        <f>P40*P$22</f>
        <v/>
      </c>
      <c r="Q160" s="138">
        <f>Q40*Q$22</f>
        <v/>
      </c>
      <c r="R160" s="138">
        <f>R40*R$22</f>
        <v/>
      </c>
      <c r="S160" s="138">
        <f>S40*S$22</f>
        <v/>
      </c>
      <c r="T160" s="138">
        <f>T40*T$22</f>
        <v/>
      </c>
      <c r="U160" s="138">
        <f>U40*U$22</f>
        <v/>
      </c>
    </row>
    <row r="161">
      <c r="B161" s="138">
        <f>B41*B$22</f>
        <v/>
      </c>
      <c r="C161" s="138">
        <f>C41*C$22</f>
        <v/>
      </c>
      <c r="D161" s="138">
        <f>D41*D$22</f>
        <v/>
      </c>
      <c r="E161" s="138">
        <f>E41*E$22</f>
        <v/>
      </c>
      <c r="F161" s="138">
        <f>F41*F$22</f>
        <v/>
      </c>
      <c r="G161" s="138">
        <f>G41*G$22</f>
        <v/>
      </c>
      <c r="H161" s="138">
        <f>H41*H$22</f>
        <v/>
      </c>
      <c r="I161" s="138">
        <f>I41*I$22</f>
        <v/>
      </c>
      <c r="J161" s="138">
        <f>J41*J$22</f>
        <v/>
      </c>
      <c r="K161" s="138">
        <f>K41*K$22</f>
        <v/>
      </c>
      <c r="L161" s="138">
        <f>L41*L$22</f>
        <v/>
      </c>
      <c r="M161" s="138">
        <f>M41*M$22</f>
        <v/>
      </c>
      <c r="N161" s="138">
        <f>N41*N$22</f>
        <v/>
      </c>
      <c r="O161" s="138">
        <f>O41*O$22</f>
        <v/>
      </c>
      <c r="P161" s="138">
        <f>P41*P$22</f>
        <v/>
      </c>
      <c r="Q161" s="138">
        <f>Q41*Q$22</f>
        <v/>
      </c>
      <c r="R161" s="138">
        <f>R41*R$22</f>
        <v/>
      </c>
      <c r="S161" s="138">
        <f>S41*S$22</f>
        <v/>
      </c>
      <c r="T161" s="138">
        <f>T41*T$22</f>
        <v/>
      </c>
      <c r="U161" s="138">
        <f>U41*U$22</f>
        <v/>
      </c>
    </row>
    <row r="162">
      <c r="B162" s="138">
        <f>B42*B$22</f>
        <v/>
      </c>
      <c r="C162" s="138">
        <f>C42*C$22</f>
        <v/>
      </c>
      <c r="D162" s="138">
        <f>D42*D$22</f>
        <v/>
      </c>
      <c r="E162" s="138">
        <f>E42*E$22</f>
        <v/>
      </c>
      <c r="F162" s="138">
        <f>F42*F$22</f>
        <v/>
      </c>
      <c r="G162" s="138">
        <f>G42*G$22</f>
        <v/>
      </c>
      <c r="H162" s="138">
        <f>H42*H$22</f>
        <v/>
      </c>
      <c r="I162" s="138">
        <f>I42*I$22</f>
        <v/>
      </c>
      <c r="J162" s="138">
        <f>J42*J$22</f>
        <v/>
      </c>
      <c r="K162" s="138">
        <f>K42*K$22</f>
        <v/>
      </c>
      <c r="L162" s="138">
        <f>L42*L$22</f>
        <v/>
      </c>
      <c r="M162" s="138">
        <f>M42*M$22</f>
        <v/>
      </c>
      <c r="N162" s="138">
        <f>N42*N$22</f>
        <v/>
      </c>
      <c r="O162" s="138">
        <f>O42*O$22</f>
        <v/>
      </c>
      <c r="P162" s="138">
        <f>P42*P$22</f>
        <v/>
      </c>
      <c r="Q162" s="138">
        <f>Q42*Q$22</f>
        <v/>
      </c>
      <c r="R162" s="138">
        <f>R42*R$22</f>
        <v/>
      </c>
      <c r="S162" s="138">
        <f>S42*S$22</f>
        <v/>
      </c>
      <c r="T162" s="138">
        <f>T42*T$22</f>
        <v/>
      </c>
      <c r="U162" s="138">
        <f>U42*U$22</f>
        <v/>
      </c>
    </row>
    <row r="163">
      <c r="B163" s="138">
        <f>B43*B$22</f>
        <v/>
      </c>
      <c r="C163" s="138">
        <f>C43*C$22</f>
        <v/>
      </c>
      <c r="D163" s="138">
        <f>D43*D$22</f>
        <v/>
      </c>
      <c r="E163" s="138">
        <f>E43*E$22</f>
        <v/>
      </c>
      <c r="F163" s="138">
        <f>F43*F$22</f>
        <v/>
      </c>
      <c r="G163" s="138">
        <f>G43*G$22</f>
        <v/>
      </c>
      <c r="H163" s="138">
        <f>H43*H$22</f>
        <v/>
      </c>
      <c r="I163" s="138">
        <f>I43*I$22</f>
        <v/>
      </c>
      <c r="J163" s="138">
        <f>J43*J$22</f>
        <v/>
      </c>
      <c r="K163" s="138">
        <f>K43*K$22</f>
        <v/>
      </c>
      <c r="L163" s="138">
        <f>L43*L$22</f>
        <v/>
      </c>
      <c r="M163" s="138">
        <f>M43*M$22</f>
        <v/>
      </c>
      <c r="N163" s="138">
        <f>N43*N$22</f>
        <v/>
      </c>
      <c r="O163" s="138">
        <f>O43*O$22</f>
        <v/>
      </c>
      <c r="P163" s="138">
        <f>P43*P$22</f>
        <v/>
      </c>
      <c r="Q163" s="138">
        <f>Q43*Q$22</f>
        <v/>
      </c>
      <c r="R163" s="138">
        <f>R43*R$22</f>
        <v/>
      </c>
      <c r="S163" s="138">
        <f>S43*S$22</f>
        <v/>
      </c>
      <c r="T163" s="138">
        <f>T43*T$22</f>
        <v/>
      </c>
      <c r="U163" s="138">
        <f>U43*U$22</f>
        <v/>
      </c>
    </row>
    <row r="164">
      <c r="B164" s="138">
        <f>B44*B$22</f>
        <v/>
      </c>
      <c r="C164" s="138">
        <f>C44*C$22</f>
        <v/>
      </c>
      <c r="D164" s="138">
        <f>D44*D$22</f>
        <v/>
      </c>
      <c r="E164" s="138">
        <f>E44*E$22</f>
        <v/>
      </c>
      <c r="F164" s="138">
        <f>F44*F$22</f>
        <v/>
      </c>
      <c r="G164" s="138">
        <f>G44*G$22</f>
        <v/>
      </c>
      <c r="H164" s="138">
        <f>H44*H$22</f>
        <v/>
      </c>
      <c r="I164" s="138">
        <f>I44*I$22</f>
        <v/>
      </c>
      <c r="J164" s="138">
        <f>J44*J$22</f>
        <v/>
      </c>
      <c r="K164" s="138">
        <f>K44*K$22</f>
        <v/>
      </c>
      <c r="L164" s="138">
        <f>L44*L$22</f>
        <v/>
      </c>
      <c r="M164" s="138">
        <f>M44*M$22</f>
        <v/>
      </c>
      <c r="N164" s="138">
        <f>N44*N$22</f>
        <v/>
      </c>
      <c r="O164" s="138">
        <f>O44*O$22</f>
        <v/>
      </c>
      <c r="P164" s="138">
        <f>P44*P$22</f>
        <v/>
      </c>
      <c r="Q164" s="138">
        <f>Q44*Q$22</f>
        <v/>
      </c>
      <c r="R164" s="138">
        <f>R44*R$22</f>
        <v/>
      </c>
      <c r="S164" s="138">
        <f>S44*S$22</f>
        <v/>
      </c>
      <c r="T164" s="138">
        <f>T44*T$22</f>
        <v/>
      </c>
      <c r="U164" s="138">
        <f>U44*U$22</f>
        <v/>
      </c>
    </row>
    <row r="165">
      <c r="B165" s="138">
        <f>B45*B$22</f>
        <v/>
      </c>
      <c r="C165" s="138">
        <f>C45*C$22</f>
        <v/>
      </c>
      <c r="D165" s="138">
        <f>D45*D$22</f>
        <v/>
      </c>
      <c r="E165" s="138">
        <f>E45*E$22</f>
        <v/>
      </c>
      <c r="F165" s="138">
        <f>F45*F$22</f>
        <v/>
      </c>
      <c r="G165" s="138">
        <f>G45*G$22</f>
        <v/>
      </c>
      <c r="H165" s="138">
        <f>H45*H$22</f>
        <v/>
      </c>
      <c r="I165" s="138">
        <f>I45*I$22</f>
        <v/>
      </c>
      <c r="J165" s="138">
        <f>J45*J$22</f>
        <v/>
      </c>
      <c r="K165" s="138">
        <f>K45*K$22</f>
        <v/>
      </c>
      <c r="L165" s="138">
        <f>L45*L$22</f>
        <v/>
      </c>
      <c r="M165" s="138">
        <f>M45*M$22</f>
        <v/>
      </c>
      <c r="N165" s="138">
        <f>N45*N$22</f>
        <v/>
      </c>
      <c r="O165" s="138">
        <f>O45*O$22</f>
        <v/>
      </c>
      <c r="P165" s="138">
        <f>P45*P$22</f>
        <v/>
      </c>
      <c r="Q165" s="138">
        <f>Q45*Q$22</f>
        <v/>
      </c>
      <c r="R165" s="138">
        <f>R45*R$22</f>
        <v/>
      </c>
      <c r="S165" s="138">
        <f>S45*S$22</f>
        <v/>
      </c>
      <c r="T165" s="138">
        <f>T45*T$22</f>
        <v/>
      </c>
      <c r="U165" s="138">
        <f>U45*U$22</f>
        <v/>
      </c>
    </row>
    <row r="166">
      <c r="B166" s="138">
        <f>B46*B$22</f>
        <v/>
      </c>
      <c r="C166" s="138">
        <f>C46*C$22</f>
        <v/>
      </c>
      <c r="D166" s="138">
        <f>D46*D$22</f>
        <v/>
      </c>
      <c r="E166" s="138">
        <f>E46*E$22</f>
        <v/>
      </c>
      <c r="F166" s="138">
        <f>F46*F$22</f>
        <v/>
      </c>
      <c r="G166" s="138">
        <f>G46*G$22</f>
        <v/>
      </c>
      <c r="H166" s="138">
        <f>H46*H$22</f>
        <v/>
      </c>
      <c r="I166" s="138">
        <f>I46*I$22</f>
        <v/>
      </c>
      <c r="J166" s="138">
        <f>J46*J$22</f>
        <v/>
      </c>
      <c r="K166" s="138">
        <f>K46*K$22</f>
        <v/>
      </c>
      <c r="L166" s="138">
        <f>L46*L$22</f>
        <v/>
      </c>
      <c r="M166" s="138">
        <f>M46*M$22</f>
        <v/>
      </c>
      <c r="N166" s="138">
        <f>N46*N$22</f>
        <v/>
      </c>
      <c r="O166" s="138">
        <f>O46*O$22</f>
        <v/>
      </c>
      <c r="P166" s="138">
        <f>P46*P$22</f>
        <v/>
      </c>
      <c r="Q166" s="138">
        <f>Q46*Q$22</f>
        <v/>
      </c>
      <c r="R166" s="138">
        <f>R46*R$22</f>
        <v/>
      </c>
      <c r="S166" s="138">
        <f>S46*S$22</f>
        <v/>
      </c>
      <c r="T166" s="138">
        <f>T46*T$22</f>
        <v/>
      </c>
      <c r="U166" s="138">
        <f>U46*U$22</f>
        <v/>
      </c>
    </row>
    <row r="167">
      <c r="B167" s="138">
        <f>B47*B$22</f>
        <v/>
      </c>
      <c r="C167" s="138">
        <f>C47*C$22</f>
        <v/>
      </c>
      <c r="D167" s="138">
        <f>D47*D$22</f>
        <v/>
      </c>
      <c r="E167" s="138">
        <f>E47*E$22</f>
        <v/>
      </c>
      <c r="F167" s="138">
        <f>F47*F$22</f>
        <v/>
      </c>
      <c r="G167" s="138">
        <f>G47*G$22</f>
        <v/>
      </c>
      <c r="H167" s="138">
        <f>H47*H$22</f>
        <v/>
      </c>
      <c r="I167" s="138">
        <f>I47*I$22</f>
        <v/>
      </c>
      <c r="J167" s="138">
        <f>J47*J$22</f>
        <v/>
      </c>
      <c r="K167" s="138">
        <f>K47*K$22</f>
        <v/>
      </c>
      <c r="L167" s="138">
        <f>L47*L$22</f>
        <v/>
      </c>
      <c r="M167" s="138">
        <f>M47*M$22</f>
        <v/>
      </c>
      <c r="N167" s="138">
        <f>N47*N$22</f>
        <v/>
      </c>
      <c r="O167" s="138">
        <f>O47*O$22</f>
        <v/>
      </c>
      <c r="P167" s="138">
        <f>P47*P$22</f>
        <v/>
      </c>
      <c r="Q167" s="138">
        <f>Q47*Q$22</f>
        <v/>
      </c>
      <c r="R167" s="138">
        <f>R47*R$22</f>
        <v/>
      </c>
      <c r="S167" s="138">
        <f>S47*S$22</f>
        <v/>
      </c>
      <c r="T167" s="138">
        <f>T47*T$22</f>
        <v/>
      </c>
      <c r="U167" s="138">
        <f>U47*U$22</f>
        <v/>
      </c>
    </row>
    <row r="168">
      <c r="B168" s="138">
        <f>B48*B$22</f>
        <v/>
      </c>
      <c r="C168" s="138">
        <f>C48*C$22</f>
        <v/>
      </c>
      <c r="D168" s="138">
        <f>D48*D$22</f>
        <v/>
      </c>
      <c r="E168" s="138">
        <f>E48*E$22</f>
        <v/>
      </c>
      <c r="F168" s="138">
        <f>F48*F$22</f>
        <v/>
      </c>
      <c r="G168" s="138">
        <f>G48*G$22</f>
        <v/>
      </c>
      <c r="H168" s="138">
        <f>H48*H$22</f>
        <v/>
      </c>
      <c r="I168" s="138">
        <f>I48*I$22</f>
        <v/>
      </c>
      <c r="J168" s="138">
        <f>J48*J$22</f>
        <v/>
      </c>
      <c r="K168" s="138">
        <f>K48*K$22</f>
        <v/>
      </c>
      <c r="L168" s="138">
        <f>L48*L$22</f>
        <v/>
      </c>
      <c r="M168" s="138">
        <f>M48*M$22</f>
        <v/>
      </c>
      <c r="N168" s="138">
        <f>N48*N$22</f>
        <v/>
      </c>
      <c r="O168" s="138">
        <f>O48*O$22</f>
        <v/>
      </c>
      <c r="P168" s="138">
        <f>P48*P$22</f>
        <v/>
      </c>
      <c r="Q168" s="138">
        <f>Q48*Q$22</f>
        <v/>
      </c>
      <c r="R168" s="138">
        <f>R48*R$22</f>
        <v/>
      </c>
      <c r="S168" s="138">
        <f>S48*S$22</f>
        <v/>
      </c>
      <c r="T168" s="138">
        <f>T48*T$22</f>
        <v/>
      </c>
      <c r="U168" s="138">
        <f>U48*U$22</f>
        <v/>
      </c>
    </row>
    <row r="174">
      <c r="B174" s="138">
        <f>B54*B$22</f>
        <v/>
      </c>
      <c r="C174" s="138">
        <f>C54*C$22</f>
        <v/>
      </c>
      <c r="D174" s="138">
        <f>D54*D$22</f>
        <v/>
      </c>
      <c r="E174" s="138">
        <f>E54*E$22</f>
        <v/>
      </c>
      <c r="F174" s="138">
        <f>F54*F$22</f>
        <v/>
      </c>
      <c r="G174" s="138">
        <f>G54*G$22</f>
        <v/>
      </c>
      <c r="H174" s="138">
        <f>H54*H$22</f>
        <v/>
      </c>
      <c r="I174" s="138">
        <f>I54*I$22</f>
        <v/>
      </c>
      <c r="J174" s="138">
        <f>J54*J$22</f>
        <v/>
      </c>
      <c r="K174" s="138">
        <f>K54*K$22</f>
        <v/>
      </c>
      <c r="L174" s="138">
        <f>L54*L$22</f>
        <v/>
      </c>
      <c r="M174" s="138">
        <f>M54*M$22</f>
        <v/>
      </c>
      <c r="N174" s="138">
        <f>N54*N$22</f>
        <v/>
      </c>
      <c r="O174" s="138">
        <f>O54*O$22</f>
        <v/>
      </c>
      <c r="P174" s="138">
        <f>P54*P$22</f>
        <v/>
      </c>
      <c r="Q174" s="138">
        <f>Q54*Q$22</f>
        <v/>
      </c>
      <c r="R174" s="138">
        <f>R54*R$22</f>
        <v/>
      </c>
      <c r="S174" s="138">
        <f>S54*S$22</f>
        <v/>
      </c>
      <c r="T174" s="138">
        <f>T54*T$22</f>
        <v/>
      </c>
      <c r="U174" s="138">
        <f>U54*U$22</f>
        <v/>
      </c>
    </row>
    <row r="175">
      <c r="B175" s="138">
        <f>B55*B$22</f>
        <v/>
      </c>
      <c r="C175" s="138">
        <f>C55*C$22</f>
        <v/>
      </c>
      <c r="D175" s="138">
        <f>D55*D$22</f>
        <v/>
      </c>
      <c r="E175" s="138">
        <f>E55*E$22</f>
        <v/>
      </c>
      <c r="F175" s="138">
        <f>F55*F$22</f>
        <v/>
      </c>
      <c r="G175" s="138">
        <f>G55*G$22</f>
        <v/>
      </c>
      <c r="H175" s="138">
        <f>H55*H$22</f>
        <v/>
      </c>
      <c r="I175" s="138">
        <f>I55*I$22</f>
        <v/>
      </c>
      <c r="J175" s="138">
        <f>J55*J$22</f>
        <v/>
      </c>
      <c r="K175" s="138">
        <f>K55*K$22</f>
        <v/>
      </c>
      <c r="L175" s="138">
        <f>L55*L$22</f>
        <v/>
      </c>
      <c r="M175" s="138">
        <f>M55*M$22</f>
        <v/>
      </c>
      <c r="N175" s="138">
        <f>N55*N$22</f>
        <v/>
      </c>
      <c r="O175" s="138">
        <f>O55*O$22</f>
        <v/>
      </c>
      <c r="P175" s="138">
        <f>P55*P$22</f>
        <v/>
      </c>
      <c r="Q175" s="138">
        <f>Q55*Q$22</f>
        <v/>
      </c>
      <c r="R175" s="138">
        <f>R55*R$22</f>
        <v/>
      </c>
      <c r="S175" s="138">
        <f>S55*S$22</f>
        <v/>
      </c>
      <c r="T175" s="138">
        <f>T55*T$22</f>
        <v/>
      </c>
      <c r="U175" s="138">
        <f>U55*U$22</f>
        <v/>
      </c>
    </row>
    <row r="176">
      <c r="B176" s="138">
        <f>B56*B$22</f>
        <v/>
      </c>
      <c r="C176" s="138">
        <f>C56*C$22</f>
        <v/>
      </c>
      <c r="D176" s="138">
        <f>D56*D$22</f>
        <v/>
      </c>
      <c r="E176" s="138">
        <f>E56*E$22</f>
        <v/>
      </c>
      <c r="F176" s="138">
        <f>F56*F$22</f>
        <v/>
      </c>
      <c r="G176" s="138">
        <f>G56*G$22</f>
        <v/>
      </c>
      <c r="H176" s="138">
        <f>H56*H$22</f>
        <v/>
      </c>
      <c r="I176" s="138">
        <f>I56*I$22</f>
        <v/>
      </c>
      <c r="J176" s="138">
        <f>J56*J$22</f>
        <v/>
      </c>
      <c r="K176" s="138">
        <f>K56*K$22</f>
        <v/>
      </c>
      <c r="L176" s="138">
        <f>L56*L$22</f>
        <v/>
      </c>
      <c r="M176" s="138">
        <f>M56*M$22</f>
        <v/>
      </c>
      <c r="N176" s="138">
        <f>N56*N$22</f>
        <v/>
      </c>
      <c r="O176" s="138">
        <f>O56*O$22</f>
        <v/>
      </c>
      <c r="P176" s="138">
        <f>P56*P$22</f>
        <v/>
      </c>
      <c r="Q176" s="138">
        <f>Q56*Q$22</f>
        <v/>
      </c>
      <c r="R176" s="138">
        <f>R56*R$22</f>
        <v/>
      </c>
      <c r="S176" s="138">
        <f>S56*S$22</f>
        <v/>
      </c>
      <c r="T176" s="138">
        <f>T56*T$22</f>
        <v/>
      </c>
      <c r="U176" s="138">
        <f>U56*U$22</f>
        <v/>
      </c>
    </row>
    <row r="177">
      <c r="B177" s="138">
        <f>B57*B$22</f>
        <v/>
      </c>
      <c r="C177" s="138">
        <f>C57*C$22</f>
        <v/>
      </c>
      <c r="D177" s="138">
        <f>D57*D$22</f>
        <v/>
      </c>
      <c r="E177" s="138">
        <f>E57*E$22</f>
        <v/>
      </c>
      <c r="F177" s="138">
        <f>F57*F$22</f>
        <v/>
      </c>
      <c r="G177" s="138">
        <f>G57*G$22</f>
        <v/>
      </c>
      <c r="H177" s="138">
        <f>H57*H$22</f>
        <v/>
      </c>
      <c r="I177" s="138">
        <f>I57*I$22</f>
        <v/>
      </c>
      <c r="J177" s="138">
        <f>J57*J$22</f>
        <v/>
      </c>
      <c r="K177" s="138">
        <f>K57*K$22</f>
        <v/>
      </c>
      <c r="L177" s="138">
        <f>L57*L$22</f>
        <v/>
      </c>
      <c r="M177" s="138">
        <f>M57*M$22</f>
        <v/>
      </c>
      <c r="N177" s="138">
        <f>N57*N$22</f>
        <v/>
      </c>
      <c r="O177" s="138">
        <f>O57*O$22</f>
        <v/>
      </c>
      <c r="P177" s="138">
        <f>P57*P$22</f>
        <v/>
      </c>
      <c r="Q177" s="138">
        <f>Q57*Q$22</f>
        <v/>
      </c>
      <c r="R177" s="138">
        <f>R57*R$22</f>
        <v/>
      </c>
      <c r="S177" s="138">
        <f>S57*S$22</f>
        <v/>
      </c>
      <c r="T177" s="138">
        <f>T57*T$22</f>
        <v/>
      </c>
      <c r="U177" s="138">
        <f>U57*U$22</f>
        <v/>
      </c>
    </row>
    <row r="178">
      <c r="B178" s="138">
        <f>B58*B$22</f>
        <v/>
      </c>
      <c r="C178" s="138">
        <f>C58*C$22</f>
        <v/>
      </c>
      <c r="D178" s="138">
        <f>D58*D$22</f>
        <v/>
      </c>
      <c r="E178" s="138">
        <f>E58*E$22</f>
        <v/>
      </c>
      <c r="F178" s="138">
        <f>F58*F$22</f>
        <v/>
      </c>
      <c r="G178" s="138">
        <f>G58*G$22</f>
        <v/>
      </c>
      <c r="H178" s="138">
        <f>H58*H$22</f>
        <v/>
      </c>
      <c r="I178" s="138">
        <f>I58*I$22</f>
        <v/>
      </c>
      <c r="J178" s="138">
        <f>J58*J$22</f>
        <v/>
      </c>
      <c r="K178" s="138">
        <f>K58*K$22</f>
        <v/>
      </c>
      <c r="L178" s="138">
        <f>L58*L$22</f>
        <v/>
      </c>
      <c r="M178" s="138">
        <f>M58*M$22</f>
        <v/>
      </c>
      <c r="N178" s="138">
        <f>N58*N$22</f>
        <v/>
      </c>
      <c r="O178" s="138">
        <f>O58*O$22</f>
        <v/>
      </c>
      <c r="P178" s="138">
        <f>P58*P$22</f>
        <v/>
      </c>
      <c r="Q178" s="138">
        <f>Q58*Q$22</f>
        <v/>
      </c>
      <c r="R178" s="138">
        <f>R58*R$22</f>
        <v/>
      </c>
      <c r="S178" s="138">
        <f>S58*S$22</f>
        <v/>
      </c>
      <c r="T178" s="138">
        <f>T58*T$22</f>
        <v/>
      </c>
      <c r="U178" s="138">
        <f>U58*U$22</f>
        <v/>
      </c>
    </row>
    <row r="179">
      <c r="B179" s="138">
        <f>B59*B$22</f>
        <v/>
      </c>
      <c r="C179" s="138">
        <f>C59*C$22</f>
        <v/>
      </c>
      <c r="D179" s="138">
        <f>D59*D$22</f>
        <v/>
      </c>
      <c r="E179" s="138">
        <f>E59*E$22</f>
        <v/>
      </c>
      <c r="F179" s="138">
        <f>F59*F$22</f>
        <v/>
      </c>
      <c r="G179" s="138">
        <f>G59*G$22</f>
        <v/>
      </c>
      <c r="H179" s="138">
        <f>H59*H$22</f>
        <v/>
      </c>
      <c r="I179" s="138">
        <f>I59*I$22</f>
        <v/>
      </c>
      <c r="J179" s="138">
        <f>J59*J$22</f>
        <v/>
      </c>
      <c r="K179" s="138">
        <f>K59*K$22</f>
        <v/>
      </c>
      <c r="L179" s="138">
        <f>L59*L$22</f>
        <v/>
      </c>
      <c r="M179" s="138">
        <f>M59*M$22</f>
        <v/>
      </c>
      <c r="N179" s="138">
        <f>N59*N$22</f>
        <v/>
      </c>
      <c r="O179" s="138">
        <f>O59*O$22</f>
        <v/>
      </c>
      <c r="P179" s="138">
        <f>P59*P$22</f>
        <v/>
      </c>
      <c r="Q179" s="138">
        <f>Q59*Q$22</f>
        <v/>
      </c>
      <c r="R179" s="138">
        <f>R59*R$22</f>
        <v/>
      </c>
      <c r="S179" s="138">
        <f>S59*S$22</f>
        <v/>
      </c>
      <c r="T179" s="138">
        <f>T59*T$22</f>
        <v/>
      </c>
      <c r="U179" s="138">
        <f>U59*U$22</f>
        <v/>
      </c>
    </row>
    <row r="180">
      <c r="B180" s="138">
        <f>B60*B$22</f>
        <v/>
      </c>
      <c r="C180" s="138">
        <f>C60*C$22</f>
        <v/>
      </c>
      <c r="D180" s="138">
        <f>D60*D$22</f>
        <v/>
      </c>
      <c r="E180" s="138">
        <f>E60*E$22</f>
        <v/>
      </c>
      <c r="F180" s="138">
        <f>F60*F$22</f>
        <v/>
      </c>
      <c r="G180" s="138">
        <f>G60*G$22</f>
        <v/>
      </c>
      <c r="H180" s="138">
        <f>H60*H$22</f>
        <v/>
      </c>
      <c r="I180" s="138">
        <f>I60*I$22</f>
        <v/>
      </c>
      <c r="J180" s="138">
        <f>J60*J$22</f>
        <v/>
      </c>
      <c r="K180" s="138">
        <f>K60*K$22</f>
        <v/>
      </c>
      <c r="L180" s="138">
        <f>L60*L$22</f>
        <v/>
      </c>
      <c r="M180" s="138">
        <f>M60*M$22</f>
        <v/>
      </c>
      <c r="N180" s="138">
        <f>N60*N$22</f>
        <v/>
      </c>
      <c r="O180" s="138">
        <f>O60*O$22</f>
        <v/>
      </c>
      <c r="P180" s="138">
        <f>P60*P$22</f>
        <v/>
      </c>
      <c r="Q180" s="138">
        <f>Q60*Q$22</f>
        <v/>
      </c>
      <c r="R180" s="138">
        <f>R60*R$22</f>
        <v/>
      </c>
      <c r="S180" s="138">
        <f>S60*S$22</f>
        <v/>
      </c>
      <c r="T180" s="138">
        <f>T60*T$22</f>
        <v/>
      </c>
      <c r="U180" s="138">
        <f>U60*U$22</f>
        <v/>
      </c>
    </row>
    <row r="181">
      <c r="B181" s="138">
        <f>B61*B$22</f>
        <v/>
      </c>
      <c r="C181" s="138">
        <f>C61*C$22</f>
        <v/>
      </c>
      <c r="D181" s="138">
        <f>D61*D$22</f>
        <v/>
      </c>
      <c r="E181" s="138">
        <f>E61*E$22</f>
        <v/>
      </c>
      <c r="F181" s="138">
        <f>F61*F$22</f>
        <v/>
      </c>
      <c r="G181" s="138">
        <f>G61*G$22</f>
        <v/>
      </c>
      <c r="H181" s="138">
        <f>H61*H$22</f>
        <v/>
      </c>
      <c r="I181" s="138">
        <f>I61*I$22</f>
        <v/>
      </c>
      <c r="J181" s="138">
        <f>J61*J$22</f>
        <v/>
      </c>
      <c r="K181" s="138">
        <f>K61*K$22</f>
        <v/>
      </c>
      <c r="L181" s="138">
        <f>L61*L$22</f>
        <v/>
      </c>
      <c r="M181" s="138">
        <f>M61*M$22</f>
        <v/>
      </c>
      <c r="N181" s="138">
        <f>N61*N$22</f>
        <v/>
      </c>
      <c r="O181" s="138">
        <f>O61*O$22</f>
        <v/>
      </c>
      <c r="P181" s="138">
        <f>P61*P$22</f>
        <v/>
      </c>
      <c r="Q181" s="138">
        <f>Q61*Q$22</f>
        <v/>
      </c>
      <c r="R181" s="138">
        <f>R61*R$22</f>
        <v/>
      </c>
      <c r="S181" s="138">
        <f>S61*S$22</f>
        <v/>
      </c>
      <c r="T181" s="138">
        <f>T61*T$22</f>
        <v/>
      </c>
      <c r="U181" s="138">
        <f>U61*U$22</f>
        <v/>
      </c>
    </row>
    <row r="182">
      <c r="B182" s="138">
        <f>B62*B$22</f>
        <v/>
      </c>
      <c r="C182" s="138">
        <f>C62*C$22</f>
        <v/>
      </c>
      <c r="D182" s="138">
        <f>D62*D$22</f>
        <v/>
      </c>
      <c r="E182" s="138">
        <f>E62*E$22</f>
        <v/>
      </c>
      <c r="F182" s="138">
        <f>F62*F$22</f>
        <v/>
      </c>
      <c r="G182" s="138">
        <f>G62*G$22</f>
        <v/>
      </c>
      <c r="H182" s="138">
        <f>H62*H$22</f>
        <v/>
      </c>
      <c r="I182" s="138">
        <f>I62*I$22</f>
        <v/>
      </c>
      <c r="J182" s="138">
        <f>J62*J$22</f>
        <v/>
      </c>
      <c r="K182" s="138">
        <f>K62*K$22</f>
        <v/>
      </c>
      <c r="L182" s="138">
        <f>L62*L$22</f>
        <v/>
      </c>
      <c r="M182" s="138">
        <f>M62*M$22</f>
        <v/>
      </c>
      <c r="N182" s="138">
        <f>N62*N$22</f>
        <v/>
      </c>
      <c r="O182" s="138">
        <f>O62*O$22</f>
        <v/>
      </c>
      <c r="P182" s="138">
        <f>P62*P$22</f>
        <v/>
      </c>
      <c r="Q182" s="138">
        <f>Q62*Q$22</f>
        <v/>
      </c>
      <c r="R182" s="138">
        <f>R62*R$22</f>
        <v/>
      </c>
      <c r="S182" s="138">
        <f>S62*S$22</f>
        <v/>
      </c>
      <c r="T182" s="138">
        <f>T62*T$22</f>
        <v/>
      </c>
      <c r="U182" s="138">
        <f>U62*U$22</f>
        <v/>
      </c>
    </row>
    <row r="183">
      <c r="B183" s="138">
        <f>B63*B$22</f>
        <v/>
      </c>
      <c r="C183" s="138">
        <f>C63*C$22</f>
        <v/>
      </c>
      <c r="D183" s="138">
        <f>D63*D$22</f>
        <v/>
      </c>
      <c r="E183" s="138">
        <f>E63*E$22</f>
        <v/>
      </c>
      <c r="F183" s="138">
        <f>F63*F$22</f>
        <v/>
      </c>
      <c r="G183" s="138">
        <f>G63*G$22</f>
        <v/>
      </c>
      <c r="H183" s="138">
        <f>H63*H$22</f>
        <v/>
      </c>
      <c r="I183" s="138">
        <f>I63*I$22</f>
        <v/>
      </c>
      <c r="J183" s="138">
        <f>J63*J$22</f>
        <v/>
      </c>
      <c r="K183" s="138">
        <f>K63*K$22</f>
        <v/>
      </c>
      <c r="L183" s="138">
        <f>L63*L$22</f>
        <v/>
      </c>
      <c r="M183" s="138">
        <f>M63*M$22</f>
        <v/>
      </c>
      <c r="N183" s="138">
        <f>N63*N$22</f>
        <v/>
      </c>
      <c r="O183" s="138">
        <f>O63*O$22</f>
        <v/>
      </c>
      <c r="P183" s="138">
        <f>P63*P$22</f>
        <v/>
      </c>
      <c r="Q183" s="138">
        <f>Q63*Q$22</f>
        <v/>
      </c>
      <c r="R183" s="138">
        <f>R63*R$22</f>
        <v/>
      </c>
      <c r="S183" s="138">
        <f>S63*S$22</f>
        <v/>
      </c>
      <c r="T183" s="138">
        <f>T63*T$22</f>
        <v/>
      </c>
      <c r="U183" s="138">
        <f>U63*U$22</f>
        <v/>
      </c>
    </row>
    <row r="184">
      <c r="B184" s="138">
        <f>B64*B$22</f>
        <v/>
      </c>
      <c r="C184" s="138">
        <f>C64*C$22</f>
        <v/>
      </c>
      <c r="D184" s="138">
        <f>D64*D$22</f>
        <v/>
      </c>
      <c r="E184" s="138">
        <f>E64*E$22</f>
        <v/>
      </c>
      <c r="F184" s="138">
        <f>F64*F$22</f>
        <v/>
      </c>
      <c r="G184" s="138">
        <f>G64*G$22</f>
        <v/>
      </c>
      <c r="H184" s="138">
        <f>H64*H$22</f>
        <v/>
      </c>
      <c r="I184" s="138">
        <f>I64*I$22</f>
        <v/>
      </c>
      <c r="J184" s="138">
        <f>J64*J$22</f>
        <v/>
      </c>
      <c r="K184" s="138">
        <f>K64*K$22</f>
        <v/>
      </c>
      <c r="L184" s="138">
        <f>L64*L$22</f>
        <v/>
      </c>
      <c r="M184" s="138">
        <f>M64*M$22</f>
        <v/>
      </c>
      <c r="N184" s="138">
        <f>N64*N$22</f>
        <v/>
      </c>
      <c r="O184" s="138">
        <f>O64*O$22</f>
        <v/>
      </c>
      <c r="P184" s="138">
        <f>P64*P$22</f>
        <v/>
      </c>
      <c r="Q184" s="138">
        <f>Q64*Q$22</f>
        <v/>
      </c>
      <c r="R184" s="138">
        <f>R64*R$22</f>
        <v/>
      </c>
      <c r="S184" s="138">
        <f>S64*S$22</f>
        <v/>
      </c>
      <c r="T184" s="138">
        <f>T64*T$22</f>
        <v/>
      </c>
      <c r="U184" s="138">
        <f>U64*U$22</f>
        <v/>
      </c>
    </row>
    <row r="185">
      <c r="B185" s="138">
        <f>B65*B$22</f>
        <v/>
      </c>
      <c r="C185" s="138">
        <f>C65*C$22</f>
        <v/>
      </c>
      <c r="D185" s="138">
        <f>D65*D$22</f>
        <v/>
      </c>
      <c r="E185" s="138">
        <f>E65*E$22</f>
        <v/>
      </c>
      <c r="F185" s="138">
        <f>F65*F$22</f>
        <v/>
      </c>
      <c r="G185" s="138">
        <f>G65*G$22</f>
        <v/>
      </c>
      <c r="H185" s="138">
        <f>H65*H$22</f>
        <v/>
      </c>
      <c r="I185" s="138">
        <f>I65*I$22</f>
        <v/>
      </c>
      <c r="J185" s="138">
        <f>J65*J$22</f>
        <v/>
      </c>
      <c r="K185" s="138">
        <f>K65*K$22</f>
        <v/>
      </c>
      <c r="L185" s="138">
        <f>L65*L$22</f>
        <v/>
      </c>
      <c r="M185" s="138">
        <f>M65*M$22</f>
        <v/>
      </c>
      <c r="N185" s="138">
        <f>N65*N$22</f>
        <v/>
      </c>
      <c r="O185" s="138">
        <f>O65*O$22</f>
        <v/>
      </c>
      <c r="P185" s="138">
        <f>P65*P$22</f>
        <v/>
      </c>
      <c r="Q185" s="138">
        <f>Q65*Q$22</f>
        <v/>
      </c>
      <c r="R185" s="138">
        <f>R65*R$22</f>
        <v/>
      </c>
      <c r="S185" s="138">
        <f>S65*S$22</f>
        <v/>
      </c>
      <c r="T185" s="138">
        <f>T65*T$22</f>
        <v/>
      </c>
      <c r="U185" s="138">
        <f>U65*U$22</f>
        <v/>
      </c>
    </row>
    <row r="186">
      <c r="B186" s="138">
        <f>B66*B$22</f>
        <v/>
      </c>
      <c r="C186" s="138">
        <f>C66*C$22</f>
        <v/>
      </c>
      <c r="D186" s="138">
        <f>D66*D$22</f>
        <v/>
      </c>
      <c r="E186" s="138">
        <f>E66*E$22</f>
        <v/>
      </c>
      <c r="F186" s="138">
        <f>F66*F$22</f>
        <v/>
      </c>
      <c r="G186" s="138">
        <f>G66*G$22</f>
        <v/>
      </c>
      <c r="H186" s="138">
        <f>H66*H$22</f>
        <v/>
      </c>
      <c r="I186" s="138">
        <f>I66*I$22</f>
        <v/>
      </c>
      <c r="J186" s="138">
        <f>J66*J$22</f>
        <v/>
      </c>
      <c r="K186" s="138">
        <f>K66*K$22</f>
        <v/>
      </c>
      <c r="L186" s="138">
        <f>L66*L$22</f>
        <v/>
      </c>
      <c r="M186" s="138">
        <f>M66*M$22</f>
        <v/>
      </c>
      <c r="N186" s="138">
        <f>N66*N$22</f>
        <v/>
      </c>
      <c r="O186" s="138">
        <f>O66*O$22</f>
        <v/>
      </c>
      <c r="P186" s="138">
        <f>P66*P$22</f>
        <v/>
      </c>
      <c r="Q186" s="138">
        <f>Q66*Q$22</f>
        <v/>
      </c>
      <c r="R186" s="138">
        <f>R66*R$22</f>
        <v/>
      </c>
      <c r="S186" s="138">
        <f>S66*S$22</f>
        <v/>
      </c>
      <c r="T186" s="138">
        <f>T66*T$22</f>
        <v/>
      </c>
      <c r="U186" s="138">
        <f>U66*U$22</f>
        <v/>
      </c>
    </row>
    <row r="187">
      <c r="B187" s="138">
        <f>B67*B$22</f>
        <v/>
      </c>
      <c r="C187" s="138">
        <f>C67*C$22</f>
        <v/>
      </c>
      <c r="D187" s="138">
        <f>D67*D$22</f>
        <v/>
      </c>
      <c r="E187" s="138">
        <f>E67*E$22</f>
        <v/>
      </c>
      <c r="F187" s="138">
        <f>F67*F$22</f>
        <v/>
      </c>
      <c r="G187" s="138">
        <f>G67*G$22</f>
        <v/>
      </c>
      <c r="H187" s="138">
        <f>H67*H$22</f>
        <v/>
      </c>
      <c r="I187" s="138">
        <f>I67*I$22</f>
        <v/>
      </c>
      <c r="J187" s="138">
        <f>J67*J$22</f>
        <v/>
      </c>
      <c r="K187" s="138">
        <f>K67*K$22</f>
        <v/>
      </c>
      <c r="L187" s="138">
        <f>L67*L$22</f>
        <v/>
      </c>
      <c r="M187" s="138">
        <f>M67*M$22</f>
        <v/>
      </c>
      <c r="N187" s="138">
        <f>N67*N$22</f>
        <v/>
      </c>
      <c r="O187" s="138">
        <f>O67*O$22</f>
        <v/>
      </c>
      <c r="P187" s="138">
        <f>P67*P$22</f>
        <v/>
      </c>
      <c r="Q187" s="138">
        <f>Q67*Q$22</f>
        <v/>
      </c>
      <c r="R187" s="138">
        <f>R67*R$22</f>
        <v/>
      </c>
      <c r="S187" s="138">
        <f>S67*S$22</f>
        <v/>
      </c>
      <c r="T187" s="138">
        <f>T67*T$22</f>
        <v/>
      </c>
      <c r="U187" s="138">
        <f>U67*U$22</f>
        <v/>
      </c>
    </row>
    <row r="188">
      <c r="B188" s="138">
        <f>B68*B$22</f>
        <v/>
      </c>
      <c r="C188" s="138">
        <f>C68*C$22</f>
        <v/>
      </c>
      <c r="D188" s="138">
        <f>D68*D$22</f>
        <v/>
      </c>
      <c r="E188" s="138">
        <f>E68*E$22</f>
        <v/>
      </c>
      <c r="F188" s="138">
        <f>F68*F$22</f>
        <v/>
      </c>
      <c r="G188" s="138">
        <f>G68*G$22</f>
        <v/>
      </c>
      <c r="H188" s="138">
        <f>H68*H$22</f>
        <v/>
      </c>
      <c r="I188" s="138">
        <f>I68*I$22</f>
        <v/>
      </c>
      <c r="J188" s="138">
        <f>J68*J$22</f>
        <v/>
      </c>
      <c r="K188" s="138">
        <f>K68*K$22</f>
        <v/>
      </c>
      <c r="L188" s="138">
        <f>L68*L$22</f>
        <v/>
      </c>
      <c r="M188" s="138">
        <f>M68*M$22</f>
        <v/>
      </c>
      <c r="N188" s="138">
        <f>N68*N$22</f>
        <v/>
      </c>
      <c r="O188" s="138">
        <f>O68*O$22</f>
        <v/>
      </c>
      <c r="P188" s="138">
        <f>P68*P$22</f>
        <v/>
      </c>
      <c r="Q188" s="138">
        <f>Q68*Q$22</f>
        <v/>
      </c>
      <c r="R188" s="138">
        <f>R68*R$22</f>
        <v/>
      </c>
      <c r="S188" s="138">
        <f>S68*S$22</f>
        <v/>
      </c>
      <c r="T188" s="138">
        <f>T68*T$22</f>
        <v/>
      </c>
      <c r="U188" s="138">
        <f>U68*U$22</f>
        <v/>
      </c>
    </row>
    <row r="189">
      <c r="B189" s="138">
        <f>B69*B$22</f>
        <v/>
      </c>
      <c r="C189" s="138">
        <f>C69*C$22</f>
        <v/>
      </c>
      <c r="D189" s="138">
        <f>D69*D$22</f>
        <v/>
      </c>
      <c r="E189" s="138">
        <f>E69*E$22</f>
        <v/>
      </c>
      <c r="F189" s="138">
        <f>F69*F$22</f>
        <v/>
      </c>
      <c r="G189" s="138">
        <f>G69*G$22</f>
        <v/>
      </c>
      <c r="H189" s="138">
        <f>H69*H$22</f>
        <v/>
      </c>
      <c r="I189" s="138">
        <f>I69*I$22</f>
        <v/>
      </c>
      <c r="J189" s="138">
        <f>J69*J$22</f>
        <v/>
      </c>
      <c r="K189" s="138">
        <f>K69*K$22</f>
        <v/>
      </c>
      <c r="L189" s="138">
        <f>L69*L$22</f>
        <v/>
      </c>
      <c r="M189" s="138">
        <f>M69*M$22</f>
        <v/>
      </c>
      <c r="N189" s="138">
        <f>N69*N$22</f>
        <v/>
      </c>
      <c r="O189" s="138">
        <f>O69*O$22</f>
        <v/>
      </c>
      <c r="P189" s="138">
        <f>P69*P$22</f>
        <v/>
      </c>
      <c r="Q189" s="138">
        <f>Q69*Q$22</f>
        <v/>
      </c>
      <c r="R189" s="138">
        <f>R69*R$22</f>
        <v/>
      </c>
      <c r="S189" s="138">
        <f>S69*S$22</f>
        <v/>
      </c>
      <c r="T189" s="138">
        <f>T69*T$22</f>
        <v/>
      </c>
      <c r="U189" s="138">
        <f>U69*U$22</f>
        <v/>
      </c>
    </row>
    <row r="190">
      <c r="B190" s="138">
        <f>B70*B$22</f>
        <v/>
      </c>
      <c r="C190" s="138">
        <f>C70*C$22</f>
        <v/>
      </c>
      <c r="D190" s="138">
        <f>D70*D$22</f>
        <v/>
      </c>
      <c r="E190" s="138">
        <f>E70*E$22</f>
        <v/>
      </c>
      <c r="F190" s="138">
        <f>F70*F$22</f>
        <v/>
      </c>
      <c r="G190" s="138">
        <f>G70*G$22</f>
        <v/>
      </c>
      <c r="H190" s="138">
        <f>H70*H$22</f>
        <v/>
      </c>
      <c r="I190" s="138">
        <f>I70*I$22</f>
        <v/>
      </c>
      <c r="J190" s="138">
        <f>J70*J$22</f>
        <v/>
      </c>
      <c r="K190" s="138">
        <f>K70*K$22</f>
        <v/>
      </c>
      <c r="L190" s="138">
        <f>L70*L$22</f>
        <v/>
      </c>
      <c r="M190" s="138">
        <f>M70*M$22</f>
        <v/>
      </c>
      <c r="N190" s="138">
        <f>N70*N$22</f>
        <v/>
      </c>
      <c r="O190" s="138">
        <f>O70*O$22</f>
        <v/>
      </c>
      <c r="P190" s="138">
        <f>P70*P$22</f>
        <v/>
      </c>
      <c r="Q190" s="138">
        <f>Q70*Q$22</f>
        <v/>
      </c>
      <c r="R190" s="138">
        <f>R70*R$22</f>
        <v/>
      </c>
      <c r="S190" s="138">
        <f>S70*S$22</f>
        <v/>
      </c>
      <c r="T190" s="138">
        <f>T70*T$22</f>
        <v/>
      </c>
      <c r="U190" s="138">
        <f>U70*U$22</f>
        <v/>
      </c>
    </row>
    <row r="191">
      <c r="B191" s="138">
        <f>B71*B$22</f>
        <v/>
      </c>
      <c r="C191" s="138">
        <f>C71*C$22</f>
        <v/>
      </c>
      <c r="D191" s="138">
        <f>D71*D$22</f>
        <v/>
      </c>
      <c r="E191" s="138">
        <f>E71*E$22</f>
        <v/>
      </c>
      <c r="F191" s="138">
        <f>F71*F$22</f>
        <v/>
      </c>
      <c r="G191" s="138">
        <f>G71*G$22</f>
        <v/>
      </c>
      <c r="H191" s="138">
        <f>H71*H$22</f>
        <v/>
      </c>
      <c r="I191" s="138">
        <f>I71*I$22</f>
        <v/>
      </c>
      <c r="J191" s="138">
        <f>J71*J$22</f>
        <v/>
      </c>
      <c r="K191" s="138">
        <f>K71*K$22</f>
        <v/>
      </c>
      <c r="L191" s="138">
        <f>L71*L$22</f>
        <v/>
      </c>
      <c r="M191" s="138">
        <f>M71*M$22</f>
        <v/>
      </c>
      <c r="N191" s="138">
        <f>N71*N$22</f>
        <v/>
      </c>
      <c r="O191" s="138">
        <f>O71*O$22</f>
        <v/>
      </c>
      <c r="P191" s="138">
        <f>P71*P$22</f>
        <v/>
      </c>
      <c r="Q191" s="138">
        <f>Q71*Q$22</f>
        <v/>
      </c>
      <c r="R191" s="138">
        <f>R71*R$22</f>
        <v/>
      </c>
      <c r="S191" s="138">
        <f>S71*S$22</f>
        <v/>
      </c>
      <c r="T191" s="138">
        <f>T71*T$22</f>
        <v/>
      </c>
      <c r="U191" s="138">
        <f>U71*U$22</f>
        <v/>
      </c>
    </row>
    <row r="192">
      <c r="B192" s="138">
        <f>B72*B$22</f>
        <v/>
      </c>
      <c r="C192" s="138">
        <f>C72*C$22</f>
        <v/>
      </c>
      <c r="D192" s="138">
        <f>D72*D$22</f>
        <v/>
      </c>
      <c r="E192" s="138">
        <f>E72*E$22</f>
        <v/>
      </c>
      <c r="F192" s="138">
        <f>F72*F$22</f>
        <v/>
      </c>
      <c r="G192" s="138">
        <f>G72*G$22</f>
        <v/>
      </c>
      <c r="H192" s="138">
        <f>H72*H$22</f>
        <v/>
      </c>
      <c r="I192" s="138">
        <f>I72*I$22</f>
        <v/>
      </c>
      <c r="J192" s="138">
        <f>J72*J$22</f>
        <v/>
      </c>
      <c r="K192" s="138">
        <f>K72*K$22</f>
        <v/>
      </c>
      <c r="L192" s="138">
        <f>L72*L$22</f>
        <v/>
      </c>
      <c r="M192" s="138">
        <f>M72*M$22</f>
        <v/>
      </c>
      <c r="N192" s="138">
        <f>N72*N$22</f>
        <v/>
      </c>
      <c r="O192" s="138">
        <f>O72*O$22</f>
        <v/>
      </c>
      <c r="P192" s="138">
        <f>P72*P$22</f>
        <v/>
      </c>
      <c r="Q192" s="138">
        <f>Q72*Q$22</f>
        <v/>
      </c>
      <c r="R192" s="138">
        <f>R72*R$22</f>
        <v/>
      </c>
      <c r="S192" s="138">
        <f>S72*S$22</f>
        <v/>
      </c>
      <c r="T192" s="138">
        <f>T72*T$22</f>
        <v/>
      </c>
      <c r="U192" s="138">
        <f>U72*U$22</f>
        <v/>
      </c>
    </row>
    <row r="193">
      <c r="B193" s="138">
        <f>B73*B$22</f>
        <v/>
      </c>
      <c r="C193" s="138">
        <f>C73*C$22</f>
        <v/>
      </c>
      <c r="D193" s="138">
        <f>D73*D$22</f>
        <v/>
      </c>
      <c r="E193" s="138">
        <f>E73*E$22</f>
        <v/>
      </c>
      <c r="F193" s="138">
        <f>F73*F$22</f>
        <v/>
      </c>
      <c r="G193" s="138">
        <f>G73*G$22</f>
        <v/>
      </c>
      <c r="H193" s="138">
        <f>H73*H$22</f>
        <v/>
      </c>
      <c r="I193" s="138">
        <f>I73*I$22</f>
        <v/>
      </c>
      <c r="J193" s="138">
        <f>J73*J$22</f>
        <v/>
      </c>
      <c r="K193" s="138">
        <f>K73*K$22</f>
        <v/>
      </c>
      <c r="L193" s="138">
        <f>L73*L$22</f>
        <v/>
      </c>
      <c r="M193" s="138">
        <f>M73*M$22</f>
        <v/>
      </c>
      <c r="N193" s="138">
        <f>N73*N$22</f>
        <v/>
      </c>
      <c r="O193" s="138">
        <f>O73*O$22</f>
        <v/>
      </c>
      <c r="P193" s="138">
        <f>P73*P$22</f>
        <v/>
      </c>
      <c r="Q193" s="138">
        <f>Q73*Q$22</f>
        <v/>
      </c>
      <c r="R193" s="138">
        <f>R73*R$22</f>
        <v/>
      </c>
      <c r="S193" s="138">
        <f>S73*S$22</f>
        <v/>
      </c>
      <c r="T193" s="138">
        <f>T73*T$22</f>
        <v/>
      </c>
      <c r="U193" s="138">
        <f>U73*U$22</f>
        <v/>
      </c>
    </row>
    <row r="194">
      <c r="B194" s="138">
        <f>B74*B$22</f>
        <v/>
      </c>
      <c r="C194" s="138">
        <f>C74*C$22</f>
        <v/>
      </c>
      <c r="D194" s="138">
        <f>D74*D$22</f>
        <v/>
      </c>
      <c r="E194" s="138">
        <f>E74*E$22</f>
        <v/>
      </c>
      <c r="F194" s="138">
        <f>F74*F$22</f>
        <v/>
      </c>
      <c r="G194" s="138">
        <f>G74*G$22</f>
        <v/>
      </c>
      <c r="H194" s="138">
        <f>H74*H$22</f>
        <v/>
      </c>
      <c r="I194" s="138">
        <f>I74*I$22</f>
        <v/>
      </c>
      <c r="J194" s="138">
        <f>J74*J$22</f>
        <v/>
      </c>
      <c r="K194" s="138">
        <f>K74*K$22</f>
        <v/>
      </c>
      <c r="L194" s="138">
        <f>L74*L$22</f>
        <v/>
      </c>
      <c r="M194" s="138">
        <f>M74*M$22</f>
        <v/>
      </c>
      <c r="N194" s="138">
        <f>N74*N$22</f>
        <v/>
      </c>
      <c r="O194" s="138">
        <f>O74*O$22</f>
        <v/>
      </c>
      <c r="P194" s="138">
        <f>P74*P$22</f>
        <v/>
      </c>
      <c r="Q194" s="138">
        <f>Q74*Q$22</f>
        <v/>
      </c>
      <c r="R194" s="138">
        <f>R74*R$22</f>
        <v/>
      </c>
      <c r="S194" s="138">
        <f>S74*S$22</f>
        <v/>
      </c>
      <c r="T194" s="138">
        <f>T74*T$22</f>
        <v/>
      </c>
      <c r="U194" s="138">
        <f>U74*U$22</f>
        <v/>
      </c>
    </row>
    <row r="195">
      <c r="B195" s="138">
        <f>B75*B$22</f>
        <v/>
      </c>
      <c r="C195" s="138">
        <f>C75*C$22</f>
        <v/>
      </c>
      <c r="D195" s="138">
        <f>D75*D$22</f>
        <v/>
      </c>
      <c r="E195" s="138">
        <f>E75*E$22</f>
        <v/>
      </c>
      <c r="F195" s="138">
        <f>F75*F$22</f>
        <v/>
      </c>
      <c r="G195" s="138">
        <f>G75*G$22</f>
        <v/>
      </c>
      <c r="H195" s="138">
        <f>H75*H$22</f>
        <v/>
      </c>
      <c r="I195" s="138">
        <f>I75*I$22</f>
        <v/>
      </c>
      <c r="J195" s="138">
        <f>J75*J$22</f>
        <v/>
      </c>
      <c r="K195" s="138">
        <f>K75*K$22</f>
        <v/>
      </c>
      <c r="L195" s="138">
        <f>L75*L$22</f>
        <v/>
      </c>
      <c r="M195" s="138">
        <f>M75*M$22</f>
        <v/>
      </c>
      <c r="N195" s="138">
        <f>N75*N$22</f>
        <v/>
      </c>
      <c r="O195" s="138">
        <f>O75*O$22</f>
        <v/>
      </c>
      <c r="P195" s="138">
        <f>P75*P$22</f>
        <v/>
      </c>
      <c r="Q195" s="138">
        <f>Q75*Q$22</f>
        <v/>
      </c>
      <c r="R195" s="138">
        <f>R75*R$22</f>
        <v/>
      </c>
      <c r="S195" s="138">
        <f>S75*S$22</f>
        <v/>
      </c>
      <c r="T195" s="138">
        <f>T75*T$22</f>
        <v/>
      </c>
      <c r="U195" s="138">
        <f>U75*U$22</f>
        <v/>
      </c>
    </row>
    <row r="196">
      <c r="B196" s="138">
        <f>B76*B$22</f>
        <v/>
      </c>
      <c r="C196" s="138">
        <f>C76*C$22</f>
        <v/>
      </c>
      <c r="D196" s="138">
        <f>D76*D$22</f>
        <v/>
      </c>
      <c r="E196" s="138">
        <f>E76*E$22</f>
        <v/>
      </c>
      <c r="F196" s="138">
        <f>F76*F$22</f>
        <v/>
      </c>
      <c r="G196" s="138">
        <f>G76*G$22</f>
        <v/>
      </c>
      <c r="H196" s="138">
        <f>H76*H$22</f>
        <v/>
      </c>
      <c r="I196" s="138">
        <f>I76*I$22</f>
        <v/>
      </c>
      <c r="J196" s="138">
        <f>J76*J$22</f>
        <v/>
      </c>
      <c r="K196" s="138">
        <f>K76*K$22</f>
        <v/>
      </c>
      <c r="L196" s="138">
        <f>L76*L$22</f>
        <v/>
      </c>
      <c r="M196" s="138">
        <f>M76*M$22</f>
        <v/>
      </c>
      <c r="N196" s="138">
        <f>N76*N$22</f>
        <v/>
      </c>
      <c r="O196" s="138">
        <f>O76*O$22</f>
        <v/>
      </c>
      <c r="P196" s="138">
        <f>P76*P$22</f>
        <v/>
      </c>
      <c r="Q196" s="138">
        <f>Q76*Q$22</f>
        <v/>
      </c>
      <c r="R196" s="138">
        <f>R76*R$22</f>
        <v/>
      </c>
      <c r="S196" s="138">
        <f>S76*S$22</f>
        <v/>
      </c>
      <c r="T196" s="138">
        <f>T76*T$22</f>
        <v/>
      </c>
      <c r="U196" s="138">
        <f>U76*U$22</f>
        <v/>
      </c>
    </row>
    <row r="197">
      <c r="B197" s="138">
        <f>B77*B$22</f>
        <v/>
      </c>
      <c r="C197" s="138">
        <f>C77*C$22</f>
        <v/>
      </c>
      <c r="D197" s="138">
        <f>D77*D$22</f>
        <v/>
      </c>
      <c r="E197" s="138">
        <f>E77*E$22</f>
        <v/>
      </c>
      <c r="F197" s="138">
        <f>F77*F$22</f>
        <v/>
      </c>
      <c r="G197" s="138">
        <f>G77*G$22</f>
        <v/>
      </c>
      <c r="H197" s="138">
        <f>H77*H$22</f>
        <v/>
      </c>
      <c r="I197" s="138">
        <f>I77*I$22</f>
        <v/>
      </c>
      <c r="J197" s="138">
        <f>J77*J$22</f>
        <v/>
      </c>
      <c r="K197" s="138">
        <f>K77*K$22</f>
        <v/>
      </c>
      <c r="L197" s="138">
        <f>L77*L$22</f>
        <v/>
      </c>
      <c r="M197" s="138">
        <f>M77*M$22</f>
        <v/>
      </c>
      <c r="N197" s="138">
        <f>N77*N$22</f>
        <v/>
      </c>
      <c r="O197" s="138">
        <f>O77*O$22</f>
        <v/>
      </c>
      <c r="P197" s="138">
        <f>P77*P$22</f>
        <v/>
      </c>
      <c r="Q197" s="138">
        <f>Q77*Q$22</f>
        <v/>
      </c>
      <c r="R197" s="138">
        <f>R77*R$22</f>
        <v/>
      </c>
      <c r="S197" s="138">
        <f>S77*S$22</f>
        <v/>
      </c>
      <c r="T197" s="138">
        <f>T77*T$22</f>
        <v/>
      </c>
      <c r="U197" s="138">
        <f>U77*U$22</f>
        <v/>
      </c>
    </row>
    <row r="198">
      <c r="B198" s="138">
        <f>B78*B$22</f>
        <v/>
      </c>
      <c r="C198" s="138">
        <f>C78*C$22</f>
        <v/>
      </c>
      <c r="D198" s="138">
        <f>D78*D$22</f>
        <v/>
      </c>
      <c r="E198" s="138">
        <f>E78*E$22</f>
        <v/>
      </c>
      <c r="F198" s="138">
        <f>F78*F$22</f>
        <v/>
      </c>
      <c r="G198" s="138">
        <f>G78*G$22</f>
        <v/>
      </c>
      <c r="H198" s="138">
        <f>H78*H$22</f>
        <v/>
      </c>
      <c r="I198" s="138">
        <f>I78*I$22</f>
        <v/>
      </c>
      <c r="J198" s="138">
        <f>J78*J$22</f>
        <v/>
      </c>
      <c r="K198" s="138">
        <f>K78*K$22</f>
        <v/>
      </c>
      <c r="L198" s="138">
        <f>L78*L$22</f>
        <v/>
      </c>
      <c r="M198" s="138">
        <f>M78*M$22</f>
        <v/>
      </c>
      <c r="N198" s="138">
        <f>N78*N$22</f>
        <v/>
      </c>
      <c r="O198" s="138">
        <f>O78*O$22</f>
        <v/>
      </c>
      <c r="P198" s="138">
        <f>P78*P$22</f>
        <v/>
      </c>
      <c r="Q198" s="138">
        <f>Q78*Q$22</f>
        <v/>
      </c>
      <c r="R198" s="138">
        <f>R78*R$22</f>
        <v/>
      </c>
      <c r="S198" s="138">
        <f>S78*S$22</f>
        <v/>
      </c>
      <c r="T198" s="138">
        <f>T78*T$22</f>
        <v/>
      </c>
      <c r="U198" s="138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2026-09-11T09:43:58Z</dcterms:created>
  <dcterms:modified xsi:type="dcterms:W3CDTF">2026-09-11T09:43:59Z</dcterms:modified>
</cp:coreProperties>
</file>