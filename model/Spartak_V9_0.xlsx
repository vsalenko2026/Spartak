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МинРоялтиШкола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ммм гггг"/>
    <numFmt numFmtId="190" formatCode="0,0%;[Red]-0,0%;-"/>
    <numFmt numFmtId="191" formatCode="# ##0,0;[Red]-# ##0,0;-"/>
    <numFmt numFmtId="192" formatCode="0.000"/>
    <numFmt numFmtId="193" formatCode="0.0000"/>
    <numFmt numFmtId="194" formatCode="# ##0;[Red]-# ##0;-"/>
    <numFmt numFmtId="195" formatCode="# ##0,00"/>
  </numFmts>
  <fonts count="41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  <color rgb="009E1B31"/>
      <sz val="11"/>
    </font>
    <font>
      <i val="1"/>
      <color rgb="00595959"/>
      <sz val="9"/>
    </font>
    <font>
      <b val="1"/>
    </font>
    <font>
      <b val="1"/>
      <color rgb="009E1B31"/>
      <sz val="16"/>
    </font>
    <font>
      <b val="1"/>
      <color rgb="00FFFFFF"/>
      <sz val="11"/>
    </font>
    <font>
      <b val="1"/>
      <color rgb="009E1B31"/>
    </font>
    <font>
      <b val="1"/>
      <color rgb="00FFFFFF"/>
    </font>
    <font>
      <b val="1"/>
      <color rgb="009E1B31"/>
      <sz val="12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36" fillId="0" borderId="0" pivotButton="0" quotePrefix="0" xfId="0"/>
    <xf numFmtId="0" fontId="31" fillId="0" borderId="0" pivotButton="0" quotePrefix="0" xfId="0"/>
    <xf numFmtId="0" fontId="37" fillId="10" borderId="0" applyAlignment="1" pivotButton="0" quotePrefix="0" xfId="0">
      <alignment horizontal="center"/>
    </xf>
    <xf numFmtId="194" fontId="0" fillId="0" borderId="0" pivotButton="0" quotePrefix="0" xfId="0"/>
    <xf numFmtId="194" fontId="0" fillId="8" borderId="0" pivotButton="0" quotePrefix="0" xfId="0"/>
    <xf numFmtId="0" fontId="35" fillId="0" borderId="0" pivotButton="0" quotePrefix="0" xfId="0"/>
    <xf numFmtId="194" fontId="35" fillId="0" borderId="0" pivotButton="0" quotePrefix="0" xfId="0"/>
    <xf numFmtId="194" fontId="35" fillId="8" borderId="0" pivotButton="0" quotePrefix="0" xfId="0"/>
    <xf numFmtId="191" fontId="0" fillId="0" borderId="0" pivotButton="0" quotePrefix="0" xfId="0"/>
    <xf numFmtId="191" fontId="0" fillId="8" borderId="0" pivotButton="0" quotePrefix="0" xfId="0"/>
    <xf numFmtId="191" fontId="35" fillId="0" borderId="0" pivotButton="0" quotePrefix="0" xfId="0"/>
    <xf numFmtId="191" fontId="35" fillId="8" borderId="0" pivotButton="0" quotePrefix="0" xfId="0"/>
    <xf numFmtId="0" fontId="38" fillId="0" borderId="0" pivotButton="0" quotePrefix="0" xfId="0"/>
    <xf numFmtId="19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30" fillId="0" borderId="0" pivotButton="0" quotePrefix="0" xfId="0"/>
    <xf numFmtId="0" fontId="32" fillId="10" borderId="0" applyAlignment="1" pivotButton="0" quotePrefix="0" xfId="0">
      <alignment horizontal="center" vertical="center" wrapText="1"/>
    </xf>
    <xf numFmtId="0" fontId="33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91" fontId="0" fillId="7" borderId="0" pivotButton="0" quotePrefix="0" xfId="0"/>
    <xf numFmtId="194" fontId="0" fillId="7" borderId="0" pivotButton="0" quotePrefix="0" xfId="0"/>
    <xf numFmtId="0" fontId="35" fillId="0" borderId="0" applyAlignment="1" pivotButton="0" quotePrefix="0" xfId="0">
      <alignment vertical="top" wrapText="1"/>
    </xf>
    <xf numFmtId="194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191" fontId="35" fillId="7" borderId="0" pivotButton="0" quotePrefix="0" xfId="0"/>
    <xf numFmtId="192" fontId="0" fillId="7" borderId="0" pivotButton="0" quotePrefix="0" xfId="0"/>
    <xf numFmtId="192" fontId="0" fillId="8" borderId="0" pivotButton="0" quotePrefix="0" xfId="0"/>
    <xf numFmtId="192" fontId="0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0" fontId="28" fillId="0" borderId="0" applyAlignment="1" pivotButton="0" quotePrefix="0" xfId="0">
      <alignment vertical="center"/>
    </xf>
    <xf numFmtId="17" fontId="29" fillId="0" borderId="0" applyAlignment="1" pivotButton="0" quotePrefix="0" xfId="0">
      <alignment vertical="center"/>
    </xf>
    <xf numFmtId="183" fontId="29" fillId="0" borderId="0" applyAlignment="1" pivotButton="0" quotePrefix="0" xfId="0">
      <alignment vertical="center"/>
    </xf>
    <xf numFmtId="183" fontId="0" fillId="0" borderId="0" pivotButton="0" quotePrefix="0" xfId="0"/>
    <xf numFmtId="183" fontId="28" fillId="0" borderId="0" applyAlignment="1" pivotButton="0" quotePrefix="0" xfId="0">
      <alignment vertical="center"/>
    </xf>
    <xf numFmtId="0" fontId="39" fillId="10" borderId="0" pivotButton="0" quotePrefix="0" xfId="0"/>
    <xf numFmtId="195" fontId="0" fillId="0" borderId="0" pivotButton="0" quotePrefix="0" xfId="0"/>
    <xf numFmtId="0" fontId="34" fillId="0" borderId="0" pivotButton="0" quotePrefix="0" xfId="0"/>
    <xf numFmtId="0" fontId="40" fillId="6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Финмодель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2">
      <c r="B2" s="1" t="inlineStr">
        <is>
          <t>Финмодель «Спартак» — итог</t>
        </is>
      </c>
    </row>
    <row r="3">
      <c r="B3" s="2">
        <f>"Сценарий: "&amp;СценарийТекст&amp;"   ·   старт "&amp;TEXT(СтартМодели,"ММ.ГГГГ")&amp;"   ·   горизонт "&amp;ГоризонтМес&amp;" мес."</f>
        <v/>
      </c>
    </row>
    <row r="5">
      <c r="B5" s="3" t="inlineStr">
        <is>
          <t>Показатель</t>
        </is>
      </c>
      <c r="C5" s="3" t="inlineStr">
        <is>
          <t>Год 1</t>
        </is>
      </c>
      <c r="D5" s="3" t="inlineStr">
        <is>
          <t>Год 2</t>
        </is>
      </c>
      <c r="E5" s="3" t="inlineStr">
        <is>
          <t>Год 3</t>
        </is>
      </c>
      <c r="F5" s="3" t="inlineStr">
        <is>
          <t>Год 4</t>
        </is>
      </c>
      <c r="G5" s="3" t="inlineStr">
        <is>
          <t>Год 5</t>
        </is>
      </c>
      <c r="H5" s="3" t="inlineStr">
        <is>
          <t>Итого 5 лет</t>
        </is>
      </c>
    </row>
    <row r="6">
      <c r="B6" t="inlineStr">
        <is>
          <t>Выручка без НДС</t>
        </is>
      </c>
      <c r="C6" s="4">
        <f>SUM('02_Результат'!L15:'02_Результат'!W15)</f>
        <v/>
      </c>
      <c r="D6" s="4">
        <f>SUM('02_Результат'!X15:'02_Результат'!AI15)</f>
        <v/>
      </c>
      <c r="E6" s="4">
        <f>SUM('02_Результат'!AJ15:'02_Результат'!AU15)</f>
        <v/>
      </c>
      <c r="F6" s="4">
        <f>SUM('02_Результат'!AV15:'02_Результат'!BG15)</f>
        <v/>
      </c>
      <c r="G6" s="4">
        <f>SUM('02_Результат'!BH15:'02_Результат'!BS15)</f>
        <v/>
      </c>
      <c r="H6" s="5">
        <f>SUM('02_Результат'!L15:'02_Результат'!BS15)</f>
        <v/>
      </c>
    </row>
    <row r="7">
      <c r="B7" s="6" t="inlineStr">
        <is>
          <t>EBITDA</t>
        </is>
      </c>
      <c r="C7" s="7">
        <f>SUM('02_Результат'!L31:'02_Результат'!W31)</f>
        <v/>
      </c>
      <c r="D7" s="7">
        <f>SUM('02_Результат'!X31:'02_Результат'!AI31)</f>
        <v/>
      </c>
      <c r="E7" s="7">
        <f>SUM('02_Результат'!AJ31:'02_Результат'!AU31)</f>
        <v/>
      </c>
      <c r="F7" s="7">
        <f>SUM('02_Результат'!AV31:'02_Результат'!BG31)</f>
        <v/>
      </c>
      <c r="G7" s="7">
        <f>SUM('02_Результат'!BH31:'02_Результат'!BS31)</f>
        <v/>
      </c>
      <c r="H7" s="8">
        <f>SUM('02_Результат'!L31:'02_Результат'!BS31)</f>
        <v/>
      </c>
    </row>
    <row r="8">
      <c r="B8" t="inlineStr">
        <is>
          <t>Прибыль после налога</t>
        </is>
      </c>
      <c r="C8" s="4">
        <f>SUM('02_Результат'!L34:'02_Результат'!W34)</f>
        <v/>
      </c>
      <c r="D8" s="4">
        <f>SUM('02_Результат'!X34:'02_Результат'!AI34)</f>
        <v/>
      </c>
      <c r="E8" s="4">
        <f>SUM('02_Результат'!AJ34:'02_Результат'!AU34)</f>
        <v/>
      </c>
      <c r="F8" s="4">
        <f>SUM('02_Результат'!AV34:'02_Результат'!BG34)</f>
        <v/>
      </c>
      <c r="G8" s="4">
        <f>SUM('02_Результат'!BH34:'02_Результат'!BS34)</f>
        <v/>
      </c>
      <c r="H8" s="5">
        <f>SUM('02_Результат'!L34:'02_Результат'!BS34)</f>
        <v/>
      </c>
    </row>
    <row r="10">
      <c r="B10" t="inlineStr">
        <is>
          <t>Денежный поток за период</t>
        </is>
      </c>
      <c r="C10" s="4">
        <f>SUM('02_Результат'!L56:'02_Результат'!W56)</f>
        <v/>
      </c>
      <c r="D10" s="4">
        <f>SUM('02_Результат'!X56:'02_Результат'!AI56)</f>
        <v/>
      </c>
      <c r="E10" s="4">
        <f>SUM('02_Результат'!AJ56:'02_Результат'!AU56)</f>
        <v/>
      </c>
      <c r="F10" s="4">
        <f>SUM('02_Результат'!AV56:'02_Результат'!BG56)</f>
        <v/>
      </c>
      <c r="G10" s="4">
        <f>SUM('02_Результат'!BH56:'02_Результат'!BS56)</f>
        <v/>
      </c>
      <c r="H10" s="5">
        <f>SUM('02_Результат'!L56:'02_Результат'!BS56)</f>
        <v/>
      </c>
    </row>
    <row r="11">
      <c r="B11" s="6" t="inlineStr">
        <is>
          <t>Деньги на конец периода</t>
        </is>
      </c>
      <c r="C11" s="7">
        <f>'02_Результат'!W57</f>
        <v/>
      </c>
      <c r="D11" s="7">
        <f>'02_Результат'!AI57</f>
        <v/>
      </c>
      <c r="E11" s="7">
        <f>'02_Результат'!AU57</f>
        <v/>
      </c>
      <c r="F11" s="7">
        <f>'02_Результат'!BG57</f>
        <v/>
      </c>
      <c r="G11" s="7">
        <f>'02_Результат'!BS57</f>
        <v/>
      </c>
      <c r="H11" s="8">
        <f>'02_Результат'!BS57</f>
        <v/>
      </c>
    </row>
    <row r="13">
      <c r="B13" t="inlineStr">
        <is>
          <t>Школы на конец периода</t>
        </is>
      </c>
      <c r="C13" s="9">
        <f>'02_Результат'!W6</f>
        <v/>
      </c>
      <c r="D13" s="9">
        <f>'02_Результат'!AI6</f>
        <v/>
      </c>
      <c r="E13" s="9">
        <f>'02_Результат'!AU6</f>
        <v/>
      </c>
      <c r="F13" s="9">
        <f>'02_Результат'!BG6</f>
        <v/>
      </c>
      <c r="G13" s="9">
        <f>'02_Результат'!BS6</f>
        <v/>
      </c>
      <c r="H13" s="10">
        <f>'02_Результат'!BS6</f>
        <v/>
      </c>
    </row>
    <row r="14">
      <c r="B14" t="inlineStr">
        <is>
          <t>Партнёры на конец периода</t>
        </is>
      </c>
      <c r="C14" s="9">
        <f>'02_Результат'!W7</f>
        <v/>
      </c>
      <c r="D14" s="9">
        <f>'02_Результат'!AI7</f>
        <v/>
      </c>
      <c r="E14" s="9">
        <f>'02_Результат'!AU7</f>
        <v/>
      </c>
      <c r="F14" s="9">
        <f>'02_Результат'!BG7</f>
        <v/>
      </c>
      <c r="G14" s="9">
        <f>'02_Результат'!BS7</f>
        <v/>
      </c>
      <c r="H14" s="10">
        <f>'02_Результат'!BS7</f>
        <v/>
      </c>
    </row>
    <row r="15">
      <c r="B15" s="6" t="inlineStr">
        <is>
          <t>Дети на конец периода</t>
        </is>
      </c>
      <c r="C15" s="11">
        <f>'02_Результат'!W8</f>
        <v/>
      </c>
      <c r="D15" s="11">
        <f>'02_Результат'!AI8</f>
        <v/>
      </c>
      <c r="E15" s="11">
        <f>'02_Результат'!AU8</f>
        <v/>
      </c>
      <c r="F15" s="11">
        <f>'02_Результат'!BG8</f>
        <v/>
      </c>
      <c r="G15" s="11">
        <f>'02_Результат'!BS8</f>
        <v/>
      </c>
      <c r="H15" s="12">
        <f>'02_Результат'!BS8</f>
        <v/>
      </c>
    </row>
    <row r="17">
      <c r="B17" s="13" t="inlineStr">
        <is>
          <t>На что смотреть</t>
        </is>
      </c>
    </row>
    <row r="18">
      <c r="B18" t="inlineStr">
        <is>
          <t>Минимальный остаток денег за все 60 месяцев</t>
        </is>
      </c>
      <c r="C18" s="4">
        <f>MIN('02_Результат'!L57:'02_Результат'!BS57)</f>
        <v/>
      </c>
    </row>
    <row r="19">
      <c r="B19" t="inlineStr">
        <is>
          <t>Месяцев с отрицательным остатком</t>
        </is>
      </c>
      <c r="C19" s="4">
        <f>COUNTIF('02_Результат'!L57:'02_Результат'!BS57,"&lt;0")</f>
        <v/>
      </c>
    </row>
    <row r="20">
      <c r="B20" t="inlineStr">
        <is>
          <t>Рентабельность EBITDA за 5 лет</t>
        </is>
      </c>
      <c r="C20" s="14">
        <f>IF(H7=0,0,H8/H7)</f>
        <v/>
      </c>
    </row>
    <row r="22">
      <c r="B22" s="13" t="inlineStr">
        <is>
          <t>Где что лежит</t>
        </is>
      </c>
    </row>
    <row r="23">
      <c r="B23" s="15" t="inlineStr">
        <is>
          <t>01_Вводные</t>
        </is>
      </c>
      <c r="C23" t="inlineStr">
        <is>
          <t>Единственное место, где что-то вводится руками</t>
        </is>
      </c>
    </row>
    <row r="24">
      <c r="B24" s="15" t="inlineStr">
        <is>
          <t>02_Результат</t>
        </is>
      </c>
      <c r="C24" t="inlineStr">
        <is>
          <t>БДР и БДДС: годы слева, месяцы справа</t>
        </is>
      </c>
    </row>
    <row r="25">
      <c r="B25" s="15" t="inlineStr">
        <is>
          <t>03_Сеть</t>
        </is>
      </c>
      <c r="C25" t="inlineStr">
        <is>
          <t>Расшифровка: продажи, открытия, школы, дети</t>
        </is>
      </c>
    </row>
    <row r="26">
      <c r="B26" s="15" t="inlineStr">
        <is>
          <t>04_Доходы</t>
        </is>
      </c>
      <c r="C26" t="inlineStr">
        <is>
          <t>Расшифровка: паушальные, роялти, мерч</t>
        </is>
      </c>
    </row>
    <row r="27">
      <c r="B27" s="15" t="inlineStr">
        <is>
          <t>05_Расходы</t>
        </is>
      </c>
      <c r="C27" t="inlineStr">
        <is>
          <t>Расшифровка: ФОТ, OPEX, выплаты ФК</t>
        </is>
      </c>
    </row>
    <row r="28">
      <c r="B28" s="15" t="inlineStr">
        <is>
          <t>06_Деньги</t>
        </is>
      </c>
      <c r="C28" t="inlineStr">
        <is>
          <t>Расшифровка: склад, займ, НДС, оборотка</t>
        </is>
      </c>
    </row>
    <row r="29">
      <c r="B29" s="15" t="inlineStr">
        <is>
          <t>07_Тарифы</t>
        </is>
      </c>
      <c r="C29" t="inlineStr">
        <is>
          <t>Справочник: индексы цен, возрастные тарифы</t>
        </is>
      </c>
    </row>
    <row r="30">
      <c r="B30" s="15" t="inlineStr">
        <is>
          <t>08_Проверки</t>
        </is>
      </c>
      <c r="C30" t="inlineStr">
        <is>
          <t>Основные контроли — их немного и они по делу</t>
        </is>
      </c>
    </row>
    <row r="31">
      <c r="B31" s="15" t="inlineStr">
        <is>
          <t>09_Инструкция</t>
        </is>
      </c>
      <c r="C31" t="inlineStr">
        <is>
          <t>Как пользоваться, гипотезы и словарь терминов</t>
        </is>
      </c>
    </row>
  </sheetData>
  <mergeCells count="9">
    <mergeCell ref="C25:H25"/>
    <mergeCell ref="C24:H24"/>
    <mergeCell ref="C28:H28"/>
    <mergeCell ref="C27:H27"/>
    <mergeCell ref="C31:H31"/>
    <mergeCell ref="C23:H23"/>
    <mergeCell ref="C26:H26"/>
    <mergeCell ref="C29:H29"/>
    <mergeCell ref="C30:H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6" t="inlineStr">
        <is>
          <t>Финмодель Спартак — единый лист вводных</t>
        </is>
      </c>
    </row>
    <row r="2">
      <c r="A2" s="15" t="inlineStr">
        <is>
          <t>Легенда:</t>
        </is>
      </c>
      <c r="B2" s="17" t="inlineStr">
        <is>
          <t>жёлтая — ввод</t>
        </is>
      </c>
      <c r="C2" s="18" t="inlineStr">
        <is>
          <t>уточнить</t>
        </is>
      </c>
      <c r="D2" s="19" t="inlineStr">
        <is>
          <t>переключатель</t>
        </is>
      </c>
      <c r="E2" s="20" t="inlineStr">
        <is>
          <t>блок v4 / ревизии</t>
        </is>
      </c>
      <c r="F2" s="21" t="inlineStr">
        <is>
          <t>серая курсивная — формула, не трогать</t>
        </is>
      </c>
      <c r="G2" s="22" t="inlineStr">
        <is>
          <t>→ 00_Старт: оглавление, переключатели, легенда</t>
        </is>
      </c>
      <c r="H2" s="22" t="inlineStr">
        <is>
          <t>→ 14а_Сверка_с_ТЗ: пункт ТЗ → формула</t>
        </is>
      </c>
    </row>
    <row r="3">
      <c r="A3" s="23" t="inlineStr">
        <is>
          <t>Правило работы</t>
        </is>
      </c>
      <c r="B3" s="24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5" t="inlineStr">
        <is>
          <t>→ Раздел 11: сценарии и чувствительность</t>
        </is>
      </c>
      <c r="H4" s="25" t="inlineStr">
        <is>
          <t>→ Раздел 13: тарифные группы</t>
        </is>
      </c>
    </row>
    <row r="5" ht="20" customHeight="1">
      <c r="A5" s="26" t="inlineStr">
        <is>
          <t>1. Календарь, стартовая сеть и оборотный капитал</t>
        </is>
      </c>
    </row>
    <row r="6">
      <c r="A6" s="27" t="inlineStr">
        <is>
          <t>Параметр</t>
        </is>
      </c>
      <c r="B6" s="27" t="inlineStr">
        <is>
          <t>Значение</t>
        </is>
      </c>
      <c r="C6" s="27" t="inlineStr">
        <is>
          <t>Ед.</t>
        </is>
      </c>
      <c r="D6" s="27" t="inlineStr">
        <is>
          <t>Статус / источник</t>
        </is>
      </c>
      <c r="E6" s="27" t="inlineStr">
        <is>
          <t>Комментарий</t>
        </is>
      </c>
      <c r="G6" s="25" t="inlineStr">
        <is>
          <t>→ Раздел 12: настройки ревизии</t>
        </is>
      </c>
      <c r="H6" s="25" t="inlineStr">
        <is>
          <t>→ Раздел 14–16: CAPEX и индексация</t>
        </is>
      </c>
    </row>
    <row r="7">
      <c r="A7" s="23" t="inlineStr">
        <is>
          <t>Дата старта модели</t>
        </is>
      </c>
      <c r="B7" s="28" t="n">
        <v>46266</v>
      </c>
      <c r="C7" s="29" t="inlineStr">
        <is>
          <t>дата</t>
        </is>
      </c>
      <c r="D7" s="29" t="inlineStr">
        <is>
          <t>ТЗ 5.1</t>
        </is>
      </c>
      <c r="E7" s="30" t="inlineStr">
        <is>
          <t>Единый сезон сентябрь–август</t>
        </is>
      </c>
    </row>
    <row r="8">
      <c r="A8" s="23" t="inlineStr">
        <is>
          <t>Горизонт прогноза</t>
        </is>
      </c>
      <c r="B8" s="31" t="n">
        <v>60</v>
      </c>
      <c r="C8" s="29" t="inlineStr">
        <is>
          <t>мес.</t>
        </is>
      </c>
      <c r="D8" s="29" t="inlineStr">
        <is>
          <t>Фиксированная структура</t>
        </is>
      </c>
      <c r="E8" s="30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23" t="inlineStr">
        <is>
          <t>Активные школы действующей сети на старте</t>
        </is>
      </c>
      <c r="B9" s="32" t="n">
        <v>104</v>
      </c>
      <c r="C9" s="29" t="inlineStr">
        <is>
          <t>шт.</t>
        </is>
      </c>
      <c r="D9" s="29" t="inlineStr">
        <is>
          <t>Фактический реестр на 09.09.2026</t>
        </is>
      </c>
      <c r="E9" s="30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23" t="inlineStr">
        <is>
          <t>Активные юрлица на старте</t>
        </is>
      </c>
      <c r="B10" s="33" t="n">
        <v>51</v>
      </c>
      <c r="C10" s="29" t="inlineStr">
        <is>
          <t>шт.</t>
        </is>
      </c>
      <c r="D10" s="29" t="inlineStr">
        <is>
          <t>Фактический реестр на 09.09.2026</t>
        </is>
      </c>
      <c r="E10" s="30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>
      <c r="A11" s="23" t="inlineStr">
        <is>
          <t>Дети действующей сети, 100% база</t>
        </is>
      </c>
      <c r="B11" s="34" t="n">
        <v>5200</v>
      </c>
      <c r="C11" s="29" t="inlineStr">
        <is>
          <t>чел.</t>
        </is>
      </c>
      <c r="D11" s="29" t="inlineStr">
        <is>
          <t>ТЗ 5.3</t>
        </is>
      </c>
      <c r="E11" s="30" t="inlineStr">
        <is>
          <t>100% загрузка; внутри сезона применяется посещаемость</t>
        </is>
      </c>
    </row>
    <row r="12">
      <c r="A12" s="23" t="inlineStr">
        <is>
          <t>Рост детей действующей сети</t>
        </is>
      </c>
      <c r="B12" s="35" t="n">
        <v>0.1</v>
      </c>
      <c r="C12" s="29" t="inlineStr">
        <is>
          <t>%/год</t>
        </is>
      </c>
      <c r="D12" s="29" t="inlineStr">
        <is>
          <t>ТЗ 5.3</t>
        </is>
      </c>
      <c r="E12" s="30" t="inlineStr">
        <is>
          <t>Сложный рост, пересчёт каждый сентябрь</t>
        </is>
      </c>
    </row>
    <row r="13">
      <c r="A13" s="23" t="inlineStr">
        <is>
          <t>Закрытие школ / юрлиц</t>
        </is>
      </c>
      <c r="B13" s="36" t="n">
        <v>0.03</v>
      </c>
      <c r="C13" s="29" t="inlineStr">
        <is>
          <t>%/год</t>
        </is>
      </c>
      <c r="D13" s="29" t="inlineStr">
        <is>
          <t>Согласовано 11.09.2026</t>
        </is>
      </c>
      <c r="E13" s="30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23" t="inlineStr">
        <is>
          <t>Месячный коэффициент сохранения</t>
        </is>
      </c>
      <c r="B14" s="37">
        <f>(1-B13)^(1/12)</f>
        <v/>
      </c>
      <c r="C14" s="29" t="inlineStr">
        <is>
          <t>коэфф.</t>
        </is>
      </c>
      <c r="D14" s="29" t="inlineStr">
        <is>
          <t>Расчёт</t>
        </is>
      </c>
      <c r="E14" s="29" t="inlineStr">
        <is>
          <t>Технический коэффициент для закрытий</t>
        </is>
      </c>
    </row>
    <row r="15">
      <c r="A15" s="23" t="inlineStr">
        <is>
          <t>Лаг продажа → открытие</t>
        </is>
      </c>
      <c r="B15" s="38" t="n">
        <v>2</v>
      </c>
      <c r="C15" s="29" t="inlineStr">
        <is>
          <t>мес.</t>
        </is>
      </c>
      <c r="D15" s="29" t="inlineStr">
        <is>
          <t>ТЗ 5.2</t>
        </is>
      </c>
      <c r="E15" s="30" t="inlineStr">
        <is>
          <t>Продажа, открытие и ERP — разные события</t>
        </is>
      </c>
    </row>
    <row r="16">
      <c r="A16" s="23" t="inlineStr">
        <is>
          <t>Новых юрлиц на 1 продажу</t>
        </is>
      </c>
      <c r="B16" s="39" t="n">
        <v>1</v>
      </c>
      <c r="C16" s="29" t="inlineStr">
        <is>
          <t>юрлиц/продажу</t>
        </is>
      </c>
      <c r="D16" s="29" t="inlineStr">
        <is>
          <t>Временно</t>
        </is>
      </c>
      <c r="E16" s="30" t="inlineStr">
        <is>
          <t>Связь продаж с новыми юрлицами. Пока 1:1; отдельно от количества школ на партнёра.</t>
        </is>
      </c>
    </row>
    <row r="17">
      <c r="A17" s="23" t="inlineStr">
        <is>
          <t>Стартовый денежный остаток</t>
        </is>
      </c>
      <c r="B17" s="40" t="n">
        <v>187878</v>
      </c>
      <c r="C17" s="29" t="inlineStr">
        <is>
          <t>₽</t>
        </is>
      </c>
      <c r="D17" s="29" t="inlineStr">
        <is>
          <t>ДДС на 02.07.2026</t>
        </is>
      </c>
      <c r="E17" s="30" t="inlineStr">
        <is>
          <t>Обновить на 31.08.2026</t>
        </is>
      </c>
    </row>
    <row r="18">
      <c r="A18" s="23" t="inlineStr">
        <is>
          <t>Дебиторка</t>
        </is>
      </c>
      <c r="B18" s="41">
        <f>$B$225*$F$203</f>
        <v/>
      </c>
      <c r="C18" s="29" t="inlineStr">
        <is>
          <t>дней</t>
        </is>
      </c>
      <c r="D18" s="29" t="inlineStr">
        <is>
          <t>Расчет по сценарию</t>
        </is>
      </c>
      <c r="E18" s="30" t="inlineStr">
        <is>
          <t>Базовое допущение</t>
        </is>
      </c>
      <c r="G18" s="42" t="inlineStr">
        <is>
          <t>← формула; база: B225</t>
        </is>
      </c>
    </row>
    <row r="19">
      <c r="A19" s="23" t="inlineStr">
        <is>
          <t>Кредиторка</t>
        </is>
      </c>
      <c r="B19" s="43" t="n">
        <v>15</v>
      </c>
      <c r="C19" s="29" t="inlineStr">
        <is>
          <t>дней</t>
        </is>
      </c>
      <c r="D19" s="29" t="inlineStr">
        <is>
          <t>ТЗ 8</t>
        </is>
      </c>
      <c r="E19" s="30" t="inlineStr">
        <is>
          <t>Базовое допущение</t>
        </is>
      </c>
    </row>
    <row r="20">
      <c r="A20" s="23" t="inlineStr">
        <is>
          <t>Доля поступления в текущем месяце</t>
        </is>
      </c>
      <c r="B20" s="44">
        <f>MAX(0,MIN(1,(30-B18)/30))</f>
        <v/>
      </c>
      <c r="C20" s="29" t="inlineStr">
        <is>
          <t>%</t>
        </is>
      </c>
      <c r="D20" s="29" t="inlineStr">
        <is>
          <t>Расчёт</t>
        </is>
      </c>
      <c r="E20" s="29" t="inlineStr">
        <is>
          <t>15 дней ≈ 50% текущий / 50% следующий месяц</t>
        </is>
      </c>
    </row>
    <row r="21">
      <c r="A21" s="23" t="inlineStr">
        <is>
          <t>Доля оплаты в текущем месяце</t>
        </is>
      </c>
      <c r="B21" s="44">
        <f>MAX(0,MIN(1,(30-B19)/30))</f>
        <v/>
      </c>
      <c r="C21" s="29" t="inlineStr">
        <is>
          <t>%</t>
        </is>
      </c>
      <c r="D21" s="29" t="inlineStr">
        <is>
          <t>Расчёт</t>
        </is>
      </c>
      <c r="E21" s="29" t="inlineStr">
        <is>
          <t>15 дней ≈ 50% текущий / 50% следующий месяц</t>
        </is>
      </c>
    </row>
    <row r="22">
      <c r="A22" s="23" t="inlineStr">
        <is>
          <t>Новых школ на 1 продажу / нового партнёра</t>
        </is>
      </c>
      <c r="B22" s="45" t="n">
        <v>1.5</v>
      </c>
      <c r="C22" s="29" t="inlineStr">
        <is>
          <t>школ/продажу</t>
        </is>
      </c>
      <c r="D22" s="29" t="inlineStr">
        <is>
          <t>Согласовано 11.09.2026</t>
        </is>
      </c>
      <c r="E22" s="30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6" t="inlineStr">
        <is>
          <t>2. Продажи франшиз и маркетинг</t>
        </is>
      </c>
    </row>
    <row r="24">
      <c r="A24" s="27" t="inlineStr">
        <is>
          <t>Параметр</t>
        </is>
      </c>
      <c r="B24" s="27" t="inlineStr">
        <is>
          <t>Значение</t>
        </is>
      </c>
      <c r="C24" s="27" t="inlineStr">
        <is>
          <t>Ед.</t>
        </is>
      </c>
      <c r="D24" s="27" t="inlineStr">
        <is>
          <t>Статус / источник</t>
        </is>
      </c>
      <c r="E24" s="27" t="inlineStr">
        <is>
          <t>Комментарий</t>
        </is>
      </c>
    </row>
    <row r="25">
      <c r="A25" s="23" t="inlineStr">
        <is>
          <t>Конверсия лид → продажа</t>
        </is>
      </c>
      <c r="B25" s="35" t="n">
        <v>0.03</v>
      </c>
      <c r="C25" s="29" t="inlineStr">
        <is>
          <t>%</t>
        </is>
      </c>
      <c r="D25" s="29" t="inlineStr">
        <is>
          <t>ТЗ 7</t>
        </is>
      </c>
      <c r="E25" s="30" t="n"/>
    </row>
    <row r="26">
      <c r="A26" s="23" t="inlineStr">
        <is>
          <t>Таргет на будущую продажу</t>
        </is>
      </c>
      <c r="B26" s="46">
        <f>$B$224*$F$202</f>
        <v/>
      </c>
      <c r="C26" s="29" t="inlineStr">
        <is>
          <t>₽/продажа</t>
        </is>
      </c>
      <c r="D26" s="29" t="inlineStr">
        <is>
          <t>Расчет по сценарию</t>
        </is>
      </c>
      <c r="E26" s="30" t="inlineStr">
        <is>
          <t>Обычно M-2; для октября 2026 исключение M-1</t>
        </is>
      </c>
      <c r="G26" s="42" t="inlineStr">
        <is>
          <t>← формула; база: B224</t>
        </is>
      </c>
    </row>
    <row r="27">
      <c r="A27" s="23" t="inlineStr">
        <is>
          <t>Лаг таргета до продажи</t>
        </is>
      </c>
      <c r="B27" s="38" t="n">
        <v>2</v>
      </c>
      <c r="C27" s="29" t="inlineStr">
        <is>
          <t>мес.</t>
        </is>
      </c>
      <c r="D27" s="29" t="inlineStr">
        <is>
          <t>ТЗ 7</t>
        </is>
      </c>
      <c r="E27" s="30" t="inlineStr">
        <is>
          <t>Октябрь 2026 — отдельное исключение</t>
        </is>
      </c>
    </row>
    <row r="28">
      <c r="A28" s="23" t="inlineStr">
        <is>
          <t>БИБОСС — сумма</t>
        </is>
      </c>
      <c r="B28" s="47" t="n">
        <v>250000</v>
      </c>
      <c r="C28" s="29" t="inlineStr">
        <is>
          <t>₽</t>
        </is>
      </c>
      <c r="D28" s="29" t="inlineStr">
        <is>
          <t>ТЗ 7</t>
        </is>
      </c>
      <c r="E28" s="30" t="inlineStr">
        <is>
          <t>Ежегодно</t>
        </is>
      </c>
    </row>
    <row r="29">
      <c r="A29" s="23" t="inlineStr">
        <is>
          <t>БИБОСС — месяц</t>
        </is>
      </c>
      <c r="B29" s="48" t="n">
        <v>10</v>
      </c>
      <c r="C29" s="29" t="inlineStr">
        <is>
          <t>номер месяца</t>
        </is>
      </c>
      <c r="D29" s="29" t="inlineStr">
        <is>
          <t>ТЗ 7</t>
        </is>
      </c>
      <c r="E29" s="30" t="inlineStr">
        <is>
          <t>Октябрь</t>
        </is>
      </c>
    </row>
    <row r="30">
      <c r="A30" s="23" t="inlineStr">
        <is>
          <t>TopFranchise — сумма</t>
        </is>
      </c>
      <c r="B30" s="47" t="n">
        <v>250000</v>
      </c>
      <c r="C30" s="29" t="inlineStr">
        <is>
          <t>₽</t>
        </is>
      </c>
      <c r="D30" s="29" t="inlineStr">
        <is>
          <t>ТЗ 7</t>
        </is>
      </c>
      <c r="E30" s="30" t="inlineStr">
        <is>
          <t>Ежегодно</t>
        </is>
      </c>
    </row>
    <row r="31">
      <c r="A31" s="23" t="inlineStr">
        <is>
          <t>TopFranchise — месяц</t>
        </is>
      </c>
      <c r="B31" s="48" t="n">
        <v>11</v>
      </c>
      <c r="C31" s="29" t="inlineStr">
        <is>
          <t>номер месяца</t>
        </is>
      </c>
      <c r="D31" s="29" t="inlineStr">
        <is>
          <t>ТЗ 7</t>
        </is>
      </c>
      <c r="E31" s="30" t="inlineStr">
        <is>
          <t>Ноябрь</t>
        </is>
      </c>
    </row>
    <row r="32">
      <c r="A32" s="23" t="inlineStr">
        <is>
          <t>Forbes — сумма</t>
        </is>
      </c>
      <c r="B32" s="47" t="n">
        <v>250000</v>
      </c>
      <c r="C32" s="29" t="inlineStr">
        <is>
          <t>₽</t>
        </is>
      </c>
      <c r="D32" s="29" t="inlineStr">
        <is>
          <t>ТЗ 7</t>
        </is>
      </c>
      <c r="E32" s="30" t="inlineStr">
        <is>
          <t>Ежегодно</t>
        </is>
      </c>
    </row>
    <row r="33">
      <c r="A33" s="23" t="inlineStr">
        <is>
          <t>Forbes — месяц</t>
        </is>
      </c>
      <c r="B33" s="48" t="n">
        <v>12</v>
      </c>
      <c r="C33" s="29" t="inlineStr">
        <is>
          <t>номер месяца</t>
        </is>
      </c>
      <c r="D33" s="29" t="inlineStr">
        <is>
          <t>ТЗ 7</t>
        </is>
      </c>
      <c r="E33" s="30" t="inlineStr">
        <is>
          <t>Декабрь</t>
        </is>
      </c>
    </row>
    <row r="34" ht="20" customHeight="1">
      <c r="A34" s="49" t="inlineStr">
        <is>
          <t>Планы продаж и сезонность — редактируются только здесь</t>
        </is>
      </c>
    </row>
    <row r="35">
      <c r="A35" s="27" t="inlineStr">
        <is>
          <t>Сезон</t>
        </is>
      </c>
      <c r="B35" s="27" t="inlineStr">
        <is>
          <t>Годовой план</t>
        </is>
      </c>
      <c r="C35" s="27" t="inlineStr">
        <is>
          <t>Сен</t>
        </is>
      </c>
      <c r="D35" s="27" t="inlineStr">
        <is>
          <t>Окт</t>
        </is>
      </c>
      <c r="E35" s="27" t="inlineStr">
        <is>
          <t>Ноя</t>
        </is>
      </c>
      <c r="F35" s="27" t="inlineStr">
        <is>
          <t>Дек</t>
        </is>
      </c>
      <c r="G35" s="27" t="inlineStr">
        <is>
          <t>Янв</t>
        </is>
      </c>
      <c r="H35" s="27" t="inlineStr">
        <is>
          <t>Фев</t>
        </is>
      </c>
      <c r="I35" s="27" t="inlineStr">
        <is>
          <t>Мар</t>
        </is>
      </c>
      <c r="J35" s="27" t="inlineStr">
        <is>
          <t>Апр</t>
        </is>
      </c>
      <c r="K35" s="27" t="inlineStr">
        <is>
          <t>Май</t>
        </is>
      </c>
      <c r="L35" s="27" t="inlineStr">
        <is>
          <t>Июн</t>
        </is>
      </c>
      <c r="M35" s="27" t="inlineStr">
        <is>
          <t>Июл</t>
        </is>
      </c>
      <c r="N35" s="27" t="inlineStr">
        <is>
          <t>Авг</t>
        </is>
      </c>
      <c r="O35" s="27" t="inlineStr">
        <is>
          <t>Контроль</t>
        </is>
      </c>
    </row>
    <row r="36">
      <c r="A36" s="50" t="n">
        <v>1</v>
      </c>
      <c r="B36" s="46">
        <f>$B$210*$F$198</f>
        <v/>
      </c>
      <c r="C36" s="35" t="n">
        <v>0</v>
      </c>
      <c r="D36" s="35" t="n">
        <v>0.1097560975609756</v>
      </c>
      <c r="E36" s="35" t="n">
        <v>0.03658536585365853</v>
      </c>
      <c r="F36" s="35" t="n">
        <v>0.02439024390243902</v>
      </c>
      <c r="G36" s="35" t="n">
        <v>0.09756097560975609</v>
      </c>
      <c r="H36" s="35" t="n">
        <v>0.1585365853658537</v>
      </c>
      <c r="I36" s="35" t="n">
        <v>0.06097560975609756</v>
      </c>
      <c r="J36" s="35" t="n">
        <v>0.07317073170731707</v>
      </c>
      <c r="K36" s="35" t="n">
        <v>0.09756097560975609</v>
      </c>
      <c r="L36" s="35" t="n">
        <v>0.06097560975609756</v>
      </c>
      <c r="M36" s="35" t="n">
        <v>0.1097560975609756</v>
      </c>
      <c r="N36" s="35" t="n">
        <v>0.1707317073170732</v>
      </c>
      <c r="O36" s="44">
        <f>SUM(C36:N36)</f>
        <v/>
      </c>
    </row>
    <row r="37">
      <c r="A37" s="50" t="n">
        <v>2</v>
      </c>
      <c r="B37" s="46">
        <f>$B$211*$F$198</f>
        <v/>
      </c>
      <c r="C37" s="35" t="n">
        <v>0.18</v>
      </c>
      <c r="D37" s="35" t="n">
        <v>0.09</v>
      </c>
      <c r="E37" s="35" t="n">
        <v>0.03</v>
      </c>
      <c r="F37" s="35" t="n">
        <v>0.02</v>
      </c>
      <c r="G37" s="35" t="n">
        <v>0.08</v>
      </c>
      <c r="H37" s="35" t="n">
        <v>0.13</v>
      </c>
      <c r="I37" s="35" t="n">
        <v>0.05</v>
      </c>
      <c r="J37" s="35" t="n">
        <v>0.06</v>
      </c>
      <c r="K37" s="35" t="n">
        <v>0.08</v>
      </c>
      <c r="L37" s="35" t="n">
        <v>0.05</v>
      </c>
      <c r="M37" s="35" t="n">
        <v>0.09</v>
      </c>
      <c r="N37" s="35" t="n">
        <v>0.14</v>
      </c>
      <c r="O37" s="44">
        <f>SUM(C37:N37)</f>
        <v/>
      </c>
    </row>
    <row r="38">
      <c r="A38" s="50" t="n">
        <v>3</v>
      </c>
      <c r="B38" s="46">
        <f>$B$212*$F$198</f>
        <v/>
      </c>
      <c r="C38" s="35" t="n">
        <v>0.18</v>
      </c>
      <c r="D38" s="35" t="n">
        <v>0.09</v>
      </c>
      <c r="E38" s="35" t="n">
        <v>0.03</v>
      </c>
      <c r="F38" s="35" t="n">
        <v>0.02</v>
      </c>
      <c r="G38" s="35" t="n">
        <v>0.08</v>
      </c>
      <c r="H38" s="35" t="n">
        <v>0.13</v>
      </c>
      <c r="I38" s="35" t="n">
        <v>0.05</v>
      </c>
      <c r="J38" s="35" t="n">
        <v>0.06</v>
      </c>
      <c r="K38" s="35" t="n">
        <v>0.08</v>
      </c>
      <c r="L38" s="35" t="n">
        <v>0.05</v>
      </c>
      <c r="M38" s="35" t="n">
        <v>0.09</v>
      </c>
      <c r="N38" s="35" t="n">
        <v>0.14</v>
      </c>
      <c r="O38" s="44">
        <f>SUM(C38:N38)</f>
        <v/>
      </c>
    </row>
    <row r="39">
      <c r="A39" s="50" t="n">
        <v>4</v>
      </c>
      <c r="B39" s="46">
        <f>$B$213*$F$198</f>
        <v/>
      </c>
      <c r="C39" s="35" t="n">
        <v>0.18</v>
      </c>
      <c r="D39" s="35" t="n">
        <v>0.09</v>
      </c>
      <c r="E39" s="35" t="n">
        <v>0.03</v>
      </c>
      <c r="F39" s="35" t="n">
        <v>0.02</v>
      </c>
      <c r="G39" s="35" t="n">
        <v>0.08</v>
      </c>
      <c r="H39" s="35" t="n">
        <v>0.13</v>
      </c>
      <c r="I39" s="35" t="n">
        <v>0.05</v>
      </c>
      <c r="J39" s="35" t="n">
        <v>0.06</v>
      </c>
      <c r="K39" s="35" t="n">
        <v>0.08</v>
      </c>
      <c r="L39" s="35" t="n">
        <v>0.05</v>
      </c>
      <c r="M39" s="35" t="n">
        <v>0.09</v>
      </c>
      <c r="N39" s="35" t="n">
        <v>0.14</v>
      </c>
      <c r="O39" s="44">
        <f>SUM(C39:N39)</f>
        <v/>
      </c>
    </row>
    <row r="40">
      <c r="A40" s="50" t="n">
        <v>5</v>
      </c>
      <c r="B40" s="46">
        <f>$B$214*$F$198</f>
        <v/>
      </c>
      <c r="C40" s="35" t="n">
        <v>0.18</v>
      </c>
      <c r="D40" s="35" t="n">
        <v>0.09</v>
      </c>
      <c r="E40" s="35" t="n">
        <v>0.03</v>
      </c>
      <c r="F40" s="35" t="n">
        <v>0.02</v>
      </c>
      <c r="G40" s="35" t="n">
        <v>0.08</v>
      </c>
      <c r="H40" s="35" t="n">
        <v>0.13</v>
      </c>
      <c r="I40" s="35" t="n">
        <v>0.05</v>
      </c>
      <c r="J40" s="35" t="n">
        <v>0.06</v>
      </c>
      <c r="K40" s="35" t="n">
        <v>0.08</v>
      </c>
      <c r="L40" s="35" t="n">
        <v>0.05</v>
      </c>
      <c r="M40" s="35" t="n">
        <v>0.09</v>
      </c>
      <c r="N40" s="35" t="n">
        <v>0.14</v>
      </c>
      <c r="O40" s="44">
        <f>SUM(C40:N40)</f>
        <v/>
      </c>
    </row>
    <row r="42" ht="20" customHeight="1">
      <c r="A42" s="26" t="inlineStr">
        <is>
          <t>3. Дети и сезонность посещаемости</t>
        </is>
      </c>
    </row>
    <row r="43">
      <c r="A43" s="27" t="inlineStr">
        <is>
          <t>Месяц</t>
        </is>
      </c>
      <c r="B43" s="27" t="inlineStr">
        <is>
          <t>Янв</t>
        </is>
      </c>
      <c r="C43" s="27" t="inlineStr">
        <is>
          <t>Фев</t>
        </is>
      </c>
      <c r="D43" s="27" t="inlineStr">
        <is>
          <t>Мар</t>
        </is>
      </c>
      <c r="E43" s="27" t="inlineStr">
        <is>
          <t>Апр</t>
        </is>
      </c>
      <c r="F43" s="27" t="inlineStr">
        <is>
          <t>Май</t>
        </is>
      </c>
      <c r="G43" s="27" t="inlineStr">
        <is>
          <t>Июн</t>
        </is>
      </c>
      <c r="H43" s="27" t="inlineStr">
        <is>
          <t>Июл</t>
        </is>
      </c>
      <c r="I43" s="27" t="inlineStr">
        <is>
          <t>Авг</t>
        </is>
      </c>
      <c r="J43" s="27" t="inlineStr">
        <is>
          <t>Сен</t>
        </is>
      </c>
      <c r="K43" s="27" t="inlineStr">
        <is>
          <t>Окт</t>
        </is>
      </c>
      <c r="L43" s="27" t="inlineStr">
        <is>
          <t>Ноя</t>
        </is>
      </c>
      <c r="M43" s="27" t="inlineStr">
        <is>
          <t>Дек</t>
        </is>
      </c>
    </row>
    <row r="44">
      <c r="A44" s="23" t="inlineStr">
        <is>
          <t>Индекс посещаемости</t>
        </is>
      </c>
      <c r="B44" s="35" t="n">
        <v>0.963235294117647</v>
      </c>
      <c r="C44" s="35" t="n">
        <v>1</v>
      </c>
      <c r="D44" s="35" t="n">
        <v>0.9926470588235294</v>
      </c>
      <c r="E44" s="35" t="n">
        <v>0.926470588235294</v>
      </c>
      <c r="F44" s="35" t="n">
        <v>0.8235294117647058</v>
      </c>
      <c r="G44" s="35" t="n">
        <v>0.3161764705882353</v>
      </c>
      <c r="H44" s="35" t="n">
        <v>0.1397058823529412</v>
      </c>
      <c r="I44" s="35" t="n">
        <v>0.05882352941176471</v>
      </c>
      <c r="J44" s="35" t="n">
        <v>0.7941176470588235</v>
      </c>
      <c r="K44" s="35" t="n">
        <v>0.9411764705882353</v>
      </c>
      <c r="L44" s="35" t="n">
        <v>0.9411764705882353</v>
      </c>
      <c r="M44" s="35" t="n">
        <v>0.926470588235294</v>
      </c>
    </row>
    <row r="45"/>
    <row r="46">
      <c r="A46" s="51" t="inlineStr">
        <is>
          <t>Дети к концу 12-го месяца, 100%</t>
        </is>
      </c>
      <c r="B46" s="52">
        <f>$B$215*$F$199</f>
        <v/>
      </c>
      <c r="C46" s="29" t="inlineStr">
        <is>
          <t>чел. при 100%</t>
        </is>
      </c>
      <c r="D46" s="29" t="inlineStr">
        <is>
          <t>Расчет по сценарию</t>
        </is>
      </c>
      <c r="E46" s="30" t="inlineStr">
        <is>
          <t>Взвешенное среднее</t>
        </is>
      </c>
      <c r="G46" s="42" t="inlineStr">
        <is>
          <t>← формула; база: B215</t>
        </is>
      </c>
    </row>
    <row r="47">
      <c r="A47" s="51" t="inlineStr">
        <is>
          <t>Дети к концу 24-го месяца, 100%</t>
        </is>
      </c>
      <c r="B47" s="52">
        <f>$B$216*$F$199</f>
        <v/>
      </c>
      <c r="C47" s="29" t="inlineStr">
        <is>
          <t>чел. при 100%</t>
        </is>
      </c>
      <c r="D47" s="29" t="inlineStr">
        <is>
          <t>Роман 10.08.2026 / тарифный микс</t>
        </is>
      </c>
      <c r="E47" s="53" t="inlineStr">
        <is>
          <t>Не полный план с 13-го месяца: плавный рост за месяцы 13-24.</t>
        </is>
      </c>
      <c r="G47" s="42" t="inlineStr">
        <is>
          <t>← формула; база: B216</t>
        </is>
      </c>
    </row>
    <row r="49" ht="20" customHeight="1">
      <c r="A49" s="26" t="inlineStr">
        <is>
          <t>4. Паушальный взнос и роялти</t>
        </is>
      </c>
    </row>
    <row r="50">
      <c r="A50" s="27" t="inlineStr">
        <is>
          <t>Параметр</t>
        </is>
      </c>
      <c r="B50" s="27" t="inlineStr">
        <is>
          <t>Значение</t>
        </is>
      </c>
      <c r="C50" s="27" t="inlineStr">
        <is>
          <t>Ед.</t>
        </is>
      </c>
      <c r="D50" s="27" t="inlineStr">
        <is>
          <t>Статус / источник</t>
        </is>
      </c>
      <c r="E50" s="27" t="inlineStr">
        <is>
          <t>Комментарий</t>
        </is>
      </c>
    </row>
    <row r="51">
      <c r="A51" s="23" t="inlineStr">
        <is>
          <t>Абонемент действующей сети</t>
        </is>
      </c>
      <c r="B51" s="46">
        <f>$B$217*$F$200</f>
        <v/>
      </c>
      <c r="C51" s="29" t="inlineStr">
        <is>
          <t>₽/мес.</t>
        </is>
      </c>
      <c r="D51" s="29" t="inlineStr">
        <is>
          <t>Расчет по сценарию</t>
        </is>
      </c>
      <c r="E51" s="30" t="n"/>
      <c r="G51" s="42" t="inlineStr">
        <is>
          <t>← формула; база: B217</t>
        </is>
      </c>
    </row>
    <row r="52">
      <c r="A52" s="23" t="inlineStr">
        <is>
          <t>Мин. роялти действующей сети</t>
        </is>
      </c>
      <c r="B52" s="40" t="n">
        <v>15000</v>
      </c>
      <c r="C52" s="29" t="inlineStr">
        <is>
          <t>₽/школа/мес.</t>
        </is>
      </c>
      <c r="D52" s="29" t="inlineStr">
        <is>
          <t>V5</t>
        </is>
      </c>
      <c r="E52" s="30" t="inlineStr">
        <is>
          <t>Подтвердить договорную минималку</t>
        </is>
      </c>
    </row>
    <row r="53">
      <c r="A53" s="23" t="inlineStr">
        <is>
          <t>Мин. роялти новой школы — 1-й год</t>
        </is>
      </c>
      <c r="B53" s="54">
        <f>SUMPRODUCT($C$263:$C$282,$I$263:$I$282)/$C$283</f>
        <v/>
      </c>
      <c r="C53" s="29" t="inlineStr">
        <is>
          <t>₽/школа/мес.</t>
        </is>
      </c>
      <c r="D53" s="29" t="inlineStr">
        <is>
          <t>Взвешенный микс</t>
        </is>
      </c>
      <c r="E53" s="30" t="inlineStr">
        <is>
          <t>Минимум применяется по каждой школе</t>
        </is>
      </c>
      <c r="G53" s="42" t="inlineStr">
        <is>
          <t>← формула; база: I263:I282</t>
        </is>
      </c>
    </row>
    <row r="54">
      <c r="A54" s="23" t="inlineStr">
        <is>
          <t>Мин. роялти новой школы — 2-й год+</t>
        </is>
      </c>
      <c r="B54" s="54">
        <f>SUMPRODUCT($C$263:$C$282,$J$263:$J$282)/$C$283</f>
        <v/>
      </c>
      <c r="C54" s="29" t="inlineStr">
        <is>
          <t>₽/школа/мес.</t>
        </is>
      </c>
      <c r="D54" s="29" t="inlineStr">
        <is>
          <t>Взвешенный микс</t>
        </is>
      </c>
      <c r="E54" s="30" t="inlineStr">
        <is>
          <t>Минимум применяется по каждой школе</t>
        </is>
      </c>
      <c r="G54" s="42" t="inlineStr">
        <is>
          <t>← формула; база: J263:J282</t>
        </is>
      </c>
    </row>
    <row r="55">
      <c r="A55" s="23">
        <f>"Роялти старых / продаж до "&amp;TEXT(DAY($B$244),"00")&amp;"."&amp;TEXT(MONTH($B$244),"00")&amp;"."&amp;YEAR($B$244)</f>
        <v/>
      </c>
      <c r="B55" s="35" t="n">
        <v>0.065</v>
      </c>
      <c r="C55" s="29" t="inlineStr">
        <is>
          <t>%</t>
        </is>
      </c>
      <c r="D55" s="29" t="inlineStr">
        <is>
          <t>ТЗ 5.4</t>
        </is>
      </c>
      <c r="E55" s="30" t="inlineStr">
        <is>
          <t>До 31.12.2029</t>
        </is>
      </c>
    </row>
    <row r="56">
      <c r="A56" s="23">
        <f>"Роялти новых с "&amp;TEXT(DAY($B$244+1),"00")&amp;"."&amp;TEXT(MONTH($B$244+1),"00")&amp;"."&amp;YEAR($B$244+1)</f>
        <v/>
      </c>
      <c r="B56" s="35" t="n">
        <v>0.08500000000000001</v>
      </c>
      <c r="C56" s="29" t="inlineStr">
        <is>
          <t>%</t>
        </is>
      </c>
      <c r="D56" s="29" t="inlineStr">
        <is>
          <t>ТЗ 5.4</t>
        </is>
      </c>
      <c r="E56" s="30" t="inlineStr">
        <is>
          <t>До 31.12.2029</t>
        </is>
      </c>
    </row>
    <row r="57">
      <c r="A57" s="23">
        <f>"Роялти всех с "&amp;TEXT(DAY($B$245),"00")&amp;"."&amp;TEXT(MONTH($B$245),"00")&amp;"."&amp;YEAR($B$245)</f>
        <v/>
      </c>
      <c r="B57" s="35" t="n">
        <v>0.1</v>
      </c>
      <c r="C57" s="29" t="inlineStr">
        <is>
          <t>%</t>
        </is>
      </c>
      <c r="D57" s="29" t="inlineStr">
        <is>
          <t>ТЗ 5.4</t>
        </is>
      </c>
      <c r="E57" s="55" t="inlineStr">
        <is>
          <t>Дата перехода задаётся в B245; подпись слева следует за ней.</t>
        </is>
      </c>
    </row>
    <row r="58">
      <c r="A58" s="23" t="inlineStr">
        <is>
          <t>НДС основной деятельности</t>
        </is>
      </c>
      <c r="B58" s="36" t="n">
        <v>0.05</v>
      </c>
      <c r="C58" s="29" t="inlineStr">
        <is>
          <t>%</t>
        </is>
      </c>
      <c r="D58" s="29" t="inlineStr">
        <is>
          <t>Временно</t>
        </is>
      </c>
      <c r="E58" s="30" t="inlineStr">
        <is>
          <t>Требует налоговой сверки</t>
        </is>
      </c>
    </row>
    <row r="59">
      <c r="A59" s="23" t="inlineStr">
        <is>
          <t>Доля ФК от паушального</t>
        </is>
      </c>
      <c r="B59" s="35" t="n">
        <v>0.35</v>
      </c>
      <c r="C59" s="29" t="inlineStr">
        <is>
          <t>% без НДС</t>
        </is>
      </c>
      <c r="D59" s="29" t="inlineStr">
        <is>
          <t>V5</t>
        </is>
      </c>
      <c r="E59" s="30" t="n"/>
      <c r="F59" s="56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23" t="inlineStr">
        <is>
          <t>Доля ФК от роялти</t>
        </is>
      </c>
      <c r="B60" s="35" t="n">
        <v>0.1</v>
      </c>
      <c r="C60" s="29" t="inlineStr">
        <is>
          <t>% без НДС</t>
        </is>
      </c>
      <c r="D60" s="29" t="inlineStr">
        <is>
          <t>V5</t>
        </is>
      </c>
      <c r="E60" s="30" t="n"/>
    </row>
    <row r="61" ht="20" customHeight="1">
      <c r="A61" s="49" t="inlineStr">
        <is>
          <t>Средние по взвешенному миксу продуктов — по сезонам</t>
        </is>
      </c>
    </row>
    <row r="62">
      <c r="A62" s="27" t="inlineStr">
        <is>
          <t>Сезон</t>
        </is>
      </c>
      <c r="B62" s="27" t="inlineStr">
        <is>
          <t>Средний паушальный, ₽ с НДС</t>
        </is>
      </c>
      <c r="C62" s="27" t="inlineStr">
        <is>
          <t>Средний абонемент, ₽/мес.</t>
        </is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</row>
    <row r="63">
      <c r="A63" s="50" t="n">
        <v>1</v>
      </c>
      <c r="B63" s="54">
        <f>SUMPRODUCT($C$263:$C$282,$D$263:$D$282)/$C$283</f>
        <v/>
      </c>
      <c r="C63" s="46">
        <f>$B$218*$F$200</f>
        <v/>
      </c>
      <c r="G63" s="42" t="inlineStr">
        <is>
          <t>← формула; база: D263:D282</t>
        </is>
      </c>
    </row>
    <row r="64">
      <c r="A64" s="50" t="n">
        <v>2</v>
      </c>
      <c r="B64" s="54">
        <f>SUMPRODUCT($C$263:$C$282,$D$263:$D$282)/$C$283</f>
        <v/>
      </c>
      <c r="C64" s="46">
        <f>$B$219*$F$200</f>
        <v/>
      </c>
      <c r="G64" s="42" t="inlineStr">
        <is>
          <t>← формула; база: D263:D282</t>
        </is>
      </c>
    </row>
    <row r="65">
      <c r="A65" s="50" t="n">
        <v>3</v>
      </c>
      <c r="B65" s="54">
        <f>SUMPRODUCT($C$263:$C$282,$D$263:$D$282)/$C$283</f>
        <v/>
      </c>
      <c r="C65" s="46">
        <f>$B$220*$F$200</f>
        <v/>
      </c>
      <c r="G65" s="42" t="inlineStr">
        <is>
          <t>← формула; база: D263:D282</t>
        </is>
      </c>
    </row>
    <row r="66">
      <c r="A66" s="50" t="n">
        <v>4</v>
      </c>
      <c r="B66" s="54">
        <f>SUMPRODUCT($C$263:$C$282,$D$263:$D$282)/$C$283</f>
        <v/>
      </c>
      <c r="C66" s="46">
        <f>$B$221*$F$200</f>
        <v/>
      </c>
      <c r="G66" s="42" t="inlineStr">
        <is>
          <t>← формула; база: D263:D282</t>
        </is>
      </c>
    </row>
    <row r="67">
      <c r="A67" s="50" t="n">
        <v>5</v>
      </c>
      <c r="B67" s="54">
        <f>SUMPRODUCT($C$263:$C$282,$D$263:$D$282)/$C$283</f>
        <v/>
      </c>
      <c r="C67" s="46">
        <f>$B$222*$F$200</f>
        <v/>
      </c>
      <c r="G67" s="42" t="inlineStr">
        <is>
          <t>← формула; база: D263:D282</t>
        </is>
      </c>
    </row>
    <row r="69" ht="20" customHeight="1">
      <c r="A69" s="26" t="inlineStr">
        <is>
          <t>5. Мерч, склад и займ</t>
        </is>
      </c>
    </row>
    <row r="70">
      <c r="A70" s="27" t="inlineStr">
        <is>
          <t>Параметр</t>
        </is>
      </c>
      <c r="B70" s="27" t="inlineStr">
        <is>
          <t>Значение</t>
        </is>
      </c>
      <c r="C70" s="27" t="inlineStr">
        <is>
          <t>Ед.</t>
        </is>
      </c>
      <c r="D70" s="27" t="inlineStr">
        <is>
          <t>Статус / источник</t>
        </is>
      </c>
      <c r="E70" s="27" t="inlineStr">
        <is>
          <t>Комментарий</t>
        </is>
      </c>
    </row>
    <row r="71">
      <c r="A71" s="23" t="inlineStr">
        <is>
          <t>Себестоимость комплекта</t>
        </is>
      </c>
      <c r="B71" s="47" t="n">
        <v>2100</v>
      </c>
      <c r="C71" s="29" t="inlineStr">
        <is>
          <t>₽</t>
        </is>
      </c>
      <c r="D71" s="29" t="inlineStr">
        <is>
          <t>ТЗ 5.5</t>
        </is>
      </c>
      <c r="E71" s="30" t="n"/>
    </row>
    <row r="72">
      <c r="A72" s="23" t="inlineStr">
        <is>
          <t>Наценка мерча</t>
        </is>
      </c>
      <c r="B72" s="35" t="n">
        <v>0.85</v>
      </c>
      <c r="C72" s="29" t="inlineStr">
        <is>
          <t>% к COGS</t>
        </is>
      </c>
      <c r="D72" s="29" t="inlineStr">
        <is>
          <t>ТЗ 5.5</t>
        </is>
      </c>
      <c r="E72" s="30" t="n"/>
    </row>
    <row r="73">
      <c r="A73" s="23" t="inlineStr">
        <is>
          <t>Цена комплекта</t>
        </is>
      </c>
      <c r="B73" s="57">
        <f>B71*(1+B72)</f>
        <v/>
      </c>
      <c r="C73" s="29" t="inlineStr">
        <is>
          <t>₽</t>
        </is>
      </c>
      <c r="D73" s="29" t="inlineStr">
        <is>
          <t>Расчёт</t>
        </is>
      </c>
      <c r="E73" s="29" t="inlineStr">
        <is>
          <t>2 100 × 1,85 = 3 885</t>
        </is>
      </c>
    </row>
    <row r="74">
      <c r="A74" s="23" t="inlineStr">
        <is>
          <t>Коэффициент мерча</t>
        </is>
      </c>
      <c r="B74" s="58">
        <f>$B$223*$F$201</f>
        <v/>
      </c>
      <c r="C74" s="29" t="inlineStr">
        <is>
          <t>компл./ребёнок/сезон</t>
        </is>
      </c>
      <c r="D74" s="29" t="inlineStr">
        <is>
          <t>Расчет по сценарию</t>
        </is>
      </c>
      <c r="E74" s="30" t="inlineStr">
        <is>
          <t>Ежегодная докупка</t>
        </is>
      </c>
      <c r="G74" s="42" t="inlineStr">
        <is>
          <t>← формула; база: B223</t>
        </is>
      </c>
    </row>
    <row r="75">
      <c r="A75" s="23" t="inlineStr">
        <is>
          <t>Логистика/возвраты/брак</t>
        </is>
      </c>
      <c r="B75" s="35" t="n">
        <v>0.02</v>
      </c>
      <c r="C75" s="29" t="inlineStr">
        <is>
          <t>% выручки без НДС</t>
        </is>
      </c>
      <c r="D75" s="29" t="inlineStr">
        <is>
          <t>V5</t>
        </is>
      </c>
      <c r="E75" s="30" t="inlineStr">
        <is>
          <t>До уточнения</t>
        </is>
      </c>
    </row>
    <row r="76">
      <c r="A76" s="23" t="inlineStr">
        <is>
          <t>Доля ФК от прибыли мерча</t>
        </is>
      </c>
      <c r="B76" s="35" t="n">
        <v>0.35</v>
      </c>
      <c r="C76" s="29" t="inlineStr">
        <is>
          <t>%</t>
        </is>
      </c>
      <c r="D76" s="29" t="inlineStr">
        <is>
          <t>Подтверждено</t>
        </is>
      </c>
      <c r="E76" s="30" t="inlineStr">
        <is>
          <t>Отдельно от возврата займа</t>
        </is>
      </c>
      <c r="F76" s="56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23" t="inlineStr">
        <is>
          <t>Стартовый товарный запас</t>
        </is>
      </c>
      <c r="B77" s="47" t="n">
        <v>50000000</v>
      </c>
      <c r="C77" s="29" t="inlineStr">
        <is>
          <t>₽ по COGS</t>
        </is>
      </c>
      <c r="D77" s="29" t="inlineStr">
        <is>
          <t>ТЗ 5.6</t>
        </is>
      </c>
      <c r="E77" s="30" t="n"/>
    </row>
    <row r="78">
      <c r="A78" s="23" t="inlineStr">
        <is>
          <t>Стартовый займ на мерч</t>
        </is>
      </c>
      <c r="B78" s="47" t="n">
        <v>50000000</v>
      </c>
      <c r="C78" s="29" t="inlineStr">
        <is>
          <t>₽</t>
        </is>
      </c>
      <c r="D78" s="29" t="inlineStr">
        <is>
          <t>ТЗ 5.6</t>
        </is>
      </c>
      <c r="E78" s="30" t="n"/>
    </row>
    <row r="79">
      <c r="A79" s="23" t="inlineStr">
        <is>
          <t>Доля COGS на погашение займа</t>
        </is>
      </c>
      <c r="B79" s="35" t="n">
        <v>0.6</v>
      </c>
      <c r="C79" s="29" t="inlineStr">
        <is>
          <t>%</t>
        </is>
      </c>
      <c r="D79" s="29" t="inlineStr">
        <is>
          <t>ТЗ 5.6</t>
        </is>
      </c>
      <c r="E79" s="30" t="n"/>
    </row>
    <row r="80">
      <c r="A80" s="23" t="inlineStr">
        <is>
          <t>Целевой запас</t>
        </is>
      </c>
      <c r="B80" s="38" t="n">
        <v>4</v>
      </c>
      <c r="C80" s="29" t="inlineStr">
        <is>
          <t>мес. будущих продаж</t>
        </is>
      </c>
      <c r="D80" s="29" t="inlineStr">
        <is>
          <t>ТЗ 5.6 / уточнено 10.09.2026</t>
        </is>
      </c>
      <c r="E80" s="30">
        <f>"При закупке доводим склад до будущих "&amp;$B$80&amp;" мес. продаж по себестоимости"</f>
        <v/>
      </c>
    </row>
    <row r="81">
      <c r="A81" s="23" t="inlineStr">
        <is>
          <t>Начало регулярного пополнения</t>
        </is>
      </c>
      <c r="B81" s="28" t="n">
        <v>46966</v>
      </c>
      <c r="C81" s="29" t="inlineStr">
        <is>
          <t>дата</t>
        </is>
      </c>
      <c r="D81" s="29" t="inlineStr">
        <is>
          <t>Комментарий Романа</t>
        </is>
      </c>
      <c r="E81" s="30" t="inlineStr">
        <is>
          <t>Стартовые ~50 млн распродаются около 2 лет</t>
        </is>
      </c>
    </row>
    <row r="82">
      <c r="A82" s="23" t="inlineStr">
        <is>
          <t>Месяц проверки закупки 1</t>
        </is>
      </c>
      <c r="B82" s="59" t="n">
        <v>2</v>
      </c>
      <c r="C82" s="29" t="inlineStr">
        <is>
          <t>номер месяца</t>
        </is>
      </c>
      <c r="D82" s="29" t="inlineStr">
        <is>
          <t>Рабочее</t>
        </is>
      </c>
      <c r="E82" s="30" t="inlineStr">
        <is>
          <t>Февраль; уточнить точные месяцы закупок</t>
        </is>
      </c>
    </row>
    <row r="83">
      <c r="A83" s="23" t="inlineStr">
        <is>
          <t>Месяц проверки закупки 2</t>
        </is>
      </c>
      <c r="B83" s="59" t="n">
        <v>5</v>
      </c>
      <c r="C83" s="29" t="inlineStr">
        <is>
          <t>номер месяца</t>
        </is>
      </c>
      <c r="D83" s="29" t="inlineStr">
        <is>
          <t>Рабочее</t>
        </is>
      </c>
      <c r="E83" s="30" t="inlineStr">
        <is>
          <t>Май; уточнить точные месяцы закупок</t>
        </is>
      </c>
    </row>
    <row r="84">
      <c r="A84" s="23" t="inlineStr">
        <is>
          <t>Месяц проверки закупки 3</t>
        </is>
      </c>
      <c r="B84" s="59" t="n">
        <v>8</v>
      </c>
      <c r="C84" s="29" t="inlineStr">
        <is>
          <t>номер месяца</t>
        </is>
      </c>
      <c r="D84" s="29" t="inlineStr">
        <is>
          <t>Рабочее</t>
        </is>
      </c>
      <c r="E84" s="30" t="inlineStr">
        <is>
          <t>Август; уточнить точные месяцы закупок</t>
        </is>
      </c>
    </row>
    <row r="85">
      <c r="A85" s="23" t="inlineStr">
        <is>
          <t>Месяц проверки закупки 4</t>
        </is>
      </c>
      <c r="B85" s="59" t="n">
        <v>11</v>
      </c>
      <c r="C85" s="29" t="inlineStr">
        <is>
          <t>номер месяца</t>
        </is>
      </c>
      <c r="D85" s="29" t="inlineStr">
        <is>
          <t>Рабочее</t>
        </is>
      </c>
      <c r="E85" s="30" t="inlineStr">
        <is>
          <t>Ноябрь; уточнить точные месяцы закупок</t>
        </is>
      </c>
    </row>
    <row r="86" ht="20" customHeight="1">
      <c r="A86" s="49" t="inlineStr">
        <is>
          <t>Первичная закупка новой школы</t>
        </is>
      </c>
    </row>
    <row r="87">
      <c r="A87" s="23" t="inlineStr">
        <is>
          <t>1-й месяц после открытия</t>
        </is>
      </c>
      <c r="B87" s="35" t="n">
        <v>0.5</v>
      </c>
    </row>
    <row r="88">
      <c r="A88" s="23" t="inlineStr">
        <is>
          <t>2-й месяц после открытия</t>
        </is>
      </c>
      <c r="B88" s="35" t="n">
        <v>0.3</v>
      </c>
    </row>
    <row r="89">
      <c r="A89" s="23" t="inlineStr">
        <is>
          <t>3-й месяц после открытия</t>
        </is>
      </c>
      <c r="B89" s="35" t="n">
        <v>0.2</v>
      </c>
    </row>
    <row r="90">
      <c r="A90" s="23" t="inlineStr">
        <is>
          <t>Контроль</t>
        </is>
      </c>
      <c r="B90" s="44">
        <f>SUM(B87:B89)</f>
        <v/>
      </c>
    </row>
    <row r="91"/>
    <row r="92" ht="20" customHeight="1">
      <c r="A92" s="49" t="inlineStr">
        <is>
          <t>Сезонность повторной закупки мерча</t>
        </is>
      </c>
    </row>
    <row r="93">
      <c r="B93" s="27" t="inlineStr">
        <is>
          <t>Янв</t>
        </is>
      </c>
      <c r="C93" s="27" t="inlineStr">
        <is>
          <t>Фев</t>
        </is>
      </c>
      <c r="D93" s="27" t="inlineStr">
        <is>
          <t>Мар</t>
        </is>
      </c>
      <c r="E93" s="27" t="inlineStr">
        <is>
          <t>Апр</t>
        </is>
      </c>
      <c r="F93" s="27" t="inlineStr">
        <is>
          <t>Май</t>
        </is>
      </c>
      <c r="G93" s="27" t="inlineStr">
        <is>
          <t>Июн</t>
        </is>
      </c>
      <c r="H93" s="27" t="inlineStr">
        <is>
          <t>Июл</t>
        </is>
      </c>
      <c r="I93" s="27" t="inlineStr">
        <is>
          <t>Авг</t>
        </is>
      </c>
      <c r="J93" s="27" t="inlineStr">
        <is>
          <t>Сен</t>
        </is>
      </c>
      <c r="K93" s="27" t="inlineStr">
        <is>
          <t>Окт</t>
        </is>
      </c>
      <c r="L93" s="27" t="inlineStr">
        <is>
          <t>Ноя</t>
        </is>
      </c>
      <c r="M93" s="27" t="inlineStr">
        <is>
          <t>Дек</t>
        </is>
      </c>
    </row>
    <row r="94">
      <c r="A94" s="23" t="inlineStr">
        <is>
          <t>Доля годовых повторных продаж</t>
        </is>
      </c>
      <c r="B94" s="35" t="n">
        <v>0</v>
      </c>
      <c r="C94" s="35" t="n">
        <v>0</v>
      </c>
      <c r="D94" s="35" t="n">
        <v>0</v>
      </c>
      <c r="E94" s="35" t="n">
        <v>0</v>
      </c>
      <c r="F94" s="35" t="n">
        <v>0</v>
      </c>
      <c r="G94" s="35" t="n">
        <v>0</v>
      </c>
      <c r="H94" s="35" t="n">
        <v>0</v>
      </c>
      <c r="I94" s="35" t="n">
        <v>0.25</v>
      </c>
      <c r="J94" s="35" t="n">
        <v>0.4</v>
      </c>
      <c r="K94" s="35" t="n">
        <v>0.25</v>
      </c>
      <c r="L94" s="35" t="n">
        <v>0.1</v>
      </c>
      <c r="M94" s="35" t="n">
        <v>0</v>
      </c>
    </row>
    <row r="95">
      <c r="A95" s="23" t="inlineStr">
        <is>
          <t>Контроль</t>
        </is>
      </c>
      <c r="B95" s="44">
        <f>SUM(B94:M94)</f>
        <v/>
      </c>
    </row>
    <row r="96"/>
    <row r="97" ht="20" customHeight="1">
      <c r="A97" s="49" t="inlineStr">
        <is>
          <t>Согласованный мерч действующей сети — сентябрь–декабрь 2026</t>
        </is>
      </c>
    </row>
    <row r="98">
      <c r="A98" s="27" t="inlineStr">
        <is>
          <t>Показатель</t>
        </is>
      </c>
      <c r="B98" s="27" t="inlineStr">
        <is>
          <t>Сен-26</t>
        </is>
      </c>
      <c r="C98" s="27" t="inlineStr">
        <is>
          <t>Окт-26</t>
        </is>
      </c>
      <c r="D98" s="27" t="inlineStr">
        <is>
          <t>Ноя-26</t>
        </is>
      </c>
      <c r="E98" s="27" t="inlineStr">
        <is>
          <t>Дек-26</t>
        </is>
      </c>
    </row>
    <row r="99">
      <c r="A99" s="23" t="inlineStr">
        <is>
          <t>Комплекты, шт.</t>
        </is>
      </c>
      <c r="B99" s="47" t="n">
        <v>5070</v>
      </c>
      <c r="C99" s="47" t="n">
        <v>2550</v>
      </c>
      <c r="D99" s="47" t="n">
        <v>1260</v>
      </c>
      <c r="E99" s="47" t="n">
        <v>720</v>
      </c>
    </row>
    <row r="100">
      <c r="A100" s="23" t="inlineStr">
        <is>
          <t>Выручка, ₽ с НДС</t>
        </is>
      </c>
      <c r="B100" s="47" t="n">
        <v>10022370</v>
      </c>
      <c r="C100" s="47" t="n">
        <v>4335000</v>
      </c>
      <c r="D100" s="47" t="n">
        <v>2142000</v>
      </c>
      <c r="E100" s="47" t="n">
        <v>1224000</v>
      </c>
    </row>
    <row r="101">
      <c r="A101" s="23" t="inlineStr">
        <is>
          <t>COGS, ₽</t>
        </is>
      </c>
      <c r="B101" s="47" t="n">
        <v>5237418.6</v>
      </c>
      <c r="C101" s="47" t="n">
        <v>2167500</v>
      </c>
      <c r="D101" s="47" t="n">
        <v>1178100</v>
      </c>
      <c r="E101" s="47" t="n">
        <v>673200</v>
      </c>
    </row>
    <row r="103" ht="20" customHeight="1">
      <c r="A103" s="26" t="inlineStr">
        <is>
          <t>6. ERP и операционные расходы</t>
        </is>
      </c>
    </row>
    <row r="104">
      <c r="A104" s="27" t="inlineStr">
        <is>
          <t>Параметр</t>
        </is>
      </c>
      <c r="B104" s="27" t="inlineStr">
        <is>
          <t>Значение</t>
        </is>
      </c>
      <c r="C104" s="27" t="inlineStr">
        <is>
          <t>Ед.</t>
        </is>
      </c>
      <c r="D104" s="27" t="inlineStr">
        <is>
          <t>Статус / источник</t>
        </is>
      </c>
      <c r="E104" s="27" t="inlineStr">
        <is>
          <t>Комментарий</t>
        </is>
      </c>
    </row>
    <row r="105">
      <c r="A105" s="23" t="inlineStr">
        <is>
          <t>ERP база</t>
        </is>
      </c>
      <c r="B105" s="47" t="n">
        <v>80000</v>
      </c>
      <c r="C105" s="29" t="inlineStr">
        <is>
          <t>₽/мес.</t>
        </is>
      </c>
      <c r="D105" s="29" t="inlineStr">
        <is>
          <t>ТЗ 5.7</t>
        </is>
      </c>
      <c r="E105" s="30" t="n"/>
    </row>
    <row r="106">
      <c r="A106" s="23" t="inlineStr">
        <is>
          <t>Школ в ERP-базе</t>
        </is>
      </c>
      <c r="B106" s="32" t="n">
        <v>104</v>
      </c>
      <c r="C106" s="29" t="inlineStr">
        <is>
          <t>шт.</t>
        </is>
      </c>
      <c r="D106" s="29" t="inlineStr">
        <is>
          <t>Фактический реестр на 09.09.2026</t>
        </is>
      </c>
      <c r="E106" s="30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23" t="inlineStr">
        <is>
          <t>ERP на новую активную школу</t>
        </is>
      </c>
      <c r="B107" s="47" t="n">
        <v>3000</v>
      </c>
      <c r="C107" s="29" t="inlineStr">
        <is>
          <t>₽/мес.</t>
        </is>
      </c>
      <c r="D107" s="29" t="inlineStr">
        <is>
          <t>ТЗ 5.7</t>
        </is>
      </c>
      <c r="E107" s="30" t="inlineStr">
        <is>
          <t>С месяца открытия</t>
        </is>
      </c>
    </row>
    <row r="108">
      <c r="A108" s="23" t="inlineStr">
        <is>
          <t>Офис / аренда / уборка / парковка</t>
        </is>
      </c>
      <c r="B108" s="47" t="n">
        <v>390000</v>
      </c>
      <c r="C108" s="29" t="inlineStr">
        <is>
          <t>₽/мес.</t>
        </is>
      </c>
      <c r="D108" s="29" t="inlineStr">
        <is>
          <t>V6 / оставить</t>
        </is>
      </c>
      <c r="E108" s="30" t="inlineStr">
        <is>
          <t>До переезда</t>
        </is>
      </c>
    </row>
    <row r="109">
      <c r="A109" s="23" t="inlineStr">
        <is>
          <t>Юристы / аудит / бухгалтерия</t>
        </is>
      </c>
      <c r="B109" s="47" t="n">
        <v>40000</v>
      </c>
      <c r="C109" s="29" t="inlineStr">
        <is>
          <t>₽/мес.</t>
        </is>
      </c>
      <c r="D109" s="29" t="inlineStr">
        <is>
          <t>ТЗ 5.7</t>
        </is>
      </c>
      <c r="E109" s="30" t="n"/>
    </row>
    <row r="110">
      <c r="A110" s="23" t="inlineStr">
        <is>
          <t>Прочие IT-сервисы</t>
        </is>
      </c>
      <c r="B110" s="47" t="n">
        <v>80000</v>
      </c>
      <c r="C110" s="29" t="inlineStr">
        <is>
          <t>₽/мес.</t>
        </is>
      </c>
      <c r="D110" s="29" t="inlineStr">
        <is>
          <t>ТЗ 5.7</t>
        </is>
      </c>
      <c r="E110" s="30" t="n"/>
    </row>
    <row r="111">
      <c r="A111" s="23" t="inlineStr">
        <is>
          <t>Маркетинг/SMM подрядчики до 31.08.27</t>
        </is>
      </c>
      <c r="B111" s="47" t="n">
        <v>100000</v>
      </c>
      <c r="C111" s="29" t="inlineStr">
        <is>
          <t>₽/мес.</t>
        </is>
      </c>
      <c r="D111" s="29" t="inlineStr">
        <is>
          <t>ТЗ 5.7</t>
        </is>
      </c>
      <c r="E111" s="30" t="n"/>
    </row>
    <row r="112">
      <c r="A112" s="23" t="inlineStr">
        <is>
          <t>Маркетинг/SMM подрядчики с 01.09.27</t>
        </is>
      </c>
      <c r="B112" s="47" t="n">
        <v>40000</v>
      </c>
      <c r="C112" s="29" t="inlineStr">
        <is>
          <t>₽/мес.</t>
        </is>
      </c>
      <c r="D112" s="29" t="inlineStr">
        <is>
          <t>ТЗ 5.7</t>
        </is>
      </c>
      <c r="E112" s="30" t="n"/>
    </row>
    <row r="114" ht="20" customHeight="1">
      <c r="A114" s="26" t="inlineStr">
        <is>
          <t>7. ФОТ, найм и премии</t>
        </is>
      </c>
    </row>
    <row r="115">
      <c r="A115" s="27" t="inlineStr">
        <is>
          <t>Параметр</t>
        </is>
      </c>
      <c r="B115" s="27" t="inlineStr">
        <is>
          <t>Значение</t>
        </is>
      </c>
      <c r="C115" s="27" t="inlineStr">
        <is>
          <t>Ед.</t>
        </is>
      </c>
      <c r="D115" s="27" t="inlineStr">
        <is>
          <t>Статус / источник</t>
        </is>
      </c>
      <c r="E115" s="27" t="inlineStr">
        <is>
          <t>Комментарий</t>
        </is>
      </c>
    </row>
    <row r="116">
      <c r="A116" s="23" t="inlineStr">
        <is>
          <t>Инфляция зарплат</t>
        </is>
      </c>
      <c r="B116" s="35" t="n">
        <v>0.07000000000000001</v>
      </c>
      <c r="C116" s="29" t="inlineStr">
        <is>
          <t>%/год</t>
        </is>
      </c>
      <c r="D116" s="29" t="inlineStr">
        <is>
          <t>ТЗ 6.1 / рабочее</t>
        </is>
      </c>
      <c r="E116" s="30" t="inlineStr">
        <is>
          <t>Каждое 1 сентября</t>
        </is>
      </c>
    </row>
    <row r="117">
      <c r="A117" s="23" t="inlineStr">
        <is>
          <t>Юрлиц на 1 менеджера развития</t>
        </is>
      </c>
      <c r="B117" s="60" t="n">
        <v>35</v>
      </c>
      <c r="C117" s="29" t="inlineStr">
        <is>
          <t>шт.</t>
        </is>
      </c>
      <c r="D117" s="29" t="inlineStr">
        <is>
          <t>ТЗ 6.2</t>
        </is>
      </c>
      <c r="E117" s="30" t="n"/>
    </row>
    <row r="118">
      <c r="A118" s="23" t="inlineStr">
        <is>
          <t>Базовые менеджеры развития</t>
        </is>
      </c>
      <c r="B118" s="61" t="n">
        <v>2</v>
      </c>
      <c r="C118" s="29" t="inlineStr">
        <is>
          <t>чел.</t>
        </is>
      </c>
      <c r="D118" s="29" t="inlineStr">
        <is>
          <t>ТЗ 6.2</t>
        </is>
      </c>
      <c r="E118" s="30" t="inlineStr">
        <is>
          <t>После перевода Левона</t>
        </is>
      </c>
    </row>
    <row r="119">
      <c r="A119" s="23" t="inlineStr">
        <is>
          <t>Оклад нового менеджера развития gross</t>
        </is>
      </c>
      <c r="B119" s="47" t="n">
        <v>114943</v>
      </c>
      <c r="C119" s="29" t="inlineStr">
        <is>
          <t>₽/мес.</t>
        </is>
      </c>
      <c r="D119" s="29" t="inlineStr">
        <is>
          <t>V5</t>
        </is>
      </c>
      <c r="E119" s="30" t="n"/>
    </row>
    <row r="120">
      <c r="A120" s="23" t="inlineStr">
        <is>
          <t>Комиссия кадрового агентства</t>
        </is>
      </c>
      <c r="B120" s="62" t="n">
        <v>1</v>
      </c>
      <c r="C120" s="29" t="inlineStr">
        <is>
          <t>× gross оклада</t>
        </is>
      </c>
      <c r="D120" s="29" t="inlineStr">
        <is>
          <t>ТЗ 6.2</t>
        </is>
      </c>
      <c r="E120" s="30" t="n"/>
    </row>
    <row r="121">
      <c r="A121" s="23" t="inlineStr">
        <is>
          <t>Разовая замена директора маркетинга</t>
        </is>
      </c>
      <c r="B121" s="47" t="n">
        <v>240000</v>
      </c>
      <c r="C121" s="29" t="inlineStr">
        <is>
          <t>₽</t>
        </is>
      </c>
      <c r="D121" s="29" t="inlineStr">
        <is>
          <t>ТЗ 6.3</t>
        </is>
      </c>
      <c r="E121" s="30" t="inlineStr">
        <is>
          <t>Октябрь 2026</t>
        </is>
      </c>
    </row>
    <row r="122">
      <c r="A122" s="23" t="inlineStr">
        <is>
          <t>Резерв на ротацию кадров</t>
        </is>
      </c>
      <c r="B122" s="47" t="n">
        <v>350000</v>
      </c>
      <c r="C122" s="29" t="inlineStr">
        <is>
          <t>₽/год</t>
        </is>
      </c>
      <c r="D122" s="29" t="inlineStr">
        <is>
          <t>ТЗ 6.3</t>
        </is>
      </c>
      <c r="E122" s="30" t="inlineStr">
        <is>
          <t>Каждый сентябрь</t>
        </is>
      </c>
    </row>
    <row r="123">
      <c r="A123" s="23" t="inlineStr">
        <is>
          <t>Премия развития net до 31.12.26</t>
        </is>
      </c>
      <c r="B123" s="47" t="n">
        <v>25000</v>
      </c>
      <c r="C123" s="29" t="inlineStr">
        <is>
          <t>₽/чел./мес.</t>
        </is>
      </c>
      <c r="D123" s="29" t="inlineStr">
        <is>
          <t>ТЗ 6.4</t>
        </is>
      </c>
      <c r="E123" s="30" t="inlineStr">
        <is>
          <t>2 менеджера + Левон</t>
        </is>
      </c>
    </row>
    <row r="124">
      <c r="A124" s="23" t="inlineStr">
        <is>
          <t>Премия развития net с 01.01.27</t>
        </is>
      </c>
      <c r="B124" s="47" t="n">
        <v>30000</v>
      </c>
      <c r="C124" s="29" t="inlineStr">
        <is>
          <t>₽/чел./мес.</t>
        </is>
      </c>
      <c r="D124" s="29" t="inlineStr">
        <is>
          <t>ТЗ 6.4</t>
        </is>
      </c>
      <c r="E124" s="30" t="n"/>
    </row>
    <row r="125">
      <c r="A125" s="23" t="inlineStr">
        <is>
          <t>Премия Евгения</t>
        </is>
      </c>
      <c r="B125" s="35" t="n">
        <v>0.04</v>
      </c>
      <c r="C125" s="29" t="inlineStr">
        <is>
          <t>% паушального без НДС</t>
        </is>
      </c>
      <c r="D125" s="29" t="inlineStr">
        <is>
          <t>ТЗ 6.4</t>
        </is>
      </c>
      <c r="E125" s="30" t="inlineStr">
        <is>
          <t>При 2+ продажах</t>
        </is>
      </c>
    </row>
    <row r="126">
      <c r="A126" s="23" t="inlineStr">
        <is>
          <t>Триггер временного продавца</t>
        </is>
      </c>
      <c r="B126" s="63" t="n">
        <v>5</v>
      </c>
      <c r="C126" s="29" t="inlineStr">
        <is>
          <t>продаж/мес.</t>
        </is>
      </c>
      <c r="D126" s="29" t="inlineStr">
        <is>
          <t>ТЗ 6.4</t>
        </is>
      </c>
      <c r="E126" s="30" t="n"/>
    </row>
    <row r="127">
      <c r="A127" s="23" t="inlineStr">
        <is>
          <t>Временный продавец — фикс</t>
        </is>
      </c>
      <c r="B127" s="47" t="n">
        <v>80000</v>
      </c>
      <c r="C127" s="29" t="inlineStr">
        <is>
          <t>₽/мес.</t>
        </is>
      </c>
      <c r="D127" s="29" t="inlineStr">
        <is>
          <t>ТЗ 6.4</t>
        </is>
      </c>
      <c r="E127" s="30" t="inlineStr">
        <is>
          <t>Пока считаем как ИП</t>
        </is>
      </c>
    </row>
    <row r="128">
      <c r="A128" s="23" t="inlineStr">
        <is>
          <t>Временный продавец — бонус</t>
        </is>
      </c>
      <c r="B128" s="35" t="n">
        <v>0.05</v>
      </c>
      <c r="C128" s="29" t="inlineStr">
        <is>
          <t>% паушального без НДС</t>
        </is>
      </c>
      <c r="D128" s="29" t="inlineStr">
        <is>
          <t>ТЗ 6.4</t>
        </is>
      </c>
      <c r="E128" s="30" t="inlineStr">
        <is>
          <t>Пока считаем как ИП</t>
        </is>
      </c>
    </row>
    <row r="129">
      <c r="A129" s="23" t="inlineStr">
        <is>
          <t>Статус временного продавца</t>
        </is>
      </c>
      <c r="B129" s="64" t="inlineStr">
        <is>
          <t>ИП</t>
        </is>
      </c>
      <c r="C129" s="29" t="inlineStr">
        <is>
          <t>статус</t>
        </is>
      </c>
      <c r="D129" s="29" t="inlineStr">
        <is>
          <t>Временно</t>
        </is>
      </c>
      <c r="E129" s="30" t="inlineStr">
        <is>
          <t>Временно ИП, по последнему указанию пользователя.</t>
        </is>
      </c>
    </row>
    <row r="130">
      <c r="A130" s="23" t="inlineStr">
        <is>
          <t>Квартальная премия</t>
        </is>
      </c>
      <c r="B130" s="62" t="n">
        <v>0.6</v>
      </c>
      <c r="C130" s="29" t="inlineStr">
        <is>
          <t>× месячного gross</t>
        </is>
      </c>
      <c r="D130" s="29" t="inlineStr">
        <is>
          <t>ТЗ 6.4</t>
        </is>
      </c>
      <c r="E130" s="30" t="inlineStr">
        <is>
          <t>С IV кв.2027, первая выплата декабрь 2027</t>
        </is>
      </c>
    </row>
    <row r="131">
      <c r="A131" s="23" t="inlineStr">
        <is>
          <t>Страховые взносы</t>
        </is>
      </c>
      <c r="B131" s="36" t="n">
        <v>0.3</v>
      </c>
      <c r="C131" s="29" t="inlineStr">
        <is>
          <t>% gross</t>
        </is>
      </c>
      <c r="D131" s="29" t="inlineStr">
        <is>
          <t>Подтверждено 11.09.2026</t>
        </is>
      </c>
      <c r="E131" s="30" t="inlineStr">
        <is>
          <t>Льготных режимов нет: полная ставка 30% к gross</t>
        </is>
      </c>
    </row>
    <row r="132">
      <c r="A132" s="23" t="inlineStr">
        <is>
          <t>Net / gross</t>
        </is>
      </c>
      <c r="B132" s="65" t="n">
        <v>0.87</v>
      </c>
      <c r="C132" s="29" t="inlineStr">
        <is>
          <t>коэффициент</t>
        </is>
      </c>
      <c r="D132" s="29" t="inlineStr">
        <is>
          <t>Рабочее</t>
        </is>
      </c>
      <c r="E132" s="30" t="inlineStr">
        <is>
          <t>Используется для новых net-окладов</t>
        </is>
      </c>
    </row>
    <row r="133">
      <c r="A133" s="23" t="inlineStr">
        <is>
          <t>Офис-менеджер net</t>
        </is>
      </c>
      <c r="B133" s="47" t="n">
        <v>70000</v>
      </c>
      <c r="C133" s="29" t="inlineStr">
        <is>
          <t>₽/мес.</t>
        </is>
      </c>
      <c r="D133" s="29" t="inlineStr">
        <is>
          <t>ТЗ 6.1</t>
        </is>
      </c>
      <c r="E133" s="30" t="inlineStr">
        <is>
          <t>С 01.01.2027</t>
        </is>
      </c>
    </row>
    <row r="134">
      <c r="A134" s="23" t="inlineStr">
        <is>
          <t>SMM net</t>
        </is>
      </c>
      <c r="B134" s="47" t="n">
        <v>100000</v>
      </c>
      <c r="C134" s="29" t="inlineStr">
        <is>
          <t>₽/мес.</t>
        </is>
      </c>
      <c r="D134" s="29" t="inlineStr">
        <is>
          <t>ТЗ 6.1</t>
        </is>
      </c>
      <c r="E134" s="30" t="inlineStr">
        <is>
          <t>С 01.09.2027</t>
        </is>
      </c>
    </row>
    <row r="135">
      <c r="A135" s="23" t="inlineStr">
        <is>
          <t>Повышение ГД net</t>
        </is>
      </c>
      <c r="B135" s="47" t="n">
        <v>100000</v>
      </c>
      <c r="C135" s="29" t="inlineStr">
        <is>
          <t>₽/мес.</t>
        </is>
      </c>
      <c r="D135" s="29" t="inlineStr">
        <is>
          <t>ТЗ 6.1</t>
        </is>
      </c>
      <c r="E135" s="30" t="inlineStr">
        <is>
          <t>С 01.01.2028</t>
        </is>
      </c>
    </row>
    <row r="136" ht="20" customHeight="1">
      <c r="A136" s="49" t="inlineStr">
        <is>
          <t>Действующее ядро сотрудников</t>
        </is>
      </c>
    </row>
    <row r="137">
      <c r="A137" s="27" t="inlineStr">
        <is>
          <t>Роль</t>
        </is>
      </c>
      <c r="B137" s="27" t="inlineStr">
        <is>
          <t>Сотрудник</t>
        </is>
      </c>
      <c r="C137" s="27" t="inlineStr">
        <is>
          <t>Gross 01.09.26</t>
        </is>
      </c>
      <c r="D137" s="27" t="inlineStr">
        <is>
          <t>Квартальная премия?</t>
        </is>
      </c>
      <c r="E137" s="27" t="inlineStr">
        <is>
          <t>Комментарий</t>
        </is>
      </c>
    </row>
    <row r="138">
      <c r="A138" s="66" t="inlineStr">
        <is>
          <t>Генеральный директор</t>
        </is>
      </c>
      <c r="B138" s="67" t="inlineStr">
        <is>
          <t>Ермаков Роман Константинович</t>
        </is>
      </c>
      <c r="C138" s="47" t="n">
        <v>402300</v>
      </c>
      <c r="D138" s="68" t="inlineStr">
        <is>
          <t>Да</t>
        </is>
      </c>
      <c r="E138" s="29" t="n"/>
    </row>
    <row r="139">
      <c r="A139" s="66" t="inlineStr">
        <is>
          <t>Главный бухгалтер</t>
        </is>
      </c>
      <c r="B139" s="67" t="inlineStr">
        <is>
          <t>Попова Екатерина Андреевна</t>
        </is>
      </c>
      <c r="C139" s="47" t="n">
        <v>230000</v>
      </c>
      <c r="D139" s="68" t="inlineStr">
        <is>
          <t>Да</t>
        </is>
      </c>
      <c r="E139" s="29" t="n"/>
    </row>
    <row r="140">
      <c r="A140" s="66" t="inlineStr">
        <is>
          <t>Директор по развитию</t>
        </is>
      </c>
      <c r="B140" s="67" t="inlineStr">
        <is>
          <t>Степанов Юрий Александрович</t>
        </is>
      </c>
      <c r="C140" s="47" t="n">
        <v>287360</v>
      </c>
      <c r="D140" s="68" t="inlineStr">
        <is>
          <t>Да</t>
        </is>
      </c>
      <c r="E140" s="29" t="n"/>
    </row>
    <row r="141">
      <c r="A141" s="66" t="inlineStr">
        <is>
          <t>Проектный менеджер</t>
        </is>
      </c>
      <c r="B141" s="67" t="inlineStr">
        <is>
          <t>Авакян Левон</t>
        </is>
      </c>
      <c r="C141" s="47" t="n">
        <v>126436</v>
      </c>
      <c r="D141" s="68" t="inlineStr">
        <is>
          <t>Нет</t>
        </is>
      </c>
      <c r="E141" s="29" t="n"/>
    </row>
    <row r="142">
      <c r="A142" s="66" t="inlineStr">
        <is>
          <t>Менеджер по развитию</t>
        </is>
      </c>
      <c r="B142" s="67" t="inlineStr">
        <is>
          <t>Захаров Ярослав Александрович</t>
        </is>
      </c>
      <c r="C142" s="47" t="n">
        <v>114943</v>
      </c>
      <c r="D142" s="68" t="inlineStr">
        <is>
          <t>Нет</t>
        </is>
      </c>
      <c r="E142" s="29" t="n"/>
    </row>
    <row r="143">
      <c r="A143" s="66" t="inlineStr">
        <is>
          <t>Менеджер по развитию</t>
        </is>
      </c>
      <c r="B143" s="67" t="inlineStr">
        <is>
          <t>Ярков Даниил Антонович</t>
        </is>
      </c>
      <c r="C143" s="47" t="n">
        <v>114943</v>
      </c>
      <c r="D143" s="68" t="inlineStr">
        <is>
          <t>Нет</t>
        </is>
      </c>
      <c r="E143" s="29" t="n"/>
    </row>
    <row r="144">
      <c r="A144" s="66" t="inlineStr">
        <is>
          <t>Юрист</t>
        </is>
      </c>
      <c r="B144" s="67" t="inlineStr">
        <is>
          <t>Эсти Лайла Александровна</t>
        </is>
      </c>
      <c r="C144" s="47" t="n">
        <v>229890</v>
      </c>
      <c r="D144" s="68" t="inlineStr">
        <is>
          <t>Да</t>
        </is>
      </c>
      <c r="E144" s="29" t="n"/>
    </row>
    <row r="145">
      <c r="A145" s="66" t="inlineStr">
        <is>
          <t>Спортивный куратор сети</t>
        </is>
      </c>
      <c r="B145" s="67" t="inlineStr">
        <is>
          <t>Стрижов Роман Сергеевич</t>
        </is>
      </c>
      <c r="C145" s="47" t="n">
        <v>229885</v>
      </c>
      <c r="D145" s="68" t="inlineStr">
        <is>
          <t>Да</t>
        </is>
      </c>
      <c r="E145" s="29" t="n"/>
    </row>
    <row r="146">
      <c r="A146" s="66" t="inlineStr">
        <is>
          <t>Директор по маркетингу</t>
        </is>
      </c>
      <c r="B146" s="67" t="inlineStr">
        <is>
          <t>Печерских Павел Сергеевич</t>
        </is>
      </c>
      <c r="C146" s="47" t="n">
        <v>287360</v>
      </c>
      <c r="D146" s="68" t="inlineStr">
        <is>
          <t>Да</t>
        </is>
      </c>
      <c r="E146" s="29" t="n"/>
    </row>
    <row r="147">
      <c r="A147" s="66" t="inlineStr">
        <is>
          <t>Ведущий финансовый менеджер</t>
        </is>
      </c>
      <c r="B147" s="67" t="inlineStr">
        <is>
          <t>Беренцвейг Мария Сергеевна</t>
        </is>
      </c>
      <c r="C147" s="47" t="n">
        <v>229885</v>
      </c>
      <c r="D147" s="68" t="inlineStr">
        <is>
          <t>Да</t>
        </is>
      </c>
      <c r="E147" s="29" t="n"/>
    </row>
    <row r="148">
      <c r="A148" s="66" t="inlineStr">
        <is>
          <t>Исполнительный директор</t>
        </is>
      </c>
      <c r="B148" s="67" t="inlineStr">
        <is>
          <t>Штеблов Илья Николаевич</t>
        </is>
      </c>
      <c r="C148" s="47" t="n">
        <v>288000</v>
      </c>
      <c r="D148" s="68" t="inlineStr">
        <is>
          <t>Да</t>
        </is>
      </c>
      <c r="E148" s="29" t="n"/>
    </row>
    <row r="149">
      <c r="A149" s="66" t="inlineStr">
        <is>
          <t>Спортивный директор</t>
        </is>
      </c>
      <c r="B149" s="67" t="inlineStr">
        <is>
          <t>Рогов Роман Дмитриевич</t>
        </is>
      </c>
      <c r="C149" s="47" t="n">
        <v>287400</v>
      </c>
      <c r="D149" s="68" t="inlineStr">
        <is>
          <t>Да</t>
        </is>
      </c>
      <c r="E149" s="29" t="n"/>
    </row>
    <row r="150">
      <c r="A150" s="66" t="inlineStr">
        <is>
          <t>Руководитель отдела продаж / менеджер по продажам</t>
        </is>
      </c>
      <c r="B150" s="67" t="inlineStr">
        <is>
          <t>Жосан Евгений</t>
        </is>
      </c>
      <c r="C150" s="47" t="n">
        <v>230000</v>
      </c>
      <c r="D150" s="68" t="inlineStr">
        <is>
          <t>Нет</t>
        </is>
      </c>
      <c r="E150" s="29" t="n"/>
    </row>
    <row r="151">
      <c r="A151" s="23" t="inlineStr">
        <is>
          <t>ФОТ ядра gross — база</t>
        </is>
      </c>
      <c r="B151" s="57">
        <f>SUM(C138:C150)</f>
        <v/>
      </c>
      <c r="D151" s="29" t="inlineStr">
        <is>
          <t>Расчёт</t>
        </is>
      </c>
    </row>
    <row r="152">
      <c r="A152" s="23" t="inlineStr">
        <is>
          <t>База gross для квартальной премии</t>
        </is>
      </c>
      <c r="B152" s="57">
        <f>SUMIF(D138:D150,"Да",C138:C150)</f>
        <v/>
      </c>
      <c r="D152" s="29" t="inlineStr">
        <is>
          <t>Расчёт</t>
        </is>
      </c>
    </row>
    <row r="154" ht="20" customHeight="1">
      <c r="A154" s="26" t="inlineStr">
        <is>
          <t>8. Налоги</t>
        </is>
      </c>
    </row>
    <row r="155">
      <c r="A155" s="27" t="inlineStr">
        <is>
          <t>Параметр</t>
        </is>
      </c>
      <c r="B155" s="27" t="inlineStr">
        <is>
          <t>Значение</t>
        </is>
      </c>
      <c r="C155" s="27" t="inlineStr">
        <is>
          <t>Ед.</t>
        </is>
      </c>
      <c r="D155" s="27" t="inlineStr">
        <is>
          <t>Статус / источник</t>
        </is>
      </c>
      <c r="E155" s="27" t="inlineStr">
        <is>
          <t>Комментарий</t>
        </is>
      </c>
    </row>
    <row r="156">
      <c r="A156" s="23" t="inlineStr">
        <is>
          <t>УСН доходы-расходы</t>
        </is>
      </c>
      <c r="B156" s="36" t="n">
        <v>0.15</v>
      </c>
      <c r="C156" s="29" t="inlineStr">
        <is>
          <t>% прибыли</t>
        </is>
      </c>
      <c r="D156" s="29" t="inlineStr">
        <is>
          <t>Временно</t>
        </is>
      </c>
      <c r="E156" s="30" t="inlineStr">
        <is>
          <t>Помесячно; подтвердить</t>
        </is>
      </c>
    </row>
    <row r="157">
      <c r="A157" s="23" t="inlineStr">
        <is>
          <t>Минимальный УСН</t>
        </is>
      </c>
      <c r="B157" s="36" t="n">
        <v>0.01</v>
      </c>
      <c r="C157" s="29" t="inlineStr">
        <is>
          <t>% дохода</t>
        </is>
      </c>
      <c r="D157" s="29" t="inlineStr">
        <is>
          <t>Временно</t>
        </is>
      </c>
      <c r="E157" s="30" t="inlineStr">
        <is>
          <t>Помесячно; подтвердить</t>
        </is>
      </c>
    </row>
    <row r="159" ht="20" customHeight="1">
      <c r="A159" s="26" t="inlineStr">
        <is>
          <t>9. Лагеря</t>
        </is>
      </c>
    </row>
    <row r="160">
      <c r="A160" s="27" t="inlineStr">
        <is>
          <t>Параметр</t>
        </is>
      </c>
      <c r="B160" s="27" t="inlineStr">
        <is>
          <t>Значение</t>
        </is>
      </c>
      <c r="C160" s="27" t="inlineStr">
        <is>
          <t>Ед.</t>
        </is>
      </c>
      <c r="D160" s="27" t="inlineStr">
        <is>
          <t>Статус / источник</t>
        </is>
      </c>
      <c r="E160" s="27" t="inlineStr">
        <is>
          <t>Комментарий</t>
        </is>
      </c>
    </row>
    <row r="161">
      <c r="A161" s="23" t="inlineStr">
        <is>
          <t>Лагеря — смен в июне</t>
        </is>
      </c>
      <c r="B161" s="69" t="n">
        <v>2</v>
      </c>
      <c r="C161" s="29" t="inlineStr">
        <is>
          <t>шт.</t>
        </is>
      </c>
      <c r="D161" s="29" t="inlineStr">
        <is>
          <t>ТЗ 9</t>
        </is>
      </c>
      <c r="E161" s="30" t="n"/>
    </row>
    <row r="162">
      <c r="A162" s="23" t="inlineStr">
        <is>
          <t>Лагеря — участников без проживания / смена</t>
        </is>
      </c>
      <c r="B162" s="69" t="n">
        <v>50</v>
      </c>
      <c r="C162" s="29" t="inlineStr">
        <is>
          <t>чел.</t>
        </is>
      </c>
      <c r="D162" s="29" t="inlineStr">
        <is>
          <t>Лагеря Спартак Будущее</t>
        </is>
      </c>
      <c r="E162" s="30" t="n"/>
    </row>
    <row r="163">
      <c r="A163" s="23" t="inlineStr">
        <is>
          <t>Лагеря — участников с проживанием / смена</t>
        </is>
      </c>
      <c r="B163" s="69" t="n">
        <v>50</v>
      </c>
      <c r="C163" s="29" t="inlineStr">
        <is>
          <t>чел.</t>
        </is>
      </c>
      <c r="D163" s="29" t="inlineStr">
        <is>
          <t>Лагеря Спартак Будущее</t>
        </is>
      </c>
      <c r="E163" s="30" t="n"/>
    </row>
    <row r="164">
      <c r="A164" s="23" t="inlineStr">
        <is>
          <t>Лагеря — цена без проживания</t>
        </is>
      </c>
      <c r="B164" s="47" t="n">
        <v>80000</v>
      </c>
      <c r="C164" s="29" t="inlineStr">
        <is>
          <t>₽</t>
        </is>
      </c>
      <c r="D164" s="29" t="inlineStr">
        <is>
          <t>Лагеря Спартак Будущее</t>
        </is>
      </c>
      <c r="E164" s="30" t="n"/>
    </row>
    <row r="165">
      <c r="A165" s="23" t="inlineStr">
        <is>
          <t>Лагеря — цена с проживанием</t>
        </is>
      </c>
      <c r="B165" s="47" t="n">
        <v>120000</v>
      </c>
      <c r="C165" s="29" t="inlineStr">
        <is>
          <t>₽</t>
        </is>
      </c>
      <c r="D165" s="29" t="inlineStr">
        <is>
          <t>Лагеря Спартак Будущее</t>
        </is>
      </c>
      <c r="E165" s="30" t="n"/>
    </row>
    <row r="166">
      <c r="A166" s="23" t="inlineStr">
        <is>
          <t>Лагеря — оборот / смена</t>
        </is>
      </c>
      <c r="B166" s="54">
        <f>B162*B164+B163*B165</f>
        <v/>
      </c>
      <c r="C166" s="29" t="inlineStr">
        <is>
          <t>₽</t>
        </is>
      </c>
      <c r="D166" s="29" t="inlineStr">
        <is>
          <t>Лагеря Спартак Будущее</t>
        </is>
      </c>
      <c r="E166" s="30" t="n"/>
    </row>
    <row r="167">
      <c r="A167" s="23" t="inlineStr">
        <is>
          <t>Лагеря — расходы / смена</t>
        </is>
      </c>
      <c r="B167" s="47" t="n">
        <v>5386000</v>
      </c>
      <c r="C167" s="29" t="inlineStr">
        <is>
          <t>₽</t>
        </is>
      </c>
      <c r="D167" s="29" t="inlineStr">
        <is>
          <t>Лагеря Спартак Будущее</t>
        </is>
      </c>
      <c r="E167" s="30" t="n"/>
    </row>
    <row r="168">
      <c r="A168" s="23" t="inlineStr">
        <is>
          <t>Лагеря — НДС</t>
        </is>
      </c>
      <c r="B168" s="70">
        <f>B240</f>
        <v/>
      </c>
      <c r="C168" s="29" t="inlineStr">
        <is>
          <t>%</t>
        </is>
      </c>
      <c r="D168" s="29" t="inlineStr">
        <is>
          <t>Лагеря Спартак Будущее</t>
        </is>
      </c>
      <c r="E168" s="30" t="inlineStr">
        <is>
          <t>Временный резерв 10% от оборота из исходника, не проверенная методика НДС.</t>
        </is>
      </c>
    </row>
    <row r="169">
      <c r="A169" s="23" t="inlineStr">
        <is>
          <t>Лагеря — доля партнёра-продавца</t>
        </is>
      </c>
      <c r="B169" s="35" t="n">
        <v>0.125</v>
      </c>
      <c r="C169" s="29" t="inlineStr">
        <is>
          <t>%</t>
        </is>
      </c>
      <c r="D169" s="29" t="inlineStr">
        <is>
          <t>Лагеря Спартак Будущее</t>
        </is>
      </c>
      <c r="E169" s="30" t="n"/>
    </row>
    <row r="170">
      <c r="A170" s="23" t="inlineStr">
        <is>
          <t>Лагеря — проживание / смена</t>
        </is>
      </c>
      <c r="B170" s="47" t="n">
        <v>700000</v>
      </c>
      <c r="C170" s="29" t="inlineStr">
        <is>
          <t>₽</t>
        </is>
      </c>
      <c r="D170" s="29" t="inlineStr">
        <is>
          <t>Лагеря Спартак Будущее</t>
        </is>
      </c>
      <c r="E170" s="30" t="n"/>
    </row>
    <row r="171">
      <c r="A171" s="23" t="inlineStr">
        <is>
          <t>Лагеря — аванс клиента</t>
        </is>
      </c>
      <c r="B171" s="35" t="n">
        <v>0.4</v>
      </c>
      <c r="C171" s="29" t="inlineStr">
        <is>
          <t>%</t>
        </is>
      </c>
      <c r="D171" s="29" t="inlineStr">
        <is>
          <t>ТЗ 9</t>
        </is>
      </c>
      <c r="E171" s="30" t="n"/>
    </row>
    <row r="172">
      <c r="A172" s="23" t="inlineStr">
        <is>
          <t>Лагеря — финальная оплата клиента</t>
        </is>
      </c>
      <c r="B172" s="35" t="n">
        <v>0.6</v>
      </c>
      <c r="C172" s="29" t="inlineStr">
        <is>
          <t>%</t>
        </is>
      </c>
      <c r="D172" s="29" t="inlineStr">
        <is>
          <t>ТЗ 9</t>
        </is>
      </c>
      <c r="E172" s="30" t="n"/>
    </row>
    <row r="173">
      <c r="A173" s="23" t="inlineStr">
        <is>
          <t>Лагеря — месяц финальной оплаты клиента</t>
        </is>
      </c>
      <c r="B173" s="59" t="n">
        <v>5</v>
      </c>
      <c r="C173" s="29" t="inlineStr">
        <is>
          <t>номер месяца</t>
        </is>
      </c>
      <c r="D173" s="29" t="inlineStr">
        <is>
          <t>Рабочее</t>
        </is>
      </c>
      <c r="E173" s="30" t="inlineStr">
        <is>
          <t>Пока май; уточнить</t>
        </is>
      </c>
    </row>
    <row r="174">
      <c r="A174" s="23" t="inlineStr">
        <is>
          <t>Лагеря — первая оплата проживания</t>
        </is>
      </c>
      <c r="B174" s="35" t="n">
        <v>0.4</v>
      </c>
      <c r="C174" s="29" t="inlineStr">
        <is>
          <t>%</t>
        </is>
      </c>
      <c r="D174" s="29" t="inlineStr">
        <is>
          <t>ТЗ 9</t>
        </is>
      </c>
      <c r="E174" s="30" t="n"/>
    </row>
    <row r="175">
      <c r="A175" s="23" t="inlineStr">
        <is>
          <t>Лагеря — месяц первой оплаты проживания</t>
        </is>
      </c>
      <c r="B175" s="48" t="n">
        <v>3</v>
      </c>
      <c r="C175" s="29" t="inlineStr">
        <is>
          <t>номер месяца</t>
        </is>
      </c>
      <c r="D175" s="29" t="inlineStr">
        <is>
          <t>ТЗ 9</t>
        </is>
      </c>
      <c r="E175" s="30" t="inlineStr">
        <is>
          <t>Март</t>
        </is>
      </c>
    </row>
    <row r="176">
      <c r="A176" s="23" t="inlineStr">
        <is>
          <t>Лагеря — вторая оплата проживания</t>
        </is>
      </c>
      <c r="B176" s="35" t="n">
        <v>0.6</v>
      </c>
      <c r="C176" s="29" t="inlineStr">
        <is>
          <t>%</t>
        </is>
      </c>
      <c r="D176" s="29" t="inlineStr">
        <is>
          <t>ТЗ 9</t>
        </is>
      </c>
      <c r="E176" s="30" t="n"/>
    </row>
    <row r="177">
      <c r="A177" s="23" t="inlineStr">
        <is>
          <t>Лагеря — месяц второй оплаты проживания</t>
        </is>
      </c>
      <c r="B177" s="48" t="n">
        <v>5</v>
      </c>
      <c r="C177" s="29" t="inlineStr">
        <is>
          <t>номер месяца</t>
        </is>
      </c>
      <c r="D177" s="29" t="inlineStr">
        <is>
          <t>Подтверждено</t>
        </is>
      </c>
      <c r="E177" s="30" t="inlineStr">
        <is>
          <t>За месяц до июня = май</t>
        </is>
      </c>
    </row>
    <row r="179" ht="20" customHeight="1">
      <c r="A179" s="26" t="inlineStr">
        <is>
          <t>10. История сезона 2025/26 — ввод факта и режим сравнения</t>
        </is>
      </c>
    </row>
    <row r="180">
      <c r="A180" s="27" t="inlineStr">
        <is>
          <t>Показатель</t>
        </is>
      </c>
      <c r="B180" s="71" t="n">
        <v>45901</v>
      </c>
      <c r="C180" s="71" t="n">
        <v>45931</v>
      </c>
      <c r="D180" s="71" t="n">
        <v>45962</v>
      </c>
      <c r="E180" s="71" t="n">
        <v>45992</v>
      </c>
      <c r="F180" s="71" t="n">
        <v>46023</v>
      </c>
      <c r="G180" s="71" t="n">
        <v>46054</v>
      </c>
      <c r="H180" s="71" t="n">
        <v>46082</v>
      </c>
      <c r="I180" s="71" t="n">
        <v>46113</v>
      </c>
      <c r="J180" s="71" t="n">
        <v>46143</v>
      </c>
      <c r="K180" s="71" t="n">
        <v>46174</v>
      </c>
      <c r="L180" s="71" t="n">
        <v>46204</v>
      </c>
      <c r="M180" s="71" t="n">
        <v>46235</v>
      </c>
      <c r="N180" s="27" t="inlineStr">
        <is>
          <t>Итого доступно</t>
        </is>
      </c>
    </row>
    <row r="181">
      <c r="A181" s="23" t="inlineStr">
        <is>
          <t>Выручка</t>
        </is>
      </c>
      <c r="B181" s="47" t="n">
        <v>0</v>
      </c>
      <c r="C181" s="47" t="n">
        <v>0</v>
      </c>
      <c r="D181" s="47" t="n">
        <v>1888930</v>
      </c>
      <c r="E181" s="47" t="n">
        <v>3136245</v>
      </c>
      <c r="F181" s="47" t="n">
        <v>3278551</v>
      </c>
      <c r="G181" s="47" t="n">
        <v>3661176</v>
      </c>
      <c r="H181" s="47" t="n">
        <v>2746157</v>
      </c>
      <c r="I181" s="47" t="n">
        <v>2794345</v>
      </c>
      <c r="J181" s="47" t="n">
        <v>2057327</v>
      </c>
      <c r="K181" s="47" t="n">
        <v>3743057</v>
      </c>
      <c r="L181" s="72" t="n">
        <v>3136928</v>
      </c>
      <c r="M181" s="72" t="n"/>
      <c r="N181" s="57">
        <f>SUM(B181:M181)</f>
        <v/>
      </c>
    </row>
    <row r="182">
      <c r="A182" s="23" t="inlineStr">
        <is>
          <t>Себестоимость</t>
        </is>
      </c>
      <c r="B182" s="47" t="n">
        <v>0</v>
      </c>
      <c r="C182" s="47" t="n">
        <v>0</v>
      </c>
      <c r="D182" s="47" t="n">
        <v>353026</v>
      </c>
      <c r="E182" s="47" t="n">
        <v>147883</v>
      </c>
      <c r="F182" s="47" t="n">
        <v>42910</v>
      </c>
      <c r="G182" s="47" t="n">
        <v>926633</v>
      </c>
      <c r="H182" s="47" t="n">
        <v>64493</v>
      </c>
      <c r="I182" s="47" t="n">
        <v>86054</v>
      </c>
      <c r="J182" s="47" t="n">
        <v>139894</v>
      </c>
      <c r="K182" s="47" t="n">
        <v>735974</v>
      </c>
      <c r="L182" s="72" t="n">
        <v>44505</v>
      </c>
      <c r="M182" s="72" t="n"/>
      <c r="N182" s="57">
        <f>SUM(B182:M182)</f>
        <v/>
      </c>
    </row>
    <row r="183">
      <c r="A183" s="23" t="inlineStr">
        <is>
          <t>Коммерческие расходы</t>
        </is>
      </c>
      <c r="B183" s="47" t="n">
        <v>0</v>
      </c>
      <c r="C183" s="47" t="n">
        <v>0</v>
      </c>
      <c r="D183" s="47" t="n">
        <v>245843</v>
      </c>
      <c r="E183" s="47" t="n">
        <v>337456</v>
      </c>
      <c r="F183" s="47" t="n">
        <v>332724</v>
      </c>
      <c r="G183" s="47" t="n">
        <v>409047</v>
      </c>
      <c r="H183" s="47" t="n">
        <v>278193</v>
      </c>
      <c r="I183" s="47" t="n">
        <v>286891</v>
      </c>
      <c r="J183" s="47" t="n">
        <v>216975</v>
      </c>
      <c r="K183" s="47" t="n">
        <v>439440</v>
      </c>
      <c r="L183" s="72" t="n">
        <v>314803</v>
      </c>
      <c r="M183" s="72" t="n"/>
      <c r="N183" s="57">
        <f>SUM(B183:M183)</f>
        <v/>
      </c>
    </row>
    <row r="184">
      <c r="A184" s="23" t="inlineStr">
        <is>
          <t>Административные расходы</t>
        </is>
      </c>
      <c r="B184" s="47" t="n">
        <v>2598460</v>
      </c>
      <c r="C184" s="47" t="n">
        <v>3269784</v>
      </c>
      <c r="D184" s="47" t="n">
        <v>3874093</v>
      </c>
      <c r="E184" s="47" t="n">
        <v>4712565</v>
      </c>
      <c r="F184" s="47" t="n">
        <v>3454218</v>
      </c>
      <c r="G184" s="47" t="n">
        <v>4059308</v>
      </c>
      <c r="H184" s="47" t="n">
        <v>3795422</v>
      </c>
      <c r="I184" s="47" t="n">
        <v>4013301</v>
      </c>
      <c r="J184" s="47" t="n">
        <v>4510410</v>
      </c>
      <c r="K184" s="47" t="n">
        <v>4997909</v>
      </c>
      <c r="L184" s="72" t="n">
        <v>5348614</v>
      </c>
      <c r="M184" s="72" t="n"/>
      <c r="N184" s="57">
        <f>SUM(B184:M184)</f>
        <v/>
      </c>
    </row>
    <row r="185">
      <c r="A185" s="23" t="inlineStr">
        <is>
          <t>Прочие расходы</t>
        </is>
      </c>
      <c r="B185" s="47" t="n">
        <v>9335</v>
      </c>
      <c r="C185" s="47" t="n">
        <v>32927</v>
      </c>
      <c r="D185" s="47" t="n">
        <v>5574</v>
      </c>
      <c r="E185" s="47" t="n">
        <v>7214</v>
      </c>
      <c r="F185" s="47" t="n">
        <v>3595</v>
      </c>
      <c r="G185" s="47" t="n">
        <v>4123</v>
      </c>
      <c r="H185" s="47" t="n">
        <v>6990</v>
      </c>
      <c r="I185" s="47" t="n">
        <v>4957</v>
      </c>
      <c r="J185" s="47" t="n">
        <v>3243</v>
      </c>
      <c r="K185" s="47" t="n">
        <v>6449</v>
      </c>
      <c r="L185" s="72" t="n">
        <v>5010</v>
      </c>
      <c r="M185" s="72" t="n"/>
      <c r="N185" s="57">
        <f>SUM(B185:M185)</f>
        <v/>
      </c>
    </row>
    <row r="186">
      <c r="A186" s="23" t="inlineStr">
        <is>
          <t>EBITDA</t>
        </is>
      </c>
      <c r="B186" s="47" t="n">
        <v>-2607796</v>
      </c>
      <c r="C186" s="47" t="n">
        <v>-3302710</v>
      </c>
      <c r="D186" s="47" t="n">
        <v>-2589607</v>
      </c>
      <c r="E186" s="47" t="n">
        <v>-2068872</v>
      </c>
      <c r="F186" s="47" t="n">
        <v>-554897</v>
      </c>
      <c r="G186" s="47" t="n">
        <v>-1737936</v>
      </c>
      <c r="H186" s="47" t="n">
        <v>-1398942</v>
      </c>
      <c r="I186" s="47" t="n">
        <v>-1596856</v>
      </c>
      <c r="J186" s="47" t="n">
        <v>-2813195</v>
      </c>
      <c r="K186" s="47" t="n">
        <v>-2436714</v>
      </c>
      <c r="L186" s="72" t="n">
        <v>-2576003</v>
      </c>
      <c r="M186" s="72" t="n"/>
      <c r="N186" s="57">
        <f>SUM(B186:M186)</f>
        <v/>
      </c>
    </row>
    <row r="187">
      <c r="A187" s="23" t="inlineStr">
        <is>
          <t>Чистый денежный поток</t>
        </is>
      </c>
      <c r="B187" s="72" t="n"/>
      <c r="C187" s="72" t="n"/>
      <c r="D187" s="72" t="n"/>
      <c r="E187" s="72" t="n"/>
      <c r="F187" s="47" t="n">
        <v>40198</v>
      </c>
      <c r="G187" s="47" t="n">
        <v>2070755</v>
      </c>
      <c r="H187" s="47" t="n">
        <v>-1429475</v>
      </c>
      <c r="I187" s="47" t="n">
        <v>61645</v>
      </c>
      <c r="J187" s="47" t="n">
        <v>-517789</v>
      </c>
      <c r="K187" s="47" t="n">
        <v>-345792</v>
      </c>
      <c r="L187" s="47" t="n">
        <v>6862</v>
      </c>
      <c r="M187" s="72" t="n"/>
      <c r="N187" s="57">
        <f>SUM(B187:M187)</f>
        <v/>
      </c>
    </row>
    <row r="188">
      <c r="A188" s="23" t="inlineStr">
        <is>
          <t>Режим просмотра результата на дашборде</t>
        </is>
      </c>
      <c r="B188" s="73" t="inlineStr">
        <is>
          <t>Без истории</t>
        </is>
      </c>
      <c r="C188" s="72" t="inlineStr">
        <is>
          <t>режим</t>
        </is>
      </c>
      <c r="D188" s="72" t="inlineStr">
        <is>
          <t>Управленческий переключатель</t>
        </is>
      </c>
      <c r="E188" s="72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90" ht="28" customHeight="1">
      <c r="A190" s="74" t="inlineStr">
        <is>
          <t>11. Сценарии и чувствительность</t>
        </is>
      </c>
    </row>
    <row r="191" ht="38" customHeight="1">
      <c r="A191" s="75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76" t="inlineStr">
        <is>
          <t>Активный сценарий</t>
        </is>
      </c>
      <c r="B192" s="73" t="inlineStr">
        <is>
          <t>Базовый</t>
        </is>
      </c>
      <c r="D192" s="77" t="inlineStr">
        <is>
          <t>03_Сценарии</t>
        </is>
      </c>
      <c r="E192" s="77" t="inlineStr">
        <is>
          <t>12_Чувствительность</t>
        </is>
      </c>
    </row>
    <row r="193"/>
    <row r="194">
      <c r="A194" s="75" t="inlineStr">
        <is>
          <t>Номер сценария</t>
        </is>
      </c>
      <c r="B194" s="78">
        <f>IF(B192=C197,1,IF(B192=D197,2,3))</f>
        <v/>
      </c>
    </row>
    <row r="195" ht="38" customHeight="1">
      <c r="A195" s="75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79" t="inlineStr">
        <is>
          <t>Драйвер</t>
        </is>
      </c>
      <c r="B197" s="79" t="inlineStr">
        <is>
          <t>Ед.</t>
        </is>
      </c>
      <c r="C197" s="79" t="inlineStr">
        <is>
          <t>Негативный</t>
        </is>
      </c>
      <c r="D197" s="79" t="inlineStr">
        <is>
          <t>Базовый</t>
        </is>
      </c>
      <c r="E197" s="79" t="inlineStr">
        <is>
          <t>Позитивный</t>
        </is>
      </c>
      <c r="F197" s="79" t="inlineStr">
        <is>
          <t>В расчете</t>
        </is>
      </c>
      <c r="G197" s="79" t="inlineStr">
        <is>
          <t>Шаг ±</t>
        </is>
      </c>
    </row>
    <row r="198" ht="32" customHeight="1">
      <c r="A198" s="75" t="inlineStr">
        <is>
          <t>План продаж франшиз</t>
        </is>
      </c>
      <c r="B198" s="75" t="inlineStr">
        <is>
          <t>× база</t>
        </is>
      </c>
      <c r="C198" s="80" t="n">
        <v>0.8</v>
      </c>
      <c r="D198" s="81" t="n">
        <v>1</v>
      </c>
      <c r="E198" s="80" t="n">
        <v>1.2</v>
      </c>
      <c r="F198" s="82">
        <f>INDEX(C198:E198,1,$B$194)</f>
        <v/>
      </c>
      <c r="G198" s="83" t="n">
        <v>0.1</v>
      </c>
    </row>
    <row r="199" ht="32" customHeight="1">
      <c r="A199" s="75" t="inlineStr">
        <is>
          <t>Дети новых школ</t>
        </is>
      </c>
      <c r="B199" s="75" t="inlineStr">
        <is>
          <t>× база</t>
        </is>
      </c>
      <c r="C199" s="80" t="n">
        <v>0.9</v>
      </c>
      <c r="D199" s="81" t="n">
        <v>1</v>
      </c>
      <c r="E199" s="80" t="n">
        <v>1.1</v>
      </c>
      <c r="F199" s="82">
        <f>INDEX(C199:E199,1,$B$194)</f>
        <v/>
      </c>
      <c r="G199" s="83" t="n">
        <v>0.1</v>
      </c>
    </row>
    <row r="200" ht="32" customHeight="1">
      <c r="A200" s="75" t="inlineStr">
        <is>
          <t>Цена абонемента</t>
        </is>
      </c>
      <c r="B200" s="75" t="inlineStr">
        <is>
          <t>× база</t>
        </is>
      </c>
      <c r="C200" s="80" t="n">
        <v>0.95</v>
      </c>
      <c r="D200" s="81" t="n">
        <v>1</v>
      </c>
      <c r="E200" s="80" t="n">
        <v>1.05</v>
      </c>
      <c r="F200" s="82">
        <f>INDEX(C200:E200,1,$B$194)</f>
        <v/>
      </c>
      <c r="G200" s="83" t="n">
        <v>0.1</v>
      </c>
    </row>
    <row r="201" ht="32" customHeight="1">
      <c r="A201" s="75" t="inlineStr">
        <is>
          <t>Мерч на ребенка</t>
        </is>
      </c>
      <c r="B201" s="75" t="inlineStr">
        <is>
          <t>× база</t>
        </is>
      </c>
      <c r="C201" s="80" t="n">
        <v>0.9</v>
      </c>
      <c r="D201" s="81" t="n">
        <v>1</v>
      </c>
      <c r="E201" s="80" t="n">
        <v>1.1</v>
      </c>
      <c r="F201" s="82">
        <f>INDEX(C201:E201,1,$B$194)</f>
        <v/>
      </c>
      <c r="G201" s="83" t="n">
        <v>0.1</v>
      </c>
    </row>
    <row r="202" ht="32" customHeight="1">
      <c r="A202" s="75" t="inlineStr">
        <is>
          <t>Таргет на продажу</t>
        </is>
      </c>
      <c r="B202" s="75" t="inlineStr">
        <is>
          <t>× база</t>
        </is>
      </c>
      <c r="C202" s="80" t="n">
        <v>1.2</v>
      </c>
      <c r="D202" s="81" t="n">
        <v>1</v>
      </c>
      <c r="E202" s="80" t="n">
        <v>0.8</v>
      </c>
      <c r="F202" s="82">
        <f>INDEX(C202:E202,1,$B$194)</f>
        <v/>
      </c>
      <c r="G202" s="83" t="n">
        <v>0.1</v>
      </c>
    </row>
    <row r="203" ht="32" customHeight="1">
      <c r="A203" s="75" t="inlineStr">
        <is>
          <t>Срок получения роялти</t>
        </is>
      </c>
      <c r="B203" s="75" t="inlineStr">
        <is>
          <t>× база</t>
        </is>
      </c>
      <c r="C203" s="80" t="n">
        <v>2</v>
      </c>
      <c r="D203" s="81" t="n">
        <v>1</v>
      </c>
      <c r="E203" s="80" t="n">
        <v>0.5</v>
      </c>
      <c r="F203" s="82">
        <f>INDEX(C203:E203,1,$B$194)</f>
        <v/>
      </c>
      <c r="G203" s="83" t="n">
        <v>0.1</v>
      </c>
    </row>
    <row r="204"/>
    <row r="205" ht="38" customHeight="1">
      <c r="A205" s="75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75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75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84" t="inlineStr">
        <is>
          <t>Базовые значения сценарных параметров</t>
        </is>
      </c>
    </row>
    <row r="210" ht="28" customHeight="1">
      <c r="A210" s="75" t="inlineStr">
        <is>
          <t>План продаж: сезон 1</t>
        </is>
      </c>
      <c r="B210" s="85" t="n">
        <v>66</v>
      </c>
      <c r="C210" s="75" t="inlineStr">
        <is>
          <t>01_Вводные!B36</t>
        </is>
      </c>
      <c r="D210" s="75" t="inlineStr">
        <is>
          <t>База V8</t>
        </is>
      </c>
    </row>
    <row r="211" ht="28" customHeight="1">
      <c r="A211" s="75" t="inlineStr">
        <is>
          <t>План продаж: сезон 2</t>
        </is>
      </c>
      <c r="B211" s="85" t="n">
        <v>72</v>
      </c>
      <c r="C211" s="75" t="inlineStr">
        <is>
          <t>01_Вводные!B37</t>
        </is>
      </c>
      <c r="D211" s="75" t="inlineStr">
        <is>
          <t>База V8</t>
        </is>
      </c>
    </row>
    <row r="212" ht="28" customHeight="1">
      <c r="A212" s="75" t="inlineStr">
        <is>
          <t>План продаж: сезон 3</t>
        </is>
      </c>
      <c r="B212" s="85" t="n">
        <v>72</v>
      </c>
      <c r="C212" s="75" t="inlineStr">
        <is>
          <t>01_Вводные!B38</t>
        </is>
      </c>
      <c r="D212" s="75" t="inlineStr">
        <is>
          <t>База V8</t>
        </is>
      </c>
    </row>
    <row r="213" ht="28" customHeight="1">
      <c r="A213" s="75" t="inlineStr">
        <is>
          <t>План продаж: сезон 4</t>
        </is>
      </c>
      <c r="B213" s="85" t="n">
        <v>60</v>
      </c>
      <c r="C213" s="75" t="inlineStr">
        <is>
          <t>01_Вводные!B39</t>
        </is>
      </c>
      <c r="D213" s="75" t="inlineStr">
        <is>
          <t>База V8</t>
        </is>
      </c>
    </row>
    <row r="214" ht="28" customHeight="1">
      <c r="A214" s="75" t="inlineStr">
        <is>
          <t>План продаж: сезон 5</t>
        </is>
      </c>
      <c r="B214" s="85" t="n">
        <v>50</v>
      </c>
      <c r="C214" s="75" t="inlineStr">
        <is>
          <t>01_Вводные!B40</t>
        </is>
      </c>
      <c r="D214" s="75" t="inlineStr">
        <is>
          <t>База V8</t>
        </is>
      </c>
    </row>
    <row r="215" ht="28" customHeight="1">
      <c r="A215" s="86" t="inlineStr">
        <is>
          <t>Мощность новой школы: 12-й месяц</t>
        </is>
      </c>
      <c r="B215" s="52">
        <f>SUMPRODUCT($C$263:$C$282,$E$263:$E$282)/$C$283</f>
        <v/>
      </c>
      <c r="C215" s="75" t="inlineStr">
        <is>
          <t>01_Вводные!B46</t>
        </is>
      </c>
      <c r="D215" s="75" t="inlineStr">
        <is>
          <t>База V8</t>
        </is>
      </c>
      <c r="G215" s="42" t="inlineStr">
        <is>
          <t>← формула; база: E263:E282</t>
        </is>
      </c>
    </row>
    <row r="216" ht="28" customHeight="1">
      <c r="A216" s="86" t="inlineStr">
        <is>
          <t>Мощность новой школы: 24-й месяц</t>
        </is>
      </c>
      <c r="B216" s="52">
        <f>SUMPRODUCT($C$263:$C$282,$F$263:$F$282)/$C$283</f>
        <v/>
      </c>
      <c r="C216" s="75" t="inlineStr">
        <is>
          <t>01_Вводные!B47</t>
        </is>
      </c>
      <c r="D216" s="75" t="inlineStr">
        <is>
          <t>База V8</t>
        </is>
      </c>
      <c r="G216" s="42" t="inlineStr">
        <is>
          <t>← формула; база: F263:F282</t>
        </is>
      </c>
    </row>
    <row r="217" ht="28" customHeight="1">
      <c r="A217" s="75" t="inlineStr">
        <is>
          <t>Абонемент действующей сети</t>
        </is>
      </c>
      <c r="B217" s="85" t="n">
        <v>6000</v>
      </c>
      <c r="C217" s="75" t="inlineStr">
        <is>
          <t>01_Вводные!B51</t>
        </is>
      </c>
      <c r="D217" s="75" t="inlineStr">
        <is>
          <t>База V8</t>
        </is>
      </c>
    </row>
    <row r="218" ht="28" customHeight="1">
      <c r="A218" s="75" t="inlineStr">
        <is>
          <t>Абонемент новых школ: сезон 1</t>
        </is>
      </c>
      <c r="B218" s="46">
        <f>SUMPRODUCT($C$263:$C$282,$H$263:$H$282)/$C$283</f>
        <v/>
      </c>
      <c r="C218" s="75" t="inlineStr">
        <is>
          <t>01_Вводные!C63</t>
        </is>
      </c>
      <c r="D218" s="75" t="inlineStr">
        <is>
          <t>База V8</t>
        </is>
      </c>
      <c r="G218" s="42" t="inlineStr">
        <is>
          <t>← формула; база: H263:H282</t>
        </is>
      </c>
    </row>
    <row r="219" ht="28" customHeight="1">
      <c r="A219" s="75" t="inlineStr">
        <is>
          <t>Абонемент новых школ: сезон 2</t>
        </is>
      </c>
      <c r="B219" s="46">
        <f>SUMPRODUCT($C$263:$C$282,$H$263:$H$282)/$C$283</f>
        <v/>
      </c>
      <c r="C219" s="75" t="inlineStr">
        <is>
          <t>01_Вводные!C64</t>
        </is>
      </c>
      <c r="D219" s="75" t="inlineStr">
        <is>
          <t>База V8</t>
        </is>
      </c>
      <c r="G219" s="42" t="inlineStr">
        <is>
          <t>← формула; база: H263:H282</t>
        </is>
      </c>
    </row>
    <row r="220" ht="28" customHeight="1">
      <c r="A220" s="75" t="inlineStr">
        <is>
          <t>Абонемент новых школ: сезон 3</t>
        </is>
      </c>
      <c r="B220" s="46">
        <f>SUMPRODUCT($C$263:$C$282,$H$263:$H$282)/$C$283</f>
        <v/>
      </c>
      <c r="C220" s="75" t="inlineStr">
        <is>
          <t>01_Вводные!C65</t>
        </is>
      </c>
      <c r="D220" s="75" t="inlineStr">
        <is>
          <t>База V8</t>
        </is>
      </c>
      <c r="G220" s="42" t="inlineStr">
        <is>
          <t>← формула; база: H263:H282</t>
        </is>
      </c>
    </row>
    <row r="221" ht="28" customHeight="1">
      <c r="A221" s="75" t="inlineStr">
        <is>
          <t>Абонемент новых школ: сезон 4</t>
        </is>
      </c>
      <c r="B221" s="46">
        <f>SUMPRODUCT($C$263:$C$282,$H$263:$H$282)/$C$283</f>
        <v/>
      </c>
      <c r="C221" s="75" t="inlineStr">
        <is>
          <t>01_Вводные!C66</t>
        </is>
      </c>
      <c r="D221" s="75" t="inlineStr">
        <is>
          <t>База V8</t>
        </is>
      </c>
      <c r="G221" s="42" t="inlineStr">
        <is>
          <t>← формула; база: H263:H282</t>
        </is>
      </c>
    </row>
    <row r="222" ht="28" customHeight="1">
      <c r="A222" s="75" t="inlineStr">
        <is>
          <t>Абонемент новых школ: сезон 5</t>
        </is>
      </c>
      <c r="B222" s="46">
        <f>SUMPRODUCT($C$263:$C$282,$H$263:$H$282)/$C$283</f>
        <v/>
      </c>
      <c r="C222" s="75" t="inlineStr">
        <is>
          <t>01_Вводные!C67</t>
        </is>
      </c>
      <c r="D222" s="75" t="inlineStr">
        <is>
          <t>База V8</t>
        </is>
      </c>
      <c r="G222" s="42" t="inlineStr">
        <is>
          <t>← формула; база: H263:H282</t>
        </is>
      </c>
    </row>
    <row r="223" ht="28" customHeight="1">
      <c r="A223" s="75" t="inlineStr">
        <is>
          <t>Коэффициент мерча</t>
        </is>
      </c>
      <c r="B223" s="87" t="n">
        <v>1.2</v>
      </c>
      <c r="C223" s="75" t="inlineStr">
        <is>
          <t>01_Вводные!B74</t>
        </is>
      </c>
      <c r="D223" s="75" t="inlineStr">
        <is>
          <t>База V8</t>
        </is>
      </c>
    </row>
    <row r="224" ht="28" customHeight="1">
      <c r="A224" s="75" t="inlineStr">
        <is>
          <t>Таргет на будущую продажу</t>
        </is>
      </c>
      <c r="B224" s="85" t="n">
        <v>160000</v>
      </c>
      <c r="C224" s="75" t="inlineStr">
        <is>
          <t>01_Вводные!B26</t>
        </is>
      </c>
      <c r="D224" s="75" t="inlineStr">
        <is>
          <t>База V8</t>
        </is>
      </c>
    </row>
    <row r="225" ht="28" customHeight="1">
      <c r="A225" s="75" t="inlineStr">
        <is>
          <t>Дебиторка</t>
        </is>
      </c>
      <c r="B225" s="88" t="n">
        <v>15</v>
      </c>
      <c r="C225" s="75" t="inlineStr">
        <is>
          <t>01_Вводные!B18</t>
        </is>
      </c>
      <c r="D225" s="75" t="inlineStr">
        <is>
          <t>База V8</t>
        </is>
      </c>
    </row>
    <row r="226"/>
    <row r="227">
      <c r="A227" s="75" t="inlineStr">
        <is>
          <t>Валидность дебиторки</t>
        </is>
      </c>
      <c r="B227" s="89">
        <f>IF(AND(MIN(C203:E203)*B225&gt;=0,MAX(C203:E203)*B225&lt;=30,(1+G203)*B225&lt;=30,(1-G203)*B225&gt;=0),"OK","CHECK")</f>
        <v/>
      </c>
    </row>
    <row r="228">
      <c r="A228" s="75" t="inlineStr">
        <is>
          <t>Параметры стрессов</t>
        </is>
      </c>
      <c r="B228" s="89">
        <f>IF(AND(MIN(C198:E203)&gt;=0,MIN(G198:G203)&gt;=0,MAX(G198:G203)&lt;1),"OK","CHECK")</f>
        <v/>
      </c>
    </row>
    <row r="230" ht="38" customHeight="1">
      <c r="A230" s="75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2" ht="27" customHeight="1">
      <c r="A232" s="90" t="inlineStr">
        <is>
          <t>12. Настройки ревизии и чувствительности</t>
        </is>
      </c>
    </row>
    <row r="233" ht="44" customHeight="1">
      <c r="A233" s="23" t="inlineStr">
        <is>
          <t>Драйвер чувствительности</t>
        </is>
      </c>
      <c r="B233" s="91" t="inlineStr">
        <is>
          <t>Дети новых школ</t>
        </is>
      </c>
      <c r="C233" s="29" t="inlineStr">
        <is>
          <t>выбор</t>
        </is>
      </c>
      <c r="D233" s="29" t="inlineStr">
        <is>
          <t>Ревизия / ТЗ</t>
        </is>
      </c>
      <c r="E233" s="30" t="inlineStr">
        <is>
          <t>Один драйвер за раз; все шесть сохранены в списке.</t>
        </is>
      </c>
    </row>
    <row r="234" ht="44" customHeight="1">
      <c r="A234" s="23" t="inlineStr">
        <is>
          <t>Чувствительность включена</t>
        </is>
      </c>
      <c r="B234" s="91" t="inlineStr">
        <is>
          <t>Да</t>
        </is>
      </c>
      <c r="C234" s="29" t="inlineStr">
        <is>
          <t>Да / Нет</t>
        </is>
      </c>
      <c r="D234" s="29" t="inlineStr">
        <is>
          <t>Ревизия / ТЗ</t>
        </is>
      </c>
      <c r="E234" s="30" t="inlineStr">
        <is>
          <t>При Нет два дополнительных расчёта не выполняются.</t>
        </is>
      </c>
    </row>
    <row r="235" ht="44" customHeight="1">
      <c r="A235" s="23" t="inlineStr">
        <is>
          <t>Лаг открытия → подключения ERP</t>
        </is>
      </c>
      <c r="B235" s="92" t="n">
        <v>0</v>
      </c>
      <c r="C235" s="29" t="inlineStr">
        <is>
          <t>мес.</t>
        </is>
      </c>
      <c r="D235" s="29" t="inlineStr">
        <is>
          <t>Ревизия / ТЗ</t>
        </is>
      </c>
      <c r="E235" s="30" t="inlineStr">
        <is>
          <t>Отдельное событие; до подтверждения подключение в месяц открытия.</t>
        </is>
      </c>
    </row>
    <row r="236" ht="44" customHeight="1">
      <c r="A236" s="23" t="inlineStr">
        <is>
          <t>Дети зрелой школы, база</t>
        </is>
      </c>
      <c r="B236" s="93">
        <f>SUMPRODUCT($C$263:$C$282,$G$263:$G$282)/$C$283</f>
        <v/>
      </c>
      <c r="C236" s="29" t="inlineStr">
        <is>
          <t>чел.</t>
        </is>
      </c>
      <c r="D236" s="29" t="inlineStr">
        <is>
          <t>Ревизия / ТЗ</t>
        </is>
      </c>
      <c r="E236" s="30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23" t="inlineStr">
        <is>
          <t>Минимальный остаток денег при возврате займа</t>
        </is>
      </c>
      <c r="B237" s="94" t="n">
        <v>0</v>
      </c>
      <c r="C237" s="29" t="inlineStr">
        <is>
          <t>₽</t>
        </is>
      </c>
      <c r="D237" s="29" t="inlineStr">
        <is>
          <t>Ревизия / ТЗ</t>
        </is>
      </c>
      <c r="E237" s="30" t="inlineStr">
        <is>
          <t>Рабочее значение 0; можно задать резерв ликвидности.</t>
        </is>
      </c>
    </row>
    <row r="238" ht="44" customHeight="1">
      <c r="A238" s="23" t="inlineStr">
        <is>
          <t>Ограничивать возврат займа запасом</t>
        </is>
      </c>
      <c r="B238" s="91" t="inlineStr">
        <is>
          <t>Да</t>
        </is>
      </c>
      <c r="C238" s="29" t="inlineStr">
        <is>
          <t>Да / Нет</t>
        </is>
      </c>
      <c r="D238" s="29" t="inlineStr">
        <is>
          <t>Ревизия / ТЗ</t>
        </is>
      </c>
      <c r="E238" s="30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23" t="inlineStr">
        <is>
          <t>Роялти по тарифным группам</t>
        </is>
      </c>
      <c r="B239" s="91" t="inlineStr">
        <is>
          <t>Да</t>
        </is>
      </c>
      <c r="C239" s="29" t="inlineStr">
        <is>
          <t>Да / Нет</t>
        </is>
      </c>
      <c r="D239" s="29" t="inlineStr">
        <is>
          <t>Ревизия / ТЗ</t>
        </is>
      </c>
      <c r="E239" s="30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23" t="inlineStr">
        <is>
          <t>Налог лагеря — как в файле-источнике</t>
        </is>
      </c>
      <c r="B240" s="95" t="n">
        <v>0.1</v>
      </c>
      <c r="C240" s="29" t="inlineStr">
        <is>
          <t>% оборота</t>
        </is>
      </c>
      <c r="D240" s="29" t="inlineStr">
        <is>
          <t>Ревизия / ТЗ</t>
        </is>
      </c>
      <c r="E240" s="30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23" t="inlineStr">
        <is>
          <t>Лагеря включены</t>
        </is>
      </c>
      <c r="B241" s="91" t="inlineStr">
        <is>
          <t>Нет</t>
        </is>
      </c>
      <c r="C241" s="29" t="inlineStr">
        <is>
          <t>Да / Нет</t>
        </is>
      </c>
      <c r="D241" s="29" t="inlineStr">
        <is>
          <t>Ревизия / ТЗ</t>
        </is>
      </c>
      <c r="E241" s="30" t="inlineStr">
        <is>
          <t>Отключение лагеря обнуляет продажи, начисления и оплаты.</t>
        </is>
      </c>
    </row>
    <row r="242" ht="44" customHeight="1">
      <c r="A242" s="23" t="inlineStr">
        <is>
          <t>Продажи с особым лагом маркетинга</t>
        </is>
      </c>
      <c r="B242" s="96" t="n">
        <v>46296</v>
      </c>
      <c r="C242" s="29" t="inlineStr">
        <is>
          <t>дата</t>
        </is>
      </c>
      <c r="D242" s="29" t="inlineStr">
        <is>
          <t>Ревизия / ТЗ</t>
        </is>
      </c>
      <c r="E242" s="30" t="inlineStr">
        <is>
          <t>Только октябрь 2026 оплачивается за 1 месяц.</t>
        </is>
      </c>
    </row>
    <row r="243" ht="44" customHeight="1">
      <c r="A243" s="23" t="inlineStr">
        <is>
          <t>Особый лаг маркетинга</t>
        </is>
      </c>
      <c r="B243" s="92" t="n">
        <v>1</v>
      </c>
      <c r="C243" s="29" t="inlineStr">
        <is>
          <t>мес.</t>
        </is>
      </c>
      <c r="D243" s="29" t="inlineStr">
        <is>
          <t>Ревизия / ТЗ</t>
        </is>
      </c>
      <c r="E243" s="30" t="inlineStr">
        <is>
          <t>Для октября 2026; далее обычный лаг B27.</t>
        </is>
      </c>
    </row>
    <row r="244" ht="44" customHeight="1">
      <c r="A244" s="23" t="inlineStr">
        <is>
          <t>Последняя дата старой ставки для продаж</t>
        </is>
      </c>
      <c r="B244" s="96" t="n">
        <v>46387</v>
      </c>
      <c r="C244" s="29" t="inlineStr">
        <is>
          <t>дата</t>
        </is>
      </c>
      <c r="D244" s="29" t="inlineStr">
        <is>
          <t>Ревизия / ТЗ</t>
        </is>
      </c>
      <c r="E244" s="30" t="inlineStr">
        <is>
          <t>6,5% по договорам до этой даты.</t>
        </is>
      </c>
    </row>
    <row r="245" ht="44" customHeight="1">
      <c r="A245" s="23" t="inlineStr">
        <is>
          <t>Дата общей ставки роялти</t>
        </is>
      </c>
      <c r="B245" s="96" t="n">
        <v>47484</v>
      </c>
      <c r="C245" s="29" t="inlineStr">
        <is>
          <t>дата</t>
        </is>
      </c>
      <c r="D245" s="29" t="inlineStr">
        <is>
          <t>Ревизия / ТЗ</t>
        </is>
      </c>
      <c r="E245" s="30" t="inlineStr">
        <is>
          <t>С этой даты применяется B57 ко всем.</t>
        </is>
      </c>
    </row>
    <row r="246" ht="44" customHeight="1">
      <c r="A246" s="23" t="inlineStr">
        <is>
          <t>Первая квартальная премия</t>
        </is>
      </c>
      <c r="B246" s="96" t="n">
        <v>46722</v>
      </c>
      <c r="C246" s="29" t="inlineStr">
        <is>
          <t>дата</t>
        </is>
      </c>
      <c r="D246" s="29" t="inlineStr">
        <is>
          <t>Ревизия / ТЗ</t>
        </is>
      </c>
      <c r="E246" s="30" t="inlineStr">
        <is>
          <t>За IV квартал 2027; далее март/июнь/сентябрь/декабрь.</t>
        </is>
      </c>
    </row>
    <row r="247" ht="44" customHeight="1">
      <c r="A247" s="23" t="inlineStr">
        <is>
          <t>Выход офис-менеджера</t>
        </is>
      </c>
      <c r="B247" s="96" t="n">
        <v>46388</v>
      </c>
      <c r="C247" s="29" t="inlineStr">
        <is>
          <t>дата</t>
        </is>
      </c>
      <c r="D247" s="29" t="inlineStr">
        <is>
          <t>Ревизия / ТЗ</t>
        </is>
      </c>
      <c r="E247" s="30" t="inlineStr">
        <is>
          <t>70 тыс. net по B133.</t>
        </is>
      </c>
    </row>
    <row r="248" ht="44" customHeight="1">
      <c r="A248" s="23" t="inlineStr">
        <is>
          <t>Выход SMM-специалиста</t>
        </is>
      </c>
      <c r="B248" s="96" t="n">
        <v>46631</v>
      </c>
      <c r="C248" s="29" t="inlineStr">
        <is>
          <t>дата</t>
        </is>
      </c>
      <c r="D248" s="29" t="inlineStr">
        <is>
          <t>Ревизия / ТЗ</t>
        </is>
      </c>
      <c r="E248" s="30" t="inlineStr">
        <is>
          <t>100 тыс. net по B134.</t>
        </is>
      </c>
    </row>
    <row r="249" ht="44" customHeight="1">
      <c r="A249" s="23" t="inlineStr">
        <is>
          <t>Повышение оклада генерального директора</t>
        </is>
      </c>
      <c r="B249" s="96" t="n">
        <v>46753</v>
      </c>
      <c r="C249" s="29" t="inlineStr">
        <is>
          <t>дата</t>
        </is>
      </c>
      <c r="D249" s="29" t="inlineStr">
        <is>
          <t>Ревизия / ТЗ</t>
        </is>
      </c>
      <c r="E249" s="30" t="inlineStr">
        <is>
          <t>Повышение участвует в премии при Да у ГД.</t>
        </is>
      </c>
    </row>
    <row r="250" ht="44" customHeight="1">
      <c r="A250" s="23" t="inlineStr">
        <is>
          <t>Повышение ежемесячной премии развития</t>
        </is>
      </c>
      <c r="B250" s="96" t="n">
        <v>46388</v>
      </c>
      <c r="C250" s="29" t="inlineStr">
        <is>
          <t>дата</t>
        </is>
      </c>
      <c r="D250" s="29" t="inlineStr">
        <is>
          <t>Ревизия / ТЗ</t>
        </is>
      </c>
      <c r="E250" s="30" t="inlineStr">
        <is>
          <t>С B123 на B124.</t>
        </is>
      </c>
    </row>
    <row r="251" ht="44" customHeight="1">
      <c r="A251" s="23" t="inlineStr">
        <is>
          <t>Первая общая индексация окладов</t>
        </is>
      </c>
      <c r="B251" s="96" t="n">
        <v>46631</v>
      </c>
      <c r="C251" s="29" t="inlineStr">
        <is>
          <t>дата</t>
        </is>
      </c>
      <c r="D251" s="29" t="inlineStr">
        <is>
          <t>Ревизия / ТЗ</t>
        </is>
      </c>
      <c r="E251" s="30" t="inlineStr">
        <is>
          <t>Далее каждый сентябрь.</t>
        </is>
      </c>
    </row>
    <row r="252" ht="44" customHeight="1">
      <c r="A252" s="23" t="inlineStr">
        <is>
          <t>Месяц проведения лагерей</t>
        </is>
      </c>
      <c r="B252" s="97" t="n">
        <v>6</v>
      </c>
      <c r="C252" s="29" t="inlineStr">
        <is>
          <t>1–12</t>
        </is>
      </c>
      <c r="D252" s="29" t="inlineStr">
        <is>
          <t>Ревизия / ТЗ</t>
        </is>
      </c>
      <c r="E252" s="30" t="inlineStr">
        <is>
          <t>Июнь по ТЗ.</t>
        </is>
      </c>
    </row>
    <row r="253" ht="44" customHeight="1">
      <c r="A253" s="23" t="inlineStr">
        <is>
          <t>Первый месяц продаж лагерей</t>
        </is>
      </c>
      <c r="B253" s="97" t="n">
        <v>2</v>
      </c>
      <c r="C253" s="29" t="inlineStr">
        <is>
          <t>1–12</t>
        </is>
      </c>
      <c r="D253" s="29" t="inlineStr">
        <is>
          <t>Ревизия / ТЗ</t>
        </is>
      </c>
      <c r="E253" s="30" t="inlineStr">
        <is>
          <t>Февраль; равномерно до B254.</t>
        </is>
      </c>
    </row>
    <row r="254" ht="44" customHeight="1">
      <c r="A254" s="23" t="inlineStr">
        <is>
          <t>Последний месяц продаж лагерей</t>
        </is>
      </c>
      <c r="B254" s="97" t="n">
        <v>5</v>
      </c>
      <c r="C254" s="29" t="inlineStr">
        <is>
          <t>1–12</t>
        </is>
      </c>
      <c r="D254" s="29" t="inlineStr">
        <is>
          <t>Ревизия / ТЗ</t>
        </is>
      </c>
      <c r="E254" s="30" t="inlineStr">
        <is>
          <t>Май включительно.</t>
        </is>
      </c>
    </row>
    <row r="255" ht="44" customHeight="1">
      <c r="A255" s="23" t="inlineStr">
        <is>
          <t>Замена директора маркетинга</t>
        </is>
      </c>
      <c r="B255" s="96" t="n">
        <v>46296</v>
      </c>
      <c r="C255" s="29" t="inlineStr">
        <is>
          <t>дата</t>
        </is>
      </c>
      <c r="D255" s="29" t="inlineStr">
        <is>
          <t>Ревизия / ТЗ</t>
        </is>
      </c>
      <c r="E255" s="30" t="inlineStr">
        <is>
          <t>Разовая комиссия B121.</t>
        </is>
      </c>
    </row>
    <row r="256" ht="44" customHeight="1">
      <c r="A256" s="23" t="inlineStr">
        <is>
          <t>Месяц резерва кадровой ротации</t>
        </is>
      </c>
      <c r="B256" s="97" t="n">
        <v>9</v>
      </c>
      <c r="C256" s="29" t="inlineStr">
        <is>
          <t>1–12</t>
        </is>
      </c>
      <c r="D256" s="29" t="inlineStr">
        <is>
          <t>Ревизия / ТЗ</t>
        </is>
      </c>
      <c r="E256" s="30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98">
        <f>IF(B233=A198,1,IF(B233=A199,2,IF(B233=A200,3,IF(B233=A201,4,IF(B233=A202,5,6)))))</f>
        <v/>
      </c>
      <c r="E257" s="30" t="n"/>
    </row>
    <row r="258" ht="44" customHeight="1">
      <c r="A258" t="inlineStr">
        <is>
          <t>Шаг выбранной чувствительности</t>
        </is>
      </c>
      <c r="B258" s="99">
        <f>INDEX(G198:G203,B257,1)</f>
        <v/>
      </c>
      <c r="E258" s="30" t="n"/>
    </row>
    <row r="260" ht="27" customHeight="1">
      <c r="A260" s="90" t="inlineStr">
        <is>
          <t>13. Тарифные группы — исходный микс, без усреднения роялти</t>
        </is>
      </c>
    </row>
    <row r="261"/>
    <row r="262" ht="32" customHeight="1">
      <c r="A262" s="100" t="inlineStr">
        <is>
          <t>Территория</t>
        </is>
      </c>
      <c r="B262" s="100" t="inlineStr">
        <is>
          <t>Формат</t>
        </is>
      </c>
      <c r="C262" s="100" t="inlineStr">
        <is>
          <t>Вес</t>
        </is>
      </c>
      <c r="D262" s="100" t="inlineStr">
        <is>
          <t>Паушальный, с НДС</t>
        </is>
      </c>
      <c r="E262" s="100" t="inlineStr">
        <is>
          <t>Дети 1–12</t>
        </is>
      </c>
      <c r="F262" s="100" t="inlineStr">
        <is>
          <t>Дети 13–24</t>
        </is>
      </c>
      <c r="G262" s="100" t="inlineStr">
        <is>
          <t>Дети зрелые</t>
        </is>
      </c>
      <c r="H262" s="100" t="inlineStr">
        <is>
          <t>Абонемент</t>
        </is>
      </c>
      <c r="I262" s="100" t="inlineStr">
        <is>
          <t>Минимум 1-й год</t>
        </is>
      </c>
      <c r="J262" s="100" t="inlineStr">
        <is>
          <t>Минимум 2-й+</t>
        </is>
      </c>
      <c r="K262" s="100" t="inlineStr">
        <is>
          <t>Источник</t>
        </is>
      </c>
    </row>
    <row r="263" ht="34" customHeight="1">
      <c r="A263" s="30" t="inlineStr">
        <is>
          <t>Москва</t>
        </is>
      </c>
      <c r="B263" s="30" t="inlineStr">
        <is>
          <t>Детский сад</t>
        </is>
      </c>
      <c r="C263" s="101" t="n">
        <v>0.005000000000000001</v>
      </c>
      <c r="D263" s="102" t="n">
        <v>890000</v>
      </c>
      <c r="E263" s="103" t="n">
        <v>25</v>
      </c>
      <c r="F263" s="103" t="n">
        <v>37.5</v>
      </c>
      <c r="G263" s="103" t="n">
        <v>37.5</v>
      </c>
      <c r="H263" s="102" t="n">
        <v>6000</v>
      </c>
      <c r="I263" s="102" t="n">
        <v>20000</v>
      </c>
      <c r="J263" s="102" t="n">
        <v>35000</v>
      </c>
      <c r="K263" s="30" t="inlineStr">
        <is>
          <t>V5.1: Типы_продукта!A14:M14; Микс_продаж!B5; B14</t>
        </is>
      </c>
    </row>
    <row r="264" ht="34" customHeight="1">
      <c r="A264" s="30" t="inlineStr">
        <is>
          <t>Москва</t>
        </is>
      </c>
      <c r="B264" s="30" t="inlineStr">
        <is>
          <t>Школа</t>
        </is>
      </c>
      <c r="C264" s="101" t="n">
        <v>0.02</v>
      </c>
      <c r="D264" s="102" t="n">
        <v>990000</v>
      </c>
      <c r="E264" s="103" t="n">
        <v>75</v>
      </c>
      <c r="F264" s="103" t="n">
        <v>112.5</v>
      </c>
      <c r="G264" s="103" t="n">
        <v>112.5</v>
      </c>
      <c r="H264" s="102" t="n">
        <v>10500</v>
      </c>
      <c r="I264" s="102" t="n">
        <v>20000</v>
      </c>
      <c r="J264" s="102" t="n">
        <v>90000</v>
      </c>
      <c r="K264" s="30" t="inlineStr">
        <is>
          <t>V5.1: Типы_продукта!A15:M15; Микс_продаж!B5; C14</t>
        </is>
      </c>
    </row>
    <row r="265" ht="34" customHeight="1">
      <c r="A265" s="30" t="inlineStr">
        <is>
          <t>Москва</t>
        </is>
      </c>
      <c r="B265" s="30" t="inlineStr">
        <is>
          <t>ФОК/Стадион</t>
        </is>
      </c>
      <c r="C265" s="101" t="n">
        <v>0.05066666666666667</v>
      </c>
      <c r="D265" s="102" t="n">
        <v>1290000</v>
      </c>
      <c r="E265" s="103" t="n">
        <v>87.5</v>
      </c>
      <c r="F265" s="103" t="n">
        <v>187.5</v>
      </c>
      <c r="G265" s="103" t="n">
        <v>187.5</v>
      </c>
      <c r="H265" s="102" t="n">
        <v>11500</v>
      </c>
      <c r="I265" s="102" t="n">
        <v>20000</v>
      </c>
      <c r="J265" s="102" t="n">
        <v>55000</v>
      </c>
      <c r="K265" s="30" t="inlineStr">
        <is>
          <t>V5.1: Типы_продукта!A16:M16; Микс_продаж!B5; D14</t>
        </is>
      </c>
    </row>
    <row r="266" ht="34" customHeight="1">
      <c r="A266" s="30" t="inlineStr">
        <is>
          <t>Москва</t>
        </is>
      </c>
      <c r="B266" s="30" t="inlineStr">
        <is>
          <t>Манеж</t>
        </is>
      </c>
      <c r="C266" s="101" t="n">
        <v>0.02433333333333333</v>
      </c>
      <c r="D266" s="102" t="n">
        <v>1490000</v>
      </c>
      <c r="E266" s="103" t="n">
        <v>87.5</v>
      </c>
      <c r="F266" s="103" t="n">
        <v>250</v>
      </c>
      <c r="G266" s="103" t="n">
        <v>250</v>
      </c>
      <c r="H266" s="102" t="n">
        <v>14000</v>
      </c>
      <c r="I266" s="102" t="n">
        <v>20000</v>
      </c>
      <c r="J266" s="102" t="n">
        <v>90000</v>
      </c>
      <c r="K266" s="30" t="inlineStr">
        <is>
          <t>V5.1: Типы_продукта!A17:M17; Микс_продаж!B5; E14</t>
        </is>
      </c>
    </row>
    <row r="267" ht="34" customHeight="1">
      <c r="A267" s="30" t="inlineStr">
        <is>
          <t>1 000 000+ чел. + МО</t>
        </is>
      </c>
      <c r="B267" s="30" t="inlineStr">
        <is>
          <t>Детский сад</t>
        </is>
      </c>
      <c r="C267" s="101" t="n">
        <v>0.015</v>
      </c>
      <c r="D267" s="102" t="n">
        <v>690000</v>
      </c>
      <c r="E267" s="103" t="n">
        <v>18.75</v>
      </c>
      <c r="F267" s="103" t="n">
        <v>31.25</v>
      </c>
      <c r="G267" s="103" t="n">
        <v>31.25</v>
      </c>
      <c r="H267" s="102" t="n">
        <v>4200</v>
      </c>
      <c r="I267" s="102" t="n">
        <v>12000</v>
      </c>
      <c r="J267" s="102" t="n">
        <v>20000</v>
      </c>
      <c r="K267" s="30" t="inlineStr">
        <is>
          <t>V5.1: Типы_продукта!A18:M18; Микс_продаж!B6; B15</t>
        </is>
      </c>
    </row>
    <row r="268" ht="34" customHeight="1">
      <c r="A268" s="30" t="inlineStr">
        <is>
          <t>1 000 000+ чел. + МО</t>
        </is>
      </c>
      <c r="B268" s="30" t="inlineStr">
        <is>
          <t>Школа</t>
        </is>
      </c>
      <c r="C268" s="101" t="n">
        <v>0.06</v>
      </c>
      <c r="D268" s="102" t="n">
        <v>890000</v>
      </c>
      <c r="E268" s="103" t="n">
        <v>75</v>
      </c>
      <c r="F268" s="103" t="n">
        <v>112.5</v>
      </c>
      <c r="G268" s="103" t="n">
        <v>112.5</v>
      </c>
      <c r="H268" s="102" t="n">
        <v>6750</v>
      </c>
      <c r="I268" s="102" t="n">
        <v>20000</v>
      </c>
      <c r="J268" s="102" t="n">
        <v>60000</v>
      </c>
      <c r="K268" s="30" t="inlineStr">
        <is>
          <t>V5.1: Типы_продукта!A19:M19; Микс_продаж!B6; C15</t>
        </is>
      </c>
    </row>
    <row r="269" ht="34" customHeight="1">
      <c r="A269" s="30" t="inlineStr">
        <is>
          <t>1 000 000+ чел. + МО</t>
        </is>
      </c>
      <c r="B269" s="30" t="inlineStr">
        <is>
          <t>ФОК/Стадион</t>
        </is>
      </c>
      <c r="C269" s="101" t="n">
        <v>0.152</v>
      </c>
      <c r="D269" s="102" t="n">
        <v>1190000</v>
      </c>
      <c r="E269" s="103" t="n">
        <v>87.5</v>
      </c>
      <c r="F269" s="103" t="n">
        <v>187.5</v>
      </c>
      <c r="G269" s="103" t="n">
        <v>187.5</v>
      </c>
      <c r="H269" s="102" t="n">
        <v>7250</v>
      </c>
      <c r="I269" s="102" t="n">
        <v>20000</v>
      </c>
      <c r="J269" s="102" t="n">
        <v>35000</v>
      </c>
      <c r="K269" s="30" t="inlineStr">
        <is>
          <t>V5.1: Типы_продукта!A20:M20; Микс_продаж!B6; D15</t>
        </is>
      </c>
    </row>
    <row r="270" ht="34" customHeight="1">
      <c r="A270" s="30" t="inlineStr">
        <is>
          <t>1 000 000+ чел. + МО</t>
        </is>
      </c>
      <c r="B270" s="30" t="inlineStr">
        <is>
          <t>Манеж</t>
        </is>
      </c>
      <c r="C270" s="101" t="n">
        <v>0.07299999999999998</v>
      </c>
      <c r="D270" s="102" t="n">
        <v>1290000</v>
      </c>
      <c r="E270" s="103" t="n">
        <v>87.5</v>
      </c>
      <c r="F270" s="103" t="n">
        <v>250</v>
      </c>
      <c r="G270" s="103" t="n">
        <v>250</v>
      </c>
      <c r="H270" s="102" t="n">
        <v>7250</v>
      </c>
      <c r="I270" s="102" t="n">
        <v>20000</v>
      </c>
      <c r="J270" s="102" t="n">
        <v>45000</v>
      </c>
      <c r="K270" s="30" t="inlineStr">
        <is>
          <t>V5.1: Типы_продукта!A21:M21; Микс_продаж!B6; E15</t>
        </is>
      </c>
    </row>
    <row r="271" ht="34" customHeight="1">
      <c r="A271" s="30" t="inlineStr">
        <is>
          <t>от 500к до 1 млн чел.</t>
        </is>
      </c>
      <c r="B271" s="30" t="inlineStr">
        <is>
          <t>Детский сад</t>
        </is>
      </c>
      <c r="C271" s="101" t="n">
        <v>0.0125</v>
      </c>
      <c r="D271" s="102" t="n">
        <v>590000</v>
      </c>
      <c r="E271" s="103" t="n">
        <v>12.5</v>
      </c>
      <c r="F271" s="103" t="n">
        <v>25</v>
      </c>
      <c r="G271" s="103" t="n">
        <v>25</v>
      </c>
      <c r="H271" s="102" t="n">
        <v>3800</v>
      </c>
      <c r="I271" s="102" t="n">
        <v>7000</v>
      </c>
      <c r="J271" s="102" t="n">
        <v>14000</v>
      </c>
      <c r="K271" s="30" t="inlineStr">
        <is>
          <t>V5.1: Типы_продукта!A22:M22; Микс_продаж!B7; B16</t>
        </is>
      </c>
    </row>
    <row r="272" ht="34" customHeight="1">
      <c r="A272" s="30" t="inlineStr">
        <is>
          <t>от 500к до 1 млн чел.</t>
        </is>
      </c>
      <c r="B272" s="30" t="inlineStr">
        <is>
          <t>Школа</t>
        </is>
      </c>
      <c r="C272" s="101" t="n">
        <v>0.05</v>
      </c>
      <c r="D272" s="102" t="n">
        <v>790000</v>
      </c>
      <c r="E272" s="103" t="n">
        <v>75</v>
      </c>
      <c r="F272" s="103" t="n">
        <v>112.5</v>
      </c>
      <c r="G272" s="103" t="n">
        <v>112.5</v>
      </c>
      <c r="H272" s="102" t="n">
        <v>4900</v>
      </c>
      <c r="I272" s="102" t="n">
        <v>20000</v>
      </c>
      <c r="J272" s="102" t="n">
        <v>45000</v>
      </c>
      <c r="K272" s="30" t="inlineStr">
        <is>
          <t>V5.1: Типы_продукта!A23:M23; Микс_продаж!B7; C16</t>
        </is>
      </c>
    </row>
    <row r="273" ht="34" customHeight="1">
      <c r="A273" s="30" t="inlineStr">
        <is>
          <t>от 500к до 1 млн чел.</t>
        </is>
      </c>
      <c r="B273" s="30" t="inlineStr">
        <is>
          <t>ФОК/Стадион</t>
        </is>
      </c>
      <c r="C273" s="101" t="n">
        <v>0.1266666666666667</v>
      </c>
      <c r="D273" s="102" t="n">
        <v>890000</v>
      </c>
      <c r="E273" s="103" t="n">
        <v>87.5</v>
      </c>
      <c r="F273" s="103" t="n">
        <v>187.5</v>
      </c>
      <c r="G273" s="103" t="n">
        <v>187.5</v>
      </c>
      <c r="H273" s="102" t="n">
        <v>5750</v>
      </c>
      <c r="I273" s="102" t="n">
        <v>20000</v>
      </c>
      <c r="J273" s="102" t="n">
        <v>30000</v>
      </c>
      <c r="K273" s="30" t="inlineStr">
        <is>
          <t>V5.1: Типы_продукта!A24:M24; Микс_продаж!B7; D16</t>
        </is>
      </c>
    </row>
    <row r="274" ht="34" customHeight="1">
      <c r="A274" s="30" t="inlineStr">
        <is>
          <t>от 500к до 1 млн чел.</t>
        </is>
      </c>
      <c r="B274" s="30" t="inlineStr">
        <is>
          <t>Манеж</t>
        </is>
      </c>
      <c r="C274" s="101" t="n">
        <v>0.06083333333333332</v>
      </c>
      <c r="D274" s="102" t="n">
        <v>990000</v>
      </c>
      <c r="E274" s="103" t="n">
        <v>87.5</v>
      </c>
      <c r="F274" s="103" t="n">
        <v>250</v>
      </c>
      <c r="G274" s="103" t="n">
        <v>250</v>
      </c>
      <c r="H274" s="102" t="n">
        <v>5750</v>
      </c>
      <c r="I274" s="102" t="n">
        <v>20000</v>
      </c>
      <c r="J274" s="102" t="n">
        <v>35000</v>
      </c>
      <c r="K274" s="30" t="inlineStr">
        <is>
          <t>V5.1: Типы_продукта!A25:M25; Микс_продаж!B7; E16</t>
        </is>
      </c>
    </row>
    <row r="275" ht="34" customHeight="1">
      <c r="A275" s="30" t="inlineStr">
        <is>
          <t>от 100к до 500к чел.</t>
        </is>
      </c>
      <c r="B275" s="30" t="inlineStr">
        <is>
          <t>Детский сад</t>
        </is>
      </c>
      <c r="C275" s="101" t="n">
        <v>0.0125</v>
      </c>
      <c r="D275" s="102" t="n">
        <v>490000</v>
      </c>
      <c r="E275" s="103" t="n">
        <v>12.5</v>
      </c>
      <c r="F275" s="103" t="n">
        <v>25</v>
      </c>
      <c r="G275" s="103" t="n">
        <v>25</v>
      </c>
      <c r="H275" s="102" t="n">
        <v>3300</v>
      </c>
      <c r="I275" s="102" t="n">
        <v>6000</v>
      </c>
      <c r="J275" s="102" t="n">
        <v>12000</v>
      </c>
      <c r="K275" s="30" t="inlineStr">
        <is>
          <t>V5.1: Типы_продукта!A26:M26; Микс_продаж!B8; B17</t>
        </is>
      </c>
    </row>
    <row r="276" ht="34" customHeight="1">
      <c r="A276" s="30" t="inlineStr">
        <is>
          <t>от 100к до 500к чел.</t>
        </is>
      </c>
      <c r="B276" s="30" t="inlineStr">
        <is>
          <t>Школа</t>
        </is>
      </c>
      <c r="C276" s="101" t="n">
        <v>0.05</v>
      </c>
      <c r="D276" s="102" t="n">
        <v>690000</v>
      </c>
      <c r="E276" s="103" t="n">
        <v>60</v>
      </c>
      <c r="F276" s="103" t="n">
        <v>90</v>
      </c>
      <c r="G276" s="103" t="n">
        <v>90</v>
      </c>
      <c r="H276" s="102" t="n">
        <v>4650</v>
      </c>
      <c r="I276" s="102" t="n">
        <v>20000</v>
      </c>
      <c r="J276" s="102" t="n">
        <v>30000</v>
      </c>
      <c r="K276" s="30" t="inlineStr">
        <is>
          <t>V5.1: Типы_продукта!A27:M27; Микс_продаж!B8; C17</t>
        </is>
      </c>
    </row>
    <row r="277" ht="34" customHeight="1">
      <c r="A277" s="30" t="inlineStr">
        <is>
          <t>от 100к до 500к чел.</t>
        </is>
      </c>
      <c r="B277" s="30" t="inlineStr">
        <is>
          <t>ФОК/Стадион</t>
        </is>
      </c>
      <c r="C277" s="101" t="n">
        <v>0.1266666666666667</v>
      </c>
      <c r="D277" s="102" t="n">
        <v>790000</v>
      </c>
      <c r="E277" s="103" t="n">
        <v>70</v>
      </c>
      <c r="F277" s="103" t="n">
        <v>150</v>
      </c>
      <c r="G277" s="103" t="n">
        <v>150</v>
      </c>
      <c r="H277" s="102" t="n">
        <v>5750</v>
      </c>
      <c r="I277" s="102" t="n">
        <v>20000</v>
      </c>
      <c r="J277" s="102" t="n">
        <v>25000</v>
      </c>
      <c r="K277" s="30" t="inlineStr">
        <is>
          <t>V5.1: Типы_продукта!A28:M28; Микс_продаж!B8; D17</t>
        </is>
      </c>
    </row>
    <row r="278" ht="34" customHeight="1">
      <c r="A278" s="30" t="inlineStr">
        <is>
          <t>от 100к до 500к чел.</t>
        </is>
      </c>
      <c r="B278" s="30" t="inlineStr">
        <is>
          <t>Манеж</t>
        </is>
      </c>
      <c r="C278" s="101" t="n">
        <v>0.06083333333333332</v>
      </c>
      <c r="D278" s="102" t="n">
        <v>890000</v>
      </c>
      <c r="E278" s="103" t="n">
        <v>70</v>
      </c>
      <c r="F278" s="103" t="n">
        <v>200</v>
      </c>
      <c r="G278" s="103" t="n">
        <v>200</v>
      </c>
      <c r="H278" s="102" t="n">
        <v>5750</v>
      </c>
      <c r="I278" s="102" t="n">
        <v>20000</v>
      </c>
      <c r="J278" s="102" t="n">
        <v>30000</v>
      </c>
      <c r="K278" s="30" t="inlineStr">
        <is>
          <t>V5.1: Типы_продукта!A29:M29; Микс_продаж!B8; E17</t>
        </is>
      </c>
    </row>
    <row r="279" ht="34" customHeight="1">
      <c r="A279" s="30" t="inlineStr">
        <is>
          <t>до 100к чел.</t>
        </is>
      </c>
      <c r="B279" s="30" t="inlineStr">
        <is>
          <t>Детский сад</t>
        </is>
      </c>
      <c r="C279" s="101" t="n">
        <v>0.005000000000000001</v>
      </c>
      <c r="D279" s="102" t="n">
        <v>390000</v>
      </c>
      <c r="E279" s="103" t="n">
        <v>12.5</v>
      </c>
      <c r="F279" s="103" t="n">
        <v>18.75</v>
      </c>
      <c r="G279" s="103" t="n">
        <v>18.75</v>
      </c>
      <c r="H279" s="102" t="n">
        <v>3000</v>
      </c>
      <c r="I279" s="102" t="n">
        <v>5000</v>
      </c>
      <c r="J279" s="102" t="n">
        <v>8000</v>
      </c>
      <c r="K279" s="30" t="inlineStr">
        <is>
          <t>V5.1: Типы_продукта!A30:M30; Микс_продаж!B9; B18</t>
        </is>
      </c>
    </row>
    <row r="280" ht="34" customHeight="1">
      <c r="A280" s="30" t="inlineStr">
        <is>
          <t>до 100к чел.</t>
        </is>
      </c>
      <c r="B280" s="30" t="inlineStr">
        <is>
          <t>Школа</t>
        </is>
      </c>
      <c r="C280" s="101" t="n">
        <v>0.02</v>
      </c>
      <c r="D280" s="102" t="n">
        <v>490000</v>
      </c>
      <c r="E280" s="103" t="n">
        <v>52.5</v>
      </c>
      <c r="F280" s="103" t="n">
        <v>78.75</v>
      </c>
      <c r="G280" s="103" t="n">
        <v>78.75</v>
      </c>
      <c r="H280" s="102" t="n">
        <v>4000</v>
      </c>
      <c r="I280" s="102" t="n">
        <v>20000</v>
      </c>
      <c r="J280" s="102" t="n">
        <v>25000</v>
      </c>
      <c r="K280" s="30" t="inlineStr">
        <is>
          <t>V5.1: Типы_продукта!A31:M31; Микс_продаж!B9; C18</t>
        </is>
      </c>
    </row>
    <row r="281" ht="34" customHeight="1">
      <c r="A281" s="30" t="inlineStr">
        <is>
          <t>до 100к чел.</t>
        </is>
      </c>
      <c r="B281" s="30" t="inlineStr">
        <is>
          <t>ФОК/Стадион</t>
        </is>
      </c>
      <c r="C281" s="101" t="n">
        <v>0.05066666666666667</v>
      </c>
      <c r="D281" s="102" t="n">
        <v>590000</v>
      </c>
      <c r="E281" s="103" t="n">
        <v>62.5</v>
      </c>
      <c r="F281" s="103" t="n">
        <v>125</v>
      </c>
      <c r="G281" s="103" t="n">
        <v>125</v>
      </c>
      <c r="H281" s="102" t="n">
        <v>4500</v>
      </c>
      <c r="I281" s="102" t="n">
        <v>20000</v>
      </c>
      <c r="J281" s="102" t="n">
        <v>25000</v>
      </c>
      <c r="K281" s="30" t="inlineStr">
        <is>
          <t>V5.1: Типы_продукта!A32:M32; Микс_продаж!B9; D18</t>
        </is>
      </c>
    </row>
    <row r="282" ht="34" customHeight="1">
      <c r="A282" s="30" t="inlineStr">
        <is>
          <t>до 100к чел.</t>
        </is>
      </c>
      <c r="B282" s="30" t="inlineStr">
        <is>
          <t>Манеж</t>
        </is>
      </c>
      <c r="C282" s="101" t="n">
        <v>0.02433333333333333</v>
      </c>
      <c r="D282" s="102" t="n">
        <v>690000</v>
      </c>
      <c r="E282" s="103" t="n">
        <v>62.5</v>
      </c>
      <c r="F282" s="103" t="n">
        <v>175</v>
      </c>
      <c r="G282" s="103" t="n">
        <v>175</v>
      </c>
      <c r="H282" s="102" t="n">
        <v>4500</v>
      </c>
      <c r="I282" s="102" t="n">
        <v>20000</v>
      </c>
      <c r="J282" s="102" t="n">
        <v>30000</v>
      </c>
      <c r="K282" s="30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99">
        <f>SUM(C263:C282)</f>
        <v/>
      </c>
    </row>
    <row r="285" ht="28" customHeight="1">
      <c r="A285" s="74" t="inlineStr">
        <is>
          <t>14. CAPEX — вложения в бизнес</t>
        </is>
      </c>
    </row>
    <row r="286" ht="66" customHeight="1">
      <c r="A286" s="23" t="inlineStr">
        <is>
          <t>Поддерживающий CAPEX</t>
        </is>
      </c>
      <c r="B286" s="104" t="n">
        <v>0.01</v>
      </c>
      <c r="C286" s="29" t="inlineStr">
        <is>
          <t>%</t>
        </is>
      </c>
      <c r="D286" s="29" t="inlineStr">
        <is>
          <t>v4: Допущения!B42</t>
        </is>
      </c>
      <c r="E286" s="30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23" t="inlineStr">
        <is>
          <t>Разовый CAPEX</t>
        </is>
      </c>
      <c r="B287" s="105" t="n">
        <v>1000</v>
      </c>
      <c r="C287" s="29" t="inlineStr">
        <is>
          <t>₽</t>
        </is>
      </c>
      <c r="D287" s="29" t="inlineStr">
        <is>
          <t>v4: Допущения!B41</t>
        </is>
      </c>
      <c r="E287" s="30" t="inlineStr">
        <is>
          <t>Как в приложенной v4: 1 000 ₽ разово в первом месяце прогноза.</t>
        </is>
      </c>
    </row>
    <row r="288" ht="66" customHeight="1">
      <c r="A288" s="23" t="inlineStr">
        <is>
          <t>База поддерживающего CAPEX</t>
        </is>
      </c>
      <c r="B288" s="106" t="inlineStr">
        <is>
          <t>С НДС</t>
        </is>
      </c>
      <c r="C288" s="29" t="n"/>
      <c r="D288" s="29" t="inlineStr">
        <is>
          <t>v4: Допущения!B41:B42</t>
        </is>
      </c>
      <c r="E288" s="30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23" t="inlineStr">
        <is>
          <t>Дата разового CAPEX</t>
        </is>
      </c>
      <c r="B289" s="107">
        <f>$B$7</f>
        <v/>
      </c>
      <c r="C289" s="29" t="n"/>
      <c r="D289" s="29" t="inlineStr">
        <is>
          <t>v4: Допущения!B41:B42</t>
        </is>
      </c>
      <c r="E289" s="30" t="inlineStr">
        <is>
          <t>Первый месяц прогноза, как в v4. Дату можно изменить.</t>
        </is>
      </c>
    </row>
    <row r="290" ht="66" customHeight="1">
      <c r="A290" s="23" t="inlineStr">
        <is>
          <t>CAPEX включён</t>
        </is>
      </c>
      <c r="B290" s="106" t="inlineStr">
        <is>
          <t>Да</t>
        </is>
      </c>
      <c r="C290" s="29" t="n"/>
      <c r="D290" s="29" t="inlineStr">
        <is>
          <t>v4: Допущения!B41:B42</t>
        </is>
      </c>
      <c r="E290" s="30" t="inlineStr">
        <is>
          <t>Да — CAPEX вычитается из денег до погашения займа. Нет — расчёт без CAPEX.</t>
        </is>
      </c>
    </row>
    <row r="292" ht="26" customHeight="1">
      <c r="A292" s="74" t="inlineStr">
        <is>
          <t>Постепенный набор, индексация и повтор формы</t>
        </is>
      </c>
    </row>
    <row r="293" ht="62" customHeight="1">
      <c r="A293" s="30" t="inlineStr">
        <is>
          <t>Первая индексация цен / OPEX</t>
        </is>
      </c>
      <c r="B293" s="108" t="n">
        <v>46539</v>
      </c>
      <c r="C293" s="30" t="inlineStr">
        <is>
          <t>дата</t>
        </is>
      </c>
      <c r="D293" s="30" t="inlineStr">
        <is>
          <t>Подтверждено 09.09.2026</t>
        </is>
      </c>
      <c r="E293" s="30" t="inlineStr">
        <is>
          <t>Ежегодно в июне, как в v4; зарплаты отдельно в сентябре.</t>
        </is>
      </c>
    </row>
    <row r="294" ht="90" customHeight="1">
      <c r="A294" s="30" t="inlineStr">
        <is>
          <t>Индексация вне ФОТ включена</t>
        </is>
      </c>
      <c r="B294" s="109" t="inlineStr">
        <is>
          <t>Да</t>
        </is>
      </c>
      <c r="C294" s="30" t="inlineStr">
        <is>
          <t>Да / Нет</t>
        </is>
      </c>
      <c r="D294" s="30" t="inlineStr">
        <is>
          <t>Подтверждено 09.09.2026</t>
        </is>
      </c>
      <c r="E294" s="30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30" t="inlineStr">
        <is>
          <t>Постепенный набор как в v4</t>
        </is>
      </c>
      <c r="B295" s="109" t="inlineStr">
        <is>
          <t>Да</t>
        </is>
      </c>
      <c r="C295" s="30" t="inlineStr">
        <is>
          <t>Да / Нет</t>
        </is>
      </c>
      <c r="D295" s="30" t="inlineStr">
        <is>
          <t>Подтверждено 09.09.2026</t>
        </is>
      </c>
      <c r="E295" s="30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30" t="inlineStr">
        <is>
          <t>Первый повторный заказ</t>
        </is>
      </c>
      <c r="B296" s="109" t="inlineStr">
        <is>
          <t>Новый сезон</t>
        </is>
      </c>
      <c r="C296" s="30" t="inlineStr">
        <is>
          <t>правило</t>
        </is>
      </c>
      <c r="D296" s="30" t="inlineStr">
        <is>
          <t>Подтверждено 09.09.2026</t>
        </is>
      </c>
      <c r="E296" s="30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30" t="inlineStr">
        <is>
          <t>Каникулы по роялти</t>
        </is>
      </c>
      <c r="B297" s="110" t="n">
        <v>0</v>
      </c>
      <c r="C297" s="30" t="inlineStr">
        <is>
          <t>мес.</t>
        </is>
      </c>
      <c r="D297" s="30" t="inlineStr">
        <is>
          <t>Параметр; по умолчанию 0</t>
        </is>
      </c>
      <c r="E297" s="30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30" t="inlineStr">
        <is>
          <t>Конверсия продажа - открытие</t>
        </is>
      </c>
      <c r="B298" s="111" t="n">
        <v>1</v>
      </c>
      <c r="C298" s="30" t="inlineStr">
        <is>
          <t>%</t>
        </is>
      </c>
      <c r="D298" s="30" t="inlineStr">
        <is>
          <t>Уточнить</t>
        </is>
      </c>
      <c r="E298" s="30" t="inlineStr">
        <is>
          <t>В базе первоначальной v4 — 95%; здесь пока 100%. Закрытия отдельно в B13.</t>
        </is>
      </c>
    </row>
    <row r="300" ht="26" customHeight="1">
      <c r="A300" s="74" t="inlineStr">
        <is>
          <t>Инфляция по годам</t>
        </is>
      </c>
    </row>
    <row r="301">
      <c r="A301" t="n">
        <v>2026</v>
      </c>
      <c r="B301" s="112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12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12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12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12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12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12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Y57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3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30" customHeight="1">
      <c r="B4" s="114" t="inlineStr">
        <is>
          <t>Показатель</t>
        </is>
      </c>
      <c r="C4" s="114" t="inlineStr">
        <is>
          <t>Ед.</t>
        </is>
      </c>
      <c r="D4" s="114" t="inlineStr">
        <is>
          <t>Как считается</t>
        </is>
      </c>
      <c r="E4" s="114" t="inlineStr">
        <is>
          <t>Год 1</t>
        </is>
      </c>
      <c r="F4" s="114" t="inlineStr">
        <is>
          <t>Год 2</t>
        </is>
      </c>
      <c r="G4" s="114" t="inlineStr">
        <is>
          <t>Год 3</t>
        </is>
      </c>
      <c r="H4" s="114" t="inlineStr">
        <is>
          <t>Год 4</t>
        </is>
      </c>
      <c r="I4" s="114" t="inlineStr">
        <is>
          <t>Год 5</t>
        </is>
      </c>
      <c r="J4" s="114" t="inlineStr">
        <is>
          <t>Итого 5 лет</t>
        </is>
      </c>
      <c r="K4" s="114" t="n"/>
      <c r="L4" s="114" t="inlineStr">
        <is>
          <t>М1</t>
        </is>
      </c>
      <c r="M4" s="114" t="inlineStr">
        <is>
          <t>М2</t>
        </is>
      </c>
      <c r="N4" s="114" t="inlineStr">
        <is>
          <t>М3</t>
        </is>
      </c>
      <c r="O4" s="114" t="inlineStr">
        <is>
          <t>М4</t>
        </is>
      </c>
      <c r="P4" s="114" t="inlineStr">
        <is>
          <t>М5</t>
        </is>
      </c>
      <c r="Q4" s="114" t="inlineStr">
        <is>
          <t>М6</t>
        </is>
      </c>
      <c r="R4" s="114" t="inlineStr">
        <is>
          <t>М7</t>
        </is>
      </c>
      <c r="S4" s="114" t="inlineStr">
        <is>
          <t>М8</t>
        </is>
      </c>
      <c r="T4" s="114" t="inlineStr">
        <is>
          <t>М9</t>
        </is>
      </c>
      <c r="U4" s="114" t="inlineStr">
        <is>
          <t>М10</t>
        </is>
      </c>
      <c r="V4" s="114" t="inlineStr">
        <is>
          <t>М11</t>
        </is>
      </c>
      <c r="W4" s="114" t="inlineStr">
        <is>
          <t>М12</t>
        </is>
      </c>
      <c r="X4" s="114" t="inlineStr">
        <is>
          <t>М13</t>
        </is>
      </c>
      <c r="Y4" s="114" t="inlineStr">
        <is>
          <t>М14</t>
        </is>
      </c>
      <c r="Z4" s="114" t="inlineStr">
        <is>
          <t>М15</t>
        </is>
      </c>
      <c r="AA4" s="114" t="inlineStr">
        <is>
          <t>М16</t>
        </is>
      </c>
      <c r="AB4" s="114" t="inlineStr">
        <is>
          <t>М17</t>
        </is>
      </c>
      <c r="AC4" s="114" t="inlineStr">
        <is>
          <t>М18</t>
        </is>
      </c>
      <c r="AD4" s="114" t="inlineStr">
        <is>
          <t>М19</t>
        </is>
      </c>
      <c r="AE4" s="114" t="inlineStr">
        <is>
          <t>М20</t>
        </is>
      </c>
      <c r="AF4" s="114" t="inlineStr">
        <is>
          <t>М21</t>
        </is>
      </c>
      <c r="AG4" s="114" t="inlineStr">
        <is>
          <t>М22</t>
        </is>
      </c>
      <c r="AH4" s="114" t="inlineStr">
        <is>
          <t>М23</t>
        </is>
      </c>
      <c r="AI4" s="114" t="inlineStr">
        <is>
          <t>М24</t>
        </is>
      </c>
      <c r="AJ4" s="114" t="inlineStr">
        <is>
          <t>М25</t>
        </is>
      </c>
      <c r="AK4" s="114" t="inlineStr">
        <is>
          <t>М26</t>
        </is>
      </c>
      <c r="AL4" s="114" t="inlineStr">
        <is>
          <t>М27</t>
        </is>
      </c>
      <c r="AM4" s="114" t="inlineStr">
        <is>
          <t>М28</t>
        </is>
      </c>
      <c r="AN4" s="114" t="inlineStr">
        <is>
          <t>М29</t>
        </is>
      </c>
      <c r="AO4" s="114" t="inlineStr">
        <is>
          <t>М30</t>
        </is>
      </c>
      <c r="AP4" s="114" t="inlineStr">
        <is>
          <t>М31</t>
        </is>
      </c>
      <c r="AQ4" s="114" t="inlineStr">
        <is>
          <t>М32</t>
        </is>
      </c>
      <c r="AR4" s="114" t="inlineStr">
        <is>
          <t>М33</t>
        </is>
      </c>
      <c r="AS4" s="114" t="inlineStr">
        <is>
          <t>М34</t>
        </is>
      </c>
      <c r="AT4" s="114" t="inlineStr">
        <is>
          <t>М35</t>
        </is>
      </c>
      <c r="AU4" s="114" t="inlineStr">
        <is>
          <t>М36</t>
        </is>
      </c>
      <c r="AV4" s="114" t="inlineStr">
        <is>
          <t>М37</t>
        </is>
      </c>
      <c r="AW4" s="114" t="inlineStr">
        <is>
          <t>М38</t>
        </is>
      </c>
      <c r="AX4" s="114" t="inlineStr">
        <is>
          <t>М39</t>
        </is>
      </c>
      <c r="AY4" s="114" t="inlineStr">
        <is>
          <t>М40</t>
        </is>
      </c>
      <c r="AZ4" s="114" t="inlineStr">
        <is>
          <t>М41</t>
        </is>
      </c>
      <c r="BA4" s="114" t="inlineStr">
        <is>
          <t>М42</t>
        </is>
      </c>
      <c r="BB4" s="114" t="inlineStr">
        <is>
          <t>М43</t>
        </is>
      </c>
      <c r="BC4" s="114" t="inlineStr">
        <is>
          <t>М44</t>
        </is>
      </c>
      <c r="BD4" s="114" t="inlineStr">
        <is>
          <t>М45</t>
        </is>
      </c>
      <c r="BE4" s="114" t="inlineStr">
        <is>
          <t>М46</t>
        </is>
      </c>
      <c r="BF4" s="114" t="inlineStr">
        <is>
          <t>М47</t>
        </is>
      </c>
      <c r="BG4" s="114" t="inlineStr">
        <is>
          <t>М48</t>
        </is>
      </c>
      <c r="BH4" s="114" t="inlineStr">
        <is>
          <t>М49</t>
        </is>
      </c>
      <c r="BI4" s="114" t="inlineStr">
        <is>
          <t>М50</t>
        </is>
      </c>
      <c r="BJ4" s="114" t="inlineStr">
        <is>
          <t>М51</t>
        </is>
      </c>
      <c r="BK4" s="114" t="inlineStr">
        <is>
          <t>М52</t>
        </is>
      </c>
      <c r="BL4" s="114" t="inlineStr">
        <is>
          <t>М53</t>
        </is>
      </c>
      <c r="BM4" s="114" t="inlineStr">
        <is>
          <t>М54</t>
        </is>
      </c>
      <c r="BN4" s="114" t="inlineStr">
        <is>
          <t>М55</t>
        </is>
      </c>
      <c r="BO4" s="114" t="inlineStr">
        <is>
          <t>М56</t>
        </is>
      </c>
      <c r="BP4" s="114" t="inlineStr">
        <is>
          <t>М57</t>
        </is>
      </c>
      <c r="BQ4" s="114" t="inlineStr">
        <is>
          <t>М58</t>
        </is>
      </c>
      <c r="BR4" s="114" t="inlineStr">
        <is>
          <t>М59</t>
        </is>
      </c>
      <c r="BS4" s="114" t="inlineStr">
        <is>
          <t>М60</t>
        </is>
      </c>
      <c r="BT4" s="114" t="inlineStr">
        <is>
          <t>тех. 1</t>
        </is>
      </c>
      <c r="BU4" s="114" t="inlineStr">
        <is>
          <t>тех. 2</t>
        </is>
      </c>
      <c r="BV4" s="114" t="inlineStr">
        <is>
          <t>тех. 3</t>
        </is>
      </c>
      <c r="BW4" s="114" t="inlineStr">
        <is>
          <t>тех. 4</t>
        </is>
      </c>
      <c r="BX4" s="114" t="inlineStr">
        <is>
          <t>тех. 5</t>
        </is>
      </c>
      <c r="BY4" s="114" t="inlineStr">
        <is>
          <t>тех. 6</t>
        </is>
      </c>
    </row>
    <row r="5">
      <c r="B5" s="115" t="inlineStr">
        <is>
          <t>Сеть (справочно)</t>
        </is>
      </c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  <c r="P5" s="116" t="n"/>
      <c r="Q5" s="116" t="n"/>
      <c r="R5" s="116" t="n"/>
      <c r="S5" s="116" t="n"/>
      <c r="T5" s="116" t="n"/>
      <c r="U5" s="116" t="n"/>
      <c r="V5" s="116" t="n"/>
      <c r="W5" s="116" t="n"/>
      <c r="X5" s="116" t="n"/>
      <c r="Y5" s="116" t="n"/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116" t="n"/>
      <c r="AT5" s="116" t="n"/>
      <c r="AU5" s="116" t="n"/>
      <c r="AV5" s="116" t="n"/>
      <c r="AW5" s="116" t="n"/>
      <c r="AX5" s="116" t="n"/>
      <c r="AY5" s="116" t="n"/>
      <c r="AZ5" s="116" t="n"/>
      <c r="BA5" s="116" t="n"/>
      <c r="BB5" s="116" t="n"/>
      <c r="BC5" s="116" t="n"/>
      <c r="BD5" s="116" t="n"/>
      <c r="BE5" s="116" t="n"/>
      <c r="BF5" s="116" t="n"/>
      <c r="BG5" s="116" t="n"/>
      <c r="BH5" s="116" t="n"/>
      <c r="BI5" s="116" t="n"/>
      <c r="BJ5" s="116" t="n"/>
      <c r="BK5" s="116" t="n"/>
      <c r="BL5" s="116" t="n"/>
      <c r="BM5" s="116" t="n"/>
      <c r="BN5" s="116" t="n"/>
      <c r="BO5" s="116" t="n"/>
      <c r="BP5" s="116" t="n"/>
      <c r="BQ5" s="116" t="n"/>
      <c r="BR5" s="116" t="n"/>
      <c r="BS5" s="116" t="n"/>
      <c r="BT5" s="116" t="n"/>
      <c r="BU5" s="116" t="n"/>
      <c r="BV5" s="116" t="n"/>
      <c r="BW5" s="116" t="n"/>
      <c r="BX5" s="116" t="n"/>
      <c r="BY5" s="116" t="n"/>
    </row>
    <row r="6">
      <c r="B6" t="inlineStr">
        <is>
          <t>Школы всего</t>
        </is>
      </c>
      <c r="C6" t="inlineStr">
        <is>
          <t>шт.</t>
        </is>
      </c>
      <c r="D6" s="117" t="inlineStr">
        <is>
          <t>Подробности — на листе «Сеть»</t>
        </is>
      </c>
      <c r="E6" s="118">
        <f>W6</f>
        <v/>
      </c>
      <c r="F6" s="118">
        <f>AI6</f>
        <v/>
      </c>
      <c r="G6" s="118">
        <f>AU6</f>
        <v/>
      </c>
      <c r="H6" s="118">
        <f>BG6</f>
        <v/>
      </c>
      <c r="I6" s="118">
        <f>BS6</f>
        <v/>
      </c>
      <c r="J6" s="10">
        <f>BS6</f>
        <v/>
      </c>
      <c r="L6" s="9">
        <f>'03_Сеть'!L59</f>
        <v/>
      </c>
      <c r="M6" s="9">
        <f>'03_Сеть'!M59</f>
        <v/>
      </c>
      <c r="N6" s="9">
        <f>'03_Сеть'!N59</f>
        <v/>
      </c>
      <c r="O6" s="9">
        <f>'03_Сеть'!O59</f>
        <v/>
      </c>
      <c r="P6" s="9">
        <f>'03_Сеть'!P59</f>
        <v/>
      </c>
      <c r="Q6" s="9">
        <f>'03_Сеть'!Q59</f>
        <v/>
      </c>
      <c r="R6" s="9">
        <f>'03_Сеть'!R59</f>
        <v/>
      </c>
      <c r="S6" s="9">
        <f>'03_Сеть'!S59</f>
        <v/>
      </c>
      <c r="T6" s="9">
        <f>'03_Сеть'!T59</f>
        <v/>
      </c>
      <c r="U6" s="9">
        <f>'03_Сеть'!U59</f>
        <v/>
      </c>
      <c r="V6" s="9">
        <f>'03_Сеть'!V59</f>
        <v/>
      </c>
      <c r="W6" s="9">
        <f>'03_Сеть'!W59</f>
        <v/>
      </c>
      <c r="X6" s="9">
        <f>'03_Сеть'!X59</f>
        <v/>
      </c>
      <c r="Y6" s="9">
        <f>'03_Сеть'!Y59</f>
        <v/>
      </c>
      <c r="Z6" s="9">
        <f>'03_Сеть'!Z59</f>
        <v/>
      </c>
      <c r="AA6" s="9">
        <f>'03_Сеть'!AA59</f>
        <v/>
      </c>
      <c r="AB6" s="9">
        <f>'03_Сеть'!AB59</f>
        <v/>
      </c>
      <c r="AC6" s="9">
        <f>'03_Сеть'!AC59</f>
        <v/>
      </c>
      <c r="AD6" s="9">
        <f>'03_Сеть'!AD59</f>
        <v/>
      </c>
      <c r="AE6" s="9">
        <f>'03_Сеть'!AE59</f>
        <v/>
      </c>
      <c r="AF6" s="9">
        <f>'03_Сеть'!AF59</f>
        <v/>
      </c>
      <c r="AG6" s="9">
        <f>'03_Сеть'!AG59</f>
        <v/>
      </c>
      <c r="AH6" s="9">
        <f>'03_Сеть'!AH59</f>
        <v/>
      </c>
      <c r="AI6" s="9">
        <f>'03_Сеть'!AI59</f>
        <v/>
      </c>
      <c r="AJ6" s="9">
        <f>'03_Сеть'!AJ59</f>
        <v/>
      </c>
      <c r="AK6" s="9">
        <f>'03_Сеть'!AK59</f>
        <v/>
      </c>
      <c r="AL6" s="9">
        <f>'03_Сеть'!AL59</f>
        <v/>
      </c>
      <c r="AM6" s="9">
        <f>'03_Сеть'!AM59</f>
        <v/>
      </c>
      <c r="AN6" s="9">
        <f>'03_Сеть'!AN59</f>
        <v/>
      </c>
      <c r="AO6" s="9">
        <f>'03_Сеть'!AO59</f>
        <v/>
      </c>
      <c r="AP6" s="9">
        <f>'03_Сеть'!AP59</f>
        <v/>
      </c>
      <c r="AQ6" s="9">
        <f>'03_Сеть'!AQ59</f>
        <v/>
      </c>
      <c r="AR6" s="9">
        <f>'03_Сеть'!AR59</f>
        <v/>
      </c>
      <c r="AS6" s="9">
        <f>'03_Сеть'!AS59</f>
        <v/>
      </c>
      <c r="AT6" s="9">
        <f>'03_Сеть'!AT59</f>
        <v/>
      </c>
      <c r="AU6" s="9">
        <f>'03_Сеть'!AU59</f>
        <v/>
      </c>
      <c r="AV6" s="9">
        <f>'03_Сеть'!AV59</f>
        <v/>
      </c>
      <c r="AW6" s="9">
        <f>'03_Сеть'!AW59</f>
        <v/>
      </c>
      <c r="AX6" s="9">
        <f>'03_Сеть'!AX59</f>
        <v/>
      </c>
      <c r="AY6" s="9">
        <f>'03_Сеть'!AY59</f>
        <v/>
      </c>
      <c r="AZ6" s="9">
        <f>'03_Сеть'!AZ59</f>
        <v/>
      </c>
      <c r="BA6" s="9">
        <f>'03_Сеть'!BA59</f>
        <v/>
      </c>
      <c r="BB6" s="9">
        <f>'03_Сеть'!BB59</f>
        <v/>
      </c>
      <c r="BC6" s="9">
        <f>'03_Сеть'!BC59</f>
        <v/>
      </c>
      <c r="BD6" s="9">
        <f>'03_Сеть'!BD59</f>
        <v/>
      </c>
      <c r="BE6" s="9">
        <f>'03_Сеть'!BE59</f>
        <v/>
      </c>
      <c r="BF6" s="9">
        <f>'03_Сеть'!BF59</f>
        <v/>
      </c>
      <c r="BG6" s="9">
        <f>'03_Сеть'!BG59</f>
        <v/>
      </c>
      <c r="BH6" s="9">
        <f>'03_Сеть'!BH59</f>
        <v/>
      </c>
      <c r="BI6" s="9">
        <f>'03_Сеть'!BI59</f>
        <v/>
      </c>
      <c r="BJ6" s="9">
        <f>'03_Сеть'!BJ59</f>
        <v/>
      </c>
      <c r="BK6" s="9">
        <f>'03_Сеть'!BK59</f>
        <v/>
      </c>
      <c r="BL6" s="9">
        <f>'03_Сеть'!BL59</f>
        <v/>
      </c>
      <c r="BM6" s="9">
        <f>'03_Сеть'!BM59</f>
        <v/>
      </c>
      <c r="BN6" s="9">
        <f>'03_Сеть'!BN59</f>
        <v/>
      </c>
      <c r="BO6" s="9">
        <f>'03_Сеть'!BO59</f>
        <v/>
      </c>
      <c r="BP6" s="9">
        <f>'03_Сеть'!BP59</f>
        <v/>
      </c>
      <c r="BQ6" s="9">
        <f>'03_Сеть'!BQ59</f>
        <v/>
      </c>
      <c r="BR6" s="9">
        <f>'03_Сеть'!BR59</f>
        <v/>
      </c>
      <c r="BS6" s="9">
        <f>'03_Сеть'!BS59</f>
        <v/>
      </c>
      <c r="BT6" s="9">
        <f>'03_Сеть'!BT59</f>
        <v/>
      </c>
      <c r="BU6" s="9">
        <f>'03_Сеть'!BU59</f>
        <v/>
      </c>
      <c r="BV6" s="9">
        <f>'03_Сеть'!BV59</f>
        <v/>
      </c>
      <c r="BW6" s="9">
        <f>'03_Сеть'!BW59</f>
        <v/>
      </c>
      <c r="BX6" s="9">
        <f>'03_Сеть'!BX59</f>
        <v/>
      </c>
      <c r="BY6" s="9">
        <f>'03_Сеть'!BY59</f>
        <v/>
      </c>
    </row>
    <row r="7">
      <c r="B7" t="inlineStr">
        <is>
          <t>Партнёры (юрлица)</t>
        </is>
      </c>
      <c r="C7" t="inlineStr">
        <is>
          <t>шт.</t>
        </is>
      </c>
      <c r="D7" s="117" t="inlineStr"/>
      <c r="E7" s="118">
        <f>W7</f>
        <v/>
      </c>
      <c r="F7" s="118">
        <f>AI7</f>
        <v/>
      </c>
      <c r="G7" s="118">
        <f>AU7</f>
        <v/>
      </c>
      <c r="H7" s="118">
        <f>BG7</f>
        <v/>
      </c>
      <c r="I7" s="118">
        <f>BS7</f>
        <v/>
      </c>
      <c r="J7" s="10">
        <f>BS7</f>
        <v/>
      </c>
      <c r="L7" s="9">
        <f>'03_Сеть'!L60</f>
        <v/>
      </c>
      <c r="M7" s="9">
        <f>'03_Сеть'!M60</f>
        <v/>
      </c>
      <c r="N7" s="9">
        <f>'03_Сеть'!N60</f>
        <v/>
      </c>
      <c r="O7" s="9">
        <f>'03_Сеть'!O60</f>
        <v/>
      </c>
      <c r="P7" s="9">
        <f>'03_Сеть'!P60</f>
        <v/>
      </c>
      <c r="Q7" s="9">
        <f>'03_Сеть'!Q60</f>
        <v/>
      </c>
      <c r="R7" s="9">
        <f>'03_Сеть'!R60</f>
        <v/>
      </c>
      <c r="S7" s="9">
        <f>'03_Сеть'!S60</f>
        <v/>
      </c>
      <c r="T7" s="9">
        <f>'03_Сеть'!T60</f>
        <v/>
      </c>
      <c r="U7" s="9">
        <f>'03_Сеть'!U60</f>
        <v/>
      </c>
      <c r="V7" s="9">
        <f>'03_Сеть'!V60</f>
        <v/>
      </c>
      <c r="W7" s="9">
        <f>'03_Сеть'!W60</f>
        <v/>
      </c>
      <c r="X7" s="9">
        <f>'03_Сеть'!X60</f>
        <v/>
      </c>
      <c r="Y7" s="9">
        <f>'03_Сеть'!Y60</f>
        <v/>
      </c>
      <c r="Z7" s="9">
        <f>'03_Сеть'!Z60</f>
        <v/>
      </c>
      <c r="AA7" s="9">
        <f>'03_Сеть'!AA60</f>
        <v/>
      </c>
      <c r="AB7" s="9">
        <f>'03_Сеть'!AB60</f>
        <v/>
      </c>
      <c r="AC7" s="9">
        <f>'03_Сеть'!AC60</f>
        <v/>
      </c>
      <c r="AD7" s="9">
        <f>'03_Сеть'!AD60</f>
        <v/>
      </c>
      <c r="AE7" s="9">
        <f>'03_Сеть'!AE60</f>
        <v/>
      </c>
      <c r="AF7" s="9">
        <f>'03_Сеть'!AF60</f>
        <v/>
      </c>
      <c r="AG7" s="9">
        <f>'03_Сеть'!AG60</f>
        <v/>
      </c>
      <c r="AH7" s="9">
        <f>'03_Сеть'!AH60</f>
        <v/>
      </c>
      <c r="AI7" s="9">
        <f>'03_Сеть'!AI60</f>
        <v/>
      </c>
      <c r="AJ7" s="9">
        <f>'03_Сеть'!AJ60</f>
        <v/>
      </c>
      <c r="AK7" s="9">
        <f>'03_Сеть'!AK60</f>
        <v/>
      </c>
      <c r="AL7" s="9">
        <f>'03_Сеть'!AL60</f>
        <v/>
      </c>
      <c r="AM7" s="9">
        <f>'03_Сеть'!AM60</f>
        <v/>
      </c>
      <c r="AN7" s="9">
        <f>'03_Сеть'!AN60</f>
        <v/>
      </c>
      <c r="AO7" s="9">
        <f>'03_Сеть'!AO60</f>
        <v/>
      </c>
      <c r="AP7" s="9">
        <f>'03_Сеть'!AP60</f>
        <v/>
      </c>
      <c r="AQ7" s="9">
        <f>'03_Сеть'!AQ60</f>
        <v/>
      </c>
      <c r="AR7" s="9">
        <f>'03_Сеть'!AR60</f>
        <v/>
      </c>
      <c r="AS7" s="9">
        <f>'03_Сеть'!AS60</f>
        <v/>
      </c>
      <c r="AT7" s="9">
        <f>'03_Сеть'!AT60</f>
        <v/>
      </c>
      <c r="AU7" s="9">
        <f>'03_Сеть'!AU60</f>
        <v/>
      </c>
      <c r="AV7" s="9">
        <f>'03_Сеть'!AV60</f>
        <v/>
      </c>
      <c r="AW7" s="9">
        <f>'03_Сеть'!AW60</f>
        <v/>
      </c>
      <c r="AX7" s="9">
        <f>'03_Сеть'!AX60</f>
        <v/>
      </c>
      <c r="AY7" s="9">
        <f>'03_Сеть'!AY60</f>
        <v/>
      </c>
      <c r="AZ7" s="9">
        <f>'03_Сеть'!AZ60</f>
        <v/>
      </c>
      <c r="BA7" s="9">
        <f>'03_Сеть'!BA60</f>
        <v/>
      </c>
      <c r="BB7" s="9">
        <f>'03_Сеть'!BB60</f>
        <v/>
      </c>
      <c r="BC7" s="9">
        <f>'03_Сеть'!BC60</f>
        <v/>
      </c>
      <c r="BD7" s="9">
        <f>'03_Сеть'!BD60</f>
        <v/>
      </c>
      <c r="BE7" s="9">
        <f>'03_Сеть'!BE60</f>
        <v/>
      </c>
      <c r="BF7" s="9">
        <f>'03_Сеть'!BF60</f>
        <v/>
      </c>
      <c r="BG7" s="9">
        <f>'03_Сеть'!BG60</f>
        <v/>
      </c>
      <c r="BH7" s="9">
        <f>'03_Сеть'!BH60</f>
        <v/>
      </c>
      <c r="BI7" s="9">
        <f>'03_Сеть'!BI60</f>
        <v/>
      </c>
      <c r="BJ7" s="9">
        <f>'03_Сеть'!BJ60</f>
        <v/>
      </c>
      <c r="BK7" s="9">
        <f>'03_Сеть'!BK60</f>
        <v/>
      </c>
      <c r="BL7" s="9">
        <f>'03_Сеть'!BL60</f>
        <v/>
      </c>
      <c r="BM7" s="9">
        <f>'03_Сеть'!BM60</f>
        <v/>
      </c>
      <c r="BN7" s="9">
        <f>'03_Сеть'!BN60</f>
        <v/>
      </c>
      <c r="BO7" s="9">
        <f>'03_Сеть'!BO60</f>
        <v/>
      </c>
      <c r="BP7" s="9">
        <f>'03_Сеть'!BP60</f>
        <v/>
      </c>
      <c r="BQ7" s="9">
        <f>'03_Сеть'!BQ60</f>
        <v/>
      </c>
      <c r="BR7" s="9">
        <f>'03_Сеть'!BR60</f>
        <v/>
      </c>
      <c r="BS7" s="9">
        <f>'03_Сеть'!BS60</f>
        <v/>
      </c>
      <c r="BT7" s="9">
        <f>'03_Сеть'!BT60</f>
        <v/>
      </c>
      <c r="BU7" s="9">
        <f>'03_Сеть'!BU60</f>
        <v/>
      </c>
      <c r="BV7" s="9">
        <f>'03_Сеть'!BV60</f>
        <v/>
      </c>
      <c r="BW7" s="9">
        <f>'03_Сеть'!BW60</f>
        <v/>
      </c>
      <c r="BX7" s="9">
        <f>'03_Сеть'!BX60</f>
        <v/>
      </c>
      <c r="BY7" s="9">
        <f>'03_Сеть'!BY60</f>
        <v/>
      </c>
    </row>
    <row r="8">
      <c r="B8" t="inlineStr">
        <is>
          <t>Дети, активные</t>
        </is>
      </c>
      <c r="C8" t="inlineStr">
        <is>
          <t>чел.</t>
        </is>
      </c>
      <c r="D8" s="117" t="inlineStr"/>
      <c r="E8" s="118">
        <f>W8</f>
        <v/>
      </c>
      <c r="F8" s="118">
        <f>AI8</f>
        <v/>
      </c>
      <c r="G8" s="118">
        <f>AU8</f>
        <v/>
      </c>
      <c r="H8" s="118">
        <f>BG8</f>
        <v/>
      </c>
      <c r="I8" s="118">
        <f>BS8</f>
        <v/>
      </c>
      <c r="J8" s="10">
        <f>BS8</f>
        <v/>
      </c>
      <c r="L8" s="9">
        <f>'03_Сеть'!L61</f>
        <v/>
      </c>
      <c r="M8" s="9">
        <f>'03_Сеть'!M61</f>
        <v/>
      </c>
      <c r="N8" s="9">
        <f>'03_Сеть'!N61</f>
        <v/>
      </c>
      <c r="O8" s="9">
        <f>'03_Сеть'!O61</f>
        <v/>
      </c>
      <c r="P8" s="9">
        <f>'03_Сеть'!P61</f>
        <v/>
      </c>
      <c r="Q8" s="9">
        <f>'03_Сеть'!Q61</f>
        <v/>
      </c>
      <c r="R8" s="9">
        <f>'03_Сеть'!R61</f>
        <v/>
      </c>
      <c r="S8" s="9">
        <f>'03_Сеть'!S61</f>
        <v/>
      </c>
      <c r="T8" s="9">
        <f>'03_Сеть'!T61</f>
        <v/>
      </c>
      <c r="U8" s="9">
        <f>'03_Сеть'!U61</f>
        <v/>
      </c>
      <c r="V8" s="9">
        <f>'03_Сеть'!V61</f>
        <v/>
      </c>
      <c r="W8" s="9">
        <f>'03_Сеть'!W61</f>
        <v/>
      </c>
      <c r="X8" s="9">
        <f>'03_Сеть'!X61</f>
        <v/>
      </c>
      <c r="Y8" s="9">
        <f>'03_Сеть'!Y61</f>
        <v/>
      </c>
      <c r="Z8" s="9">
        <f>'03_Сеть'!Z61</f>
        <v/>
      </c>
      <c r="AA8" s="9">
        <f>'03_Сеть'!AA61</f>
        <v/>
      </c>
      <c r="AB8" s="9">
        <f>'03_Сеть'!AB61</f>
        <v/>
      </c>
      <c r="AC8" s="9">
        <f>'03_Сеть'!AC61</f>
        <v/>
      </c>
      <c r="AD8" s="9">
        <f>'03_Сеть'!AD61</f>
        <v/>
      </c>
      <c r="AE8" s="9">
        <f>'03_Сеть'!AE61</f>
        <v/>
      </c>
      <c r="AF8" s="9">
        <f>'03_Сеть'!AF61</f>
        <v/>
      </c>
      <c r="AG8" s="9">
        <f>'03_Сеть'!AG61</f>
        <v/>
      </c>
      <c r="AH8" s="9">
        <f>'03_Сеть'!AH61</f>
        <v/>
      </c>
      <c r="AI8" s="9">
        <f>'03_Сеть'!AI61</f>
        <v/>
      </c>
      <c r="AJ8" s="9">
        <f>'03_Сеть'!AJ61</f>
        <v/>
      </c>
      <c r="AK8" s="9">
        <f>'03_Сеть'!AK61</f>
        <v/>
      </c>
      <c r="AL8" s="9">
        <f>'03_Сеть'!AL61</f>
        <v/>
      </c>
      <c r="AM8" s="9">
        <f>'03_Сеть'!AM61</f>
        <v/>
      </c>
      <c r="AN8" s="9">
        <f>'03_Сеть'!AN61</f>
        <v/>
      </c>
      <c r="AO8" s="9">
        <f>'03_Сеть'!AO61</f>
        <v/>
      </c>
      <c r="AP8" s="9">
        <f>'03_Сеть'!AP61</f>
        <v/>
      </c>
      <c r="AQ8" s="9">
        <f>'03_Сеть'!AQ61</f>
        <v/>
      </c>
      <c r="AR8" s="9">
        <f>'03_Сеть'!AR61</f>
        <v/>
      </c>
      <c r="AS8" s="9">
        <f>'03_Сеть'!AS61</f>
        <v/>
      </c>
      <c r="AT8" s="9">
        <f>'03_Сеть'!AT61</f>
        <v/>
      </c>
      <c r="AU8" s="9">
        <f>'03_Сеть'!AU61</f>
        <v/>
      </c>
      <c r="AV8" s="9">
        <f>'03_Сеть'!AV61</f>
        <v/>
      </c>
      <c r="AW8" s="9">
        <f>'03_Сеть'!AW61</f>
        <v/>
      </c>
      <c r="AX8" s="9">
        <f>'03_Сеть'!AX61</f>
        <v/>
      </c>
      <c r="AY8" s="9">
        <f>'03_Сеть'!AY61</f>
        <v/>
      </c>
      <c r="AZ8" s="9">
        <f>'03_Сеть'!AZ61</f>
        <v/>
      </c>
      <c r="BA8" s="9">
        <f>'03_Сеть'!BA61</f>
        <v/>
      </c>
      <c r="BB8" s="9">
        <f>'03_Сеть'!BB61</f>
        <v/>
      </c>
      <c r="BC8" s="9">
        <f>'03_Сеть'!BC61</f>
        <v/>
      </c>
      <c r="BD8" s="9">
        <f>'03_Сеть'!BD61</f>
        <v/>
      </c>
      <c r="BE8" s="9">
        <f>'03_Сеть'!BE61</f>
        <v/>
      </c>
      <c r="BF8" s="9">
        <f>'03_Сеть'!BF61</f>
        <v/>
      </c>
      <c r="BG8" s="9">
        <f>'03_Сеть'!BG61</f>
        <v/>
      </c>
      <c r="BH8" s="9">
        <f>'03_Сеть'!BH61</f>
        <v/>
      </c>
      <c r="BI8" s="9">
        <f>'03_Сеть'!BI61</f>
        <v/>
      </c>
      <c r="BJ8" s="9">
        <f>'03_Сеть'!BJ61</f>
        <v/>
      </c>
      <c r="BK8" s="9">
        <f>'03_Сеть'!BK61</f>
        <v/>
      </c>
      <c r="BL8" s="9">
        <f>'03_Сеть'!BL61</f>
        <v/>
      </c>
      <c r="BM8" s="9">
        <f>'03_Сеть'!BM61</f>
        <v/>
      </c>
      <c r="BN8" s="9">
        <f>'03_Сеть'!BN61</f>
        <v/>
      </c>
      <c r="BO8" s="9">
        <f>'03_Сеть'!BO61</f>
        <v/>
      </c>
      <c r="BP8" s="9">
        <f>'03_Сеть'!BP61</f>
        <v/>
      </c>
      <c r="BQ8" s="9">
        <f>'03_Сеть'!BQ61</f>
        <v/>
      </c>
      <c r="BR8" s="9">
        <f>'03_Сеть'!BR61</f>
        <v/>
      </c>
      <c r="BS8" s="9">
        <f>'03_Сеть'!BS61</f>
        <v/>
      </c>
      <c r="BT8" s="9">
        <f>'03_Сеть'!BT61</f>
        <v/>
      </c>
      <c r="BU8" s="9">
        <f>'03_Сеть'!BU61</f>
        <v/>
      </c>
      <c r="BV8" s="9">
        <f>'03_Сеть'!BV61</f>
        <v/>
      </c>
      <c r="BW8" s="9">
        <f>'03_Сеть'!BW61</f>
        <v/>
      </c>
      <c r="BX8" s="9">
        <f>'03_Сеть'!BX61</f>
        <v/>
      </c>
      <c r="BY8" s="9">
        <f>'03_Сеть'!BY61</f>
        <v/>
      </c>
    </row>
    <row r="10">
      <c r="B10" s="115" t="inlineStr">
        <is>
          <t>БДР — начисления</t>
        </is>
      </c>
      <c r="C10" s="116" t="n"/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AO10" s="116" t="n"/>
      <c r="AP10" s="116" t="n"/>
      <c r="AQ10" s="116" t="n"/>
      <c r="AR10" s="116" t="n"/>
      <c r="AS10" s="116" t="n"/>
      <c r="AT10" s="116" t="n"/>
      <c r="AU10" s="116" t="n"/>
      <c r="AV10" s="116" t="n"/>
      <c r="AW10" s="116" t="n"/>
      <c r="AX10" s="116" t="n"/>
      <c r="AY10" s="116" t="n"/>
      <c r="AZ10" s="116" t="n"/>
      <c r="BA10" s="116" t="n"/>
      <c r="BB10" s="116" t="n"/>
      <c r="BC10" s="116" t="n"/>
      <c r="BD10" s="116" t="n"/>
      <c r="BE10" s="116" t="n"/>
      <c r="BF10" s="116" t="n"/>
      <c r="BG10" s="116" t="n"/>
      <c r="BH10" s="116" t="n"/>
      <c r="BI10" s="116" t="n"/>
      <c r="BJ10" s="116" t="n"/>
      <c r="BK10" s="116" t="n"/>
      <c r="BL10" s="116" t="n"/>
      <c r="BM10" s="116" t="n"/>
      <c r="BN10" s="116" t="n"/>
      <c r="BO10" s="116" t="n"/>
      <c r="BP10" s="116" t="n"/>
      <c r="BQ10" s="116" t="n"/>
      <c r="BR10" s="116" t="n"/>
      <c r="BS10" s="116" t="n"/>
      <c r="BT10" s="116" t="n"/>
      <c r="BU10" s="116" t="n"/>
      <c r="BV10" s="116" t="n"/>
      <c r="BW10" s="116" t="n"/>
      <c r="BX10" s="116" t="n"/>
      <c r="BY10" s="116" t="n"/>
    </row>
    <row r="11">
      <c r="B11" t="inlineStr">
        <is>
          <t>Паушальные взносы</t>
        </is>
      </c>
      <c r="C11" t="inlineStr">
        <is>
          <t>₽</t>
        </is>
      </c>
      <c r="D11" s="117" t="inlineStr">
        <is>
          <t>Без НДС</t>
        </is>
      </c>
      <c r="E11" s="119">
        <f>SUM(L11:W11)</f>
        <v/>
      </c>
      <c r="F11" s="119">
        <f>SUM(X11:AI11)</f>
        <v/>
      </c>
      <c r="G11" s="119">
        <f>SUM(AJ11:AU11)</f>
        <v/>
      </c>
      <c r="H11" s="119">
        <f>SUM(AV11:BG11)</f>
        <v/>
      </c>
      <c r="I11" s="119">
        <f>SUM(BH11:BS11)</f>
        <v/>
      </c>
      <c r="J11" s="5">
        <f>SUM(L11:BS11)</f>
        <v/>
      </c>
      <c r="L11" s="4">
        <f>'04_Доходы'!L13</f>
        <v/>
      </c>
      <c r="M11" s="4">
        <f>'04_Доходы'!M13</f>
        <v/>
      </c>
      <c r="N11" s="4">
        <f>'04_Доходы'!N13</f>
        <v/>
      </c>
      <c r="O11" s="4">
        <f>'04_Доходы'!O13</f>
        <v/>
      </c>
      <c r="P11" s="4">
        <f>'04_Доходы'!P13</f>
        <v/>
      </c>
      <c r="Q11" s="4">
        <f>'04_Доходы'!Q13</f>
        <v/>
      </c>
      <c r="R11" s="4">
        <f>'04_Доходы'!R13</f>
        <v/>
      </c>
      <c r="S11" s="4">
        <f>'04_Доходы'!S13</f>
        <v/>
      </c>
      <c r="T11" s="4">
        <f>'04_Доходы'!T13</f>
        <v/>
      </c>
      <c r="U11" s="4">
        <f>'04_Доходы'!U13</f>
        <v/>
      </c>
      <c r="V11" s="4">
        <f>'04_Доходы'!V13</f>
        <v/>
      </c>
      <c r="W11" s="4">
        <f>'04_Доходы'!W13</f>
        <v/>
      </c>
      <c r="X11" s="4">
        <f>'04_Доходы'!X13</f>
        <v/>
      </c>
      <c r="Y11" s="4">
        <f>'04_Доходы'!Y13</f>
        <v/>
      </c>
      <c r="Z11" s="4">
        <f>'04_Доходы'!Z13</f>
        <v/>
      </c>
      <c r="AA11" s="4">
        <f>'04_Доходы'!AA13</f>
        <v/>
      </c>
      <c r="AB11" s="4">
        <f>'04_Доходы'!AB13</f>
        <v/>
      </c>
      <c r="AC11" s="4">
        <f>'04_Доходы'!AC13</f>
        <v/>
      </c>
      <c r="AD11" s="4">
        <f>'04_Доходы'!AD13</f>
        <v/>
      </c>
      <c r="AE11" s="4">
        <f>'04_Доходы'!AE13</f>
        <v/>
      </c>
      <c r="AF11" s="4">
        <f>'04_Доходы'!AF13</f>
        <v/>
      </c>
      <c r="AG11" s="4">
        <f>'04_Доходы'!AG13</f>
        <v/>
      </c>
      <c r="AH11" s="4">
        <f>'04_Доходы'!AH13</f>
        <v/>
      </c>
      <c r="AI11" s="4">
        <f>'04_Доходы'!AI13</f>
        <v/>
      </c>
      <c r="AJ11" s="4">
        <f>'04_Доходы'!AJ13</f>
        <v/>
      </c>
      <c r="AK11" s="4">
        <f>'04_Доходы'!AK13</f>
        <v/>
      </c>
      <c r="AL11" s="4">
        <f>'04_Доходы'!AL13</f>
        <v/>
      </c>
      <c r="AM11" s="4">
        <f>'04_Доходы'!AM13</f>
        <v/>
      </c>
      <c r="AN11" s="4">
        <f>'04_Доходы'!AN13</f>
        <v/>
      </c>
      <c r="AO11" s="4">
        <f>'04_Доходы'!AO13</f>
        <v/>
      </c>
      <c r="AP11" s="4">
        <f>'04_Доходы'!AP13</f>
        <v/>
      </c>
      <c r="AQ11" s="4">
        <f>'04_Доходы'!AQ13</f>
        <v/>
      </c>
      <c r="AR11" s="4">
        <f>'04_Доходы'!AR13</f>
        <v/>
      </c>
      <c r="AS11" s="4">
        <f>'04_Доходы'!AS13</f>
        <v/>
      </c>
      <c r="AT11" s="4">
        <f>'04_Доходы'!AT13</f>
        <v/>
      </c>
      <c r="AU11" s="4">
        <f>'04_Доходы'!AU13</f>
        <v/>
      </c>
      <c r="AV11" s="4">
        <f>'04_Доходы'!AV13</f>
        <v/>
      </c>
      <c r="AW11" s="4">
        <f>'04_Доходы'!AW13</f>
        <v/>
      </c>
      <c r="AX11" s="4">
        <f>'04_Доходы'!AX13</f>
        <v/>
      </c>
      <c r="AY11" s="4">
        <f>'04_Доходы'!AY13</f>
        <v/>
      </c>
      <c r="AZ11" s="4">
        <f>'04_Доходы'!AZ13</f>
        <v/>
      </c>
      <c r="BA11" s="4">
        <f>'04_Доходы'!BA13</f>
        <v/>
      </c>
      <c r="BB11" s="4">
        <f>'04_Доходы'!BB13</f>
        <v/>
      </c>
      <c r="BC11" s="4">
        <f>'04_Доходы'!BC13</f>
        <v/>
      </c>
      <c r="BD11" s="4">
        <f>'04_Доходы'!BD13</f>
        <v/>
      </c>
      <c r="BE11" s="4">
        <f>'04_Доходы'!BE13</f>
        <v/>
      </c>
      <c r="BF11" s="4">
        <f>'04_Доходы'!BF13</f>
        <v/>
      </c>
      <c r="BG11" s="4">
        <f>'04_Доходы'!BG13</f>
        <v/>
      </c>
      <c r="BH11" s="4">
        <f>'04_Доходы'!BH13</f>
        <v/>
      </c>
      <c r="BI11" s="4">
        <f>'04_Доходы'!BI13</f>
        <v/>
      </c>
      <c r="BJ11" s="4">
        <f>'04_Доходы'!BJ13</f>
        <v/>
      </c>
      <c r="BK11" s="4">
        <f>'04_Доходы'!BK13</f>
        <v/>
      </c>
      <c r="BL11" s="4">
        <f>'04_Доходы'!BL13</f>
        <v/>
      </c>
      <c r="BM11" s="4">
        <f>'04_Доходы'!BM13</f>
        <v/>
      </c>
      <c r="BN11" s="4">
        <f>'04_Доходы'!BN13</f>
        <v/>
      </c>
      <c r="BO11" s="4">
        <f>'04_Доходы'!BO13</f>
        <v/>
      </c>
      <c r="BP11" s="4">
        <f>'04_Доходы'!BP13</f>
        <v/>
      </c>
      <c r="BQ11" s="4">
        <f>'04_Доходы'!BQ13</f>
        <v/>
      </c>
      <c r="BR11" s="4">
        <f>'04_Доходы'!BR13</f>
        <v/>
      </c>
      <c r="BS11" s="4">
        <f>'04_Доходы'!BS13</f>
        <v/>
      </c>
      <c r="BT11" s="4">
        <f>'04_Доходы'!BT13</f>
        <v/>
      </c>
      <c r="BU11" s="4">
        <f>'04_Доходы'!BU13</f>
        <v/>
      </c>
      <c r="BV11" s="4">
        <f>'04_Доходы'!BV13</f>
        <v/>
      </c>
      <c r="BW11" s="4">
        <f>'04_Доходы'!BW13</f>
        <v/>
      </c>
      <c r="BX11" s="4">
        <f>'04_Доходы'!BX13</f>
        <v/>
      </c>
      <c r="BY11" s="4">
        <f>'04_Доходы'!BY13</f>
        <v/>
      </c>
    </row>
    <row r="12">
      <c r="B12" t="inlineStr">
        <is>
          <t>Роялти</t>
        </is>
      </c>
      <c r="C12" t="inlineStr">
        <is>
          <t>₽</t>
        </is>
      </c>
      <c r="D12" s="117" t="inlineStr">
        <is>
          <t>Без НДС</t>
        </is>
      </c>
      <c r="E12" s="119">
        <f>SUM(L12:W12)</f>
        <v/>
      </c>
      <c r="F12" s="119">
        <f>SUM(X12:AI12)</f>
        <v/>
      </c>
      <c r="G12" s="119">
        <f>SUM(AJ12:AU12)</f>
        <v/>
      </c>
      <c r="H12" s="119">
        <f>SUM(AV12:BG12)</f>
        <v/>
      </c>
      <c r="I12" s="119">
        <f>SUM(BH12:BS12)</f>
        <v/>
      </c>
      <c r="J12" s="5">
        <f>SUM(L12:BS12)</f>
        <v/>
      </c>
      <c r="L12" s="4">
        <f>'04_Доходы'!L102/(1+НДС)</f>
        <v/>
      </c>
      <c r="M12" s="4">
        <f>'04_Доходы'!M102/(1+НДС)</f>
        <v/>
      </c>
      <c r="N12" s="4">
        <f>'04_Доходы'!N102/(1+НДС)</f>
        <v/>
      </c>
      <c r="O12" s="4">
        <f>'04_Доходы'!O102/(1+НДС)</f>
        <v/>
      </c>
      <c r="P12" s="4">
        <f>'04_Доходы'!P102/(1+НДС)</f>
        <v/>
      </c>
      <c r="Q12" s="4">
        <f>'04_Доходы'!Q102/(1+НДС)</f>
        <v/>
      </c>
      <c r="R12" s="4">
        <f>'04_Доходы'!R102/(1+НДС)</f>
        <v/>
      </c>
      <c r="S12" s="4">
        <f>'04_Доходы'!S102/(1+НДС)</f>
        <v/>
      </c>
      <c r="T12" s="4">
        <f>'04_Доходы'!T102/(1+НДС)</f>
        <v/>
      </c>
      <c r="U12" s="4">
        <f>'04_Доходы'!U102/(1+НДС)</f>
        <v/>
      </c>
      <c r="V12" s="4">
        <f>'04_Доходы'!V102/(1+НДС)</f>
        <v/>
      </c>
      <c r="W12" s="4">
        <f>'04_Доходы'!W102/(1+НДС)</f>
        <v/>
      </c>
      <c r="X12" s="4">
        <f>'04_Доходы'!X102/(1+НДС)</f>
        <v/>
      </c>
      <c r="Y12" s="4">
        <f>'04_Доходы'!Y102/(1+НДС)</f>
        <v/>
      </c>
      <c r="Z12" s="4">
        <f>'04_Доходы'!Z102/(1+НДС)</f>
        <v/>
      </c>
      <c r="AA12" s="4">
        <f>'04_Доходы'!AA102/(1+НДС)</f>
        <v/>
      </c>
      <c r="AB12" s="4">
        <f>'04_Доходы'!AB102/(1+НДС)</f>
        <v/>
      </c>
      <c r="AC12" s="4">
        <f>'04_Доходы'!AC102/(1+НДС)</f>
        <v/>
      </c>
      <c r="AD12" s="4">
        <f>'04_Доходы'!AD102/(1+НДС)</f>
        <v/>
      </c>
      <c r="AE12" s="4">
        <f>'04_Доходы'!AE102/(1+НДС)</f>
        <v/>
      </c>
      <c r="AF12" s="4">
        <f>'04_Доходы'!AF102/(1+НДС)</f>
        <v/>
      </c>
      <c r="AG12" s="4">
        <f>'04_Доходы'!AG102/(1+НДС)</f>
        <v/>
      </c>
      <c r="AH12" s="4">
        <f>'04_Доходы'!AH102/(1+НДС)</f>
        <v/>
      </c>
      <c r="AI12" s="4">
        <f>'04_Доходы'!AI102/(1+НДС)</f>
        <v/>
      </c>
      <c r="AJ12" s="4">
        <f>'04_Доходы'!AJ102/(1+НДС)</f>
        <v/>
      </c>
      <c r="AK12" s="4">
        <f>'04_Доходы'!AK102/(1+НДС)</f>
        <v/>
      </c>
      <c r="AL12" s="4">
        <f>'04_Доходы'!AL102/(1+НДС)</f>
        <v/>
      </c>
      <c r="AM12" s="4">
        <f>'04_Доходы'!AM102/(1+НДС)</f>
        <v/>
      </c>
      <c r="AN12" s="4">
        <f>'04_Доходы'!AN102/(1+НДС)</f>
        <v/>
      </c>
      <c r="AO12" s="4">
        <f>'04_Доходы'!AO102/(1+НДС)</f>
        <v/>
      </c>
      <c r="AP12" s="4">
        <f>'04_Доходы'!AP102/(1+НДС)</f>
        <v/>
      </c>
      <c r="AQ12" s="4">
        <f>'04_Доходы'!AQ102/(1+НДС)</f>
        <v/>
      </c>
      <c r="AR12" s="4">
        <f>'04_Доходы'!AR102/(1+НДС)</f>
        <v/>
      </c>
      <c r="AS12" s="4">
        <f>'04_Доходы'!AS102/(1+НДС)</f>
        <v/>
      </c>
      <c r="AT12" s="4">
        <f>'04_Доходы'!AT102/(1+НДС)</f>
        <v/>
      </c>
      <c r="AU12" s="4">
        <f>'04_Доходы'!AU102/(1+НДС)</f>
        <v/>
      </c>
      <c r="AV12" s="4">
        <f>'04_Доходы'!AV102/(1+НДС)</f>
        <v/>
      </c>
      <c r="AW12" s="4">
        <f>'04_Доходы'!AW102/(1+НДС)</f>
        <v/>
      </c>
      <c r="AX12" s="4">
        <f>'04_Доходы'!AX102/(1+НДС)</f>
        <v/>
      </c>
      <c r="AY12" s="4">
        <f>'04_Доходы'!AY102/(1+НДС)</f>
        <v/>
      </c>
      <c r="AZ12" s="4">
        <f>'04_Доходы'!AZ102/(1+НДС)</f>
        <v/>
      </c>
      <c r="BA12" s="4">
        <f>'04_Доходы'!BA102/(1+НДС)</f>
        <v/>
      </c>
      <c r="BB12" s="4">
        <f>'04_Доходы'!BB102/(1+НДС)</f>
        <v/>
      </c>
      <c r="BC12" s="4">
        <f>'04_Доходы'!BC102/(1+НДС)</f>
        <v/>
      </c>
      <c r="BD12" s="4">
        <f>'04_Доходы'!BD102/(1+НДС)</f>
        <v/>
      </c>
      <c r="BE12" s="4">
        <f>'04_Доходы'!BE102/(1+НДС)</f>
        <v/>
      </c>
      <c r="BF12" s="4">
        <f>'04_Доходы'!BF102/(1+НДС)</f>
        <v/>
      </c>
      <c r="BG12" s="4">
        <f>'04_Доходы'!BG102/(1+НДС)</f>
        <v/>
      </c>
      <c r="BH12" s="4">
        <f>'04_Доходы'!BH102/(1+НДС)</f>
        <v/>
      </c>
      <c r="BI12" s="4">
        <f>'04_Доходы'!BI102/(1+НДС)</f>
        <v/>
      </c>
      <c r="BJ12" s="4">
        <f>'04_Доходы'!BJ102/(1+НДС)</f>
        <v/>
      </c>
      <c r="BK12" s="4">
        <f>'04_Доходы'!BK102/(1+НДС)</f>
        <v/>
      </c>
      <c r="BL12" s="4">
        <f>'04_Доходы'!BL102/(1+НДС)</f>
        <v/>
      </c>
      <c r="BM12" s="4">
        <f>'04_Доходы'!BM102/(1+НДС)</f>
        <v/>
      </c>
      <c r="BN12" s="4">
        <f>'04_Доходы'!BN102/(1+НДС)</f>
        <v/>
      </c>
      <c r="BO12" s="4">
        <f>'04_Доходы'!BO102/(1+НДС)</f>
        <v/>
      </c>
      <c r="BP12" s="4">
        <f>'04_Доходы'!BP102/(1+НДС)</f>
        <v/>
      </c>
      <c r="BQ12" s="4">
        <f>'04_Доходы'!BQ102/(1+НДС)</f>
        <v/>
      </c>
      <c r="BR12" s="4">
        <f>'04_Доходы'!BR102/(1+НДС)</f>
        <v/>
      </c>
      <c r="BS12" s="4">
        <f>'04_Доходы'!BS102/(1+НДС)</f>
        <v/>
      </c>
      <c r="BT12" s="4">
        <f>'04_Доходы'!BT102/(1+НДС)</f>
        <v/>
      </c>
      <c r="BU12" s="4">
        <f>'04_Доходы'!BU102/(1+НДС)</f>
        <v/>
      </c>
      <c r="BV12" s="4">
        <f>'04_Доходы'!BV102/(1+НДС)</f>
        <v/>
      </c>
      <c r="BW12" s="4">
        <f>'04_Доходы'!BW102/(1+НДС)</f>
        <v/>
      </c>
      <c r="BX12" s="4">
        <f>'04_Доходы'!BX102/(1+НДС)</f>
        <v/>
      </c>
      <c r="BY12" s="4">
        <f>'04_Доходы'!BY102/(1+НДС)</f>
        <v/>
      </c>
    </row>
    <row r="13">
      <c r="B13" t="inlineStr">
        <is>
          <t>Мерч</t>
        </is>
      </c>
      <c r="C13" t="inlineStr">
        <is>
          <t>₽</t>
        </is>
      </c>
      <c r="D13" s="117" t="inlineStr">
        <is>
          <t>Без НДС</t>
        </is>
      </c>
      <c r="E13" s="119">
        <f>SUM(L13:W13)</f>
        <v/>
      </c>
      <c r="F13" s="119">
        <f>SUM(X13:AI13)</f>
        <v/>
      </c>
      <c r="G13" s="119">
        <f>SUM(AJ13:AU13)</f>
        <v/>
      </c>
      <c r="H13" s="119">
        <f>SUM(AV13:BG13)</f>
        <v/>
      </c>
      <c r="I13" s="119">
        <f>SUM(BH13:BS13)</f>
        <v/>
      </c>
      <c r="J13" s="5">
        <f>SUM(L13:BS13)</f>
        <v/>
      </c>
      <c r="L13" s="4">
        <f>'04_Доходы'!L131</f>
        <v/>
      </c>
      <c r="M13" s="4">
        <f>'04_Доходы'!M131</f>
        <v/>
      </c>
      <c r="N13" s="4">
        <f>'04_Доходы'!N131</f>
        <v/>
      </c>
      <c r="O13" s="4">
        <f>'04_Доходы'!O131</f>
        <v/>
      </c>
      <c r="P13" s="4">
        <f>'04_Доходы'!P131</f>
        <v/>
      </c>
      <c r="Q13" s="4">
        <f>'04_Доходы'!Q131</f>
        <v/>
      </c>
      <c r="R13" s="4">
        <f>'04_Доходы'!R131</f>
        <v/>
      </c>
      <c r="S13" s="4">
        <f>'04_Доходы'!S131</f>
        <v/>
      </c>
      <c r="T13" s="4">
        <f>'04_Доходы'!T131</f>
        <v/>
      </c>
      <c r="U13" s="4">
        <f>'04_Доходы'!U131</f>
        <v/>
      </c>
      <c r="V13" s="4">
        <f>'04_Доходы'!V131</f>
        <v/>
      </c>
      <c r="W13" s="4">
        <f>'04_Доходы'!W131</f>
        <v/>
      </c>
      <c r="X13" s="4">
        <f>'04_Доходы'!X131</f>
        <v/>
      </c>
      <c r="Y13" s="4">
        <f>'04_Доходы'!Y131</f>
        <v/>
      </c>
      <c r="Z13" s="4">
        <f>'04_Доходы'!Z131</f>
        <v/>
      </c>
      <c r="AA13" s="4">
        <f>'04_Доходы'!AA131</f>
        <v/>
      </c>
      <c r="AB13" s="4">
        <f>'04_Доходы'!AB131</f>
        <v/>
      </c>
      <c r="AC13" s="4">
        <f>'04_Доходы'!AC131</f>
        <v/>
      </c>
      <c r="AD13" s="4">
        <f>'04_Доходы'!AD131</f>
        <v/>
      </c>
      <c r="AE13" s="4">
        <f>'04_Доходы'!AE131</f>
        <v/>
      </c>
      <c r="AF13" s="4">
        <f>'04_Доходы'!AF131</f>
        <v/>
      </c>
      <c r="AG13" s="4">
        <f>'04_Доходы'!AG131</f>
        <v/>
      </c>
      <c r="AH13" s="4">
        <f>'04_Доходы'!AH131</f>
        <v/>
      </c>
      <c r="AI13" s="4">
        <f>'04_Доходы'!AI131</f>
        <v/>
      </c>
      <c r="AJ13" s="4">
        <f>'04_Доходы'!AJ131</f>
        <v/>
      </c>
      <c r="AK13" s="4">
        <f>'04_Доходы'!AK131</f>
        <v/>
      </c>
      <c r="AL13" s="4">
        <f>'04_Доходы'!AL131</f>
        <v/>
      </c>
      <c r="AM13" s="4">
        <f>'04_Доходы'!AM131</f>
        <v/>
      </c>
      <c r="AN13" s="4">
        <f>'04_Доходы'!AN131</f>
        <v/>
      </c>
      <c r="AO13" s="4">
        <f>'04_Доходы'!AO131</f>
        <v/>
      </c>
      <c r="AP13" s="4">
        <f>'04_Доходы'!AP131</f>
        <v/>
      </c>
      <c r="AQ13" s="4">
        <f>'04_Доходы'!AQ131</f>
        <v/>
      </c>
      <c r="AR13" s="4">
        <f>'04_Доходы'!AR131</f>
        <v/>
      </c>
      <c r="AS13" s="4">
        <f>'04_Доходы'!AS131</f>
        <v/>
      </c>
      <c r="AT13" s="4">
        <f>'04_Доходы'!AT131</f>
        <v/>
      </c>
      <c r="AU13" s="4">
        <f>'04_Доходы'!AU131</f>
        <v/>
      </c>
      <c r="AV13" s="4">
        <f>'04_Доходы'!AV131</f>
        <v/>
      </c>
      <c r="AW13" s="4">
        <f>'04_Доходы'!AW131</f>
        <v/>
      </c>
      <c r="AX13" s="4">
        <f>'04_Доходы'!AX131</f>
        <v/>
      </c>
      <c r="AY13" s="4">
        <f>'04_Доходы'!AY131</f>
        <v/>
      </c>
      <c r="AZ13" s="4">
        <f>'04_Доходы'!AZ131</f>
        <v/>
      </c>
      <c r="BA13" s="4">
        <f>'04_Доходы'!BA131</f>
        <v/>
      </c>
      <c r="BB13" s="4">
        <f>'04_Доходы'!BB131</f>
        <v/>
      </c>
      <c r="BC13" s="4">
        <f>'04_Доходы'!BC131</f>
        <v/>
      </c>
      <c r="BD13" s="4">
        <f>'04_Доходы'!BD131</f>
        <v/>
      </c>
      <c r="BE13" s="4">
        <f>'04_Доходы'!BE131</f>
        <v/>
      </c>
      <c r="BF13" s="4">
        <f>'04_Доходы'!BF131</f>
        <v/>
      </c>
      <c r="BG13" s="4">
        <f>'04_Доходы'!BG131</f>
        <v/>
      </c>
      <c r="BH13" s="4">
        <f>'04_Доходы'!BH131</f>
        <v/>
      </c>
      <c r="BI13" s="4">
        <f>'04_Доходы'!BI131</f>
        <v/>
      </c>
      <c r="BJ13" s="4">
        <f>'04_Доходы'!BJ131</f>
        <v/>
      </c>
      <c r="BK13" s="4">
        <f>'04_Доходы'!BK131</f>
        <v/>
      </c>
      <c r="BL13" s="4">
        <f>'04_Доходы'!BL131</f>
        <v/>
      </c>
      <c r="BM13" s="4">
        <f>'04_Доходы'!BM131</f>
        <v/>
      </c>
      <c r="BN13" s="4">
        <f>'04_Доходы'!BN131</f>
        <v/>
      </c>
      <c r="BO13" s="4">
        <f>'04_Доходы'!BO131</f>
        <v/>
      </c>
      <c r="BP13" s="4">
        <f>'04_Доходы'!BP131</f>
        <v/>
      </c>
      <c r="BQ13" s="4">
        <f>'04_Доходы'!BQ131</f>
        <v/>
      </c>
      <c r="BR13" s="4">
        <f>'04_Доходы'!BR131</f>
        <v/>
      </c>
      <c r="BS13" s="4">
        <f>'04_Доходы'!BS131</f>
        <v/>
      </c>
      <c r="BT13" s="4">
        <f>'04_Доходы'!BT131</f>
        <v/>
      </c>
      <c r="BU13" s="4">
        <f>'04_Доходы'!BU131</f>
        <v/>
      </c>
      <c r="BV13" s="4">
        <f>'04_Доходы'!BV131</f>
        <v/>
      </c>
      <c r="BW13" s="4">
        <f>'04_Доходы'!BW131</f>
        <v/>
      </c>
      <c r="BX13" s="4">
        <f>'04_Доходы'!BX131</f>
        <v/>
      </c>
      <c r="BY13" s="4">
        <f>'04_Доходы'!BY131</f>
        <v/>
      </c>
    </row>
    <row r="14">
      <c r="B14" t="inlineStr">
        <is>
          <t>Лагеря</t>
        </is>
      </c>
      <c r="C14" t="inlineStr">
        <is>
          <t>₽</t>
        </is>
      </c>
      <c r="D14" s="117" t="inlineStr">
        <is>
          <t>Блок отключён переключателем на листе вводных</t>
        </is>
      </c>
      <c r="E14" s="119">
        <f>SUM(L14:W14)</f>
        <v/>
      </c>
      <c r="F14" s="119">
        <f>SUM(X14:AI14)</f>
        <v/>
      </c>
      <c r="G14" s="119">
        <f>SUM(AJ14:AU14)</f>
        <v/>
      </c>
      <c r="H14" s="119">
        <f>SUM(AV14:BG14)</f>
        <v/>
      </c>
      <c r="I14" s="119">
        <f>SUM(BH14:BS14)</f>
        <v/>
      </c>
      <c r="J14" s="5">
        <f>SUM(L14:BS14)</f>
        <v/>
      </c>
      <c r="L14" s="4">
        <f>0</f>
        <v/>
      </c>
      <c r="M14" s="4">
        <f>0</f>
        <v/>
      </c>
      <c r="N14" s="4">
        <f>0</f>
        <v/>
      </c>
      <c r="O14" s="4">
        <f>0</f>
        <v/>
      </c>
      <c r="P14" s="4">
        <f>0</f>
        <v/>
      </c>
      <c r="Q14" s="4">
        <f>0</f>
        <v/>
      </c>
      <c r="R14" s="4">
        <f>0</f>
        <v/>
      </c>
      <c r="S14" s="4">
        <f>0</f>
        <v/>
      </c>
      <c r="T14" s="4">
        <f>0</f>
        <v/>
      </c>
      <c r="U14" s="4">
        <f>0</f>
        <v/>
      </c>
      <c r="V14" s="4">
        <f>0</f>
        <v/>
      </c>
      <c r="W14" s="4">
        <f>0</f>
        <v/>
      </c>
      <c r="X14" s="4">
        <f>0</f>
        <v/>
      </c>
      <c r="Y14" s="4">
        <f>0</f>
        <v/>
      </c>
      <c r="Z14" s="4">
        <f>0</f>
        <v/>
      </c>
      <c r="AA14" s="4">
        <f>0</f>
        <v/>
      </c>
      <c r="AB14" s="4">
        <f>0</f>
        <v/>
      </c>
      <c r="AC14" s="4">
        <f>0</f>
        <v/>
      </c>
      <c r="AD14" s="4">
        <f>0</f>
        <v/>
      </c>
      <c r="AE14" s="4">
        <f>0</f>
        <v/>
      </c>
      <c r="AF14" s="4">
        <f>0</f>
        <v/>
      </c>
      <c r="AG14" s="4">
        <f>0</f>
        <v/>
      </c>
      <c r="AH14" s="4">
        <f>0</f>
        <v/>
      </c>
      <c r="AI14" s="4">
        <f>0</f>
        <v/>
      </c>
      <c r="AJ14" s="4">
        <f>0</f>
        <v/>
      </c>
      <c r="AK14" s="4">
        <f>0</f>
        <v/>
      </c>
      <c r="AL14" s="4">
        <f>0</f>
        <v/>
      </c>
      <c r="AM14" s="4">
        <f>0</f>
        <v/>
      </c>
      <c r="AN14" s="4">
        <f>0</f>
        <v/>
      </c>
      <c r="AO14" s="4">
        <f>0</f>
        <v/>
      </c>
      <c r="AP14" s="4">
        <f>0</f>
        <v/>
      </c>
      <c r="AQ14" s="4">
        <f>0</f>
        <v/>
      </c>
      <c r="AR14" s="4">
        <f>0</f>
        <v/>
      </c>
      <c r="AS14" s="4">
        <f>0</f>
        <v/>
      </c>
      <c r="AT14" s="4">
        <f>0</f>
        <v/>
      </c>
      <c r="AU14" s="4">
        <f>0</f>
        <v/>
      </c>
      <c r="AV14" s="4">
        <f>0</f>
        <v/>
      </c>
      <c r="AW14" s="4">
        <f>0</f>
        <v/>
      </c>
      <c r="AX14" s="4">
        <f>0</f>
        <v/>
      </c>
      <c r="AY14" s="4">
        <f>0</f>
        <v/>
      </c>
      <c r="AZ14" s="4">
        <f>0</f>
        <v/>
      </c>
      <c r="BA14" s="4">
        <f>0</f>
        <v/>
      </c>
      <c r="BB14" s="4">
        <f>0</f>
        <v/>
      </c>
      <c r="BC14" s="4">
        <f>0</f>
        <v/>
      </c>
      <c r="BD14" s="4">
        <f>0</f>
        <v/>
      </c>
      <c r="BE14" s="4">
        <f>0</f>
        <v/>
      </c>
      <c r="BF14" s="4">
        <f>0</f>
        <v/>
      </c>
      <c r="BG14" s="4">
        <f>0</f>
        <v/>
      </c>
      <c r="BH14" s="4">
        <f>0</f>
        <v/>
      </c>
      <c r="BI14" s="4">
        <f>0</f>
        <v/>
      </c>
      <c r="BJ14" s="4">
        <f>0</f>
        <v/>
      </c>
      <c r="BK14" s="4">
        <f>0</f>
        <v/>
      </c>
      <c r="BL14" s="4">
        <f>0</f>
        <v/>
      </c>
      <c r="BM14" s="4">
        <f>0</f>
        <v/>
      </c>
      <c r="BN14" s="4">
        <f>0</f>
        <v/>
      </c>
      <c r="BO14" s="4">
        <f>0</f>
        <v/>
      </c>
      <c r="BP14" s="4">
        <f>0</f>
        <v/>
      </c>
      <c r="BQ14" s="4">
        <f>0</f>
        <v/>
      </c>
      <c r="BR14" s="4">
        <f>0</f>
        <v/>
      </c>
      <c r="BS14" s="4">
        <f>0</f>
        <v/>
      </c>
      <c r="BT14" s="4">
        <f>0</f>
        <v/>
      </c>
      <c r="BU14" s="4">
        <f>0</f>
        <v/>
      </c>
      <c r="BV14" s="4">
        <f>0</f>
        <v/>
      </c>
      <c r="BW14" s="4">
        <f>0</f>
        <v/>
      </c>
      <c r="BX14" s="4">
        <f>0</f>
        <v/>
      </c>
      <c r="BY14" s="4">
        <f>0</f>
        <v/>
      </c>
    </row>
    <row r="15">
      <c r="B15" s="6" t="inlineStr">
        <is>
          <t>Выручка — всего</t>
        </is>
      </c>
      <c r="C15" s="6" t="inlineStr">
        <is>
          <t>₽</t>
        </is>
      </c>
      <c r="D15" s="120" t="inlineStr"/>
      <c r="E15" s="121">
        <f>SUM(L15:W15)</f>
        <v/>
      </c>
      <c r="F15" s="121">
        <f>SUM(X15:AI15)</f>
        <v/>
      </c>
      <c r="G15" s="121">
        <f>SUM(AJ15:AU15)</f>
        <v/>
      </c>
      <c r="H15" s="121">
        <f>SUM(AV15:BG15)</f>
        <v/>
      </c>
      <c r="I15" s="121">
        <f>SUM(BH15:BS15)</f>
        <v/>
      </c>
      <c r="J15" s="8">
        <f>SUM(L15:BS15)</f>
        <v/>
      </c>
      <c r="L15" s="7">
        <f>SUM(L11:L14)</f>
        <v/>
      </c>
      <c r="M15" s="7">
        <f>SUM(M11:M14)</f>
        <v/>
      </c>
      <c r="N15" s="7">
        <f>SUM(N11:N14)</f>
        <v/>
      </c>
      <c r="O15" s="7">
        <f>SUM(O11:O14)</f>
        <v/>
      </c>
      <c r="P15" s="7">
        <f>SUM(P11:P14)</f>
        <v/>
      </c>
      <c r="Q15" s="7">
        <f>SUM(Q11:Q14)</f>
        <v/>
      </c>
      <c r="R15" s="7">
        <f>SUM(R11:R14)</f>
        <v/>
      </c>
      <c r="S15" s="7">
        <f>SUM(S11:S14)</f>
        <v/>
      </c>
      <c r="T15" s="7">
        <f>SUM(T11:T14)</f>
        <v/>
      </c>
      <c r="U15" s="7">
        <f>SUM(U11:U14)</f>
        <v/>
      </c>
      <c r="V15" s="7">
        <f>SUM(V11:V14)</f>
        <v/>
      </c>
      <c r="W15" s="7">
        <f>SUM(W11:W14)</f>
        <v/>
      </c>
      <c r="X15" s="7">
        <f>SUM(X11:X14)</f>
        <v/>
      </c>
      <c r="Y15" s="7">
        <f>SUM(Y11:Y14)</f>
        <v/>
      </c>
      <c r="Z15" s="7">
        <f>SUM(Z11:Z14)</f>
        <v/>
      </c>
      <c r="AA15" s="7">
        <f>SUM(AA11:AA14)</f>
        <v/>
      </c>
      <c r="AB15" s="7">
        <f>SUM(AB11:AB14)</f>
        <v/>
      </c>
      <c r="AC15" s="7">
        <f>SUM(AC11:AC14)</f>
        <v/>
      </c>
      <c r="AD15" s="7">
        <f>SUM(AD11:AD14)</f>
        <v/>
      </c>
      <c r="AE15" s="7">
        <f>SUM(AE11:AE14)</f>
        <v/>
      </c>
      <c r="AF15" s="7">
        <f>SUM(AF11:AF14)</f>
        <v/>
      </c>
      <c r="AG15" s="7">
        <f>SUM(AG11:AG14)</f>
        <v/>
      </c>
      <c r="AH15" s="7">
        <f>SUM(AH11:AH14)</f>
        <v/>
      </c>
      <c r="AI15" s="7">
        <f>SUM(AI11:AI14)</f>
        <v/>
      </c>
      <c r="AJ15" s="7">
        <f>SUM(AJ11:AJ14)</f>
        <v/>
      </c>
      <c r="AK15" s="7">
        <f>SUM(AK11:AK14)</f>
        <v/>
      </c>
      <c r="AL15" s="7">
        <f>SUM(AL11:AL14)</f>
        <v/>
      </c>
      <c r="AM15" s="7">
        <f>SUM(AM11:AM14)</f>
        <v/>
      </c>
      <c r="AN15" s="7">
        <f>SUM(AN11:AN14)</f>
        <v/>
      </c>
      <c r="AO15" s="7">
        <f>SUM(AO11:AO14)</f>
        <v/>
      </c>
      <c r="AP15" s="7">
        <f>SUM(AP11:AP14)</f>
        <v/>
      </c>
      <c r="AQ15" s="7">
        <f>SUM(AQ11:AQ14)</f>
        <v/>
      </c>
      <c r="AR15" s="7">
        <f>SUM(AR11:AR14)</f>
        <v/>
      </c>
      <c r="AS15" s="7">
        <f>SUM(AS11:AS14)</f>
        <v/>
      </c>
      <c r="AT15" s="7">
        <f>SUM(AT11:AT14)</f>
        <v/>
      </c>
      <c r="AU15" s="7">
        <f>SUM(AU11:AU14)</f>
        <v/>
      </c>
      <c r="AV15" s="7">
        <f>SUM(AV11:AV14)</f>
        <v/>
      </c>
      <c r="AW15" s="7">
        <f>SUM(AW11:AW14)</f>
        <v/>
      </c>
      <c r="AX15" s="7">
        <f>SUM(AX11:AX14)</f>
        <v/>
      </c>
      <c r="AY15" s="7">
        <f>SUM(AY11:AY14)</f>
        <v/>
      </c>
      <c r="AZ15" s="7">
        <f>SUM(AZ11:AZ14)</f>
        <v/>
      </c>
      <c r="BA15" s="7">
        <f>SUM(BA11:BA14)</f>
        <v/>
      </c>
      <c r="BB15" s="7">
        <f>SUM(BB11:BB14)</f>
        <v/>
      </c>
      <c r="BC15" s="7">
        <f>SUM(BC11:BC14)</f>
        <v/>
      </c>
      <c r="BD15" s="7">
        <f>SUM(BD11:BD14)</f>
        <v/>
      </c>
      <c r="BE15" s="7">
        <f>SUM(BE11:BE14)</f>
        <v/>
      </c>
      <c r="BF15" s="7">
        <f>SUM(BF11:BF14)</f>
        <v/>
      </c>
      <c r="BG15" s="7">
        <f>SUM(BG11:BG14)</f>
        <v/>
      </c>
      <c r="BH15" s="7">
        <f>SUM(BH11:BH14)</f>
        <v/>
      </c>
      <c r="BI15" s="7">
        <f>SUM(BI11:BI14)</f>
        <v/>
      </c>
      <c r="BJ15" s="7">
        <f>SUM(BJ11:BJ14)</f>
        <v/>
      </c>
      <c r="BK15" s="7">
        <f>SUM(BK11:BK14)</f>
        <v/>
      </c>
      <c r="BL15" s="7">
        <f>SUM(BL11:BL14)</f>
        <v/>
      </c>
      <c r="BM15" s="7">
        <f>SUM(BM11:BM14)</f>
        <v/>
      </c>
      <c r="BN15" s="7">
        <f>SUM(BN11:BN14)</f>
        <v/>
      </c>
      <c r="BO15" s="7">
        <f>SUM(BO11:BO14)</f>
        <v/>
      </c>
      <c r="BP15" s="7">
        <f>SUM(BP11:BP14)</f>
        <v/>
      </c>
      <c r="BQ15" s="7">
        <f>SUM(BQ11:BQ14)</f>
        <v/>
      </c>
      <c r="BR15" s="7">
        <f>SUM(BR11:BR14)</f>
        <v/>
      </c>
      <c r="BS15" s="7">
        <f>SUM(BS11:BS14)</f>
        <v/>
      </c>
      <c r="BT15" s="7">
        <f>SUM(BT11:BT14)</f>
        <v/>
      </c>
      <c r="BU15" s="7">
        <f>SUM(BU11:BU14)</f>
        <v/>
      </c>
      <c r="BV15" s="7">
        <f>SUM(BV11:BV14)</f>
        <v/>
      </c>
      <c r="BW15" s="7">
        <f>SUM(BW11:BW14)</f>
        <v/>
      </c>
      <c r="BX15" s="7">
        <f>SUM(BX11:BX14)</f>
        <v/>
      </c>
      <c r="BY15" s="7">
        <f>SUM(BY11:BY14)</f>
        <v/>
      </c>
    </row>
    <row r="16">
      <c r="B16" t="inlineStr">
        <is>
          <t>COGS мерча</t>
        </is>
      </c>
      <c r="C16" t="inlineStr">
        <is>
          <t>₽</t>
        </is>
      </c>
      <c r="D16" s="117" t="inlineStr"/>
      <c r="E16" s="119">
        <f>SUM(L16:W16)</f>
        <v/>
      </c>
      <c r="F16" s="119">
        <f>SUM(X16:AI16)</f>
        <v/>
      </c>
      <c r="G16" s="119">
        <f>SUM(AJ16:AU16)</f>
        <v/>
      </c>
      <c r="H16" s="119">
        <f>SUM(AV16:BG16)</f>
        <v/>
      </c>
      <c r="I16" s="119">
        <f>SUM(BH16:BS16)</f>
        <v/>
      </c>
      <c r="J16" s="5">
        <f>SUM(L16:BS16)</f>
        <v/>
      </c>
      <c r="L16" s="4">
        <f>'04_Доходы'!L132</f>
        <v/>
      </c>
      <c r="M16" s="4">
        <f>'04_Доходы'!M132</f>
        <v/>
      </c>
      <c r="N16" s="4">
        <f>'04_Доходы'!N132</f>
        <v/>
      </c>
      <c r="O16" s="4">
        <f>'04_Доходы'!O132</f>
        <v/>
      </c>
      <c r="P16" s="4">
        <f>'04_Доходы'!P132</f>
        <v/>
      </c>
      <c r="Q16" s="4">
        <f>'04_Доходы'!Q132</f>
        <v/>
      </c>
      <c r="R16" s="4">
        <f>'04_Доходы'!R132</f>
        <v/>
      </c>
      <c r="S16" s="4">
        <f>'04_Доходы'!S132</f>
        <v/>
      </c>
      <c r="T16" s="4">
        <f>'04_Доходы'!T132</f>
        <v/>
      </c>
      <c r="U16" s="4">
        <f>'04_Доходы'!U132</f>
        <v/>
      </c>
      <c r="V16" s="4">
        <f>'04_Доходы'!V132</f>
        <v/>
      </c>
      <c r="W16" s="4">
        <f>'04_Доходы'!W132</f>
        <v/>
      </c>
      <c r="X16" s="4">
        <f>'04_Доходы'!X132</f>
        <v/>
      </c>
      <c r="Y16" s="4">
        <f>'04_Доходы'!Y132</f>
        <v/>
      </c>
      <c r="Z16" s="4">
        <f>'04_Доходы'!Z132</f>
        <v/>
      </c>
      <c r="AA16" s="4">
        <f>'04_Доходы'!AA132</f>
        <v/>
      </c>
      <c r="AB16" s="4">
        <f>'04_Доходы'!AB132</f>
        <v/>
      </c>
      <c r="AC16" s="4">
        <f>'04_Доходы'!AC132</f>
        <v/>
      </c>
      <c r="AD16" s="4">
        <f>'04_Доходы'!AD132</f>
        <v/>
      </c>
      <c r="AE16" s="4">
        <f>'04_Доходы'!AE132</f>
        <v/>
      </c>
      <c r="AF16" s="4">
        <f>'04_Доходы'!AF132</f>
        <v/>
      </c>
      <c r="AG16" s="4">
        <f>'04_Доходы'!AG132</f>
        <v/>
      </c>
      <c r="AH16" s="4">
        <f>'04_Доходы'!AH132</f>
        <v/>
      </c>
      <c r="AI16" s="4">
        <f>'04_Доходы'!AI132</f>
        <v/>
      </c>
      <c r="AJ16" s="4">
        <f>'04_Доходы'!AJ132</f>
        <v/>
      </c>
      <c r="AK16" s="4">
        <f>'04_Доходы'!AK132</f>
        <v/>
      </c>
      <c r="AL16" s="4">
        <f>'04_Доходы'!AL132</f>
        <v/>
      </c>
      <c r="AM16" s="4">
        <f>'04_Доходы'!AM132</f>
        <v/>
      </c>
      <c r="AN16" s="4">
        <f>'04_Доходы'!AN132</f>
        <v/>
      </c>
      <c r="AO16" s="4">
        <f>'04_Доходы'!AO132</f>
        <v/>
      </c>
      <c r="AP16" s="4">
        <f>'04_Доходы'!AP132</f>
        <v/>
      </c>
      <c r="AQ16" s="4">
        <f>'04_Доходы'!AQ132</f>
        <v/>
      </c>
      <c r="AR16" s="4">
        <f>'04_Доходы'!AR132</f>
        <v/>
      </c>
      <c r="AS16" s="4">
        <f>'04_Доходы'!AS132</f>
        <v/>
      </c>
      <c r="AT16" s="4">
        <f>'04_Доходы'!AT132</f>
        <v/>
      </c>
      <c r="AU16" s="4">
        <f>'04_Доходы'!AU132</f>
        <v/>
      </c>
      <c r="AV16" s="4">
        <f>'04_Доходы'!AV132</f>
        <v/>
      </c>
      <c r="AW16" s="4">
        <f>'04_Доходы'!AW132</f>
        <v/>
      </c>
      <c r="AX16" s="4">
        <f>'04_Доходы'!AX132</f>
        <v/>
      </c>
      <c r="AY16" s="4">
        <f>'04_Доходы'!AY132</f>
        <v/>
      </c>
      <c r="AZ16" s="4">
        <f>'04_Доходы'!AZ132</f>
        <v/>
      </c>
      <c r="BA16" s="4">
        <f>'04_Доходы'!BA132</f>
        <v/>
      </c>
      <c r="BB16" s="4">
        <f>'04_Доходы'!BB132</f>
        <v/>
      </c>
      <c r="BC16" s="4">
        <f>'04_Доходы'!BC132</f>
        <v/>
      </c>
      <c r="BD16" s="4">
        <f>'04_Доходы'!BD132</f>
        <v/>
      </c>
      <c r="BE16" s="4">
        <f>'04_Доходы'!BE132</f>
        <v/>
      </c>
      <c r="BF16" s="4">
        <f>'04_Доходы'!BF132</f>
        <v/>
      </c>
      <c r="BG16" s="4">
        <f>'04_Доходы'!BG132</f>
        <v/>
      </c>
      <c r="BH16" s="4">
        <f>'04_Доходы'!BH132</f>
        <v/>
      </c>
      <c r="BI16" s="4">
        <f>'04_Доходы'!BI132</f>
        <v/>
      </c>
      <c r="BJ16" s="4">
        <f>'04_Доходы'!BJ132</f>
        <v/>
      </c>
      <c r="BK16" s="4">
        <f>'04_Доходы'!BK132</f>
        <v/>
      </c>
      <c r="BL16" s="4">
        <f>'04_Доходы'!BL132</f>
        <v/>
      </c>
      <c r="BM16" s="4">
        <f>'04_Доходы'!BM132</f>
        <v/>
      </c>
      <c r="BN16" s="4">
        <f>'04_Доходы'!BN132</f>
        <v/>
      </c>
      <c r="BO16" s="4">
        <f>'04_Доходы'!BO132</f>
        <v/>
      </c>
      <c r="BP16" s="4">
        <f>'04_Доходы'!BP132</f>
        <v/>
      </c>
      <c r="BQ16" s="4">
        <f>'04_Доходы'!BQ132</f>
        <v/>
      </c>
      <c r="BR16" s="4">
        <f>'04_Доходы'!BR132</f>
        <v/>
      </c>
      <c r="BS16" s="4">
        <f>'04_Доходы'!BS132</f>
        <v/>
      </c>
      <c r="BT16" s="4">
        <f>'04_Доходы'!BT132</f>
        <v/>
      </c>
      <c r="BU16" s="4">
        <f>'04_Доходы'!BU132</f>
        <v/>
      </c>
      <c r="BV16" s="4">
        <f>'04_Доходы'!BV132</f>
        <v/>
      </c>
      <c r="BW16" s="4">
        <f>'04_Доходы'!BW132</f>
        <v/>
      </c>
      <c r="BX16" s="4">
        <f>'04_Доходы'!BX132</f>
        <v/>
      </c>
      <c r="BY16" s="4">
        <f>'04_Доходы'!BY132</f>
        <v/>
      </c>
    </row>
    <row r="17">
      <c r="B17" t="inlineStr">
        <is>
          <t>Логистика, возвраты, брак</t>
        </is>
      </c>
      <c r="C17" t="inlineStr">
        <is>
          <t>₽</t>
        </is>
      </c>
      <c r="D17" s="117" t="inlineStr"/>
      <c r="E17" s="119">
        <f>SUM(L17:W17)</f>
        <v/>
      </c>
      <c r="F17" s="119">
        <f>SUM(X17:AI17)</f>
        <v/>
      </c>
      <c r="G17" s="119">
        <f>SUM(AJ17:AU17)</f>
        <v/>
      </c>
      <c r="H17" s="119">
        <f>SUM(AV17:BG17)</f>
        <v/>
      </c>
      <c r="I17" s="119">
        <f>SUM(BH17:BS17)</f>
        <v/>
      </c>
      <c r="J17" s="5">
        <f>SUM(L17:BS17)</f>
        <v/>
      </c>
      <c r="L17" s="4">
        <f>'04_Доходы'!L133</f>
        <v/>
      </c>
      <c r="M17" s="4">
        <f>'04_Доходы'!M133</f>
        <v/>
      </c>
      <c r="N17" s="4">
        <f>'04_Доходы'!N133</f>
        <v/>
      </c>
      <c r="O17" s="4">
        <f>'04_Доходы'!O133</f>
        <v/>
      </c>
      <c r="P17" s="4">
        <f>'04_Доходы'!P133</f>
        <v/>
      </c>
      <c r="Q17" s="4">
        <f>'04_Доходы'!Q133</f>
        <v/>
      </c>
      <c r="R17" s="4">
        <f>'04_Доходы'!R133</f>
        <v/>
      </c>
      <c r="S17" s="4">
        <f>'04_Доходы'!S133</f>
        <v/>
      </c>
      <c r="T17" s="4">
        <f>'04_Доходы'!T133</f>
        <v/>
      </c>
      <c r="U17" s="4">
        <f>'04_Доходы'!U133</f>
        <v/>
      </c>
      <c r="V17" s="4">
        <f>'04_Доходы'!V133</f>
        <v/>
      </c>
      <c r="W17" s="4">
        <f>'04_Доходы'!W133</f>
        <v/>
      </c>
      <c r="X17" s="4">
        <f>'04_Доходы'!X133</f>
        <v/>
      </c>
      <c r="Y17" s="4">
        <f>'04_Доходы'!Y133</f>
        <v/>
      </c>
      <c r="Z17" s="4">
        <f>'04_Доходы'!Z133</f>
        <v/>
      </c>
      <c r="AA17" s="4">
        <f>'04_Доходы'!AA133</f>
        <v/>
      </c>
      <c r="AB17" s="4">
        <f>'04_Доходы'!AB133</f>
        <v/>
      </c>
      <c r="AC17" s="4">
        <f>'04_Доходы'!AC133</f>
        <v/>
      </c>
      <c r="AD17" s="4">
        <f>'04_Доходы'!AD133</f>
        <v/>
      </c>
      <c r="AE17" s="4">
        <f>'04_Доходы'!AE133</f>
        <v/>
      </c>
      <c r="AF17" s="4">
        <f>'04_Доходы'!AF133</f>
        <v/>
      </c>
      <c r="AG17" s="4">
        <f>'04_Доходы'!AG133</f>
        <v/>
      </c>
      <c r="AH17" s="4">
        <f>'04_Доходы'!AH133</f>
        <v/>
      </c>
      <c r="AI17" s="4">
        <f>'04_Доходы'!AI133</f>
        <v/>
      </c>
      <c r="AJ17" s="4">
        <f>'04_Доходы'!AJ133</f>
        <v/>
      </c>
      <c r="AK17" s="4">
        <f>'04_Доходы'!AK133</f>
        <v/>
      </c>
      <c r="AL17" s="4">
        <f>'04_Доходы'!AL133</f>
        <v/>
      </c>
      <c r="AM17" s="4">
        <f>'04_Доходы'!AM133</f>
        <v/>
      </c>
      <c r="AN17" s="4">
        <f>'04_Доходы'!AN133</f>
        <v/>
      </c>
      <c r="AO17" s="4">
        <f>'04_Доходы'!AO133</f>
        <v/>
      </c>
      <c r="AP17" s="4">
        <f>'04_Доходы'!AP133</f>
        <v/>
      </c>
      <c r="AQ17" s="4">
        <f>'04_Доходы'!AQ133</f>
        <v/>
      </c>
      <c r="AR17" s="4">
        <f>'04_Доходы'!AR133</f>
        <v/>
      </c>
      <c r="AS17" s="4">
        <f>'04_Доходы'!AS133</f>
        <v/>
      </c>
      <c r="AT17" s="4">
        <f>'04_Доходы'!AT133</f>
        <v/>
      </c>
      <c r="AU17" s="4">
        <f>'04_Доходы'!AU133</f>
        <v/>
      </c>
      <c r="AV17" s="4">
        <f>'04_Доходы'!AV133</f>
        <v/>
      </c>
      <c r="AW17" s="4">
        <f>'04_Доходы'!AW133</f>
        <v/>
      </c>
      <c r="AX17" s="4">
        <f>'04_Доходы'!AX133</f>
        <v/>
      </c>
      <c r="AY17" s="4">
        <f>'04_Доходы'!AY133</f>
        <v/>
      </c>
      <c r="AZ17" s="4">
        <f>'04_Доходы'!AZ133</f>
        <v/>
      </c>
      <c r="BA17" s="4">
        <f>'04_Доходы'!BA133</f>
        <v/>
      </c>
      <c r="BB17" s="4">
        <f>'04_Доходы'!BB133</f>
        <v/>
      </c>
      <c r="BC17" s="4">
        <f>'04_Доходы'!BC133</f>
        <v/>
      </c>
      <c r="BD17" s="4">
        <f>'04_Доходы'!BD133</f>
        <v/>
      </c>
      <c r="BE17" s="4">
        <f>'04_Доходы'!BE133</f>
        <v/>
      </c>
      <c r="BF17" s="4">
        <f>'04_Доходы'!BF133</f>
        <v/>
      </c>
      <c r="BG17" s="4">
        <f>'04_Доходы'!BG133</f>
        <v/>
      </c>
      <c r="BH17" s="4">
        <f>'04_Доходы'!BH133</f>
        <v/>
      </c>
      <c r="BI17" s="4">
        <f>'04_Доходы'!BI133</f>
        <v/>
      </c>
      <c r="BJ17" s="4">
        <f>'04_Доходы'!BJ133</f>
        <v/>
      </c>
      <c r="BK17" s="4">
        <f>'04_Доходы'!BK133</f>
        <v/>
      </c>
      <c r="BL17" s="4">
        <f>'04_Доходы'!BL133</f>
        <v/>
      </c>
      <c r="BM17" s="4">
        <f>'04_Доходы'!BM133</f>
        <v/>
      </c>
      <c r="BN17" s="4">
        <f>'04_Доходы'!BN133</f>
        <v/>
      </c>
      <c r="BO17" s="4">
        <f>'04_Доходы'!BO133</f>
        <v/>
      </c>
      <c r="BP17" s="4">
        <f>'04_Доходы'!BP133</f>
        <v/>
      </c>
      <c r="BQ17" s="4">
        <f>'04_Доходы'!BQ133</f>
        <v/>
      </c>
      <c r="BR17" s="4">
        <f>'04_Доходы'!BR133</f>
        <v/>
      </c>
      <c r="BS17" s="4">
        <f>'04_Доходы'!BS133</f>
        <v/>
      </c>
      <c r="BT17" s="4">
        <f>'04_Доходы'!BT133</f>
        <v/>
      </c>
      <c r="BU17" s="4">
        <f>'04_Доходы'!BU133</f>
        <v/>
      </c>
      <c r="BV17" s="4">
        <f>'04_Доходы'!BV133</f>
        <v/>
      </c>
      <c r="BW17" s="4">
        <f>'04_Доходы'!BW133</f>
        <v/>
      </c>
      <c r="BX17" s="4">
        <f>'04_Доходы'!BX133</f>
        <v/>
      </c>
      <c r="BY17" s="4">
        <f>'04_Доходы'!BY133</f>
        <v/>
      </c>
    </row>
    <row r="18">
      <c r="B18" t="inlineStr">
        <is>
          <t>Клубу: доля прибыли мерча</t>
        </is>
      </c>
      <c r="C18" t="inlineStr">
        <is>
          <t>₽</t>
        </is>
      </c>
      <c r="D18" s="117" t="inlineStr"/>
      <c r="E18" s="119">
        <f>SUM(L18:W18)</f>
        <v/>
      </c>
      <c r="F18" s="119">
        <f>SUM(X18:AI18)</f>
        <v/>
      </c>
      <c r="G18" s="119">
        <f>SUM(AJ18:AU18)</f>
        <v/>
      </c>
      <c r="H18" s="119">
        <f>SUM(AV18:BG18)</f>
        <v/>
      </c>
      <c r="I18" s="119">
        <f>SUM(BH18:BS18)</f>
        <v/>
      </c>
      <c r="J18" s="5">
        <f>SUM(L18:BS18)</f>
        <v/>
      </c>
      <c r="L18" s="4">
        <f>'05_Расходы'!L48</f>
        <v/>
      </c>
      <c r="M18" s="4">
        <f>'05_Расходы'!M48</f>
        <v/>
      </c>
      <c r="N18" s="4">
        <f>'05_Расходы'!N48</f>
        <v/>
      </c>
      <c r="O18" s="4">
        <f>'05_Расходы'!O48</f>
        <v/>
      </c>
      <c r="P18" s="4">
        <f>'05_Расходы'!P48</f>
        <v/>
      </c>
      <c r="Q18" s="4">
        <f>'05_Расходы'!Q48</f>
        <v/>
      </c>
      <c r="R18" s="4">
        <f>'05_Расходы'!R48</f>
        <v/>
      </c>
      <c r="S18" s="4">
        <f>'05_Расходы'!S48</f>
        <v/>
      </c>
      <c r="T18" s="4">
        <f>'05_Расходы'!T48</f>
        <v/>
      </c>
      <c r="U18" s="4">
        <f>'05_Расходы'!U48</f>
        <v/>
      </c>
      <c r="V18" s="4">
        <f>'05_Расходы'!V48</f>
        <v/>
      </c>
      <c r="W18" s="4">
        <f>'05_Расходы'!W48</f>
        <v/>
      </c>
      <c r="X18" s="4">
        <f>'05_Расходы'!X48</f>
        <v/>
      </c>
      <c r="Y18" s="4">
        <f>'05_Расходы'!Y48</f>
        <v/>
      </c>
      <c r="Z18" s="4">
        <f>'05_Расходы'!Z48</f>
        <v/>
      </c>
      <c r="AA18" s="4">
        <f>'05_Расходы'!AA48</f>
        <v/>
      </c>
      <c r="AB18" s="4">
        <f>'05_Расходы'!AB48</f>
        <v/>
      </c>
      <c r="AC18" s="4">
        <f>'05_Расходы'!AC48</f>
        <v/>
      </c>
      <c r="AD18" s="4">
        <f>'05_Расходы'!AD48</f>
        <v/>
      </c>
      <c r="AE18" s="4">
        <f>'05_Расходы'!AE48</f>
        <v/>
      </c>
      <c r="AF18" s="4">
        <f>'05_Расходы'!AF48</f>
        <v/>
      </c>
      <c r="AG18" s="4">
        <f>'05_Расходы'!AG48</f>
        <v/>
      </c>
      <c r="AH18" s="4">
        <f>'05_Расходы'!AH48</f>
        <v/>
      </c>
      <c r="AI18" s="4">
        <f>'05_Расходы'!AI48</f>
        <v/>
      </c>
      <c r="AJ18" s="4">
        <f>'05_Расходы'!AJ48</f>
        <v/>
      </c>
      <c r="AK18" s="4">
        <f>'05_Расходы'!AK48</f>
        <v/>
      </c>
      <c r="AL18" s="4">
        <f>'05_Расходы'!AL48</f>
        <v/>
      </c>
      <c r="AM18" s="4">
        <f>'05_Расходы'!AM48</f>
        <v/>
      </c>
      <c r="AN18" s="4">
        <f>'05_Расходы'!AN48</f>
        <v/>
      </c>
      <c r="AO18" s="4">
        <f>'05_Расходы'!AO48</f>
        <v/>
      </c>
      <c r="AP18" s="4">
        <f>'05_Расходы'!AP48</f>
        <v/>
      </c>
      <c r="AQ18" s="4">
        <f>'05_Расходы'!AQ48</f>
        <v/>
      </c>
      <c r="AR18" s="4">
        <f>'05_Расходы'!AR48</f>
        <v/>
      </c>
      <c r="AS18" s="4">
        <f>'05_Расходы'!AS48</f>
        <v/>
      </c>
      <c r="AT18" s="4">
        <f>'05_Расходы'!AT48</f>
        <v/>
      </c>
      <c r="AU18" s="4">
        <f>'05_Расходы'!AU48</f>
        <v/>
      </c>
      <c r="AV18" s="4">
        <f>'05_Расходы'!AV48</f>
        <v/>
      </c>
      <c r="AW18" s="4">
        <f>'05_Расходы'!AW48</f>
        <v/>
      </c>
      <c r="AX18" s="4">
        <f>'05_Расходы'!AX48</f>
        <v/>
      </c>
      <c r="AY18" s="4">
        <f>'05_Расходы'!AY48</f>
        <v/>
      </c>
      <c r="AZ18" s="4">
        <f>'05_Расходы'!AZ48</f>
        <v/>
      </c>
      <c r="BA18" s="4">
        <f>'05_Расходы'!BA48</f>
        <v/>
      </c>
      <c r="BB18" s="4">
        <f>'05_Расходы'!BB48</f>
        <v/>
      </c>
      <c r="BC18" s="4">
        <f>'05_Расходы'!BC48</f>
        <v/>
      </c>
      <c r="BD18" s="4">
        <f>'05_Расходы'!BD48</f>
        <v/>
      </c>
      <c r="BE18" s="4">
        <f>'05_Расходы'!BE48</f>
        <v/>
      </c>
      <c r="BF18" s="4">
        <f>'05_Расходы'!BF48</f>
        <v/>
      </c>
      <c r="BG18" s="4">
        <f>'05_Расходы'!BG48</f>
        <v/>
      </c>
      <c r="BH18" s="4">
        <f>'05_Расходы'!BH48</f>
        <v/>
      </c>
      <c r="BI18" s="4">
        <f>'05_Расходы'!BI48</f>
        <v/>
      </c>
      <c r="BJ18" s="4">
        <f>'05_Расходы'!BJ48</f>
        <v/>
      </c>
      <c r="BK18" s="4">
        <f>'05_Расходы'!BK48</f>
        <v/>
      </c>
      <c r="BL18" s="4">
        <f>'05_Расходы'!BL48</f>
        <v/>
      </c>
      <c r="BM18" s="4">
        <f>'05_Расходы'!BM48</f>
        <v/>
      </c>
      <c r="BN18" s="4">
        <f>'05_Расходы'!BN48</f>
        <v/>
      </c>
      <c r="BO18" s="4">
        <f>'05_Расходы'!BO48</f>
        <v/>
      </c>
      <c r="BP18" s="4">
        <f>'05_Расходы'!BP48</f>
        <v/>
      </c>
      <c r="BQ18" s="4">
        <f>'05_Расходы'!BQ48</f>
        <v/>
      </c>
      <c r="BR18" s="4">
        <f>'05_Расходы'!BR48</f>
        <v/>
      </c>
      <c r="BS18" s="4">
        <f>'05_Расходы'!BS48</f>
        <v/>
      </c>
      <c r="BT18" s="4">
        <f>'05_Расходы'!BT48</f>
        <v/>
      </c>
      <c r="BU18" s="4">
        <f>'05_Расходы'!BU48</f>
        <v/>
      </c>
      <c r="BV18" s="4">
        <f>'05_Расходы'!BV48</f>
        <v/>
      </c>
      <c r="BW18" s="4">
        <f>'05_Расходы'!BW48</f>
        <v/>
      </c>
      <c r="BX18" s="4">
        <f>'05_Расходы'!BX48</f>
        <v/>
      </c>
      <c r="BY18" s="4">
        <f>'05_Расходы'!BY48</f>
        <v/>
      </c>
    </row>
    <row r="19">
      <c r="B19" t="inlineStr">
        <is>
          <t>Клубу: доля паушальных</t>
        </is>
      </c>
      <c r="C19" t="inlineStr">
        <is>
          <t>₽</t>
        </is>
      </c>
      <c r="D19" s="117" t="inlineStr"/>
      <c r="E19" s="119">
        <f>SUM(L19:W19)</f>
        <v/>
      </c>
      <c r="F19" s="119">
        <f>SUM(X19:AI19)</f>
        <v/>
      </c>
      <c r="G19" s="119">
        <f>SUM(AJ19:AU19)</f>
        <v/>
      </c>
      <c r="H19" s="119">
        <f>SUM(AV19:BG19)</f>
        <v/>
      </c>
      <c r="I19" s="119">
        <f>SUM(BH19:BS19)</f>
        <v/>
      </c>
      <c r="J19" s="5">
        <f>SUM(L19:BS19)</f>
        <v/>
      </c>
      <c r="L19" s="4">
        <f>'05_Расходы'!L46</f>
        <v/>
      </c>
      <c r="M19" s="4">
        <f>'05_Расходы'!M46</f>
        <v/>
      </c>
      <c r="N19" s="4">
        <f>'05_Расходы'!N46</f>
        <v/>
      </c>
      <c r="O19" s="4">
        <f>'05_Расходы'!O46</f>
        <v/>
      </c>
      <c r="P19" s="4">
        <f>'05_Расходы'!P46</f>
        <v/>
      </c>
      <c r="Q19" s="4">
        <f>'05_Расходы'!Q46</f>
        <v/>
      </c>
      <c r="R19" s="4">
        <f>'05_Расходы'!R46</f>
        <v/>
      </c>
      <c r="S19" s="4">
        <f>'05_Расходы'!S46</f>
        <v/>
      </c>
      <c r="T19" s="4">
        <f>'05_Расходы'!T46</f>
        <v/>
      </c>
      <c r="U19" s="4">
        <f>'05_Расходы'!U46</f>
        <v/>
      </c>
      <c r="V19" s="4">
        <f>'05_Расходы'!V46</f>
        <v/>
      </c>
      <c r="W19" s="4">
        <f>'05_Расходы'!W46</f>
        <v/>
      </c>
      <c r="X19" s="4">
        <f>'05_Расходы'!X46</f>
        <v/>
      </c>
      <c r="Y19" s="4">
        <f>'05_Расходы'!Y46</f>
        <v/>
      </c>
      <c r="Z19" s="4">
        <f>'05_Расходы'!Z46</f>
        <v/>
      </c>
      <c r="AA19" s="4">
        <f>'05_Расходы'!AA46</f>
        <v/>
      </c>
      <c r="AB19" s="4">
        <f>'05_Расходы'!AB46</f>
        <v/>
      </c>
      <c r="AC19" s="4">
        <f>'05_Расходы'!AC46</f>
        <v/>
      </c>
      <c r="AD19" s="4">
        <f>'05_Расходы'!AD46</f>
        <v/>
      </c>
      <c r="AE19" s="4">
        <f>'05_Расходы'!AE46</f>
        <v/>
      </c>
      <c r="AF19" s="4">
        <f>'05_Расходы'!AF46</f>
        <v/>
      </c>
      <c r="AG19" s="4">
        <f>'05_Расходы'!AG46</f>
        <v/>
      </c>
      <c r="AH19" s="4">
        <f>'05_Расходы'!AH46</f>
        <v/>
      </c>
      <c r="AI19" s="4">
        <f>'05_Расходы'!AI46</f>
        <v/>
      </c>
      <c r="AJ19" s="4">
        <f>'05_Расходы'!AJ46</f>
        <v/>
      </c>
      <c r="AK19" s="4">
        <f>'05_Расходы'!AK46</f>
        <v/>
      </c>
      <c r="AL19" s="4">
        <f>'05_Расходы'!AL46</f>
        <v/>
      </c>
      <c r="AM19" s="4">
        <f>'05_Расходы'!AM46</f>
        <v/>
      </c>
      <c r="AN19" s="4">
        <f>'05_Расходы'!AN46</f>
        <v/>
      </c>
      <c r="AO19" s="4">
        <f>'05_Расходы'!AO46</f>
        <v/>
      </c>
      <c r="AP19" s="4">
        <f>'05_Расходы'!AP46</f>
        <v/>
      </c>
      <c r="AQ19" s="4">
        <f>'05_Расходы'!AQ46</f>
        <v/>
      </c>
      <c r="AR19" s="4">
        <f>'05_Расходы'!AR46</f>
        <v/>
      </c>
      <c r="AS19" s="4">
        <f>'05_Расходы'!AS46</f>
        <v/>
      </c>
      <c r="AT19" s="4">
        <f>'05_Расходы'!AT46</f>
        <v/>
      </c>
      <c r="AU19" s="4">
        <f>'05_Расходы'!AU46</f>
        <v/>
      </c>
      <c r="AV19" s="4">
        <f>'05_Расходы'!AV46</f>
        <v/>
      </c>
      <c r="AW19" s="4">
        <f>'05_Расходы'!AW46</f>
        <v/>
      </c>
      <c r="AX19" s="4">
        <f>'05_Расходы'!AX46</f>
        <v/>
      </c>
      <c r="AY19" s="4">
        <f>'05_Расходы'!AY46</f>
        <v/>
      </c>
      <c r="AZ19" s="4">
        <f>'05_Расходы'!AZ46</f>
        <v/>
      </c>
      <c r="BA19" s="4">
        <f>'05_Расходы'!BA46</f>
        <v/>
      </c>
      <c r="BB19" s="4">
        <f>'05_Расходы'!BB46</f>
        <v/>
      </c>
      <c r="BC19" s="4">
        <f>'05_Расходы'!BC46</f>
        <v/>
      </c>
      <c r="BD19" s="4">
        <f>'05_Расходы'!BD46</f>
        <v/>
      </c>
      <c r="BE19" s="4">
        <f>'05_Расходы'!BE46</f>
        <v/>
      </c>
      <c r="BF19" s="4">
        <f>'05_Расходы'!BF46</f>
        <v/>
      </c>
      <c r="BG19" s="4">
        <f>'05_Расходы'!BG46</f>
        <v/>
      </c>
      <c r="BH19" s="4">
        <f>'05_Расходы'!BH46</f>
        <v/>
      </c>
      <c r="BI19" s="4">
        <f>'05_Расходы'!BI46</f>
        <v/>
      </c>
      <c r="BJ19" s="4">
        <f>'05_Расходы'!BJ46</f>
        <v/>
      </c>
      <c r="BK19" s="4">
        <f>'05_Расходы'!BK46</f>
        <v/>
      </c>
      <c r="BL19" s="4">
        <f>'05_Расходы'!BL46</f>
        <v/>
      </c>
      <c r="BM19" s="4">
        <f>'05_Расходы'!BM46</f>
        <v/>
      </c>
      <c r="BN19" s="4">
        <f>'05_Расходы'!BN46</f>
        <v/>
      </c>
      <c r="BO19" s="4">
        <f>'05_Расходы'!BO46</f>
        <v/>
      </c>
      <c r="BP19" s="4">
        <f>'05_Расходы'!BP46</f>
        <v/>
      </c>
      <c r="BQ19" s="4">
        <f>'05_Расходы'!BQ46</f>
        <v/>
      </c>
      <c r="BR19" s="4">
        <f>'05_Расходы'!BR46</f>
        <v/>
      </c>
      <c r="BS19" s="4">
        <f>'05_Расходы'!BS46</f>
        <v/>
      </c>
      <c r="BT19" s="4">
        <f>'05_Расходы'!BT46</f>
        <v/>
      </c>
      <c r="BU19" s="4">
        <f>'05_Расходы'!BU46</f>
        <v/>
      </c>
      <c r="BV19" s="4">
        <f>'05_Расходы'!BV46</f>
        <v/>
      </c>
      <c r="BW19" s="4">
        <f>'05_Расходы'!BW46</f>
        <v/>
      </c>
      <c r="BX19" s="4">
        <f>'05_Расходы'!BX46</f>
        <v/>
      </c>
      <c r="BY19" s="4">
        <f>'05_Расходы'!BY46</f>
        <v/>
      </c>
    </row>
    <row r="20">
      <c r="B20" t="inlineStr">
        <is>
          <t>Клубу: доля роялти</t>
        </is>
      </c>
      <c r="C20" t="inlineStr">
        <is>
          <t>₽</t>
        </is>
      </c>
      <c r="D20" s="117" t="inlineStr"/>
      <c r="E20" s="119">
        <f>SUM(L20:W20)</f>
        <v/>
      </c>
      <c r="F20" s="119">
        <f>SUM(X20:AI20)</f>
        <v/>
      </c>
      <c r="G20" s="119">
        <f>SUM(AJ20:AU20)</f>
        <v/>
      </c>
      <c r="H20" s="119">
        <f>SUM(AV20:BG20)</f>
        <v/>
      </c>
      <c r="I20" s="119">
        <f>SUM(BH20:BS20)</f>
        <v/>
      </c>
      <c r="J20" s="5">
        <f>SUM(L20:BS20)</f>
        <v/>
      </c>
      <c r="L20" s="4">
        <f>'05_Расходы'!L47</f>
        <v/>
      </c>
      <c r="M20" s="4">
        <f>'05_Расходы'!M47</f>
        <v/>
      </c>
      <c r="N20" s="4">
        <f>'05_Расходы'!N47</f>
        <v/>
      </c>
      <c r="O20" s="4">
        <f>'05_Расходы'!O47</f>
        <v/>
      </c>
      <c r="P20" s="4">
        <f>'05_Расходы'!P47</f>
        <v/>
      </c>
      <c r="Q20" s="4">
        <f>'05_Расходы'!Q47</f>
        <v/>
      </c>
      <c r="R20" s="4">
        <f>'05_Расходы'!R47</f>
        <v/>
      </c>
      <c r="S20" s="4">
        <f>'05_Расходы'!S47</f>
        <v/>
      </c>
      <c r="T20" s="4">
        <f>'05_Расходы'!T47</f>
        <v/>
      </c>
      <c r="U20" s="4">
        <f>'05_Расходы'!U47</f>
        <v/>
      </c>
      <c r="V20" s="4">
        <f>'05_Расходы'!V47</f>
        <v/>
      </c>
      <c r="W20" s="4">
        <f>'05_Расходы'!W47</f>
        <v/>
      </c>
      <c r="X20" s="4">
        <f>'05_Расходы'!X47</f>
        <v/>
      </c>
      <c r="Y20" s="4">
        <f>'05_Расходы'!Y47</f>
        <v/>
      </c>
      <c r="Z20" s="4">
        <f>'05_Расходы'!Z47</f>
        <v/>
      </c>
      <c r="AA20" s="4">
        <f>'05_Расходы'!AA47</f>
        <v/>
      </c>
      <c r="AB20" s="4">
        <f>'05_Расходы'!AB47</f>
        <v/>
      </c>
      <c r="AC20" s="4">
        <f>'05_Расходы'!AC47</f>
        <v/>
      </c>
      <c r="AD20" s="4">
        <f>'05_Расходы'!AD47</f>
        <v/>
      </c>
      <c r="AE20" s="4">
        <f>'05_Расходы'!AE47</f>
        <v/>
      </c>
      <c r="AF20" s="4">
        <f>'05_Расходы'!AF47</f>
        <v/>
      </c>
      <c r="AG20" s="4">
        <f>'05_Расходы'!AG47</f>
        <v/>
      </c>
      <c r="AH20" s="4">
        <f>'05_Расходы'!AH47</f>
        <v/>
      </c>
      <c r="AI20" s="4">
        <f>'05_Расходы'!AI47</f>
        <v/>
      </c>
      <c r="AJ20" s="4">
        <f>'05_Расходы'!AJ47</f>
        <v/>
      </c>
      <c r="AK20" s="4">
        <f>'05_Расходы'!AK47</f>
        <v/>
      </c>
      <c r="AL20" s="4">
        <f>'05_Расходы'!AL47</f>
        <v/>
      </c>
      <c r="AM20" s="4">
        <f>'05_Расходы'!AM47</f>
        <v/>
      </c>
      <c r="AN20" s="4">
        <f>'05_Расходы'!AN47</f>
        <v/>
      </c>
      <c r="AO20" s="4">
        <f>'05_Расходы'!AO47</f>
        <v/>
      </c>
      <c r="AP20" s="4">
        <f>'05_Расходы'!AP47</f>
        <v/>
      </c>
      <c r="AQ20" s="4">
        <f>'05_Расходы'!AQ47</f>
        <v/>
      </c>
      <c r="AR20" s="4">
        <f>'05_Расходы'!AR47</f>
        <v/>
      </c>
      <c r="AS20" s="4">
        <f>'05_Расходы'!AS47</f>
        <v/>
      </c>
      <c r="AT20" s="4">
        <f>'05_Расходы'!AT47</f>
        <v/>
      </c>
      <c r="AU20" s="4">
        <f>'05_Расходы'!AU47</f>
        <v/>
      </c>
      <c r="AV20" s="4">
        <f>'05_Расходы'!AV47</f>
        <v/>
      </c>
      <c r="AW20" s="4">
        <f>'05_Расходы'!AW47</f>
        <v/>
      </c>
      <c r="AX20" s="4">
        <f>'05_Расходы'!AX47</f>
        <v/>
      </c>
      <c r="AY20" s="4">
        <f>'05_Расходы'!AY47</f>
        <v/>
      </c>
      <c r="AZ20" s="4">
        <f>'05_Расходы'!AZ47</f>
        <v/>
      </c>
      <c r="BA20" s="4">
        <f>'05_Расходы'!BA47</f>
        <v/>
      </c>
      <c r="BB20" s="4">
        <f>'05_Расходы'!BB47</f>
        <v/>
      </c>
      <c r="BC20" s="4">
        <f>'05_Расходы'!BC47</f>
        <v/>
      </c>
      <c r="BD20" s="4">
        <f>'05_Расходы'!BD47</f>
        <v/>
      </c>
      <c r="BE20" s="4">
        <f>'05_Расходы'!BE47</f>
        <v/>
      </c>
      <c r="BF20" s="4">
        <f>'05_Расходы'!BF47</f>
        <v/>
      </c>
      <c r="BG20" s="4">
        <f>'05_Расходы'!BG47</f>
        <v/>
      </c>
      <c r="BH20" s="4">
        <f>'05_Расходы'!BH47</f>
        <v/>
      </c>
      <c r="BI20" s="4">
        <f>'05_Расходы'!BI47</f>
        <v/>
      </c>
      <c r="BJ20" s="4">
        <f>'05_Расходы'!BJ47</f>
        <v/>
      </c>
      <c r="BK20" s="4">
        <f>'05_Расходы'!BK47</f>
        <v/>
      </c>
      <c r="BL20" s="4">
        <f>'05_Расходы'!BL47</f>
        <v/>
      </c>
      <c r="BM20" s="4">
        <f>'05_Расходы'!BM47</f>
        <v/>
      </c>
      <c r="BN20" s="4">
        <f>'05_Расходы'!BN47</f>
        <v/>
      </c>
      <c r="BO20" s="4">
        <f>'05_Расходы'!BO47</f>
        <v/>
      </c>
      <c r="BP20" s="4">
        <f>'05_Расходы'!BP47</f>
        <v/>
      </c>
      <c r="BQ20" s="4">
        <f>'05_Расходы'!BQ47</f>
        <v/>
      </c>
      <c r="BR20" s="4">
        <f>'05_Расходы'!BR47</f>
        <v/>
      </c>
      <c r="BS20" s="4">
        <f>'05_Расходы'!BS47</f>
        <v/>
      </c>
      <c r="BT20" s="4">
        <f>'05_Расходы'!BT47</f>
        <v/>
      </c>
      <c r="BU20" s="4">
        <f>'05_Расходы'!BU47</f>
        <v/>
      </c>
      <c r="BV20" s="4">
        <f>'05_Расходы'!BV47</f>
        <v/>
      </c>
      <c r="BW20" s="4">
        <f>'05_Расходы'!BW47</f>
        <v/>
      </c>
      <c r="BX20" s="4">
        <f>'05_Расходы'!BX47</f>
        <v/>
      </c>
      <c r="BY20" s="4">
        <f>'05_Расходы'!BY47</f>
        <v/>
      </c>
    </row>
    <row r="21">
      <c r="B21" s="6" t="inlineStr">
        <is>
          <t>Прямые расходы — всего</t>
        </is>
      </c>
      <c r="C21" s="6" t="inlineStr">
        <is>
          <t>₽</t>
        </is>
      </c>
      <c r="D21" s="120" t="inlineStr"/>
      <c r="E21" s="121">
        <f>SUM(L21:W21)</f>
        <v/>
      </c>
      <c r="F21" s="121">
        <f>SUM(X21:AI21)</f>
        <v/>
      </c>
      <c r="G21" s="121">
        <f>SUM(AJ21:AU21)</f>
        <v/>
      </c>
      <c r="H21" s="121">
        <f>SUM(AV21:BG21)</f>
        <v/>
      </c>
      <c r="I21" s="121">
        <f>SUM(BH21:BS21)</f>
        <v/>
      </c>
      <c r="J21" s="8">
        <f>SUM(L21:BS21)</f>
        <v/>
      </c>
      <c r="L21" s="7">
        <f>SUM(L16:L20)</f>
        <v/>
      </c>
      <c r="M21" s="7">
        <f>SUM(M16:M20)</f>
        <v/>
      </c>
      <c r="N21" s="7">
        <f>SUM(N16:N20)</f>
        <v/>
      </c>
      <c r="O21" s="7">
        <f>SUM(O16:O20)</f>
        <v/>
      </c>
      <c r="P21" s="7">
        <f>SUM(P16:P20)</f>
        <v/>
      </c>
      <c r="Q21" s="7">
        <f>SUM(Q16:Q20)</f>
        <v/>
      </c>
      <c r="R21" s="7">
        <f>SUM(R16:R20)</f>
        <v/>
      </c>
      <c r="S21" s="7">
        <f>SUM(S16:S20)</f>
        <v/>
      </c>
      <c r="T21" s="7">
        <f>SUM(T16:T20)</f>
        <v/>
      </c>
      <c r="U21" s="7">
        <f>SUM(U16:U20)</f>
        <v/>
      </c>
      <c r="V21" s="7">
        <f>SUM(V16:V20)</f>
        <v/>
      </c>
      <c r="W21" s="7">
        <f>SUM(W16:W20)</f>
        <v/>
      </c>
      <c r="X21" s="7">
        <f>SUM(X16:X20)</f>
        <v/>
      </c>
      <c r="Y21" s="7">
        <f>SUM(Y16:Y20)</f>
        <v/>
      </c>
      <c r="Z21" s="7">
        <f>SUM(Z16:Z20)</f>
        <v/>
      </c>
      <c r="AA21" s="7">
        <f>SUM(AA16:AA20)</f>
        <v/>
      </c>
      <c r="AB21" s="7">
        <f>SUM(AB16:AB20)</f>
        <v/>
      </c>
      <c r="AC21" s="7">
        <f>SUM(AC16:AC20)</f>
        <v/>
      </c>
      <c r="AD21" s="7">
        <f>SUM(AD16:AD20)</f>
        <v/>
      </c>
      <c r="AE21" s="7">
        <f>SUM(AE16:AE20)</f>
        <v/>
      </c>
      <c r="AF21" s="7">
        <f>SUM(AF16:AF20)</f>
        <v/>
      </c>
      <c r="AG21" s="7">
        <f>SUM(AG16:AG20)</f>
        <v/>
      </c>
      <c r="AH21" s="7">
        <f>SUM(AH16:AH20)</f>
        <v/>
      </c>
      <c r="AI21" s="7">
        <f>SUM(AI16:AI20)</f>
        <v/>
      </c>
      <c r="AJ21" s="7">
        <f>SUM(AJ16:AJ20)</f>
        <v/>
      </c>
      <c r="AK21" s="7">
        <f>SUM(AK16:AK20)</f>
        <v/>
      </c>
      <c r="AL21" s="7">
        <f>SUM(AL16:AL20)</f>
        <v/>
      </c>
      <c r="AM21" s="7">
        <f>SUM(AM16:AM20)</f>
        <v/>
      </c>
      <c r="AN21" s="7">
        <f>SUM(AN16:AN20)</f>
        <v/>
      </c>
      <c r="AO21" s="7">
        <f>SUM(AO16:AO20)</f>
        <v/>
      </c>
      <c r="AP21" s="7">
        <f>SUM(AP16:AP20)</f>
        <v/>
      </c>
      <c r="AQ21" s="7">
        <f>SUM(AQ16:AQ20)</f>
        <v/>
      </c>
      <c r="AR21" s="7">
        <f>SUM(AR16:AR20)</f>
        <v/>
      </c>
      <c r="AS21" s="7">
        <f>SUM(AS16:AS20)</f>
        <v/>
      </c>
      <c r="AT21" s="7">
        <f>SUM(AT16:AT20)</f>
        <v/>
      </c>
      <c r="AU21" s="7">
        <f>SUM(AU16:AU20)</f>
        <v/>
      </c>
      <c r="AV21" s="7">
        <f>SUM(AV16:AV20)</f>
        <v/>
      </c>
      <c r="AW21" s="7">
        <f>SUM(AW16:AW20)</f>
        <v/>
      </c>
      <c r="AX21" s="7">
        <f>SUM(AX16:AX20)</f>
        <v/>
      </c>
      <c r="AY21" s="7">
        <f>SUM(AY16:AY20)</f>
        <v/>
      </c>
      <c r="AZ21" s="7">
        <f>SUM(AZ16:AZ20)</f>
        <v/>
      </c>
      <c r="BA21" s="7">
        <f>SUM(BA16:BA20)</f>
        <v/>
      </c>
      <c r="BB21" s="7">
        <f>SUM(BB16:BB20)</f>
        <v/>
      </c>
      <c r="BC21" s="7">
        <f>SUM(BC16:BC20)</f>
        <v/>
      </c>
      <c r="BD21" s="7">
        <f>SUM(BD16:BD20)</f>
        <v/>
      </c>
      <c r="BE21" s="7">
        <f>SUM(BE16:BE20)</f>
        <v/>
      </c>
      <c r="BF21" s="7">
        <f>SUM(BF16:BF20)</f>
        <v/>
      </c>
      <c r="BG21" s="7">
        <f>SUM(BG16:BG20)</f>
        <v/>
      </c>
      <c r="BH21" s="7">
        <f>SUM(BH16:BH20)</f>
        <v/>
      </c>
      <c r="BI21" s="7">
        <f>SUM(BI16:BI20)</f>
        <v/>
      </c>
      <c r="BJ21" s="7">
        <f>SUM(BJ16:BJ20)</f>
        <v/>
      </c>
      <c r="BK21" s="7">
        <f>SUM(BK16:BK20)</f>
        <v/>
      </c>
      <c r="BL21" s="7">
        <f>SUM(BL16:BL20)</f>
        <v/>
      </c>
      <c r="BM21" s="7">
        <f>SUM(BM16:BM20)</f>
        <v/>
      </c>
      <c r="BN21" s="7">
        <f>SUM(BN16:BN20)</f>
        <v/>
      </c>
      <c r="BO21" s="7">
        <f>SUM(BO16:BO20)</f>
        <v/>
      </c>
      <c r="BP21" s="7">
        <f>SUM(BP16:BP20)</f>
        <v/>
      </c>
      <c r="BQ21" s="7">
        <f>SUM(BQ16:BQ20)</f>
        <v/>
      </c>
      <c r="BR21" s="7">
        <f>SUM(BR16:BR20)</f>
        <v/>
      </c>
      <c r="BS21" s="7">
        <f>SUM(BS16:BS20)</f>
        <v/>
      </c>
      <c r="BT21" s="7">
        <f>SUM(BT16:BT20)</f>
        <v/>
      </c>
      <c r="BU21" s="7">
        <f>SUM(BU16:BU20)</f>
        <v/>
      </c>
      <c r="BV21" s="7">
        <f>SUM(BV16:BV20)</f>
        <v/>
      </c>
      <c r="BW21" s="7">
        <f>SUM(BW16:BW20)</f>
        <v/>
      </c>
      <c r="BX21" s="7">
        <f>SUM(BX16:BX20)</f>
        <v/>
      </c>
      <c r="BY21" s="7">
        <f>SUM(BY16:BY20)</f>
        <v/>
      </c>
    </row>
    <row r="22">
      <c r="B22" s="6" t="inlineStr">
        <is>
          <t>Валовая прибыль</t>
        </is>
      </c>
      <c r="C22" s="6" t="inlineStr">
        <is>
          <t>₽</t>
        </is>
      </c>
      <c r="D22" s="120" t="inlineStr"/>
      <c r="E22" s="121">
        <f>SUM(L22:W22)</f>
        <v/>
      </c>
      <c r="F22" s="121">
        <f>SUM(X22:AI22)</f>
        <v/>
      </c>
      <c r="G22" s="121">
        <f>SUM(AJ22:AU22)</f>
        <v/>
      </c>
      <c r="H22" s="121">
        <f>SUM(AV22:BG22)</f>
        <v/>
      </c>
      <c r="I22" s="121">
        <f>SUM(BH22:BS22)</f>
        <v/>
      </c>
      <c r="J22" s="8">
        <f>SUM(L22:BS22)</f>
        <v/>
      </c>
      <c r="L22" s="7">
        <f>L15-L21</f>
        <v/>
      </c>
      <c r="M22" s="7">
        <f>M15-M21</f>
        <v/>
      </c>
      <c r="N22" s="7">
        <f>N15-N21</f>
        <v/>
      </c>
      <c r="O22" s="7">
        <f>O15-O21</f>
        <v/>
      </c>
      <c r="P22" s="7">
        <f>P15-P21</f>
        <v/>
      </c>
      <c r="Q22" s="7">
        <f>Q15-Q21</f>
        <v/>
      </c>
      <c r="R22" s="7">
        <f>R15-R21</f>
        <v/>
      </c>
      <c r="S22" s="7">
        <f>S15-S21</f>
        <v/>
      </c>
      <c r="T22" s="7">
        <f>T15-T21</f>
        <v/>
      </c>
      <c r="U22" s="7">
        <f>U15-U21</f>
        <v/>
      </c>
      <c r="V22" s="7">
        <f>V15-V21</f>
        <v/>
      </c>
      <c r="W22" s="7">
        <f>W15-W21</f>
        <v/>
      </c>
      <c r="X22" s="7">
        <f>X15-X21</f>
        <v/>
      </c>
      <c r="Y22" s="7">
        <f>Y15-Y21</f>
        <v/>
      </c>
      <c r="Z22" s="7">
        <f>Z15-Z21</f>
        <v/>
      </c>
      <c r="AA22" s="7">
        <f>AA15-AA21</f>
        <v/>
      </c>
      <c r="AB22" s="7">
        <f>AB15-AB21</f>
        <v/>
      </c>
      <c r="AC22" s="7">
        <f>AC15-AC21</f>
        <v/>
      </c>
      <c r="AD22" s="7">
        <f>AD15-AD21</f>
        <v/>
      </c>
      <c r="AE22" s="7">
        <f>AE15-AE21</f>
        <v/>
      </c>
      <c r="AF22" s="7">
        <f>AF15-AF21</f>
        <v/>
      </c>
      <c r="AG22" s="7">
        <f>AG15-AG21</f>
        <v/>
      </c>
      <c r="AH22" s="7">
        <f>AH15-AH21</f>
        <v/>
      </c>
      <c r="AI22" s="7">
        <f>AI15-AI21</f>
        <v/>
      </c>
      <c r="AJ22" s="7">
        <f>AJ15-AJ21</f>
        <v/>
      </c>
      <c r="AK22" s="7">
        <f>AK15-AK21</f>
        <v/>
      </c>
      <c r="AL22" s="7">
        <f>AL15-AL21</f>
        <v/>
      </c>
      <c r="AM22" s="7">
        <f>AM15-AM21</f>
        <v/>
      </c>
      <c r="AN22" s="7">
        <f>AN15-AN21</f>
        <v/>
      </c>
      <c r="AO22" s="7">
        <f>AO15-AO21</f>
        <v/>
      </c>
      <c r="AP22" s="7">
        <f>AP15-AP21</f>
        <v/>
      </c>
      <c r="AQ22" s="7">
        <f>AQ15-AQ21</f>
        <v/>
      </c>
      <c r="AR22" s="7">
        <f>AR15-AR21</f>
        <v/>
      </c>
      <c r="AS22" s="7">
        <f>AS15-AS21</f>
        <v/>
      </c>
      <c r="AT22" s="7">
        <f>AT15-AT21</f>
        <v/>
      </c>
      <c r="AU22" s="7">
        <f>AU15-AU21</f>
        <v/>
      </c>
      <c r="AV22" s="7">
        <f>AV15-AV21</f>
        <v/>
      </c>
      <c r="AW22" s="7">
        <f>AW15-AW21</f>
        <v/>
      </c>
      <c r="AX22" s="7">
        <f>AX15-AX21</f>
        <v/>
      </c>
      <c r="AY22" s="7">
        <f>AY15-AY21</f>
        <v/>
      </c>
      <c r="AZ22" s="7">
        <f>AZ15-AZ21</f>
        <v/>
      </c>
      <c r="BA22" s="7">
        <f>BA15-BA21</f>
        <v/>
      </c>
      <c r="BB22" s="7">
        <f>BB15-BB21</f>
        <v/>
      </c>
      <c r="BC22" s="7">
        <f>BC15-BC21</f>
        <v/>
      </c>
      <c r="BD22" s="7">
        <f>BD15-BD21</f>
        <v/>
      </c>
      <c r="BE22" s="7">
        <f>BE15-BE21</f>
        <v/>
      </c>
      <c r="BF22" s="7">
        <f>BF15-BF21</f>
        <v/>
      </c>
      <c r="BG22" s="7">
        <f>BG15-BG21</f>
        <v/>
      </c>
      <c r="BH22" s="7">
        <f>BH15-BH21</f>
        <v/>
      </c>
      <c r="BI22" s="7">
        <f>BI15-BI21</f>
        <v/>
      </c>
      <c r="BJ22" s="7">
        <f>BJ15-BJ21</f>
        <v/>
      </c>
      <c r="BK22" s="7">
        <f>BK15-BK21</f>
        <v/>
      </c>
      <c r="BL22" s="7">
        <f>BL15-BL21</f>
        <v/>
      </c>
      <c r="BM22" s="7">
        <f>BM15-BM21</f>
        <v/>
      </c>
      <c r="BN22" s="7">
        <f>BN15-BN21</f>
        <v/>
      </c>
      <c r="BO22" s="7">
        <f>BO15-BO21</f>
        <v/>
      </c>
      <c r="BP22" s="7">
        <f>BP15-BP21</f>
        <v/>
      </c>
      <c r="BQ22" s="7">
        <f>BQ15-BQ21</f>
        <v/>
      </c>
      <c r="BR22" s="7">
        <f>BR15-BR21</f>
        <v/>
      </c>
      <c r="BS22" s="7">
        <f>BS15-BS21</f>
        <v/>
      </c>
      <c r="BT22" s="7">
        <f>BT15-BT21</f>
        <v/>
      </c>
      <c r="BU22" s="7">
        <f>BU15-BU21</f>
        <v/>
      </c>
      <c r="BV22" s="7">
        <f>BV15-BV21</f>
        <v/>
      </c>
      <c r="BW22" s="7">
        <f>BW15-BW21</f>
        <v/>
      </c>
      <c r="BX22" s="7">
        <f>BX15-BX21</f>
        <v/>
      </c>
      <c r="BY22" s="7">
        <f>BY15-BY21</f>
        <v/>
      </c>
    </row>
    <row r="23">
      <c r="B23" t="inlineStr">
        <is>
          <t>ФОТ и кадровые расходы</t>
        </is>
      </c>
      <c r="C23" t="inlineStr">
        <is>
          <t>₽</t>
        </is>
      </c>
      <c r="D23" s="117" t="inlineStr"/>
      <c r="E23" s="119">
        <f>SUM(L23:W23)</f>
        <v/>
      </c>
      <c r="F23" s="119">
        <f>SUM(X23:AI23)</f>
        <v/>
      </c>
      <c r="G23" s="119">
        <f>SUM(AJ23:AU23)</f>
        <v/>
      </c>
      <c r="H23" s="119">
        <f>SUM(AV23:BG23)</f>
        <v/>
      </c>
      <c r="I23" s="119">
        <f>SUM(BH23:BS23)</f>
        <v/>
      </c>
      <c r="J23" s="5">
        <f>SUM(L23:BS23)</f>
        <v/>
      </c>
      <c r="L23" s="4">
        <f>'05_Расходы'!L29</f>
        <v/>
      </c>
      <c r="M23" s="4">
        <f>'05_Расходы'!M29</f>
        <v/>
      </c>
      <c r="N23" s="4">
        <f>'05_Расходы'!N29</f>
        <v/>
      </c>
      <c r="O23" s="4">
        <f>'05_Расходы'!O29</f>
        <v/>
      </c>
      <c r="P23" s="4">
        <f>'05_Расходы'!P29</f>
        <v/>
      </c>
      <c r="Q23" s="4">
        <f>'05_Расходы'!Q29</f>
        <v/>
      </c>
      <c r="R23" s="4">
        <f>'05_Расходы'!R29</f>
        <v/>
      </c>
      <c r="S23" s="4">
        <f>'05_Расходы'!S29</f>
        <v/>
      </c>
      <c r="T23" s="4">
        <f>'05_Расходы'!T29</f>
        <v/>
      </c>
      <c r="U23" s="4">
        <f>'05_Расходы'!U29</f>
        <v/>
      </c>
      <c r="V23" s="4">
        <f>'05_Расходы'!V29</f>
        <v/>
      </c>
      <c r="W23" s="4">
        <f>'05_Расходы'!W29</f>
        <v/>
      </c>
      <c r="X23" s="4">
        <f>'05_Расходы'!X29</f>
        <v/>
      </c>
      <c r="Y23" s="4">
        <f>'05_Расходы'!Y29</f>
        <v/>
      </c>
      <c r="Z23" s="4">
        <f>'05_Расходы'!Z29</f>
        <v/>
      </c>
      <c r="AA23" s="4">
        <f>'05_Расходы'!AA29</f>
        <v/>
      </c>
      <c r="AB23" s="4">
        <f>'05_Расходы'!AB29</f>
        <v/>
      </c>
      <c r="AC23" s="4">
        <f>'05_Расходы'!AC29</f>
        <v/>
      </c>
      <c r="AD23" s="4">
        <f>'05_Расходы'!AD29</f>
        <v/>
      </c>
      <c r="AE23" s="4">
        <f>'05_Расходы'!AE29</f>
        <v/>
      </c>
      <c r="AF23" s="4">
        <f>'05_Расходы'!AF29</f>
        <v/>
      </c>
      <c r="AG23" s="4">
        <f>'05_Расходы'!AG29</f>
        <v/>
      </c>
      <c r="AH23" s="4">
        <f>'05_Расходы'!AH29</f>
        <v/>
      </c>
      <c r="AI23" s="4">
        <f>'05_Расходы'!AI29</f>
        <v/>
      </c>
      <c r="AJ23" s="4">
        <f>'05_Расходы'!AJ29</f>
        <v/>
      </c>
      <c r="AK23" s="4">
        <f>'05_Расходы'!AK29</f>
        <v/>
      </c>
      <c r="AL23" s="4">
        <f>'05_Расходы'!AL29</f>
        <v/>
      </c>
      <c r="AM23" s="4">
        <f>'05_Расходы'!AM29</f>
        <v/>
      </c>
      <c r="AN23" s="4">
        <f>'05_Расходы'!AN29</f>
        <v/>
      </c>
      <c r="AO23" s="4">
        <f>'05_Расходы'!AO29</f>
        <v/>
      </c>
      <c r="AP23" s="4">
        <f>'05_Расходы'!AP29</f>
        <v/>
      </c>
      <c r="AQ23" s="4">
        <f>'05_Расходы'!AQ29</f>
        <v/>
      </c>
      <c r="AR23" s="4">
        <f>'05_Расходы'!AR29</f>
        <v/>
      </c>
      <c r="AS23" s="4">
        <f>'05_Расходы'!AS29</f>
        <v/>
      </c>
      <c r="AT23" s="4">
        <f>'05_Расходы'!AT29</f>
        <v/>
      </c>
      <c r="AU23" s="4">
        <f>'05_Расходы'!AU29</f>
        <v/>
      </c>
      <c r="AV23" s="4">
        <f>'05_Расходы'!AV29</f>
        <v/>
      </c>
      <c r="AW23" s="4">
        <f>'05_Расходы'!AW29</f>
        <v/>
      </c>
      <c r="AX23" s="4">
        <f>'05_Расходы'!AX29</f>
        <v/>
      </c>
      <c r="AY23" s="4">
        <f>'05_Расходы'!AY29</f>
        <v/>
      </c>
      <c r="AZ23" s="4">
        <f>'05_Расходы'!AZ29</f>
        <v/>
      </c>
      <c r="BA23" s="4">
        <f>'05_Расходы'!BA29</f>
        <v/>
      </c>
      <c r="BB23" s="4">
        <f>'05_Расходы'!BB29</f>
        <v/>
      </c>
      <c r="BC23" s="4">
        <f>'05_Расходы'!BC29</f>
        <v/>
      </c>
      <c r="BD23" s="4">
        <f>'05_Расходы'!BD29</f>
        <v/>
      </c>
      <c r="BE23" s="4">
        <f>'05_Расходы'!BE29</f>
        <v/>
      </c>
      <c r="BF23" s="4">
        <f>'05_Расходы'!BF29</f>
        <v/>
      </c>
      <c r="BG23" s="4">
        <f>'05_Расходы'!BG29</f>
        <v/>
      </c>
      <c r="BH23" s="4">
        <f>'05_Расходы'!BH29</f>
        <v/>
      </c>
      <c r="BI23" s="4">
        <f>'05_Расходы'!BI29</f>
        <v/>
      </c>
      <c r="BJ23" s="4">
        <f>'05_Расходы'!BJ29</f>
        <v/>
      </c>
      <c r="BK23" s="4">
        <f>'05_Расходы'!BK29</f>
        <v/>
      </c>
      <c r="BL23" s="4">
        <f>'05_Расходы'!BL29</f>
        <v/>
      </c>
      <c r="BM23" s="4">
        <f>'05_Расходы'!BM29</f>
        <v/>
      </c>
      <c r="BN23" s="4">
        <f>'05_Расходы'!BN29</f>
        <v/>
      </c>
      <c r="BO23" s="4">
        <f>'05_Расходы'!BO29</f>
        <v/>
      </c>
      <c r="BP23" s="4">
        <f>'05_Расходы'!BP29</f>
        <v/>
      </c>
      <c r="BQ23" s="4">
        <f>'05_Расходы'!BQ29</f>
        <v/>
      </c>
      <c r="BR23" s="4">
        <f>'05_Расходы'!BR29</f>
        <v/>
      </c>
      <c r="BS23" s="4">
        <f>'05_Расходы'!BS29</f>
        <v/>
      </c>
      <c r="BT23" s="4">
        <f>'05_Расходы'!BT29</f>
        <v/>
      </c>
      <c r="BU23" s="4">
        <f>'05_Расходы'!BU29</f>
        <v/>
      </c>
      <c r="BV23" s="4">
        <f>'05_Расходы'!BV29</f>
        <v/>
      </c>
      <c r="BW23" s="4">
        <f>'05_Расходы'!BW29</f>
        <v/>
      </c>
      <c r="BX23" s="4">
        <f>'05_Расходы'!BX29</f>
        <v/>
      </c>
      <c r="BY23" s="4">
        <f>'05_Расходы'!BY29</f>
        <v/>
      </c>
    </row>
    <row r="24">
      <c r="B24" t="inlineStr">
        <is>
          <t>ERP</t>
        </is>
      </c>
      <c r="C24" t="inlineStr">
        <is>
          <t>₽</t>
        </is>
      </c>
      <c r="D24" s="117" t="inlineStr"/>
      <c r="E24" s="119">
        <f>SUM(L24:W24)</f>
        <v/>
      </c>
      <c r="F24" s="119">
        <f>SUM(X24:AI24)</f>
        <v/>
      </c>
      <c r="G24" s="119">
        <f>SUM(AJ24:AU24)</f>
        <v/>
      </c>
      <c r="H24" s="119">
        <f>SUM(AV24:BG24)</f>
        <v/>
      </c>
      <c r="I24" s="119">
        <f>SUM(BH24:BS24)</f>
        <v/>
      </c>
      <c r="J24" s="5">
        <f>SUM(L24:BS24)</f>
        <v/>
      </c>
      <c r="L24" s="4">
        <f>'05_Расходы'!L34</f>
        <v/>
      </c>
      <c r="M24" s="4">
        <f>'05_Расходы'!M34</f>
        <v/>
      </c>
      <c r="N24" s="4">
        <f>'05_Расходы'!N34</f>
        <v/>
      </c>
      <c r="O24" s="4">
        <f>'05_Расходы'!O34</f>
        <v/>
      </c>
      <c r="P24" s="4">
        <f>'05_Расходы'!P34</f>
        <v/>
      </c>
      <c r="Q24" s="4">
        <f>'05_Расходы'!Q34</f>
        <v/>
      </c>
      <c r="R24" s="4">
        <f>'05_Расходы'!R34</f>
        <v/>
      </c>
      <c r="S24" s="4">
        <f>'05_Расходы'!S34</f>
        <v/>
      </c>
      <c r="T24" s="4">
        <f>'05_Расходы'!T34</f>
        <v/>
      </c>
      <c r="U24" s="4">
        <f>'05_Расходы'!U34</f>
        <v/>
      </c>
      <c r="V24" s="4">
        <f>'05_Расходы'!V34</f>
        <v/>
      </c>
      <c r="W24" s="4">
        <f>'05_Расходы'!W34</f>
        <v/>
      </c>
      <c r="X24" s="4">
        <f>'05_Расходы'!X34</f>
        <v/>
      </c>
      <c r="Y24" s="4">
        <f>'05_Расходы'!Y34</f>
        <v/>
      </c>
      <c r="Z24" s="4">
        <f>'05_Расходы'!Z34</f>
        <v/>
      </c>
      <c r="AA24" s="4">
        <f>'05_Расходы'!AA34</f>
        <v/>
      </c>
      <c r="AB24" s="4">
        <f>'05_Расходы'!AB34</f>
        <v/>
      </c>
      <c r="AC24" s="4">
        <f>'05_Расходы'!AC34</f>
        <v/>
      </c>
      <c r="AD24" s="4">
        <f>'05_Расходы'!AD34</f>
        <v/>
      </c>
      <c r="AE24" s="4">
        <f>'05_Расходы'!AE34</f>
        <v/>
      </c>
      <c r="AF24" s="4">
        <f>'05_Расходы'!AF34</f>
        <v/>
      </c>
      <c r="AG24" s="4">
        <f>'05_Расходы'!AG34</f>
        <v/>
      </c>
      <c r="AH24" s="4">
        <f>'05_Расходы'!AH34</f>
        <v/>
      </c>
      <c r="AI24" s="4">
        <f>'05_Расходы'!AI34</f>
        <v/>
      </c>
      <c r="AJ24" s="4">
        <f>'05_Расходы'!AJ34</f>
        <v/>
      </c>
      <c r="AK24" s="4">
        <f>'05_Расходы'!AK34</f>
        <v/>
      </c>
      <c r="AL24" s="4">
        <f>'05_Расходы'!AL34</f>
        <v/>
      </c>
      <c r="AM24" s="4">
        <f>'05_Расходы'!AM34</f>
        <v/>
      </c>
      <c r="AN24" s="4">
        <f>'05_Расходы'!AN34</f>
        <v/>
      </c>
      <c r="AO24" s="4">
        <f>'05_Расходы'!AO34</f>
        <v/>
      </c>
      <c r="AP24" s="4">
        <f>'05_Расходы'!AP34</f>
        <v/>
      </c>
      <c r="AQ24" s="4">
        <f>'05_Расходы'!AQ34</f>
        <v/>
      </c>
      <c r="AR24" s="4">
        <f>'05_Расходы'!AR34</f>
        <v/>
      </c>
      <c r="AS24" s="4">
        <f>'05_Расходы'!AS34</f>
        <v/>
      </c>
      <c r="AT24" s="4">
        <f>'05_Расходы'!AT34</f>
        <v/>
      </c>
      <c r="AU24" s="4">
        <f>'05_Расходы'!AU34</f>
        <v/>
      </c>
      <c r="AV24" s="4">
        <f>'05_Расходы'!AV34</f>
        <v/>
      </c>
      <c r="AW24" s="4">
        <f>'05_Расходы'!AW34</f>
        <v/>
      </c>
      <c r="AX24" s="4">
        <f>'05_Расходы'!AX34</f>
        <v/>
      </c>
      <c r="AY24" s="4">
        <f>'05_Расходы'!AY34</f>
        <v/>
      </c>
      <c r="AZ24" s="4">
        <f>'05_Расходы'!AZ34</f>
        <v/>
      </c>
      <c r="BA24" s="4">
        <f>'05_Расходы'!BA34</f>
        <v/>
      </c>
      <c r="BB24" s="4">
        <f>'05_Расходы'!BB34</f>
        <v/>
      </c>
      <c r="BC24" s="4">
        <f>'05_Расходы'!BC34</f>
        <v/>
      </c>
      <c r="BD24" s="4">
        <f>'05_Расходы'!BD34</f>
        <v/>
      </c>
      <c r="BE24" s="4">
        <f>'05_Расходы'!BE34</f>
        <v/>
      </c>
      <c r="BF24" s="4">
        <f>'05_Расходы'!BF34</f>
        <v/>
      </c>
      <c r="BG24" s="4">
        <f>'05_Расходы'!BG34</f>
        <v/>
      </c>
      <c r="BH24" s="4">
        <f>'05_Расходы'!BH34</f>
        <v/>
      </c>
      <c r="BI24" s="4">
        <f>'05_Расходы'!BI34</f>
        <v/>
      </c>
      <c r="BJ24" s="4">
        <f>'05_Расходы'!BJ34</f>
        <v/>
      </c>
      <c r="BK24" s="4">
        <f>'05_Расходы'!BK34</f>
        <v/>
      </c>
      <c r="BL24" s="4">
        <f>'05_Расходы'!BL34</f>
        <v/>
      </c>
      <c r="BM24" s="4">
        <f>'05_Расходы'!BM34</f>
        <v/>
      </c>
      <c r="BN24" s="4">
        <f>'05_Расходы'!BN34</f>
        <v/>
      </c>
      <c r="BO24" s="4">
        <f>'05_Расходы'!BO34</f>
        <v/>
      </c>
      <c r="BP24" s="4">
        <f>'05_Расходы'!BP34</f>
        <v/>
      </c>
      <c r="BQ24" s="4">
        <f>'05_Расходы'!BQ34</f>
        <v/>
      </c>
      <c r="BR24" s="4">
        <f>'05_Расходы'!BR34</f>
        <v/>
      </c>
      <c r="BS24" s="4">
        <f>'05_Расходы'!BS34</f>
        <v/>
      </c>
      <c r="BT24" s="4">
        <f>'05_Расходы'!BT34</f>
        <v/>
      </c>
      <c r="BU24" s="4">
        <f>'05_Расходы'!BU34</f>
        <v/>
      </c>
      <c r="BV24" s="4">
        <f>'05_Расходы'!BV34</f>
        <v/>
      </c>
      <c r="BW24" s="4">
        <f>'05_Расходы'!BW34</f>
        <v/>
      </c>
      <c r="BX24" s="4">
        <f>'05_Расходы'!BX34</f>
        <v/>
      </c>
      <c r="BY24" s="4">
        <f>'05_Расходы'!BY34</f>
        <v/>
      </c>
    </row>
    <row r="25">
      <c r="B25" t="inlineStr">
        <is>
          <t>Офис, аренда, уборка</t>
        </is>
      </c>
      <c r="C25" t="inlineStr">
        <is>
          <t>₽</t>
        </is>
      </c>
      <c r="D25" s="117" t="inlineStr"/>
      <c r="E25" s="119">
        <f>SUM(L25:W25)</f>
        <v/>
      </c>
      <c r="F25" s="119">
        <f>SUM(X25:AI25)</f>
        <v/>
      </c>
      <c r="G25" s="119">
        <f>SUM(AJ25:AU25)</f>
        <v/>
      </c>
      <c r="H25" s="119">
        <f>SUM(AV25:BG25)</f>
        <v/>
      </c>
      <c r="I25" s="119">
        <f>SUM(BH25:BS25)</f>
        <v/>
      </c>
      <c r="J25" s="5">
        <f>SUM(L25:BS25)</f>
        <v/>
      </c>
      <c r="L25" s="4">
        <f>'05_Расходы'!L35</f>
        <v/>
      </c>
      <c r="M25" s="4">
        <f>'05_Расходы'!M35</f>
        <v/>
      </c>
      <c r="N25" s="4">
        <f>'05_Расходы'!N35</f>
        <v/>
      </c>
      <c r="O25" s="4">
        <f>'05_Расходы'!O35</f>
        <v/>
      </c>
      <c r="P25" s="4">
        <f>'05_Расходы'!P35</f>
        <v/>
      </c>
      <c r="Q25" s="4">
        <f>'05_Расходы'!Q35</f>
        <v/>
      </c>
      <c r="R25" s="4">
        <f>'05_Расходы'!R35</f>
        <v/>
      </c>
      <c r="S25" s="4">
        <f>'05_Расходы'!S35</f>
        <v/>
      </c>
      <c r="T25" s="4">
        <f>'05_Расходы'!T35</f>
        <v/>
      </c>
      <c r="U25" s="4">
        <f>'05_Расходы'!U35</f>
        <v/>
      </c>
      <c r="V25" s="4">
        <f>'05_Расходы'!V35</f>
        <v/>
      </c>
      <c r="W25" s="4">
        <f>'05_Расходы'!W35</f>
        <v/>
      </c>
      <c r="X25" s="4">
        <f>'05_Расходы'!X35</f>
        <v/>
      </c>
      <c r="Y25" s="4">
        <f>'05_Расходы'!Y35</f>
        <v/>
      </c>
      <c r="Z25" s="4">
        <f>'05_Расходы'!Z35</f>
        <v/>
      </c>
      <c r="AA25" s="4">
        <f>'05_Расходы'!AA35</f>
        <v/>
      </c>
      <c r="AB25" s="4">
        <f>'05_Расходы'!AB35</f>
        <v/>
      </c>
      <c r="AC25" s="4">
        <f>'05_Расходы'!AC35</f>
        <v/>
      </c>
      <c r="AD25" s="4">
        <f>'05_Расходы'!AD35</f>
        <v/>
      </c>
      <c r="AE25" s="4">
        <f>'05_Расходы'!AE35</f>
        <v/>
      </c>
      <c r="AF25" s="4">
        <f>'05_Расходы'!AF35</f>
        <v/>
      </c>
      <c r="AG25" s="4">
        <f>'05_Расходы'!AG35</f>
        <v/>
      </c>
      <c r="AH25" s="4">
        <f>'05_Расходы'!AH35</f>
        <v/>
      </c>
      <c r="AI25" s="4">
        <f>'05_Расходы'!AI35</f>
        <v/>
      </c>
      <c r="AJ25" s="4">
        <f>'05_Расходы'!AJ35</f>
        <v/>
      </c>
      <c r="AK25" s="4">
        <f>'05_Расходы'!AK35</f>
        <v/>
      </c>
      <c r="AL25" s="4">
        <f>'05_Расходы'!AL35</f>
        <v/>
      </c>
      <c r="AM25" s="4">
        <f>'05_Расходы'!AM35</f>
        <v/>
      </c>
      <c r="AN25" s="4">
        <f>'05_Расходы'!AN35</f>
        <v/>
      </c>
      <c r="AO25" s="4">
        <f>'05_Расходы'!AO35</f>
        <v/>
      </c>
      <c r="AP25" s="4">
        <f>'05_Расходы'!AP35</f>
        <v/>
      </c>
      <c r="AQ25" s="4">
        <f>'05_Расходы'!AQ35</f>
        <v/>
      </c>
      <c r="AR25" s="4">
        <f>'05_Расходы'!AR35</f>
        <v/>
      </c>
      <c r="AS25" s="4">
        <f>'05_Расходы'!AS35</f>
        <v/>
      </c>
      <c r="AT25" s="4">
        <f>'05_Расходы'!AT35</f>
        <v/>
      </c>
      <c r="AU25" s="4">
        <f>'05_Расходы'!AU35</f>
        <v/>
      </c>
      <c r="AV25" s="4">
        <f>'05_Расходы'!AV35</f>
        <v/>
      </c>
      <c r="AW25" s="4">
        <f>'05_Расходы'!AW35</f>
        <v/>
      </c>
      <c r="AX25" s="4">
        <f>'05_Расходы'!AX35</f>
        <v/>
      </c>
      <c r="AY25" s="4">
        <f>'05_Расходы'!AY35</f>
        <v/>
      </c>
      <c r="AZ25" s="4">
        <f>'05_Расходы'!AZ35</f>
        <v/>
      </c>
      <c r="BA25" s="4">
        <f>'05_Расходы'!BA35</f>
        <v/>
      </c>
      <c r="BB25" s="4">
        <f>'05_Расходы'!BB35</f>
        <v/>
      </c>
      <c r="BC25" s="4">
        <f>'05_Расходы'!BC35</f>
        <v/>
      </c>
      <c r="BD25" s="4">
        <f>'05_Расходы'!BD35</f>
        <v/>
      </c>
      <c r="BE25" s="4">
        <f>'05_Расходы'!BE35</f>
        <v/>
      </c>
      <c r="BF25" s="4">
        <f>'05_Расходы'!BF35</f>
        <v/>
      </c>
      <c r="BG25" s="4">
        <f>'05_Расходы'!BG35</f>
        <v/>
      </c>
      <c r="BH25" s="4">
        <f>'05_Расходы'!BH35</f>
        <v/>
      </c>
      <c r="BI25" s="4">
        <f>'05_Расходы'!BI35</f>
        <v/>
      </c>
      <c r="BJ25" s="4">
        <f>'05_Расходы'!BJ35</f>
        <v/>
      </c>
      <c r="BK25" s="4">
        <f>'05_Расходы'!BK35</f>
        <v/>
      </c>
      <c r="BL25" s="4">
        <f>'05_Расходы'!BL35</f>
        <v/>
      </c>
      <c r="BM25" s="4">
        <f>'05_Расходы'!BM35</f>
        <v/>
      </c>
      <c r="BN25" s="4">
        <f>'05_Расходы'!BN35</f>
        <v/>
      </c>
      <c r="BO25" s="4">
        <f>'05_Расходы'!BO35</f>
        <v/>
      </c>
      <c r="BP25" s="4">
        <f>'05_Расходы'!BP35</f>
        <v/>
      </c>
      <c r="BQ25" s="4">
        <f>'05_Расходы'!BQ35</f>
        <v/>
      </c>
      <c r="BR25" s="4">
        <f>'05_Расходы'!BR35</f>
        <v/>
      </c>
      <c r="BS25" s="4">
        <f>'05_Расходы'!BS35</f>
        <v/>
      </c>
      <c r="BT25" s="4">
        <f>'05_Расходы'!BT35</f>
        <v/>
      </c>
      <c r="BU25" s="4">
        <f>'05_Расходы'!BU35</f>
        <v/>
      </c>
      <c r="BV25" s="4">
        <f>'05_Расходы'!BV35</f>
        <v/>
      </c>
      <c r="BW25" s="4">
        <f>'05_Расходы'!BW35</f>
        <v/>
      </c>
      <c r="BX25" s="4">
        <f>'05_Расходы'!BX35</f>
        <v/>
      </c>
      <c r="BY25" s="4">
        <f>'05_Расходы'!BY35</f>
        <v/>
      </c>
    </row>
    <row r="26">
      <c r="B26" t="inlineStr">
        <is>
          <t>Юристы, аудит, бухгалтерия</t>
        </is>
      </c>
      <c r="C26" t="inlineStr">
        <is>
          <t>₽</t>
        </is>
      </c>
      <c r="D26" s="117" t="inlineStr"/>
      <c r="E26" s="119">
        <f>SUM(L26:W26)</f>
        <v/>
      </c>
      <c r="F26" s="119">
        <f>SUM(X26:AI26)</f>
        <v/>
      </c>
      <c r="G26" s="119">
        <f>SUM(AJ26:AU26)</f>
        <v/>
      </c>
      <c r="H26" s="119">
        <f>SUM(AV26:BG26)</f>
        <v/>
      </c>
      <c r="I26" s="119">
        <f>SUM(BH26:BS26)</f>
        <v/>
      </c>
      <c r="J26" s="5">
        <f>SUM(L26:BS26)</f>
        <v/>
      </c>
      <c r="L26" s="4">
        <f>'05_Расходы'!L36</f>
        <v/>
      </c>
      <c r="M26" s="4">
        <f>'05_Расходы'!M36</f>
        <v/>
      </c>
      <c r="N26" s="4">
        <f>'05_Расходы'!N36</f>
        <v/>
      </c>
      <c r="O26" s="4">
        <f>'05_Расходы'!O36</f>
        <v/>
      </c>
      <c r="P26" s="4">
        <f>'05_Расходы'!P36</f>
        <v/>
      </c>
      <c r="Q26" s="4">
        <f>'05_Расходы'!Q36</f>
        <v/>
      </c>
      <c r="R26" s="4">
        <f>'05_Расходы'!R36</f>
        <v/>
      </c>
      <c r="S26" s="4">
        <f>'05_Расходы'!S36</f>
        <v/>
      </c>
      <c r="T26" s="4">
        <f>'05_Расходы'!T36</f>
        <v/>
      </c>
      <c r="U26" s="4">
        <f>'05_Расходы'!U36</f>
        <v/>
      </c>
      <c r="V26" s="4">
        <f>'05_Расходы'!V36</f>
        <v/>
      </c>
      <c r="W26" s="4">
        <f>'05_Расходы'!W36</f>
        <v/>
      </c>
      <c r="X26" s="4">
        <f>'05_Расходы'!X36</f>
        <v/>
      </c>
      <c r="Y26" s="4">
        <f>'05_Расходы'!Y36</f>
        <v/>
      </c>
      <c r="Z26" s="4">
        <f>'05_Расходы'!Z36</f>
        <v/>
      </c>
      <c r="AA26" s="4">
        <f>'05_Расходы'!AA36</f>
        <v/>
      </c>
      <c r="AB26" s="4">
        <f>'05_Расходы'!AB36</f>
        <v/>
      </c>
      <c r="AC26" s="4">
        <f>'05_Расходы'!AC36</f>
        <v/>
      </c>
      <c r="AD26" s="4">
        <f>'05_Расходы'!AD36</f>
        <v/>
      </c>
      <c r="AE26" s="4">
        <f>'05_Расходы'!AE36</f>
        <v/>
      </c>
      <c r="AF26" s="4">
        <f>'05_Расходы'!AF36</f>
        <v/>
      </c>
      <c r="AG26" s="4">
        <f>'05_Расходы'!AG36</f>
        <v/>
      </c>
      <c r="AH26" s="4">
        <f>'05_Расходы'!AH36</f>
        <v/>
      </c>
      <c r="AI26" s="4">
        <f>'05_Расходы'!AI36</f>
        <v/>
      </c>
      <c r="AJ26" s="4">
        <f>'05_Расходы'!AJ36</f>
        <v/>
      </c>
      <c r="AK26" s="4">
        <f>'05_Расходы'!AK36</f>
        <v/>
      </c>
      <c r="AL26" s="4">
        <f>'05_Расходы'!AL36</f>
        <v/>
      </c>
      <c r="AM26" s="4">
        <f>'05_Расходы'!AM36</f>
        <v/>
      </c>
      <c r="AN26" s="4">
        <f>'05_Расходы'!AN36</f>
        <v/>
      </c>
      <c r="AO26" s="4">
        <f>'05_Расходы'!AO36</f>
        <v/>
      </c>
      <c r="AP26" s="4">
        <f>'05_Расходы'!AP36</f>
        <v/>
      </c>
      <c r="AQ26" s="4">
        <f>'05_Расходы'!AQ36</f>
        <v/>
      </c>
      <c r="AR26" s="4">
        <f>'05_Расходы'!AR36</f>
        <v/>
      </c>
      <c r="AS26" s="4">
        <f>'05_Расходы'!AS36</f>
        <v/>
      </c>
      <c r="AT26" s="4">
        <f>'05_Расходы'!AT36</f>
        <v/>
      </c>
      <c r="AU26" s="4">
        <f>'05_Расходы'!AU36</f>
        <v/>
      </c>
      <c r="AV26" s="4">
        <f>'05_Расходы'!AV36</f>
        <v/>
      </c>
      <c r="AW26" s="4">
        <f>'05_Расходы'!AW36</f>
        <v/>
      </c>
      <c r="AX26" s="4">
        <f>'05_Расходы'!AX36</f>
        <v/>
      </c>
      <c r="AY26" s="4">
        <f>'05_Расходы'!AY36</f>
        <v/>
      </c>
      <c r="AZ26" s="4">
        <f>'05_Расходы'!AZ36</f>
        <v/>
      </c>
      <c r="BA26" s="4">
        <f>'05_Расходы'!BA36</f>
        <v/>
      </c>
      <c r="BB26" s="4">
        <f>'05_Расходы'!BB36</f>
        <v/>
      </c>
      <c r="BC26" s="4">
        <f>'05_Расходы'!BC36</f>
        <v/>
      </c>
      <c r="BD26" s="4">
        <f>'05_Расходы'!BD36</f>
        <v/>
      </c>
      <c r="BE26" s="4">
        <f>'05_Расходы'!BE36</f>
        <v/>
      </c>
      <c r="BF26" s="4">
        <f>'05_Расходы'!BF36</f>
        <v/>
      </c>
      <c r="BG26" s="4">
        <f>'05_Расходы'!BG36</f>
        <v/>
      </c>
      <c r="BH26" s="4">
        <f>'05_Расходы'!BH36</f>
        <v/>
      </c>
      <c r="BI26" s="4">
        <f>'05_Расходы'!BI36</f>
        <v/>
      </c>
      <c r="BJ26" s="4">
        <f>'05_Расходы'!BJ36</f>
        <v/>
      </c>
      <c r="BK26" s="4">
        <f>'05_Расходы'!BK36</f>
        <v/>
      </c>
      <c r="BL26" s="4">
        <f>'05_Расходы'!BL36</f>
        <v/>
      </c>
      <c r="BM26" s="4">
        <f>'05_Расходы'!BM36</f>
        <v/>
      </c>
      <c r="BN26" s="4">
        <f>'05_Расходы'!BN36</f>
        <v/>
      </c>
      <c r="BO26" s="4">
        <f>'05_Расходы'!BO36</f>
        <v/>
      </c>
      <c r="BP26" s="4">
        <f>'05_Расходы'!BP36</f>
        <v/>
      </c>
      <c r="BQ26" s="4">
        <f>'05_Расходы'!BQ36</f>
        <v/>
      </c>
      <c r="BR26" s="4">
        <f>'05_Расходы'!BR36</f>
        <v/>
      </c>
      <c r="BS26" s="4">
        <f>'05_Расходы'!BS36</f>
        <v/>
      </c>
      <c r="BT26" s="4">
        <f>'05_Расходы'!BT36</f>
        <v/>
      </c>
      <c r="BU26" s="4">
        <f>'05_Расходы'!BU36</f>
        <v/>
      </c>
      <c r="BV26" s="4">
        <f>'05_Расходы'!BV36</f>
        <v/>
      </c>
      <c r="BW26" s="4">
        <f>'05_Расходы'!BW36</f>
        <v/>
      </c>
      <c r="BX26" s="4">
        <f>'05_Расходы'!BX36</f>
        <v/>
      </c>
      <c r="BY26" s="4">
        <f>'05_Расходы'!BY36</f>
        <v/>
      </c>
    </row>
    <row r="27">
      <c r="B27" t="inlineStr">
        <is>
          <t>Прочие IT</t>
        </is>
      </c>
      <c r="C27" t="inlineStr">
        <is>
          <t>₽</t>
        </is>
      </c>
      <c r="D27" s="117" t="inlineStr"/>
      <c r="E27" s="119">
        <f>SUM(L27:W27)</f>
        <v/>
      </c>
      <c r="F27" s="119">
        <f>SUM(X27:AI27)</f>
        <v/>
      </c>
      <c r="G27" s="119">
        <f>SUM(AJ27:AU27)</f>
        <v/>
      </c>
      <c r="H27" s="119">
        <f>SUM(AV27:BG27)</f>
        <v/>
      </c>
      <c r="I27" s="119">
        <f>SUM(BH27:BS27)</f>
        <v/>
      </c>
      <c r="J27" s="5">
        <f>SUM(L27:BS27)</f>
        <v/>
      </c>
      <c r="L27" s="4">
        <f>'05_Расходы'!L37</f>
        <v/>
      </c>
      <c r="M27" s="4">
        <f>'05_Расходы'!M37</f>
        <v/>
      </c>
      <c r="N27" s="4">
        <f>'05_Расходы'!N37</f>
        <v/>
      </c>
      <c r="O27" s="4">
        <f>'05_Расходы'!O37</f>
        <v/>
      </c>
      <c r="P27" s="4">
        <f>'05_Расходы'!P37</f>
        <v/>
      </c>
      <c r="Q27" s="4">
        <f>'05_Расходы'!Q37</f>
        <v/>
      </c>
      <c r="R27" s="4">
        <f>'05_Расходы'!R37</f>
        <v/>
      </c>
      <c r="S27" s="4">
        <f>'05_Расходы'!S37</f>
        <v/>
      </c>
      <c r="T27" s="4">
        <f>'05_Расходы'!T37</f>
        <v/>
      </c>
      <c r="U27" s="4">
        <f>'05_Расходы'!U37</f>
        <v/>
      </c>
      <c r="V27" s="4">
        <f>'05_Расходы'!V37</f>
        <v/>
      </c>
      <c r="W27" s="4">
        <f>'05_Расходы'!W37</f>
        <v/>
      </c>
      <c r="X27" s="4">
        <f>'05_Расходы'!X37</f>
        <v/>
      </c>
      <c r="Y27" s="4">
        <f>'05_Расходы'!Y37</f>
        <v/>
      </c>
      <c r="Z27" s="4">
        <f>'05_Расходы'!Z37</f>
        <v/>
      </c>
      <c r="AA27" s="4">
        <f>'05_Расходы'!AA37</f>
        <v/>
      </c>
      <c r="AB27" s="4">
        <f>'05_Расходы'!AB37</f>
        <v/>
      </c>
      <c r="AC27" s="4">
        <f>'05_Расходы'!AC37</f>
        <v/>
      </c>
      <c r="AD27" s="4">
        <f>'05_Расходы'!AD37</f>
        <v/>
      </c>
      <c r="AE27" s="4">
        <f>'05_Расходы'!AE37</f>
        <v/>
      </c>
      <c r="AF27" s="4">
        <f>'05_Расходы'!AF37</f>
        <v/>
      </c>
      <c r="AG27" s="4">
        <f>'05_Расходы'!AG37</f>
        <v/>
      </c>
      <c r="AH27" s="4">
        <f>'05_Расходы'!AH37</f>
        <v/>
      </c>
      <c r="AI27" s="4">
        <f>'05_Расходы'!AI37</f>
        <v/>
      </c>
      <c r="AJ27" s="4">
        <f>'05_Расходы'!AJ37</f>
        <v/>
      </c>
      <c r="AK27" s="4">
        <f>'05_Расходы'!AK37</f>
        <v/>
      </c>
      <c r="AL27" s="4">
        <f>'05_Расходы'!AL37</f>
        <v/>
      </c>
      <c r="AM27" s="4">
        <f>'05_Расходы'!AM37</f>
        <v/>
      </c>
      <c r="AN27" s="4">
        <f>'05_Расходы'!AN37</f>
        <v/>
      </c>
      <c r="AO27" s="4">
        <f>'05_Расходы'!AO37</f>
        <v/>
      </c>
      <c r="AP27" s="4">
        <f>'05_Расходы'!AP37</f>
        <v/>
      </c>
      <c r="AQ27" s="4">
        <f>'05_Расходы'!AQ37</f>
        <v/>
      </c>
      <c r="AR27" s="4">
        <f>'05_Расходы'!AR37</f>
        <v/>
      </c>
      <c r="AS27" s="4">
        <f>'05_Расходы'!AS37</f>
        <v/>
      </c>
      <c r="AT27" s="4">
        <f>'05_Расходы'!AT37</f>
        <v/>
      </c>
      <c r="AU27" s="4">
        <f>'05_Расходы'!AU37</f>
        <v/>
      </c>
      <c r="AV27" s="4">
        <f>'05_Расходы'!AV37</f>
        <v/>
      </c>
      <c r="AW27" s="4">
        <f>'05_Расходы'!AW37</f>
        <v/>
      </c>
      <c r="AX27" s="4">
        <f>'05_Расходы'!AX37</f>
        <v/>
      </c>
      <c r="AY27" s="4">
        <f>'05_Расходы'!AY37</f>
        <v/>
      </c>
      <c r="AZ27" s="4">
        <f>'05_Расходы'!AZ37</f>
        <v/>
      </c>
      <c r="BA27" s="4">
        <f>'05_Расходы'!BA37</f>
        <v/>
      </c>
      <c r="BB27" s="4">
        <f>'05_Расходы'!BB37</f>
        <v/>
      </c>
      <c r="BC27" s="4">
        <f>'05_Расходы'!BC37</f>
        <v/>
      </c>
      <c r="BD27" s="4">
        <f>'05_Расходы'!BD37</f>
        <v/>
      </c>
      <c r="BE27" s="4">
        <f>'05_Расходы'!BE37</f>
        <v/>
      </c>
      <c r="BF27" s="4">
        <f>'05_Расходы'!BF37</f>
        <v/>
      </c>
      <c r="BG27" s="4">
        <f>'05_Расходы'!BG37</f>
        <v/>
      </c>
      <c r="BH27" s="4">
        <f>'05_Расходы'!BH37</f>
        <v/>
      </c>
      <c r="BI27" s="4">
        <f>'05_Расходы'!BI37</f>
        <v/>
      </c>
      <c r="BJ27" s="4">
        <f>'05_Расходы'!BJ37</f>
        <v/>
      </c>
      <c r="BK27" s="4">
        <f>'05_Расходы'!BK37</f>
        <v/>
      </c>
      <c r="BL27" s="4">
        <f>'05_Расходы'!BL37</f>
        <v/>
      </c>
      <c r="BM27" s="4">
        <f>'05_Расходы'!BM37</f>
        <v/>
      </c>
      <c r="BN27" s="4">
        <f>'05_Расходы'!BN37</f>
        <v/>
      </c>
      <c r="BO27" s="4">
        <f>'05_Расходы'!BO37</f>
        <v/>
      </c>
      <c r="BP27" s="4">
        <f>'05_Расходы'!BP37</f>
        <v/>
      </c>
      <c r="BQ27" s="4">
        <f>'05_Расходы'!BQ37</f>
        <v/>
      </c>
      <c r="BR27" s="4">
        <f>'05_Расходы'!BR37</f>
        <v/>
      </c>
      <c r="BS27" s="4">
        <f>'05_Расходы'!BS37</f>
        <v/>
      </c>
      <c r="BT27" s="4">
        <f>'05_Расходы'!BT37</f>
        <v/>
      </c>
      <c r="BU27" s="4">
        <f>'05_Расходы'!BU37</f>
        <v/>
      </c>
      <c r="BV27" s="4">
        <f>'05_Расходы'!BV37</f>
        <v/>
      </c>
      <c r="BW27" s="4">
        <f>'05_Расходы'!BW37</f>
        <v/>
      </c>
      <c r="BX27" s="4">
        <f>'05_Расходы'!BX37</f>
        <v/>
      </c>
      <c r="BY27" s="4">
        <f>'05_Расходы'!BY37</f>
        <v/>
      </c>
    </row>
    <row r="28">
      <c r="B28" t="inlineStr">
        <is>
          <t>SMM и подрядчики</t>
        </is>
      </c>
      <c r="C28" t="inlineStr">
        <is>
          <t>₽</t>
        </is>
      </c>
      <c r="D28" s="117" t="inlineStr"/>
      <c r="E28" s="119">
        <f>SUM(L28:W28)</f>
        <v/>
      </c>
      <c r="F28" s="119">
        <f>SUM(X28:AI28)</f>
        <v/>
      </c>
      <c r="G28" s="119">
        <f>SUM(AJ28:AU28)</f>
        <v/>
      </c>
      <c r="H28" s="119">
        <f>SUM(AV28:BG28)</f>
        <v/>
      </c>
      <c r="I28" s="119">
        <f>SUM(BH28:BS28)</f>
        <v/>
      </c>
      <c r="J28" s="5">
        <f>SUM(L28:BS28)</f>
        <v/>
      </c>
      <c r="L28" s="4">
        <f>'05_Расходы'!L38</f>
        <v/>
      </c>
      <c r="M28" s="4">
        <f>'05_Расходы'!M38</f>
        <v/>
      </c>
      <c r="N28" s="4">
        <f>'05_Расходы'!N38</f>
        <v/>
      </c>
      <c r="O28" s="4">
        <f>'05_Расходы'!O38</f>
        <v/>
      </c>
      <c r="P28" s="4">
        <f>'05_Расходы'!P38</f>
        <v/>
      </c>
      <c r="Q28" s="4">
        <f>'05_Расходы'!Q38</f>
        <v/>
      </c>
      <c r="R28" s="4">
        <f>'05_Расходы'!R38</f>
        <v/>
      </c>
      <c r="S28" s="4">
        <f>'05_Расходы'!S38</f>
        <v/>
      </c>
      <c r="T28" s="4">
        <f>'05_Расходы'!T38</f>
        <v/>
      </c>
      <c r="U28" s="4">
        <f>'05_Расходы'!U38</f>
        <v/>
      </c>
      <c r="V28" s="4">
        <f>'05_Расходы'!V38</f>
        <v/>
      </c>
      <c r="W28" s="4">
        <f>'05_Расходы'!W38</f>
        <v/>
      </c>
      <c r="X28" s="4">
        <f>'05_Расходы'!X38</f>
        <v/>
      </c>
      <c r="Y28" s="4">
        <f>'05_Расходы'!Y38</f>
        <v/>
      </c>
      <c r="Z28" s="4">
        <f>'05_Расходы'!Z38</f>
        <v/>
      </c>
      <c r="AA28" s="4">
        <f>'05_Расходы'!AA38</f>
        <v/>
      </c>
      <c r="AB28" s="4">
        <f>'05_Расходы'!AB38</f>
        <v/>
      </c>
      <c r="AC28" s="4">
        <f>'05_Расходы'!AC38</f>
        <v/>
      </c>
      <c r="AD28" s="4">
        <f>'05_Расходы'!AD38</f>
        <v/>
      </c>
      <c r="AE28" s="4">
        <f>'05_Расходы'!AE38</f>
        <v/>
      </c>
      <c r="AF28" s="4">
        <f>'05_Расходы'!AF38</f>
        <v/>
      </c>
      <c r="AG28" s="4">
        <f>'05_Расходы'!AG38</f>
        <v/>
      </c>
      <c r="AH28" s="4">
        <f>'05_Расходы'!AH38</f>
        <v/>
      </c>
      <c r="AI28" s="4">
        <f>'05_Расходы'!AI38</f>
        <v/>
      </c>
      <c r="AJ28" s="4">
        <f>'05_Расходы'!AJ38</f>
        <v/>
      </c>
      <c r="AK28" s="4">
        <f>'05_Расходы'!AK38</f>
        <v/>
      </c>
      <c r="AL28" s="4">
        <f>'05_Расходы'!AL38</f>
        <v/>
      </c>
      <c r="AM28" s="4">
        <f>'05_Расходы'!AM38</f>
        <v/>
      </c>
      <c r="AN28" s="4">
        <f>'05_Расходы'!AN38</f>
        <v/>
      </c>
      <c r="AO28" s="4">
        <f>'05_Расходы'!AO38</f>
        <v/>
      </c>
      <c r="AP28" s="4">
        <f>'05_Расходы'!AP38</f>
        <v/>
      </c>
      <c r="AQ28" s="4">
        <f>'05_Расходы'!AQ38</f>
        <v/>
      </c>
      <c r="AR28" s="4">
        <f>'05_Расходы'!AR38</f>
        <v/>
      </c>
      <c r="AS28" s="4">
        <f>'05_Расходы'!AS38</f>
        <v/>
      </c>
      <c r="AT28" s="4">
        <f>'05_Расходы'!AT38</f>
        <v/>
      </c>
      <c r="AU28" s="4">
        <f>'05_Расходы'!AU38</f>
        <v/>
      </c>
      <c r="AV28" s="4">
        <f>'05_Расходы'!AV38</f>
        <v/>
      </c>
      <c r="AW28" s="4">
        <f>'05_Расходы'!AW38</f>
        <v/>
      </c>
      <c r="AX28" s="4">
        <f>'05_Расходы'!AX38</f>
        <v/>
      </c>
      <c r="AY28" s="4">
        <f>'05_Расходы'!AY38</f>
        <v/>
      </c>
      <c r="AZ28" s="4">
        <f>'05_Расходы'!AZ38</f>
        <v/>
      </c>
      <c r="BA28" s="4">
        <f>'05_Расходы'!BA38</f>
        <v/>
      </c>
      <c r="BB28" s="4">
        <f>'05_Расходы'!BB38</f>
        <v/>
      </c>
      <c r="BC28" s="4">
        <f>'05_Расходы'!BC38</f>
        <v/>
      </c>
      <c r="BD28" s="4">
        <f>'05_Расходы'!BD38</f>
        <v/>
      </c>
      <c r="BE28" s="4">
        <f>'05_Расходы'!BE38</f>
        <v/>
      </c>
      <c r="BF28" s="4">
        <f>'05_Расходы'!BF38</f>
        <v/>
      </c>
      <c r="BG28" s="4">
        <f>'05_Расходы'!BG38</f>
        <v/>
      </c>
      <c r="BH28" s="4">
        <f>'05_Расходы'!BH38</f>
        <v/>
      </c>
      <c r="BI28" s="4">
        <f>'05_Расходы'!BI38</f>
        <v/>
      </c>
      <c r="BJ28" s="4">
        <f>'05_Расходы'!BJ38</f>
        <v/>
      </c>
      <c r="BK28" s="4">
        <f>'05_Расходы'!BK38</f>
        <v/>
      </c>
      <c r="BL28" s="4">
        <f>'05_Расходы'!BL38</f>
        <v/>
      </c>
      <c r="BM28" s="4">
        <f>'05_Расходы'!BM38</f>
        <v/>
      </c>
      <c r="BN28" s="4">
        <f>'05_Расходы'!BN38</f>
        <v/>
      </c>
      <c r="BO28" s="4">
        <f>'05_Расходы'!BO38</f>
        <v/>
      </c>
      <c r="BP28" s="4">
        <f>'05_Расходы'!BP38</f>
        <v/>
      </c>
      <c r="BQ28" s="4">
        <f>'05_Расходы'!BQ38</f>
        <v/>
      </c>
      <c r="BR28" s="4">
        <f>'05_Расходы'!BR38</f>
        <v/>
      </c>
      <c r="BS28" s="4">
        <f>'05_Расходы'!BS38</f>
        <v/>
      </c>
      <c r="BT28" s="4">
        <f>'05_Расходы'!BT38</f>
        <v/>
      </c>
      <c r="BU28" s="4">
        <f>'05_Расходы'!BU38</f>
        <v/>
      </c>
      <c r="BV28" s="4">
        <f>'05_Расходы'!BV38</f>
        <v/>
      </c>
      <c r="BW28" s="4">
        <f>'05_Расходы'!BW38</f>
        <v/>
      </c>
      <c r="BX28" s="4">
        <f>'05_Расходы'!BX38</f>
        <v/>
      </c>
      <c r="BY28" s="4">
        <f>'05_Расходы'!BY38</f>
        <v/>
      </c>
    </row>
    <row r="29">
      <c r="B29" t="inlineStr">
        <is>
          <t>Маркетинг привлечения</t>
        </is>
      </c>
      <c r="C29" t="inlineStr">
        <is>
          <t>₽</t>
        </is>
      </c>
      <c r="D29" s="117" t="inlineStr"/>
      <c r="E29" s="119">
        <f>SUM(L29:W29)</f>
        <v/>
      </c>
      <c r="F29" s="119">
        <f>SUM(X29:AI29)</f>
        <v/>
      </c>
      <c r="G29" s="119">
        <f>SUM(AJ29:AU29)</f>
        <v/>
      </c>
      <c r="H29" s="119">
        <f>SUM(AV29:BG29)</f>
        <v/>
      </c>
      <c r="I29" s="119">
        <f>SUM(BH29:BS29)</f>
        <v/>
      </c>
      <c r="J29" s="5">
        <f>SUM(L29:BS29)</f>
        <v/>
      </c>
      <c r="L29" s="4">
        <f>'05_Расходы'!L42</f>
        <v/>
      </c>
      <c r="M29" s="4">
        <f>'05_Расходы'!M42</f>
        <v/>
      </c>
      <c r="N29" s="4">
        <f>'05_Расходы'!N42</f>
        <v/>
      </c>
      <c r="O29" s="4">
        <f>'05_Расходы'!O42</f>
        <v/>
      </c>
      <c r="P29" s="4">
        <f>'05_Расходы'!P42</f>
        <v/>
      </c>
      <c r="Q29" s="4">
        <f>'05_Расходы'!Q42</f>
        <v/>
      </c>
      <c r="R29" s="4">
        <f>'05_Расходы'!R42</f>
        <v/>
      </c>
      <c r="S29" s="4">
        <f>'05_Расходы'!S42</f>
        <v/>
      </c>
      <c r="T29" s="4">
        <f>'05_Расходы'!T42</f>
        <v/>
      </c>
      <c r="U29" s="4">
        <f>'05_Расходы'!U42</f>
        <v/>
      </c>
      <c r="V29" s="4">
        <f>'05_Расходы'!V42</f>
        <v/>
      </c>
      <c r="W29" s="4">
        <f>'05_Расходы'!W42</f>
        <v/>
      </c>
      <c r="X29" s="4">
        <f>'05_Расходы'!X42</f>
        <v/>
      </c>
      <c r="Y29" s="4">
        <f>'05_Расходы'!Y42</f>
        <v/>
      </c>
      <c r="Z29" s="4">
        <f>'05_Расходы'!Z42</f>
        <v/>
      </c>
      <c r="AA29" s="4">
        <f>'05_Расходы'!AA42</f>
        <v/>
      </c>
      <c r="AB29" s="4">
        <f>'05_Расходы'!AB42</f>
        <v/>
      </c>
      <c r="AC29" s="4">
        <f>'05_Расходы'!AC42</f>
        <v/>
      </c>
      <c r="AD29" s="4">
        <f>'05_Расходы'!AD42</f>
        <v/>
      </c>
      <c r="AE29" s="4">
        <f>'05_Расходы'!AE42</f>
        <v/>
      </c>
      <c r="AF29" s="4">
        <f>'05_Расходы'!AF42</f>
        <v/>
      </c>
      <c r="AG29" s="4">
        <f>'05_Расходы'!AG42</f>
        <v/>
      </c>
      <c r="AH29" s="4">
        <f>'05_Расходы'!AH42</f>
        <v/>
      </c>
      <c r="AI29" s="4">
        <f>'05_Расходы'!AI42</f>
        <v/>
      </c>
      <c r="AJ29" s="4">
        <f>'05_Расходы'!AJ42</f>
        <v/>
      </c>
      <c r="AK29" s="4">
        <f>'05_Расходы'!AK42</f>
        <v/>
      </c>
      <c r="AL29" s="4">
        <f>'05_Расходы'!AL42</f>
        <v/>
      </c>
      <c r="AM29" s="4">
        <f>'05_Расходы'!AM42</f>
        <v/>
      </c>
      <c r="AN29" s="4">
        <f>'05_Расходы'!AN42</f>
        <v/>
      </c>
      <c r="AO29" s="4">
        <f>'05_Расходы'!AO42</f>
        <v/>
      </c>
      <c r="AP29" s="4">
        <f>'05_Расходы'!AP42</f>
        <v/>
      </c>
      <c r="AQ29" s="4">
        <f>'05_Расходы'!AQ42</f>
        <v/>
      </c>
      <c r="AR29" s="4">
        <f>'05_Расходы'!AR42</f>
        <v/>
      </c>
      <c r="AS29" s="4">
        <f>'05_Расходы'!AS42</f>
        <v/>
      </c>
      <c r="AT29" s="4">
        <f>'05_Расходы'!AT42</f>
        <v/>
      </c>
      <c r="AU29" s="4">
        <f>'05_Расходы'!AU42</f>
        <v/>
      </c>
      <c r="AV29" s="4">
        <f>'05_Расходы'!AV42</f>
        <v/>
      </c>
      <c r="AW29" s="4">
        <f>'05_Расходы'!AW42</f>
        <v/>
      </c>
      <c r="AX29" s="4">
        <f>'05_Расходы'!AX42</f>
        <v/>
      </c>
      <c r="AY29" s="4">
        <f>'05_Расходы'!AY42</f>
        <v/>
      </c>
      <c r="AZ29" s="4">
        <f>'05_Расходы'!AZ42</f>
        <v/>
      </c>
      <c r="BA29" s="4">
        <f>'05_Расходы'!BA42</f>
        <v/>
      </c>
      <c r="BB29" s="4">
        <f>'05_Расходы'!BB42</f>
        <v/>
      </c>
      <c r="BC29" s="4">
        <f>'05_Расходы'!BC42</f>
        <v/>
      </c>
      <c r="BD29" s="4">
        <f>'05_Расходы'!BD42</f>
        <v/>
      </c>
      <c r="BE29" s="4">
        <f>'05_Расходы'!BE42</f>
        <v/>
      </c>
      <c r="BF29" s="4">
        <f>'05_Расходы'!BF42</f>
        <v/>
      </c>
      <c r="BG29" s="4">
        <f>'05_Расходы'!BG42</f>
        <v/>
      </c>
      <c r="BH29" s="4">
        <f>'05_Расходы'!BH42</f>
        <v/>
      </c>
      <c r="BI29" s="4">
        <f>'05_Расходы'!BI42</f>
        <v/>
      </c>
      <c r="BJ29" s="4">
        <f>'05_Расходы'!BJ42</f>
        <v/>
      </c>
      <c r="BK29" s="4">
        <f>'05_Расходы'!BK42</f>
        <v/>
      </c>
      <c r="BL29" s="4">
        <f>'05_Расходы'!BL42</f>
        <v/>
      </c>
      <c r="BM29" s="4">
        <f>'05_Расходы'!BM42</f>
        <v/>
      </c>
      <c r="BN29" s="4">
        <f>'05_Расходы'!BN42</f>
        <v/>
      </c>
      <c r="BO29" s="4">
        <f>'05_Расходы'!BO42</f>
        <v/>
      </c>
      <c r="BP29" s="4">
        <f>'05_Расходы'!BP42</f>
        <v/>
      </c>
      <c r="BQ29" s="4">
        <f>'05_Расходы'!BQ42</f>
        <v/>
      </c>
      <c r="BR29" s="4">
        <f>'05_Расходы'!BR42</f>
        <v/>
      </c>
      <c r="BS29" s="4">
        <f>'05_Расходы'!BS42</f>
        <v/>
      </c>
      <c r="BT29" s="4">
        <f>'05_Расходы'!BT42</f>
        <v/>
      </c>
      <c r="BU29" s="4">
        <f>'05_Расходы'!BU42</f>
        <v/>
      </c>
      <c r="BV29" s="4">
        <f>'05_Расходы'!BV42</f>
        <v/>
      </c>
      <c r="BW29" s="4">
        <f>'05_Расходы'!BW42</f>
        <v/>
      </c>
      <c r="BX29" s="4">
        <f>'05_Расходы'!BX42</f>
        <v/>
      </c>
      <c r="BY29" s="4">
        <f>'05_Расходы'!BY42</f>
        <v/>
      </c>
    </row>
    <row r="30">
      <c r="B30" s="6" t="inlineStr">
        <is>
          <t>OPEX — всего</t>
        </is>
      </c>
      <c r="C30" s="6" t="inlineStr">
        <is>
          <t>₽</t>
        </is>
      </c>
      <c r="D30" s="120" t="inlineStr"/>
      <c r="E30" s="121">
        <f>SUM(L30:W30)</f>
        <v/>
      </c>
      <c r="F30" s="121">
        <f>SUM(X30:AI30)</f>
        <v/>
      </c>
      <c r="G30" s="121">
        <f>SUM(AJ30:AU30)</f>
        <v/>
      </c>
      <c r="H30" s="121">
        <f>SUM(AV30:BG30)</f>
        <v/>
      </c>
      <c r="I30" s="121">
        <f>SUM(BH30:BS30)</f>
        <v/>
      </c>
      <c r="J30" s="8">
        <f>SUM(L30:BS30)</f>
        <v/>
      </c>
      <c r="L30" s="7">
        <f>SUM(L23:L29)</f>
        <v/>
      </c>
      <c r="M30" s="7">
        <f>SUM(M23:M29)</f>
        <v/>
      </c>
      <c r="N30" s="7">
        <f>SUM(N23:N29)</f>
        <v/>
      </c>
      <c r="O30" s="7">
        <f>SUM(O23:O29)</f>
        <v/>
      </c>
      <c r="P30" s="7">
        <f>SUM(P23:P29)</f>
        <v/>
      </c>
      <c r="Q30" s="7">
        <f>SUM(Q23:Q29)</f>
        <v/>
      </c>
      <c r="R30" s="7">
        <f>SUM(R23:R29)</f>
        <v/>
      </c>
      <c r="S30" s="7">
        <f>SUM(S23:S29)</f>
        <v/>
      </c>
      <c r="T30" s="7">
        <f>SUM(T23:T29)</f>
        <v/>
      </c>
      <c r="U30" s="7">
        <f>SUM(U23:U29)</f>
        <v/>
      </c>
      <c r="V30" s="7">
        <f>SUM(V23:V29)</f>
        <v/>
      </c>
      <c r="W30" s="7">
        <f>SUM(W23:W29)</f>
        <v/>
      </c>
      <c r="X30" s="7">
        <f>SUM(X23:X29)</f>
        <v/>
      </c>
      <c r="Y30" s="7">
        <f>SUM(Y23:Y29)</f>
        <v/>
      </c>
      <c r="Z30" s="7">
        <f>SUM(Z23:Z29)</f>
        <v/>
      </c>
      <c r="AA30" s="7">
        <f>SUM(AA23:AA29)</f>
        <v/>
      </c>
      <c r="AB30" s="7">
        <f>SUM(AB23:AB29)</f>
        <v/>
      </c>
      <c r="AC30" s="7">
        <f>SUM(AC23:AC29)</f>
        <v/>
      </c>
      <c r="AD30" s="7">
        <f>SUM(AD23:AD29)</f>
        <v/>
      </c>
      <c r="AE30" s="7">
        <f>SUM(AE23:AE29)</f>
        <v/>
      </c>
      <c r="AF30" s="7">
        <f>SUM(AF23:AF29)</f>
        <v/>
      </c>
      <c r="AG30" s="7">
        <f>SUM(AG23:AG29)</f>
        <v/>
      </c>
      <c r="AH30" s="7">
        <f>SUM(AH23:AH29)</f>
        <v/>
      </c>
      <c r="AI30" s="7">
        <f>SUM(AI23:AI29)</f>
        <v/>
      </c>
      <c r="AJ30" s="7">
        <f>SUM(AJ23:AJ29)</f>
        <v/>
      </c>
      <c r="AK30" s="7">
        <f>SUM(AK23:AK29)</f>
        <v/>
      </c>
      <c r="AL30" s="7">
        <f>SUM(AL23:AL29)</f>
        <v/>
      </c>
      <c r="AM30" s="7">
        <f>SUM(AM23:AM29)</f>
        <v/>
      </c>
      <c r="AN30" s="7">
        <f>SUM(AN23:AN29)</f>
        <v/>
      </c>
      <c r="AO30" s="7">
        <f>SUM(AO23:AO29)</f>
        <v/>
      </c>
      <c r="AP30" s="7">
        <f>SUM(AP23:AP29)</f>
        <v/>
      </c>
      <c r="AQ30" s="7">
        <f>SUM(AQ23:AQ29)</f>
        <v/>
      </c>
      <c r="AR30" s="7">
        <f>SUM(AR23:AR29)</f>
        <v/>
      </c>
      <c r="AS30" s="7">
        <f>SUM(AS23:AS29)</f>
        <v/>
      </c>
      <c r="AT30" s="7">
        <f>SUM(AT23:AT29)</f>
        <v/>
      </c>
      <c r="AU30" s="7">
        <f>SUM(AU23:AU29)</f>
        <v/>
      </c>
      <c r="AV30" s="7">
        <f>SUM(AV23:AV29)</f>
        <v/>
      </c>
      <c r="AW30" s="7">
        <f>SUM(AW23:AW29)</f>
        <v/>
      </c>
      <c r="AX30" s="7">
        <f>SUM(AX23:AX29)</f>
        <v/>
      </c>
      <c r="AY30" s="7">
        <f>SUM(AY23:AY29)</f>
        <v/>
      </c>
      <c r="AZ30" s="7">
        <f>SUM(AZ23:AZ29)</f>
        <v/>
      </c>
      <c r="BA30" s="7">
        <f>SUM(BA23:BA29)</f>
        <v/>
      </c>
      <c r="BB30" s="7">
        <f>SUM(BB23:BB29)</f>
        <v/>
      </c>
      <c r="BC30" s="7">
        <f>SUM(BC23:BC29)</f>
        <v/>
      </c>
      <c r="BD30" s="7">
        <f>SUM(BD23:BD29)</f>
        <v/>
      </c>
      <c r="BE30" s="7">
        <f>SUM(BE23:BE29)</f>
        <v/>
      </c>
      <c r="BF30" s="7">
        <f>SUM(BF23:BF29)</f>
        <v/>
      </c>
      <c r="BG30" s="7">
        <f>SUM(BG23:BG29)</f>
        <v/>
      </c>
      <c r="BH30" s="7">
        <f>SUM(BH23:BH29)</f>
        <v/>
      </c>
      <c r="BI30" s="7">
        <f>SUM(BI23:BI29)</f>
        <v/>
      </c>
      <c r="BJ30" s="7">
        <f>SUM(BJ23:BJ29)</f>
        <v/>
      </c>
      <c r="BK30" s="7">
        <f>SUM(BK23:BK29)</f>
        <v/>
      </c>
      <c r="BL30" s="7">
        <f>SUM(BL23:BL29)</f>
        <v/>
      </c>
      <c r="BM30" s="7">
        <f>SUM(BM23:BM29)</f>
        <v/>
      </c>
      <c r="BN30" s="7">
        <f>SUM(BN23:BN29)</f>
        <v/>
      </c>
      <c r="BO30" s="7">
        <f>SUM(BO23:BO29)</f>
        <v/>
      </c>
      <c r="BP30" s="7">
        <f>SUM(BP23:BP29)</f>
        <v/>
      </c>
      <c r="BQ30" s="7">
        <f>SUM(BQ23:BQ29)</f>
        <v/>
      </c>
      <c r="BR30" s="7">
        <f>SUM(BR23:BR29)</f>
        <v/>
      </c>
      <c r="BS30" s="7">
        <f>SUM(BS23:BS29)</f>
        <v/>
      </c>
      <c r="BT30" s="7">
        <f>SUM(BT23:BT29)</f>
        <v/>
      </c>
      <c r="BU30" s="7">
        <f>SUM(BU23:BU29)</f>
        <v/>
      </c>
      <c r="BV30" s="7">
        <f>SUM(BV23:BV29)</f>
        <v/>
      </c>
      <c r="BW30" s="7">
        <f>SUM(BW23:BW29)</f>
        <v/>
      </c>
      <c r="BX30" s="7">
        <f>SUM(BX23:BX29)</f>
        <v/>
      </c>
      <c r="BY30" s="7">
        <f>SUM(BY23:BY29)</f>
        <v/>
      </c>
    </row>
    <row r="31">
      <c r="B31" s="6" t="inlineStr">
        <is>
          <t>EBITDA</t>
        </is>
      </c>
      <c r="C31" s="6" t="inlineStr">
        <is>
          <t>₽</t>
        </is>
      </c>
      <c r="D31" s="120" t="inlineStr"/>
      <c r="E31" s="121">
        <f>SUM(L31:W31)</f>
        <v/>
      </c>
      <c r="F31" s="121">
        <f>SUM(X31:AI31)</f>
        <v/>
      </c>
      <c r="G31" s="121">
        <f>SUM(AJ31:AU31)</f>
        <v/>
      </c>
      <c r="H31" s="121">
        <f>SUM(AV31:BG31)</f>
        <v/>
      </c>
      <c r="I31" s="121">
        <f>SUM(BH31:BS31)</f>
        <v/>
      </c>
      <c r="J31" s="8">
        <f>SUM(L31:BS31)</f>
        <v/>
      </c>
      <c r="L31" s="7">
        <f>L22-L30</f>
        <v/>
      </c>
      <c r="M31" s="7">
        <f>M22-M30</f>
        <v/>
      </c>
      <c r="N31" s="7">
        <f>N22-N30</f>
        <v/>
      </c>
      <c r="O31" s="7">
        <f>O22-O30</f>
        <v/>
      </c>
      <c r="P31" s="7">
        <f>P22-P30</f>
        <v/>
      </c>
      <c r="Q31" s="7">
        <f>Q22-Q30</f>
        <v/>
      </c>
      <c r="R31" s="7">
        <f>R22-R30</f>
        <v/>
      </c>
      <c r="S31" s="7">
        <f>S22-S30</f>
        <v/>
      </c>
      <c r="T31" s="7">
        <f>T22-T30</f>
        <v/>
      </c>
      <c r="U31" s="7">
        <f>U22-U30</f>
        <v/>
      </c>
      <c r="V31" s="7">
        <f>V22-V30</f>
        <v/>
      </c>
      <c r="W31" s="7">
        <f>W22-W30</f>
        <v/>
      </c>
      <c r="X31" s="7">
        <f>X22-X30</f>
        <v/>
      </c>
      <c r="Y31" s="7">
        <f>Y22-Y30</f>
        <v/>
      </c>
      <c r="Z31" s="7">
        <f>Z22-Z30</f>
        <v/>
      </c>
      <c r="AA31" s="7">
        <f>AA22-AA30</f>
        <v/>
      </c>
      <c r="AB31" s="7">
        <f>AB22-AB30</f>
        <v/>
      </c>
      <c r="AC31" s="7">
        <f>AC22-AC30</f>
        <v/>
      </c>
      <c r="AD31" s="7">
        <f>AD22-AD30</f>
        <v/>
      </c>
      <c r="AE31" s="7">
        <f>AE22-AE30</f>
        <v/>
      </c>
      <c r="AF31" s="7">
        <f>AF22-AF30</f>
        <v/>
      </c>
      <c r="AG31" s="7">
        <f>AG22-AG30</f>
        <v/>
      </c>
      <c r="AH31" s="7">
        <f>AH22-AH30</f>
        <v/>
      </c>
      <c r="AI31" s="7">
        <f>AI22-AI30</f>
        <v/>
      </c>
      <c r="AJ31" s="7">
        <f>AJ22-AJ30</f>
        <v/>
      </c>
      <c r="AK31" s="7">
        <f>AK22-AK30</f>
        <v/>
      </c>
      <c r="AL31" s="7">
        <f>AL22-AL30</f>
        <v/>
      </c>
      <c r="AM31" s="7">
        <f>AM22-AM30</f>
        <v/>
      </c>
      <c r="AN31" s="7">
        <f>AN22-AN30</f>
        <v/>
      </c>
      <c r="AO31" s="7">
        <f>AO22-AO30</f>
        <v/>
      </c>
      <c r="AP31" s="7">
        <f>AP22-AP30</f>
        <v/>
      </c>
      <c r="AQ31" s="7">
        <f>AQ22-AQ30</f>
        <v/>
      </c>
      <c r="AR31" s="7">
        <f>AR22-AR30</f>
        <v/>
      </c>
      <c r="AS31" s="7">
        <f>AS22-AS30</f>
        <v/>
      </c>
      <c r="AT31" s="7">
        <f>AT22-AT30</f>
        <v/>
      </c>
      <c r="AU31" s="7">
        <f>AU22-AU30</f>
        <v/>
      </c>
      <c r="AV31" s="7">
        <f>AV22-AV30</f>
        <v/>
      </c>
      <c r="AW31" s="7">
        <f>AW22-AW30</f>
        <v/>
      </c>
      <c r="AX31" s="7">
        <f>AX22-AX30</f>
        <v/>
      </c>
      <c r="AY31" s="7">
        <f>AY22-AY30</f>
        <v/>
      </c>
      <c r="AZ31" s="7">
        <f>AZ22-AZ30</f>
        <v/>
      </c>
      <c r="BA31" s="7">
        <f>BA22-BA30</f>
        <v/>
      </c>
      <c r="BB31" s="7">
        <f>BB22-BB30</f>
        <v/>
      </c>
      <c r="BC31" s="7">
        <f>BC22-BC30</f>
        <v/>
      </c>
      <c r="BD31" s="7">
        <f>BD22-BD30</f>
        <v/>
      </c>
      <c r="BE31" s="7">
        <f>BE22-BE30</f>
        <v/>
      </c>
      <c r="BF31" s="7">
        <f>BF22-BF30</f>
        <v/>
      </c>
      <c r="BG31" s="7">
        <f>BG22-BG30</f>
        <v/>
      </c>
      <c r="BH31" s="7">
        <f>BH22-BH30</f>
        <v/>
      </c>
      <c r="BI31" s="7">
        <f>BI22-BI30</f>
        <v/>
      </c>
      <c r="BJ31" s="7">
        <f>BJ22-BJ30</f>
        <v/>
      </c>
      <c r="BK31" s="7">
        <f>BK22-BK30</f>
        <v/>
      </c>
      <c r="BL31" s="7">
        <f>BL22-BL30</f>
        <v/>
      </c>
      <c r="BM31" s="7">
        <f>BM22-BM30</f>
        <v/>
      </c>
      <c r="BN31" s="7">
        <f>BN22-BN30</f>
        <v/>
      </c>
      <c r="BO31" s="7">
        <f>BO22-BO30</f>
        <v/>
      </c>
      <c r="BP31" s="7">
        <f>BP22-BP30</f>
        <v/>
      </c>
      <c r="BQ31" s="7">
        <f>BQ22-BQ30</f>
        <v/>
      </c>
      <c r="BR31" s="7">
        <f>BR22-BR30</f>
        <v/>
      </c>
      <c r="BS31" s="7">
        <f>BS22-BS30</f>
        <v/>
      </c>
      <c r="BT31" s="7">
        <f>BT22-BT30</f>
        <v/>
      </c>
      <c r="BU31" s="7">
        <f>BU22-BU30</f>
        <v/>
      </c>
      <c r="BV31" s="7">
        <f>BV22-BV30</f>
        <v/>
      </c>
      <c r="BW31" s="7">
        <f>BW22-BW30</f>
        <v/>
      </c>
      <c r="BX31" s="7">
        <f>BX22-BX30</f>
        <v/>
      </c>
      <c r="BY31" s="7">
        <f>BY22-BY30</f>
        <v/>
      </c>
    </row>
    <row r="32">
      <c r="B32" t="inlineStr">
        <is>
          <t>EBITDA, % выручки</t>
        </is>
      </c>
      <c r="C32" t="inlineStr">
        <is>
          <t>%</t>
        </is>
      </c>
      <c r="D32" s="117" t="inlineStr"/>
      <c r="E32" s="122">
        <f>AVERAGE(L32:W32)</f>
        <v/>
      </c>
      <c r="F32" s="122">
        <f>AVERAGE(X32:AI32)</f>
        <v/>
      </c>
      <c r="G32" s="122">
        <f>AVERAGE(AJ32:AU32)</f>
        <v/>
      </c>
      <c r="H32" s="122">
        <f>AVERAGE(AV32:BG32)</f>
        <v/>
      </c>
      <c r="I32" s="122">
        <f>AVERAGE(BH32:BS32)</f>
        <v/>
      </c>
      <c r="J32" s="123">
        <f>AVERAGE(L32:BS32)</f>
        <v/>
      </c>
      <c r="L32" s="14">
        <f>IF(L15=0,0,L31/L15)</f>
        <v/>
      </c>
      <c r="M32" s="14">
        <f>IF(M15=0,0,M31/M15)</f>
        <v/>
      </c>
      <c r="N32" s="14">
        <f>IF(N15=0,0,N31/N15)</f>
        <v/>
      </c>
      <c r="O32" s="14">
        <f>IF(O15=0,0,O31/O15)</f>
        <v/>
      </c>
      <c r="P32" s="14">
        <f>IF(P15=0,0,P31/P15)</f>
        <v/>
      </c>
      <c r="Q32" s="14">
        <f>IF(Q15=0,0,Q31/Q15)</f>
        <v/>
      </c>
      <c r="R32" s="14">
        <f>IF(R15=0,0,R31/R15)</f>
        <v/>
      </c>
      <c r="S32" s="14">
        <f>IF(S15=0,0,S31/S15)</f>
        <v/>
      </c>
      <c r="T32" s="14">
        <f>IF(T15=0,0,T31/T15)</f>
        <v/>
      </c>
      <c r="U32" s="14">
        <f>IF(U15=0,0,U31/U15)</f>
        <v/>
      </c>
      <c r="V32" s="14">
        <f>IF(V15=0,0,V31/V15)</f>
        <v/>
      </c>
      <c r="W32" s="14">
        <f>IF(W15=0,0,W31/W15)</f>
        <v/>
      </c>
      <c r="X32" s="14">
        <f>IF(X15=0,0,X31/X15)</f>
        <v/>
      </c>
      <c r="Y32" s="14">
        <f>IF(Y15=0,0,Y31/Y15)</f>
        <v/>
      </c>
      <c r="Z32" s="14">
        <f>IF(Z15=0,0,Z31/Z15)</f>
        <v/>
      </c>
      <c r="AA32" s="14">
        <f>IF(AA15=0,0,AA31/AA15)</f>
        <v/>
      </c>
      <c r="AB32" s="14">
        <f>IF(AB15=0,0,AB31/AB15)</f>
        <v/>
      </c>
      <c r="AC32" s="14">
        <f>IF(AC15=0,0,AC31/AC15)</f>
        <v/>
      </c>
      <c r="AD32" s="14">
        <f>IF(AD15=0,0,AD31/AD15)</f>
        <v/>
      </c>
      <c r="AE32" s="14">
        <f>IF(AE15=0,0,AE31/AE15)</f>
        <v/>
      </c>
      <c r="AF32" s="14">
        <f>IF(AF15=0,0,AF31/AF15)</f>
        <v/>
      </c>
      <c r="AG32" s="14">
        <f>IF(AG15=0,0,AG31/AG15)</f>
        <v/>
      </c>
      <c r="AH32" s="14">
        <f>IF(AH15=0,0,AH31/AH15)</f>
        <v/>
      </c>
      <c r="AI32" s="14">
        <f>IF(AI15=0,0,AI31/AI15)</f>
        <v/>
      </c>
      <c r="AJ32" s="14">
        <f>IF(AJ15=0,0,AJ31/AJ15)</f>
        <v/>
      </c>
      <c r="AK32" s="14">
        <f>IF(AK15=0,0,AK31/AK15)</f>
        <v/>
      </c>
      <c r="AL32" s="14">
        <f>IF(AL15=0,0,AL31/AL15)</f>
        <v/>
      </c>
      <c r="AM32" s="14">
        <f>IF(AM15=0,0,AM31/AM15)</f>
        <v/>
      </c>
      <c r="AN32" s="14">
        <f>IF(AN15=0,0,AN31/AN15)</f>
        <v/>
      </c>
      <c r="AO32" s="14">
        <f>IF(AO15=0,0,AO31/AO15)</f>
        <v/>
      </c>
      <c r="AP32" s="14">
        <f>IF(AP15=0,0,AP31/AP15)</f>
        <v/>
      </c>
      <c r="AQ32" s="14">
        <f>IF(AQ15=0,0,AQ31/AQ15)</f>
        <v/>
      </c>
      <c r="AR32" s="14">
        <f>IF(AR15=0,0,AR31/AR15)</f>
        <v/>
      </c>
      <c r="AS32" s="14">
        <f>IF(AS15=0,0,AS31/AS15)</f>
        <v/>
      </c>
      <c r="AT32" s="14">
        <f>IF(AT15=0,0,AT31/AT15)</f>
        <v/>
      </c>
      <c r="AU32" s="14">
        <f>IF(AU15=0,0,AU31/AU15)</f>
        <v/>
      </c>
      <c r="AV32" s="14">
        <f>IF(AV15=0,0,AV31/AV15)</f>
        <v/>
      </c>
      <c r="AW32" s="14">
        <f>IF(AW15=0,0,AW31/AW15)</f>
        <v/>
      </c>
      <c r="AX32" s="14">
        <f>IF(AX15=0,0,AX31/AX15)</f>
        <v/>
      </c>
      <c r="AY32" s="14">
        <f>IF(AY15=0,0,AY31/AY15)</f>
        <v/>
      </c>
      <c r="AZ32" s="14">
        <f>IF(AZ15=0,0,AZ31/AZ15)</f>
        <v/>
      </c>
      <c r="BA32" s="14">
        <f>IF(BA15=0,0,BA31/BA15)</f>
        <v/>
      </c>
      <c r="BB32" s="14">
        <f>IF(BB15=0,0,BB31/BB15)</f>
        <v/>
      </c>
      <c r="BC32" s="14">
        <f>IF(BC15=0,0,BC31/BC15)</f>
        <v/>
      </c>
      <c r="BD32" s="14">
        <f>IF(BD15=0,0,BD31/BD15)</f>
        <v/>
      </c>
      <c r="BE32" s="14">
        <f>IF(BE15=0,0,BE31/BE15)</f>
        <v/>
      </c>
      <c r="BF32" s="14">
        <f>IF(BF15=0,0,BF31/BF15)</f>
        <v/>
      </c>
      <c r="BG32" s="14">
        <f>IF(BG15=0,0,BG31/BG15)</f>
        <v/>
      </c>
      <c r="BH32" s="14">
        <f>IF(BH15=0,0,BH31/BH15)</f>
        <v/>
      </c>
      <c r="BI32" s="14">
        <f>IF(BI15=0,0,BI31/BI15)</f>
        <v/>
      </c>
      <c r="BJ32" s="14">
        <f>IF(BJ15=0,0,BJ31/BJ15)</f>
        <v/>
      </c>
      <c r="BK32" s="14">
        <f>IF(BK15=0,0,BK31/BK15)</f>
        <v/>
      </c>
      <c r="BL32" s="14">
        <f>IF(BL15=0,0,BL31/BL15)</f>
        <v/>
      </c>
      <c r="BM32" s="14">
        <f>IF(BM15=0,0,BM31/BM15)</f>
        <v/>
      </c>
      <c r="BN32" s="14">
        <f>IF(BN15=0,0,BN31/BN15)</f>
        <v/>
      </c>
      <c r="BO32" s="14">
        <f>IF(BO15=0,0,BO31/BO15)</f>
        <v/>
      </c>
      <c r="BP32" s="14">
        <f>IF(BP15=0,0,BP31/BP15)</f>
        <v/>
      </c>
      <c r="BQ32" s="14">
        <f>IF(BQ15=0,0,BQ31/BQ15)</f>
        <v/>
      </c>
      <c r="BR32" s="14">
        <f>IF(BR15=0,0,BR31/BR15)</f>
        <v/>
      </c>
      <c r="BS32" s="14">
        <f>IF(BS15=0,0,BS31/BS15)</f>
        <v/>
      </c>
      <c r="BT32" s="14">
        <f>IF(BT15=0,0,BT31/BT15)</f>
        <v/>
      </c>
      <c r="BU32" s="14">
        <f>IF(BU15=0,0,BU31/BU15)</f>
        <v/>
      </c>
      <c r="BV32" s="14">
        <f>IF(BV15=0,0,BV31/BV15)</f>
        <v/>
      </c>
      <c r="BW32" s="14">
        <f>IF(BW15=0,0,BW31/BW15)</f>
        <v/>
      </c>
      <c r="BX32" s="14">
        <f>IF(BX15=0,0,BX31/BX15)</f>
        <v/>
      </c>
      <c r="BY32" s="14">
        <f>IF(BY15=0,0,BY31/BY15)</f>
        <v/>
      </c>
    </row>
    <row r="33">
      <c r="B33" t="inlineStr">
        <is>
          <t>УСН / минимальный налог</t>
        </is>
      </c>
      <c r="C33" t="inlineStr">
        <is>
          <t>₽</t>
        </is>
      </c>
      <c r="D33" s="117" t="inlineStr"/>
      <c r="E33" s="119">
        <f>SUM(L33:W33)</f>
        <v/>
      </c>
      <c r="F33" s="119">
        <f>SUM(X33:AI33)</f>
        <v/>
      </c>
      <c r="G33" s="119">
        <f>SUM(AJ33:AU33)</f>
        <v/>
      </c>
      <c r="H33" s="119">
        <f>SUM(AV33:BG33)</f>
        <v/>
      </c>
      <c r="I33" s="119">
        <f>SUM(BH33:BS33)</f>
        <v/>
      </c>
      <c r="J33" s="5">
        <f>SUM(L33:BS33)</f>
        <v/>
      </c>
      <c r="L33" s="4">
        <f>'06_Деньги'!L21</f>
        <v/>
      </c>
      <c r="M33" s="4">
        <f>'06_Деньги'!M21</f>
        <v/>
      </c>
      <c r="N33" s="4">
        <f>'06_Деньги'!N21</f>
        <v/>
      </c>
      <c r="O33" s="4">
        <f>'06_Деньги'!O21</f>
        <v/>
      </c>
      <c r="P33" s="4">
        <f>'06_Деньги'!P21</f>
        <v/>
      </c>
      <c r="Q33" s="4">
        <f>'06_Деньги'!Q21</f>
        <v/>
      </c>
      <c r="R33" s="4">
        <f>'06_Деньги'!R21</f>
        <v/>
      </c>
      <c r="S33" s="4">
        <f>'06_Деньги'!S21</f>
        <v/>
      </c>
      <c r="T33" s="4">
        <f>'06_Деньги'!T21</f>
        <v/>
      </c>
      <c r="U33" s="4">
        <f>'06_Деньги'!U21</f>
        <v/>
      </c>
      <c r="V33" s="4">
        <f>'06_Деньги'!V21</f>
        <v/>
      </c>
      <c r="W33" s="4">
        <f>'06_Деньги'!W21</f>
        <v/>
      </c>
      <c r="X33" s="4">
        <f>'06_Деньги'!X21</f>
        <v/>
      </c>
      <c r="Y33" s="4">
        <f>'06_Деньги'!Y21</f>
        <v/>
      </c>
      <c r="Z33" s="4">
        <f>'06_Деньги'!Z21</f>
        <v/>
      </c>
      <c r="AA33" s="4">
        <f>'06_Деньги'!AA21</f>
        <v/>
      </c>
      <c r="AB33" s="4">
        <f>'06_Деньги'!AB21</f>
        <v/>
      </c>
      <c r="AC33" s="4">
        <f>'06_Деньги'!AC21</f>
        <v/>
      </c>
      <c r="AD33" s="4">
        <f>'06_Деньги'!AD21</f>
        <v/>
      </c>
      <c r="AE33" s="4">
        <f>'06_Деньги'!AE21</f>
        <v/>
      </c>
      <c r="AF33" s="4">
        <f>'06_Деньги'!AF21</f>
        <v/>
      </c>
      <c r="AG33" s="4">
        <f>'06_Деньги'!AG21</f>
        <v/>
      </c>
      <c r="AH33" s="4">
        <f>'06_Деньги'!AH21</f>
        <v/>
      </c>
      <c r="AI33" s="4">
        <f>'06_Деньги'!AI21</f>
        <v/>
      </c>
      <c r="AJ33" s="4">
        <f>'06_Деньги'!AJ21</f>
        <v/>
      </c>
      <c r="AK33" s="4">
        <f>'06_Деньги'!AK21</f>
        <v/>
      </c>
      <c r="AL33" s="4">
        <f>'06_Деньги'!AL21</f>
        <v/>
      </c>
      <c r="AM33" s="4">
        <f>'06_Деньги'!AM21</f>
        <v/>
      </c>
      <c r="AN33" s="4">
        <f>'06_Деньги'!AN21</f>
        <v/>
      </c>
      <c r="AO33" s="4">
        <f>'06_Деньги'!AO21</f>
        <v/>
      </c>
      <c r="AP33" s="4">
        <f>'06_Деньги'!AP21</f>
        <v/>
      </c>
      <c r="AQ33" s="4">
        <f>'06_Деньги'!AQ21</f>
        <v/>
      </c>
      <c r="AR33" s="4">
        <f>'06_Деньги'!AR21</f>
        <v/>
      </c>
      <c r="AS33" s="4">
        <f>'06_Деньги'!AS21</f>
        <v/>
      </c>
      <c r="AT33" s="4">
        <f>'06_Деньги'!AT21</f>
        <v/>
      </c>
      <c r="AU33" s="4">
        <f>'06_Деньги'!AU21</f>
        <v/>
      </c>
      <c r="AV33" s="4">
        <f>'06_Деньги'!AV21</f>
        <v/>
      </c>
      <c r="AW33" s="4">
        <f>'06_Деньги'!AW21</f>
        <v/>
      </c>
      <c r="AX33" s="4">
        <f>'06_Деньги'!AX21</f>
        <v/>
      </c>
      <c r="AY33" s="4">
        <f>'06_Деньги'!AY21</f>
        <v/>
      </c>
      <c r="AZ33" s="4">
        <f>'06_Деньги'!AZ21</f>
        <v/>
      </c>
      <c r="BA33" s="4">
        <f>'06_Деньги'!BA21</f>
        <v/>
      </c>
      <c r="BB33" s="4">
        <f>'06_Деньги'!BB21</f>
        <v/>
      </c>
      <c r="BC33" s="4">
        <f>'06_Деньги'!BC21</f>
        <v/>
      </c>
      <c r="BD33" s="4">
        <f>'06_Деньги'!BD21</f>
        <v/>
      </c>
      <c r="BE33" s="4">
        <f>'06_Деньги'!BE21</f>
        <v/>
      </c>
      <c r="BF33" s="4">
        <f>'06_Деньги'!BF21</f>
        <v/>
      </c>
      <c r="BG33" s="4">
        <f>'06_Деньги'!BG21</f>
        <v/>
      </c>
      <c r="BH33" s="4">
        <f>'06_Деньги'!BH21</f>
        <v/>
      </c>
      <c r="BI33" s="4">
        <f>'06_Деньги'!BI21</f>
        <v/>
      </c>
      <c r="BJ33" s="4">
        <f>'06_Деньги'!BJ21</f>
        <v/>
      </c>
      <c r="BK33" s="4">
        <f>'06_Деньги'!BK21</f>
        <v/>
      </c>
      <c r="BL33" s="4">
        <f>'06_Деньги'!BL21</f>
        <v/>
      </c>
      <c r="BM33" s="4">
        <f>'06_Деньги'!BM21</f>
        <v/>
      </c>
      <c r="BN33" s="4">
        <f>'06_Деньги'!BN21</f>
        <v/>
      </c>
      <c r="BO33" s="4">
        <f>'06_Деньги'!BO21</f>
        <v/>
      </c>
      <c r="BP33" s="4">
        <f>'06_Деньги'!BP21</f>
        <v/>
      </c>
      <c r="BQ33" s="4">
        <f>'06_Деньги'!BQ21</f>
        <v/>
      </c>
      <c r="BR33" s="4">
        <f>'06_Деньги'!BR21</f>
        <v/>
      </c>
      <c r="BS33" s="4">
        <f>'06_Деньги'!BS21</f>
        <v/>
      </c>
      <c r="BT33" s="4">
        <f>'06_Деньги'!BT21</f>
        <v/>
      </c>
      <c r="BU33" s="4">
        <f>'06_Деньги'!BU21</f>
        <v/>
      </c>
      <c r="BV33" s="4">
        <f>'06_Деньги'!BV21</f>
        <v/>
      </c>
      <c r="BW33" s="4">
        <f>'06_Деньги'!BW21</f>
        <v/>
      </c>
      <c r="BX33" s="4">
        <f>'06_Деньги'!BX21</f>
        <v/>
      </c>
      <c r="BY33" s="4">
        <f>'06_Деньги'!BY21</f>
        <v/>
      </c>
    </row>
    <row r="34">
      <c r="B34" s="6" t="inlineStr">
        <is>
          <t>Прибыль после налога</t>
        </is>
      </c>
      <c r="C34" s="6" t="inlineStr">
        <is>
          <t>₽</t>
        </is>
      </c>
      <c r="D34" s="120" t="inlineStr"/>
      <c r="E34" s="121">
        <f>SUM(L34:W34)</f>
        <v/>
      </c>
      <c r="F34" s="121">
        <f>SUM(X34:AI34)</f>
        <v/>
      </c>
      <c r="G34" s="121">
        <f>SUM(AJ34:AU34)</f>
        <v/>
      </c>
      <c r="H34" s="121">
        <f>SUM(AV34:BG34)</f>
        <v/>
      </c>
      <c r="I34" s="121">
        <f>SUM(BH34:BS34)</f>
        <v/>
      </c>
      <c r="J34" s="8">
        <f>SUM(L34:BS34)</f>
        <v/>
      </c>
      <c r="L34" s="7">
        <f>L31-L33</f>
        <v/>
      </c>
      <c r="M34" s="7">
        <f>M31-M33</f>
        <v/>
      </c>
      <c r="N34" s="7">
        <f>N31-N33</f>
        <v/>
      </c>
      <c r="O34" s="7">
        <f>O31-O33</f>
        <v/>
      </c>
      <c r="P34" s="7">
        <f>P31-P33</f>
        <v/>
      </c>
      <c r="Q34" s="7">
        <f>Q31-Q33</f>
        <v/>
      </c>
      <c r="R34" s="7">
        <f>R31-R33</f>
        <v/>
      </c>
      <c r="S34" s="7">
        <f>S31-S33</f>
        <v/>
      </c>
      <c r="T34" s="7">
        <f>T31-T33</f>
        <v/>
      </c>
      <c r="U34" s="7">
        <f>U31-U33</f>
        <v/>
      </c>
      <c r="V34" s="7">
        <f>V31-V33</f>
        <v/>
      </c>
      <c r="W34" s="7">
        <f>W31-W33</f>
        <v/>
      </c>
      <c r="X34" s="7">
        <f>X31-X33</f>
        <v/>
      </c>
      <c r="Y34" s="7">
        <f>Y31-Y33</f>
        <v/>
      </c>
      <c r="Z34" s="7">
        <f>Z31-Z33</f>
        <v/>
      </c>
      <c r="AA34" s="7">
        <f>AA31-AA33</f>
        <v/>
      </c>
      <c r="AB34" s="7">
        <f>AB31-AB33</f>
        <v/>
      </c>
      <c r="AC34" s="7">
        <f>AC31-AC33</f>
        <v/>
      </c>
      <c r="AD34" s="7">
        <f>AD31-AD33</f>
        <v/>
      </c>
      <c r="AE34" s="7">
        <f>AE31-AE33</f>
        <v/>
      </c>
      <c r="AF34" s="7">
        <f>AF31-AF33</f>
        <v/>
      </c>
      <c r="AG34" s="7">
        <f>AG31-AG33</f>
        <v/>
      </c>
      <c r="AH34" s="7">
        <f>AH31-AH33</f>
        <v/>
      </c>
      <c r="AI34" s="7">
        <f>AI31-AI33</f>
        <v/>
      </c>
      <c r="AJ34" s="7">
        <f>AJ31-AJ33</f>
        <v/>
      </c>
      <c r="AK34" s="7">
        <f>AK31-AK33</f>
        <v/>
      </c>
      <c r="AL34" s="7">
        <f>AL31-AL33</f>
        <v/>
      </c>
      <c r="AM34" s="7">
        <f>AM31-AM33</f>
        <v/>
      </c>
      <c r="AN34" s="7">
        <f>AN31-AN33</f>
        <v/>
      </c>
      <c r="AO34" s="7">
        <f>AO31-AO33</f>
        <v/>
      </c>
      <c r="AP34" s="7">
        <f>AP31-AP33</f>
        <v/>
      </c>
      <c r="AQ34" s="7">
        <f>AQ31-AQ33</f>
        <v/>
      </c>
      <c r="AR34" s="7">
        <f>AR31-AR33</f>
        <v/>
      </c>
      <c r="AS34" s="7">
        <f>AS31-AS33</f>
        <v/>
      </c>
      <c r="AT34" s="7">
        <f>AT31-AT33</f>
        <v/>
      </c>
      <c r="AU34" s="7">
        <f>AU31-AU33</f>
        <v/>
      </c>
      <c r="AV34" s="7">
        <f>AV31-AV33</f>
        <v/>
      </c>
      <c r="AW34" s="7">
        <f>AW31-AW33</f>
        <v/>
      </c>
      <c r="AX34" s="7">
        <f>AX31-AX33</f>
        <v/>
      </c>
      <c r="AY34" s="7">
        <f>AY31-AY33</f>
        <v/>
      </c>
      <c r="AZ34" s="7">
        <f>AZ31-AZ33</f>
        <v/>
      </c>
      <c r="BA34" s="7">
        <f>BA31-BA33</f>
        <v/>
      </c>
      <c r="BB34" s="7">
        <f>BB31-BB33</f>
        <v/>
      </c>
      <c r="BC34" s="7">
        <f>BC31-BC33</f>
        <v/>
      </c>
      <c r="BD34" s="7">
        <f>BD31-BD33</f>
        <v/>
      </c>
      <c r="BE34" s="7">
        <f>BE31-BE33</f>
        <v/>
      </c>
      <c r="BF34" s="7">
        <f>BF31-BF33</f>
        <v/>
      </c>
      <c r="BG34" s="7">
        <f>BG31-BG33</f>
        <v/>
      </c>
      <c r="BH34" s="7">
        <f>BH31-BH33</f>
        <v/>
      </c>
      <c r="BI34" s="7">
        <f>BI31-BI33</f>
        <v/>
      </c>
      <c r="BJ34" s="7">
        <f>BJ31-BJ33</f>
        <v/>
      </c>
      <c r="BK34" s="7">
        <f>BK31-BK33</f>
        <v/>
      </c>
      <c r="BL34" s="7">
        <f>BL31-BL33</f>
        <v/>
      </c>
      <c r="BM34" s="7">
        <f>BM31-BM33</f>
        <v/>
      </c>
      <c r="BN34" s="7">
        <f>BN31-BN33</f>
        <v/>
      </c>
      <c r="BO34" s="7">
        <f>BO31-BO33</f>
        <v/>
      </c>
      <c r="BP34" s="7">
        <f>BP31-BP33</f>
        <v/>
      </c>
      <c r="BQ34" s="7">
        <f>BQ31-BQ33</f>
        <v/>
      </c>
      <c r="BR34" s="7">
        <f>BR31-BR33</f>
        <v/>
      </c>
      <c r="BS34" s="7">
        <f>BS31-BS33</f>
        <v/>
      </c>
      <c r="BT34" s="7">
        <f>BT31-BT33</f>
        <v/>
      </c>
      <c r="BU34" s="7">
        <f>BU31-BU33</f>
        <v/>
      </c>
      <c r="BV34" s="7">
        <f>BV31-BV33</f>
        <v/>
      </c>
      <c r="BW34" s="7">
        <f>BW31-BW33</f>
        <v/>
      </c>
      <c r="BX34" s="7">
        <f>BX31-BX33</f>
        <v/>
      </c>
      <c r="BY34" s="7">
        <f>BY31-BY33</f>
        <v/>
      </c>
    </row>
    <row r="36">
      <c r="B36" s="115" t="inlineStr">
        <is>
          <t>БДДС — движение денег</t>
        </is>
      </c>
      <c r="C36" s="116" t="n"/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  <c r="AI36" s="116" t="n"/>
      <c r="AJ36" s="116" t="n"/>
      <c r="AK36" s="116" t="n"/>
      <c r="AL36" s="116" t="n"/>
      <c r="AM36" s="116" t="n"/>
      <c r="AN36" s="116" t="n"/>
      <c r="AO36" s="116" t="n"/>
      <c r="AP36" s="116" t="n"/>
      <c r="AQ36" s="116" t="n"/>
      <c r="AR36" s="116" t="n"/>
      <c r="AS36" s="116" t="n"/>
      <c r="AT36" s="116" t="n"/>
      <c r="AU36" s="116" t="n"/>
      <c r="AV36" s="116" t="n"/>
      <c r="AW36" s="116" t="n"/>
      <c r="AX36" s="116" t="n"/>
      <c r="AY36" s="116" t="n"/>
      <c r="AZ36" s="116" t="n"/>
      <c r="BA36" s="116" t="n"/>
      <c r="BB36" s="116" t="n"/>
      <c r="BC36" s="116" t="n"/>
      <c r="BD36" s="116" t="n"/>
      <c r="BE36" s="116" t="n"/>
      <c r="BF36" s="116" t="n"/>
      <c r="BG36" s="116" t="n"/>
      <c r="BH36" s="116" t="n"/>
      <c r="BI36" s="116" t="n"/>
      <c r="BJ36" s="116" t="n"/>
      <c r="BK36" s="116" t="n"/>
      <c r="BL36" s="116" t="n"/>
      <c r="BM36" s="116" t="n"/>
      <c r="BN36" s="116" t="n"/>
      <c r="BO36" s="116" t="n"/>
      <c r="BP36" s="116" t="n"/>
      <c r="BQ36" s="116" t="n"/>
      <c r="BR36" s="116" t="n"/>
      <c r="BS36" s="116" t="n"/>
      <c r="BT36" s="116" t="n"/>
      <c r="BU36" s="116" t="n"/>
      <c r="BV36" s="116" t="n"/>
      <c r="BW36" s="116" t="n"/>
      <c r="BX36" s="116" t="n"/>
      <c r="BY36" s="116" t="n"/>
    </row>
    <row r="37">
      <c r="B37" t="inlineStr">
        <is>
          <t>Остаток на начало</t>
        </is>
      </c>
      <c r="C37" t="inlineStr">
        <is>
          <t>₽</t>
        </is>
      </c>
      <c r="D37" s="117" t="inlineStr"/>
      <c r="E37" s="119">
        <f>W37</f>
        <v/>
      </c>
      <c r="F37" s="119">
        <f>AI37</f>
        <v/>
      </c>
      <c r="G37" s="119">
        <f>AU37</f>
        <v/>
      </c>
      <c r="H37" s="119">
        <f>BG37</f>
        <v/>
      </c>
      <c r="I37" s="119">
        <f>BS37</f>
        <v/>
      </c>
      <c r="J37" s="5">
        <f>BS37</f>
        <v/>
      </c>
      <c r="L37" s="4">
        <f>ДеньгиСтарт</f>
        <v/>
      </c>
      <c r="M37" s="4">
        <f>L57</f>
        <v/>
      </c>
      <c r="N37" s="4">
        <f>M57</f>
        <v/>
      </c>
      <c r="O37" s="4">
        <f>N57</f>
        <v/>
      </c>
      <c r="P37" s="4">
        <f>O57</f>
        <v/>
      </c>
      <c r="Q37" s="4">
        <f>P57</f>
        <v/>
      </c>
      <c r="R37" s="4">
        <f>Q57</f>
        <v/>
      </c>
      <c r="S37" s="4">
        <f>R57</f>
        <v/>
      </c>
      <c r="T37" s="4">
        <f>S57</f>
        <v/>
      </c>
      <c r="U37" s="4">
        <f>T57</f>
        <v/>
      </c>
      <c r="V37" s="4">
        <f>U57</f>
        <v/>
      </c>
      <c r="W37" s="4">
        <f>V57</f>
        <v/>
      </c>
      <c r="X37" s="4">
        <f>W57</f>
        <v/>
      </c>
      <c r="Y37" s="4">
        <f>X57</f>
        <v/>
      </c>
      <c r="Z37" s="4">
        <f>Y57</f>
        <v/>
      </c>
      <c r="AA37" s="4">
        <f>Z57</f>
        <v/>
      </c>
      <c r="AB37" s="4">
        <f>AA57</f>
        <v/>
      </c>
      <c r="AC37" s="4">
        <f>AB57</f>
        <v/>
      </c>
      <c r="AD37" s="4">
        <f>AC57</f>
        <v/>
      </c>
      <c r="AE37" s="4">
        <f>AD57</f>
        <v/>
      </c>
      <c r="AF37" s="4">
        <f>AE57</f>
        <v/>
      </c>
      <c r="AG37" s="4">
        <f>AF57</f>
        <v/>
      </c>
      <c r="AH37" s="4">
        <f>AG57</f>
        <v/>
      </c>
      <c r="AI37" s="4">
        <f>AH57</f>
        <v/>
      </c>
      <c r="AJ37" s="4">
        <f>AI57</f>
        <v/>
      </c>
      <c r="AK37" s="4">
        <f>AJ57</f>
        <v/>
      </c>
      <c r="AL37" s="4">
        <f>AK57</f>
        <v/>
      </c>
      <c r="AM37" s="4">
        <f>AL57</f>
        <v/>
      </c>
      <c r="AN37" s="4">
        <f>AM57</f>
        <v/>
      </c>
      <c r="AO37" s="4">
        <f>AN57</f>
        <v/>
      </c>
      <c r="AP37" s="4">
        <f>AO57</f>
        <v/>
      </c>
      <c r="AQ37" s="4">
        <f>AP57</f>
        <v/>
      </c>
      <c r="AR37" s="4">
        <f>AQ57</f>
        <v/>
      </c>
      <c r="AS37" s="4">
        <f>AR57</f>
        <v/>
      </c>
      <c r="AT37" s="4">
        <f>AS57</f>
        <v/>
      </c>
      <c r="AU37" s="4">
        <f>AT57</f>
        <v/>
      </c>
      <c r="AV37" s="4">
        <f>AU57</f>
        <v/>
      </c>
      <c r="AW37" s="4">
        <f>AV57</f>
        <v/>
      </c>
      <c r="AX37" s="4">
        <f>AW57</f>
        <v/>
      </c>
      <c r="AY37" s="4">
        <f>AX57</f>
        <v/>
      </c>
      <c r="AZ37" s="4">
        <f>AY57</f>
        <v/>
      </c>
      <c r="BA37" s="4">
        <f>AZ57</f>
        <v/>
      </c>
      <c r="BB37" s="4">
        <f>BA57</f>
        <v/>
      </c>
      <c r="BC37" s="4">
        <f>BB57</f>
        <v/>
      </c>
      <c r="BD37" s="4">
        <f>BC57</f>
        <v/>
      </c>
      <c r="BE37" s="4">
        <f>BD57</f>
        <v/>
      </c>
      <c r="BF37" s="4">
        <f>BE57</f>
        <v/>
      </c>
      <c r="BG37" s="4">
        <f>BF57</f>
        <v/>
      </c>
      <c r="BH37" s="4">
        <f>BG57</f>
        <v/>
      </c>
      <c r="BI37" s="4">
        <f>BH57</f>
        <v/>
      </c>
      <c r="BJ37" s="4">
        <f>BI57</f>
        <v/>
      </c>
      <c r="BK37" s="4">
        <f>BJ57</f>
        <v/>
      </c>
      <c r="BL37" s="4">
        <f>BK57</f>
        <v/>
      </c>
      <c r="BM37" s="4">
        <f>BL57</f>
        <v/>
      </c>
      <c r="BN37" s="4">
        <f>BM57</f>
        <v/>
      </c>
      <c r="BO37" s="4">
        <f>BN57</f>
        <v/>
      </c>
      <c r="BP37" s="4">
        <f>BO57</f>
        <v/>
      </c>
      <c r="BQ37" s="4">
        <f>BP57</f>
        <v/>
      </c>
      <c r="BR37" s="4">
        <f>BQ57</f>
        <v/>
      </c>
      <c r="BS37" s="4">
        <f>BR57</f>
        <v/>
      </c>
      <c r="BT37" s="4">
        <f>BS57</f>
        <v/>
      </c>
      <c r="BU37" s="4">
        <f>BT57</f>
        <v/>
      </c>
      <c r="BV37" s="4">
        <f>BU57</f>
        <v/>
      </c>
      <c r="BW37" s="4">
        <f>BV57</f>
        <v/>
      </c>
      <c r="BX37" s="4">
        <f>BW57</f>
        <v/>
      </c>
      <c r="BY37" s="4">
        <f>BX57</f>
        <v/>
      </c>
    </row>
    <row r="38">
      <c r="B38" t="inlineStr">
        <is>
          <t>Поступления: паушальные</t>
        </is>
      </c>
      <c r="C38" t="inlineStr">
        <is>
          <t>₽</t>
        </is>
      </c>
      <c r="D38" s="117" t="inlineStr">
        <is>
          <t>С НДС, в месяц продажи — она считается после оплаты</t>
        </is>
      </c>
      <c r="E38" s="119">
        <f>SUM(L38:W38)</f>
        <v/>
      </c>
      <c r="F38" s="119">
        <f>SUM(X38:AI38)</f>
        <v/>
      </c>
      <c r="G38" s="119">
        <f>SUM(AJ38:AU38)</f>
        <v/>
      </c>
      <c r="H38" s="119">
        <f>SUM(AV38:BG38)</f>
        <v/>
      </c>
      <c r="I38" s="119">
        <f>SUM(BH38:BS38)</f>
        <v/>
      </c>
      <c r="J38" s="5">
        <f>SUM(L38:BS38)</f>
        <v/>
      </c>
      <c r="L38" s="4">
        <f>'04_Доходы'!L12</f>
        <v/>
      </c>
      <c r="M38" s="4">
        <f>'04_Доходы'!M12</f>
        <v/>
      </c>
      <c r="N38" s="4">
        <f>'04_Доходы'!N12</f>
        <v/>
      </c>
      <c r="O38" s="4">
        <f>'04_Доходы'!O12</f>
        <v/>
      </c>
      <c r="P38" s="4">
        <f>'04_Доходы'!P12</f>
        <v/>
      </c>
      <c r="Q38" s="4">
        <f>'04_Доходы'!Q12</f>
        <v/>
      </c>
      <c r="R38" s="4">
        <f>'04_Доходы'!R12</f>
        <v/>
      </c>
      <c r="S38" s="4">
        <f>'04_Доходы'!S12</f>
        <v/>
      </c>
      <c r="T38" s="4">
        <f>'04_Доходы'!T12</f>
        <v/>
      </c>
      <c r="U38" s="4">
        <f>'04_Доходы'!U12</f>
        <v/>
      </c>
      <c r="V38" s="4">
        <f>'04_Доходы'!V12</f>
        <v/>
      </c>
      <c r="W38" s="4">
        <f>'04_Доходы'!W12</f>
        <v/>
      </c>
      <c r="X38" s="4">
        <f>'04_Доходы'!X12</f>
        <v/>
      </c>
      <c r="Y38" s="4">
        <f>'04_Доходы'!Y12</f>
        <v/>
      </c>
      <c r="Z38" s="4">
        <f>'04_Доходы'!Z12</f>
        <v/>
      </c>
      <c r="AA38" s="4">
        <f>'04_Доходы'!AA12</f>
        <v/>
      </c>
      <c r="AB38" s="4">
        <f>'04_Доходы'!AB12</f>
        <v/>
      </c>
      <c r="AC38" s="4">
        <f>'04_Доходы'!AC12</f>
        <v/>
      </c>
      <c r="AD38" s="4">
        <f>'04_Доходы'!AD12</f>
        <v/>
      </c>
      <c r="AE38" s="4">
        <f>'04_Доходы'!AE12</f>
        <v/>
      </c>
      <c r="AF38" s="4">
        <f>'04_Доходы'!AF12</f>
        <v/>
      </c>
      <c r="AG38" s="4">
        <f>'04_Доходы'!AG12</f>
        <v/>
      </c>
      <c r="AH38" s="4">
        <f>'04_Доходы'!AH12</f>
        <v/>
      </c>
      <c r="AI38" s="4">
        <f>'04_Доходы'!AI12</f>
        <v/>
      </c>
      <c r="AJ38" s="4">
        <f>'04_Доходы'!AJ12</f>
        <v/>
      </c>
      <c r="AK38" s="4">
        <f>'04_Доходы'!AK12</f>
        <v/>
      </c>
      <c r="AL38" s="4">
        <f>'04_Доходы'!AL12</f>
        <v/>
      </c>
      <c r="AM38" s="4">
        <f>'04_Доходы'!AM12</f>
        <v/>
      </c>
      <c r="AN38" s="4">
        <f>'04_Доходы'!AN12</f>
        <v/>
      </c>
      <c r="AO38" s="4">
        <f>'04_Доходы'!AO12</f>
        <v/>
      </c>
      <c r="AP38" s="4">
        <f>'04_Доходы'!AP12</f>
        <v/>
      </c>
      <c r="AQ38" s="4">
        <f>'04_Доходы'!AQ12</f>
        <v/>
      </c>
      <c r="AR38" s="4">
        <f>'04_Доходы'!AR12</f>
        <v/>
      </c>
      <c r="AS38" s="4">
        <f>'04_Доходы'!AS12</f>
        <v/>
      </c>
      <c r="AT38" s="4">
        <f>'04_Доходы'!AT12</f>
        <v/>
      </c>
      <c r="AU38" s="4">
        <f>'04_Доходы'!AU12</f>
        <v/>
      </c>
      <c r="AV38" s="4">
        <f>'04_Доходы'!AV12</f>
        <v/>
      </c>
      <c r="AW38" s="4">
        <f>'04_Доходы'!AW12</f>
        <v/>
      </c>
      <c r="AX38" s="4">
        <f>'04_Доходы'!AX12</f>
        <v/>
      </c>
      <c r="AY38" s="4">
        <f>'04_Доходы'!AY12</f>
        <v/>
      </c>
      <c r="AZ38" s="4">
        <f>'04_Доходы'!AZ12</f>
        <v/>
      </c>
      <c r="BA38" s="4">
        <f>'04_Доходы'!BA12</f>
        <v/>
      </c>
      <c r="BB38" s="4">
        <f>'04_Доходы'!BB12</f>
        <v/>
      </c>
      <c r="BC38" s="4">
        <f>'04_Доходы'!BC12</f>
        <v/>
      </c>
      <c r="BD38" s="4">
        <f>'04_Доходы'!BD12</f>
        <v/>
      </c>
      <c r="BE38" s="4">
        <f>'04_Доходы'!BE12</f>
        <v/>
      </c>
      <c r="BF38" s="4">
        <f>'04_Доходы'!BF12</f>
        <v/>
      </c>
      <c r="BG38" s="4">
        <f>'04_Доходы'!BG12</f>
        <v/>
      </c>
      <c r="BH38" s="4">
        <f>'04_Доходы'!BH12</f>
        <v/>
      </c>
      <c r="BI38" s="4">
        <f>'04_Доходы'!BI12</f>
        <v/>
      </c>
      <c r="BJ38" s="4">
        <f>'04_Доходы'!BJ12</f>
        <v/>
      </c>
      <c r="BK38" s="4">
        <f>'04_Доходы'!BK12</f>
        <v/>
      </c>
      <c r="BL38" s="4">
        <f>'04_Доходы'!BL12</f>
        <v/>
      </c>
      <c r="BM38" s="4">
        <f>'04_Доходы'!BM12</f>
        <v/>
      </c>
      <c r="BN38" s="4">
        <f>'04_Доходы'!BN12</f>
        <v/>
      </c>
      <c r="BO38" s="4">
        <f>'04_Доходы'!BO12</f>
        <v/>
      </c>
      <c r="BP38" s="4">
        <f>'04_Доходы'!BP12</f>
        <v/>
      </c>
      <c r="BQ38" s="4">
        <f>'04_Доходы'!BQ12</f>
        <v/>
      </c>
      <c r="BR38" s="4">
        <f>'04_Доходы'!BR12</f>
        <v/>
      </c>
      <c r="BS38" s="4">
        <f>'04_Доходы'!BS12</f>
        <v/>
      </c>
      <c r="BT38" s="4">
        <f>'04_Доходы'!BT12</f>
        <v/>
      </c>
      <c r="BU38" s="4">
        <f>'04_Доходы'!BU12</f>
        <v/>
      </c>
      <c r="BV38" s="4">
        <f>'04_Доходы'!BV12</f>
        <v/>
      </c>
      <c r="BW38" s="4">
        <f>'04_Доходы'!BW12</f>
        <v/>
      </c>
      <c r="BX38" s="4">
        <f>'04_Доходы'!BX12</f>
        <v/>
      </c>
      <c r="BY38" s="4">
        <f>'04_Доходы'!BY12</f>
        <v/>
      </c>
    </row>
    <row r="39">
      <c r="B39" t="inlineStr">
        <is>
          <t>Поступления: роялти</t>
        </is>
      </c>
      <c r="C39" t="inlineStr">
        <is>
          <t>₽</t>
        </is>
      </c>
      <c r="D39" s="117" t="inlineStr">
        <is>
          <t>Половина в текущем месяце, половина в следующем</t>
        </is>
      </c>
      <c r="E39" s="119">
        <f>SUM(L39:W39)</f>
        <v/>
      </c>
      <c r="F39" s="119">
        <f>SUM(X39:AI39)</f>
        <v/>
      </c>
      <c r="G39" s="119">
        <f>SUM(AJ39:AU39)</f>
        <v/>
      </c>
      <c r="H39" s="119">
        <f>SUM(AV39:BG39)</f>
        <v/>
      </c>
      <c r="I39" s="119">
        <f>SUM(BH39:BS39)</f>
        <v/>
      </c>
      <c r="J39" s="5">
        <f>SUM(L39:BS39)</f>
        <v/>
      </c>
      <c r="L39" s="4">
        <f>ДоляПоступлТек*'04_Доходы'!$L102</f>
        <v/>
      </c>
      <c r="M39" s="4">
        <f>ДоляПоступлТек*'04_Доходы'!M102+(1-ДоляПоступлТек)*'04_Доходы'!L102</f>
        <v/>
      </c>
      <c r="N39" s="4">
        <f>ДоляПоступлТек*'04_Доходы'!N102+(1-ДоляПоступлТек)*'04_Доходы'!M102</f>
        <v/>
      </c>
      <c r="O39" s="4">
        <f>ДоляПоступлТек*'04_Доходы'!O102+(1-ДоляПоступлТек)*'04_Доходы'!N102</f>
        <v/>
      </c>
      <c r="P39" s="4">
        <f>ДоляПоступлТек*'04_Доходы'!P102+(1-ДоляПоступлТек)*'04_Доходы'!O102</f>
        <v/>
      </c>
      <c r="Q39" s="4">
        <f>ДоляПоступлТек*'04_Доходы'!Q102+(1-ДоляПоступлТек)*'04_Доходы'!P102</f>
        <v/>
      </c>
      <c r="R39" s="4">
        <f>ДоляПоступлТек*'04_Доходы'!R102+(1-ДоляПоступлТек)*'04_Доходы'!Q102</f>
        <v/>
      </c>
      <c r="S39" s="4">
        <f>ДоляПоступлТек*'04_Доходы'!S102+(1-ДоляПоступлТек)*'04_Доходы'!R102</f>
        <v/>
      </c>
      <c r="T39" s="4">
        <f>ДоляПоступлТек*'04_Доходы'!T102+(1-ДоляПоступлТек)*'04_Доходы'!S102</f>
        <v/>
      </c>
      <c r="U39" s="4">
        <f>ДоляПоступлТек*'04_Доходы'!U102+(1-ДоляПоступлТек)*'04_Доходы'!T102</f>
        <v/>
      </c>
      <c r="V39" s="4">
        <f>ДоляПоступлТек*'04_Доходы'!V102+(1-ДоляПоступлТек)*'04_Доходы'!U102</f>
        <v/>
      </c>
      <c r="W39" s="4">
        <f>ДоляПоступлТек*'04_Доходы'!W102+(1-ДоляПоступлТек)*'04_Доходы'!V102</f>
        <v/>
      </c>
      <c r="X39" s="4">
        <f>ДоляПоступлТек*'04_Доходы'!X102+(1-ДоляПоступлТек)*'04_Доходы'!W102</f>
        <v/>
      </c>
      <c r="Y39" s="4">
        <f>ДоляПоступлТек*'04_Доходы'!Y102+(1-ДоляПоступлТек)*'04_Доходы'!X102</f>
        <v/>
      </c>
      <c r="Z39" s="4">
        <f>ДоляПоступлТек*'04_Доходы'!Z102+(1-ДоляПоступлТек)*'04_Доходы'!Y102</f>
        <v/>
      </c>
      <c r="AA39" s="4">
        <f>ДоляПоступлТек*'04_Доходы'!AA102+(1-ДоляПоступлТек)*'04_Доходы'!Z102</f>
        <v/>
      </c>
      <c r="AB39" s="4">
        <f>ДоляПоступлТек*'04_Доходы'!AB102+(1-ДоляПоступлТек)*'04_Доходы'!AA102</f>
        <v/>
      </c>
      <c r="AC39" s="4">
        <f>ДоляПоступлТек*'04_Доходы'!AC102+(1-ДоляПоступлТек)*'04_Доходы'!AB102</f>
        <v/>
      </c>
      <c r="AD39" s="4">
        <f>ДоляПоступлТек*'04_Доходы'!AD102+(1-ДоляПоступлТек)*'04_Доходы'!AC102</f>
        <v/>
      </c>
      <c r="AE39" s="4">
        <f>ДоляПоступлТек*'04_Доходы'!AE102+(1-ДоляПоступлТек)*'04_Доходы'!AD102</f>
        <v/>
      </c>
      <c r="AF39" s="4">
        <f>ДоляПоступлТек*'04_Доходы'!AF102+(1-ДоляПоступлТек)*'04_Доходы'!AE102</f>
        <v/>
      </c>
      <c r="AG39" s="4">
        <f>ДоляПоступлТек*'04_Доходы'!AG102+(1-ДоляПоступлТек)*'04_Доходы'!AF102</f>
        <v/>
      </c>
      <c r="AH39" s="4">
        <f>ДоляПоступлТек*'04_Доходы'!AH102+(1-ДоляПоступлТек)*'04_Доходы'!AG102</f>
        <v/>
      </c>
      <c r="AI39" s="4">
        <f>ДоляПоступлТек*'04_Доходы'!AI102+(1-ДоляПоступлТек)*'04_Доходы'!AH102</f>
        <v/>
      </c>
      <c r="AJ39" s="4">
        <f>ДоляПоступлТек*'04_Доходы'!AJ102+(1-ДоляПоступлТек)*'04_Доходы'!AI102</f>
        <v/>
      </c>
      <c r="AK39" s="4">
        <f>ДоляПоступлТек*'04_Доходы'!AK102+(1-ДоляПоступлТек)*'04_Доходы'!AJ102</f>
        <v/>
      </c>
      <c r="AL39" s="4">
        <f>ДоляПоступлТек*'04_Доходы'!AL102+(1-ДоляПоступлТек)*'04_Доходы'!AK102</f>
        <v/>
      </c>
      <c r="AM39" s="4">
        <f>ДоляПоступлТек*'04_Доходы'!AM102+(1-ДоляПоступлТек)*'04_Доходы'!AL102</f>
        <v/>
      </c>
      <c r="AN39" s="4">
        <f>ДоляПоступлТек*'04_Доходы'!AN102+(1-ДоляПоступлТек)*'04_Доходы'!AM102</f>
        <v/>
      </c>
      <c r="AO39" s="4">
        <f>ДоляПоступлТек*'04_Доходы'!AO102+(1-ДоляПоступлТек)*'04_Доходы'!AN102</f>
        <v/>
      </c>
      <c r="AP39" s="4">
        <f>ДоляПоступлТек*'04_Доходы'!AP102+(1-ДоляПоступлТек)*'04_Доходы'!AO102</f>
        <v/>
      </c>
      <c r="AQ39" s="4">
        <f>ДоляПоступлТек*'04_Доходы'!AQ102+(1-ДоляПоступлТек)*'04_Доходы'!AP102</f>
        <v/>
      </c>
      <c r="AR39" s="4">
        <f>ДоляПоступлТек*'04_Доходы'!AR102+(1-ДоляПоступлТек)*'04_Доходы'!AQ102</f>
        <v/>
      </c>
      <c r="AS39" s="4">
        <f>ДоляПоступлТек*'04_Доходы'!AS102+(1-ДоляПоступлТек)*'04_Доходы'!AR102</f>
        <v/>
      </c>
      <c r="AT39" s="4">
        <f>ДоляПоступлТек*'04_Доходы'!AT102+(1-ДоляПоступлТек)*'04_Доходы'!AS102</f>
        <v/>
      </c>
      <c r="AU39" s="4">
        <f>ДоляПоступлТек*'04_Доходы'!AU102+(1-ДоляПоступлТек)*'04_Доходы'!AT102</f>
        <v/>
      </c>
      <c r="AV39" s="4">
        <f>ДоляПоступлТек*'04_Доходы'!AV102+(1-ДоляПоступлТек)*'04_Доходы'!AU102</f>
        <v/>
      </c>
      <c r="AW39" s="4">
        <f>ДоляПоступлТек*'04_Доходы'!AW102+(1-ДоляПоступлТек)*'04_Доходы'!AV102</f>
        <v/>
      </c>
      <c r="AX39" s="4">
        <f>ДоляПоступлТек*'04_Доходы'!AX102+(1-ДоляПоступлТек)*'04_Доходы'!AW102</f>
        <v/>
      </c>
      <c r="AY39" s="4">
        <f>ДоляПоступлТек*'04_Доходы'!AY102+(1-ДоляПоступлТек)*'04_Доходы'!AX102</f>
        <v/>
      </c>
      <c r="AZ39" s="4">
        <f>ДоляПоступлТек*'04_Доходы'!AZ102+(1-ДоляПоступлТек)*'04_Доходы'!AY102</f>
        <v/>
      </c>
      <c r="BA39" s="4">
        <f>ДоляПоступлТек*'04_Доходы'!BA102+(1-ДоляПоступлТек)*'04_Доходы'!AZ102</f>
        <v/>
      </c>
      <c r="BB39" s="4">
        <f>ДоляПоступлТек*'04_Доходы'!BB102+(1-ДоляПоступлТек)*'04_Доходы'!BA102</f>
        <v/>
      </c>
      <c r="BC39" s="4">
        <f>ДоляПоступлТек*'04_Доходы'!BC102+(1-ДоляПоступлТек)*'04_Доходы'!BB102</f>
        <v/>
      </c>
      <c r="BD39" s="4">
        <f>ДоляПоступлТек*'04_Доходы'!BD102+(1-ДоляПоступлТек)*'04_Доходы'!BC102</f>
        <v/>
      </c>
      <c r="BE39" s="4">
        <f>ДоляПоступлТек*'04_Доходы'!BE102+(1-ДоляПоступлТек)*'04_Доходы'!BD102</f>
        <v/>
      </c>
      <c r="BF39" s="4">
        <f>ДоляПоступлТек*'04_Доходы'!BF102+(1-ДоляПоступлТек)*'04_Доходы'!BE102</f>
        <v/>
      </c>
      <c r="BG39" s="4">
        <f>ДоляПоступлТек*'04_Доходы'!BG102+(1-ДоляПоступлТек)*'04_Доходы'!BF102</f>
        <v/>
      </c>
      <c r="BH39" s="4">
        <f>ДоляПоступлТек*'04_Доходы'!BH102+(1-ДоляПоступлТек)*'04_Доходы'!BG102</f>
        <v/>
      </c>
      <c r="BI39" s="4">
        <f>ДоляПоступлТек*'04_Доходы'!BI102+(1-ДоляПоступлТек)*'04_Доходы'!BH102</f>
        <v/>
      </c>
      <c r="BJ39" s="4">
        <f>ДоляПоступлТек*'04_Доходы'!BJ102+(1-ДоляПоступлТек)*'04_Доходы'!BI102</f>
        <v/>
      </c>
      <c r="BK39" s="4">
        <f>ДоляПоступлТек*'04_Доходы'!BK102+(1-ДоляПоступлТек)*'04_Доходы'!BJ102</f>
        <v/>
      </c>
      <c r="BL39" s="4">
        <f>ДоляПоступлТек*'04_Доходы'!BL102+(1-ДоляПоступлТек)*'04_Доходы'!BK102</f>
        <v/>
      </c>
      <c r="BM39" s="4">
        <f>ДоляПоступлТек*'04_Доходы'!BM102+(1-ДоляПоступлТек)*'04_Доходы'!BL102</f>
        <v/>
      </c>
      <c r="BN39" s="4">
        <f>ДоляПоступлТек*'04_Доходы'!BN102+(1-ДоляПоступлТек)*'04_Доходы'!BM102</f>
        <v/>
      </c>
      <c r="BO39" s="4">
        <f>ДоляПоступлТек*'04_Доходы'!BO102+(1-ДоляПоступлТек)*'04_Доходы'!BN102</f>
        <v/>
      </c>
      <c r="BP39" s="4">
        <f>ДоляПоступлТек*'04_Доходы'!BP102+(1-ДоляПоступлТек)*'04_Доходы'!BO102</f>
        <v/>
      </c>
      <c r="BQ39" s="4">
        <f>ДоляПоступлТек*'04_Доходы'!BQ102+(1-ДоляПоступлТек)*'04_Доходы'!BP102</f>
        <v/>
      </c>
      <c r="BR39" s="4">
        <f>ДоляПоступлТек*'04_Доходы'!BR102+(1-ДоляПоступлТек)*'04_Доходы'!BQ102</f>
        <v/>
      </c>
      <c r="BS39" s="4">
        <f>ДоляПоступлТек*'04_Доходы'!BS102+(1-ДоляПоступлТек)*'04_Доходы'!BR102</f>
        <v/>
      </c>
      <c r="BT39" s="4">
        <f>ДоляПоступлТек*'04_Доходы'!BT102+(1-ДоляПоступлТек)*'04_Доходы'!BS102</f>
        <v/>
      </c>
      <c r="BU39" s="4">
        <f>ДоляПоступлТек*'04_Доходы'!BU102+(1-ДоляПоступлТек)*'04_Доходы'!BT102</f>
        <v/>
      </c>
      <c r="BV39" s="4">
        <f>ДоляПоступлТек*'04_Доходы'!BV102+(1-ДоляПоступлТек)*'04_Доходы'!BU102</f>
        <v/>
      </c>
      <c r="BW39" s="4">
        <f>ДоляПоступлТек*'04_Доходы'!BW102+(1-ДоляПоступлТек)*'04_Доходы'!BV102</f>
        <v/>
      </c>
      <c r="BX39" s="4">
        <f>ДоляПоступлТек*'04_Доходы'!BX102+(1-ДоляПоступлТек)*'04_Доходы'!BW102</f>
        <v/>
      </c>
      <c r="BY39" s="4">
        <f>ДоляПоступлТек*'04_Доходы'!BY102+(1-ДоляПоступлТек)*'04_Доходы'!BX102</f>
        <v/>
      </c>
    </row>
    <row r="40">
      <c r="B40" t="inlineStr">
        <is>
          <t>Поступления: мерч</t>
        </is>
      </c>
      <c r="C40" t="inlineStr">
        <is>
          <t>₽</t>
        </is>
      </c>
      <c r="D40" s="117" t="inlineStr">
        <is>
          <t>С НДС</t>
        </is>
      </c>
      <c r="E40" s="119">
        <f>SUM(L40:W40)</f>
        <v/>
      </c>
      <c r="F40" s="119">
        <f>SUM(X40:AI40)</f>
        <v/>
      </c>
      <c r="G40" s="119">
        <f>SUM(AJ40:AU40)</f>
        <v/>
      </c>
      <c r="H40" s="119">
        <f>SUM(AV40:BG40)</f>
        <v/>
      </c>
      <c r="I40" s="119">
        <f>SUM(BH40:BS40)</f>
        <v/>
      </c>
      <c r="J40" s="5">
        <f>SUM(L40:BS40)</f>
        <v/>
      </c>
      <c r="L40" s="4">
        <f>'04_Доходы'!L130</f>
        <v/>
      </c>
      <c r="M40" s="4">
        <f>'04_Доходы'!M130</f>
        <v/>
      </c>
      <c r="N40" s="4">
        <f>'04_Доходы'!N130</f>
        <v/>
      </c>
      <c r="O40" s="4">
        <f>'04_Доходы'!O130</f>
        <v/>
      </c>
      <c r="P40" s="4">
        <f>'04_Доходы'!P130</f>
        <v/>
      </c>
      <c r="Q40" s="4">
        <f>'04_Доходы'!Q130</f>
        <v/>
      </c>
      <c r="R40" s="4">
        <f>'04_Доходы'!R130</f>
        <v/>
      </c>
      <c r="S40" s="4">
        <f>'04_Доходы'!S130</f>
        <v/>
      </c>
      <c r="T40" s="4">
        <f>'04_Доходы'!T130</f>
        <v/>
      </c>
      <c r="U40" s="4">
        <f>'04_Доходы'!U130</f>
        <v/>
      </c>
      <c r="V40" s="4">
        <f>'04_Доходы'!V130</f>
        <v/>
      </c>
      <c r="W40" s="4">
        <f>'04_Доходы'!W130</f>
        <v/>
      </c>
      <c r="X40" s="4">
        <f>'04_Доходы'!X130</f>
        <v/>
      </c>
      <c r="Y40" s="4">
        <f>'04_Доходы'!Y130</f>
        <v/>
      </c>
      <c r="Z40" s="4">
        <f>'04_Доходы'!Z130</f>
        <v/>
      </c>
      <c r="AA40" s="4">
        <f>'04_Доходы'!AA130</f>
        <v/>
      </c>
      <c r="AB40" s="4">
        <f>'04_Доходы'!AB130</f>
        <v/>
      </c>
      <c r="AC40" s="4">
        <f>'04_Доходы'!AC130</f>
        <v/>
      </c>
      <c r="AD40" s="4">
        <f>'04_Доходы'!AD130</f>
        <v/>
      </c>
      <c r="AE40" s="4">
        <f>'04_Доходы'!AE130</f>
        <v/>
      </c>
      <c r="AF40" s="4">
        <f>'04_Доходы'!AF130</f>
        <v/>
      </c>
      <c r="AG40" s="4">
        <f>'04_Доходы'!AG130</f>
        <v/>
      </c>
      <c r="AH40" s="4">
        <f>'04_Доходы'!AH130</f>
        <v/>
      </c>
      <c r="AI40" s="4">
        <f>'04_Доходы'!AI130</f>
        <v/>
      </c>
      <c r="AJ40" s="4">
        <f>'04_Доходы'!AJ130</f>
        <v/>
      </c>
      <c r="AK40" s="4">
        <f>'04_Доходы'!AK130</f>
        <v/>
      </c>
      <c r="AL40" s="4">
        <f>'04_Доходы'!AL130</f>
        <v/>
      </c>
      <c r="AM40" s="4">
        <f>'04_Доходы'!AM130</f>
        <v/>
      </c>
      <c r="AN40" s="4">
        <f>'04_Доходы'!AN130</f>
        <v/>
      </c>
      <c r="AO40" s="4">
        <f>'04_Доходы'!AO130</f>
        <v/>
      </c>
      <c r="AP40" s="4">
        <f>'04_Доходы'!AP130</f>
        <v/>
      </c>
      <c r="AQ40" s="4">
        <f>'04_Доходы'!AQ130</f>
        <v/>
      </c>
      <c r="AR40" s="4">
        <f>'04_Доходы'!AR130</f>
        <v/>
      </c>
      <c r="AS40" s="4">
        <f>'04_Доходы'!AS130</f>
        <v/>
      </c>
      <c r="AT40" s="4">
        <f>'04_Доходы'!AT130</f>
        <v/>
      </c>
      <c r="AU40" s="4">
        <f>'04_Доходы'!AU130</f>
        <v/>
      </c>
      <c r="AV40" s="4">
        <f>'04_Доходы'!AV130</f>
        <v/>
      </c>
      <c r="AW40" s="4">
        <f>'04_Доходы'!AW130</f>
        <v/>
      </c>
      <c r="AX40" s="4">
        <f>'04_Доходы'!AX130</f>
        <v/>
      </c>
      <c r="AY40" s="4">
        <f>'04_Доходы'!AY130</f>
        <v/>
      </c>
      <c r="AZ40" s="4">
        <f>'04_Доходы'!AZ130</f>
        <v/>
      </c>
      <c r="BA40" s="4">
        <f>'04_Доходы'!BA130</f>
        <v/>
      </c>
      <c r="BB40" s="4">
        <f>'04_Доходы'!BB130</f>
        <v/>
      </c>
      <c r="BC40" s="4">
        <f>'04_Доходы'!BC130</f>
        <v/>
      </c>
      <c r="BD40" s="4">
        <f>'04_Доходы'!BD130</f>
        <v/>
      </c>
      <c r="BE40" s="4">
        <f>'04_Доходы'!BE130</f>
        <v/>
      </c>
      <c r="BF40" s="4">
        <f>'04_Доходы'!BF130</f>
        <v/>
      </c>
      <c r="BG40" s="4">
        <f>'04_Доходы'!BG130</f>
        <v/>
      </c>
      <c r="BH40" s="4">
        <f>'04_Доходы'!BH130</f>
        <v/>
      </c>
      <c r="BI40" s="4">
        <f>'04_Доходы'!BI130</f>
        <v/>
      </c>
      <c r="BJ40" s="4">
        <f>'04_Доходы'!BJ130</f>
        <v/>
      </c>
      <c r="BK40" s="4">
        <f>'04_Доходы'!BK130</f>
        <v/>
      </c>
      <c r="BL40" s="4">
        <f>'04_Доходы'!BL130</f>
        <v/>
      </c>
      <c r="BM40" s="4">
        <f>'04_Доходы'!BM130</f>
        <v/>
      </c>
      <c r="BN40" s="4">
        <f>'04_Доходы'!BN130</f>
        <v/>
      </c>
      <c r="BO40" s="4">
        <f>'04_Доходы'!BO130</f>
        <v/>
      </c>
      <c r="BP40" s="4">
        <f>'04_Доходы'!BP130</f>
        <v/>
      </c>
      <c r="BQ40" s="4">
        <f>'04_Доходы'!BQ130</f>
        <v/>
      </c>
      <c r="BR40" s="4">
        <f>'04_Доходы'!BR130</f>
        <v/>
      </c>
      <c r="BS40" s="4">
        <f>'04_Доходы'!BS130</f>
        <v/>
      </c>
      <c r="BT40" s="4">
        <f>'04_Доходы'!BT130</f>
        <v/>
      </c>
      <c r="BU40" s="4">
        <f>'04_Доходы'!BU130</f>
        <v/>
      </c>
      <c r="BV40" s="4">
        <f>'04_Доходы'!BV130</f>
        <v/>
      </c>
      <c r="BW40" s="4">
        <f>'04_Доходы'!BW130</f>
        <v/>
      </c>
      <c r="BX40" s="4">
        <f>'04_Доходы'!BX130</f>
        <v/>
      </c>
      <c r="BY40" s="4">
        <f>'04_Доходы'!BY130</f>
        <v/>
      </c>
    </row>
    <row r="41">
      <c r="B41" t="inlineStr">
        <is>
          <t>Поступления: лагеря</t>
        </is>
      </c>
      <c r="C41" t="inlineStr">
        <is>
          <t>₽</t>
        </is>
      </c>
      <c r="D41" s="117" t="inlineStr">
        <is>
          <t>Блок отключён</t>
        </is>
      </c>
      <c r="E41" s="119">
        <f>SUM(L41:W41)</f>
        <v/>
      </c>
      <c r="F41" s="119">
        <f>SUM(X41:AI41)</f>
        <v/>
      </c>
      <c r="G41" s="119">
        <f>SUM(AJ41:AU41)</f>
        <v/>
      </c>
      <c r="H41" s="119">
        <f>SUM(AV41:BG41)</f>
        <v/>
      </c>
      <c r="I41" s="119">
        <f>SUM(BH41:BS41)</f>
        <v/>
      </c>
      <c r="J41" s="5">
        <f>SUM(L41:BS41)</f>
        <v/>
      </c>
      <c r="L41" s="4">
        <f>0</f>
        <v/>
      </c>
      <c r="M41" s="4">
        <f>0</f>
        <v/>
      </c>
      <c r="N41" s="4">
        <f>0</f>
        <v/>
      </c>
      <c r="O41" s="4">
        <f>0</f>
        <v/>
      </c>
      <c r="P41" s="4">
        <f>0</f>
        <v/>
      </c>
      <c r="Q41" s="4">
        <f>0</f>
        <v/>
      </c>
      <c r="R41" s="4">
        <f>0</f>
        <v/>
      </c>
      <c r="S41" s="4">
        <f>0</f>
        <v/>
      </c>
      <c r="T41" s="4">
        <f>0</f>
        <v/>
      </c>
      <c r="U41" s="4">
        <f>0</f>
        <v/>
      </c>
      <c r="V41" s="4">
        <f>0</f>
        <v/>
      </c>
      <c r="W41" s="4">
        <f>0</f>
        <v/>
      </c>
      <c r="X41" s="4">
        <f>0</f>
        <v/>
      </c>
      <c r="Y41" s="4">
        <f>0</f>
        <v/>
      </c>
      <c r="Z41" s="4">
        <f>0</f>
        <v/>
      </c>
      <c r="AA41" s="4">
        <f>0</f>
        <v/>
      </c>
      <c r="AB41" s="4">
        <f>0</f>
        <v/>
      </c>
      <c r="AC41" s="4">
        <f>0</f>
        <v/>
      </c>
      <c r="AD41" s="4">
        <f>0</f>
        <v/>
      </c>
      <c r="AE41" s="4">
        <f>0</f>
        <v/>
      </c>
      <c r="AF41" s="4">
        <f>0</f>
        <v/>
      </c>
      <c r="AG41" s="4">
        <f>0</f>
        <v/>
      </c>
      <c r="AH41" s="4">
        <f>0</f>
        <v/>
      </c>
      <c r="AI41" s="4">
        <f>0</f>
        <v/>
      </c>
      <c r="AJ41" s="4">
        <f>0</f>
        <v/>
      </c>
      <c r="AK41" s="4">
        <f>0</f>
        <v/>
      </c>
      <c r="AL41" s="4">
        <f>0</f>
        <v/>
      </c>
      <c r="AM41" s="4">
        <f>0</f>
        <v/>
      </c>
      <c r="AN41" s="4">
        <f>0</f>
        <v/>
      </c>
      <c r="AO41" s="4">
        <f>0</f>
        <v/>
      </c>
      <c r="AP41" s="4">
        <f>0</f>
        <v/>
      </c>
      <c r="AQ41" s="4">
        <f>0</f>
        <v/>
      </c>
      <c r="AR41" s="4">
        <f>0</f>
        <v/>
      </c>
      <c r="AS41" s="4">
        <f>0</f>
        <v/>
      </c>
      <c r="AT41" s="4">
        <f>0</f>
        <v/>
      </c>
      <c r="AU41" s="4">
        <f>0</f>
        <v/>
      </c>
      <c r="AV41" s="4">
        <f>0</f>
        <v/>
      </c>
      <c r="AW41" s="4">
        <f>0</f>
        <v/>
      </c>
      <c r="AX41" s="4">
        <f>0</f>
        <v/>
      </c>
      <c r="AY41" s="4">
        <f>0</f>
        <v/>
      </c>
      <c r="AZ41" s="4">
        <f>0</f>
        <v/>
      </c>
      <c r="BA41" s="4">
        <f>0</f>
        <v/>
      </c>
      <c r="BB41" s="4">
        <f>0</f>
        <v/>
      </c>
      <c r="BC41" s="4">
        <f>0</f>
        <v/>
      </c>
      <c r="BD41" s="4">
        <f>0</f>
        <v/>
      </c>
      <c r="BE41" s="4">
        <f>0</f>
        <v/>
      </c>
      <c r="BF41" s="4">
        <f>0</f>
        <v/>
      </c>
      <c r="BG41" s="4">
        <f>0</f>
        <v/>
      </c>
      <c r="BH41" s="4">
        <f>0</f>
        <v/>
      </c>
      <c r="BI41" s="4">
        <f>0</f>
        <v/>
      </c>
      <c r="BJ41" s="4">
        <f>0</f>
        <v/>
      </c>
      <c r="BK41" s="4">
        <f>0</f>
        <v/>
      </c>
      <c r="BL41" s="4">
        <f>0</f>
        <v/>
      </c>
      <c r="BM41" s="4">
        <f>0</f>
        <v/>
      </c>
      <c r="BN41" s="4">
        <f>0</f>
        <v/>
      </c>
      <c r="BO41" s="4">
        <f>0</f>
        <v/>
      </c>
      <c r="BP41" s="4">
        <f>0</f>
        <v/>
      </c>
      <c r="BQ41" s="4">
        <f>0</f>
        <v/>
      </c>
      <c r="BR41" s="4">
        <f>0</f>
        <v/>
      </c>
      <c r="BS41" s="4">
        <f>0</f>
        <v/>
      </c>
      <c r="BT41" s="4">
        <f>0</f>
        <v/>
      </c>
      <c r="BU41" s="4">
        <f>0</f>
        <v/>
      </c>
      <c r="BV41" s="4">
        <f>0</f>
        <v/>
      </c>
      <c r="BW41" s="4">
        <f>0</f>
        <v/>
      </c>
      <c r="BX41" s="4">
        <f>0</f>
        <v/>
      </c>
      <c r="BY41" s="4">
        <f>0</f>
        <v/>
      </c>
    </row>
    <row r="42">
      <c r="B42" s="6" t="inlineStr">
        <is>
          <t>Поступления — всего</t>
        </is>
      </c>
      <c r="C42" s="6" t="inlineStr">
        <is>
          <t>₽</t>
        </is>
      </c>
      <c r="D42" s="120" t="inlineStr"/>
      <c r="E42" s="121">
        <f>SUM(L42:W42)</f>
        <v/>
      </c>
      <c r="F42" s="121">
        <f>SUM(X42:AI42)</f>
        <v/>
      </c>
      <c r="G42" s="121">
        <f>SUM(AJ42:AU42)</f>
        <v/>
      </c>
      <c r="H42" s="121">
        <f>SUM(AV42:BG42)</f>
        <v/>
      </c>
      <c r="I42" s="121">
        <f>SUM(BH42:BS42)</f>
        <v/>
      </c>
      <c r="J42" s="8">
        <f>SUM(L42:BS42)</f>
        <v/>
      </c>
      <c r="L42" s="7">
        <f>SUM(L38:L41)</f>
        <v/>
      </c>
      <c r="M42" s="7">
        <f>SUM(M38:M41)</f>
        <v/>
      </c>
      <c r="N42" s="7">
        <f>SUM(N38:N41)</f>
        <v/>
      </c>
      <c r="O42" s="7">
        <f>SUM(O38:O41)</f>
        <v/>
      </c>
      <c r="P42" s="7">
        <f>SUM(P38:P41)</f>
        <v/>
      </c>
      <c r="Q42" s="7">
        <f>SUM(Q38:Q41)</f>
        <v/>
      </c>
      <c r="R42" s="7">
        <f>SUM(R38:R41)</f>
        <v/>
      </c>
      <c r="S42" s="7">
        <f>SUM(S38:S41)</f>
        <v/>
      </c>
      <c r="T42" s="7">
        <f>SUM(T38:T41)</f>
        <v/>
      </c>
      <c r="U42" s="7">
        <f>SUM(U38:U41)</f>
        <v/>
      </c>
      <c r="V42" s="7">
        <f>SUM(V38:V41)</f>
        <v/>
      </c>
      <c r="W42" s="7">
        <f>SUM(W38:W41)</f>
        <v/>
      </c>
      <c r="X42" s="7">
        <f>SUM(X38:X41)</f>
        <v/>
      </c>
      <c r="Y42" s="7">
        <f>SUM(Y38:Y41)</f>
        <v/>
      </c>
      <c r="Z42" s="7">
        <f>SUM(Z38:Z41)</f>
        <v/>
      </c>
      <c r="AA42" s="7">
        <f>SUM(AA38:AA41)</f>
        <v/>
      </c>
      <c r="AB42" s="7">
        <f>SUM(AB38:AB41)</f>
        <v/>
      </c>
      <c r="AC42" s="7">
        <f>SUM(AC38:AC41)</f>
        <v/>
      </c>
      <c r="AD42" s="7">
        <f>SUM(AD38:AD41)</f>
        <v/>
      </c>
      <c r="AE42" s="7">
        <f>SUM(AE38:AE41)</f>
        <v/>
      </c>
      <c r="AF42" s="7">
        <f>SUM(AF38:AF41)</f>
        <v/>
      </c>
      <c r="AG42" s="7">
        <f>SUM(AG38:AG41)</f>
        <v/>
      </c>
      <c r="AH42" s="7">
        <f>SUM(AH38:AH41)</f>
        <v/>
      </c>
      <c r="AI42" s="7">
        <f>SUM(AI38:AI41)</f>
        <v/>
      </c>
      <c r="AJ42" s="7">
        <f>SUM(AJ38:AJ41)</f>
        <v/>
      </c>
      <c r="AK42" s="7">
        <f>SUM(AK38:AK41)</f>
        <v/>
      </c>
      <c r="AL42" s="7">
        <f>SUM(AL38:AL41)</f>
        <v/>
      </c>
      <c r="AM42" s="7">
        <f>SUM(AM38:AM41)</f>
        <v/>
      </c>
      <c r="AN42" s="7">
        <f>SUM(AN38:AN41)</f>
        <v/>
      </c>
      <c r="AO42" s="7">
        <f>SUM(AO38:AO41)</f>
        <v/>
      </c>
      <c r="AP42" s="7">
        <f>SUM(AP38:AP41)</f>
        <v/>
      </c>
      <c r="AQ42" s="7">
        <f>SUM(AQ38:AQ41)</f>
        <v/>
      </c>
      <c r="AR42" s="7">
        <f>SUM(AR38:AR41)</f>
        <v/>
      </c>
      <c r="AS42" s="7">
        <f>SUM(AS38:AS41)</f>
        <v/>
      </c>
      <c r="AT42" s="7">
        <f>SUM(AT38:AT41)</f>
        <v/>
      </c>
      <c r="AU42" s="7">
        <f>SUM(AU38:AU41)</f>
        <v/>
      </c>
      <c r="AV42" s="7">
        <f>SUM(AV38:AV41)</f>
        <v/>
      </c>
      <c r="AW42" s="7">
        <f>SUM(AW38:AW41)</f>
        <v/>
      </c>
      <c r="AX42" s="7">
        <f>SUM(AX38:AX41)</f>
        <v/>
      </c>
      <c r="AY42" s="7">
        <f>SUM(AY38:AY41)</f>
        <v/>
      </c>
      <c r="AZ42" s="7">
        <f>SUM(AZ38:AZ41)</f>
        <v/>
      </c>
      <c r="BA42" s="7">
        <f>SUM(BA38:BA41)</f>
        <v/>
      </c>
      <c r="BB42" s="7">
        <f>SUM(BB38:BB41)</f>
        <v/>
      </c>
      <c r="BC42" s="7">
        <f>SUM(BC38:BC41)</f>
        <v/>
      </c>
      <c r="BD42" s="7">
        <f>SUM(BD38:BD41)</f>
        <v/>
      </c>
      <c r="BE42" s="7">
        <f>SUM(BE38:BE41)</f>
        <v/>
      </c>
      <c r="BF42" s="7">
        <f>SUM(BF38:BF41)</f>
        <v/>
      </c>
      <c r="BG42" s="7">
        <f>SUM(BG38:BG41)</f>
        <v/>
      </c>
      <c r="BH42" s="7">
        <f>SUM(BH38:BH41)</f>
        <v/>
      </c>
      <c r="BI42" s="7">
        <f>SUM(BI38:BI41)</f>
        <v/>
      </c>
      <c r="BJ42" s="7">
        <f>SUM(BJ38:BJ41)</f>
        <v/>
      </c>
      <c r="BK42" s="7">
        <f>SUM(BK38:BK41)</f>
        <v/>
      </c>
      <c r="BL42" s="7">
        <f>SUM(BL38:BL41)</f>
        <v/>
      </c>
      <c r="BM42" s="7">
        <f>SUM(BM38:BM41)</f>
        <v/>
      </c>
      <c r="BN42" s="7">
        <f>SUM(BN38:BN41)</f>
        <v/>
      </c>
      <c r="BO42" s="7">
        <f>SUM(BO38:BO41)</f>
        <v/>
      </c>
      <c r="BP42" s="7">
        <f>SUM(BP38:BP41)</f>
        <v/>
      </c>
      <c r="BQ42" s="7">
        <f>SUM(BQ38:BQ41)</f>
        <v/>
      </c>
      <c r="BR42" s="7">
        <f>SUM(BR38:BR41)</f>
        <v/>
      </c>
      <c r="BS42" s="7">
        <f>SUM(BS38:BS41)</f>
        <v/>
      </c>
      <c r="BT42" s="7">
        <f>SUM(BT38:BT41)</f>
        <v/>
      </c>
      <c r="BU42" s="7">
        <f>SUM(BU38:BU41)</f>
        <v/>
      </c>
      <c r="BV42" s="7">
        <f>SUM(BV38:BV41)</f>
        <v/>
      </c>
      <c r="BW42" s="7">
        <f>SUM(BW38:BW41)</f>
        <v/>
      </c>
      <c r="BX42" s="7">
        <f>SUM(BX38:BX41)</f>
        <v/>
      </c>
      <c r="BY42" s="7">
        <f>SUM(BY38:BY41)</f>
        <v/>
      </c>
    </row>
    <row r="43">
      <c r="B43" t="inlineStr">
        <is>
          <t>Оплата: CAPEX</t>
        </is>
      </c>
      <c r="C43" t="inlineStr">
        <is>
          <t>₽</t>
        </is>
      </c>
      <c r="D43" s="117" t="inlineStr"/>
      <c r="E43" s="119">
        <f>SUM(L43:W43)</f>
        <v/>
      </c>
      <c r="F43" s="119">
        <f>SUM(X43:AI43)</f>
        <v/>
      </c>
      <c r="G43" s="119">
        <f>SUM(AJ43:AU43)</f>
        <v/>
      </c>
      <c r="H43" s="119">
        <f>SUM(AV43:BG43)</f>
        <v/>
      </c>
      <c r="I43" s="119">
        <f>SUM(BH43:BS43)</f>
        <v/>
      </c>
      <c r="J43" s="5">
        <f>SUM(L43:BS43)</f>
        <v/>
      </c>
      <c r="L43" s="4">
        <f>'06_Деньги'!L20</f>
        <v/>
      </c>
      <c r="M43" s="4">
        <f>'06_Деньги'!M20</f>
        <v/>
      </c>
      <c r="N43" s="4">
        <f>'06_Деньги'!N20</f>
        <v/>
      </c>
      <c r="O43" s="4">
        <f>'06_Деньги'!O20</f>
        <v/>
      </c>
      <c r="P43" s="4">
        <f>'06_Деньги'!P20</f>
        <v/>
      </c>
      <c r="Q43" s="4">
        <f>'06_Деньги'!Q20</f>
        <v/>
      </c>
      <c r="R43" s="4">
        <f>'06_Деньги'!R20</f>
        <v/>
      </c>
      <c r="S43" s="4">
        <f>'06_Деньги'!S20</f>
        <v/>
      </c>
      <c r="T43" s="4">
        <f>'06_Деньги'!T20</f>
        <v/>
      </c>
      <c r="U43" s="4">
        <f>'06_Деньги'!U20</f>
        <v/>
      </c>
      <c r="V43" s="4">
        <f>'06_Деньги'!V20</f>
        <v/>
      </c>
      <c r="W43" s="4">
        <f>'06_Деньги'!W20</f>
        <v/>
      </c>
      <c r="X43" s="4">
        <f>'06_Деньги'!X20</f>
        <v/>
      </c>
      <c r="Y43" s="4">
        <f>'06_Деньги'!Y20</f>
        <v/>
      </c>
      <c r="Z43" s="4">
        <f>'06_Деньги'!Z20</f>
        <v/>
      </c>
      <c r="AA43" s="4">
        <f>'06_Деньги'!AA20</f>
        <v/>
      </c>
      <c r="AB43" s="4">
        <f>'06_Деньги'!AB20</f>
        <v/>
      </c>
      <c r="AC43" s="4">
        <f>'06_Деньги'!AC20</f>
        <v/>
      </c>
      <c r="AD43" s="4">
        <f>'06_Деньги'!AD20</f>
        <v/>
      </c>
      <c r="AE43" s="4">
        <f>'06_Деньги'!AE20</f>
        <v/>
      </c>
      <c r="AF43" s="4">
        <f>'06_Деньги'!AF20</f>
        <v/>
      </c>
      <c r="AG43" s="4">
        <f>'06_Деньги'!AG20</f>
        <v/>
      </c>
      <c r="AH43" s="4">
        <f>'06_Деньги'!AH20</f>
        <v/>
      </c>
      <c r="AI43" s="4">
        <f>'06_Деньги'!AI20</f>
        <v/>
      </c>
      <c r="AJ43" s="4">
        <f>'06_Деньги'!AJ20</f>
        <v/>
      </c>
      <c r="AK43" s="4">
        <f>'06_Деньги'!AK20</f>
        <v/>
      </c>
      <c r="AL43" s="4">
        <f>'06_Деньги'!AL20</f>
        <v/>
      </c>
      <c r="AM43" s="4">
        <f>'06_Деньги'!AM20</f>
        <v/>
      </c>
      <c r="AN43" s="4">
        <f>'06_Деньги'!AN20</f>
        <v/>
      </c>
      <c r="AO43" s="4">
        <f>'06_Деньги'!AO20</f>
        <v/>
      </c>
      <c r="AP43" s="4">
        <f>'06_Деньги'!AP20</f>
        <v/>
      </c>
      <c r="AQ43" s="4">
        <f>'06_Деньги'!AQ20</f>
        <v/>
      </c>
      <c r="AR43" s="4">
        <f>'06_Деньги'!AR20</f>
        <v/>
      </c>
      <c r="AS43" s="4">
        <f>'06_Деньги'!AS20</f>
        <v/>
      </c>
      <c r="AT43" s="4">
        <f>'06_Деньги'!AT20</f>
        <v/>
      </c>
      <c r="AU43" s="4">
        <f>'06_Деньги'!AU20</f>
        <v/>
      </c>
      <c r="AV43" s="4">
        <f>'06_Деньги'!AV20</f>
        <v/>
      </c>
      <c r="AW43" s="4">
        <f>'06_Деньги'!AW20</f>
        <v/>
      </c>
      <c r="AX43" s="4">
        <f>'06_Деньги'!AX20</f>
        <v/>
      </c>
      <c r="AY43" s="4">
        <f>'06_Деньги'!AY20</f>
        <v/>
      </c>
      <c r="AZ43" s="4">
        <f>'06_Деньги'!AZ20</f>
        <v/>
      </c>
      <c r="BA43" s="4">
        <f>'06_Деньги'!BA20</f>
        <v/>
      </c>
      <c r="BB43" s="4">
        <f>'06_Деньги'!BB20</f>
        <v/>
      </c>
      <c r="BC43" s="4">
        <f>'06_Деньги'!BC20</f>
        <v/>
      </c>
      <c r="BD43" s="4">
        <f>'06_Деньги'!BD20</f>
        <v/>
      </c>
      <c r="BE43" s="4">
        <f>'06_Деньги'!BE20</f>
        <v/>
      </c>
      <c r="BF43" s="4">
        <f>'06_Деньги'!BF20</f>
        <v/>
      </c>
      <c r="BG43" s="4">
        <f>'06_Деньги'!BG20</f>
        <v/>
      </c>
      <c r="BH43" s="4">
        <f>'06_Деньги'!BH20</f>
        <v/>
      </c>
      <c r="BI43" s="4">
        <f>'06_Деньги'!BI20</f>
        <v/>
      </c>
      <c r="BJ43" s="4">
        <f>'06_Деньги'!BJ20</f>
        <v/>
      </c>
      <c r="BK43" s="4">
        <f>'06_Деньги'!BK20</f>
        <v/>
      </c>
      <c r="BL43" s="4">
        <f>'06_Деньги'!BL20</f>
        <v/>
      </c>
      <c r="BM43" s="4">
        <f>'06_Деньги'!BM20</f>
        <v/>
      </c>
      <c r="BN43" s="4">
        <f>'06_Деньги'!BN20</f>
        <v/>
      </c>
      <c r="BO43" s="4">
        <f>'06_Деньги'!BO20</f>
        <v/>
      </c>
      <c r="BP43" s="4">
        <f>'06_Деньги'!BP20</f>
        <v/>
      </c>
      <c r="BQ43" s="4">
        <f>'06_Деньги'!BQ20</f>
        <v/>
      </c>
      <c r="BR43" s="4">
        <f>'06_Деньги'!BR20</f>
        <v/>
      </c>
      <c r="BS43" s="4">
        <f>'06_Деньги'!BS20</f>
        <v/>
      </c>
      <c r="BT43" s="4">
        <f>'06_Деньги'!BT20</f>
        <v/>
      </c>
      <c r="BU43" s="4">
        <f>'06_Деньги'!BU20</f>
        <v/>
      </c>
      <c r="BV43" s="4">
        <f>'06_Деньги'!BV20</f>
        <v/>
      </c>
      <c r="BW43" s="4">
        <f>'06_Деньги'!BW20</f>
        <v/>
      </c>
      <c r="BX43" s="4">
        <f>'06_Деньги'!BX20</f>
        <v/>
      </c>
      <c r="BY43" s="4">
        <f>'06_Деньги'!BY20</f>
        <v/>
      </c>
    </row>
    <row r="44">
      <c r="B44" t="inlineStr">
        <is>
          <t>Оплата: логистика мерча</t>
        </is>
      </c>
      <c r="C44" t="inlineStr">
        <is>
          <t>₽</t>
        </is>
      </c>
      <c r="D44" s="117" t="inlineStr"/>
      <c r="E44" s="119">
        <f>SUM(L44:W44)</f>
        <v/>
      </c>
      <c r="F44" s="119">
        <f>SUM(X44:AI44)</f>
        <v/>
      </c>
      <c r="G44" s="119">
        <f>SUM(AJ44:AU44)</f>
        <v/>
      </c>
      <c r="H44" s="119">
        <f>SUM(AV44:BG44)</f>
        <v/>
      </c>
      <c r="I44" s="119">
        <f>SUM(BH44:BS44)</f>
        <v/>
      </c>
      <c r="J44" s="5">
        <f>SUM(L44:BS44)</f>
        <v/>
      </c>
      <c r="L44" s="4">
        <f>'04_Доходы'!L133</f>
        <v/>
      </c>
      <c r="M44" s="4">
        <f>'04_Доходы'!M133</f>
        <v/>
      </c>
      <c r="N44" s="4">
        <f>'04_Доходы'!N133</f>
        <v/>
      </c>
      <c r="O44" s="4">
        <f>'04_Доходы'!O133</f>
        <v/>
      </c>
      <c r="P44" s="4">
        <f>'04_Доходы'!P133</f>
        <v/>
      </c>
      <c r="Q44" s="4">
        <f>'04_Доходы'!Q133</f>
        <v/>
      </c>
      <c r="R44" s="4">
        <f>'04_Доходы'!R133</f>
        <v/>
      </c>
      <c r="S44" s="4">
        <f>'04_Доходы'!S133</f>
        <v/>
      </c>
      <c r="T44" s="4">
        <f>'04_Доходы'!T133</f>
        <v/>
      </c>
      <c r="U44" s="4">
        <f>'04_Доходы'!U133</f>
        <v/>
      </c>
      <c r="V44" s="4">
        <f>'04_Доходы'!V133</f>
        <v/>
      </c>
      <c r="W44" s="4">
        <f>'04_Доходы'!W133</f>
        <v/>
      </c>
      <c r="X44" s="4">
        <f>'04_Доходы'!X133</f>
        <v/>
      </c>
      <c r="Y44" s="4">
        <f>'04_Доходы'!Y133</f>
        <v/>
      </c>
      <c r="Z44" s="4">
        <f>'04_Доходы'!Z133</f>
        <v/>
      </c>
      <c r="AA44" s="4">
        <f>'04_Доходы'!AA133</f>
        <v/>
      </c>
      <c r="AB44" s="4">
        <f>'04_Доходы'!AB133</f>
        <v/>
      </c>
      <c r="AC44" s="4">
        <f>'04_Доходы'!AC133</f>
        <v/>
      </c>
      <c r="AD44" s="4">
        <f>'04_Доходы'!AD133</f>
        <v/>
      </c>
      <c r="AE44" s="4">
        <f>'04_Доходы'!AE133</f>
        <v/>
      </c>
      <c r="AF44" s="4">
        <f>'04_Доходы'!AF133</f>
        <v/>
      </c>
      <c r="AG44" s="4">
        <f>'04_Доходы'!AG133</f>
        <v/>
      </c>
      <c r="AH44" s="4">
        <f>'04_Доходы'!AH133</f>
        <v/>
      </c>
      <c r="AI44" s="4">
        <f>'04_Доходы'!AI133</f>
        <v/>
      </c>
      <c r="AJ44" s="4">
        <f>'04_Доходы'!AJ133</f>
        <v/>
      </c>
      <c r="AK44" s="4">
        <f>'04_Доходы'!AK133</f>
        <v/>
      </c>
      <c r="AL44" s="4">
        <f>'04_Доходы'!AL133</f>
        <v/>
      </c>
      <c r="AM44" s="4">
        <f>'04_Доходы'!AM133</f>
        <v/>
      </c>
      <c r="AN44" s="4">
        <f>'04_Доходы'!AN133</f>
        <v/>
      </c>
      <c r="AO44" s="4">
        <f>'04_Доходы'!AO133</f>
        <v/>
      </c>
      <c r="AP44" s="4">
        <f>'04_Доходы'!AP133</f>
        <v/>
      </c>
      <c r="AQ44" s="4">
        <f>'04_Доходы'!AQ133</f>
        <v/>
      </c>
      <c r="AR44" s="4">
        <f>'04_Доходы'!AR133</f>
        <v/>
      </c>
      <c r="AS44" s="4">
        <f>'04_Доходы'!AS133</f>
        <v/>
      </c>
      <c r="AT44" s="4">
        <f>'04_Доходы'!AT133</f>
        <v/>
      </c>
      <c r="AU44" s="4">
        <f>'04_Доходы'!AU133</f>
        <v/>
      </c>
      <c r="AV44" s="4">
        <f>'04_Доходы'!AV133</f>
        <v/>
      </c>
      <c r="AW44" s="4">
        <f>'04_Доходы'!AW133</f>
        <v/>
      </c>
      <c r="AX44" s="4">
        <f>'04_Доходы'!AX133</f>
        <v/>
      </c>
      <c r="AY44" s="4">
        <f>'04_Доходы'!AY133</f>
        <v/>
      </c>
      <c r="AZ44" s="4">
        <f>'04_Доходы'!AZ133</f>
        <v/>
      </c>
      <c r="BA44" s="4">
        <f>'04_Доходы'!BA133</f>
        <v/>
      </c>
      <c r="BB44" s="4">
        <f>'04_Доходы'!BB133</f>
        <v/>
      </c>
      <c r="BC44" s="4">
        <f>'04_Доходы'!BC133</f>
        <v/>
      </c>
      <c r="BD44" s="4">
        <f>'04_Доходы'!BD133</f>
        <v/>
      </c>
      <c r="BE44" s="4">
        <f>'04_Доходы'!BE133</f>
        <v/>
      </c>
      <c r="BF44" s="4">
        <f>'04_Доходы'!BF133</f>
        <v/>
      </c>
      <c r="BG44" s="4">
        <f>'04_Доходы'!BG133</f>
        <v/>
      </c>
      <c r="BH44" s="4">
        <f>'04_Доходы'!BH133</f>
        <v/>
      </c>
      <c r="BI44" s="4">
        <f>'04_Доходы'!BI133</f>
        <v/>
      </c>
      <c r="BJ44" s="4">
        <f>'04_Доходы'!BJ133</f>
        <v/>
      </c>
      <c r="BK44" s="4">
        <f>'04_Доходы'!BK133</f>
        <v/>
      </c>
      <c r="BL44" s="4">
        <f>'04_Доходы'!BL133</f>
        <v/>
      </c>
      <c r="BM44" s="4">
        <f>'04_Доходы'!BM133</f>
        <v/>
      </c>
      <c r="BN44" s="4">
        <f>'04_Доходы'!BN133</f>
        <v/>
      </c>
      <c r="BO44" s="4">
        <f>'04_Доходы'!BO133</f>
        <v/>
      </c>
      <c r="BP44" s="4">
        <f>'04_Доходы'!BP133</f>
        <v/>
      </c>
      <c r="BQ44" s="4">
        <f>'04_Доходы'!BQ133</f>
        <v/>
      </c>
      <c r="BR44" s="4">
        <f>'04_Доходы'!BR133</f>
        <v/>
      </c>
      <c r="BS44" s="4">
        <f>'04_Доходы'!BS133</f>
        <v/>
      </c>
      <c r="BT44" s="4">
        <f>'04_Доходы'!BT133</f>
        <v/>
      </c>
      <c r="BU44" s="4">
        <f>'04_Доходы'!BU133</f>
        <v/>
      </c>
      <c r="BV44" s="4">
        <f>'04_Доходы'!BV133</f>
        <v/>
      </c>
      <c r="BW44" s="4">
        <f>'04_Доходы'!BW133</f>
        <v/>
      </c>
      <c r="BX44" s="4">
        <f>'04_Доходы'!BX133</f>
        <v/>
      </c>
      <c r="BY44" s="4">
        <f>'04_Доходы'!BY133</f>
        <v/>
      </c>
    </row>
    <row r="45">
      <c r="B45" t="inlineStr">
        <is>
          <t>Оплата: поставщики и OPEX</t>
        </is>
      </c>
      <c r="C45" t="inlineStr">
        <is>
          <t>₽</t>
        </is>
      </c>
      <c r="D45" s="117" t="inlineStr">
        <is>
          <t>Кроме ФОТ: он платится сразу. Половина в текущем месяце, половина в следующем</t>
        </is>
      </c>
      <c r="E45" s="119">
        <f>SUM(L45:W45)</f>
        <v/>
      </c>
      <c r="F45" s="119">
        <f>SUM(X45:AI45)</f>
        <v/>
      </c>
      <c r="G45" s="119">
        <f>SUM(AJ45:AU45)</f>
        <v/>
      </c>
      <c r="H45" s="119">
        <f>SUM(AV45:BG45)</f>
        <v/>
      </c>
      <c r="I45" s="119">
        <f>SUM(BH45:BS45)</f>
        <v/>
      </c>
      <c r="J45" s="5">
        <f>SUM(L45:BS45)</f>
        <v/>
      </c>
      <c r="L45" s="4">
        <f>ДоляОплатыТек*('05_Расходы'!$L43-'05_Расходы'!$L29+'06_Деньги'!$L9)</f>
        <v/>
      </c>
      <c r="M45" s="4">
        <f>ДоляОплатыТек*('05_Расходы'!M43-'05_Расходы'!M29+'06_Деньги'!M9)+(1-ДоляОплатыТек)*('05_Расходы'!L43-'05_Расходы'!L29+'06_Деньги'!L9)</f>
        <v/>
      </c>
      <c r="N45" s="4">
        <f>ДоляОплатыТек*('05_Расходы'!N43-'05_Расходы'!N29+'06_Деньги'!N9)+(1-ДоляОплатыТек)*('05_Расходы'!M43-'05_Расходы'!M29+'06_Деньги'!M9)</f>
        <v/>
      </c>
      <c r="O45" s="4">
        <f>ДоляОплатыТек*('05_Расходы'!O43-'05_Расходы'!O29+'06_Деньги'!O9)+(1-ДоляОплатыТек)*('05_Расходы'!N43-'05_Расходы'!N29+'06_Деньги'!N9)</f>
        <v/>
      </c>
      <c r="P45" s="4">
        <f>ДоляОплатыТек*('05_Расходы'!P43-'05_Расходы'!P29+'06_Деньги'!P9)+(1-ДоляОплатыТек)*('05_Расходы'!O43-'05_Расходы'!O29+'06_Деньги'!O9)</f>
        <v/>
      </c>
      <c r="Q45" s="4">
        <f>ДоляОплатыТек*('05_Расходы'!Q43-'05_Расходы'!Q29+'06_Деньги'!Q9)+(1-ДоляОплатыТек)*('05_Расходы'!P43-'05_Расходы'!P29+'06_Деньги'!P9)</f>
        <v/>
      </c>
      <c r="R45" s="4">
        <f>ДоляОплатыТек*('05_Расходы'!R43-'05_Расходы'!R29+'06_Деньги'!R9)+(1-ДоляОплатыТек)*('05_Расходы'!Q43-'05_Расходы'!Q29+'06_Деньги'!Q9)</f>
        <v/>
      </c>
      <c r="S45" s="4">
        <f>ДоляОплатыТек*('05_Расходы'!S43-'05_Расходы'!S29+'06_Деньги'!S9)+(1-ДоляОплатыТек)*('05_Расходы'!R43-'05_Расходы'!R29+'06_Деньги'!R9)</f>
        <v/>
      </c>
      <c r="T45" s="4">
        <f>ДоляОплатыТек*('05_Расходы'!T43-'05_Расходы'!T29+'06_Деньги'!T9)+(1-ДоляОплатыТек)*('05_Расходы'!S43-'05_Расходы'!S29+'06_Деньги'!S9)</f>
        <v/>
      </c>
      <c r="U45" s="4">
        <f>ДоляОплатыТек*('05_Расходы'!U43-'05_Расходы'!U29+'06_Деньги'!U9)+(1-ДоляОплатыТек)*('05_Расходы'!T43-'05_Расходы'!T29+'06_Деньги'!T9)</f>
        <v/>
      </c>
      <c r="V45" s="4">
        <f>ДоляОплатыТек*('05_Расходы'!V43-'05_Расходы'!V29+'06_Деньги'!V9)+(1-ДоляОплатыТек)*('05_Расходы'!U43-'05_Расходы'!U29+'06_Деньги'!U9)</f>
        <v/>
      </c>
      <c r="W45" s="4">
        <f>ДоляОплатыТек*('05_Расходы'!W43-'05_Расходы'!W29+'06_Деньги'!W9)+(1-ДоляОплатыТек)*('05_Расходы'!V43-'05_Расходы'!V29+'06_Деньги'!V9)</f>
        <v/>
      </c>
      <c r="X45" s="4">
        <f>ДоляОплатыТек*('05_Расходы'!X43-'05_Расходы'!X29+'06_Деньги'!X9)+(1-ДоляОплатыТек)*('05_Расходы'!W43-'05_Расходы'!W29+'06_Деньги'!W9)</f>
        <v/>
      </c>
      <c r="Y45" s="4">
        <f>ДоляОплатыТек*('05_Расходы'!Y43-'05_Расходы'!Y29+'06_Деньги'!Y9)+(1-ДоляОплатыТек)*('05_Расходы'!X43-'05_Расходы'!X29+'06_Деньги'!X9)</f>
        <v/>
      </c>
      <c r="Z45" s="4">
        <f>ДоляОплатыТек*('05_Расходы'!Z43-'05_Расходы'!Z29+'06_Деньги'!Z9)+(1-ДоляОплатыТек)*('05_Расходы'!Y43-'05_Расходы'!Y29+'06_Деньги'!Y9)</f>
        <v/>
      </c>
      <c r="AA45" s="4">
        <f>ДоляОплатыТек*('05_Расходы'!AA43-'05_Расходы'!AA29+'06_Деньги'!AA9)+(1-ДоляОплатыТек)*('05_Расходы'!Z43-'05_Расходы'!Z29+'06_Деньги'!Z9)</f>
        <v/>
      </c>
      <c r="AB45" s="4">
        <f>ДоляОплатыТек*('05_Расходы'!AB43-'05_Расходы'!AB29+'06_Деньги'!AB9)+(1-ДоляОплатыТек)*('05_Расходы'!AA43-'05_Расходы'!AA29+'06_Деньги'!AA9)</f>
        <v/>
      </c>
      <c r="AC45" s="4">
        <f>ДоляОплатыТек*('05_Расходы'!AC43-'05_Расходы'!AC29+'06_Деньги'!AC9)+(1-ДоляОплатыТек)*('05_Расходы'!AB43-'05_Расходы'!AB29+'06_Деньги'!AB9)</f>
        <v/>
      </c>
      <c r="AD45" s="4">
        <f>ДоляОплатыТек*('05_Расходы'!AD43-'05_Расходы'!AD29+'06_Деньги'!AD9)+(1-ДоляОплатыТек)*('05_Расходы'!AC43-'05_Расходы'!AC29+'06_Деньги'!AC9)</f>
        <v/>
      </c>
      <c r="AE45" s="4">
        <f>ДоляОплатыТек*('05_Расходы'!AE43-'05_Расходы'!AE29+'06_Деньги'!AE9)+(1-ДоляОплатыТек)*('05_Расходы'!AD43-'05_Расходы'!AD29+'06_Деньги'!AD9)</f>
        <v/>
      </c>
      <c r="AF45" s="4">
        <f>ДоляОплатыТек*('05_Расходы'!AF43-'05_Расходы'!AF29+'06_Деньги'!AF9)+(1-ДоляОплатыТек)*('05_Расходы'!AE43-'05_Расходы'!AE29+'06_Деньги'!AE9)</f>
        <v/>
      </c>
      <c r="AG45" s="4">
        <f>ДоляОплатыТек*('05_Расходы'!AG43-'05_Расходы'!AG29+'06_Деньги'!AG9)+(1-ДоляОплатыТек)*('05_Расходы'!AF43-'05_Расходы'!AF29+'06_Деньги'!AF9)</f>
        <v/>
      </c>
      <c r="AH45" s="4">
        <f>ДоляОплатыТек*('05_Расходы'!AH43-'05_Расходы'!AH29+'06_Деньги'!AH9)+(1-ДоляОплатыТек)*('05_Расходы'!AG43-'05_Расходы'!AG29+'06_Деньги'!AG9)</f>
        <v/>
      </c>
      <c r="AI45" s="4">
        <f>ДоляОплатыТек*('05_Расходы'!AI43-'05_Расходы'!AI29+'06_Деньги'!AI9)+(1-ДоляОплатыТек)*('05_Расходы'!AH43-'05_Расходы'!AH29+'06_Деньги'!AH9)</f>
        <v/>
      </c>
      <c r="AJ45" s="4">
        <f>ДоляОплатыТек*('05_Расходы'!AJ43-'05_Расходы'!AJ29+'06_Деньги'!AJ9)+(1-ДоляОплатыТек)*('05_Расходы'!AI43-'05_Расходы'!AI29+'06_Деньги'!AI9)</f>
        <v/>
      </c>
      <c r="AK45" s="4">
        <f>ДоляОплатыТек*('05_Расходы'!AK43-'05_Расходы'!AK29+'06_Деньги'!AK9)+(1-ДоляОплатыТек)*('05_Расходы'!AJ43-'05_Расходы'!AJ29+'06_Деньги'!AJ9)</f>
        <v/>
      </c>
      <c r="AL45" s="4">
        <f>ДоляОплатыТек*('05_Расходы'!AL43-'05_Расходы'!AL29+'06_Деньги'!AL9)+(1-ДоляОплатыТек)*('05_Расходы'!AK43-'05_Расходы'!AK29+'06_Деньги'!AK9)</f>
        <v/>
      </c>
      <c r="AM45" s="4">
        <f>ДоляОплатыТек*('05_Расходы'!AM43-'05_Расходы'!AM29+'06_Деньги'!AM9)+(1-ДоляОплатыТек)*('05_Расходы'!AL43-'05_Расходы'!AL29+'06_Деньги'!AL9)</f>
        <v/>
      </c>
      <c r="AN45" s="4">
        <f>ДоляОплатыТек*('05_Расходы'!AN43-'05_Расходы'!AN29+'06_Деньги'!AN9)+(1-ДоляОплатыТек)*('05_Расходы'!AM43-'05_Расходы'!AM29+'06_Деньги'!AM9)</f>
        <v/>
      </c>
      <c r="AO45" s="4">
        <f>ДоляОплатыТек*('05_Расходы'!AO43-'05_Расходы'!AO29+'06_Деньги'!AO9)+(1-ДоляОплатыТек)*('05_Расходы'!AN43-'05_Расходы'!AN29+'06_Деньги'!AN9)</f>
        <v/>
      </c>
      <c r="AP45" s="4">
        <f>ДоляОплатыТек*('05_Расходы'!AP43-'05_Расходы'!AP29+'06_Деньги'!AP9)+(1-ДоляОплатыТек)*('05_Расходы'!AO43-'05_Расходы'!AO29+'06_Деньги'!AO9)</f>
        <v/>
      </c>
      <c r="AQ45" s="4">
        <f>ДоляОплатыТек*('05_Расходы'!AQ43-'05_Расходы'!AQ29+'06_Деньги'!AQ9)+(1-ДоляОплатыТек)*('05_Расходы'!AP43-'05_Расходы'!AP29+'06_Деньги'!AP9)</f>
        <v/>
      </c>
      <c r="AR45" s="4">
        <f>ДоляОплатыТек*('05_Расходы'!AR43-'05_Расходы'!AR29+'06_Деньги'!AR9)+(1-ДоляОплатыТек)*('05_Расходы'!AQ43-'05_Расходы'!AQ29+'06_Деньги'!AQ9)</f>
        <v/>
      </c>
      <c r="AS45" s="4">
        <f>ДоляОплатыТек*('05_Расходы'!AS43-'05_Расходы'!AS29+'06_Деньги'!AS9)+(1-ДоляОплатыТек)*('05_Расходы'!AR43-'05_Расходы'!AR29+'06_Деньги'!AR9)</f>
        <v/>
      </c>
      <c r="AT45" s="4">
        <f>ДоляОплатыТек*('05_Расходы'!AT43-'05_Расходы'!AT29+'06_Деньги'!AT9)+(1-ДоляОплатыТек)*('05_Расходы'!AS43-'05_Расходы'!AS29+'06_Деньги'!AS9)</f>
        <v/>
      </c>
      <c r="AU45" s="4">
        <f>ДоляОплатыТек*('05_Расходы'!AU43-'05_Расходы'!AU29+'06_Деньги'!AU9)+(1-ДоляОплатыТек)*('05_Расходы'!AT43-'05_Расходы'!AT29+'06_Деньги'!AT9)</f>
        <v/>
      </c>
      <c r="AV45" s="4">
        <f>ДоляОплатыТек*('05_Расходы'!AV43-'05_Расходы'!AV29+'06_Деньги'!AV9)+(1-ДоляОплатыТек)*('05_Расходы'!AU43-'05_Расходы'!AU29+'06_Деньги'!AU9)</f>
        <v/>
      </c>
      <c r="AW45" s="4">
        <f>ДоляОплатыТек*('05_Расходы'!AW43-'05_Расходы'!AW29+'06_Деньги'!AW9)+(1-ДоляОплатыТек)*('05_Расходы'!AV43-'05_Расходы'!AV29+'06_Деньги'!AV9)</f>
        <v/>
      </c>
      <c r="AX45" s="4">
        <f>ДоляОплатыТек*('05_Расходы'!AX43-'05_Расходы'!AX29+'06_Деньги'!AX9)+(1-ДоляОплатыТек)*('05_Расходы'!AW43-'05_Расходы'!AW29+'06_Деньги'!AW9)</f>
        <v/>
      </c>
      <c r="AY45" s="4">
        <f>ДоляОплатыТек*('05_Расходы'!AY43-'05_Расходы'!AY29+'06_Деньги'!AY9)+(1-ДоляОплатыТек)*('05_Расходы'!AX43-'05_Расходы'!AX29+'06_Деньги'!AX9)</f>
        <v/>
      </c>
      <c r="AZ45" s="4">
        <f>ДоляОплатыТек*('05_Расходы'!AZ43-'05_Расходы'!AZ29+'06_Деньги'!AZ9)+(1-ДоляОплатыТек)*('05_Расходы'!AY43-'05_Расходы'!AY29+'06_Деньги'!AY9)</f>
        <v/>
      </c>
      <c r="BA45" s="4">
        <f>ДоляОплатыТек*('05_Расходы'!BA43-'05_Расходы'!BA29+'06_Деньги'!BA9)+(1-ДоляОплатыТек)*('05_Расходы'!AZ43-'05_Расходы'!AZ29+'06_Деньги'!AZ9)</f>
        <v/>
      </c>
      <c r="BB45" s="4">
        <f>ДоляОплатыТек*('05_Расходы'!BB43-'05_Расходы'!BB29+'06_Деньги'!BB9)+(1-ДоляОплатыТек)*('05_Расходы'!BA43-'05_Расходы'!BA29+'06_Деньги'!BA9)</f>
        <v/>
      </c>
      <c r="BC45" s="4">
        <f>ДоляОплатыТек*('05_Расходы'!BC43-'05_Расходы'!BC29+'06_Деньги'!BC9)+(1-ДоляОплатыТек)*('05_Расходы'!BB43-'05_Расходы'!BB29+'06_Деньги'!BB9)</f>
        <v/>
      </c>
      <c r="BD45" s="4">
        <f>ДоляОплатыТек*('05_Расходы'!BD43-'05_Расходы'!BD29+'06_Деньги'!BD9)+(1-ДоляОплатыТек)*('05_Расходы'!BC43-'05_Расходы'!BC29+'06_Деньги'!BC9)</f>
        <v/>
      </c>
      <c r="BE45" s="4">
        <f>ДоляОплатыТек*('05_Расходы'!BE43-'05_Расходы'!BE29+'06_Деньги'!BE9)+(1-ДоляОплатыТек)*('05_Расходы'!BD43-'05_Расходы'!BD29+'06_Деньги'!BD9)</f>
        <v/>
      </c>
      <c r="BF45" s="4">
        <f>ДоляОплатыТек*('05_Расходы'!BF43-'05_Расходы'!BF29+'06_Деньги'!BF9)+(1-ДоляОплатыТек)*('05_Расходы'!BE43-'05_Расходы'!BE29+'06_Деньги'!BE9)</f>
        <v/>
      </c>
      <c r="BG45" s="4">
        <f>ДоляОплатыТек*('05_Расходы'!BG43-'05_Расходы'!BG29+'06_Деньги'!BG9)+(1-ДоляОплатыТек)*('05_Расходы'!BF43-'05_Расходы'!BF29+'06_Деньги'!BF9)</f>
        <v/>
      </c>
      <c r="BH45" s="4">
        <f>ДоляОплатыТек*('05_Расходы'!BH43-'05_Расходы'!BH29+'06_Деньги'!BH9)+(1-ДоляОплатыТек)*('05_Расходы'!BG43-'05_Расходы'!BG29+'06_Деньги'!BG9)</f>
        <v/>
      </c>
      <c r="BI45" s="4">
        <f>ДоляОплатыТек*('05_Расходы'!BI43-'05_Расходы'!BI29+'06_Деньги'!BI9)+(1-ДоляОплатыТек)*('05_Расходы'!BH43-'05_Расходы'!BH29+'06_Деньги'!BH9)</f>
        <v/>
      </c>
      <c r="BJ45" s="4">
        <f>ДоляОплатыТек*('05_Расходы'!BJ43-'05_Расходы'!BJ29+'06_Деньги'!BJ9)+(1-ДоляОплатыТек)*('05_Расходы'!BI43-'05_Расходы'!BI29+'06_Деньги'!BI9)</f>
        <v/>
      </c>
      <c r="BK45" s="4">
        <f>ДоляОплатыТек*('05_Расходы'!BK43-'05_Расходы'!BK29+'06_Деньги'!BK9)+(1-ДоляОплатыТек)*('05_Расходы'!BJ43-'05_Расходы'!BJ29+'06_Деньги'!BJ9)</f>
        <v/>
      </c>
      <c r="BL45" s="4">
        <f>ДоляОплатыТек*('05_Расходы'!BL43-'05_Расходы'!BL29+'06_Деньги'!BL9)+(1-ДоляОплатыТек)*('05_Расходы'!BK43-'05_Расходы'!BK29+'06_Деньги'!BK9)</f>
        <v/>
      </c>
      <c r="BM45" s="4">
        <f>ДоляОплатыТек*('05_Расходы'!BM43-'05_Расходы'!BM29+'06_Деньги'!BM9)+(1-ДоляОплатыТек)*('05_Расходы'!BL43-'05_Расходы'!BL29+'06_Деньги'!BL9)</f>
        <v/>
      </c>
      <c r="BN45" s="4">
        <f>ДоляОплатыТек*('05_Расходы'!BN43-'05_Расходы'!BN29+'06_Деньги'!BN9)+(1-ДоляОплатыТек)*('05_Расходы'!BM43-'05_Расходы'!BM29+'06_Деньги'!BM9)</f>
        <v/>
      </c>
      <c r="BO45" s="4">
        <f>ДоляОплатыТек*('05_Расходы'!BO43-'05_Расходы'!BO29+'06_Деньги'!BO9)+(1-ДоляОплатыТек)*('05_Расходы'!BN43-'05_Расходы'!BN29+'06_Деньги'!BN9)</f>
        <v/>
      </c>
      <c r="BP45" s="4">
        <f>ДоляОплатыТек*('05_Расходы'!BP43-'05_Расходы'!BP29+'06_Деньги'!BP9)+(1-ДоляОплатыТек)*('05_Расходы'!BO43-'05_Расходы'!BO29+'06_Деньги'!BO9)</f>
        <v/>
      </c>
      <c r="BQ45" s="4">
        <f>ДоляОплатыТек*('05_Расходы'!BQ43-'05_Расходы'!BQ29+'06_Деньги'!BQ9)+(1-ДоляОплатыТек)*('05_Расходы'!BP43-'05_Расходы'!BP29+'06_Деньги'!BP9)</f>
        <v/>
      </c>
      <c r="BR45" s="4">
        <f>ДоляОплатыТек*('05_Расходы'!BR43-'05_Расходы'!BR29+'06_Деньги'!BR9)+(1-ДоляОплатыТек)*('05_Расходы'!BQ43-'05_Расходы'!BQ29+'06_Деньги'!BQ9)</f>
        <v/>
      </c>
      <c r="BS45" s="4">
        <f>ДоляОплатыТек*('05_Расходы'!BS43-'05_Расходы'!BS29+'06_Деньги'!BS9)+(1-ДоляОплатыТек)*('05_Расходы'!BR43-'05_Расходы'!BR29+'06_Деньги'!BR9)</f>
        <v/>
      </c>
      <c r="BT45" s="4">
        <f>ДоляОплатыТек*('05_Расходы'!BT43-'05_Расходы'!BT29+'06_Деньги'!BT9)+(1-ДоляОплатыТек)*('05_Расходы'!BS43-'05_Расходы'!BS29+'06_Деньги'!BS9)</f>
        <v/>
      </c>
      <c r="BU45" s="4">
        <f>ДоляОплатыТек*('05_Расходы'!BU43-'05_Расходы'!BU29+'06_Деньги'!BU9)+(1-ДоляОплатыТек)*('05_Расходы'!BT43-'05_Расходы'!BT29+'06_Деньги'!BT9)</f>
        <v/>
      </c>
      <c r="BV45" s="4">
        <f>ДоляОплатыТек*('05_Расходы'!BV43-'05_Расходы'!BV29+'06_Деньги'!BV9)+(1-ДоляОплатыТек)*('05_Расходы'!BU43-'05_Расходы'!BU29+'06_Деньги'!BU9)</f>
        <v/>
      </c>
      <c r="BW45" s="4">
        <f>ДоляОплатыТек*('05_Расходы'!BW43-'05_Расходы'!BW29+'06_Деньги'!BW9)+(1-ДоляОплатыТек)*('05_Расходы'!BV43-'05_Расходы'!BV29+'06_Деньги'!BV9)</f>
        <v/>
      </c>
      <c r="BX45" s="4">
        <f>ДоляОплатыТек*('05_Расходы'!BX43-'05_Расходы'!BX29+'06_Деньги'!BX9)+(1-ДоляОплатыТек)*('05_Расходы'!BW43-'05_Расходы'!BW29+'06_Деньги'!BW9)</f>
        <v/>
      </c>
      <c r="BY45" s="4">
        <f>ДоляОплатыТек*('05_Расходы'!BY43-'05_Расходы'!BY29+'06_Деньги'!BY9)+(1-ДоляОплатыТек)*('05_Расходы'!BX43-'05_Расходы'!BX29+'06_Деньги'!BX9)</f>
        <v/>
      </c>
    </row>
    <row r="46">
      <c r="B46" t="inlineStr">
        <is>
          <t>Оплата: ФОТ</t>
        </is>
      </c>
      <c r="C46" t="inlineStr">
        <is>
          <t>₽</t>
        </is>
      </c>
      <c r="D46" s="117" t="inlineStr">
        <is>
          <t>Зарплата платится в месяц начисления</t>
        </is>
      </c>
      <c r="E46" s="119">
        <f>SUM(L46:W46)</f>
        <v/>
      </c>
      <c r="F46" s="119">
        <f>SUM(X46:AI46)</f>
        <v/>
      </c>
      <c r="G46" s="119">
        <f>SUM(AJ46:AU46)</f>
        <v/>
      </c>
      <c r="H46" s="119">
        <f>SUM(AV46:BG46)</f>
        <v/>
      </c>
      <c r="I46" s="119">
        <f>SUM(BH46:BS46)</f>
        <v/>
      </c>
      <c r="J46" s="5">
        <f>SUM(L46:BS46)</f>
        <v/>
      </c>
      <c r="L46" s="4">
        <f>'05_Расходы'!L29</f>
        <v/>
      </c>
      <c r="M46" s="4">
        <f>'05_Расходы'!M29</f>
        <v/>
      </c>
      <c r="N46" s="4">
        <f>'05_Расходы'!N29</f>
        <v/>
      </c>
      <c r="O46" s="4">
        <f>'05_Расходы'!O29</f>
        <v/>
      </c>
      <c r="P46" s="4">
        <f>'05_Расходы'!P29</f>
        <v/>
      </c>
      <c r="Q46" s="4">
        <f>'05_Расходы'!Q29</f>
        <v/>
      </c>
      <c r="R46" s="4">
        <f>'05_Расходы'!R29</f>
        <v/>
      </c>
      <c r="S46" s="4">
        <f>'05_Расходы'!S29</f>
        <v/>
      </c>
      <c r="T46" s="4">
        <f>'05_Расходы'!T29</f>
        <v/>
      </c>
      <c r="U46" s="4">
        <f>'05_Расходы'!U29</f>
        <v/>
      </c>
      <c r="V46" s="4">
        <f>'05_Расходы'!V29</f>
        <v/>
      </c>
      <c r="W46" s="4">
        <f>'05_Расходы'!W29</f>
        <v/>
      </c>
      <c r="X46" s="4">
        <f>'05_Расходы'!X29</f>
        <v/>
      </c>
      <c r="Y46" s="4">
        <f>'05_Расходы'!Y29</f>
        <v/>
      </c>
      <c r="Z46" s="4">
        <f>'05_Расходы'!Z29</f>
        <v/>
      </c>
      <c r="AA46" s="4">
        <f>'05_Расходы'!AA29</f>
        <v/>
      </c>
      <c r="AB46" s="4">
        <f>'05_Расходы'!AB29</f>
        <v/>
      </c>
      <c r="AC46" s="4">
        <f>'05_Расходы'!AC29</f>
        <v/>
      </c>
      <c r="AD46" s="4">
        <f>'05_Расходы'!AD29</f>
        <v/>
      </c>
      <c r="AE46" s="4">
        <f>'05_Расходы'!AE29</f>
        <v/>
      </c>
      <c r="AF46" s="4">
        <f>'05_Расходы'!AF29</f>
        <v/>
      </c>
      <c r="AG46" s="4">
        <f>'05_Расходы'!AG29</f>
        <v/>
      </c>
      <c r="AH46" s="4">
        <f>'05_Расходы'!AH29</f>
        <v/>
      </c>
      <c r="AI46" s="4">
        <f>'05_Расходы'!AI29</f>
        <v/>
      </c>
      <c r="AJ46" s="4">
        <f>'05_Расходы'!AJ29</f>
        <v/>
      </c>
      <c r="AK46" s="4">
        <f>'05_Расходы'!AK29</f>
        <v/>
      </c>
      <c r="AL46" s="4">
        <f>'05_Расходы'!AL29</f>
        <v/>
      </c>
      <c r="AM46" s="4">
        <f>'05_Расходы'!AM29</f>
        <v/>
      </c>
      <c r="AN46" s="4">
        <f>'05_Расходы'!AN29</f>
        <v/>
      </c>
      <c r="AO46" s="4">
        <f>'05_Расходы'!AO29</f>
        <v/>
      </c>
      <c r="AP46" s="4">
        <f>'05_Расходы'!AP29</f>
        <v/>
      </c>
      <c r="AQ46" s="4">
        <f>'05_Расходы'!AQ29</f>
        <v/>
      </c>
      <c r="AR46" s="4">
        <f>'05_Расходы'!AR29</f>
        <v/>
      </c>
      <c r="AS46" s="4">
        <f>'05_Расходы'!AS29</f>
        <v/>
      </c>
      <c r="AT46" s="4">
        <f>'05_Расходы'!AT29</f>
        <v/>
      </c>
      <c r="AU46" s="4">
        <f>'05_Расходы'!AU29</f>
        <v/>
      </c>
      <c r="AV46" s="4">
        <f>'05_Расходы'!AV29</f>
        <v/>
      </c>
      <c r="AW46" s="4">
        <f>'05_Расходы'!AW29</f>
        <v/>
      </c>
      <c r="AX46" s="4">
        <f>'05_Расходы'!AX29</f>
        <v/>
      </c>
      <c r="AY46" s="4">
        <f>'05_Расходы'!AY29</f>
        <v/>
      </c>
      <c r="AZ46" s="4">
        <f>'05_Расходы'!AZ29</f>
        <v/>
      </c>
      <c r="BA46" s="4">
        <f>'05_Расходы'!BA29</f>
        <v/>
      </c>
      <c r="BB46" s="4">
        <f>'05_Расходы'!BB29</f>
        <v/>
      </c>
      <c r="BC46" s="4">
        <f>'05_Расходы'!BC29</f>
        <v/>
      </c>
      <c r="BD46" s="4">
        <f>'05_Расходы'!BD29</f>
        <v/>
      </c>
      <c r="BE46" s="4">
        <f>'05_Расходы'!BE29</f>
        <v/>
      </c>
      <c r="BF46" s="4">
        <f>'05_Расходы'!BF29</f>
        <v/>
      </c>
      <c r="BG46" s="4">
        <f>'05_Расходы'!BG29</f>
        <v/>
      </c>
      <c r="BH46" s="4">
        <f>'05_Расходы'!BH29</f>
        <v/>
      </c>
      <c r="BI46" s="4">
        <f>'05_Расходы'!BI29</f>
        <v/>
      </c>
      <c r="BJ46" s="4">
        <f>'05_Расходы'!BJ29</f>
        <v/>
      </c>
      <c r="BK46" s="4">
        <f>'05_Расходы'!BK29</f>
        <v/>
      </c>
      <c r="BL46" s="4">
        <f>'05_Расходы'!BL29</f>
        <v/>
      </c>
      <c r="BM46" s="4">
        <f>'05_Расходы'!BM29</f>
        <v/>
      </c>
      <c r="BN46" s="4">
        <f>'05_Расходы'!BN29</f>
        <v/>
      </c>
      <c r="BO46" s="4">
        <f>'05_Расходы'!BO29</f>
        <v/>
      </c>
      <c r="BP46" s="4">
        <f>'05_Расходы'!BP29</f>
        <v/>
      </c>
      <c r="BQ46" s="4">
        <f>'05_Расходы'!BQ29</f>
        <v/>
      </c>
      <c r="BR46" s="4">
        <f>'05_Расходы'!BR29</f>
        <v/>
      </c>
      <c r="BS46" s="4">
        <f>'05_Расходы'!BS29</f>
        <v/>
      </c>
      <c r="BT46" s="4">
        <f>'05_Расходы'!BT29</f>
        <v/>
      </c>
      <c r="BU46" s="4">
        <f>'05_Расходы'!BU29</f>
        <v/>
      </c>
      <c r="BV46" s="4">
        <f>'05_Расходы'!BV29</f>
        <v/>
      </c>
      <c r="BW46" s="4">
        <f>'05_Расходы'!BW29</f>
        <v/>
      </c>
      <c r="BX46" s="4">
        <f>'05_Расходы'!BX29</f>
        <v/>
      </c>
      <c r="BY46" s="4">
        <f>'05_Расходы'!BY29</f>
        <v/>
      </c>
    </row>
    <row r="47">
      <c r="B47" t="inlineStr">
        <is>
          <t>Оплата: клубу</t>
        </is>
      </c>
      <c r="C47" t="inlineStr">
        <is>
          <t>₽</t>
        </is>
      </c>
      <c r="D47" s="117" t="inlineStr">
        <is>
          <t>Роялти клубу — с поступивших денег, остальное сразу</t>
        </is>
      </c>
      <c r="E47" s="119">
        <f>SUM(L47:W47)</f>
        <v/>
      </c>
      <c r="F47" s="119">
        <f>SUM(X47:AI47)</f>
        <v/>
      </c>
      <c r="G47" s="119">
        <f>SUM(AJ47:AU47)</f>
        <v/>
      </c>
      <c r="H47" s="119">
        <f>SUM(AV47:BG47)</f>
        <v/>
      </c>
      <c r="I47" s="119">
        <f>SUM(BH47:BS47)</f>
        <v/>
      </c>
      <c r="J47" s="5">
        <f>SUM(L47:BS47)</f>
        <v/>
      </c>
      <c r="L47" s="4">
        <f>'05_Расходы'!L46+'05_Расходы'!L48+L39/(1+НДС)*ДоляФКРоялти</f>
        <v/>
      </c>
      <c r="M47" s="4">
        <f>'05_Расходы'!M46+'05_Расходы'!M48+M39/(1+НДС)*ДоляФКРоялти</f>
        <v/>
      </c>
      <c r="N47" s="4">
        <f>'05_Расходы'!N46+'05_Расходы'!N48+N39/(1+НДС)*ДоляФКРоялти</f>
        <v/>
      </c>
      <c r="O47" s="4">
        <f>'05_Расходы'!O46+'05_Расходы'!O48+O39/(1+НДС)*ДоляФКРоялти</f>
        <v/>
      </c>
      <c r="P47" s="4">
        <f>'05_Расходы'!P46+'05_Расходы'!P48+P39/(1+НДС)*ДоляФКРоялти</f>
        <v/>
      </c>
      <c r="Q47" s="4">
        <f>'05_Расходы'!Q46+'05_Расходы'!Q48+Q39/(1+НДС)*ДоляФКРоялти</f>
        <v/>
      </c>
      <c r="R47" s="4">
        <f>'05_Расходы'!R46+'05_Расходы'!R48+R39/(1+НДС)*ДоляФКРоялти</f>
        <v/>
      </c>
      <c r="S47" s="4">
        <f>'05_Расходы'!S46+'05_Расходы'!S48+S39/(1+НДС)*ДоляФКРоялти</f>
        <v/>
      </c>
      <c r="T47" s="4">
        <f>'05_Расходы'!T46+'05_Расходы'!T48+T39/(1+НДС)*ДоляФКРоялти</f>
        <v/>
      </c>
      <c r="U47" s="4">
        <f>'05_Расходы'!U46+'05_Расходы'!U48+U39/(1+НДС)*ДоляФКРоялти</f>
        <v/>
      </c>
      <c r="V47" s="4">
        <f>'05_Расходы'!V46+'05_Расходы'!V48+V39/(1+НДС)*ДоляФКРоялти</f>
        <v/>
      </c>
      <c r="W47" s="4">
        <f>'05_Расходы'!W46+'05_Расходы'!W48+W39/(1+НДС)*ДоляФКРоялти</f>
        <v/>
      </c>
      <c r="X47" s="4">
        <f>'05_Расходы'!X46+'05_Расходы'!X48+X39/(1+НДС)*ДоляФКРоялти</f>
        <v/>
      </c>
      <c r="Y47" s="4">
        <f>'05_Расходы'!Y46+'05_Расходы'!Y48+Y39/(1+НДС)*ДоляФКРоялти</f>
        <v/>
      </c>
      <c r="Z47" s="4">
        <f>'05_Расходы'!Z46+'05_Расходы'!Z48+Z39/(1+НДС)*ДоляФКРоялти</f>
        <v/>
      </c>
      <c r="AA47" s="4">
        <f>'05_Расходы'!AA46+'05_Расходы'!AA48+AA39/(1+НДС)*ДоляФКРоялти</f>
        <v/>
      </c>
      <c r="AB47" s="4">
        <f>'05_Расходы'!AB46+'05_Расходы'!AB48+AB39/(1+НДС)*ДоляФКРоялти</f>
        <v/>
      </c>
      <c r="AC47" s="4">
        <f>'05_Расходы'!AC46+'05_Расходы'!AC48+AC39/(1+НДС)*ДоляФКРоялти</f>
        <v/>
      </c>
      <c r="AD47" s="4">
        <f>'05_Расходы'!AD46+'05_Расходы'!AD48+AD39/(1+НДС)*ДоляФКРоялти</f>
        <v/>
      </c>
      <c r="AE47" s="4">
        <f>'05_Расходы'!AE46+'05_Расходы'!AE48+AE39/(1+НДС)*ДоляФКРоялти</f>
        <v/>
      </c>
      <c r="AF47" s="4">
        <f>'05_Расходы'!AF46+'05_Расходы'!AF48+AF39/(1+НДС)*ДоляФКРоялти</f>
        <v/>
      </c>
      <c r="AG47" s="4">
        <f>'05_Расходы'!AG46+'05_Расходы'!AG48+AG39/(1+НДС)*ДоляФКРоялти</f>
        <v/>
      </c>
      <c r="AH47" s="4">
        <f>'05_Расходы'!AH46+'05_Расходы'!AH48+AH39/(1+НДС)*ДоляФКРоялти</f>
        <v/>
      </c>
      <c r="AI47" s="4">
        <f>'05_Расходы'!AI46+'05_Расходы'!AI48+AI39/(1+НДС)*ДоляФКРоялти</f>
        <v/>
      </c>
      <c r="AJ47" s="4">
        <f>'05_Расходы'!AJ46+'05_Расходы'!AJ48+AJ39/(1+НДС)*ДоляФКРоялти</f>
        <v/>
      </c>
      <c r="AK47" s="4">
        <f>'05_Расходы'!AK46+'05_Расходы'!AK48+AK39/(1+НДС)*ДоляФКРоялти</f>
        <v/>
      </c>
      <c r="AL47" s="4">
        <f>'05_Расходы'!AL46+'05_Расходы'!AL48+AL39/(1+НДС)*ДоляФКРоялти</f>
        <v/>
      </c>
      <c r="AM47" s="4">
        <f>'05_Расходы'!AM46+'05_Расходы'!AM48+AM39/(1+НДС)*ДоляФКРоялти</f>
        <v/>
      </c>
      <c r="AN47" s="4">
        <f>'05_Расходы'!AN46+'05_Расходы'!AN48+AN39/(1+НДС)*ДоляФКРоялти</f>
        <v/>
      </c>
      <c r="AO47" s="4">
        <f>'05_Расходы'!AO46+'05_Расходы'!AO48+AO39/(1+НДС)*ДоляФКРоялти</f>
        <v/>
      </c>
      <c r="AP47" s="4">
        <f>'05_Расходы'!AP46+'05_Расходы'!AP48+AP39/(1+НДС)*ДоляФКРоялти</f>
        <v/>
      </c>
      <c r="AQ47" s="4">
        <f>'05_Расходы'!AQ46+'05_Расходы'!AQ48+AQ39/(1+НДС)*ДоляФКРоялти</f>
        <v/>
      </c>
      <c r="AR47" s="4">
        <f>'05_Расходы'!AR46+'05_Расходы'!AR48+AR39/(1+НДС)*ДоляФКРоялти</f>
        <v/>
      </c>
      <c r="AS47" s="4">
        <f>'05_Расходы'!AS46+'05_Расходы'!AS48+AS39/(1+НДС)*ДоляФКРоялти</f>
        <v/>
      </c>
      <c r="AT47" s="4">
        <f>'05_Расходы'!AT46+'05_Расходы'!AT48+AT39/(1+НДС)*ДоляФКРоялти</f>
        <v/>
      </c>
      <c r="AU47" s="4">
        <f>'05_Расходы'!AU46+'05_Расходы'!AU48+AU39/(1+НДС)*ДоляФКРоялти</f>
        <v/>
      </c>
      <c r="AV47" s="4">
        <f>'05_Расходы'!AV46+'05_Расходы'!AV48+AV39/(1+НДС)*ДоляФКРоялти</f>
        <v/>
      </c>
      <c r="AW47" s="4">
        <f>'05_Расходы'!AW46+'05_Расходы'!AW48+AW39/(1+НДС)*ДоляФКРоялти</f>
        <v/>
      </c>
      <c r="AX47" s="4">
        <f>'05_Расходы'!AX46+'05_Расходы'!AX48+AX39/(1+НДС)*ДоляФКРоялти</f>
        <v/>
      </c>
      <c r="AY47" s="4">
        <f>'05_Расходы'!AY46+'05_Расходы'!AY48+AY39/(1+НДС)*ДоляФКРоялти</f>
        <v/>
      </c>
      <c r="AZ47" s="4">
        <f>'05_Расходы'!AZ46+'05_Расходы'!AZ48+AZ39/(1+НДС)*ДоляФКРоялти</f>
        <v/>
      </c>
      <c r="BA47" s="4">
        <f>'05_Расходы'!BA46+'05_Расходы'!BA48+BA39/(1+НДС)*ДоляФКРоялти</f>
        <v/>
      </c>
      <c r="BB47" s="4">
        <f>'05_Расходы'!BB46+'05_Расходы'!BB48+BB39/(1+НДС)*ДоляФКРоялти</f>
        <v/>
      </c>
      <c r="BC47" s="4">
        <f>'05_Расходы'!BC46+'05_Расходы'!BC48+BC39/(1+НДС)*ДоляФКРоялти</f>
        <v/>
      </c>
      <c r="BD47" s="4">
        <f>'05_Расходы'!BD46+'05_Расходы'!BD48+BD39/(1+НДС)*ДоляФКРоялти</f>
        <v/>
      </c>
      <c r="BE47" s="4">
        <f>'05_Расходы'!BE46+'05_Расходы'!BE48+BE39/(1+НДС)*ДоляФКРоялти</f>
        <v/>
      </c>
      <c r="BF47" s="4">
        <f>'05_Расходы'!BF46+'05_Расходы'!BF48+BF39/(1+НДС)*ДоляФКРоялти</f>
        <v/>
      </c>
      <c r="BG47" s="4">
        <f>'05_Расходы'!BG46+'05_Расходы'!BG48+BG39/(1+НДС)*ДоляФКРоялти</f>
        <v/>
      </c>
      <c r="BH47" s="4">
        <f>'05_Расходы'!BH46+'05_Расходы'!BH48+BH39/(1+НДС)*ДоляФКРоялти</f>
        <v/>
      </c>
      <c r="BI47" s="4">
        <f>'05_Расходы'!BI46+'05_Расходы'!BI48+BI39/(1+НДС)*ДоляФКРоялти</f>
        <v/>
      </c>
      <c r="BJ47" s="4">
        <f>'05_Расходы'!BJ46+'05_Расходы'!BJ48+BJ39/(1+НДС)*ДоляФКРоялти</f>
        <v/>
      </c>
      <c r="BK47" s="4">
        <f>'05_Расходы'!BK46+'05_Расходы'!BK48+BK39/(1+НДС)*ДоляФКРоялти</f>
        <v/>
      </c>
      <c r="BL47" s="4">
        <f>'05_Расходы'!BL46+'05_Расходы'!BL48+BL39/(1+НДС)*ДоляФКРоялти</f>
        <v/>
      </c>
      <c r="BM47" s="4">
        <f>'05_Расходы'!BM46+'05_Расходы'!BM48+BM39/(1+НДС)*ДоляФКРоялти</f>
        <v/>
      </c>
      <c r="BN47" s="4">
        <f>'05_Расходы'!BN46+'05_Расходы'!BN48+BN39/(1+НДС)*ДоляФКРоялти</f>
        <v/>
      </c>
      <c r="BO47" s="4">
        <f>'05_Расходы'!BO46+'05_Расходы'!BO48+BO39/(1+НДС)*ДоляФКРоялти</f>
        <v/>
      </c>
      <c r="BP47" s="4">
        <f>'05_Расходы'!BP46+'05_Расходы'!BP48+BP39/(1+НДС)*ДоляФКРоялти</f>
        <v/>
      </c>
      <c r="BQ47" s="4">
        <f>'05_Расходы'!BQ46+'05_Расходы'!BQ48+BQ39/(1+НДС)*ДоляФКРоялти</f>
        <v/>
      </c>
      <c r="BR47" s="4">
        <f>'05_Расходы'!BR46+'05_Расходы'!BR48+BR39/(1+НДС)*ДоляФКРоялти</f>
        <v/>
      </c>
      <c r="BS47" s="4">
        <f>'05_Расходы'!BS46+'05_Расходы'!BS48+BS39/(1+НДС)*ДоляФКРоялти</f>
        <v/>
      </c>
      <c r="BT47" s="4">
        <f>'05_Расходы'!BT46+'05_Расходы'!BT48+BT39/(1+НДС)*ДоляФКРоялти</f>
        <v/>
      </c>
      <c r="BU47" s="4">
        <f>'05_Расходы'!BU46+'05_Расходы'!BU48+BU39/(1+НДС)*ДоляФКРоялти</f>
        <v/>
      </c>
      <c r="BV47" s="4">
        <f>'05_Расходы'!BV46+'05_Расходы'!BV48+BV39/(1+НДС)*ДоляФКРоялти</f>
        <v/>
      </c>
      <c r="BW47" s="4">
        <f>'05_Расходы'!BW46+'05_Расходы'!BW48+BW39/(1+НДС)*ДоляФКРоялти</f>
        <v/>
      </c>
      <c r="BX47" s="4">
        <f>'05_Расходы'!BX46+'05_Расходы'!BX48+BX39/(1+НДС)*ДоляФКРоялти</f>
        <v/>
      </c>
      <c r="BY47" s="4">
        <f>'05_Расходы'!BY46+'05_Расходы'!BY48+BY39/(1+НДС)*ДоляФКРоялти</f>
        <v/>
      </c>
    </row>
    <row r="48">
      <c r="B48" t="inlineStr">
        <is>
          <t>Оплата: НДС</t>
        </is>
      </c>
      <c r="C48" t="inlineStr">
        <is>
          <t>₽</t>
        </is>
      </c>
      <c r="D48" s="117" t="inlineStr"/>
      <c r="E48" s="119">
        <f>SUM(L48:W48)</f>
        <v/>
      </c>
      <c r="F48" s="119">
        <f>SUM(X48:AI48)</f>
        <v/>
      </c>
      <c r="G48" s="119">
        <f>SUM(AJ48:AU48)</f>
        <v/>
      </c>
      <c r="H48" s="119">
        <f>SUM(AV48:BG48)</f>
        <v/>
      </c>
      <c r="I48" s="119">
        <f>SUM(BH48:BS48)</f>
        <v/>
      </c>
      <c r="J48" s="5">
        <f>SUM(L48:BS48)</f>
        <v/>
      </c>
      <c r="L48" s="4">
        <f>'06_Деньги'!L22</f>
        <v/>
      </c>
      <c r="M48" s="4">
        <f>'06_Деньги'!M22</f>
        <v/>
      </c>
      <c r="N48" s="4">
        <f>'06_Деньги'!N22</f>
        <v/>
      </c>
      <c r="O48" s="4">
        <f>'06_Деньги'!O22</f>
        <v/>
      </c>
      <c r="P48" s="4">
        <f>'06_Деньги'!P22</f>
        <v/>
      </c>
      <c r="Q48" s="4">
        <f>'06_Деньги'!Q22</f>
        <v/>
      </c>
      <c r="R48" s="4">
        <f>'06_Деньги'!R22</f>
        <v/>
      </c>
      <c r="S48" s="4">
        <f>'06_Деньги'!S22</f>
        <v/>
      </c>
      <c r="T48" s="4">
        <f>'06_Деньги'!T22</f>
        <v/>
      </c>
      <c r="U48" s="4">
        <f>'06_Деньги'!U22</f>
        <v/>
      </c>
      <c r="V48" s="4">
        <f>'06_Деньги'!V22</f>
        <v/>
      </c>
      <c r="W48" s="4">
        <f>'06_Деньги'!W22</f>
        <v/>
      </c>
      <c r="X48" s="4">
        <f>'06_Деньги'!X22</f>
        <v/>
      </c>
      <c r="Y48" s="4">
        <f>'06_Деньги'!Y22</f>
        <v/>
      </c>
      <c r="Z48" s="4">
        <f>'06_Деньги'!Z22</f>
        <v/>
      </c>
      <c r="AA48" s="4">
        <f>'06_Деньги'!AA22</f>
        <v/>
      </c>
      <c r="AB48" s="4">
        <f>'06_Деньги'!AB22</f>
        <v/>
      </c>
      <c r="AC48" s="4">
        <f>'06_Деньги'!AC22</f>
        <v/>
      </c>
      <c r="AD48" s="4">
        <f>'06_Деньги'!AD22</f>
        <v/>
      </c>
      <c r="AE48" s="4">
        <f>'06_Деньги'!AE22</f>
        <v/>
      </c>
      <c r="AF48" s="4">
        <f>'06_Деньги'!AF22</f>
        <v/>
      </c>
      <c r="AG48" s="4">
        <f>'06_Деньги'!AG22</f>
        <v/>
      </c>
      <c r="AH48" s="4">
        <f>'06_Деньги'!AH22</f>
        <v/>
      </c>
      <c r="AI48" s="4">
        <f>'06_Деньги'!AI22</f>
        <v/>
      </c>
      <c r="AJ48" s="4">
        <f>'06_Деньги'!AJ22</f>
        <v/>
      </c>
      <c r="AK48" s="4">
        <f>'06_Деньги'!AK22</f>
        <v/>
      </c>
      <c r="AL48" s="4">
        <f>'06_Деньги'!AL22</f>
        <v/>
      </c>
      <c r="AM48" s="4">
        <f>'06_Деньги'!AM22</f>
        <v/>
      </c>
      <c r="AN48" s="4">
        <f>'06_Деньги'!AN22</f>
        <v/>
      </c>
      <c r="AO48" s="4">
        <f>'06_Деньги'!AO22</f>
        <v/>
      </c>
      <c r="AP48" s="4">
        <f>'06_Деньги'!AP22</f>
        <v/>
      </c>
      <c r="AQ48" s="4">
        <f>'06_Деньги'!AQ22</f>
        <v/>
      </c>
      <c r="AR48" s="4">
        <f>'06_Деньги'!AR22</f>
        <v/>
      </c>
      <c r="AS48" s="4">
        <f>'06_Деньги'!AS22</f>
        <v/>
      </c>
      <c r="AT48" s="4">
        <f>'06_Деньги'!AT22</f>
        <v/>
      </c>
      <c r="AU48" s="4">
        <f>'06_Деньги'!AU22</f>
        <v/>
      </c>
      <c r="AV48" s="4">
        <f>'06_Деньги'!AV22</f>
        <v/>
      </c>
      <c r="AW48" s="4">
        <f>'06_Деньги'!AW22</f>
        <v/>
      </c>
      <c r="AX48" s="4">
        <f>'06_Деньги'!AX22</f>
        <v/>
      </c>
      <c r="AY48" s="4">
        <f>'06_Деньги'!AY22</f>
        <v/>
      </c>
      <c r="AZ48" s="4">
        <f>'06_Деньги'!AZ22</f>
        <v/>
      </c>
      <c r="BA48" s="4">
        <f>'06_Деньги'!BA22</f>
        <v/>
      </c>
      <c r="BB48" s="4">
        <f>'06_Деньги'!BB22</f>
        <v/>
      </c>
      <c r="BC48" s="4">
        <f>'06_Деньги'!BC22</f>
        <v/>
      </c>
      <c r="BD48" s="4">
        <f>'06_Деньги'!BD22</f>
        <v/>
      </c>
      <c r="BE48" s="4">
        <f>'06_Деньги'!BE22</f>
        <v/>
      </c>
      <c r="BF48" s="4">
        <f>'06_Деньги'!BF22</f>
        <v/>
      </c>
      <c r="BG48" s="4">
        <f>'06_Деньги'!BG22</f>
        <v/>
      </c>
      <c r="BH48" s="4">
        <f>'06_Деньги'!BH22</f>
        <v/>
      </c>
      <c r="BI48" s="4">
        <f>'06_Деньги'!BI22</f>
        <v/>
      </c>
      <c r="BJ48" s="4">
        <f>'06_Деньги'!BJ22</f>
        <v/>
      </c>
      <c r="BK48" s="4">
        <f>'06_Деньги'!BK22</f>
        <v/>
      </c>
      <c r="BL48" s="4">
        <f>'06_Деньги'!BL22</f>
        <v/>
      </c>
      <c r="BM48" s="4">
        <f>'06_Деньги'!BM22</f>
        <v/>
      </c>
      <c r="BN48" s="4">
        <f>'06_Деньги'!BN22</f>
        <v/>
      </c>
      <c r="BO48" s="4">
        <f>'06_Деньги'!BO22</f>
        <v/>
      </c>
      <c r="BP48" s="4">
        <f>'06_Деньги'!BP22</f>
        <v/>
      </c>
      <c r="BQ48" s="4">
        <f>'06_Деньги'!BQ22</f>
        <v/>
      </c>
      <c r="BR48" s="4">
        <f>'06_Деньги'!BR22</f>
        <v/>
      </c>
      <c r="BS48" s="4">
        <f>'06_Деньги'!BS22</f>
        <v/>
      </c>
      <c r="BT48" s="4">
        <f>'06_Деньги'!BT22</f>
        <v/>
      </c>
      <c r="BU48" s="4">
        <f>'06_Деньги'!BU22</f>
        <v/>
      </c>
      <c r="BV48" s="4">
        <f>'06_Деньги'!BV22</f>
        <v/>
      </c>
      <c r="BW48" s="4">
        <f>'06_Деньги'!BW22</f>
        <v/>
      </c>
      <c r="BX48" s="4">
        <f>'06_Деньги'!BX22</f>
        <v/>
      </c>
      <c r="BY48" s="4">
        <f>'06_Деньги'!BY22</f>
        <v/>
      </c>
    </row>
    <row r="49">
      <c r="B49" t="inlineStr">
        <is>
          <t>Оплата: УСН</t>
        </is>
      </c>
      <c r="C49" t="inlineStr">
        <is>
          <t>₽</t>
        </is>
      </c>
      <c r="D49" s="117" t="inlineStr"/>
      <c r="E49" s="119">
        <f>SUM(L49:W49)</f>
        <v/>
      </c>
      <c r="F49" s="119">
        <f>SUM(X49:AI49)</f>
        <v/>
      </c>
      <c r="G49" s="119">
        <f>SUM(AJ49:AU49)</f>
        <v/>
      </c>
      <c r="H49" s="119">
        <f>SUM(AV49:BG49)</f>
        <v/>
      </c>
      <c r="I49" s="119">
        <f>SUM(BH49:BS49)</f>
        <v/>
      </c>
      <c r="J49" s="5">
        <f>SUM(L49:BS49)</f>
        <v/>
      </c>
      <c r="L49" s="4">
        <f>'06_Деньги'!L21</f>
        <v/>
      </c>
      <c r="M49" s="4">
        <f>'06_Деньги'!M21</f>
        <v/>
      </c>
      <c r="N49" s="4">
        <f>'06_Деньги'!N21</f>
        <v/>
      </c>
      <c r="O49" s="4">
        <f>'06_Деньги'!O21</f>
        <v/>
      </c>
      <c r="P49" s="4">
        <f>'06_Деньги'!P21</f>
        <v/>
      </c>
      <c r="Q49" s="4">
        <f>'06_Деньги'!Q21</f>
        <v/>
      </c>
      <c r="R49" s="4">
        <f>'06_Деньги'!R21</f>
        <v/>
      </c>
      <c r="S49" s="4">
        <f>'06_Деньги'!S21</f>
        <v/>
      </c>
      <c r="T49" s="4">
        <f>'06_Деньги'!T21</f>
        <v/>
      </c>
      <c r="U49" s="4">
        <f>'06_Деньги'!U21</f>
        <v/>
      </c>
      <c r="V49" s="4">
        <f>'06_Деньги'!V21</f>
        <v/>
      </c>
      <c r="W49" s="4">
        <f>'06_Деньги'!W21</f>
        <v/>
      </c>
      <c r="X49" s="4">
        <f>'06_Деньги'!X21</f>
        <v/>
      </c>
      <c r="Y49" s="4">
        <f>'06_Деньги'!Y21</f>
        <v/>
      </c>
      <c r="Z49" s="4">
        <f>'06_Деньги'!Z21</f>
        <v/>
      </c>
      <c r="AA49" s="4">
        <f>'06_Деньги'!AA21</f>
        <v/>
      </c>
      <c r="AB49" s="4">
        <f>'06_Деньги'!AB21</f>
        <v/>
      </c>
      <c r="AC49" s="4">
        <f>'06_Деньги'!AC21</f>
        <v/>
      </c>
      <c r="AD49" s="4">
        <f>'06_Деньги'!AD21</f>
        <v/>
      </c>
      <c r="AE49" s="4">
        <f>'06_Деньги'!AE21</f>
        <v/>
      </c>
      <c r="AF49" s="4">
        <f>'06_Деньги'!AF21</f>
        <v/>
      </c>
      <c r="AG49" s="4">
        <f>'06_Деньги'!AG21</f>
        <v/>
      </c>
      <c r="AH49" s="4">
        <f>'06_Деньги'!AH21</f>
        <v/>
      </c>
      <c r="AI49" s="4">
        <f>'06_Деньги'!AI21</f>
        <v/>
      </c>
      <c r="AJ49" s="4">
        <f>'06_Деньги'!AJ21</f>
        <v/>
      </c>
      <c r="AK49" s="4">
        <f>'06_Деньги'!AK21</f>
        <v/>
      </c>
      <c r="AL49" s="4">
        <f>'06_Деньги'!AL21</f>
        <v/>
      </c>
      <c r="AM49" s="4">
        <f>'06_Деньги'!AM21</f>
        <v/>
      </c>
      <c r="AN49" s="4">
        <f>'06_Деньги'!AN21</f>
        <v/>
      </c>
      <c r="AO49" s="4">
        <f>'06_Деньги'!AO21</f>
        <v/>
      </c>
      <c r="AP49" s="4">
        <f>'06_Деньги'!AP21</f>
        <v/>
      </c>
      <c r="AQ49" s="4">
        <f>'06_Деньги'!AQ21</f>
        <v/>
      </c>
      <c r="AR49" s="4">
        <f>'06_Деньги'!AR21</f>
        <v/>
      </c>
      <c r="AS49" s="4">
        <f>'06_Деньги'!AS21</f>
        <v/>
      </c>
      <c r="AT49" s="4">
        <f>'06_Деньги'!AT21</f>
        <v/>
      </c>
      <c r="AU49" s="4">
        <f>'06_Деньги'!AU21</f>
        <v/>
      </c>
      <c r="AV49" s="4">
        <f>'06_Деньги'!AV21</f>
        <v/>
      </c>
      <c r="AW49" s="4">
        <f>'06_Деньги'!AW21</f>
        <v/>
      </c>
      <c r="AX49" s="4">
        <f>'06_Деньги'!AX21</f>
        <v/>
      </c>
      <c r="AY49" s="4">
        <f>'06_Деньги'!AY21</f>
        <v/>
      </c>
      <c r="AZ49" s="4">
        <f>'06_Деньги'!AZ21</f>
        <v/>
      </c>
      <c r="BA49" s="4">
        <f>'06_Деньги'!BA21</f>
        <v/>
      </c>
      <c r="BB49" s="4">
        <f>'06_Деньги'!BB21</f>
        <v/>
      </c>
      <c r="BC49" s="4">
        <f>'06_Деньги'!BC21</f>
        <v/>
      </c>
      <c r="BD49" s="4">
        <f>'06_Деньги'!BD21</f>
        <v/>
      </c>
      <c r="BE49" s="4">
        <f>'06_Деньги'!BE21</f>
        <v/>
      </c>
      <c r="BF49" s="4">
        <f>'06_Деньги'!BF21</f>
        <v/>
      </c>
      <c r="BG49" s="4">
        <f>'06_Деньги'!BG21</f>
        <v/>
      </c>
      <c r="BH49" s="4">
        <f>'06_Деньги'!BH21</f>
        <v/>
      </c>
      <c r="BI49" s="4">
        <f>'06_Деньги'!BI21</f>
        <v/>
      </c>
      <c r="BJ49" s="4">
        <f>'06_Деньги'!BJ21</f>
        <v/>
      </c>
      <c r="BK49" s="4">
        <f>'06_Деньги'!BK21</f>
        <v/>
      </c>
      <c r="BL49" s="4">
        <f>'06_Деньги'!BL21</f>
        <v/>
      </c>
      <c r="BM49" s="4">
        <f>'06_Деньги'!BM21</f>
        <v/>
      </c>
      <c r="BN49" s="4">
        <f>'06_Деньги'!BN21</f>
        <v/>
      </c>
      <c r="BO49" s="4">
        <f>'06_Деньги'!BO21</f>
        <v/>
      </c>
      <c r="BP49" s="4">
        <f>'06_Деньги'!BP21</f>
        <v/>
      </c>
      <c r="BQ49" s="4">
        <f>'06_Деньги'!BQ21</f>
        <v/>
      </c>
      <c r="BR49" s="4">
        <f>'06_Деньги'!BR21</f>
        <v/>
      </c>
      <c r="BS49" s="4">
        <f>'06_Деньги'!BS21</f>
        <v/>
      </c>
      <c r="BT49" s="4">
        <f>'06_Деньги'!BT21</f>
        <v/>
      </c>
      <c r="BU49" s="4">
        <f>'06_Деньги'!BU21</f>
        <v/>
      </c>
      <c r="BV49" s="4">
        <f>'06_Деньги'!BV21</f>
        <v/>
      </c>
      <c r="BW49" s="4">
        <f>'06_Деньги'!BW21</f>
        <v/>
      </c>
      <c r="BX49" s="4">
        <f>'06_Деньги'!BX21</f>
        <v/>
      </c>
      <c r="BY49" s="4">
        <f>'06_Деньги'!BY21</f>
        <v/>
      </c>
    </row>
    <row r="50">
      <c r="B50" t="inlineStr">
        <is>
          <t>Оплата: лагеря</t>
        </is>
      </c>
      <c r="C50" t="inlineStr">
        <is>
          <t>₽</t>
        </is>
      </c>
      <c r="D50" s="117" t="inlineStr">
        <is>
          <t>Блок отключён</t>
        </is>
      </c>
      <c r="E50" s="119">
        <f>SUM(L50:W50)</f>
        <v/>
      </c>
      <c r="F50" s="119">
        <f>SUM(X50:AI50)</f>
        <v/>
      </c>
      <c r="G50" s="119">
        <f>SUM(AJ50:AU50)</f>
        <v/>
      </c>
      <c r="H50" s="119">
        <f>SUM(AV50:BG50)</f>
        <v/>
      </c>
      <c r="I50" s="119">
        <f>SUM(BH50:BS50)</f>
        <v/>
      </c>
      <c r="J50" s="5">
        <f>SUM(L50:BS50)</f>
        <v/>
      </c>
      <c r="L50" s="4">
        <f>0</f>
        <v/>
      </c>
      <c r="M50" s="4">
        <f>0</f>
        <v/>
      </c>
      <c r="N50" s="4">
        <f>0</f>
        <v/>
      </c>
      <c r="O50" s="4">
        <f>0</f>
        <v/>
      </c>
      <c r="P50" s="4">
        <f>0</f>
        <v/>
      </c>
      <c r="Q50" s="4">
        <f>0</f>
        <v/>
      </c>
      <c r="R50" s="4">
        <f>0</f>
        <v/>
      </c>
      <c r="S50" s="4">
        <f>0</f>
        <v/>
      </c>
      <c r="T50" s="4">
        <f>0</f>
        <v/>
      </c>
      <c r="U50" s="4">
        <f>0</f>
        <v/>
      </c>
      <c r="V50" s="4">
        <f>0</f>
        <v/>
      </c>
      <c r="W50" s="4">
        <f>0</f>
        <v/>
      </c>
      <c r="X50" s="4">
        <f>0</f>
        <v/>
      </c>
      <c r="Y50" s="4">
        <f>0</f>
        <v/>
      </c>
      <c r="Z50" s="4">
        <f>0</f>
        <v/>
      </c>
      <c r="AA50" s="4">
        <f>0</f>
        <v/>
      </c>
      <c r="AB50" s="4">
        <f>0</f>
        <v/>
      </c>
      <c r="AC50" s="4">
        <f>0</f>
        <v/>
      </c>
      <c r="AD50" s="4">
        <f>0</f>
        <v/>
      </c>
      <c r="AE50" s="4">
        <f>0</f>
        <v/>
      </c>
      <c r="AF50" s="4">
        <f>0</f>
        <v/>
      </c>
      <c r="AG50" s="4">
        <f>0</f>
        <v/>
      </c>
      <c r="AH50" s="4">
        <f>0</f>
        <v/>
      </c>
      <c r="AI50" s="4">
        <f>0</f>
        <v/>
      </c>
      <c r="AJ50" s="4">
        <f>0</f>
        <v/>
      </c>
      <c r="AK50" s="4">
        <f>0</f>
        <v/>
      </c>
      <c r="AL50" s="4">
        <f>0</f>
        <v/>
      </c>
      <c r="AM50" s="4">
        <f>0</f>
        <v/>
      </c>
      <c r="AN50" s="4">
        <f>0</f>
        <v/>
      </c>
      <c r="AO50" s="4">
        <f>0</f>
        <v/>
      </c>
      <c r="AP50" s="4">
        <f>0</f>
        <v/>
      </c>
      <c r="AQ50" s="4">
        <f>0</f>
        <v/>
      </c>
      <c r="AR50" s="4">
        <f>0</f>
        <v/>
      </c>
      <c r="AS50" s="4">
        <f>0</f>
        <v/>
      </c>
      <c r="AT50" s="4">
        <f>0</f>
        <v/>
      </c>
      <c r="AU50" s="4">
        <f>0</f>
        <v/>
      </c>
      <c r="AV50" s="4">
        <f>0</f>
        <v/>
      </c>
      <c r="AW50" s="4">
        <f>0</f>
        <v/>
      </c>
      <c r="AX50" s="4">
        <f>0</f>
        <v/>
      </c>
      <c r="AY50" s="4">
        <f>0</f>
        <v/>
      </c>
      <c r="AZ50" s="4">
        <f>0</f>
        <v/>
      </c>
      <c r="BA50" s="4">
        <f>0</f>
        <v/>
      </c>
      <c r="BB50" s="4">
        <f>0</f>
        <v/>
      </c>
      <c r="BC50" s="4">
        <f>0</f>
        <v/>
      </c>
      <c r="BD50" s="4">
        <f>0</f>
        <v/>
      </c>
      <c r="BE50" s="4">
        <f>0</f>
        <v/>
      </c>
      <c r="BF50" s="4">
        <f>0</f>
        <v/>
      </c>
      <c r="BG50" s="4">
        <f>0</f>
        <v/>
      </c>
      <c r="BH50" s="4">
        <f>0</f>
        <v/>
      </c>
      <c r="BI50" s="4">
        <f>0</f>
        <v/>
      </c>
      <c r="BJ50" s="4">
        <f>0</f>
        <v/>
      </c>
      <c r="BK50" s="4">
        <f>0</f>
        <v/>
      </c>
      <c r="BL50" s="4">
        <f>0</f>
        <v/>
      </c>
      <c r="BM50" s="4">
        <f>0</f>
        <v/>
      </c>
      <c r="BN50" s="4">
        <f>0</f>
        <v/>
      </c>
      <c r="BO50" s="4">
        <f>0</f>
        <v/>
      </c>
      <c r="BP50" s="4">
        <f>0</f>
        <v/>
      </c>
      <c r="BQ50" s="4">
        <f>0</f>
        <v/>
      </c>
      <c r="BR50" s="4">
        <f>0</f>
        <v/>
      </c>
      <c r="BS50" s="4">
        <f>0</f>
        <v/>
      </c>
      <c r="BT50" s="4">
        <f>0</f>
        <v/>
      </c>
      <c r="BU50" s="4">
        <f>0</f>
        <v/>
      </c>
      <c r="BV50" s="4">
        <f>0</f>
        <v/>
      </c>
      <c r="BW50" s="4">
        <f>0</f>
        <v/>
      </c>
      <c r="BX50" s="4">
        <f>0</f>
        <v/>
      </c>
      <c r="BY50" s="4">
        <f>0</f>
        <v/>
      </c>
    </row>
    <row r="51">
      <c r="B51" s="6" t="inlineStr">
        <is>
          <t>Расходы до займа — всего</t>
        </is>
      </c>
      <c r="C51" s="6" t="inlineStr">
        <is>
          <t>₽</t>
        </is>
      </c>
      <c r="D51" s="120" t="inlineStr"/>
      <c r="E51" s="121">
        <f>SUM(L51:W51)</f>
        <v/>
      </c>
      <c r="F51" s="121">
        <f>SUM(X51:AI51)</f>
        <v/>
      </c>
      <c r="G51" s="121">
        <f>SUM(AJ51:AU51)</f>
        <v/>
      </c>
      <c r="H51" s="121">
        <f>SUM(AV51:BG51)</f>
        <v/>
      </c>
      <c r="I51" s="121">
        <f>SUM(BH51:BS51)</f>
        <v/>
      </c>
      <c r="J51" s="8">
        <f>SUM(L51:BS51)</f>
        <v/>
      </c>
      <c r="L51" s="7">
        <f>SUM(L43:L50)</f>
        <v/>
      </c>
      <c r="M51" s="7">
        <f>SUM(M43:M50)</f>
        <v/>
      </c>
      <c r="N51" s="7">
        <f>SUM(N43:N50)</f>
        <v/>
      </c>
      <c r="O51" s="7">
        <f>SUM(O43:O50)</f>
        <v/>
      </c>
      <c r="P51" s="7">
        <f>SUM(P43:P50)</f>
        <v/>
      </c>
      <c r="Q51" s="7">
        <f>SUM(Q43:Q50)</f>
        <v/>
      </c>
      <c r="R51" s="7">
        <f>SUM(R43:R50)</f>
        <v/>
      </c>
      <c r="S51" s="7">
        <f>SUM(S43:S50)</f>
        <v/>
      </c>
      <c r="T51" s="7">
        <f>SUM(T43:T50)</f>
        <v/>
      </c>
      <c r="U51" s="7">
        <f>SUM(U43:U50)</f>
        <v/>
      </c>
      <c r="V51" s="7">
        <f>SUM(V43:V50)</f>
        <v/>
      </c>
      <c r="W51" s="7">
        <f>SUM(W43:W50)</f>
        <v/>
      </c>
      <c r="X51" s="7">
        <f>SUM(X43:X50)</f>
        <v/>
      </c>
      <c r="Y51" s="7">
        <f>SUM(Y43:Y50)</f>
        <v/>
      </c>
      <c r="Z51" s="7">
        <f>SUM(Z43:Z50)</f>
        <v/>
      </c>
      <c r="AA51" s="7">
        <f>SUM(AA43:AA50)</f>
        <v/>
      </c>
      <c r="AB51" s="7">
        <f>SUM(AB43:AB50)</f>
        <v/>
      </c>
      <c r="AC51" s="7">
        <f>SUM(AC43:AC50)</f>
        <v/>
      </c>
      <c r="AD51" s="7">
        <f>SUM(AD43:AD50)</f>
        <v/>
      </c>
      <c r="AE51" s="7">
        <f>SUM(AE43:AE50)</f>
        <v/>
      </c>
      <c r="AF51" s="7">
        <f>SUM(AF43:AF50)</f>
        <v/>
      </c>
      <c r="AG51" s="7">
        <f>SUM(AG43:AG50)</f>
        <v/>
      </c>
      <c r="AH51" s="7">
        <f>SUM(AH43:AH50)</f>
        <v/>
      </c>
      <c r="AI51" s="7">
        <f>SUM(AI43:AI50)</f>
        <v/>
      </c>
      <c r="AJ51" s="7">
        <f>SUM(AJ43:AJ50)</f>
        <v/>
      </c>
      <c r="AK51" s="7">
        <f>SUM(AK43:AK50)</f>
        <v/>
      </c>
      <c r="AL51" s="7">
        <f>SUM(AL43:AL50)</f>
        <v/>
      </c>
      <c r="AM51" s="7">
        <f>SUM(AM43:AM50)</f>
        <v/>
      </c>
      <c r="AN51" s="7">
        <f>SUM(AN43:AN50)</f>
        <v/>
      </c>
      <c r="AO51" s="7">
        <f>SUM(AO43:AO50)</f>
        <v/>
      </c>
      <c r="AP51" s="7">
        <f>SUM(AP43:AP50)</f>
        <v/>
      </c>
      <c r="AQ51" s="7">
        <f>SUM(AQ43:AQ50)</f>
        <v/>
      </c>
      <c r="AR51" s="7">
        <f>SUM(AR43:AR50)</f>
        <v/>
      </c>
      <c r="AS51" s="7">
        <f>SUM(AS43:AS50)</f>
        <v/>
      </c>
      <c r="AT51" s="7">
        <f>SUM(AT43:AT50)</f>
        <v/>
      </c>
      <c r="AU51" s="7">
        <f>SUM(AU43:AU50)</f>
        <v/>
      </c>
      <c r="AV51" s="7">
        <f>SUM(AV43:AV50)</f>
        <v/>
      </c>
      <c r="AW51" s="7">
        <f>SUM(AW43:AW50)</f>
        <v/>
      </c>
      <c r="AX51" s="7">
        <f>SUM(AX43:AX50)</f>
        <v/>
      </c>
      <c r="AY51" s="7">
        <f>SUM(AY43:AY50)</f>
        <v/>
      </c>
      <c r="AZ51" s="7">
        <f>SUM(AZ43:AZ50)</f>
        <v/>
      </c>
      <c r="BA51" s="7">
        <f>SUM(BA43:BA50)</f>
        <v/>
      </c>
      <c r="BB51" s="7">
        <f>SUM(BB43:BB50)</f>
        <v/>
      </c>
      <c r="BC51" s="7">
        <f>SUM(BC43:BC50)</f>
        <v/>
      </c>
      <c r="BD51" s="7">
        <f>SUM(BD43:BD50)</f>
        <v/>
      </c>
      <c r="BE51" s="7">
        <f>SUM(BE43:BE50)</f>
        <v/>
      </c>
      <c r="BF51" s="7">
        <f>SUM(BF43:BF50)</f>
        <v/>
      </c>
      <c r="BG51" s="7">
        <f>SUM(BG43:BG50)</f>
        <v/>
      </c>
      <c r="BH51" s="7">
        <f>SUM(BH43:BH50)</f>
        <v/>
      </c>
      <c r="BI51" s="7">
        <f>SUM(BI43:BI50)</f>
        <v/>
      </c>
      <c r="BJ51" s="7">
        <f>SUM(BJ43:BJ50)</f>
        <v/>
      </c>
      <c r="BK51" s="7">
        <f>SUM(BK43:BK50)</f>
        <v/>
      </c>
      <c r="BL51" s="7">
        <f>SUM(BL43:BL50)</f>
        <v/>
      </c>
      <c r="BM51" s="7">
        <f>SUM(BM43:BM50)</f>
        <v/>
      </c>
      <c r="BN51" s="7">
        <f>SUM(BN43:BN50)</f>
        <v/>
      </c>
      <c r="BO51" s="7">
        <f>SUM(BO43:BO50)</f>
        <v/>
      </c>
      <c r="BP51" s="7">
        <f>SUM(BP43:BP50)</f>
        <v/>
      </c>
      <c r="BQ51" s="7">
        <f>SUM(BQ43:BQ50)</f>
        <v/>
      </c>
      <c r="BR51" s="7">
        <f>SUM(BR43:BR50)</f>
        <v/>
      </c>
      <c r="BS51" s="7">
        <f>SUM(BS43:BS50)</f>
        <v/>
      </c>
      <c r="BT51" s="7">
        <f>SUM(BT43:BT50)</f>
        <v/>
      </c>
      <c r="BU51" s="7">
        <f>SUM(BU43:BU50)</f>
        <v/>
      </c>
      <c r="BV51" s="7">
        <f>SUM(BV43:BV50)</f>
        <v/>
      </c>
      <c r="BW51" s="7">
        <f>SUM(BW43:BW50)</f>
        <v/>
      </c>
      <c r="BX51" s="7">
        <f>SUM(BX43:BX50)</f>
        <v/>
      </c>
      <c r="BY51" s="7">
        <f>SUM(BY43:BY50)</f>
        <v/>
      </c>
    </row>
    <row r="52">
      <c r="B52" t="inlineStr">
        <is>
          <t>Справочно: закупка на склад</t>
        </is>
      </c>
      <c r="C52" t="inlineStr">
        <is>
          <t>₽</t>
        </is>
      </c>
      <c r="D52" s="117" t="inlineStr">
        <is>
          <t>Уже входит в оплату поставщикам выше</t>
        </is>
      </c>
      <c r="E52" s="119">
        <f>SUM(L52:W52)</f>
        <v/>
      </c>
      <c r="F52" s="119">
        <f>SUM(X52:AI52)</f>
        <v/>
      </c>
      <c r="G52" s="119">
        <f>SUM(AJ52:AU52)</f>
        <v/>
      </c>
      <c r="H52" s="119">
        <f>SUM(AV52:BG52)</f>
        <v/>
      </c>
      <c r="I52" s="119">
        <f>SUM(BH52:BS52)</f>
        <v/>
      </c>
      <c r="J52" s="5">
        <f>SUM(L52:BS52)</f>
        <v/>
      </c>
      <c r="L52" s="4">
        <f>'06_Деньги'!L9</f>
        <v/>
      </c>
      <c r="M52" s="4">
        <f>'06_Деньги'!M9</f>
        <v/>
      </c>
      <c r="N52" s="4">
        <f>'06_Деньги'!N9</f>
        <v/>
      </c>
      <c r="O52" s="4">
        <f>'06_Деньги'!O9</f>
        <v/>
      </c>
      <c r="P52" s="4">
        <f>'06_Деньги'!P9</f>
        <v/>
      </c>
      <c r="Q52" s="4">
        <f>'06_Деньги'!Q9</f>
        <v/>
      </c>
      <c r="R52" s="4">
        <f>'06_Деньги'!R9</f>
        <v/>
      </c>
      <c r="S52" s="4">
        <f>'06_Деньги'!S9</f>
        <v/>
      </c>
      <c r="T52" s="4">
        <f>'06_Деньги'!T9</f>
        <v/>
      </c>
      <c r="U52" s="4">
        <f>'06_Деньги'!U9</f>
        <v/>
      </c>
      <c r="V52" s="4">
        <f>'06_Деньги'!V9</f>
        <v/>
      </c>
      <c r="W52" s="4">
        <f>'06_Деньги'!W9</f>
        <v/>
      </c>
      <c r="X52" s="4">
        <f>'06_Деньги'!X9</f>
        <v/>
      </c>
      <c r="Y52" s="4">
        <f>'06_Деньги'!Y9</f>
        <v/>
      </c>
      <c r="Z52" s="4">
        <f>'06_Деньги'!Z9</f>
        <v/>
      </c>
      <c r="AA52" s="4">
        <f>'06_Деньги'!AA9</f>
        <v/>
      </c>
      <c r="AB52" s="4">
        <f>'06_Деньги'!AB9</f>
        <v/>
      </c>
      <c r="AC52" s="4">
        <f>'06_Деньги'!AC9</f>
        <v/>
      </c>
      <c r="AD52" s="4">
        <f>'06_Деньги'!AD9</f>
        <v/>
      </c>
      <c r="AE52" s="4">
        <f>'06_Деньги'!AE9</f>
        <v/>
      </c>
      <c r="AF52" s="4">
        <f>'06_Деньги'!AF9</f>
        <v/>
      </c>
      <c r="AG52" s="4">
        <f>'06_Деньги'!AG9</f>
        <v/>
      </c>
      <c r="AH52" s="4">
        <f>'06_Деньги'!AH9</f>
        <v/>
      </c>
      <c r="AI52" s="4">
        <f>'06_Деньги'!AI9</f>
        <v/>
      </c>
      <c r="AJ52" s="4">
        <f>'06_Деньги'!AJ9</f>
        <v/>
      </c>
      <c r="AK52" s="4">
        <f>'06_Деньги'!AK9</f>
        <v/>
      </c>
      <c r="AL52" s="4">
        <f>'06_Деньги'!AL9</f>
        <v/>
      </c>
      <c r="AM52" s="4">
        <f>'06_Деньги'!AM9</f>
        <v/>
      </c>
      <c r="AN52" s="4">
        <f>'06_Деньги'!AN9</f>
        <v/>
      </c>
      <c r="AO52" s="4">
        <f>'06_Деньги'!AO9</f>
        <v/>
      </c>
      <c r="AP52" s="4">
        <f>'06_Деньги'!AP9</f>
        <v/>
      </c>
      <c r="AQ52" s="4">
        <f>'06_Деньги'!AQ9</f>
        <v/>
      </c>
      <c r="AR52" s="4">
        <f>'06_Деньги'!AR9</f>
        <v/>
      </c>
      <c r="AS52" s="4">
        <f>'06_Деньги'!AS9</f>
        <v/>
      </c>
      <c r="AT52" s="4">
        <f>'06_Деньги'!AT9</f>
        <v/>
      </c>
      <c r="AU52" s="4">
        <f>'06_Деньги'!AU9</f>
        <v/>
      </c>
      <c r="AV52" s="4">
        <f>'06_Деньги'!AV9</f>
        <v/>
      </c>
      <c r="AW52" s="4">
        <f>'06_Деньги'!AW9</f>
        <v/>
      </c>
      <c r="AX52" s="4">
        <f>'06_Деньги'!AX9</f>
        <v/>
      </c>
      <c r="AY52" s="4">
        <f>'06_Деньги'!AY9</f>
        <v/>
      </c>
      <c r="AZ52" s="4">
        <f>'06_Деньги'!AZ9</f>
        <v/>
      </c>
      <c r="BA52" s="4">
        <f>'06_Деньги'!BA9</f>
        <v/>
      </c>
      <c r="BB52" s="4">
        <f>'06_Деньги'!BB9</f>
        <v/>
      </c>
      <c r="BC52" s="4">
        <f>'06_Деньги'!BC9</f>
        <v/>
      </c>
      <c r="BD52" s="4">
        <f>'06_Деньги'!BD9</f>
        <v/>
      </c>
      <c r="BE52" s="4">
        <f>'06_Деньги'!BE9</f>
        <v/>
      </c>
      <c r="BF52" s="4">
        <f>'06_Деньги'!BF9</f>
        <v/>
      </c>
      <c r="BG52" s="4">
        <f>'06_Деньги'!BG9</f>
        <v/>
      </c>
      <c r="BH52" s="4">
        <f>'06_Деньги'!BH9</f>
        <v/>
      </c>
      <c r="BI52" s="4">
        <f>'06_Деньги'!BI9</f>
        <v/>
      </c>
      <c r="BJ52" s="4">
        <f>'06_Деньги'!BJ9</f>
        <v/>
      </c>
      <c r="BK52" s="4">
        <f>'06_Деньги'!BK9</f>
        <v/>
      </c>
      <c r="BL52" s="4">
        <f>'06_Деньги'!BL9</f>
        <v/>
      </c>
      <c r="BM52" s="4">
        <f>'06_Деньги'!BM9</f>
        <v/>
      </c>
      <c r="BN52" s="4">
        <f>'06_Деньги'!BN9</f>
        <v/>
      </c>
      <c r="BO52" s="4">
        <f>'06_Деньги'!BO9</f>
        <v/>
      </c>
      <c r="BP52" s="4">
        <f>'06_Деньги'!BP9</f>
        <v/>
      </c>
      <c r="BQ52" s="4">
        <f>'06_Деньги'!BQ9</f>
        <v/>
      </c>
      <c r="BR52" s="4">
        <f>'06_Деньги'!BR9</f>
        <v/>
      </c>
      <c r="BS52" s="4">
        <f>'06_Деньги'!BS9</f>
        <v/>
      </c>
      <c r="BT52" s="4">
        <f>'06_Деньги'!BT9</f>
        <v/>
      </c>
      <c r="BU52" s="4">
        <f>'06_Деньги'!BU9</f>
        <v/>
      </c>
      <c r="BV52" s="4">
        <f>'06_Деньги'!BV9</f>
        <v/>
      </c>
      <c r="BW52" s="4">
        <f>'06_Деньги'!BW9</f>
        <v/>
      </c>
      <c r="BX52" s="4">
        <f>'06_Деньги'!BX9</f>
        <v/>
      </c>
      <c r="BY52" s="4">
        <f>'06_Деньги'!BY9</f>
        <v/>
      </c>
    </row>
    <row r="53">
      <c r="B53" s="6" t="inlineStr">
        <is>
          <t>Поток до возврата займа</t>
        </is>
      </c>
      <c r="C53" s="6" t="inlineStr">
        <is>
          <t>₽</t>
        </is>
      </c>
      <c r="D53" s="120" t="inlineStr"/>
      <c r="E53" s="121">
        <f>SUM(L53:W53)</f>
        <v/>
      </c>
      <c r="F53" s="121">
        <f>SUM(X53:AI53)</f>
        <v/>
      </c>
      <c r="G53" s="121">
        <f>SUM(AJ53:AU53)</f>
        <v/>
      </c>
      <c r="H53" s="121">
        <f>SUM(AV53:BG53)</f>
        <v/>
      </c>
      <c r="I53" s="121">
        <f>SUM(BH53:BS53)</f>
        <v/>
      </c>
      <c r="J53" s="8">
        <f>SUM(L53:BS53)</f>
        <v/>
      </c>
      <c r="L53" s="7">
        <f>L42-L51</f>
        <v/>
      </c>
      <c r="M53" s="7">
        <f>M42-M51</f>
        <v/>
      </c>
      <c r="N53" s="7">
        <f>N42-N51</f>
        <v/>
      </c>
      <c r="O53" s="7">
        <f>O42-O51</f>
        <v/>
      </c>
      <c r="P53" s="7">
        <f>P42-P51</f>
        <v/>
      </c>
      <c r="Q53" s="7">
        <f>Q42-Q51</f>
        <v/>
      </c>
      <c r="R53" s="7">
        <f>R42-R51</f>
        <v/>
      </c>
      <c r="S53" s="7">
        <f>S42-S51</f>
        <v/>
      </c>
      <c r="T53" s="7">
        <f>T42-T51</f>
        <v/>
      </c>
      <c r="U53" s="7">
        <f>U42-U51</f>
        <v/>
      </c>
      <c r="V53" s="7">
        <f>V42-V51</f>
        <v/>
      </c>
      <c r="W53" s="7">
        <f>W42-W51</f>
        <v/>
      </c>
      <c r="X53" s="7">
        <f>X42-X51</f>
        <v/>
      </c>
      <c r="Y53" s="7">
        <f>Y42-Y51</f>
        <v/>
      </c>
      <c r="Z53" s="7">
        <f>Z42-Z51</f>
        <v/>
      </c>
      <c r="AA53" s="7">
        <f>AA42-AA51</f>
        <v/>
      </c>
      <c r="AB53" s="7">
        <f>AB42-AB51</f>
        <v/>
      </c>
      <c r="AC53" s="7">
        <f>AC42-AC51</f>
        <v/>
      </c>
      <c r="AD53" s="7">
        <f>AD42-AD51</f>
        <v/>
      </c>
      <c r="AE53" s="7">
        <f>AE42-AE51</f>
        <v/>
      </c>
      <c r="AF53" s="7">
        <f>AF42-AF51</f>
        <v/>
      </c>
      <c r="AG53" s="7">
        <f>AG42-AG51</f>
        <v/>
      </c>
      <c r="AH53" s="7">
        <f>AH42-AH51</f>
        <v/>
      </c>
      <c r="AI53" s="7">
        <f>AI42-AI51</f>
        <v/>
      </c>
      <c r="AJ53" s="7">
        <f>AJ42-AJ51</f>
        <v/>
      </c>
      <c r="AK53" s="7">
        <f>AK42-AK51</f>
        <v/>
      </c>
      <c r="AL53" s="7">
        <f>AL42-AL51</f>
        <v/>
      </c>
      <c r="AM53" s="7">
        <f>AM42-AM51</f>
        <v/>
      </c>
      <c r="AN53" s="7">
        <f>AN42-AN51</f>
        <v/>
      </c>
      <c r="AO53" s="7">
        <f>AO42-AO51</f>
        <v/>
      </c>
      <c r="AP53" s="7">
        <f>AP42-AP51</f>
        <v/>
      </c>
      <c r="AQ53" s="7">
        <f>AQ42-AQ51</f>
        <v/>
      </c>
      <c r="AR53" s="7">
        <f>AR42-AR51</f>
        <v/>
      </c>
      <c r="AS53" s="7">
        <f>AS42-AS51</f>
        <v/>
      </c>
      <c r="AT53" s="7">
        <f>AT42-AT51</f>
        <v/>
      </c>
      <c r="AU53" s="7">
        <f>AU42-AU51</f>
        <v/>
      </c>
      <c r="AV53" s="7">
        <f>AV42-AV51</f>
        <v/>
      </c>
      <c r="AW53" s="7">
        <f>AW42-AW51</f>
        <v/>
      </c>
      <c r="AX53" s="7">
        <f>AX42-AX51</f>
        <v/>
      </c>
      <c r="AY53" s="7">
        <f>AY42-AY51</f>
        <v/>
      </c>
      <c r="AZ53" s="7">
        <f>AZ42-AZ51</f>
        <v/>
      </c>
      <c r="BA53" s="7">
        <f>BA42-BA51</f>
        <v/>
      </c>
      <c r="BB53" s="7">
        <f>BB42-BB51</f>
        <v/>
      </c>
      <c r="BC53" s="7">
        <f>BC42-BC51</f>
        <v/>
      </c>
      <c r="BD53" s="7">
        <f>BD42-BD51</f>
        <v/>
      </c>
      <c r="BE53" s="7">
        <f>BE42-BE51</f>
        <v/>
      </c>
      <c r="BF53" s="7">
        <f>BF42-BF51</f>
        <v/>
      </c>
      <c r="BG53" s="7">
        <f>BG42-BG51</f>
        <v/>
      </c>
      <c r="BH53" s="7">
        <f>BH42-BH51</f>
        <v/>
      </c>
      <c r="BI53" s="7">
        <f>BI42-BI51</f>
        <v/>
      </c>
      <c r="BJ53" s="7">
        <f>BJ42-BJ51</f>
        <v/>
      </c>
      <c r="BK53" s="7">
        <f>BK42-BK51</f>
        <v/>
      </c>
      <c r="BL53" s="7">
        <f>BL42-BL51</f>
        <v/>
      </c>
      <c r="BM53" s="7">
        <f>BM42-BM51</f>
        <v/>
      </c>
      <c r="BN53" s="7">
        <f>BN42-BN51</f>
        <v/>
      </c>
      <c r="BO53" s="7">
        <f>BO42-BO51</f>
        <v/>
      </c>
      <c r="BP53" s="7">
        <f>BP42-BP51</f>
        <v/>
      </c>
      <c r="BQ53" s="7">
        <f>BQ42-BQ51</f>
        <v/>
      </c>
      <c r="BR53" s="7">
        <f>BR42-BR51</f>
        <v/>
      </c>
      <c r="BS53" s="7">
        <f>BS42-BS51</f>
        <v/>
      </c>
      <c r="BT53" s="7">
        <f>BT42-BT51</f>
        <v/>
      </c>
      <c r="BU53" s="7">
        <f>BU42-BU51</f>
        <v/>
      </c>
      <c r="BV53" s="7">
        <f>BV42-BV51</f>
        <v/>
      </c>
      <c r="BW53" s="7">
        <f>BW42-BW51</f>
        <v/>
      </c>
      <c r="BX53" s="7">
        <f>BX42-BX51</f>
        <v/>
      </c>
      <c r="BY53" s="7">
        <f>BY42-BY51</f>
        <v/>
      </c>
    </row>
    <row r="54">
      <c r="B54" t="inlineStr">
        <is>
          <t>Остаток до возврата займа</t>
        </is>
      </c>
      <c r="C54" t="inlineStr">
        <is>
          <t>₽</t>
        </is>
      </c>
      <c r="D54" s="117" t="inlineStr"/>
      <c r="E54" s="119">
        <f>SUM(L54:W54)</f>
        <v/>
      </c>
      <c r="F54" s="119">
        <f>SUM(X54:AI54)</f>
        <v/>
      </c>
      <c r="G54" s="119">
        <f>SUM(AJ54:AU54)</f>
        <v/>
      </c>
      <c r="H54" s="119">
        <f>SUM(AV54:BG54)</f>
        <v/>
      </c>
      <c r="I54" s="119">
        <f>SUM(BH54:BS54)</f>
        <v/>
      </c>
      <c r="J54" s="5">
        <f>SUM(L54:BS54)</f>
        <v/>
      </c>
      <c r="L54" s="4">
        <f>L37+L53</f>
        <v/>
      </c>
      <c r="M54" s="4">
        <f>M37+M53</f>
        <v/>
      </c>
      <c r="N54" s="4">
        <f>N37+N53</f>
        <v/>
      </c>
      <c r="O54" s="4">
        <f>O37+O53</f>
        <v/>
      </c>
      <c r="P54" s="4">
        <f>P37+P53</f>
        <v/>
      </c>
      <c r="Q54" s="4">
        <f>Q37+Q53</f>
        <v/>
      </c>
      <c r="R54" s="4">
        <f>R37+R53</f>
        <v/>
      </c>
      <c r="S54" s="4">
        <f>S37+S53</f>
        <v/>
      </c>
      <c r="T54" s="4">
        <f>T37+T53</f>
        <v/>
      </c>
      <c r="U54" s="4">
        <f>U37+U53</f>
        <v/>
      </c>
      <c r="V54" s="4">
        <f>V37+V53</f>
        <v/>
      </c>
      <c r="W54" s="4">
        <f>W37+W53</f>
        <v/>
      </c>
      <c r="X54" s="4">
        <f>X37+X53</f>
        <v/>
      </c>
      <c r="Y54" s="4">
        <f>Y37+Y53</f>
        <v/>
      </c>
      <c r="Z54" s="4">
        <f>Z37+Z53</f>
        <v/>
      </c>
      <c r="AA54" s="4">
        <f>AA37+AA53</f>
        <v/>
      </c>
      <c r="AB54" s="4">
        <f>AB37+AB53</f>
        <v/>
      </c>
      <c r="AC54" s="4">
        <f>AC37+AC53</f>
        <v/>
      </c>
      <c r="AD54" s="4">
        <f>AD37+AD53</f>
        <v/>
      </c>
      <c r="AE54" s="4">
        <f>AE37+AE53</f>
        <v/>
      </c>
      <c r="AF54" s="4">
        <f>AF37+AF53</f>
        <v/>
      </c>
      <c r="AG54" s="4">
        <f>AG37+AG53</f>
        <v/>
      </c>
      <c r="AH54" s="4">
        <f>AH37+AH53</f>
        <v/>
      </c>
      <c r="AI54" s="4">
        <f>AI37+AI53</f>
        <v/>
      </c>
      <c r="AJ54" s="4">
        <f>AJ37+AJ53</f>
        <v/>
      </c>
      <c r="AK54" s="4">
        <f>AK37+AK53</f>
        <v/>
      </c>
      <c r="AL54" s="4">
        <f>AL37+AL53</f>
        <v/>
      </c>
      <c r="AM54" s="4">
        <f>AM37+AM53</f>
        <v/>
      </c>
      <c r="AN54" s="4">
        <f>AN37+AN53</f>
        <v/>
      </c>
      <c r="AO54" s="4">
        <f>AO37+AO53</f>
        <v/>
      </c>
      <c r="AP54" s="4">
        <f>AP37+AP53</f>
        <v/>
      </c>
      <c r="AQ54" s="4">
        <f>AQ37+AQ53</f>
        <v/>
      </c>
      <c r="AR54" s="4">
        <f>AR37+AR53</f>
        <v/>
      </c>
      <c r="AS54" s="4">
        <f>AS37+AS53</f>
        <v/>
      </c>
      <c r="AT54" s="4">
        <f>AT37+AT53</f>
        <v/>
      </c>
      <c r="AU54" s="4">
        <f>AU37+AU53</f>
        <v/>
      </c>
      <c r="AV54" s="4">
        <f>AV37+AV53</f>
        <v/>
      </c>
      <c r="AW54" s="4">
        <f>AW37+AW53</f>
        <v/>
      </c>
      <c r="AX54" s="4">
        <f>AX37+AX53</f>
        <v/>
      </c>
      <c r="AY54" s="4">
        <f>AY37+AY53</f>
        <v/>
      </c>
      <c r="AZ54" s="4">
        <f>AZ37+AZ53</f>
        <v/>
      </c>
      <c r="BA54" s="4">
        <f>BA37+BA53</f>
        <v/>
      </c>
      <c r="BB54" s="4">
        <f>BB37+BB53</f>
        <v/>
      </c>
      <c r="BC54" s="4">
        <f>BC37+BC53</f>
        <v/>
      </c>
      <c r="BD54" s="4">
        <f>BD37+BD53</f>
        <v/>
      </c>
      <c r="BE54" s="4">
        <f>BE37+BE53</f>
        <v/>
      </c>
      <c r="BF54" s="4">
        <f>BF37+BF53</f>
        <v/>
      </c>
      <c r="BG54" s="4">
        <f>BG37+BG53</f>
        <v/>
      </c>
      <c r="BH54" s="4">
        <f>BH37+BH53</f>
        <v/>
      </c>
      <c r="BI54" s="4">
        <f>BI37+BI53</f>
        <v/>
      </c>
      <c r="BJ54" s="4">
        <f>BJ37+BJ53</f>
        <v/>
      </c>
      <c r="BK54" s="4">
        <f>BK37+BK53</f>
        <v/>
      </c>
      <c r="BL54" s="4">
        <f>BL37+BL53</f>
        <v/>
      </c>
      <c r="BM54" s="4">
        <f>BM37+BM53</f>
        <v/>
      </c>
      <c r="BN54" s="4">
        <f>BN37+BN53</f>
        <v/>
      </c>
      <c r="BO54" s="4">
        <f>BO37+BO53</f>
        <v/>
      </c>
      <c r="BP54" s="4">
        <f>BP37+BP53</f>
        <v/>
      </c>
      <c r="BQ54" s="4">
        <f>BQ37+BQ53</f>
        <v/>
      </c>
      <c r="BR54" s="4">
        <f>BR37+BR53</f>
        <v/>
      </c>
      <c r="BS54" s="4">
        <f>BS37+BS53</f>
        <v/>
      </c>
      <c r="BT54" s="4">
        <f>BT37+BT53</f>
        <v/>
      </c>
      <c r="BU54" s="4">
        <f>BU37+BU53</f>
        <v/>
      </c>
      <c r="BV54" s="4">
        <f>BV37+BV53</f>
        <v/>
      </c>
      <c r="BW54" s="4">
        <f>BW37+BW53</f>
        <v/>
      </c>
      <c r="BX54" s="4">
        <f>BX37+BX53</f>
        <v/>
      </c>
      <c r="BY54" s="4">
        <f>BY37+BY53</f>
        <v/>
      </c>
    </row>
    <row r="55">
      <c r="B55" t="inlineStr">
        <is>
          <t>Возврат займа клубу</t>
        </is>
      </c>
      <c r="C55" t="inlineStr">
        <is>
          <t>₽</t>
        </is>
      </c>
      <c r="D55" s="117" t="inlineStr"/>
      <c r="E55" s="119">
        <f>SUM(L55:W55)</f>
        <v/>
      </c>
      <c r="F55" s="119">
        <f>SUM(X55:AI55)</f>
        <v/>
      </c>
      <c r="G55" s="119">
        <f>SUM(AJ55:AU55)</f>
        <v/>
      </c>
      <c r="H55" s="119">
        <f>SUM(AV55:BG55)</f>
        <v/>
      </c>
      <c r="I55" s="119">
        <f>SUM(BH55:BS55)</f>
        <v/>
      </c>
      <c r="J55" s="5">
        <f>SUM(L55:BS55)</f>
        <v/>
      </c>
      <c r="L55" s="4">
        <f>'06_Деньги'!L15</f>
        <v/>
      </c>
      <c r="M55" s="4">
        <f>'06_Деньги'!M15</f>
        <v/>
      </c>
      <c r="N55" s="4">
        <f>'06_Деньги'!N15</f>
        <v/>
      </c>
      <c r="O55" s="4">
        <f>'06_Деньги'!O15</f>
        <v/>
      </c>
      <c r="P55" s="4">
        <f>'06_Деньги'!P15</f>
        <v/>
      </c>
      <c r="Q55" s="4">
        <f>'06_Деньги'!Q15</f>
        <v/>
      </c>
      <c r="R55" s="4">
        <f>'06_Деньги'!R15</f>
        <v/>
      </c>
      <c r="S55" s="4">
        <f>'06_Деньги'!S15</f>
        <v/>
      </c>
      <c r="T55" s="4">
        <f>'06_Деньги'!T15</f>
        <v/>
      </c>
      <c r="U55" s="4">
        <f>'06_Деньги'!U15</f>
        <v/>
      </c>
      <c r="V55" s="4">
        <f>'06_Деньги'!V15</f>
        <v/>
      </c>
      <c r="W55" s="4">
        <f>'06_Деньги'!W15</f>
        <v/>
      </c>
      <c r="X55" s="4">
        <f>'06_Деньги'!X15</f>
        <v/>
      </c>
      <c r="Y55" s="4">
        <f>'06_Деньги'!Y15</f>
        <v/>
      </c>
      <c r="Z55" s="4">
        <f>'06_Деньги'!Z15</f>
        <v/>
      </c>
      <c r="AA55" s="4">
        <f>'06_Деньги'!AA15</f>
        <v/>
      </c>
      <c r="AB55" s="4">
        <f>'06_Деньги'!AB15</f>
        <v/>
      </c>
      <c r="AC55" s="4">
        <f>'06_Деньги'!AC15</f>
        <v/>
      </c>
      <c r="AD55" s="4">
        <f>'06_Деньги'!AD15</f>
        <v/>
      </c>
      <c r="AE55" s="4">
        <f>'06_Деньги'!AE15</f>
        <v/>
      </c>
      <c r="AF55" s="4">
        <f>'06_Деньги'!AF15</f>
        <v/>
      </c>
      <c r="AG55" s="4">
        <f>'06_Деньги'!AG15</f>
        <v/>
      </c>
      <c r="AH55" s="4">
        <f>'06_Деньги'!AH15</f>
        <v/>
      </c>
      <c r="AI55" s="4">
        <f>'06_Деньги'!AI15</f>
        <v/>
      </c>
      <c r="AJ55" s="4">
        <f>'06_Деньги'!AJ15</f>
        <v/>
      </c>
      <c r="AK55" s="4">
        <f>'06_Деньги'!AK15</f>
        <v/>
      </c>
      <c r="AL55" s="4">
        <f>'06_Деньги'!AL15</f>
        <v/>
      </c>
      <c r="AM55" s="4">
        <f>'06_Деньги'!AM15</f>
        <v/>
      </c>
      <c r="AN55" s="4">
        <f>'06_Деньги'!AN15</f>
        <v/>
      </c>
      <c r="AO55" s="4">
        <f>'06_Деньги'!AO15</f>
        <v/>
      </c>
      <c r="AP55" s="4">
        <f>'06_Деньги'!AP15</f>
        <v/>
      </c>
      <c r="AQ55" s="4">
        <f>'06_Деньги'!AQ15</f>
        <v/>
      </c>
      <c r="AR55" s="4">
        <f>'06_Деньги'!AR15</f>
        <v/>
      </c>
      <c r="AS55" s="4">
        <f>'06_Деньги'!AS15</f>
        <v/>
      </c>
      <c r="AT55" s="4">
        <f>'06_Деньги'!AT15</f>
        <v/>
      </c>
      <c r="AU55" s="4">
        <f>'06_Деньги'!AU15</f>
        <v/>
      </c>
      <c r="AV55" s="4">
        <f>'06_Деньги'!AV15</f>
        <v/>
      </c>
      <c r="AW55" s="4">
        <f>'06_Деньги'!AW15</f>
        <v/>
      </c>
      <c r="AX55" s="4">
        <f>'06_Деньги'!AX15</f>
        <v/>
      </c>
      <c r="AY55" s="4">
        <f>'06_Деньги'!AY15</f>
        <v/>
      </c>
      <c r="AZ55" s="4">
        <f>'06_Деньги'!AZ15</f>
        <v/>
      </c>
      <c r="BA55" s="4">
        <f>'06_Деньги'!BA15</f>
        <v/>
      </c>
      <c r="BB55" s="4">
        <f>'06_Деньги'!BB15</f>
        <v/>
      </c>
      <c r="BC55" s="4">
        <f>'06_Деньги'!BC15</f>
        <v/>
      </c>
      <c r="BD55" s="4">
        <f>'06_Деньги'!BD15</f>
        <v/>
      </c>
      <c r="BE55" s="4">
        <f>'06_Деньги'!BE15</f>
        <v/>
      </c>
      <c r="BF55" s="4">
        <f>'06_Деньги'!BF15</f>
        <v/>
      </c>
      <c r="BG55" s="4">
        <f>'06_Деньги'!BG15</f>
        <v/>
      </c>
      <c r="BH55" s="4">
        <f>'06_Деньги'!BH15</f>
        <v/>
      </c>
      <c r="BI55" s="4">
        <f>'06_Деньги'!BI15</f>
        <v/>
      </c>
      <c r="BJ55" s="4">
        <f>'06_Деньги'!BJ15</f>
        <v/>
      </c>
      <c r="BK55" s="4">
        <f>'06_Деньги'!BK15</f>
        <v/>
      </c>
      <c r="BL55" s="4">
        <f>'06_Деньги'!BL15</f>
        <v/>
      </c>
      <c r="BM55" s="4">
        <f>'06_Деньги'!BM15</f>
        <v/>
      </c>
      <c r="BN55" s="4">
        <f>'06_Деньги'!BN15</f>
        <v/>
      </c>
      <c r="BO55" s="4">
        <f>'06_Деньги'!BO15</f>
        <v/>
      </c>
      <c r="BP55" s="4">
        <f>'06_Деньги'!BP15</f>
        <v/>
      </c>
      <c r="BQ55" s="4">
        <f>'06_Деньги'!BQ15</f>
        <v/>
      </c>
      <c r="BR55" s="4">
        <f>'06_Деньги'!BR15</f>
        <v/>
      </c>
      <c r="BS55" s="4">
        <f>'06_Деньги'!BS15</f>
        <v/>
      </c>
      <c r="BT55" s="4">
        <f>'06_Деньги'!BT15</f>
        <v/>
      </c>
      <c r="BU55" s="4">
        <f>'06_Деньги'!BU15</f>
        <v/>
      </c>
      <c r="BV55" s="4">
        <f>'06_Деньги'!BV15</f>
        <v/>
      </c>
      <c r="BW55" s="4">
        <f>'06_Деньги'!BW15</f>
        <v/>
      </c>
      <c r="BX55" s="4">
        <f>'06_Деньги'!BX15</f>
        <v/>
      </c>
      <c r="BY55" s="4">
        <f>'06_Деньги'!BY15</f>
        <v/>
      </c>
    </row>
    <row r="56">
      <c r="B56" s="6" t="inlineStr">
        <is>
          <t>Чистый денежный поток</t>
        </is>
      </c>
      <c r="C56" s="6" t="inlineStr">
        <is>
          <t>₽</t>
        </is>
      </c>
      <c r="D56" s="120" t="inlineStr"/>
      <c r="E56" s="121">
        <f>SUM(L56:W56)</f>
        <v/>
      </c>
      <c r="F56" s="121">
        <f>SUM(X56:AI56)</f>
        <v/>
      </c>
      <c r="G56" s="121">
        <f>SUM(AJ56:AU56)</f>
        <v/>
      </c>
      <c r="H56" s="121">
        <f>SUM(AV56:BG56)</f>
        <v/>
      </c>
      <c r="I56" s="121">
        <f>SUM(BH56:BS56)</f>
        <v/>
      </c>
      <c r="J56" s="8">
        <f>SUM(L56:BS56)</f>
        <v/>
      </c>
      <c r="L56" s="7">
        <f>L53-L55</f>
        <v/>
      </c>
      <c r="M56" s="7">
        <f>M53-M55</f>
        <v/>
      </c>
      <c r="N56" s="7">
        <f>N53-N55</f>
        <v/>
      </c>
      <c r="O56" s="7">
        <f>O53-O55</f>
        <v/>
      </c>
      <c r="P56" s="7">
        <f>P53-P55</f>
        <v/>
      </c>
      <c r="Q56" s="7">
        <f>Q53-Q55</f>
        <v/>
      </c>
      <c r="R56" s="7">
        <f>R53-R55</f>
        <v/>
      </c>
      <c r="S56" s="7">
        <f>S53-S55</f>
        <v/>
      </c>
      <c r="T56" s="7">
        <f>T53-T55</f>
        <v/>
      </c>
      <c r="U56" s="7">
        <f>U53-U55</f>
        <v/>
      </c>
      <c r="V56" s="7">
        <f>V53-V55</f>
        <v/>
      </c>
      <c r="W56" s="7">
        <f>W53-W55</f>
        <v/>
      </c>
      <c r="X56" s="7">
        <f>X53-X55</f>
        <v/>
      </c>
      <c r="Y56" s="7">
        <f>Y53-Y55</f>
        <v/>
      </c>
      <c r="Z56" s="7">
        <f>Z53-Z55</f>
        <v/>
      </c>
      <c r="AA56" s="7">
        <f>AA53-AA55</f>
        <v/>
      </c>
      <c r="AB56" s="7">
        <f>AB53-AB55</f>
        <v/>
      </c>
      <c r="AC56" s="7">
        <f>AC53-AC55</f>
        <v/>
      </c>
      <c r="AD56" s="7">
        <f>AD53-AD55</f>
        <v/>
      </c>
      <c r="AE56" s="7">
        <f>AE53-AE55</f>
        <v/>
      </c>
      <c r="AF56" s="7">
        <f>AF53-AF55</f>
        <v/>
      </c>
      <c r="AG56" s="7">
        <f>AG53-AG55</f>
        <v/>
      </c>
      <c r="AH56" s="7">
        <f>AH53-AH55</f>
        <v/>
      </c>
      <c r="AI56" s="7">
        <f>AI53-AI55</f>
        <v/>
      </c>
      <c r="AJ56" s="7">
        <f>AJ53-AJ55</f>
        <v/>
      </c>
      <c r="AK56" s="7">
        <f>AK53-AK55</f>
        <v/>
      </c>
      <c r="AL56" s="7">
        <f>AL53-AL55</f>
        <v/>
      </c>
      <c r="AM56" s="7">
        <f>AM53-AM55</f>
        <v/>
      </c>
      <c r="AN56" s="7">
        <f>AN53-AN55</f>
        <v/>
      </c>
      <c r="AO56" s="7">
        <f>AO53-AO55</f>
        <v/>
      </c>
      <c r="AP56" s="7">
        <f>AP53-AP55</f>
        <v/>
      </c>
      <c r="AQ56" s="7">
        <f>AQ53-AQ55</f>
        <v/>
      </c>
      <c r="AR56" s="7">
        <f>AR53-AR55</f>
        <v/>
      </c>
      <c r="AS56" s="7">
        <f>AS53-AS55</f>
        <v/>
      </c>
      <c r="AT56" s="7">
        <f>AT53-AT55</f>
        <v/>
      </c>
      <c r="AU56" s="7">
        <f>AU53-AU55</f>
        <v/>
      </c>
      <c r="AV56" s="7">
        <f>AV53-AV55</f>
        <v/>
      </c>
      <c r="AW56" s="7">
        <f>AW53-AW55</f>
        <v/>
      </c>
      <c r="AX56" s="7">
        <f>AX53-AX55</f>
        <v/>
      </c>
      <c r="AY56" s="7">
        <f>AY53-AY55</f>
        <v/>
      </c>
      <c r="AZ56" s="7">
        <f>AZ53-AZ55</f>
        <v/>
      </c>
      <c r="BA56" s="7">
        <f>BA53-BA55</f>
        <v/>
      </c>
      <c r="BB56" s="7">
        <f>BB53-BB55</f>
        <v/>
      </c>
      <c r="BC56" s="7">
        <f>BC53-BC55</f>
        <v/>
      </c>
      <c r="BD56" s="7">
        <f>BD53-BD55</f>
        <v/>
      </c>
      <c r="BE56" s="7">
        <f>BE53-BE55</f>
        <v/>
      </c>
      <c r="BF56" s="7">
        <f>BF53-BF55</f>
        <v/>
      </c>
      <c r="BG56" s="7">
        <f>BG53-BG55</f>
        <v/>
      </c>
      <c r="BH56" s="7">
        <f>BH53-BH55</f>
        <v/>
      </c>
      <c r="BI56" s="7">
        <f>BI53-BI55</f>
        <v/>
      </c>
      <c r="BJ56" s="7">
        <f>BJ53-BJ55</f>
        <v/>
      </c>
      <c r="BK56" s="7">
        <f>BK53-BK55</f>
        <v/>
      </c>
      <c r="BL56" s="7">
        <f>BL53-BL55</f>
        <v/>
      </c>
      <c r="BM56" s="7">
        <f>BM53-BM55</f>
        <v/>
      </c>
      <c r="BN56" s="7">
        <f>BN53-BN55</f>
        <v/>
      </c>
      <c r="BO56" s="7">
        <f>BO53-BO55</f>
        <v/>
      </c>
      <c r="BP56" s="7">
        <f>BP53-BP55</f>
        <v/>
      </c>
      <c r="BQ56" s="7">
        <f>BQ53-BQ55</f>
        <v/>
      </c>
      <c r="BR56" s="7">
        <f>BR53-BR55</f>
        <v/>
      </c>
      <c r="BS56" s="7">
        <f>BS53-BS55</f>
        <v/>
      </c>
      <c r="BT56" s="7">
        <f>BT53-BT55</f>
        <v/>
      </c>
      <c r="BU56" s="7">
        <f>BU53-BU55</f>
        <v/>
      </c>
      <c r="BV56" s="7">
        <f>BV53-BV55</f>
        <v/>
      </c>
      <c r="BW56" s="7">
        <f>BW53-BW55</f>
        <v/>
      </c>
      <c r="BX56" s="7">
        <f>BX53-BX55</f>
        <v/>
      </c>
      <c r="BY56" s="7">
        <f>BY53-BY55</f>
        <v/>
      </c>
    </row>
    <row r="57">
      <c r="B57" s="6" t="inlineStr">
        <is>
          <t>Остаток на конец</t>
        </is>
      </c>
      <c r="C57" s="6" t="inlineStr">
        <is>
          <t>₽</t>
        </is>
      </c>
      <c r="D57" s="120" t="inlineStr"/>
      <c r="E57" s="121">
        <f>W57</f>
        <v/>
      </c>
      <c r="F57" s="121">
        <f>AI57</f>
        <v/>
      </c>
      <c r="G57" s="121">
        <f>AU57</f>
        <v/>
      </c>
      <c r="H57" s="121">
        <f>BG57</f>
        <v/>
      </c>
      <c r="I57" s="121">
        <f>BS57</f>
        <v/>
      </c>
      <c r="J57" s="8">
        <f>BS57</f>
        <v/>
      </c>
      <c r="L57" s="7">
        <f>L37+L56</f>
        <v/>
      </c>
      <c r="M57" s="7">
        <f>M37+M56</f>
        <v/>
      </c>
      <c r="N57" s="7">
        <f>N37+N56</f>
        <v/>
      </c>
      <c r="O57" s="7">
        <f>O37+O56</f>
        <v/>
      </c>
      <c r="P57" s="7">
        <f>P37+P56</f>
        <v/>
      </c>
      <c r="Q57" s="7">
        <f>Q37+Q56</f>
        <v/>
      </c>
      <c r="R57" s="7">
        <f>R37+R56</f>
        <v/>
      </c>
      <c r="S57" s="7">
        <f>S37+S56</f>
        <v/>
      </c>
      <c r="T57" s="7">
        <f>T37+T56</f>
        <v/>
      </c>
      <c r="U57" s="7">
        <f>U37+U56</f>
        <v/>
      </c>
      <c r="V57" s="7">
        <f>V37+V56</f>
        <v/>
      </c>
      <c r="W57" s="7">
        <f>W37+W56</f>
        <v/>
      </c>
      <c r="X57" s="7">
        <f>X37+X56</f>
        <v/>
      </c>
      <c r="Y57" s="7">
        <f>Y37+Y56</f>
        <v/>
      </c>
      <c r="Z57" s="7">
        <f>Z37+Z56</f>
        <v/>
      </c>
      <c r="AA57" s="7">
        <f>AA37+AA56</f>
        <v/>
      </c>
      <c r="AB57" s="7">
        <f>AB37+AB56</f>
        <v/>
      </c>
      <c r="AC57" s="7">
        <f>AC37+AC56</f>
        <v/>
      </c>
      <c r="AD57" s="7">
        <f>AD37+AD56</f>
        <v/>
      </c>
      <c r="AE57" s="7">
        <f>AE37+AE56</f>
        <v/>
      </c>
      <c r="AF57" s="7">
        <f>AF37+AF56</f>
        <v/>
      </c>
      <c r="AG57" s="7">
        <f>AG37+AG56</f>
        <v/>
      </c>
      <c r="AH57" s="7">
        <f>AH37+AH56</f>
        <v/>
      </c>
      <c r="AI57" s="7">
        <f>AI37+AI56</f>
        <v/>
      </c>
      <c r="AJ57" s="7">
        <f>AJ37+AJ56</f>
        <v/>
      </c>
      <c r="AK57" s="7">
        <f>AK37+AK56</f>
        <v/>
      </c>
      <c r="AL57" s="7">
        <f>AL37+AL56</f>
        <v/>
      </c>
      <c r="AM57" s="7">
        <f>AM37+AM56</f>
        <v/>
      </c>
      <c r="AN57" s="7">
        <f>AN37+AN56</f>
        <v/>
      </c>
      <c r="AO57" s="7">
        <f>AO37+AO56</f>
        <v/>
      </c>
      <c r="AP57" s="7">
        <f>AP37+AP56</f>
        <v/>
      </c>
      <c r="AQ57" s="7">
        <f>AQ37+AQ56</f>
        <v/>
      </c>
      <c r="AR57" s="7">
        <f>AR37+AR56</f>
        <v/>
      </c>
      <c r="AS57" s="7">
        <f>AS37+AS56</f>
        <v/>
      </c>
      <c r="AT57" s="7">
        <f>AT37+AT56</f>
        <v/>
      </c>
      <c r="AU57" s="7">
        <f>AU37+AU56</f>
        <v/>
      </c>
      <c r="AV57" s="7">
        <f>AV37+AV56</f>
        <v/>
      </c>
      <c r="AW57" s="7">
        <f>AW37+AW56</f>
        <v/>
      </c>
      <c r="AX57" s="7">
        <f>AX37+AX56</f>
        <v/>
      </c>
      <c r="AY57" s="7">
        <f>AY37+AY56</f>
        <v/>
      </c>
      <c r="AZ57" s="7">
        <f>AZ37+AZ56</f>
        <v/>
      </c>
      <c r="BA57" s="7">
        <f>BA37+BA56</f>
        <v/>
      </c>
      <c r="BB57" s="7">
        <f>BB37+BB56</f>
        <v/>
      </c>
      <c r="BC57" s="7">
        <f>BC37+BC56</f>
        <v/>
      </c>
      <c r="BD57" s="7">
        <f>BD37+BD56</f>
        <v/>
      </c>
      <c r="BE57" s="7">
        <f>BE37+BE56</f>
        <v/>
      </c>
      <c r="BF57" s="7">
        <f>BF37+BF56</f>
        <v/>
      </c>
      <c r="BG57" s="7">
        <f>BG37+BG56</f>
        <v/>
      </c>
      <c r="BH57" s="7">
        <f>BH37+BH56</f>
        <v/>
      </c>
      <c r="BI57" s="7">
        <f>BI37+BI56</f>
        <v/>
      </c>
      <c r="BJ57" s="7">
        <f>BJ37+BJ56</f>
        <v/>
      </c>
      <c r="BK57" s="7">
        <f>BK37+BK56</f>
        <v/>
      </c>
      <c r="BL57" s="7">
        <f>BL37+BL56</f>
        <v/>
      </c>
      <c r="BM57" s="7">
        <f>BM37+BM56</f>
        <v/>
      </c>
      <c r="BN57" s="7">
        <f>BN37+BN56</f>
        <v/>
      </c>
      <c r="BO57" s="7">
        <f>BO37+BO56</f>
        <v/>
      </c>
      <c r="BP57" s="7">
        <f>BP37+BP56</f>
        <v/>
      </c>
      <c r="BQ57" s="7">
        <f>BQ37+BQ56</f>
        <v/>
      </c>
      <c r="BR57" s="7">
        <f>BR37+BR56</f>
        <v/>
      </c>
      <c r="BS57" s="7">
        <f>BS37+BS56</f>
        <v/>
      </c>
      <c r="BT57" s="7">
        <f>BT37+BT56</f>
        <v/>
      </c>
      <c r="BU57" s="7">
        <f>BU37+BU56</f>
        <v/>
      </c>
      <c r="BV57" s="7">
        <f>BV37+BV56</f>
        <v/>
      </c>
      <c r="BW57" s="7">
        <f>BW37+BW56</f>
        <v/>
      </c>
      <c r="BX57" s="7">
        <f>BX37+BX56</f>
        <v/>
      </c>
      <c r="BY57" s="7">
        <f>BY37+BY56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Y61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3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30" customHeight="1">
      <c r="B4" s="114" t="inlineStr">
        <is>
          <t>Показатель</t>
        </is>
      </c>
      <c r="C4" s="114" t="inlineStr">
        <is>
          <t>Ед.</t>
        </is>
      </c>
      <c r="D4" s="114" t="inlineStr">
        <is>
          <t>Как считается</t>
        </is>
      </c>
      <c r="E4" s="114" t="inlineStr">
        <is>
          <t>Год 1</t>
        </is>
      </c>
      <c r="F4" s="114" t="inlineStr">
        <is>
          <t>Год 2</t>
        </is>
      </c>
      <c r="G4" s="114" t="inlineStr">
        <is>
          <t>Год 3</t>
        </is>
      </c>
      <c r="H4" s="114" t="inlineStr">
        <is>
          <t>Год 4</t>
        </is>
      </c>
      <c r="I4" s="114" t="inlineStr">
        <is>
          <t>Год 5</t>
        </is>
      </c>
      <c r="J4" s="114" t="inlineStr">
        <is>
          <t>Итого 5 лет</t>
        </is>
      </c>
      <c r="K4" s="114" t="n"/>
      <c r="L4" s="114" t="inlineStr">
        <is>
          <t>М1</t>
        </is>
      </c>
      <c r="M4" s="114" t="inlineStr">
        <is>
          <t>М2</t>
        </is>
      </c>
      <c r="N4" s="114" t="inlineStr">
        <is>
          <t>М3</t>
        </is>
      </c>
      <c r="O4" s="114" t="inlineStr">
        <is>
          <t>М4</t>
        </is>
      </c>
      <c r="P4" s="114" t="inlineStr">
        <is>
          <t>М5</t>
        </is>
      </c>
      <c r="Q4" s="114" t="inlineStr">
        <is>
          <t>М6</t>
        </is>
      </c>
      <c r="R4" s="114" t="inlineStr">
        <is>
          <t>М7</t>
        </is>
      </c>
      <c r="S4" s="114" t="inlineStr">
        <is>
          <t>М8</t>
        </is>
      </c>
      <c r="T4" s="114" t="inlineStr">
        <is>
          <t>М9</t>
        </is>
      </c>
      <c r="U4" s="114" t="inlineStr">
        <is>
          <t>М10</t>
        </is>
      </c>
      <c r="V4" s="114" t="inlineStr">
        <is>
          <t>М11</t>
        </is>
      </c>
      <c r="W4" s="114" t="inlineStr">
        <is>
          <t>М12</t>
        </is>
      </c>
      <c r="X4" s="114" t="inlineStr">
        <is>
          <t>М13</t>
        </is>
      </c>
      <c r="Y4" s="114" t="inlineStr">
        <is>
          <t>М14</t>
        </is>
      </c>
      <c r="Z4" s="114" t="inlineStr">
        <is>
          <t>М15</t>
        </is>
      </c>
      <c r="AA4" s="114" t="inlineStr">
        <is>
          <t>М16</t>
        </is>
      </c>
      <c r="AB4" s="114" t="inlineStr">
        <is>
          <t>М17</t>
        </is>
      </c>
      <c r="AC4" s="114" t="inlineStr">
        <is>
          <t>М18</t>
        </is>
      </c>
      <c r="AD4" s="114" t="inlineStr">
        <is>
          <t>М19</t>
        </is>
      </c>
      <c r="AE4" s="114" t="inlineStr">
        <is>
          <t>М20</t>
        </is>
      </c>
      <c r="AF4" s="114" t="inlineStr">
        <is>
          <t>М21</t>
        </is>
      </c>
      <c r="AG4" s="114" t="inlineStr">
        <is>
          <t>М22</t>
        </is>
      </c>
      <c r="AH4" s="114" t="inlineStr">
        <is>
          <t>М23</t>
        </is>
      </c>
      <c r="AI4" s="114" t="inlineStr">
        <is>
          <t>М24</t>
        </is>
      </c>
      <c r="AJ4" s="114" t="inlineStr">
        <is>
          <t>М25</t>
        </is>
      </c>
      <c r="AK4" s="114" t="inlineStr">
        <is>
          <t>М26</t>
        </is>
      </c>
      <c r="AL4" s="114" t="inlineStr">
        <is>
          <t>М27</t>
        </is>
      </c>
      <c r="AM4" s="114" t="inlineStr">
        <is>
          <t>М28</t>
        </is>
      </c>
      <c r="AN4" s="114" t="inlineStr">
        <is>
          <t>М29</t>
        </is>
      </c>
      <c r="AO4" s="114" t="inlineStr">
        <is>
          <t>М30</t>
        </is>
      </c>
      <c r="AP4" s="114" t="inlineStr">
        <is>
          <t>М31</t>
        </is>
      </c>
      <c r="AQ4" s="114" t="inlineStr">
        <is>
          <t>М32</t>
        </is>
      </c>
      <c r="AR4" s="114" t="inlineStr">
        <is>
          <t>М33</t>
        </is>
      </c>
      <c r="AS4" s="114" t="inlineStr">
        <is>
          <t>М34</t>
        </is>
      </c>
      <c r="AT4" s="114" t="inlineStr">
        <is>
          <t>М35</t>
        </is>
      </c>
      <c r="AU4" s="114" t="inlineStr">
        <is>
          <t>М36</t>
        </is>
      </c>
      <c r="AV4" s="114" t="inlineStr">
        <is>
          <t>М37</t>
        </is>
      </c>
      <c r="AW4" s="114" t="inlineStr">
        <is>
          <t>М38</t>
        </is>
      </c>
      <c r="AX4" s="114" t="inlineStr">
        <is>
          <t>М39</t>
        </is>
      </c>
      <c r="AY4" s="114" t="inlineStr">
        <is>
          <t>М40</t>
        </is>
      </c>
      <c r="AZ4" s="114" t="inlineStr">
        <is>
          <t>М41</t>
        </is>
      </c>
      <c r="BA4" s="114" t="inlineStr">
        <is>
          <t>М42</t>
        </is>
      </c>
      <c r="BB4" s="114" t="inlineStr">
        <is>
          <t>М43</t>
        </is>
      </c>
      <c r="BC4" s="114" t="inlineStr">
        <is>
          <t>М44</t>
        </is>
      </c>
      <c r="BD4" s="114" t="inlineStr">
        <is>
          <t>М45</t>
        </is>
      </c>
      <c r="BE4" s="114" t="inlineStr">
        <is>
          <t>М46</t>
        </is>
      </c>
      <c r="BF4" s="114" t="inlineStr">
        <is>
          <t>М47</t>
        </is>
      </c>
      <c r="BG4" s="114" t="inlineStr">
        <is>
          <t>М48</t>
        </is>
      </c>
      <c r="BH4" s="114" t="inlineStr">
        <is>
          <t>М49</t>
        </is>
      </c>
      <c r="BI4" s="114" t="inlineStr">
        <is>
          <t>М50</t>
        </is>
      </c>
      <c r="BJ4" s="114" t="inlineStr">
        <is>
          <t>М51</t>
        </is>
      </c>
      <c r="BK4" s="114" t="inlineStr">
        <is>
          <t>М52</t>
        </is>
      </c>
      <c r="BL4" s="114" t="inlineStr">
        <is>
          <t>М53</t>
        </is>
      </c>
      <c r="BM4" s="114" t="inlineStr">
        <is>
          <t>М54</t>
        </is>
      </c>
      <c r="BN4" s="114" t="inlineStr">
        <is>
          <t>М55</t>
        </is>
      </c>
      <c r="BO4" s="114" t="inlineStr">
        <is>
          <t>М56</t>
        </is>
      </c>
      <c r="BP4" s="114" t="inlineStr">
        <is>
          <t>М57</t>
        </is>
      </c>
      <c r="BQ4" s="114" t="inlineStr">
        <is>
          <t>М58</t>
        </is>
      </c>
      <c r="BR4" s="114" t="inlineStr">
        <is>
          <t>М59</t>
        </is>
      </c>
      <c r="BS4" s="114" t="inlineStr">
        <is>
          <t>М60</t>
        </is>
      </c>
      <c r="BT4" s="114" t="inlineStr">
        <is>
          <t>тех. 1</t>
        </is>
      </c>
      <c r="BU4" s="114" t="inlineStr">
        <is>
          <t>тех. 2</t>
        </is>
      </c>
      <c r="BV4" s="114" t="inlineStr">
        <is>
          <t>тех. 3</t>
        </is>
      </c>
      <c r="BW4" s="114" t="inlineStr">
        <is>
          <t>тех. 4</t>
        </is>
      </c>
      <c r="BX4" s="114" t="inlineStr">
        <is>
          <t>тех. 5</t>
        </is>
      </c>
      <c r="BY4" s="114" t="inlineStr">
        <is>
          <t>тех. 6</t>
        </is>
      </c>
    </row>
    <row r="5">
      <c r="B5" s="115" t="inlineStr">
        <is>
          <t>Календарь</t>
        </is>
      </c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  <c r="P5" s="116" t="n"/>
      <c r="Q5" s="116" t="n"/>
      <c r="R5" s="116" t="n"/>
      <c r="S5" s="116" t="n"/>
      <c r="T5" s="116" t="n"/>
      <c r="U5" s="116" t="n"/>
      <c r="V5" s="116" t="n"/>
      <c r="W5" s="116" t="n"/>
      <c r="X5" s="116" t="n"/>
      <c r="Y5" s="116" t="n"/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116" t="n"/>
      <c r="AT5" s="116" t="n"/>
      <c r="AU5" s="116" t="n"/>
      <c r="AV5" s="116" t="n"/>
      <c r="AW5" s="116" t="n"/>
      <c r="AX5" s="116" t="n"/>
      <c r="AY5" s="116" t="n"/>
      <c r="AZ5" s="116" t="n"/>
      <c r="BA5" s="116" t="n"/>
      <c r="BB5" s="116" t="n"/>
      <c r="BC5" s="116" t="n"/>
      <c r="BD5" s="116" t="n"/>
      <c r="BE5" s="116" t="n"/>
      <c r="BF5" s="116" t="n"/>
      <c r="BG5" s="116" t="n"/>
      <c r="BH5" s="116" t="n"/>
      <c r="BI5" s="116" t="n"/>
      <c r="BJ5" s="116" t="n"/>
      <c r="BK5" s="116" t="n"/>
      <c r="BL5" s="116" t="n"/>
      <c r="BM5" s="116" t="n"/>
      <c r="BN5" s="116" t="n"/>
      <c r="BO5" s="116" t="n"/>
      <c r="BP5" s="116" t="n"/>
      <c r="BQ5" s="116" t="n"/>
      <c r="BR5" s="116" t="n"/>
      <c r="BS5" s="116" t="n"/>
      <c r="BT5" s="116" t="n"/>
      <c r="BU5" s="116" t="n"/>
      <c r="BV5" s="116" t="n"/>
      <c r="BW5" s="116" t="n"/>
      <c r="BX5" s="116" t="n"/>
      <c r="BY5" s="116" t="n"/>
    </row>
    <row r="6">
      <c r="B6" t="inlineStr">
        <is>
          <t>Месяц</t>
        </is>
      </c>
      <c r="C6" t="inlineStr">
        <is>
          <t>дата</t>
        </is>
      </c>
      <c r="D6" s="117" t="inlineStr">
        <is>
          <t>Отсчёт от даты старта на листе вводных</t>
        </is>
      </c>
      <c r="E6" s="124">
        <f>W6</f>
        <v/>
      </c>
      <c r="F6" s="124">
        <f>AI6</f>
        <v/>
      </c>
      <c r="G6" s="124">
        <f>AU6</f>
        <v/>
      </c>
      <c r="H6" s="124">
        <f>BG6</f>
        <v/>
      </c>
      <c r="I6" s="124">
        <f>BS6</f>
        <v/>
      </c>
      <c r="J6" s="125">
        <f>BS6</f>
        <v/>
      </c>
      <c r="L6" s="126">
        <f>DATE(YEAR(СтартМодели),MONTH(СтартМодели)+1-1,1)</f>
        <v/>
      </c>
      <c r="M6" s="126">
        <f>DATE(YEAR(СтартМодели),MONTH(СтартМодели)+2-1,1)</f>
        <v/>
      </c>
      <c r="N6" s="126">
        <f>DATE(YEAR(СтартМодели),MONTH(СтартМодели)+3-1,1)</f>
        <v/>
      </c>
      <c r="O6" s="126">
        <f>DATE(YEAR(СтартМодели),MONTH(СтартМодели)+4-1,1)</f>
        <v/>
      </c>
      <c r="P6" s="126">
        <f>DATE(YEAR(СтартМодели),MONTH(СтартМодели)+5-1,1)</f>
        <v/>
      </c>
      <c r="Q6" s="126">
        <f>DATE(YEAR(СтартМодели),MONTH(СтартМодели)+6-1,1)</f>
        <v/>
      </c>
      <c r="R6" s="126">
        <f>DATE(YEAR(СтартМодели),MONTH(СтартМодели)+7-1,1)</f>
        <v/>
      </c>
      <c r="S6" s="126">
        <f>DATE(YEAR(СтартМодели),MONTH(СтартМодели)+8-1,1)</f>
        <v/>
      </c>
      <c r="T6" s="126">
        <f>DATE(YEAR(СтартМодели),MONTH(СтартМодели)+9-1,1)</f>
        <v/>
      </c>
      <c r="U6" s="126">
        <f>DATE(YEAR(СтартМодели),MONTH(СтартМодели)+10-1,1)</f>
        <v/>
      </c>
      <c r="V6" s="126">
        <f>DATE(YEAR(СтартМодели),MONTH(СтартМодели)+11-1,1)</f>
        <v/>
      </c>
      <c r="W6" s="126">
        <f>DATE(YEAR(СтартМодели),MONTH(СтартМодели)+12-1,1)</f>
        <v/>
      </c>
      <c r="X6" s="126">
        <f>DATE(YEAR(СтартМодели),MONTH(СтартМодели)+13-1,1)</f>
        <v/>
      </c>
      <c r="Y6" s="126">
        <f>DATE(YEAR(СтартМодели),MONTH(СтартМодели)+14-1,1)</f>
        <v/>
      </c>
      <c r="Z6" s="126">
        <f>DATE(YEAR(СтартМодели),MONTH(СтартМодели)+15-1,1)</f>
        <v/>
      </c>
      <c r="AA6" s="126">
        <f>DATE(YEAR(СтартМодели),MONTH(СтартМодели)+16-1,1)</f>
        <v/>
      </c>
      <c r="AB6" s="126">
        <f>DATE(YEAR(СтартМодели),MONTH(СтартМодели)+17-1,1)</f>
        <v/>
      </c>
      <c r="AC6" s="126">
        <f>DATE(YEAR(СтартМодели),MONTH(СтартМодели)+18-1,1)</f>
        <v/>
      </c>
      <c r="AD6" s="126">
        <f>DATE(YEAR(СтартМодели),MONTH(СтартМодели)+19-1,1)</f>
        <v/>
      </c>
      <c r="AE6" s="126">
        <f>DATE(YEAR(СтартМодели),MONTH(СтартМодели)+20-1,1)</f>
        <v/>
      </c>
      <c r="AF6" s="126">
        <f>DATE(YEAR(СтартМодели),MONTH(СтартМодели)+21-1,1)</f>
        <v/>
      </c>
      <c r="AG6" s="126">
        <f>DATE(YEAR(СтартМодели),MONTH(СтартМодели)+22-1,1)</f>
        <v/>
      </c>
      <c r="AH6" s="126">
        <f>DATE(YEAR(СтартМодели),MONTH(СтартМодели)+23-1,1)</f>
        <v/>
      </c>
      <c r="AI6" s="126">
        <f>DATE(YEAR(СтартМодели),MONTH(СтартМодели)+24-1,1)</f>
        <v/>
      </c>
      <c r="AJ6" s="126">
        <f>DATE(YEAR(СтартМодели),MONTH(СтартМодели)+25-1,1)</f>
        <v/>
      </c>
      <c r="AK6" s="126">
        <f>DATE(YEAR(СтартМодели),MONTH(СтартМодели)+26-1,1)</f>
        <v/>
      </c>
      <c r="AL6" s="126">
        <f>DATE(YEAR(СтартМодели),MONTH(СтартМодели)+27-1,1)</f>
        <v/>
      </c>
      <c r="AM6" s="126">
        <f>DATE(YEAR(СтартМодели),MONTH(СтартМодели)+28-1,1)</f>
        <v/>
      </c>
      <c r="AN6" s="126">
        <f>DATE(YEAR(СтартМодели),MONTH(СтартМодели)+29-1,1)</f>
        <v/>
      </c>
      <c r="AO6" s="126">
        <f>DATE(YEAR(СтартМодели),MONTH(СтартМодели)+30-1,1)</f>
        <v/>
      </c>
      <c r="AP6" s="126">
        <f>DATE(YEAR(СтартМодели),MONTH(СтартМодели)+31-1,1)</f>
        <v/>
      </c>
      <c r="AQ6" s="126">
        <f>DATE(YEAR(СтартМодели),MONTH(СтартМодели)+32-1,1)</f>
        <v/>
      </c>
      <c r="AR6" s="126">
        <f>DATE(YEAR(СтартМодели),MONTH(СтартМодели)+33-1,1)</f>
        <v/>
      </c>
      <c r="AS6" s="126">
        <f>DATE(YEAR(СтартМодели),MONTH(СтартМодели)+34-1,1)</f>
        <v/>
      </c>
      <c r="AT6" s="126">
        <f>DATE(YEAR(СтартМодели),MONTH(СтартМодели)+35-1,1)</f>
        <v/>
      </c>
      <c r="AU6" s="126">
        <f>DATE(YEAR(СтартМодели),MONTH(СтартМодели)+36-1,1)</f>
        <v/>
      </c>
      <c r="AV6" s="126">
        <f>DATE(YEAR(СтартМодели),MONTH(СтартМодели)+37-1,1)</f>
        <v/>
      </c>
      <c r="AW6" s="126">
        <f>DATE(YEAR(СтартМодели),MONTH(СтартМодели)+38-1,1)</f>
        <v/>
      </c>
      <c r="AX6" s="126">
        <f>DATE(YEAR(СтартМодели),MONTH(СтартМодели)+39-1,1)</f>
        <v/>
      </c>
      <c r="AY6" s="126">
        <f>DATE(YEAR(СтартМодели),MONTH(СтартМодели)+40-1,1)</f>
        <v/>
      </c>
      <c r="AZ6" s="126">
        <f>DATE(YEAR(СтартМодели),MONTH(СтартМодели)+41-1,1)</f>
        <v/>
      </c>
      <c r="BA6" s="126">
        <f>DATE(YEAR(СтартМодели),MONTH(СтартМодели)+42-1,1)</f>
        <v/>
      </c>
      <c r="BB6" s="126">
        <f>DATE(YEAR(СтартМодели),MONTH(СтартМодели)+43-1,1)</f>
        <v/>
      </c>
      <c r="BC6" s="126">
        <f>DATE(YEAR(СтартМодели),MONTH(СтартМодели)+44-1,1)</f>
        <v/>
      </c>
      <c r="BD6" s="126">
        <f>DATE(YEAR(СтартМодели),MONTH(СтартМодели)+45-1,1)</f>
        <v/>
      </c>
      <c r="BE6" s="126">
        <f>DATE(YEAR(СтартМодели),MONTH(СтартМодели)+46-1,1)</f>
        <v/>
      </c>
      <c r="BF6" s="126">
        <f>DATE(YEAR(СтартМодели),MONTH(СтартМодели)+47-1,1)</f>
        <v/>
      </c>
      <c r="BG6" s="126">
        <f>DATE(YEAR(СтартМодели),MONTH(СтартМодели)+48-1,1)</f>
        <v/>
      </c>
      <c r="BH6" s="126">
        <f>DATE(YEAR(СтартМодели),MONTH(СтартМодели)+49-1,1)</f>
        <v/>
      </c>
      <c r="BI6" s="126">
        <f>DATE(YEAR(СтартМодели),MONTH(СтартМодели)+50-1,1)</f>
        <v/>
      </c>
      <c r="BJ6" s="126">
        <f>DATE(YEAR(СтартМодели),MONTH(СтартМодели)+51-1,1)</f>
        <v/>
      </c>
      <c r="BK6" s="126">
        <f>DATE(YEAR(СтартМодели),MONTH(СтартМодели)+52-1,1)</f>
        <v/>
      </c>
      <c r="BL6" s="126">
        <f>DATE(YEAR(СтартМодели),MONTH(СтартМодели)+53-1,1)</f>
        <v/>
      </c>
      <c r="BM6" s="126">
        <f>DATE(YEAR(СтартМодели),MONTH(СтартМодели)+54-1,1)</f>
        <v/>
      </c>
      <c r="BN6" s="126">
        <f>DATE(YEAR(СтартМодели),MONTH(СтартМодели)+55-1,1)</f>
        <v/>
      </c>
      <c r="BO6" s="126">
        <f>DATE(YEAR(СтартМодели),MONTH(СтартМодели)+56-1,1)</f>
        <v/>
      </c>
      <c r="BP6" s="126">
        <f>DATE(YEAR(СтартМодели),MONTH(СтартМодели)+57-1,1)</f>
        <v/>
      </c>
      <c r="BQ6" s="126">
        <f>DATE(YEAR(СтартМодели),MONTH(СтартМодели)+58-1,1)</f>
        <v/>
      </c>
      <c r="BR6" s="126">
        <f>DATE(YEAR(СтартМодели),MONTH(СтартМодели)+59-1,1)</f>
        <v/>
      </c>
      <c r="BS6" s="126">
        <f>DATE(YEAR(СтартМодели),MONTH(СтартМодели)+60-1,1)</f>
        <v/>
      </c>
      <c r="BT6" s="126">
        <f>DATE(YEAR(СтартМодели),MONTH(СтартМодели)+61-1,1)</f>
        <v/>
      </c>
      <c r="BU6" s="126">
        <f>DATE(YEAR(СтартМодели),MONTH(СтартМодели)+62-1,1)</f>
        <v/>
      </c>
      <c r="BV6" s="126">
        <f>DATE(YEAR(СтартМодели),MONTH(СтартМодели)+63-1,1)</f>
        <v/>
      </c>
      <c r="BW6" s="126">
        <f>DATE(YEAR(СтартМодели),MONTH(СтартМодели)+64-1,1)</f>
        <v/>
      </c>
      <c r="BX6" s="126">
        <f>DATE(YEAR(СтартМодели),MONTH(СтартМодели)+65-1,1)</f>
        <v/>
      </c>
      <c r="BY6" s="126">
        <f>DATE(YEAR(СтартМодели),MONTH(СтартМодели)+66-1,1)</f>
        <v/>
      </c>
    </row>
    <row r="7">
      <c r="B7" t="inlineStr">
        <is>
          <t>Год модели (сезон)</t>
        </is>
      </c>
      <c r="C7" t="inlineStr">
        <is>
          <t>№</t>
        </is>
      </c>
      <c r="D7" s="117" t="inlineStr">
        <is>
          <t>Сезон длится 12 месяцев от старта</t>
        </is>
      </c>
      <c r="E7" s="127">
        <f>W7</f>
        <v/>
      </c>
      <c r="F7" s="127">
        <f>AI7</f>
        <v/>
      </c>
      <c r="G7" s="127">
        <f>AU7</f>
        <v/>
      </c>
      <c r="H7" s="127">
        <f>BG7</f>
        <v/>
      </c>
      <c r="I7" s="127">
        <f>BS7</f>
        <v/>
      </c>
      <c r="J7" s="128">
        <f>BS7</f>
        <v/>
      </c>
      <c r="L7" s="129">
        <f>INT((1-1)/12)+1</f>
        <v/>
      </c>
      <c r="M7" s="129">
        <f>INT((2-1)/12)+1</f>
        <v/>
      </c>
      <c r="N7" s="129">
        <f>INT((3-1)/12)+1</f>
        <v/>
      </c>
      <c r="O7" s="129">
        <f>INT((4-1)/12)+1</f>
        <v/>
      </c>
      <c r="P7" s="129">
        <f>INT((5-1)/12)+1</f>
        <v/>
      </c>
      <c r="Q7" s="129">
        <f>INT((6-1)/12)+1</f>
        <v/>
      </c>
      <c r="R7" s="129">
        <f>INT((7-1)/12)+1</f>
        <v/>
      </c>
      <c r="S7" s="129">
        <f>INT((8-1)/12)+1</f>
        <v/>
      </c>
      <c r="T7" s="129">
        <f>INT((9-1)/12)+1</f>
        <v/>
      </c>
      <c r="U7" s="129">
        <f>INT((10-1)/12)+1</f>
        <v/>
      </c>
      <c r="V7" s="129">
        <f>INT((11-1)/12)+1</f>
        <v/>
      </c>
      <c r="W7" s="129">
        <f>INT((12-1)/12)+1</f>
        <v/>
      </c>
      <c r="X7" s="129">
        <f>INT((13-1)/12)+1</f>
        <v/>
      </c>
      <c r="Y7" s="129">
        <f>INT((14-1)/12)+1</f>
        <v/>
      </c>
      <c r="Z7" s="129">
        <f>INT((15-1)/12)+1</f>
        <v/>
      </c>
      <c r="AA7" s="129">
        <f>INT((16-1)/12)+1</f>
        <v/>
      </c>
      <c r="AB7" s="129">
        <f>INT((17-1)/12)+1</f>
        <v/>
      </c>
      <c r="AC7" s="129">
        <f>INT((18-1)/12)+1</f>
        <v/>
      </c>
      <c r="AD7" s="129">
        <f>INT((19-1)/12)+1</f>
        <v/>
      </c>
      <c r="AE7" s="129">
        <f>INT((20-1)/12)+1</f>
        <v/>
      </c>
      <c r="AF7" s="129">
        <f>INT((21-1)/12)+1</f>
        <v/>
      </c>
      <c r="AG7" s="129">
        <f>INT((22-1)/12)+1</f>
        <v/>
      </c>
      <c r="AH7" s="129">
        <f>INT((23-1)/12)+1</f>
        <v/>
      </c>
      <c r="AI7" s="129">
        <f>INT((24-1)/12)+1</f>
        <v/>
      </c>
      <c r="AJ7" s="129">
        <f>INT((25-1)/12)+1</f>
        <v/>
      </c>
      <c r="AK7" s="129">
        <f>INT((26-1)/12)+1</f>
        <v/>
      </c>
      <c r="AL7" s="129">
        <f>INT((27-1)/12)+1</f>
        <v/>
      </c>
      <c r="AM7" s="129">
        <f>INT((28-1)/12)+1</f>
        <v/>
      </c>
      <c r="AN7" s="129">
        <f>INT((29-1)/12)+1</f>
        <v/>
      </c>
      <c r="AO7" s="129">
        <f>INT((30-1)/12)+1</f>
        <v/>
      </c>
      <c r="AP7" s="129">
        <f>INT((31-1)/12)+1</f>
        <v/>
      </c>
      <c r="AQ7" s="129">
        <f>INT((32-1)/12)+1</f>
        <v/>
      </c>
      <c r="AR7" s="129">
        <f>INT((33-1)/12)+1</f>
        <v/>
      </c>
      <c r="AS7" s="129">
        <f>INT((34-1)/12)+1</f>
        <v/>
      </c>
      <c r="AT7" s="129">
        <f>INT((35-1)/12)+1</f>
        <v/>
      </c>
      <c r="AU7" s="129">
        <f>INT((36-1)/12)+1</f>
        <v/>
      </c>
      <c r="AV7" s="129">
        <f>INT((37-1)/12)+1</f>
        <v/>
      </c>
      <c r="AW7" s="129">
        <f>INT((38-1)/12)+1</f>
        <v/>
      </c>
      <c r="AX7" s="129">
        <f>INT((39-1)/12)+1</f>
        <v/>
      </c>
      <c r="AY7" s="129">
        <f>INT((40-1)/12)+1</f>
        <v/>
      </c>
      <c r="AZ7" s="129">
        <f>INT((41-1)/12)+1</f>
        <v/>
      </c>
      <c r="BA7" s="129">
        <f>INT((42-1)/12)+1</f>
        <v/>
      </c>
      <c r="BB7" s="129">
        <f>INT((43-1)/12)+1</f>
        <v/>
      </c>
      <c r="BC7" s="129">
        <f>INT((44-1)/12)+1</f>
        <v/>
      </c>
      <c r="BD7" s="129">
        <f>INT((45-1)/12)+1</f>
        <v/>
      </c>
      <c r="BE7" s="129">
        <f>INT((46-1)/12)+1</f>
        <v/>
      </c>
      <c r="BF7" s="129">
        <f>INT((47-1)/12)+1</f>
        <v/>
      </c>
      <c r="BG7" s="129">
        <f>INT((48-1)/12)+1</f>
        <v/>
      </c>
      <c r="BH7" s="129">
        <f>INT((49-1)/12)+1</f>
        <v/>
      </c>
      <c r="BI7" s="129">
        <f>INT((50-1)/12)+1</f>
        <v/>
      </c>
      <c r="BJ7" s="129">
        <f>INT((51-1)/12)+1</f>
        <v/>
      </c>
      <c r="BK7" s="129">
        <f>INT((52-1)/12)+1</f>
        <v/>
      </c>
      <c r="BL7" s="129">
        <f>INT((53-1)/12)+1</f>
        <v/>
      </c>
      <c r="BM7" s="129">
        <f>INT((54-1)/12)+1</f>
        <v/>
      </c>
      <c r="BN7" s="129">
        <f>INT((55-1)/12)+1</f>
        <v/>
      </c>
      <c r="BO7" s="129">
        <f>INT((56-1)/12)+1</f>
        <v/>
      </c>
      <c r="BP7" s="129">
        <f>INT((57-1)/12)+1</f>
        <v/>
      </c>
      <c r="BQ7" s="129">
        <f>INT((58-1)/12)+1</f>
        <v/>
      </c>
      <c r="BR7" s="129">
        <f>INT((59-1)/12)+1</f>
        <v/>
      </c>
      <c r="BS7" s="129">
        <f>INT((60-1)/12)+1</f>
        <v/>
      </c>
      <c r="BT7" s="129">
        <f>INT((61-1)/12)+1</f>
        <v/>
      </c>
      <c r="BU7" s="129">
        <f>INT((62-1)/12)+1</f>
        <v/>
      </c>
      <c r="BV7" s="129">
        <f>INT((63-1)/12)+1</f>
        <v/>
      </c>
      <c r="BW7" s="129">
        <f>INT((64-1)/12)+1</f>
        <v/>
      </c>
      <c r="BX7" s="129">
        <f>INT((65-1)/12)+1</f>
        <v/>
      </c>
      <c r="BY7" s="129">
        <f>INT((66-1)/12)+1</f>
        <v/>
      </c>
    </row>
    <row r="8">
      <c r="B8" t="inlineStr">
        <is>
          <t>Месяц сезона</t>
        </is>
      </c>
      <c r="C8" t="inlineStr">
        <is>
          <t>№</t>
        </is>
      </c>
      <c r="D8" s="117" t="inlineStr">
        <is>
          <t>1 = первый месяц сезона (сентябрь)</t>
        </is>
      </c>
      <c r="E8" s="127">
        <f>W8</f>
        <v/>
      </c>
      <c r="F8" s="127">
        <f>AI8</f>
        <v/>
      </c>
      <c r="G8" s="127">
        <f>AU8</f>
        <v/>
      </c>
      <c r="H8" s="127">
        <f>BG8</f>
        <v/>
      </c>
      <c r="I8" s="127">
        <f>BS8</f>
        <v/>
      </c>
      <c r="J8" s="128">
        <f>BS8</f>
        <v/>
      </c>
      <c r="L8" s="129">
        <f>MOD(1-1,12)+1</f>
        <v/>
      </c>
      <c r="M8" s="129">
        <f>MOD(2-1,12)+1</f>
        <v/>
      </c>
      <c r="N8" s="129">
        <f>MOD(3-1,12)+1</f>
        <v/>
      </c>
      <c r="O8" s="129">
        <f>MOD(4-1,12)+1</f>
        <v/>
      </c>
      <c r="P8" s="129">
        <f>MOD(5-1,12)+1</f>
        <v/>
      </c>
      <c r="Q8" s="129">
        <f>MOD(6-1,12)+1</f>
        <v/>
      </c>
      <c r="R8" s="129">
        <f>MOD(7-1,12)+1</f>
        <v/>
      </c>
      <c r="S8" s="129">
        <f>MOD(8-1,12)+1</f>
        <v/>
      </c>
      <c r="T8" s="129">
        <f>MOD(9-1,12)+1</f>
        <v/>
      </c>
      <c r="U8" s="129">
        <f>MOD(10-1,12)+1</f>
        <v/>
      </c>
      <c r="V8" s="129">
        <f>MOD(11-1,12)+1</f>
        <v/>
      </c>
      <c r="W8" s="129">
        <f>MOD(12-1,12)+1</f>
        <v/>
      </c>
      <c r="X8" s="129">
        <f>MOD(13-1,12)+1</f>
        <v/>
      </c>
      <c r="Y8" s="129">
        <f>MOD(14-1,12)+1</f>
        <v/>
      </c>
      <c r="Z8" s="129">
        <f>MOD(15-1,12)+1</f>
        <v/>
      </c>
      <c r="AA8" s="129">
        <f>MOD(16-1,12)+1</f>
        <v/>
      </c>
      <c r="AB8" s="129">
        <f>MOD(17-1,12)+1</f>
        <v/>
      </c>
      <c r="AC8" s="129">
        <f>MOD(18-1,12)+1</f>
        <v/>
      </c>
      <c r="AD8" s="129">
        <f>MOD(19-1,12)+1</f>
        <v/>
      </c>
      <c r="AE8" s="129">
        <f>MOD(20-1,12)+1</f>
        <v/>
      </c>
      <c r="AF8" s="129">
        <f>MOD(21-1,12)+1</f>
        <v/>
      </c>
      <c r="AG8" s="129">
        <f>MOD(22-1,12)+1</f>
        <v/>
      </c>
      <c r="AH8" s="129">
        <f>MOD(23-1,12)+1</f>
        <v/>
      </c>
      <c r="AI8" s="129">
        <f>MOD(24-1,12)+1</f>
        <v/>
      </c>
      <c r="AJ8" s="129">
        <f>MOD(25-1,12)+1</f>
        <v/>
      </c>
      <c r="AK8" s="129">
        <f>MOD(26-1,12)+1</f>
        <v/>
      </c>
      <c r="AL8" s="129">
        <f>MOD(27-1,12)+1</f>
        <v/>
      </c>
      <c r="AM8" s="129">
        <f>MOD(28-1,12)+1</f>
        <v/>
      </c>
      <c r="AN8" s="129">
        <f>MOD(29-1,12)+1</f>
        <v/>
      </c>
      <c r="AO8" s="129">
        <f>MOD(30-1,12)+1</f>
        <v/>
      </c>
      <c r="AP8" s="129">
        <f>MOD(31-1,12)+1</f>
        <v/>
      </c>
      <c r="AQ8" s="129">
        <f>MOD(32-1,12)+1</f>
        <v/>
      </c>
      <c r="AR8" s="129">
        <f>MOD(33-1,12)+1</f>
        <v/>
      </c>
      <c r="AS8" s="129">
        <f>MOD(34-1,12)+1</f>
        <v/>
      </c>
      <c r="AT8" s="129">
        <f>MOD(35-1,12)+1</f>
        <v/>
      </c>
      <c r="AU8" s="129">
        <f>MOD(36-1,12)+1</f>
        <v/>
      </c>
      <c r="AV8" s="129">
        <f>MOD(37-1,12)+1</f>
        <v/>
      </c>
      <c r="AW8" s="129">
        <f>MOD(38-1,12)+1</f>
        <v/>
      </c>
      <c r="AX8" s="129">
        <f>MOD(39-1,12)+1</f>
        <v/>
      </c>
      <c r="AY8" s="129">
        <f>MOD(40-1,12)+1</f>
        <v/>
      </c>
      <c r="AZ8" s="129">
        <f>MOD(41-1,12)+1</f>
        <v/>
      </c>
      <c r="BA8" s="129">
        <f>MOD(42-1,12)+1</f>
        <v/>
      </c>
      <c r="BB8" s="129">
        <f>MOD(43-1,12)+1</f>
        <v/>
      </c>
      <c r="BC8" s="129">
        <f>MOD(44-1,12)+1</f>
        <v/>
      </c>
      <c r="BD8" s="129">
        <f>MOD(45-1,12)+1</f>
        <v/>
      </c>
      <c r="BE8" s="129">
        <f>MOD(46-1,12)+1</f>
        <v/>
      </c>
      <c r="BF8" s="129">
        <f>MOD(47-1,12)+1</f>
        <v/>
      </c>
      <c r="BG8" s="129">
        <f>MOD(48-1,12)+1</f>
        <v/>
      </c>
      <c r="BH8" s="129">
        <f>MOD(49-1,12)+1</f>
        <v/>
      </c>
      <c r="BI8" s="129">
        <f>MOD(50-1,12)+1</f>
        <v/>
      </c>
      <c r="BJ8" s="129">
        <f>MOD(51-1,12)+1</f>
        <v/>
      </c>
      <c r="BK8" s="129">
        <f>MOD(52-1,12)+1</f>
        <v/>
      </c>
      <c r="BL8" s="129">
        <f>MOD(53-1,12)+1</f>
        <v/>
      </c>
      <c r="BM8" s="129">
        <f>MOD(54-1,12)+1</f>
        <v/>
      </c>
      <c r="BN8" s="129">
        <f>MOD(55-1,12)+1</f>
        <v/>
      </c>
      <c r="BO8" s="129">
        <f>MOD(56-1,12)+1</f>
        <v/>
      </c>
      <c r="BP8" s="129">
        <f>MOD(57-1,12)+1</f>
        <v/>
      </c>
      <c r="BQ8" s="129">
        <f>MOD(58-1,12)+1</f>
        <v/>
      </c>
      <c r="BR8" s="129">
        <f>MOD(59-1,12)+1</f>
        <v/>
      </c>
      <c r="BS8" s="129">
        <f>MOD(60-1,12)+1</f>
        <v/>
      </c>
      <c r="BT8" s="129">
        <f>MOD(61-1,12)+1</f>
        <v/>
      </c>
      <c r="BU8" s="129">
        <f>MOD(62-1,12)+1</f>
        <v/>
      </c>
      <c r="BV8" s="129">
        <f>MOD(63-1,12)+1</f>
        <v/>
      </c>
      <c r="BW8" s="129">
        <f>MOD(64-1,12)+1</f>
        <v/>
      </c>
      <c r="BX8" s="129">
        <f>MOD(65-1,12)+1</f>
        <v/>
      </c>
      <c r="BY8" s="129">
        <f>MOD(66-1,12)+1</f>
        <v/>
      </c>
    </row>
    <row r="9">
      <c r="B9" t="inlineStr">
        <is>
          <t>Сезонность посещаемости</t>
        </is>
      </c>
      <c r="C9" t="inlineStr">
        <is>
          <t>%</t>
        </is>
      </c>
      <c r="D9" s="117" t="inlineStr">
        <is>
          <t>Доля детей, посещающих занятия в этом календарном месяце</t>
        </is>
      </c>
      <c r="E9" s="122">
        <f>AVERAGE(L9:W9)</f>
        <v/>
      </c>
      <c r="F9" s="122">
        <f>AVERAGE(X9:AI9)</f>
        <v/>
      </c>
      <c r="G9" s="122">
        <f>AVERAGE(AJ9:AU9)</f>
        <v/>
      </c>
      <c r="H9" s="122">
        <f>AVERAGE(AV9:BG9)</f>
        <v/>
      </c>
      <c r="I9" s="122">
        <f>AVERAGE(BH9:BS9)</f>
        <v/>
      </c>
      <c r="J9" s="123">
        <f>AVERAGE(L9:BS9)</f>
        <v/>
      </c>
      <c r="L9" s="14">
        <f>INDEX('01_Вводные'!$B$44:$M$44,1,MONTH(L6))</f>
        <v/>
      </c>
      <c r="M9" s="14">
        <f>INDEX('01_Вводные'!$B$44:$M$44,1,MONTH(M6))</f>
        <v/>
      </c>
      <c r="N9" s="14">
        <f>INDEX('01_Вводные'!$B$44:$M$44,1,MONTH(N6))</f>
        <v/>
      </c>
      <c r="O9" s="14">
        <f>INDEX('01_Вводные'!$B$44:$M$44,1,MONTH(O6))</f>
        <v/>
      </c>
      <c r="P9" s="14">
        <f>INDEX('01_Вводные'!$B$44:$M$44,1,MONTH(P6))</f>
        <v/>
      </c>
      <c r="Q9" s="14">
        <f>INDEX('01_Вводные'!$B$44:$M$44,1,MONTH(Q6))</f>
        <v/>
      </c>
      <c r="R9" s="14">
        <f>INDEX('01_Вводные'!$B$44:$M$44,1,MONTH(R6))</f>
        <v/>
      </c>
      <c r="S9" s="14">
        <f>INDEX('01_Вводные'!$B$44:$M$44,1,MONTH(S6))</f>
        <v/>
      </c>
      <c r="T9" s="14">
        <f>INDEX('01_Вводные'!$B$44:$M$44,1,MONTH(T6))</f>
        <v/>
      </c>
      <c r="U9" s="14">
        <f>INDEX('01_Вводные'!$B$44:$M$44,1,MONTH(U6))</f>
        <v/>
      </c>
      <c r="V9" s="14">
        <f>INDEX('01_Вводные'!$B$44:$M$44,1,MONTH(V6))</f>
        <v/>
      </c>
      <c r="W9" s="14">
        <f>INDEX('01_Вводные'!$B$44:$M$44,1,MONTH(W6))</f>
        <v/>
      </c>
      <c r="X9" s="14">
        <f>INDEX('01_Вводные'!$B$44:$M$44,1,MONTH(X6))</f>
        <v/>
      </c>
      <c r="Y9" s="14">
        <f>INDEX('01_Вводные'!$B$44:$M$44,1,MONTH(Y6))</f>
        <v/>
      </c>
      <c r="Z9" s="14">
        <f>INDEX('01_Вводные'!$B$44:$M$44,1,MONTH(Z6))</f>
        <v/>
      </c>
      <c r="AA9" s="14">
        <f>INDEX('01_Вводные'!$B$44:$M$44,1,MONTH(AA6))</f>
        <v/>
      </c>
      <c r="AB9" s="14">
        <f>INDEX('01_Вводные'!$B$44:$M$44,1,MONTH(AB6))</f>
        <v/>
      </c>
      <c r="AC9" s="14">
        <f>INDEX('01_Вводные'!$B$44:$M$44,1,MONTH(AC6))</f>
        <v/>
      </c>
      <c r="AD9" s="14">
        <f>INDEX('01_Вводные'!$B$44:$M$44,1,MONTH(AD6))</f>
        <v/>
      </c>
      <c r="AE9" s="14">
        <f>INDEX('01_Вводные'!$B$44:$M$44,1,MONTH(AE6))</f>
        <v/>
      </c>
      <c r="AF9" s="14">
        <f>INDEX('01_Вводные'!$B$44:$M$44,1,MONTH(AF6))</f>
        <v/>
      </c>
      <c r="AG9" s="14">
        <f>INDEX('01_Вводные'!$B$44:$M$44,1,MONTH(AG6))</f>
        <v/>
      </c>
      <c r="AH9" s="14">
        <f>INDEX('01_Вводные'!$B$44:$M$44,1,MONTH(AH6))</f>
        <v/>
      </c>
      <c r="AI9" s="14">
        <f>INDEX('01_Вводные'!$B$44:$M$44,1,MONTH(AI6))</f>
        <v/>
      </c>
      <c r="AJ9" s="14">
        <f>INDEX('01_Вводные'!$B$44:$M$44,1,MONTH(AJ6))</f>
        <v/>
      </c>
      <c r="AK9" s="14">
        <f>INDEX('01_Вводные'!$B$44:$M$44,1,MONTH(AK6))</f>
        <v/>
      </c>
      <c r="AL9" s="14">
        <f>INDEX('01_Вводные'!$B$44:$M$44,1,MONTH(AL6))</f>
        <v/>
      </c>
      <c r="AM9" s="14">
        <f>INDEX('01_Вводные'!$B$44:$M$44,1,MONTH(AM6))</f>
        <v/>
      </c>
      <c r="AN9" s="14">
        <f>INDEX('01_Вводные'!$B$44:$M$44,1,MONTH(AN6))</f>
        <v/>
      </c>
      <c r="AO9" s="14">
        <f>INDEX('01_Вводные'!$B$44:$M$44,1,MONTH(AO6))</f>
        <v/>
      </c>
      <c r="AP9" s="14">
        <f>INDEX('01_Вводные'!$B$44:$M$44,1,MONTH(AP6))</f>
        <v/>
      </c>
      <c r="AQ9" s="14">
        <f>INDEX('01_Вводные'!$B$44:$M$44,1,MONTH(AQ6))</f>
        <v/>
      </c>
      <c r="AR9" s="14">
        <f>INDEX('01_Вводные'!$B$44:$M$44,1,MONTH(AR6))</f>
        <v/>
      </c>
      <c r="AS9" s="14">
        <f>INDEX('01_Вводные'!$B$44:$M$44,1,MONTH(AS6))</f>
        <v/>
      </c>
      <c r="AT9" s="14">
        <f>INDEX('01_Вводные'!$B$44:$M$44,1,MONTH(AT6))</f>
        <v/>
      </c>
      <c r="AU9" s="14">
        <f>INDEX('01_Вводные'!$B$44:$M$44,1,MONTH(AU6))</f>
        <v/>
      </c>
      <c r="AV9" s="14">
        <f>INDEX('01_Вводные'!$B$44:$M$44,1,MONTH(AV6))</f>
        <v/>
      </c>
      <c r="AW9" s="14">
        <f>INDEX('01_Вводные'!$B$44:$M$44,1,MONTH(AW6))</f>
        <v/>
      </c>
      <c r="AX9" s="14">
        <f>INDEX('01_Вводные'!$B$44:$M$44,1,MONTH(AX6))</f>
        <v/>
      </c>
      <c r="AY9" s="14">
        <f>INDEX('01_Вводные'!$B$44:$M$44,1,MONTH(AY6))</f>
        <v/>
      </c>
      <c r="AZ9" s="14">
        <f>INDEX('01_Вводные'!$B$44:$M$44,1,MONTH(AZ6))</f>
        <v/>
      </c>
      <c r="BA9" s="14">
        <f>INDEX('01_Вводные'!$B$44:$M$44,1,MONTH(BA6))</f>
        <v/>
      </c>
      <c r="BB9" s="14">
        <f>INDEX('01_Вводные'!$B$44:$M$44,1,MONTH(BB6))</f>
        <v/>
      </c>
      <c r="BC9" s="14">
        <f>INDEX('01_Вводные'!$B$44:$M$44,1,MONTH(BC6))</f>
        <v/>
      </c>
      <c r="BD9" s="14">
        <f>INDEX('01_Вводные'!$B$44:$M$44,1,MONTH(BD6))</f>
        <v/>
      </c>
      <c r="BE9" s="14">
        <f>INDEX('01_Вводные'!$B$44:$M$44,1,MONTH(BE6))</f>
        <v/>
      </c>
      <c r="BF9" s="14">
        <f>INDEX('01_Вводные'!$B$44:$M$44,1,MONTH(BF6))</f>
        <v/>
      </c>
      <c r="BG9" s="14">
        <f>INDEX('01_Вводные'!$B$44:$M$44,1,MONTH(BG6))</f>
        <v/>
      </c>
      <c r="BH9" s="14">
        <f>INDEX('01_Вводные'!$B$44:$M$44,1,MONTH(BH6))</f>
        <v/>
      </c>
      <c r="BI9" s="14">
        <f>INDEX('01_Вводные'!$B$44:$M$44,1,MONTH(BI6))</f>
        <v/>
      </c>
      <c r="BJ9" s="14">
        <f>INDEX('01_Вводные'!$B$44:$M$44,1,MONTH(BJ6))</f>
        <v/>
      </c>
      <c r="BK9" s="14">
        <f>INDEX('01_Вводные'!$B$44:$M$44,1,MONTH(BK6))</f>
        <v/>
      </c>
      <c r="BL9" s="14">
        <f>INDEX('01_Вводные'!$B$44:$M$44,1,MONTH(BL6))</f>
        <v/>
      </c>
      <c r="BM9" s="14">
        <f>INDEX('01_Вводные'!$B$44:$M$44,1,MONTH(BM6))</f>
        <v/>
      </c>
      <c r="BN9" s="14">
        <f>INDEX('01_Вводные'!$B$44:$M$44,1,MONTH(BN6))</f>
        <v/>
      </c>
      <c r="BO9" s="14">
        <f>INDEX('01_Вводные'!$B$44:$M$44,1,MONTH(BO6))</f>
        <v/>
      </c>
      <c r="BP9" s="14">
        <f>INDEX('01_Вводные'!$B$44:$M$44,1,MONTH(BP6))</f>
        <v/>
      </c>
      <c r="BQ9" s="14">
        <f>INDEX('01_Вводные'!$B$44:$M$44,1,MONTH(BQ6))</f>
        <v/>
      </c>
      <c r="BR9" s="14">
        <f>INDEX('01_Вводные'!$B$44:$M$44,1,MONTH(BR6))</f>
        <v/>
      </c>
      <c r="BS9" s="14">
        <f>INDEX('01_Вводные'!$B$44:$M$44,1,MONTH(BS6))</f>
        <v/>
      </c>
      <c r="BT9" s="14">
        <f>INDEX('01_Вводные'!$B$44:$M$44,1,MONTH(BT6))</f>
        <v/>
      </c>
      <c r="BU9" s="14">
        <f>INDEX('01_Вводные'!$B$44:$M$44,1,MONTH(BU6))</f>
        <v/>
      </c>
      <c r="BV9" s="14">
        <f>INDEX('01_Вводные'!$B$44:$M$44,1,MONTH(BV6))</f>
        <v/>
      </c>
      <c r="BW9" s="14">
        <f>INDEX('01_Вводные'!$B$44:$M$44,1,MONTH(BW6))</f>
        <v/>
      </c>
      <c r="BX9" s="14">
        <f>INDEX('01_Вводные'!$B$44:$M$44,1,MONTH(BX6))</f>
        <v/>
      </c>
      <c r="BY9" s="14">
        <f>INDEX('01_Вводные'!$B$44:$M$44,1,MONTH(BY6))</f>
        <v/>
      </c>
    </row>
    <row r="11">
      <c r="B11" s="115" t="inlineStr">
        <is>
          <t>Продажи франшиз и открытия</t>
        </is>
      </c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W11" s="116" t="n"/>
      <c r="AX11" s="116" t="n"/>
      <c r="AY11" s="116" t="n"/>
      <c r="AZ11" s="116" t="n"/>
      <c r="BA11" s="116" t="n"/>
      <c r="BB11" s="116" t="n"/>
      <c r="BC11" s="116" t="n"/>
      <c r="BD11" s="116" t="n"/>
      <c r="BE11" s="116" t="n"/>
      <c r="BF11" s="116" t="n"/>
      <c r="BG11" s="116" t="n"/>
      <c r="BH11" s="116" t="n"/>
      <c r="BI11" s="116" t="n"/>
      <c r="BJ11" s="116" t="n"/>
      <c r="BK11" s="116" t="n"/>
      <c r="BL11" s="116" t="n"/>
      <c r="BM11" s="116" t="n"/>
      <c r="BN11" s="116" t="n"/>
      <c r="BO11" s="116" t="n"/>
      <c r="BP11" s="116" t="n"/>
      <c r="BQ11" s="116" t="n"/>
      <c r="BR11" s="116" t="n"/>
      <c r="BS11" s="116" t="n"/>
      <c r="BT11" s="116" t="n"/>
      <c r="BU11" s="116" t="n"/>
      <c r="BV11" s="116" t="n"/>
      <c r="BW11" s="116" t="n"/>
      <c r="BX11" s="116" t="n"/>
      <c r="BY11" s="116" t="n"/>
    </row>
    <row r="12">
      <c r="B12" t="inlineStr">
        <is>
          <t>Продажи франшиз, план</t>
        </is>
      </c>
      <c r="C12" t="inlineStr">
        <is>
          <t>шт.</t>
        </is>
      </c>
      <c r="D12" s="117" t="inlineStr">
        <is>
          <t>Годовой план сезона, разложенный по месяцам весами из таблицы планов. За горизонтом продаж нет: технические месяцы нужны только для склада</t>
        </is>
      </c>
      <c r="E12" s="118">
        <f>SUM(L12:W12)</f>
        <v/>
      </c>
      <c r="F12" s="118">
        <f>SUM(X12:AI12)</f>
        <v/>
      </c>
      <c r="G12" s="118">
        <f>SUM(AJ12:AU12)</f>
        <v/>
      </c>
      <c r="H12" s="118">
        <f>SUM(AV12:BG12)</f>
        <v/>
      </c>
      <c r="I12" s="118">
        <f>SUM(BH12:BS12)</f>
        <v/>
      </c>
      <c r="J12" s="10">
        <f>SUM(L12:BS12)</f>
        <v/>
      </c>
      <c r="L12" s="9">
        <f>IF(1&gt;60,0,INDEX('01_Вводные'!$B$36:$B$40,L7)*INDEX('01_Вводные'!$C$36:$N$40,L7,L8)/SUM(INDEX('01_Вводные'!$C$36:$N$40,L7,0)))</f>
        <v/>
      </c>
      <c r="M12" s="9">
        <f>IF(2&gt;60,0,INDEX('01_Вводные'!$B$36:$B$40,M7)*INDEX('01_Вводные'!$C$36:$N$40,M7,M8)/SUM(INDEX('01_Вводные'!$C$36:$N$40,M7,0)))</f>
        <v/>
      </c>
      <c r="N12" s="9">
        <f>IF(3&gt;60,0,INDEX('01_Вводные'!$B$36:$B$40,N7)*INDEX('01_Вводные'!$C$36:$N$40,N7,N8)/SUM(INDEX('01_Вводные'!$C$36:$N$40,N7,0)))</f>
        <v/>
      </c>
      <c r="O12" s="9">
        <f>IF(4&gt;60,0,INDEX('01_Вводные'!$B$36:$B$40,O7)*INDEX('01_Вводные'!$C$36:$N$40,O7,O8)/SUM(INDEX('01_Вводные'!$C$36:$N$40,O7,0)))</f>
        <v/>
      </c>
      <c r="P12" s="9">
        <f>IF(5&gt;60,0,INDEX('01_Вводные'!$B$36:$B$40,P7)*INDEX('01_Вводные'!$C$36:$N$40,P7,P8)/SUM(INDEX('01_Вводные'!$C$36:$N$40,P7,0)))</f>
        <v/>
      </c>
      <c r="Q12" s="9">
        <f>IF(6&gt;60,0,INDEX('01_Вводные'!$B$36:$B$40,Q7)*INDEX('01_Вводные'!$C$36:$N$40,Q7,Q8)/SUM(INDEX('01_Вводные'!$C$36:$N$40,Q7,0)))</f>
        <v/>
      </c>
      <c r="R12" s="9">
        <f>IF(7&gt;60,0,INDEX('01_Вводные'!$B$36:$B$40,R7)*INDEX('01_Вводные'!$C$36:$N$40,R7,R8)/SUM(INDEX('01_Вводные'!$C$36:$N$40,R7,0)))</f>
        <v/>
      </c>
      <c r="S12" s="9">
        <f>IF(8&gt;60,0,INDEX('01_Вводные'!$B$36:$B$40,S7)*INDEX('01_Вводные'!$C$36:$N$40,S7,S8)/SUM(INDEX('01_Вводные'!$C$36:$N$40,S7,0)))</f>
        <v/>
      </c>
      <c r="T12" s="9">
        <f>IF(9&gt;60,0,INDEX('01_Вводные'!$B$36:$B$40,T7)*INDEX('01_Вводные'!$C$36:$N$40,T7,T8)/SUM(INDEX('01_Вводные'!$C$36:$N$40,T7,0)))</f>
        <v/>
      </c>
      <c r="U12" s="9">
        <f>IF(10&gt;60,0,INDEX('01_Вводные'!$B$36:$B$40,U7)*INDEX('01_Вводные'!$C$36:$N$40,U7,U8)/SUM(INDEX('01_Вводные'!$C$36:$N$40,U7,0)))</f>
        <v/>
      </c>
      <c r="V12" s="9">
        <f>IF(11&gt;60,0,INDEX('01_Вводные'!$B$36:$B$40,V7)*INDEX('01_Вводные'!$C$36:$N$40,V7,V8)/SUM(INDEX('01_Вводные'!$C$36:$N$40,V7,0)))</f>
        <v/>
      </c>
      <c r="W12" s="9">
        <f>IF(12&gt;60,0,INDEX('01_Вводные'!$B$36:$B$40,W7)*INDEX('01_Вводные'!$C$36:$N$40,W7,W8)/SUM(INDEX('01_Вводные'!$C$36:$N$40,W7,0)))</f>
        <v/>
      </c>
      <c r="X12" s="9">
        <f>IF(13&gt;60,0,INDEX('01_Вводные'!$B$36:$B$40,X7)*INDEX('01_Вводные'!$C$36:$N$40,X7,X8)/SUM(INDEX('01_Вводные'!$C$36:$N$40,X7,0)))</f>
        <v/>
      </c>
      <c r="Y12" s="9">
        <f>IF(14&gt;60,0,INDEX('01_Вводные'!$B$36:$B$40,Y7)*INDEX('01_Вводные'!$C$36:$N$40,Y7,Y8)/SUM(INDEX('01_Вводные'!$C$36:$N$40,Y7,0)))</f>
        <v/>
      </c>
      <c r="Z12" s="9">
        <f>IF(15&gt;60,0,INDEX('01_Вводные'!$B$36:$B$40,Z7)*INDEX('01_Вводные'!$C$36:$N$40,Z7,Z8)/SUM(INDEX('01_Вводные'!$C$36:$N$40,Z7,0)))</f>
        <v/>
      </c>
      <c r="AA12" s="9">
        <f>IF(16&gt;60,0,INDEX('01_Вводные'!$B$36:$B$40,AA7)*INDEX('01_Вводные'!$C$36:$N$40,AA7,AA8)/SUM(INDEX('01_Вводные'!$C$36:$N$40,AA7,0)))</f>
        <v/>
      </c>
      <c r="AB12" s="9">
        <f>IF(17&gt;60,0,INDEX('01_Вводные'!$B$36:$B$40,AB7)*INDEX('01_Вводные'!$C$36:$N$40,AB7,AB8)/SUM(INDEX('01_Вводные'!$C$36:$N$40,AB7,0)))</f>
        <v/>
      </c>
      <c r="AC12" s="9">
        <f>IF(18&gt;60,0,INDEX('01_Вводные'!$B$36:$B$40,AC7)*INDEX('01_Вводные'!$C$36:$N$40,AC7,AC8)/SUM(INDEX('01_Вводные'!$C$36:$N$40,AC7,0)))</f>
        <v/>
      </c>
      <c r="AD12" s="9">
        <f>IF(19&gt;60,0,INDEX('01_Вводные'!$B$36:$B$40,AD7)*INDEX('01_Вводные'!$C$36:$N$40,AD7,AD8)/SUM(INDEX('01_Вводные'!$C$36:$N$40,AD7,0)))</f>
        <v/>
      </c>
      <c r="AE12" s="9">
        <f>IF(20&gt;60,0,INDEX('01_Вводные'!$B$36:$B$40,AE7)*INDEX('01_Вводные'!$C$36:$N$40,AE7,AE8)/SUM(INDEX('01_Вводные'!$C$36:$N$40,AE7,0)))</f>
        <v/>
      </c>
      <c r="AF12" s="9">
        <f>IF(21&gt;60,0,INDEX('01_Вводные'!$B$36:$B$40,AF7)*INDEX('01_Вводные'!$C$36:$N$40,AF7,AF8)/SUM(INDEX('01_Вводные'!$C$36:$N$40,AF7,0)))</f>
        <v/>
      </c>
      <c r="AG12" s="9">
        <f>IF(22&gt;60,0,INDEX('01_Вводные'!$B$36:$B$40,AG7)*INDEX('01_Вводные'!$C$36:$N$40,AG7,AG8)/SUM(INDEX('01_Вводные'!$C$36:$N$40,AG7,0)))</f>
        <v/>
      </c>
      <c r="AH12" s="9">
        <f>IF(23&gt;60,0,INDEX('01_Вводные'!$B$36:$B$40,AH7)*INDEX('01_Вводные'!$C$36:$N$40,AH7,AH8)/SUM(INDEX('01_Вводные'!$C$36:$N$40,AH7,0)))</f>
        <v/>
      </c>
      <c r="AI12" s="9">
        <f>IF(24&gt;60,0,INDEX('01_Вводные'!$B$36:$B$40,AI7)*INDEX('01_Вводные'!$C$36:$N$40,AI7,AI8)/SUM(INDEX('01_Вводные'!$C$36:$N$40,AI7,0)))</f>
        <v/>
      </c>
      <c r="AJ12" s="9">
        <f>IF(25&gt;60,0,INDEX('01_Вводные'!$B$36:$B$40,AJ7)*INDEX('01_Вводные'!$C$36:$N$40,AJ7,AJ8)/SUM(INDEX('01_Вводные'!$C$36:$N$40,AJ7,0)))</f>
        <v/>
      </c>
      <c r="AK12" s="9">
        <f>IF(26&gt;60,0,INDEX('01_Вводные'!$B$36:$B$40,AK7)*INDEX('01_Вводные'!$C$36:$N$40,AK7,AK8)/SUM(INDEX('01_Вводные'!$C$36:$N$40,AK7,0)))</f>
        <v/>
      </c>
      <c r="AL12" s="9">
        <f>IF(27&gt;60,0,INDEX('01_Вводные'!$B$36:$B$40,AL7)*INDEX('01_Вводные'!$C$36:$N$40,AL7,AL8)/SUM(INDEX('01_Вводные'!$C$36:$N$40,AL7,0)))</f>
        <v/>
      </c>
      <c r="AM12" s="9">
        <f>IF(28&gt;60,0,INDEX('01_Вводные'!$B$36:$B$40,AM7)*INDEX('01_Вводные'!$C$36:$N$40,AM7,AM8)/SUM(INDEX('01_Вводные'!$C$36:$N$40,AM7,0)))</f>
        <v/>
      </c>
      <c r="AN12" s="9">
        <f>IF(29&gt;60,0,INDEX('01_Вводные'!$B$36:$B$40,AN7)*INDEX('01_Вводные'!$C$36:$N$40,AN7,AN8)/SUM(INDEX('01_Вводные'!$C$36:$N$40,AN7,0)))</f>
        <v/>
      </c>
      <c r="AO12" s="9">
        <f>IF(30&gt;60,0,INDEX('01_Вводные'!$B$36:$B$40,AO7)*INDEX('01_Вводные'!$C$36:$N$40,AO7,AO8)/SUM(INDEX('01_Вводные'!$C$36:$N$40,AO7,0)))</f>
        <v/>
      </c>
      <c r="AP12" s="9">
        <f>IF(31&gt;60,0,INDEX('01_Вводные'!$B$36:$B$40,AP7)*INDEX('01_Вводные'!$C$36:$N$40,AP7,AP8)/SUM(INDEX('01_Вводные'!$C$36:$N$40,AP7,0)))</f>
        <v/>
      </c>
      <c r="AQ12" s="9">
        <f>IF(32&gt;60,0,INDEX('01_Вводные'!$B$36:$B$40,AQ7)*INDEX('01_Вводные'!$C$36:$N$40,AQ7,AQ8)/SUM(INDEX('01_Вводные'!$C$36:$N$40,AQ7,0)))</f>
        <v/>
      </c>
      <c r="AR12" s="9">
        <f>IF(33&gt;60,0,INDEX('01_Вводные'!$B$36:$B$40,AR7)*INDEX('01_Вводные'!$C$36:$N$40,AR7,AR8)/SUM(INDEX('01_Вводные'!$C$36:$N$40,AR7,0)))</f>
        <v/>
      </c>
      <c r="AS12" s="9">
        <f>IF(34&gt;60,0,INDEX('01_Вводные'!$B$36:$B$40,AS7)*INDEX('01_Вводные'!$C$36:$N$40,AS7,AS8)/SUM(INDEX('01_Вводные'!$C$36:$N$40,AS7,0)))</f>
        <v/>
      </c>
      <c r="AT12" s="9">
        <f>IF(35&gt;60,0,INDEX('01_Вводные'!$B$36:$B$40,AT7)*INDEX('01_Вводные'!$C$36:$N$40,AT7,AT8)/SUM(INDEX('01_Вводные'!$C$36:$N$40,AT7,0)))</f>
        <v/>
      </c>
      <c r="AU12" s="9">
        <f>IF(36&gt;60,0,INDEX('01_Вводные'!$B$36:$B$40,AU7)*INDEX('01_Вводные'!$C$36:$N$40,AU7,AU8)/SUM(INDEX('01_Вводные'!$C$36:$N$40,AU7,0)))</f>
        <v/>
      </c>
      <c r="AV12" s="9">
        <f>IF(37&gt;60,0,INDEX('01_Вводные'!$B$36:$B$40,AV7)*INDEX('01_Вводные'!$C$36:$N$40,AV7,AV8)/SUM(INDEX('01_Вводные'!$C$36:$N$40,AV7,0)))</f>
        <v/>
      </c>
      <c r="AW12" s="9">
        <f>IF(38&gt;60,0,INDEX('01_Вводные'!$B$36:$B$40,AW7)*INDEX('01_Вводные'!$C$36:$N$40,AW7,AW8)/SUM(INDEX('01_Вводные'!$C$36:$N$40,AW7,0)))</f>
        <v/>
      </c>
      <c r="AX12" s="9">
        <f>IF(39&gt;60,0,INDEX('01_Вводные'!$B$36:$B$40,AX7)*INDEX('01_Вводные'!$C$36:$N$40,AX7,AX8)/SUM(INDEX('01_Вводные'!$C$36:$N$40,AX7,0)))</f>
        <v/>
      </c>
      <c r="AY12" s="9">
        <f>IF(40&gt;60,0,INDEX('01_Вводные'!$B$36:$B$40,AY7)*INDEX('01_Вводные'!$C$36:$N$40,AY7,AY8)/SUM(INDEX('01_Вводные'!$C$36:$N$40,AY7,0)))</f>
        <v/>
      </c>
      <c r="AZ12" s="9">
        <f>IF(41&gt;60,0,INDEX('01_Вводные'!$B$36:$B$40,AZ7)*INDEX('01_Вводные'!$C$36:$N$40,AZ7,AZ8)/SUM(INDEX('01_Вводные'!$C$36:$N$40,AZ7,0)))</f>
        <v/>
      </c>
      <c r="BA12" s="9">
        <f>IF(42&gt;60,0,INDEX('01_Вводные'!$B$36:$B$40,BA7)*INDEX('01_Вводные'!$C$36:$N$40,BA7,BA8)/SUM(INDEX('01_Вводные'!$C$36:$N$40,BA7,0)))</f>
        <v/>
      </c>
      <c r="BB12" s="9">
        <f>IF(43&gt;60,0,INDEX('01_Вводные'!$B$36:$B$40,BB7)*INDEX('01_Вводные'!$C$36:$N$40,BB7,BB8)/SUM(INDEX('01_Вводные'!$C$36:$N$40,BB7,0)))</f>
        <v/>
      </c>
      <c r="BC12" s="9">
        <f>IF(44&gt;60,0,INDEX('01_Вводные'!$B$36:$B$40,BC7)*INDEX('01_Вводные'!$C$36:$N$40,BC7,BC8)/SUM(INDEX('01_Вводные'!$C$36:$N$40,BC7,0)))</f>
        <v/>
      </c>
      <c r="BD12" s="9">
        <f>IF(45&gt;60,0,INDEX('01_Вводные'!$B$36:$B$40,BD7)*INDEX('01_Вводные'!$C$36:$N$40,BD7,BD8)/SUM(INDEX('01_Вводные'!$C$36:$N$40,BD7,0)))</f>
        <v/>
      </c>
      <c r="BE12" s="9">
        <f>IF(46&gt;60,0,INDEX('01_Вводные'!$B$36:$B$40,BE7)*INDEX('01_Вводные'!$C$36:$N$40,BE7,BE8)/SUM(INDEX('01_Вводные'!$C$36:$N$40,BE7,0)))</f>
        <v/>
      </c>
      <c r="BF12" s="9">
        <f>IF(47&gt;60,0,INDEX('01_Вводные'!$B$36:$B$40,BF7)*INDEX('01_Вводные'!$C$36:$N$40,BF7,BF8)/SUM(INDEX('01_Вводные'!$C$36:$N$40,BF7,0)))</f>
        <v/>
      </c>
      <c r="BG12" s="9">
        <f>IF(48&gt;60,0,INDEX('01_Вводные'!$B$36:$B$40,BG7)*INDEX('01_Вводные'!$C$36:$N$40,BG7,BG8)/SUM(INDEX('01_Вводные'!$C$36:$N$40,BG7,0)))</f>
        <v/>
      </c>
      <c r="BH12" s="9">
        <f>IF(49&gt;60,0,INDEX('01_Вводные'!$B$36:$B$40,BH7)*INDEX('01_Вводные'!$C$36:$N$40,BH7,BH8)/SUM(INDEX('01_Вводные'!$C$36:$N$40,BH7,0)))</f>
        <v/>
      </c>
      <c r="BI12" s="9">
        <f>IF(50&gt;60,0,INDEX('01_Вводные'!$B$36:$B$40,BI7)*INDEX('01_Вводные'!$C$36:$N$40,BI7,BI8)/SUM(INDEX('01_Вводные'!$C$36:$N$40,BI7,0)))</f>
        <v/>
      </c>
      <c r="BJ12" s="9">
        <f>IF(51&gt;60,0,INDEX('01_Вводные'!$B$36:$B$40,BJ7)*INDEX('01_Вводные'!$C$36:$N$40,BJ7,BJ8)/SUM(INDEX('01_Вводные'!$C$36:$N$40,BJ7,0)))</f>
        <v/>
      </c>
      <c r="BK12" s="9">
        <f>IF(52&gt;60,0,INDEX('01_Вводные'!$B$36:$B$40,BK7)*INDEX('01_Вводные'!$C$36:$N$40,BK7,BK8)/SUM(INDEX('01_Вводные'!$C$36:$N$40,BK7,0)))</f>
        <v/>
      </c>
      <c r="BL12" s="9">
        <f>IF(53&gt;60,0,INDEX('01_Вводные'!$B$36:$B$40,BL7)*INDEX('01_Вводные'!$C$36:$N$40,BL7,BL8)/SUM(INDEX('01_Вводные'!$C$36:$N$40,BL7,0)))</f>
        <v/>
      </c>
      <c r="BM12" s="9">
        <f>IF(54&gt;60,0,INDEX('01_Вводные'!$B$36:$B$40,BM7)*INDEX('01_Вводные'!$C$36:$N$40,BM7,BM8)/SUM(INDEX('01_Вводные'!$C$36:$N$40,BM7,0)))</f>
        <v/>
      </c>
      <c r="BN12" s="9">
        <f>IF(55&gt;60,0,INDEX('01_Вводные'!$B$36:$B$40,BN7)*INDEX('01_Вводные'!$C$36:$N$40,BN7,BN8)/SUM(INDEX('01_Вводные'!$C$36:$N$40,BN7,0)))</f>
        <v/>
      </c>
      <c r="BO12" s="9">
        <f>IF(56&gt;60,0,INDEX('01_Вводные'!$B$36:$B$40,BO7)*INDEX('01_Вводные'!$C$36:$N$40,BO7,BO8)/SUM(INDEX('01_Вводные'!$C$36:$N$40,BO7,0)))</f>
        <v/>
      </c>
      <c r="BP12" s="9">
        <f>IF(57&gt;60,0,INDEX('01_Вводные'!$B$36:$B$40,BP7)*INDEX('01_Вводные'!$C$36:$N$40,BP7,BP8)/SUM(INDEX('01_Вводные'!$C$36:$N$40,BP7,0)))</f>
        <v/>
      </c>
      <c r="BQ12" s="9">
        <f>IF(58&gt;60,0,INDEX('01_Вводные'!$B$36:$B$40,BQ7)*INDEX('01_Вводные'!$C$36:$N$40,BQ7,BQ8)/SUM(INDEX('01_Вводные'!$C$36:$N$40,BQ7,0)))</f>
        <v/>
      </c>
      <c r="BR12" s="9">
        <f>IF(59&gt;60,0,INDEX('01_Вводные'!$B$36:$B$40,BR7)*INDEX('01_Вводные'!$C$36:$N$40,BR7,BR8)/SUM(INDEX('01_Вводные'!$C$36:$N$40,BR7,0)))</f>
        <v/>
      </c>
      <c r="BS12" s="9">
        <f>IF(60&gt;60,0,INDEX('01_Вводные'!$B$36:$B$40,BS7)*INDEX('01_Вводные'!$C$36:$N$40,BS7,BS8)/SUM(INDEX('01_Вводные'!$C$36:$N$40,BS7,0)))</f>
        <v/>
      </c>
      <c r="BT12" s="9">
        <f>IF(61&gt;60,0,INDEX('01_Вводные'!$B$36:$B$40,BT7)*INDEX('01_Вводные'!$C$36:$N$40,BT7,BT8)/SUM(INDEX('01_Вводные'!$C$36:$N$40,BT7,0)))</f>
        <v/>
      </c>
      <c r="BU12" s="9">
        <f>IF(62&gt;60,0,INDEX('01_Вводные'!$B$36:$B$40,BU7)*INDEX('01_Вводные'!$C$36:$N$40,BU7,BU8)/SUM(INDEX('01_Вводные'!$C$36:$N$40,BU7,0)))</f>
        <v/>
      </c>
      <c r="BV12" s="9">
        <f>IF(63&gt;60,0,INDEX('01_Вводные'!$B$36:$B$40,BV7)*INDEX('01_Вводные'!$C$36:$N$40,BV7,BV8)/SUM(INDEX('01_Вводные'!$C$36:$N$40,BV7,0)))</f>
        <v/>
      </c>
      <c r="BW12" s="9">
        <f>IF(64&gt;60,0,INDEX('01_Вводные'!$B$36:$B$40,BW7)*INDEX('01_Вводные'!$C$36:$N$40,BW7,BW8)/SUM(INDEX('01_Вводные'!$C$36:$N$40,BW7,0)))</f>
        <v/>
      </c>
      <c r="BX12" s="9">
        <f>IF(65&gt;60,0,INDEX('01_Вводные'!$B$36:$B$40,BX7)*INDEX('01_Вводные'!$C$36:$N$40,BX7,BX8)/SUM(INDEX('01_Вводные'!$C$36:$N$40,BX7,0)))</f>
        <v/>
      </c>
      <c r="BY12" s="9">
        <f>IF(66&gt;60,0,INDEX('01_Вводные'!$B$36:$B$40,BY7)*INDEX('01_Вводные'!$C$36:$N$40,BY7,BY8)/SUM(INDEX('01_Вводные'!$C$36:$N$40,BY7,0)))</f>
        <v/>
      </c>
    </row>
    <row r="13">
      <c r="B13" t="inlineStr">
        <is>
          <t>Открытия школ</t>
        </is>
      </c>
      <c r="C13" t="inlineStr">
        <is>
          <t>шт.</t>
        </is>
      </c>
      <c r="D13" s="117" t="inlineStr">
        <is>
          <t>Продажи, сдвинутые на лаг открытия, с поправкой на конверсию и число школ на партнёра</t>
        </is>
      </c>
      <c r="E13" s="118">
        <f>SUM(L13:W13)</f>
        <v/>
      </c>
      <c r="F13" s="118">
        <f>SUM(X13:AI13)</f>
        <v/>
      </c>
      <c r="G13" s="118">
        <f>SUM(AJ13:AU13)</f>
        <v/>
      </c>
      <c r="H13" s="118">
        <f>SUM(AV13:BG13)</f>
        <v/>
      </c>
      <c r="I13" s="118">
        <f>SUM(BH13:BS13)</f>
        <v/>
      </c>
      <c r="J13" s="10">
        <f>SUM(L13:BS13)</f>
        <v/>
      </c>
      <c r="L13" s="9">
        <f>IF(1-ЛагОткрытия&lt;1,0,INDEX($L12:$BY12,1,1-ЛагОткрытия))*КонверсияОткрытия*ШколНаПродажу</f>
        <v/>
      </c>
      <c r="M13" s="9">
        <f>IF(2-ЛагОткрытия&lt;1,0,INDEX($L12:$BY12,1,2-ЛагОткрытия))*КонверсияОткрытия*ШколНаПродажу</f>
        <v/>
      </c>
      <c r="N13" s="9">
        <f>IF(3-ЛагОткрытия&lt;1,0,INDEX($L12:$BY12,1,3-ЛагОткрытия))*КонверсияОткрытия*ШколНаПродажу</f>
        <v/>
      </c>
      <c r="O13" s="9">
        <f>IF(4-ЛагОткрытия&lt;1,0,INDEX($L12:$BY12,1,4-ЛагОткрытия))*КонверсияОткрытия*ШколНаПродажу</f>
        <v/>
      </c>
      <c r="P13" s="9">
        <f>IF(5-ЛагОткрытия&lt;1,0,INDEX($L12:$BY12,1,5-ЛагОткрытия))*КонверсияОткрытия*ШколНаПродажу</f>
        <v/>
      </c>
      <c r="Q13" s="9">
        <f>IF(6-ЛагОткрытия&lt;1,0,INDEX($L12:$BY12,1,6-ЛагОткрытия))*КонверсияОткрытия*ШколНаПродажу</f>
        <v/>
      </c>
      <c r="R13" s="9">
        <f>IF(7-ЛагОткрытия&lt;1,0,INDEX($L12:$BY12,1,7-ЛагОткрытия))*КонверсияОткрытия*ШколНаПродажу</f>
        <v/>
      </c>
      <c r="S13" s="9">
        <f>IF(8-ЛагОткрытия&lt;1,0,INDEX($L12:$BY12,1,8-ЛагОткрытия))*КонверсияОткрытия*ШколНаПродажу</f>
        <v/>
      </c>
      <c r="T13" s="9">
        <f>IF(9-ЛагОткрытия&lt;1,0,INDEX($L12:$BY12,1,9-ЛагОткрытия))*КонверсияОткрытия*ШколНаПродажу</f>
        <v/>
      </c>
      <c r="U13" s="9">
        <f>IF(10-ЛагОткрытия&lt;1,0,INDEX($L12:$BY12,1,10-ЛагОткрытия))*КонверсияОткрытия*ШколНаПродажу</f>
        <v/>
      </c>
      <c r="V13" s="9">
        <f>IF(11-ЛагОткрытия&lt;1,0,INDEX($L12:$BY12,1,11-ЛагОткрытия))*КонверсияОткрытия*ШколНаПродажу</f>
        <v/>
      </c>
      <c r="W13" s="9">
        <f>IF(12-ЛагОткрытия&lt;1,0,INDEX($L12:$BY12,1,12-ЛагОткрытия))*КонверсияОткрытия*ШколНаПродажу</f>
        <v/>
      </c>
      <c r="X13" s="9">
        <f>IF(13-ЛагОткрытия&lt;1,0,INDEX($L12:$BY12,1,13-ЛагОткрытия))*КонверсияОткрытия*ШколНаПродажу</f>
        <v/>
      </c>
      <c r="Y13" s="9">
        <f>IF(14-ЛагОткрытия&lt;1,0,INDEX($L12:$BY12,1,14-ЛагОткрытия))*КонверсияОткрытия*ШколНаПродажу</f>
        <v/>
      </c>
      <c r="Z13" s="9">
        <f>IF(15-ЛагОткрытия&lt;1,0,INDEX($L12:$BY12,1,15-ЛагОткрытия))*КонверсияОткрытия*ШколНаПродажу</f>
        <v/>
      </c>
      <c r="AA13" s="9">
        <f>IF(16-ЛагОткрытия&lt;1,0,INDEX($L12:$BY12,1,16-ЛагОткрытия))*КонверсияОткрытия*ШколНаПродажу</f>
        <v/>
      </c>
      <c r="AB13" s="9">
        <f>IF(17-ЛагОткрытия&lt;1,0,INDEX($L12:$BY12,1,17-ЛагОткрытия))*КонверсияОткрытия*ШколНаПродажу</f>
        <v/>
      </c>
      <c r="AC13" s="9">
        <f>IF(18-ЛагОткрытия&lt;1,0,INDEX($L12:$BY12,1,18-ЛагОткрытия))*КонверсияОткрытия*ШколНаПродажу</f>
        <v/>
      </c>
      <c r="AD13" s="9">
        <f>IF(19-ЛагОткрытия&lt;1,0,INDEX($L12:$BY12,1,19-ЛагОткрытия))*КонверсияОткрытия*ШколНаПродажу</f>
        <v/>
      </c>
      <c r="AE13" s="9">
        <f>IF(20-ЛагОткрытия&lt;1,0,INDEX($L12:$BY12,1,20-ЛагОткрытия))*КонверсияОткрытия*ШколНаПродажу</f>
        <v/>
      </c>
      <c r="AF13" s="9">
        <f>IF(21-ЛагОткрытия&lt;1,0,INDEX($L12:$BY12,1,21-ЛагОткрытия))*КонверсияОткрытия*ШколНаПродажу</f>
        <v/>
      </c>
      <c r="AG13" s="9">
        <f>IF(22-ЛагОткрытия&lt;1,0,INDEX($L12:$BY12,1,22-ЛагОткрытия))*КонверсияОткрытия*ШколНаПродажу</f>
        <v/>
      </c>
      <c r="AH13" s="9">
        <f>IF(23-ЛагОткрытия&lt;1,0,INDEX($L12:$BY12,1,23-ЛагОткрытия))*КонверсияОткрытия*ШколНаПродажу</f>
        <v/>
      </c>
      <c r="AI13" s="9">
        <f>IF(24-ЛагОткрытия&lt;1,0,INDEX($L12:$BY12,1,24-ЛагОткрытия))*КонверсияОткрытия*ШколНаПродажу</f>
        <v/>
      </c>
      <c r="AJ13" s="9">
        <f>IF(25-ЛагОткрытия&lt;1,0,INDEX($L12:$BY12,1,25-ЛагОткрытия))*КонверсияОткрытия*ШколНаПродажу</f>
        <v/>
      </c>
      <c r="AK13" s="9">
        <f>IF(26-ЛагОткрытия&lt;1,0,INDEX($L12:$BY12,1,26-ЛагОткрытия))*КонверсияОткрытия*ШколНаПродажу</f>
        <v/>
      </c>
      <c r="AL13" s="9">
        <f>IF(27-ЛагОткрытия&lt;1,0,INDEX($L12:$BY12,1,27-ЛагОткрытия))*КонверсияОткрытия*ШколНаПродажу</f>
        <v/>
      </c>
      <c r="AM13" s="9">
        <f>IF(28-ЛагОткрытия&lt;1,0,INDEX($L12:$BY12,1,28-ЛагОткрытия))*КонверсияОткрытия*ШколНаПродажу</f>
        <v/>
      </c>
      <c r="AN13" s="9">
        <f>IF(29-ЛагОткрытия&lt;1,0,INDEX($L12:$BY12,1,29-ЛагОткрытия))*КонверсияОткрытия*ШколНаПродажу</f>
        <v/>
      </c>
      <c r="AO13" s="9">
        <f>IF(30-ЛагОткрытия&lt;1,0,INDEX($L12:$BY12,1,30-ЛагОткрытия))*КонверсияОткрытия*ШколНаПродажу</f>
        <v/>
      </c>
      <c r="AP13" s="9">
        <f>IF(31-ЛагОткрытия&lt;1,0,INDEX($L12:$BY12,1,31-ЛагОткрытия))*КонверсияОткрытия*ШколНаПродажу</f>
        <v/>
      </c>
      <c r="AQ13" s="9">
        <f>IF(32-ЛагОткрытия&lt;1,0,INDEX($L12:$BY12,1,32-ЛагОткрытия))*КонверсияОткрытия*ШколНаПродажу</f>
        <v/>
      </c>
      <c r="AR13" s="9">
        <f>IF(33-ЛагОткрытия&lt;1,0,INDEX($L12:$BY12,1,33-ЛагОткрытия))*КонверсияОткрытия*ШколНаПродажу</f>
        <v/>
      </c>
      <c r="AS13" s="9">
        <f>IF(34-ЛагОткрытия&lt;1,0,INDEX($L12:$BY12,1,34-ЛагОткрытия))*КонверсияОткрытия*ШколНаПродажу</f>
        <v/>
      </c>
      <c r="AT13" s="9">
        <f>IF(35-ЛагОткрытия&lt;1,0,INDEX($L12:$BY12,1,35-ЛагОткрытия))*КонверсияОткрытия*ШколНаПродажу</f>
        <v/>
      </c>
      <c r="AU13" s="9">
        <f>IF(36-ЛагОткрытия&lt;1,0,INDEX($L12:$BY12,1,36-ЛагОткрытия))*КонверсияОткрытия*ШколНаПродажу</f>
        <v/>
      </c>
      <c r="AV13" s="9">
        <f>IF(37-ЛагОткрытия&lt;1,0,INDEX($L12:$BY12,1,37-ЛагОткрытия))*КонверсияОткрытия*ШколНаПродажу</f>
        <v/>
      </c>
      <c r="AW13" s="9">
        <f>IF(38-ЛагОткрытия&lt;1,0,INDEX($L12:$BY12,1,38-ЛагОткрытия))*КонверсияОткрытия*ШколНаПродажу</f>
        <v/>
      </c>
      <c r="AX13" s="9">
        <f>IF(39-ЛагОткрытия&lt;1,0,INDEX($L12:$BY12,1,39-ЛагОткрытия))*КонверсияОткрытия*ШколНаПродажу</f>
        <v/>
      </c>
      <c r="AY13" s="9">
        <f>IF(40-ЛагОткрытия&lt;1,0,INDEX($L12:$BY12,1,40-ЛагОткрытия))*КонверсияОткрытия*ШколНаПродажу</f>
        <v/>
      </c>
      <c r="AZ13" s="9">
        <f>IF(41-ЛагОткрытия&lt;1,0,INDEX($L12:$BY12,1,41-ЛагОткрытия))*КонверсияОткрытия*ШколНаПродажу</f>
        <v/>
      </c>
      <c r="BA13" s="9">
        <f>IF(42-ЛагОткрытия&lt;1,0,INDEX($L12:$BY12,1,42-ЛагОткрытия))*КонверсияОткрытия*ШколНаПродажу</f>
        <v/>
      </c>
      <c r="BB13" s="9">
        <f>IF(43-ЛагОткрытия&lt;1,0,INDEX($L12:$BY12,1,43-ЛагОткрытия))*КонверсияОткрытия*ШколНаПродажу</f>
        <v/>
      </c>
      <c r="BC13" s="9">
        <f>IF(44-ЛагОткрытия&lt;1,0,INDEX($L12:$BY12,1,44-ЛагОткрытия))*КонверсияОткрытия*ШколНаПродажу</f>
        <v/>
      </c>
      <c r="BD13" s="9">
        <f>IF(45-ЛагОткрытия&lt;1,0,INDEX($L12:$BY12,1,45-ЛагОткрытия))*КонверсияОткрытия*ШколНаПродажу</f>
        <v/>
      </c>
      <c r="BE13" s="9">
        <f>IF(46-ЛагОткрытия&lt;1,0,INDEX($L12:$BY12,1,46-ЛагОткрытия))*КонверсияОткрытия*ШколНаПродажу</f>
        <v/>
      </c>
      <c r="BF13" s="9">
        <f>IF(47-ЛагОткрытия&lt;1,0,INDEX($L12:$BY12,1,47-ЛагОткрытия))*КонверсияОткрытия*ШколНаПродажу</f>
        <v/>
      </c>
      <c r="BG13" s="9">
        <f>IF(48-ЛагОткрытия&lt;1,0,INDEX($L12:$BY12,1,48-ЛагОткрытия))*КонверсияОткрытия*ШколНаПродажу</f>
        <v/>
      </c>
      <c r="BH13" s="9">
        <f>IF(49-ЛагОткрытия&lt;1,0,INDEX($L12:$BY12,1,49-ЛагОткрытия))*КонверсияОткрытия*ШколНаПродажу</f>
        <v/>
      </c>
      <c r="BI13" s="9">
        <f>IF(50-ЛагОткрытия&lt;1,0,INDEX($L12:$BY12,1,50-ЛагОткрытия))*КонверсияОткрытия*ШколНаПродажу</f>
        <v/>
      </c>
      <c r="BJ13" s="9">
        <f>IF(51-ЛагОткрытия&lt;1,0,INDEX($L12:$BY12,1,51-ЛагОткрытия))*КонверсияОткрытия*ШколНаПродажу</f>
        <v/>
      </c>
      <c r="BK13" s="9">
        <f>IF(52-ЛагОткрытия&lt;1,0,INDEX($L12:$BY12,1,52-ЛагОткрытия))*КонверсияОткрытия*ШколНаПродажу</f>
        <v/>
      </c>
      <c r="BL13" s="9">
        <f>IF(53-ЛагОткрытия&lt;1,0,INDEX($L12:$BY12,1,53-ЛагОткрытия))*КонверсияОткрытия*ШколНаПродажу</f>
        <v/>
      </c>
      <c r="BM13" s="9">
        <f>IF(54-ЛагОткрытия&lt;1,0,INDEX($L12:$BY12,1,54-ЛагОткрытия))*КонверсияОткрытия*ШколНаПродажу</f>
        <v/>
      </c>
      <c r="BN13" s="9">
        <f>IF(55-ЛагОткрытия&lt;1,0,INDEX($L12:$BY12,1,55-ЛагОткрытия))*КонверсияОткрытия*ШколНаПродажу</f>
        <v/>
      </c>
      <c r="BO13" s="9">
        <f>IF(56-ЛагОткрытия&lt;1,0,INDEX($L12:$BY12,1,56-ЛагОткрытия))*КонверсияОткрытия*ШколНаПродажу</f>
        <v/>
      </c>
      <c r="BP13" s="9">
        <f>IF(57-ЛагОткрытия&lt;1,0,INDEX($L12:$BY12,1,57-ЛагОткрытия))*КонверсияОткрытия*ШколНаПродажу</f>
        <v/>
      </c>
      <c r="BQ13" s="9">
        <f>IF(58-ЛагОткрытия&lt;1,0,INDEX($L12:$BY12,1,58-ЛагОткрытия))*КонверсияОткрытия*ШколНаПродажу</f>
        <v/>
      </c>
      <c r="BR13" s="9">
        <f>IF(59-ЛагОткрытия&lt;1,0,INDEX($L12:$BY12,1,59-ЛагОткрытия))*КонверсияОткрытия*ШколНаПродажу</f>
        <v/>
      </c>
      <c r="BS13" s="9">
        <f>IF(60-ЛагОткрытия&lt;1,0,INDEX($L12:$BY12,1,60-ЛагОткрытия))*КонверсияОткрытия*ШколНаПродажу</f>
        <v/>
      </c>
      <c r="BT13" s="9">
        <f>IF(61-ЛагОткрытия&lt;1,0,INDEX($L12:$BY12,1,61-ЛагОткрытия))*КонверсияОткрытия*ШколНаПродажу</f>
        <v/>
      </c>
      <c r="BU13" s="9">
        <f>IF(62-ЛагОткрытия&lt;1,0,INDEX($L12:$BY12,1,62-ЛагОткрытия))*КонверсияОткрытия*ШколНаПродажу</f>
        <v/>
      </c>
      <c r="BV13" s="9">
        <f>IF(63-ЛагОткрытия&lt;1,0,INDEX($L12:$BY12,1,63-ЛагОткрытия))*КонверсияОткрытия*ШколНаПродажу</f>
        <v/>
      </c>
      <c r="BW13" s="9">
        <f>IF(64-ЛагОткрытия&lt;1,0,INDEX($L12:$BY12,1,64-ЛагОткрытия))*КонверсияОткрытия*ШколНаПродажу</f>
        <v/>
      </c>
      <c r="BX13" s="9">
        <f>IF(65-ЛагОткрытия&lt;1,0,INDEX($L12:$BY12,1,65-ЛагОткрытия))*КонверсияОткрытия*ШколНаПродажу</f>
        <v/>
      </c>
      <c r="BY13" s="9">
        <f>IF(66-ЛагОткрытия&lt;1,0,INDEX($L12:$BY12,1,66-ЛагОткрытия))*КонверсияОткрытия*ШколНаПродажу</f>
        <v/>
      </c>
    </row>
    <row r="14">
      <c r="B14" t="inlineStr">
        <is>
          <t>Новые юрлица (партнёры)</t>
        </is>
      </c>
      <c r="C14" t="inlineStr">
        <is>
          <t>шт.</t>
        </is>
      </c>
      <c r="D14" s="117" t="inlineStr">
        <is>
          <t>Партнёр появляется в месяц покупки франшизы — без лага: лаг нужен школе, а не договору</t>
        </is>
      </c>
      <c r="E14" s="118">
        <f>SUM(L14:W14)</f>
        <v/>
      </c>
      <c r="F14" s="118">
        <f>SUM(X14:AI14)</f>
        <v/>
      </c>
      <c r="G14" s="118">
        <f>SUM(AJ14:AU14)</f>
        <v/>
      </c>
      <c r="H14" s="118">
        <f>SUM(AV14:BG14)</f>
        <v/>
      </c>
      <c r="I14" s="118">
        <f>SUM(BH14:BS14)</f>
        <v/>
      </c>
      <c r="J14" s="10">
        <f>SUM(L14:BS14)</f>
        <v/>
      </c>
      <c r="L14" s="9">
        <f>L12*ЮрлицНаПродажу</f>
        <v/>
      </c>
      <c r="M14" s="9">
        <f>M12*ЮрлицНаПродажу</f>
        <v/>
      </c>
      <c r="N14" s="9">
        <f>N12*ЮрлицНаПродажу</f>
        <v/>
      </c>
      <c r="O14" s="9">
        <f>O12*ЮрлицНаПродажу</f>
        <v/>
      </c>
      <c r="P14" s="9">
        <f>P12*ЮрлицНаПродажу</f>
        <v/>
      </c>
      <c r="Q14" s="9">
        <f>Q12*ЮрлицНаПродажу</f>
        <v/>
      </c>
      <c r="R14" s="9">
        <f>R12*ЮрлицНаПродажу</f>
        <v/>
      </c>
      <c r="S14" s="9">
        <f>S12*ЮрлицНаПродажу</f>
        <v/>
      </c>
      <c r="T14" s="9">
        <f>T12*ЮрлицНаПродажу</f>
        <v/>
      </c>
      <c r="U14" s="9">
        <f>U12*ЮрлицНаПродажу</f>
        <v/>
      </c>
      <c r="V14" s="9">
        <f>V12*ЮрлицНаПродажу</f>
        <v/>
      </c>
      <c r="W14" s="9">
        <f>W12*ЮрлицНаПродажу</f>
        <v/>
      </c>
      <c r="X14" s="9">
        <f>X12*ЮрлицНаПродажу</f>
        <v/>
      </c>
      <c r="Y14" s="9">
        <f>Y12*ЮрлицНаПродажу</f>
        <v/>
      </c>
      <c r="Z14" s="9">
        <f>Z12*ЮрлицНаПродажу</f>
        <v/>
      </c>
      <c r="AA14" s="9">
        <f>AA12*ЮрлицНаПродажу</f>
        <v/>
      </c>
      <c r="AB14" s="9">
        <f>AB12*ЮрлицНаПродажу</f>
        <v/>
      </c>
      <c r="AC14" s="9">
        <f>AC12*ЮрлицНаПродажу</f>
        <v/>
      </c>
      <c r="AD14" s="9">
        <f>AD12*ЮрлицНаПродажу</f>
        <v/>
      </c>
      <c r="AE14" s="9">
        <f>AE12*ЮрлицНаПродажу</f>
        <v/>
      </c>
      <c r="AF14" s="9">
        <f>AF12*ЮрлицНаПродажу</f>
        <v/>
      </c>
      <c r="AG14" s="9">
        <f>AG12*ЮрлицНаПродажу</f>
        <v/>
      </c>
      <c r="AH14" s="9">
        <f>AH12*ЮрлицНаПродажу</f>
        <v/>
      </c>
      <c r="AI14" s="9">
        <f>AI12*ЮрлицНаПродажу</f>
        <v/>
      </c>
      <c r="AJ14" s="9">
        <f>AJ12*ЮрлицНаПродажу</f>
        <v/>
      </c>
      <c r="AK14" s="9">
        <f>AK12*ЮрлицНаПродажу</f>
        <v/>
      </c>
      <c r="AL14" s="9">
        <f>AL12*ЮрлицНаПродажу</f>
        <v/>
      </c>
      <c r="AM14" s="9">
        <f>AM12*ЮрлицНаПродажу</f>
        <v/>
      </c>
      <c r="AN14" s="9">
        <f>AN12*ЮрлицНаПродажу</f>
        <v/>
      </c>
      <c r="AO14" s="9">
        <f>AO12*ЮрлицНаПродажу</f>
        <v/>
      </c>
      <c r="AP14" s="9">
        <f>AP12*ЮрлицНаПродажу</f>
        <v/>
      </c>
      <c r="AQ14" s="9">
        <f>AQ12*ЮрлицНаПродажу</f>
        <v/>
      </c>
      <c r="AR14" s="9">
        <f>AR12*ЮрлицНаПродажу</f>
        <v/>
      </c>
      <c r="AS14" s="9">
        <f>AS12*ЮрлицНаПродажу</f>
        <v/>
      </c>
      <c r="AT14" s="9">
        <f>AT12*ЮрлицНаПродажу</f>
        <v/>
      </c>
      <c r="AU14" s="9">
        <f>AU12*ЮрлицНаПродажу</f>
        <v/>
      </c>
      <c r="AV14" s="9">
        <f>AV12*ЮрлицНаПродажу</f>
        <v/>
      </c>
      <c r="AW14" s="9">
        <f>AW12*ЮрлицНаПродажу</f>
        <v/>
      </c>
      <c r="AX14" s="9">
        <f>AX12*ЮрлицНаПродажу</f>
        <v/>
      </c>
      <c r="AY14" s="9">
        <f>AY12*ЮрлицНаПродажу</f>
        <v/>
      </c>
      <c r="AZ14" s="9">
        <f>AZ12*ЮрлицНаПродажу</f>
        <v/>
      </c>
      <c r="BA14" s="9">
        <f>BA12*ЮрлицНаПродажу</f>
        <v/>
      </c>
      <c r="BB14" s="9">
        <f>BB12*ЮрлицНаПродажу</f>
        <v/>
      </c>
      <c r="BC14" s="9">
        <f>BC12*ЮрлицНаПродажу</f>
        <v/>
      </c>
      <c r="BD14" s="9">
        <f>BD12*ЮрлицНаПродажу</f>
        <v/>
      </c>
      <c r="BE14" s="9">
        <f>BE12*ЮрлицНаПродажу</f>
        <v/>
      </c>
      <c r="BF14" s="9">
        <f>BF12*ЮрлицНаПродажу</f>
        <v/>
      </c>
      <c r="BG14" s="9">
        <f>BG12*ЮрлицНаПродажу</f>
        <v/>
      </c>
      <c r="BH14" s="9">
        <f>BH12*ЮрлицНаПродажу</f>
        <v/>
      </c>
      <c r="BI14" s="9">
        <f>BI12*ЮрлицНаПродажу</f>
        <v/>
      </c>
      <c r="BJ14" s="9">
        <f>BJ12*ЮрлицНаПродажу</f>
        <v/>
      </c>
      <c r="BK14" s="9">
        <f>BK12*ЮрлицНаПродажу</f>
        <v/>
      </c>
      <c r="BL14" s="9">
        <f>BL12*ЮрлицНаПродажу</f>
        <v/>
      </c>
      <c r="BM14" s="9">
        <f>BM12*ЮрлицНаПродажу</f>
        <v/>
      </c>
      <c r="BN14" s="9">
        <f>BN12*ЮрлицНаПродажу</f>
        <v/>
      </c>
      <c r="BO14" s="9">
        <f>BO12*ЮрлицНаПродажу</f>
        <v/>
      </c>
      <c r="BP14" s="9">
        <f>BP12*ЮрлицНаПродажу</f>
        <v/>
      </c>
      <c r="BQ14" s="9">
        <f>BQ12*ЮрлицНаПродажу</f>
        <v/>
      </c>
      <c r="BR14" s="9">
        <f>BR12*ЮрлицНаПродажу</f>
        <v/>
      </c>
      <c r="BS14" s="9">
        <f>BS12*ЮрлицНаПродажу</f>
        <v/>
      </c>
      <c r="BT14" s="9">
        <f>BT12*ЮрлицНаПродажу</f>
        <v/>
      </c>
      <c r="BU14" s="9">
        <f>BU12*ЮрлицНаПродажу</f>
        <v/>
      </c>
      <c r="BV14" s="9">
        <f>BV12*ЮрлицНаПродажу</f>
        <v/>
      </c>
      <c r="BW14" s="9">
        <f>BW12*ЮрлицНаПродажу</f>
        <v/>
      </c>
      <c r="BX14" s="9">
        <f>BX12*ЮрлицНаПродажу</f>
        <v/>
      </c>
      <c r="BY14" s="9">
        <f>BY12*ЮрлицНаПродажу</f>
        <v/>
      </c>
    </row>
    <row r="16">
      <c r="B16" s="115" t="inlineStr">
        <is>
          <t>Действующая сеть (та, что была на старте)</t>
        </is>
      </c>
      <c r="C16" s="116" t="n"/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W16" s="116" t="n"/>
      <c r="AX16" s="116" t="n"/>
      <c r="AY16" s="116" t="n"/>
      <c r="AZ16" s="116" t="n"/>
      <c r="BA16" s="116" t="n"/>
      <c r="BB16" s="116" t="n"/>
      <c r="BC16" s="116" t="n"/>
      <c r="BD16" s="116" t="n"/>
      <c r="BE16" s="116" t="n"/>
      <c r="BF16" s="116" t="n"/>
      <c r="BG16" s="116" t="n"/>
      <c r="BH16" s="116" t="n"/>
      <c r="BI16" s="116" t="n"/>
      <c r="BJ16" s="116" t="n"/>
      <c r="BK16" s="116" t="n"/>
      <c r="BL16" s="116" t="n"/>
      <c r="BM16" s="116" t="n"/>
      <c r="BN16" s="116" t="n"/>
      <c r="BO16" s="116" t="n"/>
      <c r="BP16" s="116" t="n"/>
      <c r="BQ16" s="116" t="n"/>
      <c r="BR16" s="116" t="n"/>
      <c r="BS16" s="116" t="n"/>
      <c r="BT16" s="116" t="n"/>
      <c r="BU16" s="116" t="n"/>
      <c r="BV16" s="116" t="n"/>
      <c r="BW16" s="116" t="n"/>
      <c r="BX16" s="116" t="n"/>
      <c r="BY16" s="116" t="n"/>
    </row>
    <row r="17">
      <c r="B17" t="inlineStr">
        <is>
          <t>Школы действующей сети</t>
        </is>
      </c>
      <c r="C17" t="inlineStr">
        <is>
          <t>шт.</t>
        </is>
      </c>
      <c r="D17" s="117" t="inlineStr">
        <is>
          <t>Каждый месяц убывает на коэффициент закрытия</t>
        </is>
      </c>
      <c r="E17" s="118">
        <f>W17</f>
        <v/>
      </c>
      <c r="F17" s="118">
        <f>AI17</f>
        <v/>
      </c>
      <c r="G17" s="118">
        <f>AU17</f>
        <v/>
      </c>
      <c r="H17" s="118">
        <f>BG17</f>
        <v/>
      </c>
      <c r="I17" s="118">
        <f>BS17</f>
        <v/>
      </c>
      <c r="J17" s="10">
        <f>BS17</f>
        <v/>
      </c>
      <c r="L17" s="9">
        <f>ШколыСтарт*КоэффСохранения</f>
        <v/>
      </c>
      <c r="M17" s="9">
        <f>L17*КоэффСохранения</f>
        <v/>
      </c>
      <c r="N17" s="9">
        <f>M17*КоэффСохранения</f>
        <v/>
      </c>
      <c r="O17" s="9">
        <f>N17*КоэффСохранения</f>
        <v/>
      </c>
      <c r="P17" s="9">
        <f>O17*КоэффСохранения</f>
        <v/>
      </c>
      <c r="Q17" s="9">
        <f>P17*КоэффСохранения</f>
        <v/>
      </c>
      <c r="R17" s="9">
        <f>Q17*КоэффСохранения</f>
        <v/>
      </c>
      <c r="S17" s="9">
        <f>R17*КоэффСохранения</f>
        <v/>
      </c>
      <c r="T17" s="9">
        <f>S17*КоэффСохранения</f>
        <v/>
      </c>
      <c r="U17" s="9">
        <f>T17*КоэффСохранения</f>
        <v/>
      </c>
      <c r="V17" s="9">
        <f>U17*КоэффСохранения</f>
        <v/>
      </c>
      <c r="W17" s="9">
        <f>V17*КоэффСохранения</f>
        <v/>
      </c>
      <c r="X17" s="9">
        <f>W17*КоэффСохранения</f>
        <v/>
      </c>
      <c r="Y17" s="9">
        <f>X17*КоэффСохранения</f>
        <v/>
      </c>
      <c r="Z17" s="9">
        <f>Y17*КоэффСохранения</f>
        <v/>
      </c>
      <c r="AA17" s="9">
        <f>Z17*КоэффСохранения</f>
        <v/>
      </c>
      <c r="AB17" s="9">
        <f>AA17*КоэффСохранения</f>
        <v/>
      </c>
      <c r="AC17" s="9">
        <f>AB17*КоэффСохранения</f>
        <v/>
      </c>
      <c r="AD17" s="9">
        <f>AC17*КоэффСохранения</f>
        <v/>
      </c>
      <c r="AE17" s="9">
        <f>AD17*КоэффСохранения</f>
        <v/>
      </c>
      <c r="AF17" s="9">
        <f>AE17*КоэффСохранения</f>
        <v/>
      </c>
      <c r="AG17" s="9">
        <f>AF17*КоэффСохранения</f>
        <v/>
      </c>
      <c r="AH17" s="9">
        <f>AG17*КоэффСохранения</f>
        <v/>
      </c>
      <c r="AI17" s="9">
        <f>AH17*КоэффСохранения</f>
        <v/>
      </c>
      <c r="AJ17" s="9">
        <f>AI17*КоэффСохранения</f>
        <v/>
      </c>
      <c r="AK17" s="9">
        <f>AJ17*КоэффСохранения</f>
        <v/>
      </c>
      <c r="AL17" s="9">
        <f>AK17*КоэффСохранения</f>
        <v/>
      </c>
      <c r="AM17" s="9">
        <f>AL17*КоэффСохранения</f>
        <v/>
      </c>
      <c r="AN17" s="9">
        <f>AM17*КоэффСохранения</f>
        <v/>
      </c>
      <c r="AO17" s="9">
        <f>AN17*КоэффСохранения</f>
        <v/>
      </c>
      <c r="AP17" s="9">
        <f>AO17*КоэффСохранения</f>
        <v/>
      </c>
      <c r="AQ17" s="9">
        <f>AP17*КоэффСохранения</f>
        <v/>
      </c>
      <c r="AR17" s="9">
        <f>AQ17*КоэффСохранения</f>
        <v/>
      </c>
      <c r="AS17" s="9">
        <f>AR17*КоэффСохранения</f>
        <v/>
      </c>
      <c r="AT17" s="9">
        <f>AS17*КоэффСохранения</f>
        <v/>
      </c>
      <c r="AU17" s="9">
        <f>AT17*КоэффСохранения</f>
        <v/>
      </c>
      <c r="AV17" s="9">
        <f>AU17*КоэффСохранения</f>
        <v/>
      </c>
      <c r="AW17" s="9">
        <f>AV17*КоэффСохранения</f>
        <v/>
      </c>
      <c r="AX17" s="9">
        <f>AW17*КоэффСохранения</f>
        <v/>
      </c>
      <c r="AY17" s="9">
        <f>AX17*КоэффСохранения</f>
        <v/>
      </c>
      <c r="AZ17" s="9">
        <f>AY17*КоэффСохранения</f>
        <v/>
      </c>
      <c r="BA17" s="9">
        <f>AZ17*КоэффСохранения</f>
        <v/>
      </c>
      <c r="BB17" s="9">
        <f>BA17*КоэффСохранения</f>
        <v/>
      </c>
      <c r="BC17" s="9">
        <f>BB17*КоэффСохранения</f>
        <v/>
      </c>
      <c r="BD17" s="9">
        <f>BC17*КоэффСохранения</f>
        <v/>
      </c>
      <c r="BE17" s="9">
        <f>BD17*КоэффСохранения</f>
        <v/>
      </c>
      <c r="BF17" s="9">
        <f>BE17*КоэффСохранения</f>
        <v/>
      </c>
      <c r="BG17" s="9">
        <f>BF17*КоэффСохранения</f>
        <v/>
      </c>
      <c r="BH17" s="9">
        <f>BG17*КоэффСохранения</f>
        <v/>
      </c>
      <c r="BI17" s="9">
        <f>BH17*КоэффСохранения</f>
        <v/>
      </c>
      <c r="BJ17" s="9">
        <f>BI17*КоэффСохранения</f>
        <v/>
      </c>
      <c r="BK17" s="9">
        <f>BJ17*КоэффСохранения</f>
        <v/>
      </c>
      <c r="BL17" s="9">
        <f>BK17*КоэффСохранения</f>
        <v/>
      </c>
      <c r="BM17" s="9">
        <f>BL17*КоэффСохранения</f>
        <v/>
      </c>
      <c r="BN17" s="9">
        <f>BM17*КоэффСохранения</f>
        <v/>
      </c>
      <c r="BO17" s="9">
        <f>BN17*КоэффСохранения</f>
        <v/>
      </c>
      <c r="BP17" s="9">
        <f>BO17*КоэффСохранения</f>
        <v/>
      </c>
      <c r="BQ17" s="9">
        <f>BP17*КоэффСохранения</f>
        <v/>
      </c>
      <c r="BR17" s="9">
        <f>BQ17*КоэффСохранения</f>
        <v/>
      </c>
      <c r="BS17" s="9">
        <f>BR17*КоэффСохранения</f>
        <v/>
      </c>
      <c r="BT17" s="9">
        <f>BS17*КоэффСохранения</f>
        <v/>
      </c>
      <c r="BU17" s="9">
        <f>BT17*КоэффСохранения</f>
        <v/>
      </c>
      <c r="BV17" s="9">
        <f>BU17*КоэффСохранения</f>
        <v/>
      </c>
      <c r="BW17" s="9">
        <f>BV17*КоэффСохранения</f>
        <v/>
      </c>
      <c r="BX17" s="9">
        <f>BW17*КоэффСохранения</f>
        <v/>
      </c>
      <c r="BY17" s="9">
        <f>BX17*КоэффСохранения</f>
        <v/>
      </c>
    </row>
    <row r="18">
      <c r="B18" t="inlineStr">
        <is>
          <t>Дети действующей сети, 100% база</t>
        </is>
      </c>
      <c r="C18" t="inlineStr">
        <is>
          <t>чел.</t>
        </is>
      </c>
      <c r="D18" s="117" t="inlineStr">
        <is>
          <t>База растёт по сезонам и уменьшается вместе с числом школ</t>
        </is>
      </c>
      <c r="E18" s="118">
        <f>W18</f>
        <v/>
      </c>
      <c r="F18" s="118">
        <f>AI18</f>
        <v/>
      </c>
      <c r="G18" s="118">
        <f>AU18</f>
        <v/>
      </c>
      <c r="H18" s="118">
        <f>BG18</f>
        <v/>
      </c>
      <c r="I18" s="118">
        <f>BS18</f>
        <v/>
      </c>
      <c r="J18" s="10">
        <f>BS18</f>
        <v/>
      </c>
      <c r="L18" s="9">
        <f>ДетиСтарт*(1+РостДетей)^(L7-1)*IF(ШколыСтарт=0,0,L17/ШколыСтарт)</f>
        <v/>
      </c>
      <c r="M18" s="9">
        <f>ДетиСтарт*(1+РостДетей)^(M7-1)*IF(ШколыСтарт=0,0,M17/ШколыСтарт)</f>
        <v/>
      </c>
      <c r="N18" s="9">
        <f>ДетиСтарт*(1+РостДетей)^(N7-1)*IF(ШколыСтарт=0,0,N17/ШколыСтарт)</f>
        <v/>
      </c>
      <c r="O18" s="9">
        <f>ДетиСтарт*(1+РостДетей)^(O7-1)*IF(ШколыСтарт=0,0,O17/ШколыСтарт)</f>
        <v/>
      </c>
      <c r="P18" s="9">
        <f>ДетиСтарт*(1+РостДетей)^(P7-1)*IF(ШколыСтарт=0,0,P17/ШколыСтарт)</f>
        <v/>
      </c>
      <c r="Q18" s="9">
        <f>ДетиСтарт*(1+РостДетей)^(Q7-1)*IF(ШколыСтарт=0,0,Q17/ШколыСтарт)</f>
        <v/>
      </c>
      <c r="R18" s="9">
        <f>ДетиСтарт*(1+РостДетей)^(R7-1)*IF(ШколыСтарт=0,0,R17/ШколыСтарт)</f>
        <v/>
      </c>
      <c r="S18" s="9">
        <f>ДетиСтарт*(1+РостДетей)^(S7-1)*IF(ШколыСтарт=0,0,S17/ШколыСтарт)</f>
        <v/>
      </c>
      <c r="T18" s="9">
        <f>ДетиСтарт*(1+РостДетей)^(T7-1)*IF(ШколыСтарт=0,0,T17/ШколыСтарт)</f>
        <v/>
      </c>
      <c r="U18" s="9">
        <f>ДетиСтарт*(1+РостДетей)^(U7-1)*IF(ШколыСтарт=0,0,U17/ШколыСтарт)</f>
        <v/>
      </c>
      <c r="V18" s="9">
        <f>ДетиСтарт*(1+РостДетей)^(V7-1)*IF(ШколыСтарт=0,0,V17/ШколыСтарт)</f>
        <v/>
      </c>
      <c r="W18" s="9">
        <f>ДетиСтарт*(1+РостДетей)^(W7-1)*IF(ШколыСтарт=0,0,W17/ШколыСтарт)</f>
        <v/>
      </c>
      <c r="X18" s="9">
        <f>ДетиСтарт*(1+РостДетей)^(X7-1)*IF(ШколыСтарт=0,0,X17/ШколыСтарт)</f>
        <v/>
      </c>
      <c r="Y18" s="9">
        <f>ДетиСтарт*(1+РостДетей)^(Y7-1)*IF(ШколыСтарт=0,0,Y17/ШколыСтарт)</f>
        <v/>
      </c>
      <c r="Z18" s="9">
        <f>ДетиСтарт*(1+РостДетей)^(Z7-1)*IF(ШколыСтарт=0,0,Z17/ШколыСтарт)</f>
        <v/>
      </c>
      <c r="AA18" s="9">
        <f>ДетиСтарт*(1+РостДетей)^(AA7-1)*IF(ШколыСтарт=0,0,AA17/ШколыСтарт)</f>
        <v/>
      </c>
      <c r="AB18" s="9">
        <f>ДетиСтарт*(1+РостДетей)^(AB7-1)*IF(ШколыСтарт=0,0,AB17/ШколыСтарт)</f>
        <v/>
      </c>
      <c r="AC18" s="9">
        <f>ДетиСтарт*(1+РостДетей)^(AC7-1)*IF(ШколыСтарт=0,0,AC17/ШколыСтарт)</f>
        <v/>
      </c>
      <c r="AD18" s="9">
        <f>ДетиСтарт*(1+РостДетей)^(AD7-1)*IF(ШколыСтарт=0,0,AD17/ШколыСтарт)</f>
        <v/>
      </c>
      <c r="AE18" s="9">
        <f>ДетиСтарт*(1+РостДетей)^(AE7-1)*IF(ШколыСтарт=0,0,AE17/ШколыСтарт)</f>
        <v/>
      </c>
      <c r="AF18" s="9">
        <f>ДетиСтарт*(1+РостДетей)^(AF7-1)*IF(ШколыСтарт=0,0,AF17/ШколыСтарт)</f>
        <v/>
      </c>
      <c r="AG18" s="9">
        <f>ДетиСтарт*(1+РостДетей)^(AG7-1)*IF(ШколыСтарт=0,0,AG17/ШколыСтарт)</f>
        <v/>
      </c>
      <c r="AH18" s="9">
        <f>ДетиСтарт*(1+РостДетей)^(AH7-1)*IF(ШколыСтарт=0,0,AH17/ШколыСтарт)</f>
        <v/>
      </c>
      <c r="AI18" s="9">
        <f>ДетиСтарт*(1+РостДетей)^(AI7-1)*IF(ШколыСтарт=0,0,AI17/ШколыСтарт)</f>
        <v/>
      </c>
      <c r="AJ18" s="9">
        <f>ДетиСтарт*(1+РостДетей)^(AJ7-1)*IF(ШколыСтарт=0,0,AJ17/ШколыСтарт)</f>
        <v/>
      </c>
      <c r="AK18" s="9">
        <f>ДетиСтарт*(1+РостДетей)^(AK7-1)*IF(ШколыСтарт=0,0,AK17/ШколыСтарт)</f>
        <v/>
      </c>
      <c r="AL18" s="9">
        <f>ДетиСтарт*(1+РостДетей)^(AL7-1)*IF(ШколыСтарт=0,0,AL17/ШколыСтарт)</f>
        <v/>
      </c>
      <c r="AM18" s="9">
        <f>ДетиСтарт*(1+РостДетей)^(AM7-1)*IF(ШколыСтарт=0,0,AM17/ШколыСтарт)</f>
        <v/>
      </c>
      <c r="AN18" s="9">
        <f>ДетиСтарт*(1+РостДетей)^(AN7-1)*IF(ШколыСтарт=0,0,AN17/ШколыСтарт)</f>
        <v/>
      </c>
      <c r="AO18" s="9">
        <f>ДетиСтарт*(1+РостДетей)^(AO7-1)*IF(ШколыСтарт=0,0,AO17/ШколыСтарт)</f>
        <v/>
      </c>
      <c r="AP18" s="9">
        <f>ДетиСтарт*(1+РостДетей)^(AP7-1)*IF(ШколыСтарт=0,0,AP17/ШколыСтарт)</f>
        <v/>
      </c>
      <c r="AQ18" s="9">
        <f>ДетиСтарт*(1+РостДетей)^(AQ7-1)*IF(ШколыСтарт=0,0,AQ17/ШколыСтарт)</f>
        <v/>
      </c>
      <c r="AR18" s="9">
        <f>ДетиСтарт*(1+РостДетей)^(AR7-1)*IF(ШколыСтарт=0,0,AR17/ШколыСтарт)</f>
        <v/>
      </c>
      <c r="AS18" s="9">
        <f>ДетиСтарт*(1+РостДетей)^(AS7-1)*IF(ШколыСтарт=0,0,AS17/ШколыСтарт)</f>
        <v/>
      </c>
      <c r="AT18" s="9">
        <f>ДетиСтарт*(1+РостДетей)^(AT7-1)*IF(ШколыСтарт=0,0,AT17/ШколыСтарт)</f>
        <v/>
      </c>
      <c r="AU18" s="9">
        <f>ДетиСтарт*(1+РостДетей)^(AU7-1)*IF(ШколыСтарт=0,0,AU17/ШколыСтарт)</f>
        <v/>
      </c>
      <c r="AV18" s="9">
        <f>ДетиСтарт*(1+РостДетей)^(AV7-1)*IF(ШколыСтарт=0,0,AV17/ШколыСтарт)</f>
        <v/>
      </c>
      <c r="AW18" s="9">
        <f>ДетиСтарт*(1+РостДетей)^(AW7-1)*IF(ШколыСтарт=0,0,AW17/ШколыСтарт)</f>
        <v/>
      </c>
      <c r="AX18" s="9">
        <f>ДетиСтарт*(1+РостДетей)^(AX7-1)*IF(ШколыСтарт=0,0,AX17/ШколыСтарт)</f>
        <v/>
      </c>
      <c r="AY18" s="9">
        <f>ДетиСтарт*(1+РостДетей)^(AY7-1)*IF(ШколыСтарт=0,0,AY17/ШколыСтарт)</f>
        <v/>
      </c>
      <c r="AZ18" s="9">
        <f>ДетиСтарт*(1+РостДетей)^(AZ7-1)*IF(ШколыСтарт=0,0,AZ17/ШколыСтарт)</f>
        <v/>
      </c>
      <c r="BA18" s="9">
        <f>ДетиСтарт*(1+РостДетей)^(BA7-1)*IF(ШколыСтарт=0,0,BA17/ШколыСтарт)</f>
        <v/>
      </c>
      <c r="BB18" s="9">
        <f>ДетиСтарт*(1+РостДетей)^(BB7-1)*IF(ШколыСтарт=0,0,BB17/ШколыСтарт)</f>
        <v/>
      </c>
      <c r="BC18" s="9">
        <f>ДетиСтарт*(1+РостДетей)^(BC7-1)*IF(ШколыСтарт=0,0,BC17/ШколыСтарт)</f>
        <v/>
      </c>
      <c r="BD18" s="9">
        <f>ДетиСтарт*(1+РостДетей)^(BD7-1)*IF(ШколыСтарт=0,0,BD17/ШколыСтарт)</f>
        <v/>
      </c>
      <c r="BE18" s="9">
        <f>ДетиСтарт*(1+РостДетей)^(BE7-1)*IF(ШколыСтарт=0,0,BE17/ШколыСтарт)</f>
        <v/>
      </c>
      <c r="BF18" s="9">
        <f>ДетиСтарт*(1+РостДетей)^(BF7-1)*IF(ШколыСтарт=0,0,BF17/ШколыСтарт)</f>
        <v/>
      </c>
      <c r="BG18" s="9">
        <f>ДетиСтарт*(1+РостДетей)^(BG7-1)*IF(ШколыСтарт=0,0,BG17/ШколыСтарт)</f>
        <v/>
      </c>
      <c r="BH18" s="9">
        <f>ДетиСтарт*(1+РостДетей)^(BH7-1)*IF(ШколыСтарт=0,0,BH17/ШколыСтарт)</f>
        <v/>
      </c>
      <c r="BI18" s="9">
        <f>ДетиСтарт*(1+РостДетей)^(BI7-1)*IF(ШколыСтарт=0,0,BI17/ШколыСтарт)</f>
        <v/>
      </c>
      <c r="BJ18" s="9">
        <f>ДетиСтарт*(1+РостДетей)^(BJ7-1)*IF(ШколыСтарт=0,0,BJ17/ШколыСтарт)</f>
        <v/>
      </c>
      <c r="BK18" s="9">
        <f>ДетиСтарт*(1+РостДетей)^(BK7-1)*IF(ШколыСтарт=0,0,BK17/ШколыСтарт)</f>
        <v/>
      </c>
      <c r="BL18" s="9">
        <f>ДетиСтарт*(1+РостДетей)^(BL7-1)*IF(ШколыСтарт=0,0,BL17/ШколыСтарт)</f>
        <v/>
      </c>
      <c r="BM18" s="9">
        <f>ДетиСтарт*(1+РостДетей)^(BM7-1)*IF(ШколыСтарт=0,0,BM17/ШколыСтарт)</f>
        <v/>
      </c>
      <c r="BN18" s="9">
        <f>ДетиСтарт*(1+РостДетей)^(BN7-1)*IF(ШколыСтарт=0,0,BN17/ШколыСтарт)</f>
        <v/>
      </c>
      <c r="BO18" s="9">
        <f>ДетиСтарт*(1+РостДетей)^(BO7-1)*IF(ШколыСтарт=0,0,BO17/ШколыСтарт)</f>
        <v/>
      </c>
      <c r="BP18" s="9">
        <f>ДетиСтарт*(1+РостДетей)^(BP7-1)*IF(ШколыСтарт=0,0,BP17/ШколыСтарт)</f>
        <v/>
      </c>
      <c r="BQ18" s="9">
        <f>ДетиСтарт*(1+РостДетей)^(BQ7-1)*IF(ШколыСтарт=0,0,BQ17/ШколыСтарт)</f>
        <v/>
      </c>
      <c r="BR18" s="9">
        <f>ДетиСтарт*(1+РостДетей)^(BR7-1)*IF(ШколыСтарт=0,0,BR17/ШколыСтарт)</f>
        <v/>
      </c>
      <c r="BS18" s="9">
        <f>ДетиСтарт*(1+РостДетей)^(BS7-1)*IF(ШколыСтарт=0,0,BS17/ШколыСтарт)</f>
        <v/>
      </c>
      <c r="BT18" s="9">
        <f>ДетиСтарт*(1+РостДетей)^(BT7-1)*IF(ШколыСтарт=0,0,BT17/ШколыСтарт)</f>
        <v/>
      </c>
      <c r="BU18" s="9">
        <f>ДетиСтарт*(1+РостДетей)^(BU7-1)*IF(ШколыСтарт=0,0,BU17/ШколыСтарт)</f>
        <v/>
      </c>
      <c r="BV18" s="9">
        <f>ДетиСтарт*(1+РостДетей)^(BV7-1)*IF(ШколыСтарт=0,0,BV17/ШколыСтарт)</f>
        <v/>
      </c>
      <c r="BW18" s="9">
        <f>ДетиСтарт*(1+РостДетей)^(BW7-1)*IF(ШколыСтарт=0,0,BW17/ШколыСтарт)</f>
        <v/>
      </c>
      <c r="BX18" s="9">
        <f>ДетиСтарт*(1+РостДетей)^(BX7-1)*IF(ШколыСтарт=0,0,BX17/ШколыСтарт)</f>
        <v/>
      </c>
      <c r="BY18" s="9">
        <f>ДетиСтарт*(1+РостДетей)^(BY7-1)*IF(ШколыСтарт=0,0,BY17/ШколыСтарт)</f>
        <v/>
      </c>
    </row>
    <row r="19">
      <c r="B19" t="inlineStr">
        <is>
          <t>Дети действующей сети, активные</t>
        </is>
      </c>
      <c r="C19" t="inlineStr">
        <is>
          <t>чел.</t>
        </is>
      </c>
      <c r="D19" s="117" t="inlineStr">
        <is>
          <t>База, умноженная на сезонность посещаемости</t>
        </is>
      </c>
      <c r="E19" s="118">
        <f>W19</f>
        <v/>
      </c>
      <c r="F19" s="118">
        <f>AI19</f>
        <v/>
      </c>
      <c r="G19" s="118">
        <f>AU19</f>
        <v/>
      </c>
      <c r="H19" s="118">
        <f>BG19</f>
        <v/>
      </c>
      <c r="I19" s="118">
        <f>BS19</f>
        <v/>
      </c>
      <c r="J19" s="10">
        <f>BS19</f>
        <v/>
      </c>
      <c r="L19" s="9">
        <f>L18*L9</f>
        <v/>
      </c>
      <c r="M19" s="9">
        <f>M18*M9</f>
        <v/>
      </c>
      <c r="N19" s="9">
        <f>N18*N9</f>
        <v/>
      </c>
      <c r="O19" s="9">
        <f>O18*O9</f>
        <v/>
      </c>
      <c r="P19" s="9">
        <f>P18*P9</f>
        <v/>
      </c>
      <c r="Q19" s="9">
        <f>Q18*Q9</f>
        <v/>
      </c>
      <c r="R19" s="9">
        <f>R18*R9</f>
        <v/>
      </c>
      <c r="S19" s="9">
        <f>S18*S9</f>
        <v/>
      </c>
      <c r="T19" s="9">
        <f>T18*T9</f>
        <v/>
      </c>
      <c r="U19" s="9">
        <f>U18*U9</f>
        <v/>
      </c>
      <c r="V19" s="9">
        <f>V18*V9</f>
        <v/>
      </c>
      <c r="W19" s="9">
        <f>W18*W9</f>
        <v/>
      </c>
      <c r="X19" s="9">
        <f>X18*X9</f>
        <v/>
      </c>
      <c r="Y19" s="9">
        <f>Y18*Y9</f>
        <v/>
      </c>
      <c r="Z19" s="9">
        <f>Z18*Z9</f>
        <v/>
      </c>
      <c r="AA19" s="9">
        <f>AA18*AA9</f>
        <v/>
      </c>
      <c r="AB19" s="9">
        <f>AB18*AB9</f>
        <v/>
      </c>
      <c r="AC19" s="9">
        <f>AC18*AC9</f>
        <v/>
      </c>
      <c r="AD19" s="9">
        <f>AD18*AD9</f>
        <v/>
      </c>
      <c r="AE19" s="9">
        <f>AE18*AE9</f>
        <v/>
      </c>
      <c r="AF19" s="9">
        <f>AF18*AF9</f>
        <v/>
      </c>
      <c r="AG19" s="9">
        <f>AG18*AG9</f>
        <v/>
      </c>
      <c r="AH19" s="9">
        <f>AH18*AH9</f>
        <v/>
      </c>
      <c r="AI19" s="9">
        <f>AI18*AI9</f>
        <v/>
      </c>
      <c r="AJ19" s="9">
        <f>AJ18*AJ9</f>
        <v/>
      </c>
      <c r="AK19" s="9">
        <f>AK18*AK9</f>
        <v/>
      </c>
      <c r="AL19" s="9">
        <f>AL18*AL9</f>
        <v/>
      </c>
      <c r="AM19" s="9">
        <f>AM18*AM9</f>
        <v/>
      </c>
      <c r="AN19" s="9">
        <f>AN18*AN9</f>
        <v/>
      </c>
      <c r="AO19" s="9">
        <f>AO18*AO9</f>
        <v/>
      </c>
      <c r="AP19" s="9">
        <f>AP18*AP9</f>
        <v/>
      </c>
      <c r="AQ19" s="9">
        <f>AQ18*AQ9</f>
        <v/>
      </c>
      <c r="AR19" s="9">
        <f>AR18*AR9</f>
        <v/>
      </c>
      <c r="AS19" s="9">
        <f>AS18*AS9</f>
        <v/>
      </c>
      <c r="AT19" s="9">
        <f>AT18*AT9</f>
        <v/>
      </c>
      <c r="AU19" s="9">
        <f>AU18*AU9</f>
        <v/>
      </c>
      <c r="AV19" s="9">
        <f>AV18*AV9</f>
        <v/>
      </c>
      <c r="AW19" s="9">
        <f>AW18*AW9</f>
        <v/>
      </c>
      <c r="AX19" s="9">
        <f>AX18*AX9</f>
        <v/>
      </c>
      <c r="AY19" s="9">
        <f>AY18*AY9</f>
        <v/>
      </c>
      <c r="AZ19" s="9">
        <f>AZ18*AZ9</f>
        <v/>
      </c>
      <c r="BA19" s="9">
        <f>BA18*BA9</f>
        <v/>
      </c>
      <c r="BB19" s="9">
        <f>BB18*BB9</f>
        <v/>
      </c>
      <c r="BC19" s="9">
        <f>BC18*BC9</f>
        <v/>
      </c>
      <c r="BD19" s="9">
        <f>BD18*BD9</f>
        <v/>
      </c>
      <c r="BE19" s="9">
        <f>BE18*BE9</f>
        <v/>
      </c>
      <c r="BF19" s="9">
        <f>BF18*BF9</f>
        <v/>
      </c>
      <c r="BG19" s="9">
        <f>BG18*BG9</f>
        <v/>
      </c>
      <c r="BH19" s="9">
        <f>BH18*BH9</f>
        <v/>
      </c>
      <c r="BI19" s="9">
        <f>BI18*BI9</f>
        <v/>
      </c>
      <c r="BJ19" s="9">
        <f>BJ18*BJ9</f>
        <v/>
      </c>
      <c r="BK19" s="9">
        <f>BK18*BK9</f>
        <v/>
      </c>
      <c r="BL19" s="9">
        <f>BL18*BL9</f>
        <v/>
      </c>
      <c r="BM19" s="9">
        <f>BM18*BM9</f>
        <v/>
      </c>
      <c r="BN19" s="9">
        <f>BN18*BN9</f>
        <v/>
      </c>
      <c r="BO19" s="9">
        <f>BO18*BO9</f>
        <v/>
      </c>
      <c r="BP19" s="9">
        <f>BP18*BP9</f>
        <v/>
      </c>
      <c r="BQ19" s="9">
        <f>BQ18*BQ9</f>
        <v/>
      </c>
      <c r="BR19" s="9">
        <f>BR18*BR9</f>
        <v/>
      </c>
      <c r="BS19" s="9">
        <f>BS18*BS9</f>
        <v/>
      </c>
      <c r="BT19" s="9">
        <f>BT18*BT9</f>
        <v/>
      </c>
      <c r="BU19" s="9">
        <f>BU18*BU9</f>
        <v/>
      </c>
      <c r="BV19" s="9">
        <f>BV18*BV9</f>
        <v/>
      </c>
      <c r="BW19" s="9">
        <f>BW18*BW9</f>
        <v/>
      </c>
      <c r="BX19" s="9">
        <f>BX18*BX9</f>
        <v/>
      </c>
      <c r="BY19" s="9">
        <f>BY18*BY9</f>
        <v/>
      </c>
    </row>
    <row r="21">
      <c r="B21" s="115" t="inlineStr">
        <is>
          <t>Новые школы по месяцам жизни</t>
        </is>
      </c>
      <c r="C21" s="116" t="n"/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  <c r="AO21" s="116" t="n"/>
      <c r="AP21" s="116" t="n"/>
      <c r="AQ21" s="116" t="n"/>
      <c r="AR21" s="116" t="n"/>
      <c r="AS21" s="116" t="n"/>
      <c r="AT21" s="116" t="n"/>
      <c r="AU21" s="116" t="n"/>
      <c r="AV21" s="116" t="n"/>
      <c r="AW21" s="116" t="n"/>
      <c r="AX21" s="116" t="n"/>
      <c r="AY21" s="116" t="n"/>
      <c r="AZ21" s="116" t="n"/>
      <c r="BA21" s="116" t="n"/>
      <c r="BB21" s="116" t="n"/>
      <c r="BC21" s="116" t="n"/>
      <c r="BD21" s="116" t="n"/>
      <c r="BE21" s="116" t="n"/>
      <c r="BF21" s="116" t="n"/>
      <c r="BG21" s="116" t="n"/>
      <c r="BH21" s="116" t="n"/>
      <c r="BI21" s="116" t="n"/>
      <c r="BJ21" s="116" t="n"/>
      <c r="BK21" s="116" t="n"/>
      <c r="BL21" s="116" t="n"/>
      <c r="BM21" s="116" t="n"/>
      <c r="BN21" s="116" t="n"/>
      <c r="BO21" s="116" t="n"/>
      <c r="BP21" s="116" t="n"/>
      <c r="BQ21" s="116" t="n"/>
      <c r="BR21" s="116" t="n"/>
      <c r="BS21" s="116" t="n"/>
      <c r="BT21" s="116" t="n"/>
      <c r="BU21" s="116" t="n"/>
      <c r="BV21" s="116" t="n"/>
      <c r="BW21" s="116" t="n"/>
      <c r="BX21" s="116" t="n"/>
      <c r="BY21" s="116" t="n"/>
    </row>
    <row r="22">
      <c r="B22" t="inlineStr">
        <is>
          <t>1 мес.</t>
        </is>
      </c>
      <c r="C22" t="inlineStr">
        <is>
          <t>шт.</t>
        </is>
      </c>
      <c r="D22" s="117" t="inlineStr">
        <is>
          <t>Школы, открывшиеся в этом месяце</t>
        </is>
      </c>
      <c r="E22" s="118">
        <f>W22</f>
        <v/>
      </c>
      <c r="F22" s="118">
        <f>AI22</f>
        <v/>
      </c>
      <c r="G22" s="118">
        <f>AU22</f>
        <v/>
      </c>
      <c r="H22" s="118">
        <f>BG22</f>
        <v/>
      </c>
      <c r="I22" s="118">
        <f>BS22</f>
        <v/>
      </c>
      <c r="J22" s="10">
        <f>BS22</f>
        <v/>
      </c>
      <c r="L22" s="9">
        <f>L13</f>
        <v/>
      </c>
      <c r="M22" s="9">
        <f>M13</f>
        <v/>
      </c>
      <c r="N22" s="9">
        <f>N13</f>
        <v/>
      </c>
      <c r="O22" s="9">
        <f>O13</f>
        <v/>
      </c>
      <c r="P22" s="9">
        <f>P13</f>
        <v/>
      </c>
      <c r="Q22" s="9">
        <f>Q13</f>
        <v/>
      </c>
      <c r="R22" s="9">
        <f>R13</f>
        <v/>
      </c>
      <c r="S22" s="9">
        <f>S13</f>
        <v/>
      </c>
      <c r="T22" s="9">
        <f>T13</f>
        <v/>
      </c>
      <c r="U22" s="9">
        <f>U13</f>
        <v/>
      </c>
      <c r="V22" s="9">
        <f>V13</f>
        <v/>
      </c>
      <c r="W22" s="9">
        <f>W13</f>
        <v/>
      </c>
      <c r="X22" s="9">
        <f>X13</f>
        <v/>
      </c>
      <c r="Y22" s="9">
        <f>Y13</f>
        <v/>
      </c>
      <c r="Z22" s="9">
        <f>Z13</f>
        <v/>
      </c>
      <c r="AA22" s="9">
        <f>AA13</f>
        <v/>
      </c>
      <c r="AB22" s="9">
        <f>AB13</f>
        <v/>
      </c>
      <c r="AC22" s="9">
        <f>AC13</f>
        <v/>
      </c>
      <c r="AD22" s="9">
        <f>AD13</f>
        <v/>
      </c>
      <c r="AE22" s="9">
        <f>AE13</f>
        <v/>
      </c>
      <c r="AF22" s="9">
        <f>AF13</f>
        <v/>
      </c>
      <c r="AG22" s="9">
        <f>AG13</f>
        <v/>
      </c>
      <c r="AH22" s="9">
        <f>AH13</f>
        <v/>
      </c>
      <c r="AI22" s="9">
        <f>AI13</f>
        <v/>
      </c>
      <c r="AJ22" s="9">
        <f>AJ13</f>
        <v/>
      </c>
      <c r="AK22" s="9">
        <f>AK13</f>
        <v/>
      </c>
      <c r="AL22" s="9">
        <f>AL13</f>
        <v/>
      </c>
      <c r="AM22" s="9">
        <f>AM13</f>
        <v/>
      </c>
      <c r="AN22" s="9">
        <f>AN13</f>
        <v/>
      </c>
      <c r="AO22" s="9">
        <f>AO13</f>
        <v/>
      </c>
      <c r="AP22" s="9">
        <f>AP13</f>
        <v/>
      </c>
      <c r="AQ22" s="9">
        <f>AQ13</f>
        <v/>
      </c>
      <c r="AR22" s="9">
        <f>AR13</f>
        <v/>
      </c>
      <c r="AS22" s="9">
        <f>AS13</f>
        <v/>
      </c>
      <c r="AT22" s="9">
        <f>AT13</f>
        <v/>
      </c>
      <c r="AU22" s="9">
        <f>AU13</f>
        <v/>
      </c>
      <c r="AV22" s="9">
        <f>AV13</f>
        <v/>
      </c>
      <c r="AW22" s="9">
        <f>AW13</f>
        <v/>
      </c>
      <c r="AX22" s="9">
        <f>AX13</f>
        <v/>
      </c>
      <c r="AY22" s="9">
        <f>AY13</f>
        <v/>
      </c>
      <c r="AZ22" s="9">
        <f>AZ13</f>
        <v/>
      </c>
      <c r="BA22" s="9">
        <f>BA13</f>
        <v/>
      </c>
      <c r="BB22" s="9">
        <f>BB13</f>
        <v/>
      </c>
      <c r="BC22" s="9">
        <f>BC13</f>
        <v/>
      </c>
      <c r="BD22" s="9">
        <f>BD13</f>
        <v/>
      </c>
      <c r="BE22" s="9">
        <f>BE13</f>
        <v/>
      </c>
      <c r="BF22" s="9">
        <f>BF13</f>
        <v/>
      </c>
      <c r="BG22" s="9">
        <f>BG13</f>
        <v/>
      </c>
      <c r="BH22" s="9">
        <f>BH13</f>
        <v/>
      </c>
      <c r="BI22" s="9">
        <f>BI13</f>
        <v/>
      </c>
      <c r="BJ22" s="9">
        <f>BJ13</f>
        <v/>
      </c>
      <c r="BK22" s="9">
        <f>BK13</f>
        <v/>
      </c>
      <c r="BL22" s="9">
        <f>BL13</f>
        <v/>
      </c>
      <c r="BM22" s="9">
        <f>BM13</f>
        <v/>
      </c>
      <c r="BN22" s="9">
        <f>BN13</f>
        <v/>
      </c>
      <c r="BO22" s="9">
        <f>BO13</f>
        <v/>
      </c>
      <c r="BP22" s="9">
        <f>BP13</f>
        <v/>
      </c>
      <c r="BQ22" s="9">
        <f>BQ13</f>
        <v/>
      </c>
      <c r="BR22" s="9">
        <f>BR13</f>
        <v/>
      </c>
      <c r="BS22" s="9">
        <f>BS13</f>
        <v/>
      </c>
      <c r="BT22" s="9">
        <f>BT13</f>
        <v/>
      </c>
      <c r="BU22" s="9">
        <f>BU13</f>
        <v/>
      </c>
      <c r="BV22" s="9">
        <f>BV13</f>
        <v/>
      </c>
      <c r="BW22" s="9">
        <f>BW13</f>
        <v/>
      </c>
      <c r="BX22" s="9">
        <f>BX13</f>
        <v/>
      </c>
      <c r="BY22" s="9">
        <f>BY13</f>
        <v/>
      </c>
    </row>
    <row r="23">
      <c r="B23" t="inlineStr">
        <is>
          <t>2 мес.</t>
        </is>
      </c>
      <c r="C23" t="inlineStr">
        <is>
          <t>шт.</t>
        </is>
      </c>
      <c r="D23" s="117" t="inlineStr"/>
      <c r="E23" s="118">
        <f>W23</f>
        <v/>
      </c>
      <c r="F23" s="118">
        <f>AI23</f>
        <v/>
      </c>
      <c r="G23" s="118">
        <f>AU23</f>
        <v/>
      </c>
      <c r="H23" s="118">
        <f>BG23</f>
        <v/>
      </c>
      <c r="I23" s="118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3 мес.</t>
        </is>
      </c>
      <c r="C24" t="inlineStr">
        <is>
          <t>шт.</t>
        </is>
      </c>
      <c r="D24" s="117" t="inlineStr"/>
      <c r="E24" s="118">
        <f>W24</f>
        <v/>
      </c>
      <c r="F24" s="118">
        <f>AI24</f>
        <v/>
      </c>
      <c r="G24" s="118">
        <f>AU24</f>
        <v/>
      </c>
      <c r="H24" s="118">
        <f>BG24</f>
        <v/>
      </c>
      <c r="I24" s="118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4 мес.</t>
        </is>
      </c>
      <c r="C25" t="inlineStr">
        <is>
          <t>шт.</t>
        </is>
      </c>
      <c r="D25" s="117" t="inlineStr"/>
      <c r="E25" s="118">
        <f>W25</f>
        <v/>
      </c>
      <c r="F25" s="118">
        <f>AI25</f>
        <v/>
      </c>
      <c r="G25" s="118">
        <f>AU25</f>
        <v/>
      </c>
      <c r="H25" s="118">
        <f>BG25</f>
        <v/>
      </c>
      <c r="I25" s="118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5 мес.</t>
        </is>
      </c>
      <c r="C26" t="inlineStr">
        <is>
          <t>шт.</t>
        </is>
      </c>
      <c r="D26" s="117" t="inlineStr"/>
      <c r="E26" s="118">
        <f>W26</f>
        <v/>
      </c>
      <c r="F26" s="118">
        <f>AI26</f>
        <v/>
      </c>
      <c r="G26" s="118">
        <f>AU26</f>
        <v/>
      </c>
      <c r="H26" s="118">
        <f>BG26</f>
        <v/>
      </c>
      <c r="I26" s="118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6 мес.</t>
        </is>
      </c>
      <c r="C27" t="inlineStr">
        <is>
          <t>шт.</t>
        </is>
      </c>
      <c r="D27" s="117" t="inlineStr"/>
      <c r="E27" s="118">
        <f>W27</f>
        <v/>
      </c>
      <c r="F27" s="118">
        <f>AI27</f>
        <v/>
      </c>
      <c r="G27" s="118">
        <f>AU27</f>
        <v/>
      </c>
      <c r="H27" s="118">
        <f>BG27</f>
        <v/>
      </c>
      <c r="I27" s="118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7 мес.</t>
        </is>
      </c>
      <c r="C28" t="inlineStr">
        <is>
          <t>шт.</t>
        </is>
      </c>
      <c r="D28" s="117" t="inlineStr"/>
      <c r="E28" s="118">
        <f>W28</f>
        <v/>
      </c>
      <c r="F28" s="118">
        <f>AI28</f>
        <v/>
      </c>
      <c r="G28" s="118">
        <f>AU28</f>
        <v/>
      </c>
      <c r="H28" s="118">
        <f>BG28</f>
        <v/>
      </c>
      <c r="I28" s="118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8 мес.</t>
        </is>
      </c>
      <c r="C29" t="inlineStr">
        <is>
          <t>шт.</t>
        </is>
      </c>
      <c r="D29" s="117" t="inlineStr"/>
      <c r="E29" s="118">
        <f>W29</f>
        <v/>
      </c>
      <c r="F29" s="118">
        <f>AI29</f>
        <v/>
      </c>
      <c r="G29" s="118">
        <f>AU29</f>
        <v/>
      </c>
      <c r="H29" s="118">
        <f>BG29</f>
        <v/>
      </c>
      <c r="I29" s="118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9 мес.</t>
        </is>
      </c>
      <c r="C30" t="inlineStr">
        <is>
          <t>шт.</t>
        </is>
      </c>
      <c r="D30" s="117" t="inlineStr"/>
      <c r="E30" s="118">
        <f>W30</f>
        <v/>
      </c>
      <c r="F30" s="118">
        <f>AI30</f>
        <v/>
      </c>
      <c r="G30" s="118">
        <f>AU30</f>
        <v/>
      </c>
      <c r="H30" s="118">
        <f>BG30</f>
        <v/>
      </c>
      <c r="I30" s="118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10 мес.</t>
        </is>
      </c>
      <c r="C31" t="inlineStr">
        <is>
          <t>шт.</t>
        </is>
      </c>
      <c r="D31" s="117" t="inlineStr"/>
      <c r="E31" s="118">
        <f>W31</f>
        <v/>
      </c>
      <c r="F31" s="118">
        <f>AI31</f>
        <v/>
      </c>
      <c r="G31" s="118">
        <f>AU31</f>
        <v/>
      </c>
      <c r="H31" s="118">
        <f>BG31</f>
        <v/>
      </c>
      <c r="I31" s="118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11 мес.</t>
        </is>
      </c>
      <c r="C32" t="inlineStr">
        <is>
          <t>шт.</t>
        </is>
      </c>
      <c r="D32" s="117" t="inlineStr"/>
      <c r="E32" s="118">
        <f>W32</f>
        <v/>
      </c>
      <c r="F32" s="118">
        <f>AI32</f>
        <v/>
      </c>
      <c r="G32" s="118">
        <f>AU32</f>
        <v/>
      </c>
      <c r="H32" s="118">
        <f>BG32</f>
        <v/>
      </c>
      <c r="I32" s="118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12 мес.</t>
        </is>
      </c>
      <c r="C33" t="inlineStr">
        <is>
          <t>шт.</t>
        </is>
      </c>
      <c r="D33" s="117" t="inlineStr"/>
      <c r="E33" s="118">
        <f>W33</f>
        <v/>
      </c>
      <c r="F33" s="118">
        <f>AI33</f>
        <v/>
      </c>
      <c r="G33" s="118">
        <f>AU33</f>
        <v/>
      </c>
      <c r="H33" s="118">
        <f>BG33</f>
        <v/>
      </c>
      <c r="I33" s="118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13 мес.</t>
        </is>
      </c>
      <c r="C34" t="inlineStr">
        <is>
          <t>шт.</t>
        </is>
      </c>
      <c r="D34" s="117" t="inlineStr"/>
      <c r="E34" s="118">
        <f>W34</f>
        <v/>
      </c>
      <c r="F34" s="118">
        <f>AI34</f>
        <v/>
      </c>
      <c r="G34" s="118">
        <f>AU34</f>
        <v/>
      </c>
      <c r="H34" s="118">
        <f>BG34</f>
        <v/>
      </c>
      <c r="I34" s="118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14 мес.</t>
        </is>
      </c>
      <c r="C35" t="inlineStr">
        <is>
          <t>шт.</t>
        </is>
      </c>
      <c r="D35" s="117" t="inlineStr"/>
      <c r="E35" s="118">
        <f>W35</f>
        <v/>
      </c>
      <c r="F35" s="118">
        <f>AI35</f>
        <v/>
      </c>
      <c r="G35" s="118">
        <f>AU35</f>
        <v/>
      </c>
      <c r="H35" s="118">
        <f>BG35</f>
        <v/>
      </c>
      <c r="I35" s="118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15 мес.</t>
        </is>
      </c>
      <c r="C36" t="inlineStr">
        <is>
          <t>шт.</t>
        </is>
      </c>
      <c r="D36" s="117" t="inlineStr"/>
      <c r="E36" s="118">
        <f>W36</f>
        <v/>
      </c>
      <c r="F36" s="118">
        <f>AI36</f>
        <v/>
      </c>
      <c r="G36" s="118">
        <f>AU36</f>
        <v/>
      </c>
      <c r="H36" s="118">
        <f>BG36</f>
        <v/>
      </c>
      <c r="I36" s="118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16 мес.</t>
        </is>
      </c>
      <c r="C37" t="inlineStr">
        <is>
          <t>шт.</t>
        </is>
      </c>
      <c r="D37" s="117" t="inlineStr"/>
      <c r="E37" s="118">
        <f>W37</f>
        <v/>
      </c>
      <c r="F37" s="118">
        <f>AI37</f>
        <v/>
      </c>
      <c r="G37" s="118">
        <f>AU37</f>
        <v/>
      </c>
      <c r="H37" s="118">
        <f>BG37</f>
        <v/>
      </c>
      <c r="I37" s="118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17 мес.</t>
        </is>
      </c>
      <c r="C38" t="inlineStr">
        <is>
          <t>шт.</t>
        </is>
      </c>
      <c r="D38" s="117" t="inlineStr"/>
      <c r="E38" s="118">
        <f>W38</f>
        <v/>
      </c>
      <c r="F38" s="118">
        <f>AI38</f>
        <v/>
      </c>
      <c r="G38" s="118">
        <f>AU38</f>
        <v/>
      </c>
      <c r="H38" s="118">
        <f>BG38</f>
        <v/>
      </c>
      <c r="I38" s="118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18 мес.</t>
        </is>
      </c>
      <c r="C39" t="inlineStr">
        <is>
          <t>шт.</t>
        </is>
      </c>
      <c r="D39" s="117" t="inlineStr"/>
      <c r="E39" s="118">
        <f>W39</f>
        <v/>
      </c>
      <c r="F39" s="118">
        <f>AI39</f>
        <v/>
      </c>
      <c r="G39" s="118">
        <f>AU39</f>
        <v/>
      </c>
      <c r="H39" s="118">
        <f>BG39</f>
        <v/>
      </c>
      <c r="I39" s="118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19 мес.</t>
        </is>
      </c>
      <c r="C40" t="inlineStr">
        <is>
          <t>шт.</t>
        </is>
      </c>
      <c r="D40" s="117" t="inlineStr"/>
      <c r="E40" s="118">
        <f>W40</f>
        <v/>
      </c>
      <c r="F40" s="118">
        <f>AI40</f>
        <v/>
      </c>
      <c r="G40" s="118">
        <f>AU40</f>
        <v/>
      </c>
      <c r="H40" s="118">
        <f>BG40</f>
        <v/>
      </c>
      <c r="I40" s="118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20 мес.</t>
        </is>
      </c>
      <c r="C41" t="inlineStr">
        <is>
          <t>шт.</t>
        </is>
      </c>
      <c r="D41" s="117" t="inlineStr"/>
      <c r="E41" s="118">
        <f>W41</f>
        <v/>
      </c>
      <c r="F41" s="118">
        <f>AI41</f>
        <v/>
      </c>
      <c r="G41" s="118">
        <f>AU41</f>
        <v/>
      </c>
      <c r="H41" s="118">
        <f>BG41</f>
        <v/>
      </c>
      <c r="I41" s="118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21 мес.</t>
        </is>
      </c>
      <c r="C42" t="inlineStr">
        <is>
          <t>шт.</t>
        </is>
      </c>
      <c r="D42" s="117" t="inlineStr"/>
      <c r="E42" s="118">
        <f>W42</f>
        <v/>
      </c>
      <c r="F42" s="118">
        <f>AI42</f>
        <v/>
      </c>
      <c r="G42" s="118">
        <f>AU42</f>
        <v/>
      </c>
      <c r="H42" s="118">
        <f>BG42</f>
        <v/>
      </c>
      <c r="I42" s="118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22 мес.</t>
        </is>
      </c>
      <c r="C43" t="inlineStr">
        <is>
          <t>шт.</t>
        </is>
      </c>
      <c r="D43" s="117" t="inlineStr"/>
      <c r="E43" s="118">
        <f>W43</f>
        <v/>
      </c>
      <c r="F43" s="118">
        <f>AI43</f>
        <v/>
      </c>
      <c r="G43" s="118">
        <f>AU43</f>
        <v/>
      </c>
      <c r="H43" s="118">
        <f>BG43</f>
        <v/>
      </c>
      <c r="I43" s="118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23 мес.</t>
        </is>
      </c>
      <c r="C44" t="inlineStr">
        <is>
          <t>шт.</t>
        </is>
      </c>
      <c r="D44" s="117" t="inlineStr"/>
      <c r="E44" s="118">
        <f>W44</f>
        <v/>
      </c>
      <c r="F44" s="118">
        <f>AI44</f>
        <v/>
      </c>
      <c r="G44" s="118">
        <f>AU44</f>
        <v/>
      </c>
      <c r="H44" s="118">
        <f>BG44</f>
        <v/>
      </c>
      <c r="I44" s="118">
        <f>BS44</f>
        <v/>
      </c>
      <c r="J44" s="10">
        <f>BS44</f>
        <v/>
      </c>
      <c r="L44" s="9">
        <f>0</f>
        <v/>
      </c>
      <c r="M44" s="9">
        <f>L43*КоэффСохранения</f>
        <v/>
      </c>
      <c r="N44" s="9">
        <f>M43*КоэффСохранения</f>
        <v/>
      </c>
      <c r="O44" s="9">
        <f>N43*КоэффСохранения</f>
        <v/>
      </c>
      <c r="P44" s="9">
        <f>O43*КоэффСохранения</f>
        <v/>
      </c>
      <c r="Q44" s="9">
        <f>P43*КоэффСохранения</f>
        <v/>
      </c>
      <c r="R44" s="9">
        <f>Q43*КоэффСохранения</f>
        <v/>
      </c>
      <c r="S44" s="9">
        <f>R43*КоэффСохранения</f>
        <v/>
      </c>
      <c r="T44" s="9">
        <f>S43*КоэффСохранения</f>
        <v/>
      </c>
      <c r="U44" s="9">
        <f>T43*КоэффСохранения</f>
        <v/>
      </c>
      <c r="V44" s="9">
        <f>U43*КоэффСохранения</f>
        <v/>
      </c>
      <c r="W44" s="9">
        <f>V43*КоэффСохранения</f>
        <v/>
      </c>
      <c r="X44" s="9">
        <f>W43*КоэффСохранения</f>
        <v/>
      </c>
      <c r="Y44" s="9">
        <f>X43*КоэффСохранения</f>
        <v/>
      </c>
      <c r="Z44" s="9">
        <f>Y43*КоэффСохранения</f>
        <v/>
      </c>
      <c r="AA44" s="9">
        <f>Z43*КоэффСохранения</f>
        <v/>
      </c>
      <c r="AB44" s="9">
        <f>AA43*КоэффСохранения</f>
        <v/>
      </c>
      <c r="AC44" s="9">
        <f>AB43*КоэффСохранения</f>
        <v/>
      </c>
      <c r="AD44" s="9">
        <f>AC43*КоэффСохранения</f>
        <v/>
      </c>
      <c r="AE44" s="9">
        <f>AD43*КоэффСохранения</f>
        <v/>
      </c>
      <c r="AF44" s="9">
        <f>AE43*КоэффСохранения</f>
        <v/>
      </c>
      <c r="AG44" s="9">
        <f>AF43*КоэффСохранения</f>
        <v/>
      </c>
      <c r="AH44" s="9">
        <f>AG43*КоэффСохранения</f>
        <v/>
      </c>
      <c r="AI44" s="9">
        <f>AH43*КоэффСохранения</f>
        <v/>
      </c>
      <c r="AJ44" s="9">
        <f>AI43*КоэффСохранения</f>
        <v/>
      </c>
      <c r="AK44" s="9">
        <f>AJ43*КоэффСохранения</f>
        <v/>
      </c>
      <c r="AL44" s="9">
        <f>AK43*КоэффСохранения</f>
        <v/>
      </c>
      <c r="AM44" s="9">
        <f>AL43*КоэффСохранения</f>
        <v/>
      </c>
      <c r="AN44" s="9">
        <f>AM43*КоэффСохранения</f>
        <v/>
      </c>
      <c r="AO44" s="9">
        <f>AN43*КоэффСохранения</f>
        <v/>
      </c>
      <c r="AP44" s="9">
        <f>AO43*КоэффСохранения</f>
        <v/>
      </c>
      <c r="AQ44" s="9">
        <f>AP43*КоэффСохранения</f>
        <v/>
      </c>
      <c r="AR44" s="9">
        <f>AQ43*КоэффСохранения</f>
        <v/>
      </c>
      <c r="AS44" s="9">
        <f>AR43*КоэффСохранения</f>
        <v/>
      </c>
      <c r="AT44" s="9">
        <f>AS43*КоэффСохранения</f>
        <v/>
      </c>
      <c r="AU44" s="9">
        <f>AT43*КоэффСохранения</f>
        <v/>
      </c>
      <c r="AV44" s="9">
        <f>AU43*КоэффСохранения</f>
        <v/>
      </c>
      <c r="AW44" s="9">
        <f>AV43*КоэффСохранения</f>
        <v/>
      </c>
      <c r="AX44" s="9">
        <f>AW43*КоэффСохранения</f>
        <v/>
      </c>
      <c r="AY44" s="9">
        <f>AX43*КоэффСохранения</f>
        <v/>
      </c>
      <c r="AZ44" s="9">
        <f>AY43*КоэффСохранения</f>
        <v/>
      </c>
      <c r="BA44" s="9">
        <f>AZ43*КоэффСохранения</f>
        <v/>
      </c>
      <c r="BB44" s="9">
        <f>BA43*КоэффСохранения</f>
        <v/>
      </c>
      <c r="BC44" s="9">
        <f>BB43*КоэффСохранения</f>
        <v/>
      </c>
      <c r="BD44" s="9">
        <f>BC43*КоэффСохранения</f>
        <v/>
      </c>
      <c r="BE44" s="9">
        <f>BD43*КоэффСохранения</f>
        <v/>
      </c>
      <c r="BF44" s="9">
        <f>BE43*КоэффСохранения</f>
        <v/>
      </c>
      <c r="BG44" s="9">
        <f>BF43*КоэффСохранения</f>
        <v/>
      </c>
      <c r="BH44" s="9">
        <f>BG43*КоэффСохранения</f>
        <v/>
      </c>
      <c r="BI44" s="9">
        <f>BH43*КоэффСохранения</f>
        <v/>
      </c>
      <c r="BJ44" s="9">
        <f>BI43*КоэффСохранения</f>
        <v/>
      </c>
      <c r="BK44" s="9">
        <f>BJ43*КоэффСохранения</f>
        <v/>
      </c>
      <c r="BL44" s="9">
        <f>BK43*КоэффСохранения</f>
        <v/>
      </c>
      <c r="BM44" s="9">
        <f>BL43*КоэффСохранения</f>
        <v/>
      </c>
      <c r="BN44" s="9">
        <f>BM43*КоэффСохранения</f>
        <v/>
      </c>
      <c r="BO44" s="9">
        <f>BN43*КоэффСохранения</f>
        <v/>
      </c>
      <c r="BP44" s="9">
        <f>BO43*КоэффСохранения</f>
        <v/>
      </c>
      <c r="BQ44" s="9">
        <f>BP43*КоэффСохранения</f>
        <v/>
      </c>
      <c r="BR44" s="9">
        <f>BQ43*КоэффСохранения</f>
        <v/>
      </c>
      <c r="BS44" s="9">
        <f>BR43*КоэффСохранения</f>
        <v/>
      </c>
      <c r="BT44" s="9">
        <f>BS43*КоэффСохранения</f>
        <v/>
      </c>
      <c r="BU44" s="9">
        <f>BT43*КоэффСохранения</f>
        <v/>
      </c>
      <c r="BV44" s="9">
        <f>BU43*КоэффСохранения</f>
        <v/>
      </c>
      <c r="BW44" s="9">
        <f>BV43*КоэффСохранения</f>
        <v/>
      </c>
      <c r="BX44" s="9">
        <f>BW43*КоэффСохранения</f>
        <v/>
      </c>
      <c r="BY44" s="9">
        <f>BX43*КоэффСохранения</f>
        <v/>
      </c>
    </row>
    <row r="45">
      <c r="B45" t="inlineStr">
        <is>
          <t>24 мес.</t>
        </is>
      </c>
      <c r="C45" t="inlineStr">
        <is>
          <t>шт.</t>
        </is>
      </c>
      <c r="D45" s="117" t="inlineStr"/>
      <c r="E45" s="118">
        <f>W45</f>
        <v/>
      </c>
      <c r="F45" s="118">
        <f>AI45</f>
        <v/>
      </c>
      <c r="G45" s="118">
        <f>AU45</f>
        <v/>
      </c>
      <c r="H45" s="118">
        <f>BG45</f>
        <v/>
      </c>
      <c r="I45" s="118">
        <f>BS45</f>
        <v/>
      </c>
      <c r="J45" s="10">
        <f>BS45</f>
        <v/>
      </c>
      <c r="L45" s="9">
        <f>0</f>
        <v/>
      </c>
      <c r="M45" s="9">
        <f>L44*КоэффСохранения</f>
        <v/>
      </c>
      <c r="N45" s="9">
        <f>M44*КоэффСохранения</f>
        <v/>
      </c>
      <c r="O45" s="9">
        <f>N44*КоэффСохранения</f>
        <v/>
      </c>
      <c r="P45" s="9">
        <f>O44*КоэффСохранения</f>
        <v/>
      </c>
      <c r="Q45" s="9">
        <f>P44*КоэффСохранения</f>
        <v/>
      </c>
      <c r="R45" s="9">
        <f>Q44*КоэффСохранения</f>
        <v/>
      </c>
      <c r="S45" s="9">
        <f>R44*КоэффСохранения</f>
        <v/>
      </c>
      <c r="T45" s="9">
        <f>S44*КоэффСохранения</f>
        <v/>
      </c>
      <c r="U45" s="9">
        <f>T44*КоэффСохранения</f>
        <v/>
      </c>
      <c r="V45" s="9">
        <f>U44*КоэффСохранения</f>
        <v/>
      </c>
      <c r="W45" s="9">
        <f>V44*КоэффСохранения</f>
        <v/>
      </c>
      <c r="X45" s="9">
        <f>W44*КоэффСохранения</f>
        <v/>
      </c>
      <c r="Y45" s="9">
        <f>X44*КоэффСохранения</f>
        <v/>
      </c>
      <c r="Z45" s="9">
        <f>Y44*КоэффСохранения</f>
        <v/>
      </c>
      <c r="AA45" s="9">
        <f>Z44*КоэффСохранения</f>
        <v/>
      </c>
      <c r="AB45" s="9">
        <f>AA44*КоэффСохранения</f>
        <v/>
      </c>
      <c r="AC45" s="9">
        <f>AB44*КоэффСохранения</f>
        <v/>
      </c>
      <c r="AD45" s="9">
        <f>AC44*КоэффСохранения</f>
        <v/>
      </c>
      <c r="AE45" s="9">
        <f>AD44*КоэффСохранения</f>
        <v/>
      </c>
      <c r="AF45" s="9">
        <f>AE44*КоэффСохранения</f>
        <v/>
      </c>
      <c r="AG45" s="9">
        <f>AF44*КоэффСохранения</f>
        <v/>
      </c>
      <c r="AH45" s="9">
        <f>AG44*КоэффСохранения</f>
        <v/>
      </c>
      <c r="AI45" s="9">
        <f>AH44*КоэффСохранения</f>
        <v/>
      </c>
      <c r="AJ45" s="9">
        <f>AI44*КоэффСохранения</f>
        <v/>
      </c>
      <c r="AK45" s="9">
        <f>AJ44*КоэффСохранения</f>
        <v/>
      </c>
      <c r="AL45" s="9">
        <f>AK44*КоэффСохранения</f>
        <v/>
      </c>
      <c r="AM45" s="9">
        <f>AL44*КоэффСохранения</f>
        <v/>
      </c>
      <c r="AN45" s="9">
        <f>AM44*КоэффСохранения</f>
        <v/>
      </c>
      <c r="AO45" s="9">
        <f>AN44*КоэффСохранения</f>
        <v/>
      </c>
      <c r="AP45" s="9">
        <f>AO44*КоэффСохранения</f>
        <v/>
      </c>
      <c r="AQ45" s="9">
        <f>AP44*КоэффСохранения</f>
        <v/>
      </c>
      <c r="AR45" s="9">
        <f>AQ44*КоэффСохранения</f>
        <v/>
      </c>
      <c r="AS45" s="9">
        <f>AR44*КоэффСохранения</f>
        <v/>
      </c>
      <c r="AT45" s="9">
        <f>AS44*КоэффСохранения</f>
        <v/>
      </c>
      <c r="AU45" s="9">
        <f>AT44*КоэффСохранения</f>
        <v/>
      </c>
      <c r="AV45" s="9">
        <f>AU44*КоэффСохранения</f>
        <v/>
      </c>
      <c r="AW45" s="9">
        <f>AV44*КоэффСохранения</f>
        <v/>
      </c>
      <c r="AX45" s="9">
        <f>AW44*КоэффСохранения</f>
        <v/>
      </c>
      <c r="AY45" s="9">
        <f>AX44*КоэффСохранения</f>
        <v/>
      </c>
      <c r="AZ45" s="9">
        <f>AY44*КоэффСохранения</f>
        <v/>
      </c>
      <c r="BA45" s="9">
        <f>AZ44*КоэффСохранения</f>
        <v/>
      </c>
      <c r="BB45" s="9">
        <f>BA44*КоэффСохранения</f>
        <v/>
      </c>
      <c r="BC45" s="9">
        <f>BB44*КоэффСохранения</f>
        <v/>
      </c>
      <c r="BD45" s="9">
        <f>BC44*КоэффСохранения</f>
        <v/>
      </c>
      <c r="BE45" s="9">
        <f>BD44*КоэффСохранения</f>
        <v/>
      </c>
      <c r="BF45" s="9">
        <f>BE44*КоэффСохранения</f>
        <v/>
      </c>
      <c r="BG45" s="9">
        <f>BF44*КоэффСохранения</f>
        <v/>
      </c>
      <c r="BH45" s="9">
        <f>BG44*КоэффСохранения</f>
        <v/>
      </c>
      <c r="BI45" s="9">
        <f>BH44*КоэффСохранения</f>
        <v/>
      </c>
      <c r="BJ45" s="9">
        <f>BI44*КоэффСохранения</f>
        <v/>
      </c>
      <c r="BK45" s="9">
        <f>BJ44*КоэффСохранения</f>
        <v/>
      </c>
      <c r="BL45" s="9">
        <f>BK44*КоэффСохранения</f>
        <v/>
      </c>
      <c r="BM45" s="9">
        <f>BL44*КоэффСохранения</f>
        <v/>
      </c>
      <c r="BN45" s="9">
        <f>BM44*КоэффСохранения</f>
        <v/>
      </c>
      <c r="BO45" s="9">
        <f>BN44*КоэффСохранения</f>
        <v/>
      </c>
      <c r="BP45" s="9">
        <f>BO44*КоэффСохранения</f>
        <v/>
      </c>
      <c r="BQ45" s="9">
        <f>BP44*КоэффСохранения</f>
        <v/>
      </c>
      <c r="BR45" s="9">
        <f>BQ44*КоэффСохранения</f>
        <v/>
      </c>
      <c r="BS45" s="9">
        <f>BR44*КоэффСохранения</f>
        <v/>
      </c>
      <c r="BT45" s="9">
        <f>BS44*КоэффСохранения</f>
        <v/>
      </c>
      <c r="BU45" s="9">
        <f>BT44*КоэффСохранения</f>
        <v/>
      </c>
      <c r="BV45" s="9">
        <f>BU44*КоэффСохранения</f>
        <v/>
      </c>
      <c r="BW45" s="9">
        <f>BV44*КоэффСохранения</f>
        <v/>
      </c>
      <c r="BX45" s="9">
        <f>BW44*КоэффСохранения</f>
        <v/>
      </c>
      <c r="BY45" s="9">
        <f>BX44*КоэффСохранения</f>
        <v/>
      </c>
    </row>
    <row r="46">
      <c r="B46" t="inlineStr">
        <is>
          <t>25+ мес. (зрелые)</t>
        </is>
      </c>
      <c r="C46" t="inlineStr">
        <is>
          <t>шт.</t>
        </is>
      </c>
      <c r="D46" s="117" t="inlineStr">
        <is>
          <t>Школы старше двух лет копятся здесь</t>
        </is>
      </c>
      <c r="E46" s="118">
        <f>W46</f>
        <v/>
      </c>
      <c r="F46" s="118">
        <f>AI46</f>
        <v/>
      </c>
      <c r="G46" s="118">
        <f>AU46</f>
        <v/>
      </c>
      <c r="H46" s="118">
        <f>BG46</f>
        <v/>
      </c>
      <c r="I46" s="118">
        <f>BS46</f>
        <v/>
      </c>
      <c r="J46" s="10">
        <f>BS46</f>
        <v/>
      </c>
      <c r="L46" s="9">
        <f>0</f>
        <v/>
      </c>
      <c r="M46" s="9">
        <f>(L45+L46)*КоэффСохранения</f>
        <v/>
      </c>
      <c r="N46" s="9">
        <f>(M45+M46)*КоэффСохранения</f>
        <v/>
      </c>
      <c r="O46" s="9">
        <f>(N45+N46)*КоэффСохранения</f>
        <v/>
      </c>
      <c r="P46" s="9">
        <f>(O45+O46)*КоэффСохранения</f>
        <v/>
      </c>
      <c r="Q46" s="9">
        <f>(P45+P46)*КоэффСохранения</f>
        <v/>
      </c>
      <c r="R46" s="9">
        <f>(Q45+Q46)*КоэффСохранения</f>
        <v/>
      </c>
      <c r="S46" s="9">
        <f>(R45+R46)*КоэффСохранения</f>
        <v/>
      </c>
      <c r="T46" s="9">
        <f>(S45+S46)*КоэффСохранения</f>
        <v/>
      </c>
      <c r="U46" s="9">
        <f>(T45+T46)*КоэффСохранения</f>
        <v/>
      </c>
      <c r="V46" s="9">
        <f>(U45+U46)*КоэффСохранения</f>
        <v/>
      </c>
      <c r="W46" s="9">
        <f>(V45+V46)*КоэффСохранения</f>
        <v/>
      </c>
      <c r="X46" s="9">
        <f>(W45+W46)*КоэффСохранения</f>
        <v/>
      </c>
      <c r="Y46" s="9">
        <f>(X45+X46)*КоэффСохранения</f>
        <v/>
      </c>
      <c r="Z46" s="9">
        <f>(Y45+Y46)*КоэффСохранения</f>
        <v/>
      </c>
      <c r="AA46" s="9">
        <f>(Z45+Z46)*КоэффСохранения</f>
        <v/>
      </c>
      <c r="AB46" s="9">
        <f>(AA45+AA46)*КоэффСохранения</f>
        <v/>
      </c>
      <c r="AC46" s="9">
        <f>(AB45+AB46)*КоэффСохранения</f>
        <v/>
      </c>
      <c r="AD46" s="9">
        <f>(AC45+AC46)*КоэффСохранения</f>
        <v/>
      </c>
      <c r="AE46" s="9">
        <f>(AD45+AD46)*КоэффСохранения</f>
        <v/>
      </c>
      <c r="AF46" s="9">
        <f>(AE45+AE46)*КоэффСохранения</f>
        <v/>
      </c>
      <c r="AG46" s="9">
        <f>(AF45+AF46)*КоэффСохранения</f>
        <v/>
      </c>
      <c r="AH46" s="9">
        <f>(AG45+AG46)*КоэффСохранения</f>
        <v/>
      </c>
      <c r="AI46" s="9">
        <f>(AH45+AH46)*КоэффСохранения</f>
        <v/>
      </c>
      <c r="AJ46" s="9">
        <f>(AI45+AI46)*КоэффСохранения</f>
        <v/>
      </c>
      <c r="AK46" s="9">
        <f>(AJ45+AJ46)*КоэффСохранения</f>
        <v/>
      </c>
      <c r="AL46" s="9">
        <f>(AK45+AK46)*КоэффСохранения</f>
        <v/>
      </c>
      <c r="AM46" s="9">
        <f>(AL45+AL46)*КоэффСохранения</f>
        <v/>
      </c>
      <c r="AN46" s="9">
        <f>(AM45+AM46)*КоэффСохранения</f>
        <v/>
      </c>
      <c r="AO46" s="9">
        <f>(AN45+AN46)*КоэффСохранения</f>
        <v/>
      </c>
      <c r="AP46" s="9">
        <f>(AO45+AO46)*КоэффСохранения</f>
        <v/>
      </c>
      <c r="AQ46" s="9">
        <f>(AP45+AP46)*КоэффСохранения</f>
        <v/>
      </c>
      <c r="AR46" s="9">
        <f>(AQ45+AQ46)*КоэффСохранения</f>
        <v/>
      </c>
      <c r="AS46" s="9">
        <f>(AR45+AR46)*КоэффСохранения</f>
        <v/>
      </c>
      <c r="AT46" s="9">
        <f>(AS45+AS46)*КоэффСохранения</f>
        <v/>
      </c>
      <c r="AU46" s="9">
        <f>(AT45+AT46)*КоэффСохранения</f>
        <v/>
      </c>
      <c r="AV46" s="9">
        <f>(AU45+AU46)*КоэффСохранения</f>
        <v/>
      </c>
      <c r="AW46" s="9">
        <f>(AV45+AV46)*КоэффСохранения</f>
        <v/>
      </c>
      <c r="AX46" s="9">
        <f>(AW45+AW46)*КоэффСохранения</f>
        <v/>
      </c>
      <c r="AY46" s="9">
        <f>(AX45+AX46)*КоэффСохранения</f>
        <v/>
      </c>
      <c r="AZ46" s="9">
        <f>(AY45+AY46)*КоэффСохранения</f>
        <v/>
      </c>
      <c r="BA46" s="9">
        <f>(AZ45+AZ46)*КоэффСохранения</f>
        <v/>
      </c>
      <c r="BB46" s="9">
        <f>(BA45+BA46)*КоэффСохранения</f>
        <v/>
      </c>
      <c r="BC46" s="9">
        <f>(BB45+BB46)*КоэффСохранения</f>
        <v/>
      </c>
      <c r="BD46" s="9">
        <f>(BC45+BC46)*КоэффСохранения</f>
        <v/>
      </c>
      <c r="BE46" s="9">
        <f>(BD45+BD46)*КоэффСохранения</f>
        <v/>
      </c>
      <c r="BF46" s="9">
        <f>(BE45+BE46)*КоэффСохранения</f>
        <v/>
      </c>
      <c r="BG46" s="9">
        <f>(BF45+BF46)*КоэффСохранения</f>
        <v/>
      </c>
      <c r="BH46" s="9">
        <f>(BG45+BG46)*КоэффСохранения</f>
        <v/>
      </c>
      <c r="BI46" s="9">
        <f>(BH45+BH46)*КоэффСохранения</f>
        <v/>
      </c>
      <c r="BJ46" s="9">
        <f>(BI45+BI46)*КоэффСохранения</f>
        <v/>
      </c>
      <c r="BK46" s="9">
        <f>(BJ45+BJ46)*КоэффСохранения</f>
        <v/>
      </c>
      <c r="BL46" s="9">
        <f>(BK45+BK46)*КоэффСохранения</f>
        <v/>
      </c>
      <c r="BM46" s="9">
        <f>(BL45+BL46)*КоэффСохранения</f>
        <v/>
      </c>
      <c r="BN46" s="9">
        <f>(BM45+BM46)*КоэффСохранения</f>
        <v/>
      </c>
      <c r="BO46" s="9">
        <f>(BN45+BN46)*КоэффСохранения</f>
        <v/>
      </c>
      <c r="BP46" s="9">
        <f>(BO45+BO46)*КоэффСохранения</f>
        <v/>
      </c>
      <c r="BQ46" s="9">
        <f>(BP45+BP46)*КоэффСохранения</f>
        <v/>
      </c>
      <c r="BR46" s="9">
        <f>(BQ45+BQ46)*КоэффСохранения</f>
        <v/>
      </c>
      <c r="BS46" s="9">
        <f>(BR45+BR46)*КоэффСохранения</f>
        <v/>
      </c>
      <c r="BT46" s="9">
        <f>(BS45+BS46)*КоэффСохранения</f>
        <v/>
      </c>
      <c r="BU46" s="9">
        <f>(BT45+BT46)*КоэффСохранения</f>
        <v/>
      </c>
      <c r="BV46" s="9">
        <f>(BU45+BU46)*КоэффСохранения</f>
        <v/>
      </c>
      <c r="BW46" s="9">
        <f>(BV45+BV46)*КоэффСохранения</f>
        <v/>
      </c>
      <c r="BX46" s="9">
        <f>(BW45+BW46)*КоэффСохранения</f>
        <v/>
      </c>
      <c r="BY46" s="9">
        <f>(BX45+BX46)*КоэффСохранения</f>
        <v/>
      </c>
    </row>
    <row r="48">
      <c r="B48" s="115" t="inlineStr">
        <is>
          <t>Новые школы и их дети</t>
        </is>
      </c>
      <c r="C48" s="116" t="n"/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R48" s="116" t="n"/>
      <c r="S48" s="116" t="n"/>
      <c r="T48" s="116" t="n"/>
      <c r="U48" s="116" t="n"/>
      <c r="V48" s="116" t="n"/>
      <c r="W48" s="116" t="n"/>
      <c r="X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AO48" s="116" t="n"/>
      <c r="AP48" s="116" t="n"/>
      <c r="AQ48" s="116" t="n"/>
      <c r="AR48" s="116" t="n"/>
      <c r="AS48" s="116" t="n"/>
      <c r="AT48" s="116" t="n"/>
      <c r="AU48" s="116" t="n"/>
      <c r="AV48" s="116" t="n"/>
      <c r="AW48" s="116" t="n"/>
      <c r="AX48" s="116" t="n"/>
      <c r="AY48" s="116" t="n"/>
      <c r="AZ48" s="116" t="n"/>
      <c r="BA48" s="116" t="n"/>
      <c r="BB48" s="116" t="n"/>
      <c r="BC48" s="116" t="n"/>
      <c r="BD48" s="116" t="n"/>
      <c r="BE48" s="116" t="n"/>
      <c r="BF48" s="116" t="n"/>
      <c r="BG48" s="116" t="n"/>
      <c r="BH48" s="116" t="n"/>
      <c r="BI48" s="116" t="n"/>
      <c r="BJ48" s="116" t="n"/>
      <c r="BK48" s="116" t="n"/>
      <c r="BL48" s="116" t="n"/>
      <c r="BM48" s="116" t="n"/>
      <c r="BN48" s="116" t="n"/>
      <c r="BO48" s="116" t="n"/>
      <c r="BP48" s="116" t="n"/>
      <c r="BQ48" s="116" t="n"/>
      <c r="BR48" s="116" t="n"/>
      <c r="BS48" s="116" t="n"/>
      <c r="BT48" s="116" t="n"/>
      <c r="BU48" s="116" t="n"/>
      <c r="BV48" s="116" t="n"/>
      <c r="BW48" s="116" t="n"/>
      <c r="BX48" s="116" t="n"/>
      <c r="BY48" s="116" t="n"/>
    </row>
    <row r="49">
      <c r="B49" t="inlineStr">
        <is>
          <t>Новые школы 1–12 мес.</t>
        </is>
      </c>
      <c r="C49" t="inlineStr">
        <is>
          <t>шт.</t>
        </is>
      </c>
      <c r="D49" s="117" t="inlineStr">
        <is>
          <t>Сумма первых двенадцати когорт</t>
        </is>
      </c>
      <c r="E49" s="118">
        <f>W49</f>
        <v/>
      </c>
      <c r="F49" s="118">
        <f>AI49</f>
        <v/>
      </c>
      <c r="G49" s="118">
        <f>AU49</f>
        <v/>
      </c>
      <c r="H49" s="118">
        <f>BG49</f>
        <v/>
      </c>
      <c r="I49" s="118">
        <f>BS49</f>
        <v/>
      </c>
      <c r="J49" s="10">
        <f>BS49</f>
        <v/>
      </c>
      <c r="L49" s="9">
        <f>SUM(L22:L33)</f>
        <v/>
      </c>
      <c r="M49" s="9">
        <f>SUM(M22:M33)</f>
        <v/>
      </c>
      <c r="N49" s="9">
        <f>SUM(N22:N33)</f>
        <v/>
      </c>
      <c r="O49" s="9">
        <f>SUM(O22:O33)</f>
        <v/>
      </c>
      <c r="P49" s="9">
        <f>SUM(P22:P33)</f>
        <v/>
      </c>
      <c r="Q49" s="9">
        <f>SUM(Q22:Q33)</f>
        <v/>
      </c>
      <c r="R49" s="9">
        <f>SUM(R22:R33)</f>
        <v/>
      </c>
      <c r="S49" s="9">
        <f>SUM(S22:S33)</f>
        <v/>
      </c>
      <c r="T49" s="9">
        <f>SUM(T22:T33)</f>
        <v/>
      </c>
      <c r="U49" s="9">
        <f>SUM(U22:U33)</f>
        <v/>
      </c>
      <c r="V49" s="9">
        <f>SUM(V22:V33)</f>
        <v/>
      </c>
      <c r="W49" s="9">
        <f>SUM(W22:W33)</f>
        <v/>
      </c>
      <c r="X49" s="9">
        <f>SUM(X22:X33)</f>
        <v/>
      </c>
      <c r="Y49" s="9">
        <f>SUM(Y22:Y33)</f>
        <v/>
      </c>
      <c r="Z49" s="9">
        <f>SUM(Z22:Z33)</f>
        <v/>
      </c>
      <c r="AA49" s="9">
        <f>SUM(AA22:AA33)</f>
        <v/>
      </c>
      <c r="AB49" s="9">
        <f>SUM(AB22:AB33)</f>
        <v/>
      </c>
      <c r="AC49" s="9">
        <f>SUM(AC22:AC33)</f>
        <v/>
      </c>
      <c r="AD49" s="9">
        <f>SUM(AD22:AD33)</f>
        <v/>
      </c>
      <c r="AE49" s="9">
        <f>SUM(AE22:AE33)</f>
        <v/>
      </c>
      <c r="AF49" s="9">
        <f>SUM(AF22:AF33)</f>
        <v/>
      </c>
      <c r="AG49" s="9">
        <f>SUM(AG22:AG33)</f>
        <v/>
      </c>
      <c r="AH49" s="9">
        <f>SUM(AH22:AH33)</f>
        <v/>
      </c>
      <c r="AI49" s="9">
        <f>SUM(AI22:AI33)</f>
        <v/>
      </c>
      <c r="AJ49" s="9">
        <f>SUM(AJ22:AJ33)</f>
        <v/>
      </c>
      <c r="AK49" s="9">
        <f>SUM(AK22:AK33)</f>
        <v/>
      </c>
      <c r="AL49" s="9">
        <f>SUM(AL22:AL33)</f>
        <v/>
      </c>
      <c r="AM49" s="9">
        <f>SUM(AM22:AM33)</f>
        <v/>
      </c>
      <c r="AN49" s="9">
        <f>SUM(AN22:AN33)</f>
        <v/>
      </c>
      <c r="AO49" s="9">
        <f>SUM(AO22:AO33)</f>
        <v/>
      </c>
      <c r="AP49" s="9">
        <f>SUM(AP22:AP33)</f>
        <v/>
      </c>
      <c r="AQ49" s="9">
        <f>SUM(AQ22:AQ33)</f>
        <v/>
      </c>
      <c r="AR49" s="9">
        <f>SUM(AR22:AR33)</f>
        <v/>
      </c>
      <c r="AS49" s="9">
        <f>SUM(AS22:AS33)</f>
        <v/>
      </c>
      <c r="AT49" s="9">
        <f>SUM(AT22:AT33)</f>
        <v/>
      </c>
      <c r="AU49" s="9">
        <f>SUM(AU22:AU33)</f>
        <v/>
      </c>
      <c r="AV49" s="9">
        <f>SUM(AV22:AV33)</f>
        <v/>
      </c>
      <c r="AW49" s="9">
        <f>SUM(AW22:AW33)</f>
        <v/>
      </c>
      <c r="AX49" s="9">
        <f>SUM(AX22:AX33)</f>
        <v/>
      </c>
      <c r="AY49" s="9">
        <f>SUM(AY22:AY33)</f>
        <v/>
      </c>
      <c r="AZ49" s="9">
        <f>SUM(AZ22:AZ33)</f>
        <v/>
      </c>
      <c r="BA49" s="9">
        <f>SUM(BA22:BA33)</f>
        <v/>
      </c>
      <c r="BB49" s="9">
        <f>SUM(BB22:BB33)</f>
        <v/>
      </c>
      <c r="BC49" s="9">
        <f>SUM(BC22:BC33)</f>
        <v/>
      </c>
      <c r="BD49" s="9">
        <f>SUM(BD22:BD33)</f>
        <v/>
      </c>
      <c r="BE49" s="9">
        <f>SUM(BE22:BE33)</f>
        <v/>
      </c>
      <c r="BF49" s="9">
        <f>SUM(BF22:BF33)</f>
        <v/>
      </c>
      <c r="BG49" s="9">
        <f>SUM(BG22:BG33)</f>
        <v/>
      </c>
      <c r="BH49" s="9">
        <f>SUM(BH22:BH33)</f>
        <v/>
      </c>
      <c r="BI49" s="9">
        <f>SUM(BI22:BI33)</f>
        <v/>
      </c>
      <c r="BJ49" s="9">
        <f>SUM(BJ22:BJ33)</f>
        <v/>
      </c>
      <c r="BK49" s="9">
        <f>SUM(BK22:BK33)</f>
        <v/>
      </c>
      <c r="BL49" s="9">
        <f>SUM(BL22:BL33)</f>
        <v/>
      </c>
      <c r="BM49" s="9">
        <f>SUM(BM22:BM33)</f>
        <v/>
      </c>
      <c r="BN49" s="9">
        <f>SUM(BN22:BN33)</f>
        <v/>
      </c>
      <c r="BO49" s="9">
        <f>SUM(BO22:BO33)</f>
        <v/>
      </c>
      <c r="BP49" s="9">
        <f>SUM(BP22:BP33)</f>
        <v/>
      </c>
      <c r="BQ49" s="9">
        <f>SUM(BQ22:BQ33)</f>
        <v/>
      </c>
      <c r="BR49" s="9">
        <f>SUM(BR22:BR33)</f>
        <v/>
      </c>
      <c r="BS49" s="9">
        <f>SUM(BS22:BS33)</f>
        <v/>
      </c>
      <c r="BT49" s="9">
        <f>SUM(BT22:BT33)</f>
        <v/>
      </c>
      <c r="BU49" s="9">
        <f>SUM(BU22:BU33)</f>
        <v/>
      </c>
      <c r="BV49" s="9">
        <f>SUM(BV22:BV33)</f>
        <v/>
      </c>
      <c r="BW49" s="9">
        <f>SUM(BW22:BW33)</f>
        <v/>
      </c>
      <c r="BX49" s="9">
        <f>SUM(BX22:BX33)</f>
        <v/>
      </c>
      <c r="BY49" s="9">
        <f>SUM(BY22:BY33)</f>
        <v/>
      </c>
    </row>
    <row r="50">
      <c r="B50" t="inlineStr">
        <is>
          <t>Новые школы 13–24 мес.</t>
        </is>
      </c>
      <c r="C50" t="inlineStr">
        <is>
          <t>шт.</t>
        </is>
      </c>
      <c r="D50" s="117" t="inlineStr">
        <is>
          <t>Второй год жизни</t>
        </is>
      </c>
      <c r="E50" s="118">
        <f>W50</f>
        <v/>
      </c>
      <c r="F50" s="118">
        <f>AI50</f>
        <v/>
      </c>
      <c r="G50" s="118">
        <f>AU50</f>
        <v/>
      </c>
      <c r="H50" s="118">
        <f>BG50</f>
        <v/>
      </c>
      <c r="I50" s="118">
        <f>BS50</f>
        <v/>
      </c>
      <c r="J50" s="10">
        <f>BS50</f>
        <v/>
      </c>
      <c r="L50" s="9">
        <f>SUM(L34:L45)</f>
        <v/>
      </c>
      <c r="M50" s="9">
        <f>SUM(M34:M45)</f>
        <v/>
      </c>
      <c r="N50" s="9">
        <f>SUM(N34:N45)</f>
        <v/>
      </c>
      <c r="O50" s="9">
        <f>SUM(O34:O45)</f>
        <v/>
      </c>
      <c r="P50" s="9">
        <f>SUM(P34:P45)</f>
        <v/>
      </c>
      <c r="Q50" s="9">
        <f>SUM(Q34:Q45)</f>
        <v/>
      </c>
      <c r="R50" s="9">
        <f>SUM(R34:R45)</f>
        <v/>
      </c>
      <c r="S50" s="9">
        <f>SUM(S34:S45)</f>
        <v/>
      </c>
      <c r="T50" s="9">
        <f>SUM(T34:T45)</f>
        <v/>
      </c>
      <c r="U50" s="9">
        <f>SUM(U34:U45)</f>
        <v/>
      </c>
      <c r="V50" s="9">
        <f>SUM(V34:V45)</f>
        <v/>
      </c>
      <c r="W50" s="9">
        <f>SUM(W34:W45)</f>
        <v/>
      </c>
      <c r="X50" s="9">
        <f>SUM(X34:X45)</f>
        <v/>
      </c>
      <c r="Y50" s="9">
        <f>SUM(Y34:Y45)</f>
        <v/>
      </c>
      <c r="Z50" s="9">
        <f>SUM(Z34:Z45)</f>
        <v/>
      </c>
      <c r="AA50" s="9">
        <f>SUM(AA34:AA45)</f>
        <v/>
      </c>
      <c r="AB50" s="9">
        <f>SUM(AB34:AB45)</f>
        <v/>
      </c>
      <c r="AC50" s="9">
        <f>SUM(AC34:AC45)</f>
        <v/>
      </c>
      <c r="AD50" s="9">
        <f>SUM(AD34:AD45)</f>
        <v/>
      </c>
      <c r="AE50" s="9">
        <f>SUM(AE34:AE45)</f>
        <v/>
      </c>
      <c r="AF50" s="9">
        <f>SUM(AF34:AF45)</f>
        <v/>
      </c>
      <c r="AG50" s="9">
        <f>SUM(AG34:AG45)</f>
        <v/>
      </c>
      <c r="AH50" s="9">
        <f>SUM(AH34:AH45)</f>
        <v/>
      </c>
      <c r="AI50" s="9">
        <f>SUM(AI34:AI45)</f>
        <v/>
      </c>
      <c r="AJ50" s="9">
        <f>SUM(AJ34:AJ45)</f>
        <v/>
      </c>
      <c r="AK50" s="9">
        <f>SUM(AK34:AK45)</f>
        <v/>
      </c>
      <c r="AL50" s="9">
        <f>SUM(AL34:AL45)</f>
        <v/>
      </c>
      <c r="AM50" s="9">
        <f>SUM(AM34:AM45)</f>
        <v/>
      </c>
      <c r="AN50" s="9">
        <f>SUM(AN34:AN45)</f>
        <v/>
      </c>
      <c r="AO50" s="9">
        <f>SUM(AO34:AO45)</f>
        <v/>
      </c>
      <c r="AP50" s="9">
        <f>SUM(AP34:AP45)</f>
        <v/>
      </c>
      <c r="AQ50" s="9">
        <f>SUM(AQ34:AQ45)</f>
        <v/>
      </c>
      <c r="AR50" s="9">
        <f>SUM(AR34:AR45)</f>
        <v/>
      </c>
      <c r="AS50" s="9">
        <f>SUM(AS34:AS45)</f>
        <v/>
      </c>
      <c r="AT50" s="9">
        <f>SUM(AT34:AT45)</f>
        <v/>
      </c>
      <c r="AU50" s="9">
        <f>SUM(AU34:AU45)</f>
        <v/>
      </c>
      <c r="AV50" s="9">
        <f>SUM(AV34:AV45)</f>
        <v/>
      </c>
      <c r="AW50" s="9">
        <f>SUM(AW34:AW45)</f>
        <v/>
      </c>
      <c r="AX50" s="9">
        <f>SUM(AX34:AX45)</f>
        <v/>
      </c>
      <c r="AY50" s="9">
        <f>SUM(AY34:AY45)</f>
        <v/>
      </c>
      <c r="AZ50" s="9">
        <f>SUM(AZ34:AZ45)</f>
        <v/>
      </c>
      <c r="BA50" s="9">
        <f>SUM(BA34:BA45)</f>
        <v/>
      </c>
      <c r="BB50" s="9">
        <f>SUM(BB34:BB45)</f>
        <v/>
      </c>
      <c r="BC50" s="9">
        <f>SUM(BC34:BC45)</f>
        <v/>
      </c>
      <c r="BD50" s="9">
        <f>SUM(BD34:BD45)</f>
        <v/>
      </c>
      <c r="BE50" s="9">
        <f>SUM(BE34:BE45)</f>
        <v/>
      </c>
      <c r="BF50" s="9">
        <f>SUM(BF34:BF45)</f>
        <v/>
      </c>
      <c r="BG50" s="9">
        <f>SUM(BG34:BG45)</f>
        <v/>
      </c>
      <c r="BH50" s="9">
        <f>SUM(BH34:BH45)</f>
        <v/>
      </c>
      <c r="BI50" s="9">
        <f>SUM(BI34:BI45)</f>
        <v/>
      </c>
      <c r="BJ50" s="9">
        <f>SUM(BJ34:BJ45)</f>
        <v/>
      </c>
      <c r="BK50" s="9">
        <f>SUM(BK34:BK45)</f>
        <v/>
      </c>
      <c r="BL50" s="9">
        <f>SUM(BL34:BL45)</f>
        <v/>
      </c>
      <c r="BM50" s="9">
        <f>SUM(BM34:BM45)</f>
        <v/>
      </c>
      <c r="BN50" s="9">
        <f>SUM(BN34:BN45)</f>
        <v/>
      </c>
      <c r="BO50" s="9">
        <f>SUM(BO34:BO45)</f>
        <v/>
      </c>
      <c r="BP50" s="9">
        <f>SUM(BP34:BP45)</f>
        <v/>
      </c>
      <c r="BQ50" s="9">
        <f>SUM(BQ34:BQ45)</f>
        <v/>
      </c>
      <c r="BR50" s="9">
        <f>SUM(BR34:BR45)</f>
        <v/>
      </c>
      <c r="BS50" s="9">
        <f>SUM(BS34:BS45)</f>
        <v/>
      </c>
      <c r="BT50" s="9">
        <f>SUM(BT34:BT45)</f>
        <v/>
      </c>
      <c r="BU50" s="9">
        <f>SUM(BU34:BU45)</f>
        <v/>
      </c>
      <c r="BV50" s="9">
        <f>SUM(BV34:BV45)</f>
        <v/>
      </c>
      <c r="BW50" s="9">
        <f>SUM(BW34:BW45)</f>
        <v/>
      </c>
      <c r="BX50" s="9">
        <f>SUM(BX34:BX45)</f>
        <v/>
      </c>
      <c r="BY50" s="9">
        <f>SUM(BY34:BY45)</f>
        <v/>
      </c>
    </row>
    <row r="51">
      <c r="B51" t="inlineStr">
        <is>
          <t>Новые школы зрелые</t>
        </is>
      </c>
      <c r="C51" t="inlineStr">
        <is>
          <t>шт.</t>
        </is>
      </c>
      <c r="D51" s="117" t="inlineStr">
        <is>
          <t>Старше двух лет</t>
        </is>
      </c>
      <c r="E51" s="118">
        <f>W51</f>
        <v/>
      </c>
      <c r="F51" s="118">
        <f>AI51</f>
        <v/>
      </c>
      <c r="G51" s="118">
        <f>AU51</f>
        <v/>
      </c>
      <c r="H51" s="118">
        <f>BG51</f>
        <v/>
      </c>
      <c r="I51" s="118">
        <f>BS51</f>
        <v/>
      </c>
      <c r="J51" s="10">
        <f>BS51</f>
        <v/>
      </c>
      <c r="L51" s="9">
        <f>L46</f>
        <v/>
      </c>
      <c r="M51" s="9">
        <f>M46</f>
        <v/>
      </c>
      <c r="N51" s="9">
        <f>N46</f>
        <v/>
      </c>
      <c r="O51" s="9">
        <f>O46</f>
        <v/>
      </c>
      <c r="P51" s="9">
        <f>P46</f>
        <v/>
      </c>
      <c r="Q51" s="9">
        <f>Q46</f>
        <v/>
      </c>
      <c r="R51" s="9">
        <f>R46</f>
        <v/>
      </c>
      <c r="S51" s="9">
        <f>S46</f>
        <v/>
      </c>
      <c r="T51" s="9">
        <f>T46</f>
        <v/>
      </c>
      <c r="U51" s="9">
        <f>U46</f>
        <v/>
      </c>
      <c r="V51" s="9">
        <f>V46</f>
        <v/>
      </c>
      <c r="W51" s="9">
        <f>W46</f>
        <v/>
      </c>
      <c r="X51" s="9">
        <f>X46</f>
        <v/>
      </c>
      <c r="Y51" s="9">
        <f>Y46</f>
        <v/>
      </c>
      <c r="Z51" s="9">
        <f>Z46</f>
        <v/>
      </c>
      <c r="AA51" s="9">
        <f>AA46</f>
        <v/>
      </c>
      <c r="AB51" s="9">
        <f>AB46</f>
        <v/>
      </c>
      <c r="AC51" s="9">
        <f>AC46</f>
        <v/>
      </c>
      <c r="AD51" s="9">
        <f>AD46</f>
        <v/>
      </c>
      <c r="AE51" s="9">
        <f>AE46</f>
        <v/>
      </c>
      <c r="AF51" s="9">
        <f>AF46</f>
        <v/>
      </c>
      <c r="AG51" s="9">
        <f>AG46</f>
        <v/>
      </c>
      <c r="AH51" s="9">
        <f>AH46</f>
        <v/>
      </c>
      <c r="AI51" s="9">
        <f>AI46</f>
        <v/>
      </c>
      <c r="AJ51" s="9">
        <f>AJ46</f>
        <v/>
      </c>
      <c r="AK51" s="9">
        <f>AK46</f>
        <v/>
      </c>
      <c r="AL51" s="9">
        <f>AL46</f>
        <v/>
      </c>
      <c r="AM51" s="9">
        <f>AM46</f>
        <v/>
      </c>
      <c r="AN51" s="9">
        <f>AN46</f>
        <v/>
      </c>
      <c r="AO51" s="9">
        <f>AO46</f>
        <v/>
      </c>
      <c r="AP51" s="9">
        <f>AP46</f>
        <v/>
      </c>
      <c r="AQ51" s="9">
        <f>AQ46</f>
        <v/>
      </c>
      <c r="AR51" s="9">
        <f>AR46</f>
        <v/>
      </c>
      <c r="AS51" s="9">
        <f>AS46</f>
        <v/>
      </c>
      <c r="AT51" s="9">
        <f>AT46</f>
        <v/>
      </c>
      <c r="AU51" s="9">
        <f>AU46</f>
        <v/>
      </c>
      <c r="AV51" s="9">
        <f>AV46</f>
        <v/>
      </c>
      <c r="AW51" s="9">
        <f>AW46</f>
        <v/>
      </c>
      <c r="AX51" s="9">
        <f>AX46</f>
        <v/>
      </c>
      <c r="AY51" s="9">
        <f>AY46</f>
        <v/>
      </c>
      <c r="AZ51" s="9">
        <f>AZ46</f>
        <v/>
      </c>
      <c r="BA51" s="9">
        <f>BA46</f>
        <v/>
      </c>
      <c r="BB51" s="9">
        <f>BB46</f>
        <v/>
      </c>
      <c r="BC51" s="9">
        <f>BC46</f>
        <v/>
      </c>
      <c r="BD51" s="9">
        <f>BD46</f>
        <v/>
      </c>
      <c r="BE51" s="9">
        <f>BE46</f>
        <v/>
      </c>
      <c r="BF51" s="9">
        <f>BF46</f>
        <v/>
      </c>
      <c r="BG51" s="9">
        <f>BG46</f>
        <v/>
      </c>
      <c r="BH51" s="9">
        <f>BH46</f>
        <v/>
      </c>
      <c r="BI51" s="9">
        <f>BI46</f>
        <v/>
      </c>
      <c r="BJ51" s="9">
        <f>BJ46</f>
        <v/>
      </c>
      <c r="BK51" s="9">
        <f>BK46</f>
        <v/>
      </c>
      <c r="BL51" s="9">
        <f>BL46</f>
        <v/>
      </c>
      <c r="BM51" s="9">
        <f>BM46</f>
        <v/>
      </c>
      <c r="BN51" s="9">
        <f>BN46</f>
        <v/>
      </c>
      <c r="BO51" s="9">
        <f>BO46</f>
        <v/>
      </c>
      <c r="BP51" s="9">
        <f>BP46</f>
        <v/>
      </c>
      <c r="BQ51" s="9">
        <f>BQ46</f>
        <v/>
      </c>
      <c r="BR51" s="9">
        <f>BR46</f>
        <v/>
      </c>
      <c r="BS51" s="9">
        <f>BS46</f>
        <v/>
      </c>
      <c r="BT51" s="9">
        <f>BT46</f>
        <v/>
      </c>
      <c r="BU51" s="9">
        <f>BU46</f>
        <v/>
      </c>
      <c r="BV51" s="9">
        <f>BV46</f>
        <v/>
      </c>
      <c r="BW51" s="9">
        <f>BW46</f>
        <v/>
      </c>
      <c r="BX51" s="9">
        <f>BX46</f>
        <v/>
      </c>
      <c r="BY51" s="9">
        <f>BY46</f>
        <v/>
      </c>
    </row>
    <row r="52">
      <c r="B52" s="6" t="inlineStr">
        <is>
          <t>Новые школы — всего</t>
        </is>
      </c>
      <c r="C52" s="6" t="inlineStr">
        <is>
          <t>шт.</t>
        </is>
      </c>
      <c r="D52" s="120" t="inlineStr"/>
      <c r="E52" s="130">
        <f>W52</f>
        <v/>
      </c>
      <c r="F52" s="130">
        <f>AI52</f>
        <v/>
      </c>
      <c r="G52" s="130">
        <f>AU52</f>
        <v/>
      </c>
      <c r="H52" s="130">
        <f>BG52</f>
        <v/>
      </c>
      <c r="I52" s="130">
        <f>BS52</f>
        <v/>
      </c>
      <c r="J52" s="12">
        <f>BS52</f>
        <v/>
      </c>
      <c r="L52" s="11">
        <f>SUM(L49:L51)</f>
        <v/>
      </c>
      <c r="M52" s="11">
        <f>SUM(M49:M51)</f>
        <v/>
      </c>
      <c r="N52" s="11">
        <f>SUM(N49:N51)</f>
        <v/>
      </c>
      <c r="O52" s="11">
        <f>SUM(O49:O51)</f>
        <v/>
      </c>
      <c r="P52" s="11">
        <f>SUM(P49:P51)</f>
        <v/>
      </c>
      <c r="Q52" s="11">
        <f>SUM(Q49:Q51)</f>
        <v/>
      </c>
      <c r="R52" s="11">
        <f>SUM(R49:R51)</f>
        <v/>
      </c>
      <c r="S52" s="11">
        <f>SUM(S49:S51)</f>
        <v/>
      </c>
      <c r="T52" s="11">
        <f>SUM(T49:T51)</f>
        <v/>
      </c>
      <c r="U52" s="11">
        <f>SUM(U49:U51)</f>
        <v/>
      </c>
      <c r="V52" s="11">
        <f>SUM(V49:V51)</f>
        <v/>
      </c>
      <c r="W52" s="11">
        <f>SUM(W49:W51)</f>
        <v/>
      </c>
      <c r="X52" s="11">
        <f>SUM(X49:X51)</f>
        <v/>
      </c>
      <c r="Y52" s="11">
        <f>SUM(Y49:Y51)</f>
        <v/>
      </c>
      <c r="Z52" s="11">
        <f>SUM(Z49:Z51)</f>
        <v/>
      </c>
      <c r="AA52" s="11">
        <f>SUM(AA49:AA51)</f>
        <v/>
      </c>
      <c r="AB52" s="11">
        <f>SUM(AB49:AB51)</f>
        <v/>
      </c>
      <c r="AC52" s="11">
        <f>SUM(AC49:AC51)</f>
        <v/>
      </c>
      <c r="AD52" s="11">
        <f>SUM(AD49:AD51)</f>
        <v/>
      </c>
      <c r="AE52" s="11">
        <f>SUM(AE49:AE51)</f>
        <v/>
      </c>
      <c r="AF52" s="11">
        <f>SUM(AF49:AF51)</f>
        <v/>
      </c>
      <c r="AG52" s="11">
        <f>SUM(AG49:AG51)</f>
        <v/>
      </c>
      <c r="AH52" s="11">
        <f>SUM(AH49:AH51)</f>
        <v/>
      </c>
      <c r="AI52" s="11">
        <f>SUM(AI49:AI51)</f>
        <v/>
      </c>
      <c r="AJ52" s="11">
        <f>SUM(AJ49:AJ51)</f>
        <v/>
      </c>
      <c r="AK52" s="11">
        <f>SUM(AK49:AK51)</f>
        <v/>
      </c>
      <c r="AL52" s="11">
        <f>SUM(AL49:AL51)</f>
        <v/>
      </c>
      <c r="AM52" s="11">
        <f>SUM(AM49:AM51)</f>
        <v/>
      </c>
      <c r="AN52" s="11">
        <f>SUM(AN49:AN51)</f>
        <v/>
      </c>
      <c r="AO52" s="11">
        <f>SUM(AO49:AO51)</f>
        <v/>
      </c>
      <c r="AP52" s="11">
        <f>SUM(AP49:AP51)</f>
        <v/>
      </c>
      <c r="AQ52" s="11">
        <f>SUM(AQ49:AQ51)</f>
        <v/>
      </c>
      <c r="AR52" s="11">
        <f>SUM(AR49:AR51)</f>
        <v/>
      </c>
      <c r="AS52" s="11">
        <f>SUM(AS49:AS51)</f>
        <v/>
      </c>
      <c r="AT52" s="11">
        <f>SUM(AT49:AT51)</f>
        <v/>
      </c>
      <c r="AU52" s="11">
        <f>SUM(AU49:AU51)</f>
        <v/>
      </c>
      <c r="AV52" s="11">
        <f>SUM(AV49:AV51)</f>
        <v/>
      </c>
      <c r="AW52" s="11">
        <f>SUM(AW49:AW51)</f>
        <v/>
      </c>
      <c r="AX52" s="11">
        <f>SUM(AX49:AX51)</f>
        <v/>
      </c>
      <c r="AY52" s="11">
        <f>SUM(AY49:AY51)</f>
        <v/>
      </c>
      <c r="AZ52" s="11">
        <f>SUM(AZ49:AZ51)</f>
        <v/>
      </c>
      <c r="BA52" s="11">
        <f>SUM(BA49:BA51)</f>
        <v/>
      </c>
      <c r="BB52" s="11">
        <f>SUM(BB49:BB51)</f>
        <v/>
      </c>
      <c r="BC52" s="11">
        <f>SUM(BC49:BC51)</f>
        <v/>
      </c>
      <c r="BD52" s="11">
        <f>SUM(BD49:BD51)</f>
        <v/>
      </c>
      <c r="BE52" s="11">
        <f>SUM(BE49:BE51)</f>
        <v/>
      </c>
      <c r="BF52" s="11">
        <f>SUM(BF49:BF51)</f>
        <v/>
      </c>
      <c r="BG52" s="11">
        <f>SUM(BG49:BG51)</f>
        <v/>
      </c>
      <c r="BH52" s="11">
        <f>SUM(BH49:BH51)</f>
        <v/>
      </c>
      <c r="BI52" s="11">
        <f>SUM(BI49:BI51)</f>
        <v/>
      </c>
      <c r="BJ52" s="11">
        <f>SUM(BJ49:BJ51)</f>
        <v/>
      </c>
      <c r="BK52" s="11">
        <f>SUM(BK49:BK51)</f>
        <v/>
      </c>
      <c r="BL52" s="11">
        <f>SUM(BL49:BL51)</f>
        <v/>
      </c>
      <c r="BM52" s="11">
        <f>SUM(BM49:BM51)</f>
        <v/>
      </c>
      <c r="BN52" s="11">
        <f>SUM(BN49:BN51)</f>
        <v/>
      </c>
      <c r="BO52" s="11">
        <f>SUM(BO49:BO51)</f>
        <v/>
      </c>
      <c r="BP52" s="11">
        <f>SUM(BP49:BP51)</f>
        <v/>
      </c>
      <c r="BQ52" s="11">
        <f>SUM(BQ49:BQ51)</f>
        <v/>
      </c>
      <c r="BR52" s="11">
        <f>SUM(BR49:BR51)</f>
        <v/>
      </c>
      <c r="BS52" s="11">
        <f>SUM(BS49:BS51)</f>
        <v/>
      </c>
      <c r="BT52" s="11">
        <f>SUM(BT49:BT51)</f>
        <v/>
      </c>
      <c r="BU52" s="11">
        <f>SUM(BU49:BU51)</f>
        <v/>
      </c>
      <c r="BV52" s="11">
        <f>SUM(BV49:BV51)</f>
        <v/>
      </c>
      <c r="BW52" s="11">
        <f>SUM(BW49:BW51)</f>
        <v/>
      </c>
      <c r="BX52" s="11">
        <f>SUM(BX49:BX51)</f>
        <v/>
      </c>
      <c r="BY52" s="11">
        <f>SUM(BY49:BY51)</f>
        <v/>
      </c>
    </row>
    <row r="53">
      <c r="B53" t="inlineStr">
        <is>
          <t>Дети новых школ, 1–12 мес.</t>
        </is>
      </c>
      <c r="C53" t="inlineStr">
        <is>
          <t>чел.</t>
        </is>
      </c>
      <c r="D53" s="117" t="inlineStr">
        <is>
          <t>Каждая когорта умножается на ёмкость своего возраста из справочника тарифов</t>
        </is>
      </c>
      <c r="E53" s="118">
        <f>W53</f>
        <v/>
      </c>
      <c r="F53" s="118">
        <f>AI53</f>
        <v/>
      </c>
      <c r="G53" s="118">
        <f>AU53</f>
        <v/>
      </c>
      <c r="H53" s="118">
        <f>BG53</f>
        <v/>
      </c>
      <c r="I53" s="118">
        <f>BS53</f>
        <v/>
      </c>
      <c r="J53" s="10">
        <f>BS53</f>
        <v/>
      </c>
      <c r="L53" s="9">
        <f>SUMPRODUCT(L22:L33,CapacityYear1)*МножительДетей*L9</f>
        <v/>
      </c>
      <c r="M53" s="9">
        <f>SUMPRODUCT(M22:M33,CapacityYear1)*МножительДетей*M9</f>
        <v/>
      </c>
      <c r="N53" s="9">
        <f>SUMPRODUCT(N22:N33,CapacityYear1)*МножительДетей*N9</f>
        <v/>
      </c>
      <c r="O53" s="9">
        <f>SUMPRODUCT(O22:O33,CapacityYear1)*МножительДетей*O9</f>
        <v/>
      </c>
      <c r="P53" s="9">
        <f>SUMPRODUCT(P22:P33,CapacityYear1)*МножительДетей*P9</f>
        <v/>
      </c>
      <c r="Q53" s="9">
        <f>SUMPRODUCT(Q22:Q33,CapacityYear1)*МножительДетей*Q9</f>
        <v/>
      </c>
      <c r="R53" s="9">
        <f>SUMPRODUCT(R22:R33,CapacityYear1)*МножительДетей*R9</f>
        <v/>
      </c>
      <c r="S53" s="9">
        <f>SUMPRODUCT(S22:S33,CapacityYear1)*МножительДетей*S9</f>
        <v/>
      </c>
      <c r="T53" s="9">
        <f>SUMPRODUCT(T22:T33,CapacityYear1)*МножительДетей*T9</f>
        <v/>
      </c>
      <c r="U53" s="9">
        <f>SUMPRODUCT(U22:U33,CapacityYear1)*МножительДетей*U9</f>
        <v/>
      </c>
      <c r="V53" s="9">
        <f>SUMPRODUCT(V22:V33,CapacityYear1)*МножительДетей*V9</f>
        <v/>
      </c>
      <c r="W53" s="9">
        <f>SUMPRODUCT(W22:W33,CapacityYear1)*МножительДетей*W9</f>
        <v/>
      </c>
      <c r="X53" s="9">
        <f>SUMPRODUCT(X22:X33,CapacityYear1)*МножительДетей*X9</f>
        <v/>
      </c>
      <c r="Y53" s="9">
        <f>SUMPRODUCT(Y22:Y33,CapacityYear1)*МножительДетей*Y9</f>
        <v/>
      </c>
      <c r="Z53" s="9">
        <f>SUMPRODUCT(Z22:Z33,CapacityYear1)*МножительДетей*Z9</f>
        <v/>
      </c>
      <c r="AA53" s="9">
        <f>SUMPRODUCT(AA22:AA33,CapacityYear1)*МножительДетей*AA9</f>
        <v/>
      </c>
      <c r="AB53" s="9">
        <f>SUMPRODUCT(AB22:AB33,CapacityYear1)*МножительДетей*AB9</f>
        <v/>
      </c>
      <c r="AC53" s="9">
        <f>SUMPRODUCT(AC22:AC33,CapacityYear1)*МножительДетей*AC9</f>
        <v/>
      </c>
      <c r="AD53" s="9">
        <f>SUMPRODUCT(AD22:AD33,CapacityYear1)*МножительДетей*AD9</f>
        <v/>
      </c>
      <c r="AE53" s="9">
        <f>SUMPRODUCT(AE22:AE33,CapacityYear1)*МножительДетей*AE9</f>
        <v/>
      </c>
      <c r="AF53" s="9">
        <f>SUMPRODUCT(AF22:AF33,CapacityYear1)*МножительДетей*AF9</f>
        <v/>
      </c>
      <c r="AG53" s="9">
        <f>SUMPRODUCT(AG22:AG33,CapacityYear1)*МножительДетей*AG9</f>
        <v/>
      </c>
      <c r="AH53" s="9">
        <f>SUMPRODUCT(AH22:AH33,CapacityYear1)*МножительДетей*AH9</f>
        <v/>
      </c>
      <c r="AI53" s="9">
        <f>SUMPRODUCT(AI22:AI33,CapacityYear1)*МножительДетей*AI9</f>
        <v/>
      </c>
      <c r="AJ53" s="9">
        <f>SUMPRODUCT(AJ22:AJ33,CapacityYear1)*МножительДетей*AJ9</f>
        <v/>
      </c>
      <c r="AK53" s="9">
        <f>SUMPRODUCT(AK22:AK33,CapacityYear1)*МножительДетей*AK9</f>
        <v/>
      </c>
      <c r="AL53" s="9">
        <f>SUMPRODUCT(AL22:AL33,CapacityYear1)*МножительДетей*AL9</f>
        <v/>
      </c>
      <c r="AM53" s="9">
        <f>SUMPRODUCT(AM22:AM33,CapacityYear1)*МножительДетей*AM9</f>
        <v/>
      </c>
      <c r="AN53" s="9">
        <f>SUMPRODUCT(AN22:AN33,CapacityYear1)*МножительДетей*AN9</f>
        <v/>
      </c>
      <c r="AO53" s="9">
        <f>SUMPRODUCT(AO22:AO33,CapacityYear1)*МножительДетей*AO9</f>
        <v/>
      </c>
      <c r="AP53" s="9">
        <f>SUMPRODUCT(AP22:AP33,CapacityYear1)*МножительДетей*AP9</f>
        <v/>
      </c>
      <c r="AQ53" s="9">
        <f>SUMPRODUCT(AQ22:AQ33,CapacityYear1)*МножительДетей*AQ9</f>
        <v/>
      </c>
      <c r="AR53" s="9">
        <f>SUMPRODUCT(AR22:AR33,CapacityYear1)*МножительДетей*AR9</f>
        <v/>
      </c>
      <c r="AS53" s="9">
        <f>SUMPRODUCT(AS22:AS33,CapacityYear1)*МножительДетей*AS9</f>
        <v/>
      </c>
      <c r="AT53" s="9">
        <f>SUMPRODUCT(AT22:AT33,CapacityYear1)*МножительДетей*AT9</f>
        <v/>
      </c>
      <c r="AU53" s="9">
        <f>SUMPRODUCT(AU22:AU33,CapacityYear1)*МножительДетей*AU9</f>
        <v/>
      </c>
      <c r="AV53" s="9">
        <f>SUMPRODUCT(AV22:AV33,CapacityYear1)*МножительДетей*AV9</f>
        <v/>
      </c>
      <c r="AW53" s="9">
        <f>SUMPRODUCT(AW22:AW33,CapacityYear1)*МножительДетей*AW9</f>
        <v/>
      </c>
      <c r="AX53" s="9">
        <f>SUMPRODUCT(AX22:AX33,CapacityYear1)*МножительДетей*AX9</f>
        <v/>
      </c>
      <c r="AY53" s="9">
        <f>SUMPRODUCT(AY22:AY33,CapacityYear1)*МножительДетей*AY9</f>
        <v/>
      </c>
      <c r="AZ53" s="9">
        <f>SUMPRODUCT(AZ22:AZ33,CapacityYear1)*МножительДетей*AZ9</f>
        <v/>
      </c>
      <c r="BA53" s="9">
        <f>SUMPRODUCT(BA22:BA33,CapacityYear1)*МножительДетей*BA9</f>
        <v/>
      </c>
      <c r="BB53" s="9">
        <f>SUMPRODUCT(BB22:BB33,CapacityYear1)*МножительДетей*BB9</f>
        <v/>
      </c>
      <c r="BC53" s="9">
        <f>SUMPRODUCT(BC22:BC33,CapacityYear1)*МножительДетей*BC9</f>
        <v/>
      </c>
      <c r="BD53" s="9">
        <f>SUMPRODUCT(BD22:BD33,CapacityYear1)*МножительДетей*BD9</f>
        <v/>
      </c>
      <c r="BE53" s="9">
        <f>SUMPRODUCT(BE22:BE33,CapacityYear1)*МножительДетей*BE9</f>
        <v/>
      </c>
      <c r="BF53" s="9">
        <f>SUMPRODUCT(BF22:BF33,CapacityYear1)*МножительДетей*BF9</f>
        <v/>
      </c>
      <c r="BG53" s="9">
        <f>SUMPRODUCT(BG22:BG33,CapacityYear1)*МножительДетей*BG9</f>
        <v/>
      </c>
      <c r="BH53" s="9">
        <f>SUMPRODUCT(BH22:BH33,CapacityYear1)*МножительДетей*BH9</f>
        <v/>
      </c>
      <c r="BI53" s="9">
        <f>SUMPRODUCT(BI22:BI33,CapacityYear1)*МножительДетей*BI9</f>
        <v/>
      </c>
      <c r="BJ53" s="9">
        <f>SUMPRODUCT(BJ22:BJ33,CapacityYear1)*МножительДетей*BJ9</f>
        <v/>
      </c>
      <c r="BK53" s="9">
        <f>SUMPRODUCT(BK22:BK33,CapacityYear1)*МножительДетей*BK9</f>
        <v/>
      </c>
      <c r="BL53" s="9">
        <f>SUMPRODUCT(BL22:BL33,CapacityYear1)*МножительДетей*BL9</f>
        <v/>
      </c>
      <c r="BM53" s="9">
        <f>SUMPRODUCT(BM22:BM33,CapacityYear1)*МножительДетей*BM9</f>
        <v/>
      </c>
      <c r="BN53" s="9">
        <f>SUMPRODUCT(BN22:BN33,CapacityYear1)*МножительДетей*BN9</f>
        <v/>
      </c>
      <c r="BO53" s="9">
        <f>SUMPRODUCT(BO22:BO33,CapacityYear1)*МножительДетей*BO9</f>
        <v/>
      </c>
      <c r="BP53" s="9">
        <f>SUMPRODUCT(BP22:BP33,CapacityYear1)*МножительДетей*BP9</f>
        <v/>
      </c>
      <c r="BQ53" s="9">
        <f>SUMPRODUCT(BQ22:BQ33,CapacityYear1)*МножительДетей*BQ9</f>
        <v/>
      </c>
      <c r="BR53" s="9">
        <f>SUMPRODUCT(BR22:BR33,CapacityYear1)*МножительДетей*BR9</f>
        <v/>
      </c>
      <c r="BS53" s="9">
        <f>SUMPRODUCT(BS22:BS33,CapacityYear1)*МножительДетей*BS9</f>
        <v/>
      </c>
      <c r="BT53" s="9">
        <f>SUMPRODUCT(BT22:BT33,CapacityYear1)*МножительДетей*BT9</f>
        <v/>
      </c>
      <c r="BU53" s="9">
        <f>SUMPRODUCT(BU22:BU33,CapacityYear1)*МножительДетей*BU9</f>
        <v/>
      </c>
      <c r="BV53" s="9">
        <f>SUMPRODUCT(BV22:BV33,CapacityYear1)*МножительДетей*BV9</f>
        <v/>
      </c>
      <c r="BW53" s="9">
        <f>SUMPRODUCT(BW22:BW33,CapacityYear1)*МножительДетей*BW9</f>
        <v/>
      </c>
      <c r="BX53" s="9">
        <f>SUMPRODUCT(BX22:BX33,CapacityYear1)*МножительДетей*BX9</f>
        <v/>
      </c>
      <c r="BY53" s="9">
        <f>SUMPRODUCT(BY22:BY33,CapacityYear1)*МножительДетей*BY9</f>
        <v/>
      </c>
    </row>
    <row r="54">
      <c r="B54" t="inlineStr">
        <is>
          <t>Дети новых школ, 13–24 мес.</t>
        </is>
      </c>
      <c r="C54" t="inlineStr">
        <is>
          <t>чел.</t>
        </is>
      </c>
      <c r="D54" s="117" t="inlineStr"/>
      <c r="E54" s="118">
        <f>W54</f>
        <v/>
      </c>
      <c r="F54" s="118">
        <f>AI54</f>
        <v/>
      </c>
      <c r="G54" s="118">
        <f>AU54</f>
        <v/>
      </c>
      <c r="H54" s="118">
        <f>BG54</f>
        <v/>
      </c>
      <c r="I54" s="118">
        <f>BS54</f>
        <v/>
      </c>
      <c r="J54" s="10">
        <f>BS54</f>
        <v/>
      </c>
      <c r="L54" s="9">
        <f>SUMPRODUCT(L34:L45,CapacityYear2)*МножительДетей*L9</f>
        <v/>
      </c>
      <c r="M54" s="9">
        <f>SUMPRODUCT(M34:M45,CapacityYear2)*МножительДетей*M9</f>
        <v/>
      </c>
      <c r="N54" s="9">
        <f>SUMPRODUCT(N34:N45,CapacityYear2)*МножительДетей*N9</f>
        <v/>
      </c>
      <c r="O54" s="9">
        <f>SUMPRODUCT(O34:O45,CapacityYear2)*МножительДетей*O9</f>
        <v/>
      </c>
      <c r="P54" s="9">
        <f>SUMPRODUCT(P34:P45,CapacityYear2)*МножительДетей*P9</f>
        <v/>
      </c>
      <c r="Q54" s="9">
        <f>SUMPRODUCT(Q34:Q45,CapacityYear2)*МножительДетей*Q9</f>
        <v/>
      </c>
      <c r="R54" s="9">
        <f>SUMPRODUCT(R34:R45,CapacityYear2)*МножительДетей*R9</f>
        <v/>
      </c>
      <c r="S54" s="9">
        <f>SUMPRODUCT(S34:S45,CapacityYear2)*МножительДетей*S9</f>
        <v/>
      </c>
      <c r="T54" s="9">
        <f>SUMPRODUCT(T34:T45,CapacityYear2)*МножительДетей*T9</f>
        <v/>
      </c>
      <c r="U54" s="9">
        <f>SUMPRODUCT(U34:U45,CapacityYear2)*МножительДетей*U9</f>
        <v/>
      </c>
      <c r="V54" s="9">
        <f>SUMPRODUCT(V34:V45,CapacityYear2)*МножительДетей*V9</f>
        <v/>
      </c>
      <c r="W54" s="9">
        <f>SUMPRODUCT(W34:W45,CapacityYear2)*МножительДетей*W9</f>
        <v/>
      </c>
      <c r="X54" s="9">
        <f>SUMPRODUCT(X34:X45,CapacityYear2)*МножительДетей*X9</f>
        <v/>
      </c>
      <c r="Y54" s="9">
        <f>SUMPRODUCT(Y34:Y45,CapacityYear2)*МножительДетей*Y9</f>
        <v/>
      </c>
      <c r="Z54" s="9">
        <f>SUMPRODUCT(Z34:Z45,CapacityYear2)*МножительДетей*Z9</f>
        <v/>
      </c>
      <c r="AA54" s="9">
        <f>SUMPRODUCT(AA34:AA45,CapacityYear2)*МножительДетей*AA9</f>
        <v/>
      </c>
      <c r="AB54" s="9">
        <f>SUMPRODUCT(AB34:AB45,CapacityYear2)*МножительДетей*AB9</f>
        <v/>
      </c>
      <c r="AC54" s="9">
        <f>SUMPRODUCT(AC34:AC45,CapacityYear2)*МножительДетей*AC9</f>
        <v/>
      </c>
      <c r="AD54" s="9">
        <f>SUMPRODUCT(AD34:AD45,CapacityYear2)*МножительДетей*AD9</f>
        <v/>
      </c>
      <c r="AE54" s="9">
        <f>SUMPRODUCT(AE34:AE45,CapacityYear2)*МножительДетей*AE9</f>
        <v/>
      </c>
      <c r="AF54" s="9">
        <f>SUMPRODUCT(AF34:AF45,CapacityYear2)*МножительДетей*AF9</f>
        <v/>
      </c>
      <c r="AG54" s="9">
        <f>SUMPRODUCT(AG34:AG45,CapacityYear2)*МножительДетей*AG9</f>
        <v/>
      </c>
      <c r="AH54" s="9">
        <f>SUMPRODUCT(AH34:AH45,CapacityYear2)*МножительДетей*AH9</f>
        <v/>
      </c>
      <c r="AI54" s="9">
        <f>SUMPRODUCT(AI34:AI45,CapacityYear2)*МножительДетей*AI9</f>
        <v/>
      </c>
      <c r="AJ54" s="9">
        <f>SUMPRODUCT(AJ34:AJ45,CapacityYear2)*МножительДетей*AJ9</f>
        <v/>
      </c>
      <c r="AK54" s="9">
        <f>SUMPRODUCT(AK34:AK45,CapacityYear2)*МножительДетей*AK9</f>
        <v/>
      </c>
      <c r="AL54" s="9">
        <f>SUMPRODUCT(AL34:AL45,CapacityYear2)*МножительДетей*AL9</f>
        <v/>
      </c>
      <c r="AM54" s="9">
        <f>SUMPRODUCT(AM34:AM45,CapacityYear2)*МножительДетей*AM9</f>
        <v/>
      </c>
      <c r="AN54" s="9">
        <f>SUMPRODUCT(AN34:AN45,CapacityYear2)*МножительДетей*AN9</f>
        <v/>
      </c>
      <c r="AO54" s="9">
        <f>SUMPRODUCT(AO34:AO45,CapacityYear2)*МножительДетей*AO9</f>
        <v/>
      </c>
      <c r="AP54" s="9">
        <f>SUMPRODUCT(AP34:AP45,CapacityYear2)*МножительДетей*AP9</f>
        <v/>
      </c>
      <c r="AQ54" s="9">
        <f>SUMPRODUCT(AQ34:AQ45,CapacityYear2)*МножительДетей*AQ9</f>
        <v/>
      </c>
      <c r="AR54" s="9">
        <f>SUMPRODUCT(AR34:AR45,CapacityYear2)*МножительДетей*AR9</f>
        <v/>
      </c>
      <c r="AS54" s="9">
        <f>SUMPRODUCT(AS34:AS45,CapacityYear2)*МножительДетей*AS9</f>
        <v/>
      </c>
      <c r="AT54" s="9">
        <f>SUMPRODUCT(AT34:AT45,CapacityYear2)*МножительДетей*AT9</f>
        <v/>
      </c>
      <c r="AU54" s="9">
        <f>SUMPRODUCT(AU34:AU45,CapacityYear2)*МножительДетей*AU9</f>
        <v/>
      </c>
      <c r="AV54" s="9">
        <f>SUMPRODUCT(AV34:AV45,CapacityYear2)*МножительДетей*AV9</f>
        <v/>
      </c>
      <c r="AW54" s="9">
        <f>SUMPRODUCT(AW34:AW45,CapacityYear2)*МножительДетей*AW9</f>
        <v/>
      </c>
      <c r="AX54" s="9">
        <f>SUMPRODUCT(AX34:AX45,CapacityYear2)*МножительДетей*AX9</f>
        <v/>
      </c>
      <c r="AY54" s="9">
        <f>SUMPRODUCT(AY34:AY45,CapacityYear2)*МножительДетей*AY9</f>
        <v/>
      </c>
      <c r="AZ54" s="9">
        <f>SUMPRODUCT(AZ34:AZ45,CapacityYear2)*МножительДетей*AZ9</f>
        <v/>
      </c>
      <c r="BA54" s="9">
        <f>SUMPRODUCT(BA34:BA45,CapacityYear2)*МножительДетей*BA9</f>
        <v/>
      </c>
      <c r="BB54" s="9">
        <f>SUMPRODUCT(BB34:BB45,CapacityYear2)*МножительДетей*BB9</f>
        <v/>
      </c>
      <c r="BC54" s="9">
        <f>SUMPRODUCT(BC34:BC45,CapacityYear2)*МножительДетей*BC9</f>
        <v/>
      </c>
      <c r="BD54" s="9">
        <f>SUMPRODUCT(BD34:BD45,CapacityYear2)*МножительДетей*BD9</f>
        <v/>
      </c>
      <c r="BE54" s="9">
        <f>SUMPRODUCT(BE34:BE45,CapacityYear2)*МножительДетей*BE9</f>
        <v/>
      </c>
      <c r="BF54" s="9">
        <f>SUMPRODUCT(BF34:BF45,CapacityYear2)*МножительДетей*BF9</f>
        <v/>
      </c>
      <c r="BG54" s="9">
        <f>SUMPRODUCT(BG34:BG45,CapacityYear2)*МножительДетей*BG9</f>
        <v/>
      </c>
      <c r="BH54" s="9">
        <f>SUMPRODUCT(BH34:BH45,CapacityYear2)*МножительДетей*BH9</f>
        <v/>
      </c>
      <c r="BI54" s="9">
        <f>SUMPRODUCT(BI34:BI45,CapacityYear2)*МножительДетей*BI9</f>
        <v/>
      </c>
      <c r="BJ54" s="9">
        <f>SUMPRODUCT(BJ34:BJ45,CapacityYear2)*МножительДетей*BJ9</f>
        <v/>
      </c>
      <c r="BK54" s="9">
        <f>SUMPRODUCT(BK34:BK45,CapacityYear2)*МножительДетей*BK9</f>
        <v/>
      </c>
      <c r="BL54" s="9">
        <f>SUMPRODUCT(BL34:BL45,CapacityYear2)*МножительДетей*BL9</f>
        <v/>
      </c>
      <c r="BM54" s="9">
        <f>SUMPRODUCT(BM34:BM45,CapacityYear2)*МножительДетей*BM9</f>
        <v/>
      </c>
      <c r="BN54" s="9">
        <f>SUMPRODUCT(BN34:BN45,CapacityYear2)*МножительДетей*BN9</f>
        <v/>
      </c>
      <c r="BO54" s="9">
        <f>SUMPRODUCT(BO34:BO45,CapacityYear2)*МножительДетей*BO9</f>
        <v/>
      </c>
      <c r="BP54" s="9">
        <f>SUMPRODUCT(BP34:BP45,CapacityYear2)*МножительДетей*BP9</f>
        <v/>
      </c>
      <c r="BQ54" s="9">
        <f>SUMPRODUCT(BQ34:BQ45,CapacityYear2)*МножительДетей*BQ9</f>
        <v/>
      </c>
      <c r="BR54" s="9">
        <f>SUMPRODUCT(BR34:BR45,CapacityYear2)*МножительДетей*BR9</f>
        <v/>
      </c>
      <c r="BS54" s="9">
        <f>SUMPRODUCT(BS34:BS45,CapacityYear2)*МножительДетей*BS9</f>
        <v/>
      </c>
      <c r="BT54" s="9">
        <f>SUMPRODUCT(BT34:BT45,CapacityYear2)*МножительДетей*BT9</f>
        <v/>
      </c>
      <c r="BU54" s="9">
        <f>SUMPRODUCT(BU34:BU45,CapacityYear2)*МножительДетей*BU9</f>
        <v/>
      </c>
      <c r="BV54" s="9">
        <f>SUMPRODUCT(BV34:BV45,CapacityYear2)*МножительДетей*BV9</f>
        <v/>
      </c>
      <c r="BW54" s="9">
        <f>SUMPRODUCT(BW34:BW45,CapacityYear2)*МножительДетей*BW9</f>
        <v/>
      </c>
      <c r="BX54" s="9">
        <f>SUMPRODUCT(BX34:BX45,CapacityYear2)*МножительДетей*BX9</f>
        <v/>
      </c>
      <c r="BY54" s="9">
        <f>SUMPRODUCT(BY34:BY45,CapacityYear2)*МножительДетей*BY9</f>
        <v/>
      </c>
    </row>
    <row r="55">
      <c r="B55" t="inlineStr">
        <is>
          <t>Дети новых школ, зрелые</t>
        </is>
      </c>
      <c r="C55" t="inlineStr">
        <is>
          <t>чел.</t>
        </is>
      </c>
      <c r="D55" s="117" t="inlineStr"/>
      <c r="E55" s="118">
        <f>W55</f>
        <v/>
      </c>
      <c r="F55" s="118">
        <f>AI55</f>
        <v/>
      </c>
      <c r="G55" s="118">
        <f>AU55</f>
        <v/>
      </c>
      <c r="H55" s="118">
        <f>BG55</f>
        <v/>
      </c>
      <c r="I55" s="118">
        <f>BS55</f>
        <v/>
      </c>
      <c r="J55" s="10">
        <f>BS55</f>
        <v/>
      </c>
      <c r="L55" s="9">
        <f>L46*CapacityAge25*МножительДетей*L9</f>
        <v/>
      </c>
      <c r="M55" s="9">
        <f>M46*CapacityAge25*МножительДетей*M9</f>
        <v/>
      </c>
      <c r="N55" s="9">
        <f>N46*CapacityAge25*МножительДетей*N9</f>
        <v/>
      </c>
      <c r="O55" s="9">
        <f>O46*CapacityAge25*МножительДетей*O9</f>
        <v/>
      </c>
      <c r="P55" s="9">
        <f>P46*CapacityAge25*МножительДетей*P9</f>
        <v/>
      </c>
      <c r="Q55" s="9">
        <f>Q46*CapacityAge25*МножительДетей*Q9</f>
        <v/>
      </c>
      <c r="R55" s="9">
        <f>R46*CapacityAge25*МножительДетей*R9</f>
        <v/>
      </c>
      <c r="S55" s="9">
        <f>S46*CapacityAge25*МножительДетей*S9</f>
        <v/>
      </c>
      <c r="T55" s="9">
        <f>T46*CapacityAge25*МножительДетей*T9</f>
        <v/>
      </c>
      <c r="U55" s="9">
        <f>U46*CapacityAge25*МножительДетей*U9</f>
        <v/>
      </c>
      <c r="V55" s="9">
        <f>V46*CapacityAge25*МножительДетей*V9</f>
        <v/>
      </c>
      <c r="W55" s="9">
        <f>W46*CapacityAge25*МножительДетей*W9</f>
        <v/>
      </c>
      <c r="X55" s="9">
        <f>X46*CapacityAge25*МножительДетей*X9</f>
        <v/>
      </c>
      <c r="Y55" s="9">
        <f>Y46*CapacityAge25*МножительДетей*Y9</f>
        <v/>
      </c>
      <c r="Z55" s="9">
        <f>Z46*CapacityAge25*МножительДетей*Z9</f>
        <v/>
      </c>
      <c r="AA55" s="9">
        <f>AA46*CapacityAge25*МножительДетей*AA9</f>
        <v/>
      </c>
      <c r="AB55" s="9">
        <f>AB46*CapacityAge25*МножительДетей*AB9</f>
        <v/>
      </c>
      <c r="AC55" s="9">
        <f>AC46*CapacityAge25*МножительДетей*AC9</f>
        <v/>
      </c>
      <c r="AD55" s="9">
        <f>AD46*CapacityAge25*МножительДетей*AD9</f>
        <v/>
      </c>
      <c r="AE55" s="9">
        <f>AE46*CapacityAge25*МножительДетей*AE9</f>
        <v/>
      </c>
      <c r="AF55" s="9">
        <f>AF46*CapacityAge25*МножительДетей*AF9</f>
        <v/>
      </c>
      <c r="AG55" s="9">
        <f>AG46*CapacityAge25*МножительДетей*AG9</f>
        <v/>
      </c>
      <c r="AH55" s="9">
        <f>AH46*CapacityAge25*МножительДетей*AH9</f>
        <v/>
      </c>
      <c r="AI55" s="9">
        <f>AI46*CapacityAge25*МножительДетей*AI9</f>
        <v/>
      </c>
      <c r="AJ55" s="9">
        <f>AJ46*CapacityAge25*МножительДетей*AJ9</f>
        <v/>
      </c>
      <c r="AK55" s="9">
        <f>AK46*CapacityAge25*МножительДетей*AK9</f>
        <v/>
      </c>
      <c r="AL55" s="9">
        <f>AL46*CapacityAge25*МножительДетей*AL9</f>
        <v/>
      </c>
      <c r="AM55" s="9">
        <f>AM46*CapacityAge25*МножительДетей*AM9</f>
        <v/>
      </c>
      <c r="AN55" s="9">
        <f>AN46*CapacityAge25*МножительДетей*AN9</f>
        <v/>
      </c>
      <c r="AO55" s="9">
        <f>AO46*CapacityAge25*МножительДетей*AO9</f>
        <v/>
      </c>
      <c r="AP55" s="9">
        <f>AP46*CapacityAge25*МножительДетей*AP9</f>
        <v/>
      </c>
      <c r="AQ55" s="9">
        <f>AQ46*CapacityAge25*МножительДетей*AQ9</f>
        <v/>
      </c>
      <c r="AR55" s="9">
        <f>AR46*CapacityAge25*МножительДетей*AR9</f>
        <v/>
      </c>
      <c r="AS55" s="9">
        <f>AS46*CapacityAge25*МножительДетей*AS9</f>
        <v/>
      </c>
      <c r="AT55" s="9">
        <f>AT46*CapacityAge25*МножительДетей*AT9</f>
        <v/>
      </c>
      <c r="AU55" s="9">
        <f>AU46*CapacityAge25*МножительДетей*AU9</f>
        <v/>
      </c>
      <c r="AV55" s="9">
        <f>AV46*CapacityAge25*МножительДетей*AV9</f>
        <v/>
      </c>
      <c r="AW55" s="9">
        <f>AW46*CapacityAge25*МножительДетей*AW9</f>
        <v/>
      </c>
      <c r="AX55" s="9">
        <f>AX46*CapacityAge25*МножительДетей*AX9</f>
        <v/>
      </c>
      <c r="AY55" s="9">
        <f>AY46*CapacityAge25*МножительДетей*AY9</f>
        <v/>
      </c>
      <c r="AZ55" s="9">
        <f>AZ46*CapacityAge25*МножительДетей*AZ9</f>
        <v/>
      </c>
      <c r="BA55" s="9">
        <f>BA46*CapacityAge25*МножительДетей*BA9</f>
        <v/>
      </c>
      <c r="BB55" s="9">
        <f>BB46*CapacityAge25*МножительДетей*BB9</f>
        <v/>
      </c>
      <c r="BC55" s="9">
        <f>BC46*CapacityAge25*МножительДетей*BC9</f>
        <v/>
      </c>
      <c r="BD55" s="9">
        <f>BD46*CapacityAge25*МножительДетей*BD9</f>
        <v/>
      </c>
      <c r="BE55" s="9">
        <f>BE46*CapacityAge25*МножительДетей*BE9</f>
        <v/>
      </c>
      <c r="BF55" s="9">
        <f>BF46*CapacityAge25*МножительДетей*BF9</f>
        <v/>
      </c>
      <c r="BG55" s="9">
        <f>BG46*CapacityAge25*МножительДетей*BG9</f>
        <v/>
      </c>
      <c r="BH55" s="9">
        <f>BH46*CapacityAge25*МножительДетей*BH9</f>
        <v/>
      </c>
      <c r="BI55" s="9">
        <f>BI46*CapacityAge25*МножительДетей*BI9</f>
        <v/>
      </c>
      <c r="BJ55" s="9">
        <f>BJ46*CapacityAge25*МножительДетей*BJ9</f>
        <v/>
      </c>
      <c r="BK55" s="9">
        <f>BK46*CapacityAge25*МножительДетей*BK9</f>
        <v/>
      </c>
      <c r="BL55" s="9">
        <f>BL46*CapacityAge25*МножительДетей*BL9</f>
        <v/>
      </c>
      <c r="BM55" s="9">
        <f>BM46*CapacityAge25*МножительДетей*BM9</f>
        <v/>
      </c>
      <c r="BN55" s="9">
        <f>BN46*CapacityAge25*МножительДетей*BN9</f>
        <v/>
      </c>
      <c r="BO55" s="9">
        <f>BO46*CapacityAge25*МножительДетей*BO9</f>
        <v/>
      </c>
      <c r="BP55" s="9">
        <f>BP46*CapacityAge25*МножительДетей*BP9</f>
        <v/>
      </c>
      <c r="BQ55" s="9">
        <f>BQ46*CapacityAge25*МножительДетей*BQ9</f>
        <v/>
      </c>
      <c r="BR55" s="9">
        <f>BR46*CapacityAge25*МножительДетей*BR9</f>
        <v/>
      </c>
      <c r="BS55" s="9">
        <f>BS46*CapacityAge25*МножительДетей*BS9</f>
        <v/>
      </c>
      <c r="BT55" s="9">
        <f>BT46*CapacityAge25*МножительДетей*BT9</f>
        <v/>
      </c>
      <c r="BU55" s="9">
        <f>BU46*CapacityAge25*МножительДетей*BU9</f>
        <v/>
      </c>
      <c r="BV55" s="9">
        <f>BV46*CapacityAge25*МножительДетей*BV9</f>
        <v/>
      </c>
      <c r="BW55" s="9">
        <f>BW46*CapacityAge25*МножительДетей*BW9</f>
        <v/>
      </c>
      <c r="BX55" s="9">
        <f>BX46*CapacityAge25*МножительДетей*BX9</f>
        <v/>
      </c>
      <c r="BY55" s="9">
        <f>BY46*CapacityAge25*МножительДетей*BY9</f>
        <v/>
      </c>
    </row>
    <row r="56">
      <c r="B56" s="6" t="inlineStr">
        <is>
          <t>Дети новых школ — всего</t>
        </is>
      </c>
      <c r="C56" s="6" t="inlineStr">
        <is>
          <t>чел.</t>
        </is>
      </c>
      <c r="D56" s="120" t="inlineStr"/>
      <c r="E56" s="130">
        <f>W56</f>
        <v/>
      </c>
      <c r="F56" s="130">
        <f>AI56</f>
        <v/>
      </c>
      <c r="G56" s="130">
        <f>AU56</f>
        <v/>
      </c>
      <c r="H56" s="130">
        <f>BG56</f>
        <v/>
      </c>
      <c r="I56" s="130">
        <f>BS56</f>
        <v/>
      </c>
      <c r="J56" s="12">
        <f>BS56</f>
        <v/>
      </c>
      <c r="L56" s="11">
        <f>SUM(L53:L55)</f>
        <v/>
      </c>
      <c r="M56" s="11">
        <f>SUM(M53:M55)</f>
        <v/>
      </c>
      <c r="N56" s="11">
        <f>SUM(N53:N55)</f>
        <v/>
      </c>
      <c r="O56" s="11">
        <f>SUM(O53:O55)</f>
        <v/>
      </c>
      <c r="P56" s="11">
        <f>SUM(P53:P55)</f>
        <v/>
      </c>
      <c r="Q56" s="11">
        <f>SUM(Q53:Q55)</f>
        <v/>
      </c>
      <c r="R56" s="11">
        <f>SUM(R53:R55)</f>
        <v/>
      </c>
      <c r="S56" s="11">
        <f>SUM(S53:S55)</f>
        <v/>
      </c>
      <c r="T56" s="11">
        <f>SUM(T53:T55)</f>
        <v/>
      </c>
      <c r="U56" s="11">
        <f>SUM(U53:U55)</f>
        <v/>
      </c>
      <c r="V56" s="11">
        <f>SUM(V53:V55)</f>
        <v/>
      </c>
      <c r="W56" s="11">
        <f>SUM(W53:W55)</f>
        <v/>
      </c>
      <c r="X56" s="11">
        <f>SUM(X53:X55)</f>
        <v/>
      </c>
      <c r="Y56" s="11">
        <f>SUM(Y53:Y55)</f>
        <v/>
      </c>
      <c r="Z56" s="11">
        <f>SUM(Z53:Z55)</f>
        <v/>
      </c>
      <c r="AA56" s="11">
        <f>SUM(AA53:AA55)</f>
        <v/>
      </c>
      <c r="AB56" s="11">
        <f>SUM(AB53:AB55)</f>
        <v/>
      </c>
      <c r="AC56" s="11">
        <f>SUM(AC53:AC55)</f>
        <v/>
      </c>
      <c r="AD56" s="11">
        <f>SUM(AD53:AD55)</f>
        <v/>
      </c>
      <c r="AE56" s="11">
        <f>SUM(AE53:AE55)</f>
        <v/>
      </c>
      <c r="AF56" s="11">
        <f>SUM(AF53:AF55)</f>
        <v/>
      </c>
      <c r="AG56" s="11">
        <f>SUM(AG53:AG55)</f>
        <v/>
      </c>
      <c r="AH56" s="11">
        <f>SUM(AH53:AH55)</f>
        <v/>
      </c>
      <c r="AI56" s="11">
        <f>SUM(AI53:AI55)</f>
        <v/>
      </c>
      <c r="AJ56" s="11">
        <f>SUM(AJ53:AJ55)</f>
        <v/>
      </c>
      <c r="AK56" s="11">
        <f>SUM(AK53:AK55)</f>
        <v/>
      </c>
      <c r="AL56" s="11">
        <f>SUM(AL53:AL55)</f>
        <v/>
      </c>
      <c r="AM56" s="11">
        <f>SUM(AM53:AM55)</f>
        <v/>
      </c>
      <c r="AN56" s="11">
        <f>SUM(AN53:AN55)</f>
        <v/>
      </c>
      <c r="AO56" s="11">
        <f>SUM(AO53:AO55)</f>
        <v/>
      </c>
      <c r="AP56" s="11">
        <f>SUM(AP53:AP55)</f>
        <v/>
      </c>
      <c r="AQ56" s="11">
        <f>SUM(AQ53:AQ55)</f>
        <v/>
      </c>
      <c r="AR56" s="11">
        <f>SUM(AR53:AR55)</f>
        <v/>
      </c>
      <c r="AS56" s="11">
        <f>SUM(AS53:AS55)</f>
        <v/>
      </c>
      <c r="AT56" s="11">
        <f>SUM(AT53:AT55)</f>
        <v/>
      </c>
      <c r="AU56" s="11">
        <f>SUM(AU53:AU55)</f>
        <v/>
      </c>
      <c r="AV56" s="11">
        <f>SUM(AV53:AV55)</f>
        <v/>
      </c>
      <c r="AW56" s="11">
        <f>SUM(AW53:AW55)</f>
        <v/>
      </c>
      <c r="AX56" s="11">
        <f>SUM(AX53:AX55)</f>
        <v/>
      </c>
      <c r="AY56" s="11">
        <f>SUM(AY53:AY55)</f>
        <v/>
      </c>
      <c r="AZ56" s="11">
        <f>SUM(AZ53:AZ55)</f>
        <v/>
      </c>
      <c r="BA56" s="11">
        <f>SUM(BA53:BA55)</f>
        <v/>
      </c>
      <c r="BB56" s="11">
        <f>SUM(BB53:BB55)</f>
        <v/>
      </c>
      <c r="BC56" s="11">
        <f>SUM(BC53:BC55)</f>
        <v/>
      </c>
      <c r="BD56" s="11">
        <f>SUM(BD53:BD55)</f>
        <v/>
      </c>
      <c r="BE56" s="11">
        <f>SUM(BE53:BE55)</f>
        <v/>
      </c>
      <c r="BF56" s="11">
        <f>SUM(BF53:BF55)</f>
        <v/>
      </c>
      <c r="BG56" s="11">
        <f>SUM(BG53:BG55)</f>
        <v/>
      </c>
      <c r="BH56" s="11">
        <f>SUM(BH53:BH55)</f>
        <v/>
      </c>
      <c r="BI56" s="11">
        <f>SUM(BI53:BI55)</f>
        <v/>
      </c>
      <c r="BJ56" s="11">
        <f>SUM(BJ53:BJ55)</f>
        <v/>
      </c>
      <c r="BK56" s="11">
        <f>SUM(BK53:BK55)</f>
        <v/>
      </c>
      <c r="BL56" s="11">
        <f>SUM(BL53:BL55)</f>
        <v/>
      </c>
      <c r="BM56" s="11">
        <f>SUM(BM53:BM55)</f>
        <v/>
      </c>
      <c r="BN56" s="11">
        <f>SUM(BN53:BN55)</f>
        <v/>
      </c>
      <c r="BO56" s="11">
        <f>SUM(BO53:BO55)</f>
        <v/>
      </c>
      <c r="BP56" s="11">
        <f>SUM(BP53:BP55)</f>
        <v/>
      </c>
      <c r="BQ56" s="11">
        <f>SUM(BQ53:BQ55)</f>
        <v/>
      </c>
      <c r="BR56" s="11">
        <f>SUM(BR53:BR55)</f>
        <v/>
      </c>
      <c r="BS56" s="11">
        <f>SUM(BS53:BS55)</f>
        <v/>
      </c>
      <c r="BT56" s="11">
        <f>SUM(BT53:BT55)</f>
        <v/>
      </c>
      <c r="BU56" s="11">
        <f>SUM(BU53:BU55)</f>
        <v/>
      </c>
      <c r="BV56" s="11">
        <f>SUM(BV53:BV55)</f>
        <v/>
      </c>
      <c r="BW56" s="11">
        <f>SUM(BW53:BW55)</f>
        <v/>
      </c>
      <c r="BX56" s="11">
        <f>SUM(BX53:BX55)</f>
        <v/>
      </c>
      <c r="BY56" s="11">
        <f>SUM(BY53:BY55)</f>
        <v/>
      </c>
    </row>
    <row r="58">
      <c r="B58" s="115" t="inlineStr">
        <is>
          <t>Итог по сети</t>
        </is>
      </c>
      <c r="C58" s="116" t="n"/>
      <c r="D58" s="116" t="n"/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W58" s="116" t="n"/>
      <c r="AX58" s="116" t="n"/>
      <c r="AY58" s="116" t="n"/>
      <c r="AZ58" s="116" t="n"/>
      <c r="BA58" s="116" t="n"/>
      <c r="BB58" s="116" t="n"/>
      <c r="BC58" s="116" t="n"/>
      <c r="BD58" s="116" t="n"/>
      <c r="BE58" s="116" t="n"/>
      <c r="BF58" s="116" t="n"/>
      <c r="BG58" s="116" t="n"/>
      <c r="BH58" s="116" t="n"/>
      <c r="BI58" s="116" t="n"/>
      <c r="BJ58" s="116" t="n"/>
      <c r="BK58" s="116" t="n"/>
      <c r="BL58" s="116" t="n"/>
      <c r="BM58" s="116" t="n"/>
      <c r="BN58" s="116" t="n"/>
      <c r="BO58" s="116" t="n"/>
      <c r="BP58" s="116" t="n"/>
      <c r="BQ58" s="116" t="n"/>
      <c r="BR58" s="116" t="n"/>
      <c r="BS58" s="116" t="n"/>
      <c r="BT58" s="116" t="n"/>
      <c r="BU58" s="116" t="n"/>
      <c r="BV58" s="116" t="n"/>
      <c r="BW58" s="116" t="n"/>
      <c r="BX58" s="116" t="n"/>
      <c r="BY58" s="116" t="n"/>
    </row>
    <row r="59">
      <c r="B59" s="6" t="inlineStr">
        <is>
          <t>Школы всего</t>
        </is>
      </c>
      <c r="C59" s="6" t="inlineStr">
        <is>
          <t>шт.</t>
        </is>
      </c>
      <c r="D59" s="120" t="inlineStr">
        <is>
          <t>Действующая сеть плюс новые школы</t>
        </is>
      </c>
      <c r="E59" s="130">
        <f>W59</f>
        <v/>
      </c>
      <c r="F59" s="130">
        <f>AI59</f>
        <v/>
      </c>
      <c r="G59" s="130">
        <f>AU59</f>
        <v/>
      </c>
      <c r="H59" s="130">
        <f>BG59</f>
        <v/>
      </c>
      <c r="I59" s="130">
        <f>BS59</f>
        <v/>
      </c>
      <c r="J59" s="12">
        <f>BS59</f>
        <v/>
      </c>
      <c r="L59" s="11">
        <f>L17+L52</f>
        <v/>
      </c>
      <c r="M59" s="11">
        <f>M17+M52</f>
        <v/>
      </c>
      <c r="N59" s="11">
        <f>N17+N52</f>
        <v/>
      </c>
      <c r="O59" s="11">
        <f>O17+O52</f>
        <v/>
      </c>
      <c r="P59" s="11">
        <f>P17+P52</f>
        <v/>
      </c>
      <c r="Q59" s="11">
        <f>Q17+Q52</f>
        <v/>
      </c>
      <c r="R59" s="11">
        <f>R17+R52</f>
        <v/>
      </c>
      <c r="S59" s="11">
        <f>S17+S52</f>
        <v/>
      </c>
      <c r="T59" s="11">
        <f>T17+T52</f>
        <v/>
      </c>
      <c r="U59" s="11">
        <f>U17+U52</f>
        <v/>
      </c>
      <c r="V59" s="11">
        <f>V17+V52</f>
        <v/>
      </c>
      <c r="W59" s="11">
        <f>W17+W52</f>
        <v/>
      </c>
      <c r="X59" s="11">
        <f>X17+X52</f>
        <v/>
      </c>
      <c r="Y59" s="11">
        <f>Y17+Y52</f>
        <v/>
      </c>
      <c r="Z59" s="11">
        <f>Z17+Z52</f>
        <v/>
      </c>
      <c r="AA59" s="11">
        <f>AA17+AA52</f>
        <v/>
      </c>
      <c r="AB59" s="11">
        <f>AB17+AB52</f>
        <v/>
      </c>
      <c r="AC59" s="11">
        <f>AC17+AC52</f>
        <v/>
      </c>
      <c r="AD59" s="11">
        <f>AD17+AD52</f>
        <v/>
      </c>
      <c r="AE59" s="11">
        <f>AE17+AE52</f>
        <v/>
      </c>
      <c r="AF59" s="11">
        <f>AF17+AF52</f>
        <v/>
      </c>
      <c r="AG59" s="11">
        <f>AG17+AG52</f>
        <v/>
      </c>
      <c r="AH59" s="11">
        <f>AH17+AH52</f>
        <v/>
      </c>
      <c r="AI59" s="11">
        <f>AI17+AI52</f>
        <v/>
      </c>
      <c r="AJ59" s="11">
        <f>AJ17+AJ52</f>
        <v/>
      </c>
      <c r="AK59" s="11">
        <f>AK17+AK52</f>
        <v/>
      </c>
      <c r="AL59" s="11">
        <f>AL17+AL52</f>
        <v/>
      </c>
      <c r="AM59" s="11">
        <f>AM17+AM52</f>
        <v/>
      </c>
      <c r="AN59" s="11">
        <f>AN17+AN52</f>
        <v/>
      </c>
      <c r="AO59" s="11">
        <f>AO17+AO52</f>
        <v/>
      </c>
      <c r="AP59" s="11">
        <f>AP17+AP52</f>
        <v/>
      </c>
      <c r="AQ59" s="11">
        <f>AQ17+AQ52</f>
        <v/>
      </c>
      <c r="AR59" s="11">
        <f>AR17+AR52</f>
        <v/>
      </c>
      <c r="AS59" s="11">
        <f>AS17+AS52</f>
        <v/>
      </c>
      <c r="AT59" s="11">
        <f>AT17+AT52</f>
        <v/>
      </c>
      <c r="AU59" s="11">
        <f>AU17+AU52</f>
        <v/>
      </c>
      <c r="AV59" s="11">
        <f>AV17+AV52</f>
        <v/>
      </c>
      <c r="AW59" s="11">
        <f>AW17+AW52</f>
        <v/>
      </c>
      <c r="AX59" s="11">
        <f>AX17+AX52</f>
        <v/>
      </c>
      <c r="AY59" s="11">
        <f>AY17+AY52</f>
        <v/>
      </c>
      <c r="AZ59" s="11">
        <f>AZ17+AZ52</f>
        <v/>
      </c>
      <c r="BA59" s="11">
        <f>BA17+BA52</f>
        <v/>
      </c>
      <c r="BB59" s="11">
        <f>BB17+BB52</f>
        <v/>
      </c>
      <c r="BC59" s="11">
        <f>BC17+BC52</f>
        <v/>
      </c>
      <c r="BD59" s="11">
        <f>BD17+BD52</f>
        <v/>
      </c>
      <c r="BE59" s="11">
        <f>BE17+BE52</f>
        <v/>
      </c>
      <c r="BF59" s="11">
        <f>BF17+BF52</f>
        <v/>
      </c>
      <c r="BG59" s="11">
        <f>BG17+BG52</f>
        <v/>
      </c>
      <c r="BH59" s="11">
        <f>BH17+BH52</f>
        <v/>
      </c>
      <c r="BI59" s="11">
        <f>BI17+BI52</f>
        <v/>
      </c>
      <c r="BJ59" s="11">
        <f>BJ17+BJ52</f>
        <v/>
      </c>
      <c r="BK59" s="11">
        <f>BK17+BK52</f>
        <v/>
      </c>
      <c r="BL59" s="11">
        <f>BL17+BL52</f>
        <v/>
      </c>
      <c r="BM59" s="11">
        <f>BM17+BM52</f>
        <v/>
      </c>
      <c r="BN59" s="11">
        <f>BN17+BN52</f>
        <v/>
      </c>
      <c r="BO59" s="11">
        <f>BO17+BO52</f>
        <v/>
      </c>
      <c r="BP59" s="11">
        <f>BP17+BP52</f>
        <v/>
      </c>
      <c r="BQ59" s="11">
        <f>BQ17+BQ52</f>
        <v/>
      </c>
      <c r="BR59" s="11">
        <f>BR17+BR52</f>
        <v/>
      </c>
      <c r="BS59" s="11">
        <f>BS17+BS52</f>
        <v/>
      </c>
      <c r="BT59" s="11">
        <f>BT17+BT52</f>
        <v/>
      </c>
      <c r="BU59" s="11">
        <f>BU17+BU52</f>
        <v/>
      </c>
      <c r="BV59" s="11">
        <f>BV17+BV52</f>
        <v/>
      </c>
      <c r="BW59" s="11">
        <f>BW17+BW52</f>
        <v/>
      </c>
      <c r="BX59" s="11">
        <f>BX17+BX52</f>
        <v/>
      </c>
      <c r="BY59" s="11">
        <f>BY17+BY52</f>
        <v/>
      </c>
    </row>
    <row r="60">
      <c r="B60" s="6" t="inlineStr">
        <is>
          <t>Юрлица (партнёры) всего</t>
        </is>
      </c>
      <c r="C60" s="6" t="inlineStr">
        <is>
          <t>шт.</t>
        </is>
      </c>
      <c r="D60" s="120" t="inlineStr">
        <is>
          <t>Накопленные партнёры за вычетом закрытий</t>
        </is>
      </c>
      <c r="E60" s="130">
        <f>W60</f>
        <v/>
      </c>
      <c r="F60" s="130">
        <f>AI60</f>
        <v/>
      </c>
      <c r="G60" s="130">
        <f>AU60</f>
        <v/>
      </c>
      <c r="H60" s="130">
        <f>BG60</f>
        <v/>
      </c>
      <c r="I60" s="130">
        <f>BS60</f>
        <v/>
      </c>
      <c r="J60" s="12">
        <f>BS60</f>
        <v/>
      </c>
      <c r="L60" s="11">
        <f>ЮрлицаСтарт*КоэффСохранения+$L14</f>
        <v/>
      </c>
      <c r="M60" s="11">
        <f>L60*КоэффСохранения+M14</f>
        <v/>
      </c>
      <c r="N60" s="11">
        <f>M60*КоэффСохранения+N14</f>
        <v/>
      </c>
      <c r="O60" s="11">
        <f>N60*КоэффСохранения+O14</f>
        <v/>
      </c>
      <c r="P60" s="11">
        <f>O60*КоэффСохранения+P14</f>
        <v/>
      </c>
      <c r="Q60" s="11">
        <f>P60*КоэффСохранения+Q14</f>
        <v/>
      </c>
      <c r="R60" s="11">
        <f>Q60*КоэффСохранения+R14</f>
        <v/>
      </c>
      <c r="S60" s="11">
        <f>R60*КоэффСохранения+S14</f>
        <v/>
      </c>
      <c r="T60" s="11">
        <f>S60*КоэффСохранения+T14</f>
        <v/>
      </c>
      <c r="U60" s="11">
        <f>T60*КоэффСохранения+U14</f>
        <v/>
      </c>
      <c r="V60" s="11">
        <f>U60*КоэффСохранения+V14</f>
        <v/>
      </c>
      <c r="W60" s="11">
        <f>V60*КоэффСохранения+W14</f>
        <v/>
      </c>
      <c r="X60" s="11">
        <f>W60*КоэффСохранения+X14</f>
        <v/>
      </c>
      <c r="Y60" s="11">
        <f>X60*КоэффСохранения+Y14</f>
        <v/>
      </c>
      <c r="Z60" s="11">
        <f>Y60*КоэффСохранения+Z14</f>
        <v/>
      </c>
      <c r="AA60" s="11">
        <f>Z60*КоэффСохранения+AA14</f>
        <v/>
      </c>
      <c r="AB60" s="11">
        <f>AA60*КоэффСохранения+AB14</f>
        <v/>
      </c>
      <c r="AC60" s="11">
        <f>AB60*КоэффСохранения+AC14</f>
        <v/>
      </c>
      <c r="AD60" s="11">
        <f>AC60*КоэффСохранения+AD14</f>
        <v/>
      </c>
      <c r="AE60" s="11">
        <f>AD60*КоэффСохранения+AE14</f>
        <v/>
      </c>
      <c r="AF60" s="11">
        <f>AE60*КоэффСохранения+AF14</f>
        <v/>
      </c>
      <c r="AG60" s="11">
        <f>AF60*КоэффСохранения+AG14</f>
        <v/>
      </c>
      <c r="AH60" s="11">
        <f>AG60*КоэффСохранения+AH14</f>
        <v/>
      </c>
      <c r="AI60" s="11">
        <f>AH60*КоэффСохранения+AI14</f>
        <v/>
      </c>
      <c r="AJ60" s="11">
        <f>AI60*КоэффСохранения+AJ14</f>
        <v/>
      </c>
      <c r="AK60" s="11">
        <f>AJ60*КоэффСохранения+AK14</f>
        <v/>
      </c>
      <c r="AL60" s="11">
        <f>AK60*КоэффСохранения+AL14</f>
        <v/>
      </c>
      <c r="AM60" s="11">
        <f>AL60*КоэффСохранения+AM14</f>
        <v/>
      </c>
      <c r="AN60" s="11">
        <f>AM60*КоэффСохранения+AN14</f>
        <v/>
      </c>
      <c r="AO60" s="11">
        <f>AN60*КоэффСохранения+AO14</f>
        <v/>
      </c>
      <c r="AP60" s="11">
        <f>AO60*КоэффСохранения+AP14</f>
        <v/>
      </c>
      <c r="AQ60" s="11">
        <f>AP60*КоэффСохранения+AQ14</f>
        <v/>
      </c>
      <c r="AR60" s="11">
        <f>AQ60*КоэффСохранения+AR14</f>
        <v/>
      </c>
      <c r="AS60" s="11">
        <f>AR60*КоэффСохранения+AS14</f>
        <v/>
      </c>
      <c r="AT60" s="11">
        <f>AS60*КоэффСохранения+AT14</f>
        <v/>
      </c>
      <c r="AU60" s="11">
        <f>AT60*КоэффСохранения+AU14</f>
        <v/>
      </c>
      <c r="AV60" s="11">
        <f>AU60*КоэффСохранения+AV14</f>
        <v/>
      </c>
      <c r="AW60" s="11">
        <f>AV60*КоэффСохранения+AW14</f>
        <v/>
      </c>
      <c r="AX60" s="11">
        <f>AW60*КоэффСохранения+AX14</f>
        <v/>
      </c>
      <c r="AY60" s="11">
        <f>AX60*КоэффСохранения+AY14</f>
        <v/>
      </c>
      <c r="AZ60" s="11">
        <f>AY60*КоэффСохранения+AZ14</f>
        <v/>
      </c>
      <c r="BA60" s="11">
        <f>AZ60*КоэффСохранения+BA14</f>
        <v/>
      </c>
      <c r="BB60" s="11">
        <f>BA60*КоэффСохранения+BB14</f>
        <v/>
      </c>
      <c r="BC60" s="11">
        <f>BB60*КоэффСохранения+BC14</f>
        <v/>
      </c>
      <c r="BD60" s="11">
        <f>BC60*КоэффСохранения+BD14</f>
        <v/>
      </c>
      <c r="BE60" s="11">
        <f>BD60*КоэффСохранения+BE14</f>
        <v/>
      </c>
      <c r="BF60" s="11">
        <f>BE60*КоэффСохранения+BF14</f>
        <v/>
      </c>
      <c r="BG60" s="11">
        <f>BF60*КоэффСохранения+BG14</f>
        <v/>
      </c>
      <c r="BH60" s="11">
        <f>BG60*КоэффСохранения+BH14</f>
        <v/>
      </c>
      <c r="BI60" s="11">
        <f>BH60*КоэффСохранения+BI14</f>
        <v/>
      </c>
      <c r="BJ60" s="11">
        <f>BI60*КоэффСохранения+BJ14</f>
        <v/>
      </c>
      <c r="BK60" s="11">
        <f>BJ60*КоэффСохранения+BK14</f>
        <v/>
      </c>
      <c r="BL60" s="11">
        <f>BK60*КоэффСохранения+BL14</f>
        <v/>
      </c>
      <c r="BM60" s="11">
        <f>BL60*КоэффСохранения+BM14</f>
        <v/>
      </c>
      <c r="BN60" s="11">
        <f>BM60*КоэффСохранения+BN14</f>
        <v/>
      </c>
      <c r="BO60" s="11">
        <f>BN60*КоэффСохранения+BO14</f>
        <v/>
      </c>
      <c r="BP60" s="11">
        <f>BO60*КоэффСохранения+BP14</f>
        <v/>
      </c>
      <c r="BQ60" s="11">
        <f>BP60*КоэффСохранения+BQ14</f>
        <v/>
      </c>
      <c r="BR60" s="11">
        <f>BQ60*КоэффСохранения+BR14</f>
        <v/>
      </c>
      <c r="BS60" s="11">
        <f>BR60*КоэффСохранения+BS14</f>
        <v/>
      </c>
      <c r="BT60" s="11">
        <f>BS60*КоэффСохранения+BT14</f>
        <v/>
      </c>
      <c r="BU60" s="11">
        <f>BT60*КоэффСохранения+BU14</f>
        <v/>
      </c>
      <c r="BV60" s="11">
        <f>BU60*КоэффСохранения+BV14</f>
        <v/>
      </c>
      <c r="BW60" s="11">
        <f>BV60*КоэффСохранения+BW14</f>
        <v/>
      </c>
      <c r="BX60" s="11">
        <f>BW60*КоэффСохранения+BX14</f>
        <v/>
      </c>
      <c r="BY60" s="11">
        <f>BX60*КоэффСохранения+BY14</f>
        <v/>
      </c>
    </row>
    <row r="61">
      <c r="B61" s="6" t="inlineStr">
        <is>
          <t>Дети всего, активные</t>
        </is>
      </c>
      <c r="C61" s="6" t="inlineStr">
        <is>
          <t>чел.</t>
        </is>
      </c>
      <c r="D61" s="120" t="inlineStr">
        <is>
          <t>Действующая сеть плюс новые школы</t>
        </is>
      </c>
      <c r="E61" s="130">
        <f>W61</f>
        <v/>
      </c>
      <c r="F61" s="130">
        <f>AI61</f>
        <v/>
      </c>
      <c r="G61" s="130">
        <f>AU61</f>
        <v/>
      </c>
      <c r="H61" s="130">
        <f>BG61</f>
        <v/>
      </c>
      <c r="I61" s="130">
        <f>BS61</f>
        <v/>
      </c>
      <c r="J61" s="12">
        <f>BS61</f>
        <v/>
      </c>
      <c r="L61" s="11">
        <f>L19+L56</f>
        <v/>
      </c>
      <c r="M61" s="11">
        <f>M19+M56</f>
        <v/>
      </c>
      <c r="N61" s="11">
        <f>N19+N56</f>
        <v/>
      </c>
      <c r="O61" s="11">
        <f>O19+O56</f>
        <v/>
      </c>
      <c r="P61" s="11">
        <f>P19+P56</f>
        <v/>
      </c>
      <c r="Q61" s="11">
        <f>Q19+Q56</f>
        <v/>
      </c>
      <c r="R61" s="11">
        <f>R19+R56</f>
        <v/>
      </c>
      <c r="S61" s="11">
        <f>S19+S56</f>
        <v/>
      </c>
      <c r="T61" s="11">
        <f>T19+T56</f>
        <v/>
      </c>
      <c r="U61" s="11">
        <f>U19+U56</f>
        <v/>
      </c>
      <c r="V61" s="11">
        <f>V19+V56</f>
        <v/>
      </c>
      <c r="W61" s="11">
        <f>W19+W56</f>
        <v/>
      </c>
      <c r="X61" s="11">
        <f>X19+X56</f>
        <v/>
      </c>
      <c r="Y61" s="11">
        <f>Y19+Y56</f>
        <v/>
      </c>
      <c r="Z61" s="11">
        <f>Z19+Z56</f>
        <v/>
      </c>
      <c r="AA61" s="11">
        <f>AA19+AA56</f>
        <v/>
      </c>
      <c r="AB61" s="11">
        <f>AB19+AB56</f>
        <v/>
      </c>
      <c r="AC61" s="11">
        <f>AC19+AC56</f>
        <v/>
      </c>
      <c r="AD61" s="11">
        <f>AD19+AD56</f>
        <v/>
      </c>
      <c r="AE61" s="11">
        <f>AE19+AE56</f>
        <v/>
      </c>
      <c r="AF61" s="11">
        <f>AF19+AF56</f>
        <v/>
      </c>
      <c r="AG61" s="11">
        <f>AG19+AG56</f>
        <v/>
      </c>
      <c r="AH61" s="11">
        <f>AH19+AH56</f>
        <v/>
      </c>
      <c r="AI61" s="11">
        <f>AI19+AI56</f>
        <v/>
      </c>
      <c r="AJ61" s="11">
        <f>AJ19+AJ56</f>
        <v/>
      </c>
      <c r="AK61" s="11">
        <f>AK19+AK56</f>
        <v/>
      </c>
      <c r="AL61" s="11">
        <f>AL19+AL56</f>
        <v/>
      </c>
      <c r="AM61" s="11">
        <f>AM19+AM56</f>
        <v/>
      </c>
      <c r="AN61" s="11">
        <f>AN19+AN56</f>
        <v/>
      </c>
      <c r="AO61" s="11">
        <f>AO19+AO56</f>
        <v/>
      </c>
      <c r="AP61" s="11">
        <f>AP19+AP56</f>
        <v/>
      </c>
      <c r="AQ61" s="11">
        <f>AQ19+AQ56</f>
        <v/>
      </c>
      <c r="AR61" s="11">
        <f>AR19+AR56</f>
        <v/>
      </c>
      <c r="AS61" s="11">
        <f>AS19+AS56</f>
        <v/>
      </c>
      <c r="AT61" s="11">
        <f>AT19+AT56</f>
        <v/>
      </c>
      <c r="AU61" s="11">
        <f>AU19+AU56</f>
        <v/>
      </c>
      <c r="AV61" s="11">
        <f>AV19+AV56</f>
        <v/>
      </c>
      <c r="AW61" s="11">
        <f>AW19+AW56</f>
        <v/>
      </c>
      <c r="AX61" s="11">
        <f>AX19+AX56</f>
        <v/>
      </c>
      <c r="AY61" s="11">
        <f>AY19+AY56</f>
        <v/>
      </c>
      <c r="AZ61" s="11">
        <f>AZ19+AZ56</f>
        <v/>
      </c>
      <c r="BA61" s="11">
        <f>BA19+BA56</f>
        <v/>
      </c>
      <c r="BB61" s="11">
        <f>BB19+BB56</f>
        <v/>
      </c>
      <c r="BC61" s="11">
        <f>BC19+BC56</f>
        <v/>
      </c>
      <c r="BD61" s="11">
        <f>BD19+BD56</f>
        <v/>
      </c>
      <c r="BE61" s="11">
        <f>BE19+BE56</f>
        <v/>
      </c>
      <c r="BF61" s="11">
        <f>BF19+BF56</f>
        <v/>
      </c>
      <c r="BG61" s="11">
        <f>BG19+BG56</f>
        <v/>
      </c>
      <c r="BH61" s="11">
        <f>BH19+BH56</f>
        <v/>
      </c>
      <c r="BI61" s="11">
        <f>BI19+BI56</f>
        <v/>
      </c>
      <c r="BJ61" s="11">
        <f>BJ19+BJ56</f>
        <v/>
      </c>
      <c r="BK61" s="11">
        <f>BK19+BK56</f>
        <v/>
      </c>
      <c r="BL61" s="11">
        <f>BL19+BL56</f>
        <v/>
      </c>
      <c r="BM61" s="11">
        <f>BM19+BM56</f>
        <v/>
      </c>
      <c r="BN61" s="11">
        <f>BN19+BN56</f>
        <v/>
      </c>
      <c r="BO61" s="11">
        <f>BO19+BO56</f>
        <v/>
      </c>
      <c r="BP61" s="11">
        <f>BP19+BP56</f>
        <v/>
      </c>
      <c r="BQ61" s="11">
        <f>BQ19+BQ56</f>
        <v/>
      </c>
      <c r="BR61" s="11">
        <f>BR19+BR56</f>
        <v/>
      </c>
      <c r="BS61" s="11">
        <f>BS19+BS56</f>
        <v/>
      </c>
      <c r="BT61" s="11">
        <f>BT19+BT56</f>
        <v/>
      </c>
      <c r="BU61" s="11">
        <f>BU19+BU56</f>
        <v/>
      </c>
      <c r="BV61" s="11">
        <f>BV19+BV56</f>
        <v/>
      </c>
      <c r="BW61" s="11">
        <f>BW19+BW56</f>
        <v/>
      </c>
      <c r="BX61" s="11">
        <f>BX19+BX56</f>
        <v/>
      </c>
      <c r="BY61" s="11">
        <f>BY19+BY56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Y134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3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30" customHeight="1">
      <c r="B4" s="114" t="inlineStr">
        <is>
          <t>Показатель</t>
        </is>
      </c>
      <c r="C4" s="114" t="inlineStr">
        <is>
          <t>Ед.</t>
        </is>
      </c>
      <c r="D4" s="114" t="inlineStr">
        <is>
          <t>Как считается</t>
        </is>
      </c>
      <c r="E4" s="114" t="inlineStr">
        <is>
          <t>Год 1</t>
        </is>
      </c>
      <c r="F4" s="114" t="inlineStr">
        <is>
          <t>Год 2</t>
        </is>
      </c>
      <c r="G4" s="114" t="inlineStr">
        <is>
          <t>Год 3</t>
        </is>
      </c>
      <c r="H4" s="114" t="inlineStr">
        <is>
          <t>Год 4</t>
        </is>
      </c>
      <c r="I4" s="114" t="inlineStr">
        <is>
          <t>Год 5</t>
        </is>
      </c>
      <c r="J4" s="114" t="inlineStr">
        <is>
          <t>Итого 5 лет</t>
        </is>
      </c>
      <c r="K4" s="114" t="n"/>
      <c r="L4" s="114" t="inlineStr">
        <is>
          <t>М1</t>
        </is>
      </c>
      <c r="M4" s="114" t="inlineStr">
        <is>
          <t>М2</t>
        </is>
      </c>
      <c r="N4" s="114" t="inlineStr">
        <is>
          <t>М3</t>
        </is>
      </c>
      <c r="O4" s="114" t="inlineStr">
        <is>
          <t>М4</t>
        </is>
      </c>
      <c r="P4" s="114" t="inlineStr">
        <is>
          <t>М5</t>
        </is>
      </c>
      <c r="Q4" s="114" t="inlineStr">
        <is>
          <t>М6</t>
        </is>
      </c>
      <c r="R4" s="114" t="inlineStr">
        <is>
          <t>М7</t>
        </is>
      </c>
      <c r="S4" s="114" t="inlineStr">
        <is>
          <t>М8</t>
        </is>
      </c>
      <c r="T4" s="114" t="inlineStr">
        <is>
          <t>М9</t>
        </is>
      </c>
      <c r="U4" s="114" t="inlineStr">
        <is>
          <t>М10</t>
        </is>
      </c>
      <c r="V4" s="114" t="inlineStr">
        <is>
          <t>М11</t>
        </is>
      </c>
      <c r="W4" s="114" t="inlineStr">
        <is>
          <t>М12</t>
        </is>
      </c>
      <c r="X4" s="114" t="inlineStr">
        <is>
          <t>М13</t>
        </is>
      </c>
      <c r="Y4" s="114" t="inlineStr">
        <is>
          <t>М14</t>
        </is>
      </c>
      <c r="Z4" s="114" t="inlineStr">
        <is>
          <t>М15</t>
        </is>
      </c>
      <c r="AA4" s="114" t="inlineStr">
        <is>
          <t>М16</t>
        </is>
      </c>
      <c r="AB4" s="114" t="inlineStr">
        <is>
          <t>М17</t>
        </is>
      </c>
      <c r="AC4" s="114" t="inlineStr">
        <is>
          <t>М18</t>
        </is>
      </c>
      <c r="AD4" s="114" t="inlineStr">
        <is>
          <t>М19</t>
        </is>
      </c>
      <c r="AE4" s="114" t="inlineStr">
        <is>
          <t>М20</t>
        </is>
      </c>
      <c r="AF4" s="114" t="inlineStr">
        <is>
          <t>М21</t>
        </is>
      </c>
      <c r="AG4" s="114" t="inlineStr">
        <is>
          <t>М22</t>
        </is>
      </c>
      <c r="AH4" s="114" t="inlineStr">
        <is>
          <t>М23</t>
        </is>
      </c>
      <c r="AI4" s="114" t="inlineStr">
        <is>
          <t>М24</t>
        </is>
      </c>
      <c r="AJ4" s="114" t="inlineStr">
        <is>
          <t>М25</t>
        </is>
      </c>
      <c r="AK4" s="114" t="inlineStr">
        <is>
          <t>М26</t>
        </is>
      </c>
      <c r="AL4" s="114" t="inlineStr">
        <is>
          <t>М27</t>
        </is>
      </c>
      <c r="AM4" s="114" t="inlineStr">
        <is>
          <t>М28</t>
        </is>
      </c>
      <c r="AN4" s="114" t="inlineStr">
        <is>
          <t>М29</t>
        </is>
      </c>
      <c r="AO4" s="114" t="inlineStr">
        <is>
          <t>М30</t>
        </is>
      </c>
      <c r="AP4" s="114" t="inlineStr">
        <is>
          <t>М31</t>
        </is>
      </c>
      <c r="AQ4" s="114" t="inlineStr">
        <is>
          <t>М32</t>
        </is>
      </c>
      <c r="AR4" s="114" t="inlineStr">
        <is>
          <t>М33</t>
        </is>
      </c>
      <c r="AS4" s="114" t="inlineStr">
        <is>
          <t>М34</t>
        </is>
      </c>
      <c r="AT4" s="114" t="inlineStr">
        <is>
          <t>М35</t>
        </is>
      </c>
      <c r="AU4" s="114" t="inlineStr">
        <is>
          <t>М36</t>
        </is>
      </c>
      <c r="AV4" s="114" t="inlineStr">
        <is>
          <t>М37</t>
        </is>
      </c>
      <c r="AW4" s="114" t="inlineStr">
        <is>
          <t>М38</t>
        </is>
      </c>
      <c r="AX4" s="114" t="inlineStr">
        <is>
          <t>М39</t>
        </is>
      </c>
      <c r="AY4" s="114" t="inlineStr">
        <is>
          <t>М40</t>
        </is>
      </c>
      <c r="AZ4" s="114" t="inlineStr">
        <is>
          <t>М41</t>
        </is>
      </c>
      <c r="BA4" s="114" t="inlineStr">
        <is>
          <t>М42</t>
        </is>
      </c>
      <c r="BB4" s="114" t="inlineStr">
        <is>
          <t>М43</t>
        </is>
      </c>
      <c r="BC4" s="114" t="inlineStr">
        <is>
          <t>М44</t>
        </is>
      </c>
      <c r="BD4" s="114" t="inlineStr">
        <is>
          <t>М45</t>
        </is>
      </c>
      <c r="BE4" s="114" t="inlineStr">
        <is>
          <t>М46</t>
        </is>
      </c>
      <c r="BF4" s="114" t="inlineStr">
        <is>
          <t>М47</t>
        </is>
      </c>
      <c r="BG4" s="114" t="inlineStr">
        <is>
          <t>М48</t>
        </is>
      </c>
      <c r="BH4" s="114" t="inlineStr">
        <is>
          <t>М49</t>
        </is>
      </c>
      <c r="BI4" s="114" t="inlineStr">
        <is>
          <t>М50</t>
        </is>
      </c>
      <c r="BJ4" s="114" t="inlineStr">
        <is>
          <t>М51</t>
        </is>
      </c>
      <c r="BK4" s="114" t="inlineStr">
        <is>
          <t>М52</t>
        </is>
      </c>
      <c r="BL4" s="114" t="inlineStr">
        <is>
          <t>М53</t>
        </is>
      </c>
      <c r="BM4" s="114" t="inlineStr">
        <is>
          <t>М54</t>
        </is>
      </c>
      <c r="BN4" s="114" t="inlineStr">
        <is>
          <t>М55</t>
        </is>
      </c>
      <c r="BO4" s="114" t="inlineStr">
        <is>
          <t>М56</t>
        </is>
      </c>
      <c r="BP4" s="114" t="inlineStr">
        <is>
          <t>М57</t>
        </is>
      </c>
      <c r="BQ4" s="114" t="inlineStr">
        <is>
          <t>М58</t>
        </is>
      </c>
      <c r="BR4" s="114" t="inlineStr">
        <is>
          <t>М59</t>
        </is>
      </c>
      <c r="BS4" s="114" t="inlineStr">
        <is>
          <t>М60</t>
        </is>
      </c>
      <c r="BT4" s="114" t="inlineStr">
        <is>
          <t>тех. 1</t>
        </is>
      </c>
      <c r="BU4" s="114" t="inlineStr">
        <is>
          <t>тех. 2</t>
        </is>
      </c>
      <c r="BV4" s="114" t="inlineStr">
        <is>
          <t>тех. 3</t>
        </is>
      </c>
      <c r="BW4" s="114" t="inlineStr">
        <is>
          <t>тех. 4</t>
        </is>
      </c>
      <c r="BX4" s="114" t="inlineStr">
        <is>
          <t>тех. 5</t>
        </is>
      </c>
      <c r="BY4" s="114" t="inlineStr">
        <is>
          <t>тех. 6</t>
        </is>
      </c>
    </row>
    <row r="5">
      <c r="B5" s="115" t="inlineStr">
        <is>
          <t>Множители периода</t>
        </is>
      </c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  <c r="P5" s="116" t="n"/>
      <c r="Q5" s="116" t="n"/>
      <c r="R5" s="116" t="n"/>
      <c r="S5" s="116" t="n"/>
      <c r="T5" s="116" t="n"/>
      <c r="U5" s="116" t="n"/>
      <c r="V5" s="116" t="n"/>
      <c r="W5" s="116" t="n"/>
      <c r="X5" s="116" t="n"/>
      <c r="Y5" s="116" t="n"/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116" t="n"/>
      <c r="AT5" s="116" t="n"/>
      <c r="AU5" s="116" t="n"/>
      <c r="AV5" s="116" t="n"/>
      <c r="AW5" s="116" t="n"/>
      <c r="AX5" s="116" t="n"/>
      <c r="AY5" s="116" t="n"/>
      <c r="AZ5" s="116" t="n"/>
      <c r="BA5" s="116" t="n"/>
      <c r="BB5" s="116" t="n"/>
      <c r="BC5" s="116" t="n"/>
      <c r="BD5" s="116" t="n"/>
      <c r="BE5" s="116" t="n"/>
      <c r="BF5" s="116" t="n"/>
      <c r="BG5" s="116" t="n"/>
      <c r="BH5" s="116" t="n"/>
      <c r="BI5" s="116" t="n"/>
      <c r="BJ5" s="116" t="n"/>
      <c r="BK5" s="116" t="n"/>
      <c r="BL5" s="116" t="n"/>
      <c r="BM5" s="116" t="n"/>
      <c r="BN5" s="116" t="n"/>
      <c r="BO5" s="116" t="n"/>
      <c r="BP5" s="116" t="n"/>
      <c r="BQ5" s="116" t="n"/>
      <c r="BR5" s="116" t="n"/>
      <c r="BS5" s="116" t="n"/>
      <c r="BT5" s="116" t="n"/>
      <c r="BU5" s="116" t="n"/>
      <c r="BV5" s="116" t="n"/>
      <c r="BW5" s="116" t="n"/>
      <c r="BX5" s="116" t="n"/>
      <c r="BY5" s="116" t="n"/>
    </row>
    <row r="6">
      <c r="B6" t="inlineStr">
        <is>
          <t>Индекс цен</t>
        </is>
      </c>
      <c r="C6" t="inlineStr">
        <is>
          <t>коэфф.</t>
        </is>
      </c>
      <c r="D6" s="117" t="inlineStr">
        <is>
          <t>Накопленная индексация из справочника тарифов</t>
        </is>
      </c>
      <c r="E6" s="131">
        <f>W6</f>
        <v/>
      </c>
      <c r="F6" s="131">
        <f>AI6</f>
        <v/>
      </c>
      <c r="G6" s="131">
        <f>AU6</f>
        <v/>
      </c>
      <c r="H6" s="131">
        <f>BG6</f>
        <v/>
      </c>
      <c r="I6" s="131">
        <f>BS6</f>
        <v/>
      </c>
      <c r="J6" s="132">
        <f>BS6</f>
        <v/>
      </c>
      <c r="L6" s="133">
        <f>'07_Тарифы'!B$4</f>
        <v/>
      </c>
      <c r="M6" s="133">
        <f>'07_Тарифы'!C$4</f>
        <v/>
      </c>
      <c r="N6" s="133">
        <f>'07_Тарифы'!D$4</f>
        <v/>
      </c>
      <c r="O6" s="133">
        <f>'07_Тарифы'!E$4</f>
        <v/>
      </c>
      <c r="P6" s="133">
        <f>'07_Тарифы'!F$4</f>
        <v/>
      </c>
      <c r="Q6" s="133">
        <f>'07_Тарифы'!G$4</f>
        <v/>
      </c>
      <c r="R6" s="133">
        <f>'07_Тарифы'!H$4</f>
        <v/>
      </c>
      <c r="S6" s="133">
        <f>'07_Тарифы'!I$4</f>
        <v/>
      </c>
      <c r="T6" s="133">
        <f>'07_Тарифы'!J$4</f>
        <v/>
      </c>
      <c r="U6" s="133">
        <f>'07_Тарифы'!K$4</f>
        <v/>
      </c>
      <c r="V6" s="133">
        <f>'07_Тарифы'!L$4</f>
        <v/>
      </c>
      <c r="W6" s="133">
        <f>'07_Тарифы'!M$4</f>
        <v/>
      </c>
      <c r="X6" s="133">
        <f>'07_Тарифы'!N$4</f>
        <v/>
      </c>
      <c r="Y6" s="133">
        <f>'07_Тарифы'!O$4</f>
        <v/>
      </c>
      <c r="Z6" s="133">
        <f>'07_Тарифы'!P$4</f>
        <v/>
      </c>
      <c r="AA6" s="133">
        <f>'07_Тарифы'!Q$4</f>
        <v/>
      </c>
      <c r="AB6" s="133">
        <f>'07_Тарифы'!R$4</f>
        <v/>
      </c>
      <c r="AC6" s="133">
        <f>'07_Тарифы'!S$4</f>
        <v/>
      </c>
      <c r="AD6" s="133">
        <f>'07_Тарифы'!T$4</f>
        <v/>
      </c>
      <c r="AE6" s="133">
        <f>'07_Тарифы'!U$4</f>
        <v/>
      </c>
      <c r="AF6" s="133">
        <f>'07_Тарифы'!V$4</f>
        <v/>
      </c>
      <c r="AG6" s="133">
        <f>'07_Тарифы'!W$4</f>
        <v/>
      </c>
      <c r="AH6" s="133">
        <f>'07_Тарифы'!X$4</f>
        <v/>
      </c>
      <c r="AI6" s="133">
        <f>'07_Тарифы'!Y$4</f>
        <v/>
      </c>
      <c r="AJ6" s="133">
        <f>'07_Тарифы'!Z$4</f>
        <v/>
      </c>
      <c r="AK6" s="133">
        <f>'07_Тарифы'!AA$4</f>
        <v/>
      </c>
      <c r="AL6" s="133">
        <f>'07_Тарифы'!AB$4</f>
        <v/>
      </c>
      <c r="AM6" s="133">
        <f>'07_Тарифы'!AC$4</f>
        <v/>
      </c>
      <c r="AN6" s="133">
        <f>'07_Тарифы'!AD$4</f>
        <v/>
      </c>
      <c r="AO6" s="133">
        <f>'07_Тарифы'!AE$4</f>
        <v/>
      </c>
      <c r="AP6" s="133">
        <f>'07_Тарифы'!AF$4</f>
        <v/>
      </c>
      <c r="AQ6" s="133">
        <f>'07_Тарифы'!AG$4</f>
        <v/>
      </c>
      <c r="AR6" s="133">
        <f>'07_Тарифы'!AH$4</f>
        <v/>
      </c>
      <c r="AS6" s="133">
        <f>'07_Тарифы'!AI$4</f>
        <v/>
      </c>
      <c r="AT6" s="133">
        <f>'07_Тарифы'!AJ$4</f>
        <v/>
      </c>
      <c r="AU6" s="133">
        <f>'07_Тарифы'!AK$4</f>
        <v/>
      </c>
      <c r="AV6" s="133">
        <f>'07_Тарифы'!AL$4</f>
        <v/>
      </c>
      <c r="AW6" s="133">
        <f>'07_Тарифы'!AM$4</f>
        <v/>
      </c>
      <c r="AX6" s="133">
        <f>'07_Тарифы'!AN$4</f>
        <v/>
      </c>
      <c r="AY6" s="133">
        <f>'07_Тарифы'!AO$4</f>
        <v/>
      </c>
      <c r="AZ6" s="133">
        <f>'07_Тарифы'!AP$4</f>
        <v/>
      </c>
      <c r="BA6" s="133">
        <f>'07_Тарифы'!AQ$4</f>
        <v/>
      </c>
      <c r="BB6" s="133">
        <f>'07_Тарифы'!AR$4</f>
        <v/>
      </c>
      <c r="BC6" s="133">
        <f>'07_Тарифы'!AS$4</f>
        <v/>
      </c>
      <c r="BD6" s="133">
        <f>'07_Тарифы'!AT$4</f>
        <v/>
      </c>
      <c r="BE6" s="133">
        <f>'07_Тарифы'!AU$4</f>
        <v/>
      </c>
      <c r="BF6" s="133">
        <f>'07_Тарифы'!AV$4</f>
        <v/>
      </c>
      <c r="BG6" s="133">
        <f>'07_Тарифы'!AW$4</f>
        <v/>
      </c>
      <c r="BH6" s="133">
        <f>'07_Тарифы'!AX$4</f>
        <v/>
      </c>
      <c r="BI6" s="133">
        <f>'07_Тарифы'!AY$4</f>
        <v/>
      </c>
      <c r="BJ6" s="133">
        <f>'07_Тарифы'!AZ$4</f>
        <v/>
      </c>
      <c r="BK6" s="133">
        <f>'07_Тарифы'!BA$4</f>
        <v/>
      </c>
      <c r="BL6" s="133">
        <f>'07_Тарифы'!BB$4</f>
        <v/>
      </c>
      <c r="BM6" s="133">
        <f>'07_Тарифы'!BC$4</f>
        <v/>
      </c>
      <c r="BN6" s="133">
        <f>'07_Тарифы'!BD$4</f>
        <v/>
      </c>
      <c r="BO6" s="133">
        <f>'07_Тарифы'!BE$4</f>
        <v/>
      </c>
      <c r="BP6" s="133">
        <f>'07_Тарифы'!BF$4</f>
        <v/>
      </c>
      <c r="BQ6" s="133">
        <f>'07_Тарифы'!BG$4</f>
        <v/>
      </c>
      <c r="BR6" s="133">
        <f>'07_Тарифы'!BH$4</f>
        <v/>
      </c>
      <c r="BS6" s="133">
        <f>'07_Тарифы'!BI$4</f>
        <v/>
      </c>
      <c r="BT6" s="133">
        <f>'07_Тарифы'!BJ$4</f>
        <v/>
      </c>
      <c r="BU6" s="133">
        <f>'07_Тарифы'!BK$4</f>
        <v/>
      </c>
      <c r="BV6" s="133">
        <f>'07_Тарифы'!BL$4</f>
        <v/>
      </c>
      <c r="BW6" s="133">
        <f>'07_Тарифы'!BM$4</f>
        <v/>
      </c>
      <c r="BX6" s="133">
        <f>'07_Тарифы'!BN$4</f>
        <v/>
      </c>
      <c r="BY6" s="133">
        <f>'07_Тарифы'!BO$4</f>
        <v/>
      </c>
    </row>
    <row r="7">
      <c r="B7" t="inlineStr">
        <is>
          <t>Множитель оборота</t>
        </is>
      </c>
      <c r="C7" t="inlineStr">
        <is>
          <t>коэфф.</t>
        </is>
      </c>
      <c r="D7" s="117" t="inlineStr">
        <is>
          <t>Сезонность, сценарные множители и индексация в одном числе</t>
        </is>
      </c>
      <c r="E7" s="131">
        <f>AVERAGE(L7:W7)</f>
        <v/>
      </c>
      <c r="F7" s="131">
        <f>AVERAGE(X7:AI7)</f>
        <v/>
      </c>
      <c r="G7" s="131">
        <f>AVERAGE(AJ7:AU7)</f>
        <v/>
      </c>
      <c r="H7" s="131">
        <f>AVERAGE(AV7:BG7)</f>
        <v/>
      </c>
      <c r="I7" s="131">
        <f>AVERAGE(BH7:BS7)</f>
        <v/>
      </c>
      <c r="J7" s="132">
        <f>AVERAGE(L7:BS7)</f>
        <v/>
      </c>
      <c r="L7" s="133">
        <f>'03_Сеть'!L9*МножительДетей*МножительЦен*L6</f>
        <v/>
      </c>
      <c r="M7" s="133">
        <f>'03_Сеть'!M9*МножительДетей*МножительЦен*M6</f>
        <v/>
      </c>
      <c r="N7" s="133">
        <f>'03_Сеть'!N9*МножительДетей*МножительЦен*N6</f>
        <v/>
      </c>
      <c r="O7" s="133">
        <f>'03_Сеть'!O9*МножительДетей*МножительЦен*O6</f>
        <v/>
      </c>
      <c r="P7" s="133">
        <f>'03_Сеть'!P9*МножительДетей*МножительЦен*P6</f>
        <v/>
      </c>
      <c r="Q7" s="133">
        <f>'03_Сеть'!Q9*МножительДетей*МножительЦен*Q6</f>
        <v/>
      </c>
      <c r="R7" s="133">
        <f>'03_Сеть'!R9*МножительДетей*МножительЦен*R6</f>
        <v/>
      </c>
      <c r="S7" s="133">
        <f>'03_Сеть'!S9*МножительДетей*МножительЦен*S6</f>
        <v/>
      </c>
      <c r="T7" s="133">
        <f>'03_Сеть'!T9*МножительДетей*МножительЦен*T6</f>
        <v/>
      </c>
      <c r="U7" s="133">
        <f>'03_Сеть'!U9*МножительДетей*МножительЦен*U6</f>
        <v/>
      </c>
      <c r="V7" s="133">
        <f>'03_Сеть'!V9*МножительДетей*МножительЦен*V6</f>
        <v/>
      </c>
      <c r="W7" s="133">
        <f>'03_Сеть'!W9*МножительДетей*МножительЦен*W6</f>
        <v/>
      </c>
      <c r="X7" s="133">
        <f>'03_Сеть'!X9*МножительДетей*МножительЦен*X6</f>
        <v/>
      </c>
      <c r="Y7" s="133">
        <f>'03_Сеть'!Y9*МножительДетей*МножительЦен*Y6</f>
        <v/>
      </c>
      <c r="Z7" s="133">
        <f>'03_Сеть'!Z9*МножительДетей*МножительЦен*Z6</f>
        <v/>
      </c>
      <c r="AA7" s="133">
        <f>'03_Сеть'!AA9*МножительДетей*МножительЦен*AA6</f>
        <v/>
      </c>
      <c r="AB7" s="133">
        <f>'03_Сеть'!AB9*МножительДетей*МножительЦен*AB6</f>
        <v/>
      </c>
      <c r="AC7" s="133">
        <f>'03_Сеть'!AC9*МножительДетей*МножительЦен*AC6</f>
        <v/>
      </c>
      <c r="AD7" s="133">
        <f>'03_Сеть'!AD9*МножительДетей*МножительЦен*AD6</f>
        <v/>
      </c>
      <c r="AE7" s="133">
        <f>'03_Сеть'!AE9*МножительДетей*МножительЦен*AE6</f>
        <v/>
      </c>
      <c r="AF7" s="133">
        <f>'03_Сеть'!AF9*МножительДетей*МножительЦен*AF6</f>
        <v/>
      </c>
      <c r="AG7" s="133">
        <f>'03_Сеть'!AG9*МножительДетей*МножительЦен*AG6</f>
        <v/>
      </c>
      <c r="AH7" s="133">
        <f>'03_Сеть'!AH9*МножительДетей*МножительЦен*AH6</f>
        <v/>
      </c>
      <c r="AI7" s="133">
        <f>'03_Сеть'!AI9*МножительДетей*МножительЦен*AI6</f>
        <v/>
      </c>
      <c r="AJ7" s="133">
        <f>'03_Сеть'!AJ9*МножительДетей*МножительЦен*AJ6</f>
        <v/>
      </c>
      <c r="AK7" s="133">
        <f>'03_Сеть'!AK9*МножительДетей*МножительЦен*AK6</f>
        <v/>
      </c>
      <c r="AL7" s="133">
        <f>'03_Сеть'!AL9*МножительДетей*МножительЦен*AL6</f>
        <v/>
      </c>
      <c r="AM7" s="133">
        <f>'03_Сеть'!AM9*МножительДетей*МножительЦен*AM6</f>
        <v/>
      </c>
      <c r="AN7" s="133">
        <f>'03_Сеть'!AN9*МножительДетей*МножительЦен*AN6</f>
        <v/>
      </c>
      <c r="AO7" s="133">
        <f>'03_Сеть'!AO9*МножительДетей*МножительЦен*AO6</f>
        <v/>
      </c>
      <c r="AP7" s="133">
        <f>'03_Сеть'!AP9*МножительДетей*МножительЦен*AP6</f>
        <v/>
      </c>
      <c r="AQ7" s="133">
        <f>'03_Сеть'!AQ9*МножительДетей*МножительЦен*AQ6</f>
        <v/>
      </c>
      <c r="AR7" s="133">
        <f>'03_Сеть'!AR9*МножительДетей*МножительЦен*AR6</f>
        <v/>
      </c>
      <c r="AS7" s="133">
        <f>'03_Сеть'!AS9*МножительДетей*МножительЦен*AS6</f>
        <v/>
      </c>
      <c r="AT7" s="133">
        <f>'03_Сеть'!AT9*МножительДетей*МножительЦен*AT6</f>
        <v/>
      </c>
      <c r="AU7" s="133">
        <f>'03_Сеть'!AU9*МножительДетей*МножительЦен*AU6</f>
        <v/>
      </c>
      <c r="AV7" s="133">
        <f>'03_Сеть'!AV9*МножительДетей*МножительЦен*AV6</f>
        <v/>
      </c>
      <c r="AW7" s="133">
        <f>'03_Сеть'!AW9*МножительДетей*МножительЦен*AW6</f>
        <v/>
      </c>
      <c r="AX7" s="133">
        <f>'03_Сеть'!AX9*МножительДетей*МножительЦен*AX6</f>
        <v/>
      </c>
      <c r="AY7" s="133">
        <f>'03_Сеть'!AY9*МножительДетей*МножительЦен*AY6</f>
        <v/>
      </c>
      <c r="AZ7" s="133">
        <f>'03_Сеть'!AZ9*МножительДетей*МножительЦен*AZ6</f>
        <v/>
      </c>
      <c r="BA7" s="133">
        <f>'03_Сеть'!BA9*МножительДетей*МножительЦен*BA6</f>
        <v/>
      </c>
      <c r="BB7" s="133">
        <f>'03_Сеть'!BB9*МножительДетей*МножительЦен*BB6</f>
        <v/>
      </c>
      <c r="BC7" s="133">
        <f>'03_Сеть'!BC9*МножительДетей*МножительЦен*BC6</f>
        <v/>
      </c>
      <c r="BD7" s="133">
        <f>'03_Сеть'!BD9*МножительДетей*МножительЦен*BD6</f>
        <v/>
      </c>
      <c r="BE7" s="133">
        <f>'03_Сеть'!BE9*МножительДетей*МножительЦен*BE6</f>
        <v/>
      </c>
      <c r="BF7" s="133">
        <f>'03_Сеть'!BF9*МножительДетей*МножительЦен*BF6</f>
        <v/>
      </c>
      <c r="BG7" s="133">
        <f>'03_Сеть'!BG9*МножительДетей*МножительЦен*BG6</f>
        <v/>
      </c>
      <c r="BH7" s="133">
        <f>'03_Сеть'!BH9*МножительДетей*МножительЦен*BH6</f>
        <v/>
      </c>
      <c r="BI7" s="133">
        <f>'03_Сеть'!BI9*МножительДетей*МножительЦен*BI6</f>
        <v/>
      </c>
      <c r="BJ7" s="133">
        <f>'03_Сеть'!BJ9*МножительДетей*МножительЦен*BJ6</f>
        <v/>
      </c>
      <c r="BK7" s="133">
        <f>'03_Сеть'!BK9*МножительДетей*МножительЦен*BK6</f>
        <v/>
      </c>
      <c r="BL7" s="133">
        <f>'03_Сеть'!BL9*МножительДетей*МножительЦен*BL6</f>
        <v/>
      </c>
      <c r="BM7" s="133">
        <f>'03_Сеть'!BM9*МножительДетей*МножительЦен*BM6</f>
        <v/>
      </c>
      <c r="BN7" s="133">
        <f>'03_Сеть'!BN9*МножительДетей*МножительЦен*BN6</f>
        <v/>
      </c>
      <c r="BO7" s="133">
        <f>'03_Сеть'!BO9*МножительДетей*МножительЦен*BO6</f>
        <v/>
      </c>
      <c r="BP7" s="133">
        <f>'03_Сеть'!BP9*МножительДетей*МножительЦен*BP6</f>
        <v/>
      </c>
      <c r="BQ7" s="133">
        <f>'03_Сеть'!BQ9*МножительДетей*МножительЦен*BQ6</f>
        <v/>
      </c>
      <c r="BR7" s="133">
        <f>'03_Сеть'!BR9*МножительДетей*МножительЦен*BR6</f>
        <v/>
      </c>
      <c r="BS7" s="133">
        <f>'03_Сеть'!BS9*МножительДетей*МножительЦен*BS6</f>
        <v/>
      </c>
      <c r="BT7" s="133">
        <f>'03_Сеть'!BT9*МножительДетей*МножительЦен*BT6</f>
        <v/>
      </c>
      <c r="BU7" s="133">
        <f>'03_Сеть'!BU9*МножительДетей*МножительЦен*BU6</f>
        <v/>
      </c>
      <c r="BV7" s="133">
        <f>'03_Сеть'!BV9*МножительДетей*МножительЦен*BV6</f>
        <v/>
      </c>
      <c r="BW7" s="133">
        <f>'03_Сеть'!BW9*МножительДетей*МножительЦен*BW6</f>
        <v/>
      </c>
      <c r="BX7" s="133">
        <f>'03_Сеть'!BX9*МножительДетей*МножительЦен*BX6</f>
        <v/>
      </c>
      <c r="BY7" s="133">
        <f>'03_Сеть'!BY9*МножительДетей*МножительЦен*BY6</f>
        <v/>
      </c>
    </row>
    <row r="8">
      <c r="B8" t="inlineStr">
        <is>
          <t>Ставка роялти: договоры до перехода</t>
        </is>
      </c>
      <c r="C8" t="inlineStr">
        <is>
          <t>коэфф.</t>
        </is>
      </c>
      <c r="D8" s="117" t="inlineStr">
        <is>
          <t>После общей даты все переходят на единую ставку</t>
        </is>
      </c>
      <c r="E8" s="134">
        <f>AVERAGE(L8:W8)</f>
        <v/>
      </c>
      <c r="F8" s="134">
        <f>AVERAGE(X8:AI8)</f>
        <v/>
      </c>
      <c r="G8" s="134">
        <f>AVERAGE(AJ8:AU8)</f>
        <v/>
      </c>
      <c r="H8" s="134">
        <f>AVERAGE(AV8:BG8)</f>
        <v/>
      </c>
      <c r="I8" s="134">
        <f>AVERAGE(BH8:BS8)</f>
        <v/>
      </c>
      <c r="J8" s="135">
        <f>AVERAGE(L8:BS8)</f>
        <v/>
      </c>
      <c r="L8" s="136">
        <f>L7*IF('03_Сеть'!L6&gt;=ДатаПереходаСтавки,СтавкаРоялтиВсех,СтавкаРоялтиСтарых)</f>
        <v/>
      </c>
      <c r="M8" s="136">
        <f>M7*IF('03_Сеть'!M6&gt;=ДатаПереходаСтавки,СтавкаРоялтиВсех,СтавкаРоялтиСтарых)</f>
        <v/>
      </c>
      <c r="N8" s="136">
        <f>N7*IF('03_Сеть'!N6&gt;=ДатаПереходаСтавки,СтавкаРоялтиВсех,СтавкаРоялтиСтарых)</f>
        <v/>
      </c>
      <c r="O8" s="136">
        <f>O7*IF('03_Сеть'!O6&gt;=ДатаПереходаСтавки,СтавкаРоялтиВсех,СтавкаРоялтиСтарых)</f>
        <v/>
      </c>
      <c r="P8" s="136">
        <f>P7*IF('03_Сеть'!P6&gt;=ДатаПереходаСтавки,СтавкаРоялтиВсех,СтавкаРоялтиСтарых)</f>
        <v/>
      </c>
      <c r="Q8" s="136">
        <f>Q7*IF('03_Сеть'!Q6&gt;=ДатаПереходаСтавки,СтавкаРоялтиВсех,СтавкаРоялтиСтарых)</f>
        <v/>
      </c>
      <c r="R8" s="136">
        <f>R7*IF('03_Сеть'!R6&gt;=ДатаПереходаСтавки,СтавкаРоялтиВсех,СтавкаРоялтиСтарых)</f>
        <v/>
      </c>
      <c r="S8" s="136">
        <f>S7*IF('03_Сеть'!S6&gt;=ДатаПереходаСтавки,СтавкаРоялтиВсех,СтавкаРоялтиСтарых)</f>
        <v/>
      </c>
      <c r="T8" s="136">
        <f>T7*IF('03_Сеть'!T6&gt;=ДатаПереходаСтавки,СтавкаРоялтиВсех,СтавкаРоялтиСтарых)</f>
        <v/>
      </c>
      <c r="U8" s="136">
        <f>U7*IF('03_Сеть'!U6&gt;=ДатаПереходаСтавки,СтавкаРоялтиВсех,СтавкаРоялтиСтарых)</f>
        <v/>
      </c>
      <c r="V8" s="136">
        <f>V7*IF('03_Сеть'!V6&gt;=ДатаПереходаСтавки,СтавкаРоялтиВсех,СтавкаРоялтиСтарых)</f>
        <v/>
      </c>
      <c r="W8" s="136">
        <f>W7*IF('03_Сеть'!W6&gt;=ДатаПереходаСтавки,СтавкаРоялтиВсех,СтавкаРоялтиСтарых)</f>
        <v/>
      </c>
      <c r="X8" s="136">
        <f>X7*IF('03_Сеть'!X6&gt;=ДатаПереходаСтавки,СтавкаРоялтиВсех,СтавкаРоялтиСтарых)</f>
        <v/>
      </c>
      <c r="Y8" s="136">
        <f>Y7*IF('03_Сеть'!Y6&gt;=ДатаПереходаСтавки,СтавкаРоялтиВсех,СтавкаРоялтиСтарых)</f>
        <v/>
      </c>
      <c r="Z8" s="136">
        <f>Z7*IF('03_Сеть'!Z6&gt;=ДатаПереходаСтавки,СтавкаРоялтиВсех,СтавкаРоялтиСтарых)</f>
        <v/>
      </c>
      <c r="AA8" s="136">
        <f>AA7*IF('03_Сеть'!AA6&gt;=ДатаПереходаСтавки,СтавкаРоялтиВсех,СтавкаРоялтиСтарых)</f>
        <v/>
      </c>
      <c r="AB8" s="136">
        <f>AB7*IF('03_Сеть'!AB6&gt;=ДатаПереходаСтавки,СтавкаРоялтиВсех,СтавкаРоялтиСтарых)</f>
        <v/>
      </c>
      <c r="AC8" s="136">
        <f>AC7*IF('03_Сеть'!AC6&gt;=ДатаПереходаСтавки,СтавкаРоялтиВсех,СтавкаРоялтиСтарых)</f>
        <v/>
      </c>
      <c r="AD8" s="136">
        <f>AD7*IF('03_Сеть'!AD6&gt;=ДатаПереходаСтавки,СтавкаРоялтиВсех,СтавкаРоялтиСтарых)</f>
        <v/>
      </c>
      <c r="AE8" s="136">
        <f>AE7*IF('03_Сеть'!AE6&gt;=ДатаПереходаСтавки,СтавкаРоялтиВсех,СтавкаРоялтиСтарых)</f>
        <v/>
      </c>
      <c r="AF8" s="136">
        <f>AF7*IF('03_Сеть'!AF6&gt;=ДатаПереходаСтавки,СтавкаРоялтиВсех,СтавкаРоялтиСтарых)</f>
        <v/>
      </c>
      <c r="AG8" s="136">
        <f>AG7*IF('03_Сеть'!AG6&gt;=ДатаПереходаСтавки,СтавкаРоялтиВсех,СтавкаРоялтиСтарых)</f>
        <v/>
      </c>
      <c r="AH8" s="136">
        <f>AH7*IF('03_Сеть'!AH6&gt;=ДатаПереходаСтавки,СтавкаРоялтиВсех,СтавкаРоялтиСтарых)</f>
        <v/>
      </c>
      <c r="AI8" s="136">
        <f>AI7*IF('03_Сеть'!AI6&gt;=ДатаПереходаСтавки,СтавкаРоялтиВсех,СтавкаРоялтиСтарых)</f>
        <v/>
      </c>
      <c r="AJ8" s="136">
        <f>AJ7*IF('03_Сеть'!AJ6&gt;=ДатаПереходаСтавки,СтавкаРоялтиВсех,СтавкаРоялтиСтарых)</f>
        <v/>
      </c>
      <c r="AK8" s="136">
        <f>AK7*IF('03_Сеть'!AK6&gt;=ДатаПереходаСтавки,СтавкаРоялтиВсех,СтавкаРоялтиСтарых)</f>
        <v/>
      </c>
      <c r="AL8" s="136">
        <f>AL7*IF('03_Сеть'!AL6&gt;=ДатаПереходаСтавки,СтавкаРоялтиВсех,СтавкаРоялтиСтарых)</f>
        <v/>
      </c>
      <c r="AM8" s="136">
        <f>AM7*IF('03_Сеть'!AM6&gt;=ДатаПереходаСтавки,СтавкаРоялтиВсех,СтавкаРоялтиСтарых)</f>
        <v/>
      </c>
      <c r="AN8" s="136">
        <f>AN7*IF('03_Сеть'!AN6&gt;=ДатаПереходаСтавки,СтавкаРоялтиВсех,СтавкаРоялтиСтарых)</f>
        <v/>
      </c>
      <c r="AO8" s="136">
        <f>AO7*IF('03_Сеть'!AO6&gt;=ДатаПереходаСтавки,СтавкаРоялтиВсех,СтавкаРоялтиСтарых)</f>
        <v/>
      </c>
      <c r="AP8" s="136">
        <f>AP7*IF('03_Сеть'!AP6&gt;=ДатаПереходаСтавки,СтавкаРоялтиВсех,СтавкаРоялтиСтарых)</f>
        <v/>
      </c>
      <c r="AQ8" s="136">
        <f>AQ7*IF('03_Сеть'!AQ6&gt;=ДатаПереходаСтавки,СтавкаРоялтиВсех,СтавкаРоялтиСтарых)</f>
        <v/>
      </c>
      <c r="AR8" s="136">
        <f>AR7*IF('03_Сеть'!AR6&gt;=ДатаПереходаСтавки,СтавкаРоялтиВсех,СтавкаРоялтиСтарых)</f>
        <v/>
      </c>
      <c r="AS8" s="136">
        <f>AS7*IF('03_Сеть'!AS6&gt;=ДатаПереходаСтавки,СтавкаРоялтиВсех,СтавкаРоялтиСтарых)</f>
        <v/>
      </c>
      <c r="AT8" s="136">
        <f>AT7*IF('03_Сеть'!AT6&gt;=ДатаПереходаСтавки,СтавкаРоялтиВсех,СтавкаРоялтиСтарых)</f>
        <v/>
      </c>
      <c r="AU8" s="136">
        <f>AU7*IF('03_Сеть'!AU6&gt;=ДатаПереходаСтавки,СтавкаРоялтиВсех,СтавкаРоялтиСтарых)</f>
        <v/>
      </c>
      <c r="AV8" s="136">
        <f>AV7*IF('03_Сеть'!AV6&gt;=ДатаПереходаСтавки,СтавкаРоялтиВсех,СтавкаРоялтиСтарых)</f>
        <v/>
      </c>
      <c r="AW8" s="136">
        <f>AW7*IF('03_Сеть'!AW6&gt;=ДатаПереходаСтавки,СтавкаРоялтиВсех,СтавкаРоялтиСтарых)</f>
        <v/>
      </c>
      <c r="AX8" s="136">
        <f>AX7*IF('03_Сеть'!AX6&gt;=ДатаПереходаСтавки,СтавкаРоялтиВсех,СтавкаРоялтиСтарых)</f>
        <v/>
      </c>
      <c r="AY8" s="136">
        <f>AY7*IF('03_Сеть'!AY6&gt;=ДатаПереходаСтавки,СтавкаРоялтиВсех,СтавкаРоялтиСтарых)</f>
        <v/>
      </c>
      <c r="AZ8" s="136">
        <f>AZ7*IF('03_Сеть'!AZ6&gt;=ДатаПереходаСтавки,СтавкаРоялтиВсех,СтавкаРоялтиСтарых)</f>
        <v/>
      </c>
      <c r="BA8" s="136">
        <f>BA7*IF('03_Сеть'!BA6&gt;=ДатаПереходаСтавки,СтавкаРоялтиВсех,СтавкаРоялтиСтарых)</f>
        <v/>
      </c>
      <c r="BB8" s="136">
        <f>BB7*IF('03_Сеть'!BB6&gt;=ДатаПереходаСтавки,СтавкаРоялтиВсех,СтавкаРоялтиСтарых)</f>
        <v/>
      </c>
      <c r="BC8" s="136">
        <f>BC7*IF('03_Сеть'!BC6&gt;=ДатаПереходаСтавки,СтавкаРоялтиВсех,СтавкаРоялтиСтарых)</f>
        <v/>
      </c>
      <c r="BD8" s="136">
        <f>BD7*IF('03_Сеть'!BD6&gt;=ДатаПереходаСтавки,СтавкаРоялтиВсех,СтавкаРоялтиСтарых)</f>
        <v/>
      </c>
      <c r="BE8" s="136">
        <f>BE7*IF('03_Сеть'!BE6&gt;=ДатаПереходаСтавки,СтавкаРоялтиВсех,СтавкаРоялтиСтарых)</f>
        <v/>
      </c>
      <c r="BF8" s="136">
        <f>BF7*IF('03_Сеть'!BF6&gt;=ДатаПереходаСтавки,СтавкаРоялтиВсех,СтавкаРоялтиСтарых)</f>
        <v/>
      </c>
      <c r="BG8" s="136">
        <f>BG7*IF('03_Сеть'!BG6&gt;=ДатаПереходаСтавки,СтавкаРоялтиВсех,СтавкаРоялтиСтарых)</f>
        <v/>
      </c>
      <c r="BH8" s="136">
        <f>BH7*IF('03_Сеть'!BH6&gt;=ДатаПереходаСтавки,СтавкаРоялтиВсех,СтавкаРоялтиСтарых)</f>
        <v/>
      </c>
      <c r="BI8" s="136">
        <f>BI7*IF('03_Сеть'!BI6&gt;=ДатаПереходаСтавки,СтавкаРоялтиВсех,СтавкаРоялтиСтарых)</f>
        <v/>
      </c>
      <c r="BJ8" s="136">
        <f>BJ7*IF('03_Сеть'!BJ6&gt;=ДатаПереходаСтавки,СтавкаРоялтиВсех,СтавкаРоялтиСтарых)</f>
        <v/>
      </c>
      <c r="BK8" s="136">
        <f>BK7*IF('03_Сеть'!BK6&gt;=ДатаПереходаСтавки,СтавкаРоялтиВсех,СтавкаРоялтиСтарых)</f>
        <v/>
      </c>
      <c r="BL8" s="136">
        <f>BL7*IF('03_Сеть'!BL6&gt;=ДатаПереходаСтавки,СтавкаРоялтиВсех,СтавкаРоялтиСтарых)</f>
        <v/>
      </c>
      <c r="BM8" s="136">
        <f>BM7*IF('03_Сеть'!BM6&gt;=ДатаПереходаСтавки,СтавкаРоялтиВсех,СтавкаРоялтиСтарых)</f>
        <v/>
      </c>
      <c r="BN8" s="136">
        <f>BN7*IF('03_Сеть'!BN6&gt;=ДатаПереходаСтавки,СтавкаРоялтиВсех,СтавкаРоялтиСтарых)</f>
        <v/>
      </c>
      <c r="BO8" s="136">
        <f>BO7*IF('03_Сеть'!BO6&gt;=ДатаПереходаСтавки,СтавкаРоялтиВсех,СтавкаРоялтиСтарых)</f>
        <v/>
      </c>
      <c r="BP8" s="136">
        <f>BP7*IF('03_Сеть'!BP6&gt;=ДатаПереходаСтавки,СтавкаРоялтиВсех,СтавкаРоялтиСтарых)</f>
        <v/>
      </c>
      <c r="BQ8" s="136">
        <f>BQ7*IF('03_Сеть'!BQ6&gt;=ДатаПереходаСтавки,СтавкаРоялтиВсех,СтавкаРоялтиСтарых)</f>
        <v/>
      </c>
      <c r="BR8" s="136">
        <f>BR7*IF('03_Сеть'!BR6&gt;=ДатаПереходаСтавки,СтавкаРоялтиВсех,СтавкаРоялтиСтарых)</f>
        <v/>
      </c>
      <c r="BS8" s="136">
        <f>BS7*IF('03_Сеть'!BS6&gt;=ДатаПереходаСтавки,СтавкаРоялтиВсех,СтавкаРоялтиСтарых)</f>
        <v/>
      </c>
      <c r="BT8" s="136">
        <f>BT7*IF('03_Сеть'!BT6&gt;=ДатаПереходаСтавки,СтавкаРоялтиВсех,СтавкаРоялтиСтарых)</f>
        <v/>
      </c>
      <c r="BU8" s="136">
        <f>BU7*IF('03_Сеть'!BU6&gt;=ДатаПереходаСтавки,СтавкаРоялтиВсех,СтавкаРоялтиСтарых)</f>
        <v/>
      </c>
      <c r="BV8" s="136">
        <f>BV7*IF('03_Сеть'!BV6&gt;=ДатаПереходаСтавки,СтавкаРоялтиВсех,СтавкаРоялтиСтарых)</f>
        <v/>
      </c>
      <c r="BW8" s="136">
        <f>BW7*IF('03_Сеть'!BW6&gt;=ДатаПереходаСтавки,СтавкаРоялтиВсех,СтавкаРоялтиСтарых)</f>
        <v/>
      </c>
      <c r="BX8" s="136">
        <f>BX7*IF('03_Сеть'!BX6&gt;=ДатаПереходаСтавки,СтавкаРоялтиВсех,СтавкаРоялтиСтарых)</f>
        <v/>
      </c>
      <c r="BY8" s="136">
        <f>BY7*IF('03_Сеть'!BY6&gt;=ДатаПереходаСтавки,СтавкаРоялтиВсех,СтавкаРоялтиСтарых)</f>
        <v/>
      </c>
    </row>
    <row r="9">
      <c r="B9" t="inlineStr">
        <is>
          <t>Ставка роялти: договоры после перехода</t>
        </is>
      </c>
      <c r="C9" t="inlineStr">
        <is>
          <t>коэфф.</t>
        </is>
      </c>
      <c r="D9" s="117" t="inlineStr"/>
      <c r="E9" s="134">
        <f>AVERAGE(L9:W9)</f>
        <v/>
      </c>
      <c r="F9" s="134">
        <f>AVERAGE(X9:AI9)</f>
        <v/>
      </c>
      <c r="G9" s="134">
        <f>AVERAGE(AJ9:AU9)</f>
        <v/>
      </c>
      <c r="H9" s="134">
        <f>AVERAGE(AV9:BG9)</f>
        <v/>
      </c>
      <c r="I9" s="134">
        <f>AVERAGE(BH9:BS9)</f>
        <v/>
      </c>
      <c r="J9" s="135">
        <f>AVERAGE(L9:BS9)</f>
        <v/>
      </c>
      <c r="L9" s="136">
        <f>L7*IF('03_Сеть'!L6&gt;=ДатаПереходаСтавки,СтавкаРоялтиВсех,СтавкаРоялтиНовых)</f>
        <v/>
      </c>
      <c r="M9" s="136">
        <f>M7*IF('03_Сеть'!M6&gt;=ДатаПереходаСтавки,СтавкаРоялтиВсех,СтавкаРоялтиНовых)</f>
        <v/>
      </c>
      <c r="N9" s="136">
        <f>N7*IF('03_Сеть'!N6&gt;=ДатаПереходаСтавки,СтавкаРоялтиВсех,СтавкаРоялтиНовых)</f>
        <v/>
      </c>
      <c r="O9" s="136">
        <f>O7*IF('03_Сеть'!O6&gt;=ДатаПереходаСтавки,СтавкаРоялтиВсех,СтавкаРоялтиНовых)</f>
        <v/>
      </c>
      <c r="P9" s="136">
        <f>P7*IF('03_Сеть'!P6&gt;=ДатаПереходаСтавки,СтавкаРоялтиВсех,СтавкаРоялтиНовых)</f>
        <v/>
      </c>
      <c r="Q9" s="136">
        <f>Q7*IF('03_Сеть'!Q6&gt;=ДатаПереходаСтавки,СтавкаРоялтиВсех,СтавкаРоялтиНовых)</f>
        <v/>
      </c>
      <c r="R9" s="136">
        <f>R7*IF('03_Сеть'!R6&gt;=ДатаПереходаСтавки,СтавкаРоялтиВсех,СтавкаРоялтиНовых)</f>
        <v/>
      </c>
      <c r="S9" s="136">
        <f>S7*IF('03_Сеть'!S6&gt;=ДатаПереходаСтавки,СтавкаРоялтиВсех,СтавкаРоялтиНовых)</f>
        <v/>
      </c>
      <c r="T9" s="136">
        <f>T7*IF('03_Сеть'!T6&gt;=ДатаПереходаСтавки,СтавкаРоялтиВсех,СтавкаРоялтиНовых)</f>
        <v/>
      </c>
      <c r="U9" s="136">
        <f>U7*IF('03_Сеть'!U6&gt;=ДатаПереходаСтавки,СтавкаРоялтиВсех,СтавкаРоялтиНовых)</f>
        <v/>
      </c>
      <c r="V9" s="136">
        <f>V7*IF('03_Сеть'!V6&gt;=ДатаПереходаСтавки,СтавкаРоялтиВсех,СтавкаРоялтиНовых)</f>
        <v/>
      </c>
      <c r="W9" s="136">
        <f>W7*IF('03_Сеть'!W6&gt;=ДатаПереходаСтавки,СтавкаРоялтиВсех,СтавкаРоялтиНовых)</f>
        <v/>
      </c>
      <c r="X9" s="136">
        <f>X7*IF('03_Сеть'!X6&gt;=ДатаПереходаСтавки,СтавкаРоялтиВсех,СтавкаРоялтиНовых)</f>
        <v/>
      </c>
      <c r="Y9" s="136">
        <f>Y7*IF('03_Сеть'!Y6&gt;=ДатаПереходаСтавки,СтавкаРоялтиВсех,СтавкаРоялтиНовых)</f>
        <v/>
      </c>
      <c r="Z9" s="136">
        <f>Z7*IF('03_Сеть'!Z6&gt;=ДатаПереходаСтавки,СтавкаРоялтиВсех,СтавкаРоялтиНовых)</f>
        <v/>
      </c>
      <c r="AA9" s="136">
        <f>AA7*IF('03_Сеть'!AA6&gt;=ДатаПереходаСтавки,СтавкаРоялтиВсех,СтавкаРоялтиНовых)</f>
        <v/>
      </c>
      <c r="AB9" s="136">
        <f>AB7*IF('03_Сеть'!AB6&gt;=ДатаПереходаСтавки,СтавкаРоялтиВсех,СтавкаРоялтиНовых)</f>
        <v/>
      </c>
      <c r="AC9" s="136">
        <f>AC7*IF('03_Сеть'!AC6&gt;=ДатаПереходаСтавки,СтавкаРоялтиВсех,СтавкаРоялтиНовых)</f>
        <v/>
      </c>
      <c r="AD9" s="136">
        <f>AD7*IF('03_Сеть'!AD6&gt;=ДатаПереходаСтавки,СтавкаРоялтиВсех,СтавкаРоялтиНовых)</f>
        <v/>
      </c>
      <c r="AE9" s="136">
        <f>AE7*IF('03_Сеть'!AE6&gt;=ДатаПереходаСтавки,СтавкаРоялтиВсех,СтавкаРоялтиНовых)</f>
        <v/>
      </c>
      <c r="AF9" s="136">
        <f>AF7*IF('03_Сеть'!AF6&gt;=ДатаПереходаСтавки,СтавкаРоялтиВсех,СтавкаРоялтиНовых)</f>
        <v/>
      </c>
      <c r="AG9" s="136">
        <f>AG7*IF('03_Сеть'!AG6&gt;=ДатаПереходаСтавки,СтавкаРоялтиВсех,СтавкаРоялтиНовых)</f>
        <v/>
      </c>
      <c r="AH9" s="136">
        <f>AH7*IF('03_Сеть'!AH6&gt;=ДатаПереходаСтавки,СтавкаРоялтиВсех,СтавкаРоялтиНовых)</f>
        <v/>
      </c>
      <c r="AI9" s="136">
        <f>AI7*IF('03_Сеть'!AI6&gt;=ДатаПереходаСтавки,СтавкаРоялтиВсех,СтавкаРоялтиНовых)</f>
        <v/>
      </c>
      <c r="AJ9" s="136">
        <f>AJ7*IF('03_Сеть'!AJ6&gt;=ДатаПереходаСтавки,СтавкаРоялтиВсех,СтавкаРоялтиНовых)</f>
        <v/>
      </c>
      <c r="AK9" s="136">
        <f>AK7*IF('03_Сеть'!AK6&gt;=ДатаПереходаСтавки,СтавкаРоялтиВсех,СтавкаРоялтиНовых)</f>
        <v/>
      </c>
      <c r="AL9" s="136">
        <f>AL7*IF('03_Сеть'!AL6&gt;=ДатаПереходаСтавки,СтавкаРоялтиВсех,СтавкаРоялтиНовых)</f>
        <v/>
      </c>
      <c r="AM9" s="136">
        <f>AM7*IF('03_Сеть'!AM6&gt;=ДатаПереходаСтавки,СтавкаРоялтиВсех,СтавкаРоялтиНовых)</f>
        <v/>
      </c>
      <c r="AN9" s="136">
        <f>AN7*IF('03_Сеть'!AN6&gt;=ДатаПереходаСтавки,СтавкаРоялтиВсех,СтавкаРоялтиНовых)</f>
        <v/>
      </c>
      <c r="AO9" s="136">
        <f>AO7*IF('03_Сеть'!AO6&gt;=ДатаПереходаСтавки,СтавкаРоялтиВсех,СтавкаРоялтиНовых)</f>
        <v/>
      </c>
      <c r="AP9" s="136">
        <f>AP7*IF('03_Сеть'!AP6&gt;=ДатаПереходаСтавки,СтавкаРоялтиВсех,СтавкаРоялтиНовых)</f>
        <v/>
      </c>
      <c r="AQ9" s="136">
        <f>AQ7*IF('03_Сеть'!AQ6&gt;=ДатаПереходаСтавки,СтавкаРоялтиВсех,СтавкаРоялтиНовых)</f>
        <v/>
      </c>
      <c r="AR9" s="136">
        <f>AR7*IF('03_Сеть'!AR6&gt;=ДатаПереходаСтавки,СтавкаРоялтиВсех,СтавкаРоялтиНовых)</f>
        <v/>
      </c>
      <c r="AS9" s="136">
        <f>AS7*IF('03_Сеть'!AS6&gt;=ДатаПереходаСтавки,СтавкаРоялтиВсех,СтавкаРоялтиНовых)</f>
        <v/>
      </c>
      <c r="AT9" s="136">
        <f>AT7*IF('03_Сеть'!AT6&gt;=ДатаПереходаСтавки,СтавкаРоялтиВсех,СтавкаРоялтиНовых)</f>
        <v/>
      </c>
      <c r="AU9" s="136">
        <f>AU7*IF('03_Сеть'!AU6&gt;=ДатаПереходаСтавки,СтавкаРоялтиВсех,СтавкаРоялтиНовых)</f>
        <v/>
      </c>
      <c r="AV9" s="136">
        <f>AV7*IF('03_Сеть'!AV6&gt;=ДатаПереходаСтавки,СтавкаРоялтиВсех,СтавкаРоялтиНовых)</f>
        <v/>
      </c>
      <c r="AW9" s="136">
        <f>AW7*IF('03_Сеть'!AW6&gt;=ДатаПереходаСтавки,СтавкаРоялтиВсех,СтавкаРоялтиНовых)</f>
        <v/>
      </c>
      <c r="AX9" s="136">
        <f>AX7*IF('03_Сеть'!AX6&gt;=ДатаПереходаСтавки,СтавкаРоялтиВсех,СтавкаРоялтиНовых)</f>
        <v/>
      </c>
      <c r="AY9" s="136">
        <f>AY7*IF('03_Сеть'!AY6&gt;=ДатаПереходаСтавки,СтавкаРоялтиВсех,СтавкаРоялтиНовых)</f>
        <v/>
      </c>
      <c r="AZ9" s="136">
        <f>AZ7*IF('03_Сеть'!AZ6&gt;=ДатаПереходаСтавки,СтавкаРоялтиВсех,СтавкаРоялтиНовых)</f>
        <v/>
      </c>
      <c r="BA9" s="136">
        <f>BA7*IF('03_Сеть'!BA6&gt;=ДатаПереходаСтавки,СтавкаРоялтиВсех,СтавкаРоялтиНовых)</f>
        <v/>
      </c>
      <c r="BB9" s="136">
        <f>BB7*IF('03_Сеть'!BB6&gt;=ДатаПереходаСтавки,СтавкаРоялтиВсех,СтавкаРоялтиНовых)</f>
        <v/>
      </c>
      <c r="BC9" s="136">
        <f>BC7*IF('03_Сеть'!BC6&gt;=ДатаПереходаСтавки,СтавкаРоялтиВсех,СтавкаРоялтиНовых)</f>
        <v/>
      </c>
      <c r="BD9" s="136">
        <f>BD7*IF('03_Сеть'!BD6&gt;=ДатаПереходаСтавки,СтавкаРоялтиВсех,СтавкаРоялтиНовых)</f>
        <v/>
      </c>
      <c r="BE9" s="136">
        <f>BE7*IF('03_Сеть'!BE6&gt;=ДатаПереходаСтавки,СтавкаРоялтиВсех,СтавкаРоялтиНовых)</f>
        <v/>
      </c>
      <c r="BF9" s="136">
        <f>BF7*IF('03_Сеть'!BF6&gt;=ДатаПереходаСтавки,СтавкаРоялтиВсех,СтавкаРоялтиНовых)</f>
        <v/>
      </c>
      <c r="BG9" s="136">
        <f>BG7*IF('03_Сеть'!BG6&gt;=ДатаПереходаСтавки,СтавкаРоялтиВсех,СтавкаРоялтиНовых)</f>
        <v/>
      </c>
      <c r="BH9" s="136">
        <f>BH7*IF('03_Сеть'!BH6&gt;=ДатаПереходаСтавки,СтавкаРоялтиВсех,СтавкаРоялтиНовых)</f>
        <v/>
      </c>
      <c r="BI9" s="136">
        <f>BI7*IF('03_Сеть'!BI6&gt;=ДатаПереходаСтавки,СтавкаРоялтиВсех,СтавкаРоялтиНовых)</f>
        <v/>
      </c>
      <c r="BJ9" s="136">
        <f>BJ7*IF('03_Сеть'!BJ6&gt;=ДатаПереходаСтавки,СтавкаРоялтиВсех,СтавкаРоялтиНовых)</f>
        <v/>
      </c>
      <c r="BK9" s="136">
        <f>BK7*IF('03_Сеть'!BK6&gt;=ДатаПереходаСтавки,СтавкаРоялтиВсех,СтавкаРоялтиНовых)</f>
        <v/>
      </c>
      <c r="BL9" s="136">
        <f>BL7*IF('03_Сеть'!BL6&gt;=ДатаПереходаСтавки,СтавкаРоялтиВсех,СтавкаРоялтиНовых)</f>
        <v/>
      </c>
      <c r="BM9" s="136">
        <f>BM7*IF('03_Сеть'!BM6&gt;=ДатаПереходаСтавки,СтавкаРоялтиВсех,СтавкаРоялтиНовых)</f>
        <v/>
      </c>
      <c r="BN9" s="136">
        <f>BN7*IF('03_Сеть'!BN6&gt;=ДатаПереходаСтавки,СтавкаРоялтиВсех,СтавкаРоялтиНовых)</f>
        <v/>
      </c>
      <c r="BO9" s="136">
        <f>BO7*IF('03_Сеть'!BO6&gt;=ДатаПереходаСтавки,СтавкаРоялтиВсех,СтавкаРоялтиНовых)</f>
        <v/>
      </c>
      <c r="BP9" s="136">
        <f>BP7*IF('03_Сеть'!BP6&gt;=ДатаПереходаСтавки,СтавкаРоялтиВсех,СтавкаРоялтиНовых)</f>
        <v/>
      </c>
      <c r="BQ9" s="136">
        <f>BQ7*IF('03_Сеть'!BQ6&gt;=ДатаПереходаСтавки,СтавкаРоялтиВсех,СтавкаРоялтиНовых)</f>
        <v/>
      </c>
      <c r="BR9" s="136">
        <f>BR7*IF('03_Сеть'!BR6&gt;=ДатаПереходаСтавки,СтавкаРоялтиВсех,СтавкаРоялтиНовых)</f>
        <v/>
      </c>
      <c r="BS9" s="136">
        <f>BS7*IF('03_Сеть'!BS6&gt;=ДатаПереходаСтавки,СтавкаРоялтиВсех,СтавкаРоялтиНовых)</f>
        <v/>
      </c>
      <c r="BT9" s="136">
        <f>BT7*IF('03_Сеть'!BT6&gt;=ДатаПереходаСтавки,СтавкаРоялтиВсех,СтавкаРоялтиНовых)</f>
        <v/>
      </c>
      <c r="BU9" s="136">
        <f>BU7*IF('03_Сеть'!BU6&gt;=ДатаПереходаСтавки,СтавкаРоялтиВсех,СтавкаРоялтиНовых)</f>
        <v/>
      </c>
      <c r="BV9" s="136">
        <f>BV7*IF('03_Сеть'!BV6&gt;=ДатаПереходаСтавки,СтавкаРоялтиВсех,СтавкаРоялтиНовых)</f>
        <v/>
      </c>
      <c r="BW9" s="136">
        <f>BW7*IF('03_Сеть'!BW6&gt;=ДатаПереходаСтавки,СтавкаРоялтиВсех,СтавкаРоялтиНовых)</f>
        <v/>
      </c>
      <c r="BX9" s="136">
        <f>BX7*IF('03_Сеть'!BX6&gt;=ДатаПереходаСтавки,СтавкаРоялтиВсех,СтавкаРоялтиНовых)</f>
        <v/>
      </c>
      <c r="BY9" s="136">
        <f>BY7*IF('03_Сеть'!BY6&gt;=ДатаПереходаСтавки,СтавкаРоялтиВсех,СтавкаРоялтиНовых)</f>
        <v/>
      </c>
    </row>
    <row r="11">
      <c r="B11" s="115" t="inlineStr">
        <is>
          <t>Паушальные взносы</t>
        </is>
      </c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W11" s="116" t="n"/>
      <c r="AX11" s="116" t="n"/>
      <c r="AY11" s="116" t="n"/>
      <c r="AZ11" s="116" t="n"/>
      <c r="BA11" s="116" t="n"/>
      <c r="BB11" s="116" t="n"/>
      <c r="BC11" s="116" t="n"/>
      <c r="BD11" s="116" t="n"/>
      <c r="BE11" s="116" t="n"/>
      <c r="BF11" s="116" t="n"/>
      <c r="BG11" s="116" t="n"/>
      <c r="BH11" s="116" t="n"/>
      <c r="BI11" s="116" t="n"/>
      <c r="BJ11" s="116" t="n"/>
      <c r="BK11" s="116" t="n"/>
      <c r="BL11" s="116" t="n"/>
      <c r="BM11" s="116" t="n"/>
      <c r="BN11" s="116" t="n"/>
      <c r="BO11" s="116" t="n"/>
      <c r="BP11" s="116" t="n"/>
      <c r="BQ11" s="116" t="n"/>
      <c r="BR11" s="116" t="n"/>
      <c r="BS11" s="116" t="n"/>
      <c r="BT11" s="116" t="n"/>
      <c r="BU11" s="116" t="n"/>
      <c r="BV11" s="116" t="n"/>
      <c r="BW11" s="116" t="n"/>
      <c r="BX11" s="116" t="n"/>
      <c r="BY11" s="116" t="n"/>
    </row>
    <row r="12">
      <c r="B12" t="inlineStr">
        <is>
          <t>Паушальные взносы, с НДС</t>
        </is>
      </c>
      <c r="C12" t="inlineStr">
        <is>
          <t>₽</t>
        </is>
      </c>
      <c r="D12" s="117" t="inlineStr">
        <is>
          <t>Продажи месяца по тарифу из справочника</t>
        </is>
      </c>
      <c r="E12" s="119">
        <f>SUM(L12:W12)</f>
        <v/>
      </c>
      <c r="F12" s="119">
        <f>SUM(X12:AI12)</f>
        <v/>
      </c>
      <c r="G12" s="119">
        <f>SUM(AJ12:AU12)</f>
        <v/>
      </c>
      <c r="H12" s="119">
        <f>SUM(AV12:BG12)</f>
        <v/>
      </c>
      <c r="I12" s="119">
        <f>SUM(BH12:BS12)</f>
        <v/>
      </c>
      <c r="J12" s="5">
        <f>SUM(L12:BS12)</f>
        <v/>
      </c>
      <c r="L12" s="4">
        <f>'03_Сеть'!L12*'07_Тарифы'!B$6</f>
        <v/>
      </c>
      <c r="M12" s="4">
        <f>'03_Сеть'!M12*'07_Тарифы'!C$6</f>
        <v/>
      </c>
      <c r="N12" s="4">
        <f>'03_Сеть'!N12*'07_Тарифы'!D$6</f>
        <v/>
      </c>
      <c r="O12" s="4">
        <f>'03_Сеть'!O12*'07_Тарифы'!E$6</f>
        <v/>
      </c>
      <c r="P12" s="4">
        <f>'03_Сеть'!P12*'07_Тарифы'!F$6</f>
        <v/>
      </c>
      <c r="Q12" s="4">
        <f>'03_Сеть'!Q12*'07_Тарифы'!G$6</f>
        <v/>
      </c>
      <c r="R12" s="4">
        <f>'03_Сеть'!R12*'07_Тарифы'!H$6</f>
        <v/>
      </c>
      <c r="S12" s="4">
        <f>'03_Сеть'!S12*'07_Тарифы'!I$6</f>
        <v/>
      </c>
      <c r="T12" s="4">
        <f>'03_Сеть'!T12*'07_Тарифы'!J$6</f>
        <v/>
      </c>
      <c r="U12" s="4">
        <f>'03_Сеть'!U12*'07_Тарифы'!K$6</f>
        <v/>
      </c>
      <c r="V12" s="4">
        <f>'03_Сеть'!V12*'07_Тарифы'!L$6</f>
        <v/>
      </c>
      <c r="W12" s="4">
        <f>'03_Сеть'!W12*'07_Тарифы'!M$6</f>
        <v/>
      </c>
      <c r="X12" s="4">
        <f>'03_Сеть'!X12*'07_Тарифы'!N$6</f>
        <v/>
      </c>
      <c r="Y12" s="4">
        <f>'03_Сеть'!Y12*'07_Тарифы'!O$6</f>
        <v/>
      </c>
      <c r="Z12" s="4">
        <f>'03_Сеть'!Z12*'07_Тарифы'!P$6</f>
        <v/>
      </c>
      <c r="AA12" s="4">
        <f>'03_Сеть'!AA12*'07_Тарифы'!Q$6</f>
        <v/>
      </c>
      <c r="AB12" s="4">
        <f>'03_Сеть'!AB12*'07_Тарифы'!R$6</f>
        <v/>
      </c>
      <c r="AC12" s="4">
        <f>'03_Сеть'!AC12*'07_Тарифы'!S$6</f>
        <v/>
      </c>
      <c r="AD12" s="4">
        <f>'03_Сеть'!AD12*'07_Тарифы'!T$6</f>
        <v/>
      </c>
      <c r="AE12" s="4">
        <f>'03_Сеть'!AE12*'07_Тарифы'!U$6</f>
        <v/>
      </c>
      <c r="AF12" s="4">
        <f>'03_Сеть'!AF12*'07_Тарифы'!V$6</f>
        <v/>
      </c>
      <c r="AG12" s="4">
        <f>'03_Сеть'!AG12*'07_Тарифы'!W$6</f>
        <v/>
      </c>
      <c r="AH12" s="4">
        <f>'03_Сеть'!AH12*'07_Тарифы'!X$6</f>
        <v/>
      </c>
      <c r="AI12" s="4">
        <f>'03_Сеть'!AI12*'07_Тарифы'!Y$6</f>
        <v/>
      </c>
      <c r="AJ12" s="4">
        <f>'03_Сеть'!AJ12*'07_Тарифы'!Z$6</f>
        <v/>
      </c>
      <c r="AK12" s="4">
        <f>'03_Сеть'!AK12*'07_Тарифы'!AA$6</f>
        <v/>
      </c>
      <c r="AL12" s="4">
        <f>'03_Сеть'!AL12*'07_Тарифы'!AB$6</f>
        <v/>
      </c>
      <c r="AM12" s="4">
        <f>'03_Сеть'!AM12*'07_Тарифы'!AC$6</f>
        <v/>
      </c>
      <c r="AN12" s="4">
        <f>'03_Сеть'!AN12*'07_Тарифы'!AD$6</f>
        <v/>
      </c>
      <c r="AO12" s="4">
        <f>'03_Сеть'!AO12*'07_Тарифы'!AE$6</f>
        <v/>
      </c>
      <c r="AP12" s="4">
        <f>'03_Сеть'!AP12*'07_Тарифы'!AF$6</f>
        <v/>
      </c>
      <c r="AQ12" s="4">
        <f>'03_Сеть'!AQ12*'07_Тарифы'!AG$6</f>
        <v/>
      </c>
      <c r="AR12" s="4">
        <f>'03_Сеть'!AR12*'07_Тарифы'!AH$6</f>
        <v/>
      </c>
      <c r="AS12" s="4">
        <f>'03_Сеть'!AS12*'07_Тарифы'!AI$6</f>
        <v/>
      </c>
      <c r="AT12" s="4">
        <f>'03_Сеть'!AT12*'07_Тарифы'!AJ$6</f>
        <v/>
      </c>
      <c r="AU12" s="4">
        <f>'03_Сеть'!AU12*'07_Тарифы'!AK$6</f>
        <v/>
      </c>
      <c r="AV12" s="4">
        <f>'03_Сеть'!AV12*'07_Тарифы'!AL$6</f>
        <v/>
      </c>
      <c r="AW12" s="4">
        <f>'03_Сеть'!AW12*'07_Тарифы'!AM$6</f>
        <v/>
      </c>
      <c r="AX12" s="4">
        <f>'03_Сеть'!AX12*'07_Тарифы'!AN$6</f>
        <v/>
      </c>
      <c r="AY12" s="4">
        <f>'03_Сеть'!AY12*'07_Тарифы'!AO$6</f>
        <v/>
      </c>
      <c r="AZ12" s="4">
        <f>'03_Сеть'!AZ12*'07_Тарифы'!AP$6</f>
        <v/>
      </c>
      <c r="BA12" s="4">
        <f>'03_Сеть'!BA12*'07_Тарифы'!AQ$6</f>
        <v/>
      </c>
      <c r="BB12" s="4">
        <f>'03_Сеть'!BB12*'07_Тарифы'!AR$6</f>
        <v/>
      </c>
      <c r="BC12" s="4">
        <f>'03_Сеть'!BC12*'07_Тарифы'!AS$6</f>
        <v/>
      </c>
      <c r="BD12" s="4">
        <f>'03_Сеть'!BD12*'07_Тарифы'!AT$6</f>
        <v/>
      </c>
      <c r="BE12" s="4">
        <f>'03_Сеть'!BE12*'07_Тарифы'!AU$6</f>
        <v/>
      </c>
      <c r="BF12" s="4">
        <f>'03_Сеть'!BF12*'07_Тарифы'!AV$6</f>
        <v/>
      </c>
      <c r="BG12" s="4">
        <f>'03_Сеть'!BG12*'07_Тарифы'!AW$6</f>
        <v/>
      </c>
      <c r="BH12" s="4">
        <f>'03_Сеть'!BH12*'07_Тарифы'!AX$6</f>
        <v/>
      </c>
      <c r="BI12" s="4">
        <f>'03_Сеть'!BI12*'07_Тарифы'!AY$6</f>
        <v/>
      </c>
      <c r="BJ12" s="4">
        <f>'03_Сеть'!BJ12*'07_Тарифы'!AZ$6</f>
        <v/>
      </c>
      <c r="BK12" s="4">
        <f>'03_Сеть'!BK12*'07_Тарифы'!BA$6</f>
        <v/>
      </c>
      <c r="BL12" s="4">
        <f>'03_Сеть'!BL12*'07_Тарифы'!BB$6</f>
        <v/>
      </c>
      <c r="BM12" s="4">
        <f>'03_Сеть'!BM12*'07_Тарифы'!BC$6</f>
        <v/>
      </c>
      <c r="BN12" s="4">
        <f>'03_Сеть'!BN12*'07_Тарифы'!BD$6</f>
        <v/>
      </c>
      <c r="BO12" s="4">
        <f>'03_Сеть'!BO12*'07_Тарифы'!BE$6</f>
        <v/>
      </c>
      <c r="BP12" s="4">
        <f>'03_Сеть'!BP12*'07_Тарифы'!BF$6</f>
        <v/>
      </c>
      <c r="BQ12" s="4">
        <f>'03_Сеть'!BQ12*'07_Тарифы'!BG$6</f>
        <v/>
      </c>
      <c r="BR12" s="4">
        <f>'03_Сеть'!BR12*'07_Тарифы'!BH$6</f>
        <v/>
      </c>
      <c r="BS12" s="4">
        <f>'03_Сеть'!BS12*'07_Тарифы'!BI$6</f>
        <v/>
      </c>
      <c r="BT12" s="4">
        <f>'03_Сеть'!BT12*'07_Тарифы'!BJ$6</f>
        <v/>
      </c>
      <c r="BU12" s="4">
        <f>'03_Сеть'!BU12*'07_Тарифы'!BK$6</f>
        <v/>
      </c>
      <c r="BV12" s="4">
        <f>'03_Сеть'!BV12*'07_Тарифы'!BL$6</f>
        <v/>
      </c>
      <c r="BW12" s="4">
        <f>'03_Сеть'!BW12*'07_Тарифы'!BM$6</f>
        <v/>
      </c>
      <c r="BX12" s="4">
        <f>'03_Сеть'!BX12*'07_Тарифы'!BN$6</f>
        <v/>
      </c>
      <c r="BY12" s="4">
        <f>'03_Сеть'!BY12*'07_Тарифы'!BO$6</f>
        <v/>
      </c>
    </row>
    <row r="13">
      <c r="B13" s="6" t="inlineStr">
        <is>
          <t>Паушальные взносы, без НДС</t>
        </is>
      </c>
      <c r="C13" s="6" t="inlineStr">
        <is>
          <t>₽</t>
        </is>
      </c>
      <c r="D13" s="120" t="inlineStr"/>
      <c r="E13" s="121">
        <f>SUM(L13:W13)</f>
        <v/>
      </c>
      <c r="F13" s="121">
        <f>SUM(X13:AI13)</f>
        <v/>
      </c>
      <c r="G13" s="121">
        <f>SUM(AJ13:AU13)</f>
        <v/>
      </c>
      <c r="H13" s="121">
        <f>SUM(AV13:BG13)</f>
        <v/>
      </c>
      <c r="I13" s="121">
        <f>SUM(BH13:BS13)</f>
        <v/>
      </c>
      <c r="J13" s="8">
        <f>SUM(L13:BS13)</f>
        <v/>
      </c>
      <c r="L13" s="7">
        <f>L12/(1+НДС)</f>
        <v/>
      </c>
      <c r="M13" s="7">
        <f>M12/(1+НДС)</f>
        <v/>
      </c>
      <c r="N13" s="7">
        <f>N12/(1+НДС)</f>
        <v/>
      </c>
      <c r="O13" s="7">
        <f>O12/(1+НДС)</f>
        <v/>
      </c>
      <c r="P13" s="7">
        <f>P12/(1+НДС)</f>
        <v/>
      </c>
      <c r="Q13" s="7">
        <f>Q12/(1+НДС)</f>
        <v/>
      </c>
      <c r="R13" s="7">
        <f>R12/(1+НДС)</f>
        <v/>
      </c>
      <c r="S13" s="7">
        <f>S12/(1+НДС)</f>
        <v/>
      </c>
      <c r="T13" s="7">
        <f>T12/(1+НДС)</f>
        <v/>
      </c>
      <c r="U13" s="7">
        <f>U12/(1+НДС)</f>
        <v/>
      </c>
      <c r="V13" s="7">
        <f>V12/(1+НДС)</f>
        <v/>
      </c>
      <c r="W13" s="7">
        <f>W12/(1+НДС)</f>
        <v/>
      </c>
      <c r="X13" s="7">
        <f>X12/(1+НДС)</f>
        <v/>
      </c>
      <c r="Y13" s="7">
        <f>Y12/(1+НДС)</f>
        <v/>
      </c>
      <c r="Z13" s="7">
        <f>Z12/(1+НДС)</f>
        <v/>
      </c>
      <c r="AA13" s="7">
        <f>AA12/(1+НДС)</f>
        <v/>
      </c>
      <c r="AB13" s="7">
        <f>AB12/(1+НДС)</f>
        <v/>
      </c>
      <c r="AC13" s="7">
        <f>AC12/(1+НДС)</f>
        <v/>
      </c>
      <c r="AD13" s="7">
        <f>AD12/(1+НДС)</f>
        <v/>
      </c>
      <c r="AE13" s="7">
        <f>AE12/(1+НДС)</f>
        <v/>
      </c>
      <c r="AF13" s="7">
        <f>AF12/(1+НДС)</f>
        <v/>
      </c>
      <c r="AG13" s="7">
        <f>AG12/(1+НДС)</f>
        <v/>
      </c>
      <c r="AH13" s="7">
        <f>AH12/(1+НДС)</f>
        <v/>
      </c>
      <c r="AI13" s="7">
        <f>AI12/(1+НДС)</f>
        <v/>
      </c>
      <c r="AJ13" s="7">
        <f>AJ12/(1+НДС)</f>
        <v/>
      </c>
      <c r="AK13" s="7">
        <f>AK12/(1+НДС)</f>
        <v/>
      </c>
      <c r="AL13" s="7">
        <f>AL12/(1+НДС)</f>
        <v/>
      </c>
      <c r="AM13" s="7">
        <f>AM12/(1+НДС)</f>
        <v/>
      </c>
      <c r="AN13" s="7">
        <f>AN12/(1+НДС)</f>
        <v/>
      </c>
      <c r="AO13" s="7">
        <f>AO12/(1+НДС)</f>
        <v/>
      </c>
      <c r="AP13" s="7">
        <f>AP12/(1+НДС)</f>
        <v/>
      </c>
      <c r="AQ13" s="7">
        <f>AQ12/(1+НДС)</f>
        <v/>
      </c>
      <c r="AR13" s="7">
        <f>AR12/(1+НДС)</f>
        <v/>
      </c>
      <c r="AS13" s="7">
        <f>AS12/(1+НДС)</f>
        <v/>
      </c>
      <c r="AT13" s="7">
        <f>AT12/(1+НДС)</f>
        <v/>
      </c>
      <c r="AU13" s="7">
        <f>AU12/(1+НДС)</f>
        <v/>
      </c>
      <c r="AV13" s="7">
        <f>AV12/(1+НДС)</f>
        <v/>
      </c>
      <c r="AW13" s="7">
        <f>AW12/(1+НДС)</f>
        <v/>
      </c>
      <c r="AX13" s="7">
        <f>AX12/(1+НДС)</f>
        <v/>
      </c>
      <c r="AY13" s="7">
        <f>AY12/(1+НДС)</f>
        <v/>
      </c>
      <c r="AZ13" s="7">
        <f>AZ12/(1+НДС)</f>
        <v/>
      </c>
      <c r="BA13" s="7">
        <f>BA12/(1+НДС)</f>
        <v/>
      </c>
      <c r="BB13" s="7">
        <f>BB12/(1+НДС)</f>
        <v/>
      </c>
      <c r="BC13" s="7">
        <f>BC12/(1+НДС)</f>
        <v/>
      </c>
      <c r="BD13" s="7">
        <f>BD12/(1+НДС)</f>
        <v/>
      </c>
      <c r="BE13" s="7">
        <f>BE12/(1+НДС)</f>
        <v/>
      </c>
      <c r="BF13" s="7">
        <f>BF12/(1+НДС)</f>
        <v/>
      </c>
      <c r="BG13" s="7">
        <f>BG12/(1+НДС)</f>
        <v/>
      </c>
      <c r="BH13" s="7">
        <f>BH12/(1+НДС)</f>
        <v/>
      </c>
      <c r="BI13" s="7">
        <f>BI12/(1+НДС)</f>
        <v/>
      </c>
      <c r="BJ13" s="7">
        <f>BJ12/(1+НДС)</f>
        <v/>
      </c>
      <c r="BK13" s="7">
        <f>BK12/(1+НДС)</f>
        <v/>
      </c>
      <c r="BL13" s="7">
        <f>BL12/(1+НДС)</f>
        <v/>
      </c>
      <c r="BM13" s="7">
        <f>BM12/(1+НДС)</f>
        <v/>
      </c>
      <c r="BN13" s="7">
        <f>BN12/(1+НДС)</f>
        <v/>
      </c>
      <c r="BO13" s="7">
        <f>BO12/(1+НДС)</f>
        <v/>
      </c>
      <c r="BP13" s="7">
        <f>BP12/(1+НДС)</f>
        <v/>
      </c>
      <c r="BQ13" s="7">
        <f>BQ12/(1+НДС)</f>
        <v/>
      </c>
      <c r="BR13" s="7">
        <f>BR12/(1+НДС)</f>
        <v/>
      </c>
      <c r="BS13" s="7">
        <f>BS12/(1+НДС)</f>
        <v/>
      </c>
      <c r="BT13" s="7">
        <f>BT12/(1+НДС)</f>
        <v/>
      </c>
      <c r="BU13" s="7">
        <f>BU12/(1+НДС)</f>
        <v/>
      </c>
      <c r="BV13" s="7">
        <f>BV12/(1+НДС)</f>
        <v/>
      </c>
      <c r="BW13" s="7">
        <f>BW12/(1+НДС)</f>
        <v/>
      </c>
      <c r="BX13" s="7">
        <f>BX12/(1+НДС)</f>
        <v/>
      </c>
      <c r="BY13" s="7">
        <f>BY12/(1+НДС)</f>
        <v/>
      </c>
    </row>
    <row r="15">
      <c r="B15" s="115" t="inlineStr">
        <is>
          <t>Роялти действующей сети</t>
        </is>
      </c>
      <c r="C15" s="116" t="n"/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  <c r="AO15" s="116" t="n"/>
      <c r="AP15" s="116" t="n"/>
      <c r="AQ15" s="116" t="n"/>
      <c r="AR15" s="116" t="n"/>
      <c r="AS15" s="116" t="n"/>
      <c r="AT15" s="116" t="n"/>
      <c r="AU15" s="116" t="n"/>
      <c r="AV15" s="116" t="n"/>
      <c r="AW15" s="116" t="n"/>
      <c r="AX15" s="116" t="n"/>
      <c r="AY15" s="116" t="n"/>
      <c r="AZ15" s="116" t="n"/>
      <c r="BA15" s="116" t="n"/>
      <c r="BB15" s="116" t="n"/>
      <c r="BC15" s="116" t="n"/>
      <c r="BD15" s="116" t="n"/>
      <c r="BE15" s="116" t="n"/>
      <c r="BF15" s="116" t="n"/>
      <c r="BG15" s="116" t="n"/>
      <c r="BH15" s="116" t="n"/>
      <c r="BI15" s="116" t="n"/>
      <c r="BJ15" s="116" t="n"/>
      <c r="BK15" s="116" t="n"/>
      <c r="BL15" s="116" t="n"/>
      <c r="BM15" s="116" t="n"/>
      <c r="BN15" s="116" t="n"/>
      <c r="BO15" s="116" t="n"/>
      <c r="BP15" s="116" t="n"/>
      <c r="BQ15" s="116" t="n"/>
      <c r="BR15" s="116" t="n"/>
      <c r="BS15" s="116" t="n"/>
      <c r="BT15" s="116" t="n"/>
      <c r="BU15" s="116" t="n"/>
      <c r="BV15" s="116" t="n"/>
      <c r="BW15" s="116" t="n"/>
      <c r="BX15" s="116" t="n"/>
      <c r="BY15" s="116" t="n"/>
    </row>
    <row r="16">
      <c r="B16" t="inlineStr">
        <is>
          <t>Роялти действующей сети, с НДС</t>
        </is>
      </c>
      <c r="C16" t="inlineStr">
        <is>
          <t>₽</t>
        </is>
      </c>
      <c r="D16" s="117" t="inlineStr">
        <is>
          <t>Процент с абонементов, но не меньше минимального платежа за школу</t>
        </is>
      </c>
      <c r="E16" s="119">
        <f>SUM(L16:W16)</f>
        <v/>
      </c>
      <c r="F16" s="119">
        <f>SUM(X16:AI16)</f>
        <v/>
      </c>
      <c r="G16" s="119">
        <f>SUM(AJ16:AU16)</f>
        <v/>
      </c>
      <c r="H16" s="119">
        <f>SUM(AV16:BG16)</f>
        <v/>
      </c>
      <c r="I16" s="119">
        <f>SUM(BH16:BS16)</f>
        <v/>
      </c>
      <c r="J16" s="5">
        <f>SUM(L16:BS16)</f>
        <v/>
      </c>
      <c r="L16" s="4">
        <f>MAX('03_Сеть'!L19*'07_Тарифы'!B$8*IF('03_Сеть'!L6&gt;=ДатаПереходаСтавки,СтавкаРоялтиВсех,СтавкаРоялтиСтарых),'03_Сеть'!L17*МинРоялтиШкола)</f>
        <v/>
      </c>
      <c r="M16" s="4">
        <f>MAX('03_Сеть'!M19*'07_Тарифы'!C$8*IF('03_Сеть'!M6&gt;=ДатаПереходаСтавки,СтавкаРоялтиВсех,СтавкаРоялтиСтарых),'03_Сеть'!M17*МинРоялтиШкола)</f>
        <v/>
      </c>
      <c r="N16" s="4">
        <f>MAX('03_Сеть'!N19*'07_Тарифы'!D$8*IF('03_Сеть'!N6&gt;=ДатаПереходаСтавки,СтавкаРоялтиВсех,СтавкаРоялтиСтарых),'03_Сеть'!N17*МинРоялтиШкола)</f>
        <v/>
      </c>
      <c r="O16" s="4">
        <f>MAX('03_Сеть'!O19*'07_Тарифы'!E$8*IF('03_Сеть'!O6&gt;=ДатаПереходаСтавки,СтавкаРоялтиВсех,СтавкаРоялтиСтарых),'03_Сеть'!O17*МинРоялтиШкола)</f>
        <v/>
      </c>
      <c r="P16" s="4">
        <f>MAX('03_Сеть'!P19*'07_Тарифы'!F$8*IF('03_Сеть'!P6&gt;=ДатаПереходаСтавки,СтавкаРоялтиВсех,СтавкаРоялтиСтарых),'03_Сеть'!P17*МинРоялтиШкола)</f>
        <v/>
      </c>
      <c r="Q16" s="4">
        <f>MAX('03_Сеть'!Q19*'07_Тарифы'!G$8*IF('03_Сеть'!Q6&gt;=ДатаПереходаСтавки,СтавкаРоялтиВсех,СтавкаРоялтиСтарых),'03_Сеть'!Q17*МинРоялтиШкола)</f>
        <v/>
      </c>
      <c r="R16" s="4">
        <f>MAX('03_Сеть'!R19*'07_Тарифы'!H$8*IF('03_Сеть'!R6&gt;=ДатаПереходаСтавки,СтавкаРоялтиВсех,СтавкаРоялтиСтарых),'03_Сеть'!R17*МинРоялтиШкола)</f>
        <v/>
      </c>
      <c r="S16" s="4">
        <f>MAX('03_Сеть'!S19*'07_Тарифы'!I$8*IF('03_Сеть'!S6&gt;=ДатаПереходаСтавки,СтавкаРоялтиВсех,СтавкаРоялтиСтарых),'03_Сеть'!S17*МинРоялтиШкола)</f>
        <v/>
      </c>
      <c r="T16" s="4">
        <f>MAX('03_Сеть'!T19*'07_Тарифы'!J$8*IF('03_Сеть'!T6&gt;=ДатаПереходаСтавки,СтавкаРоялтиВсех,СтавкаРоялтиСтарых),'03_Сеть'!T17*МинРоялтиШкола)</f>
        <v/>
      </c>
      <c r="U16" s="4">
        <f>MAX('03_Сеть'!U19*'07_Тарифы'!K$8*IF('03_Сеть'!U6&gt;=ДатаПереходаСтавки,СтавкаРоялтиВсех,СтавкаРоялтиСтарых),'03_Сеть'!U17*МинРоялтиШкола)</f>
        <v/>
      </c>
      <c r="V16" s="4">
        <f>MAX('03_Сеть'!V19*'07_Тарифы'!L$8*IF('03_Сеть'!V6&gt;=ДатаПереходаСтавки,СтавкаРоялтиВсех,СтавкаРоялтиСтарых),'03_Сеть'!V17*МинРоялтиШкола)</f>
        <v/>
      </c>
      <c r="W16" s="4">
        <f>MAX('03_Сеть'!W19*'07_Тарифы'!M$8*IF('03_Сеть'!W6&gt;=ДатаПереходаСтавки,СтавкаРоялтиВсех,СтавкаРоялтиСтарых),'03_Сеть'!W17*МинРоялтиШкола)</f>
        <v/>
      </c>
      <c r="X16" s="4">
        <f>MAX('03_Сеть'!X19*'07_Тарифы'!N$8*IF('03_Сеть'!X6&gt;=ДатаПереходаСтавки,СтавкаРоялтиВсех,СтавкаРоялтиСтарых),'03_Сеть'!X17*МинРоялтиШкола)</f>
        <v/>
      </c>
      <c r="Y16" s="4">
        <f>MAX('03_Сеть'!Y19*'07_Тарифы'!O$8*IF('03_Сеть'!Y6&gt;=ДатаПереходаСтавки,СтавкаРоялтиВсех,СтавкаРоялтиСтарых),'03_Сеть'!Y17*МинРоялтиШкола)</f>
        <v/>
      </c>
      <c r="Z16" s="4">
        <f>MAX('03_Сеть'!Z19*'07_Тарифы'!P$8*IF('03_Сеть'!Z6&gt;=ДатаПереходаСтавки,СтавкаРоялтиВсех,СтавкаРоялтиСтарых),'03_Сеть'!Z17*МинРоялтиШкола)</f>
        <v/>
      </c>
      <c r="AA16" s="4">
        <f>MAX('03_Сеть'!AA19*'07_Тарифы'!Q$8*IF('03_Сеть'!AA6&gt;=ДатаПереходаСтавки,СтавкаРоялтиВсех,СтавкаРоялтиСтарых),'03_Сеть'!AA17*МинРоялтиШкола)</f>
        <v/>
      </c>
      <c r="AB16" s="4">
        <f>MAX('03_Сеть'!AB19*'07_Тарифы'!R$8*IF('03_Сеть'!AB6&gt;=ДатаПереходаСтавки,СтавкаРоялтиВсех,СтавкаРоялтиСтарых),'03_Сеть'!AB17*МинРоялтиШкола)</f>
        <v/>
      </c>
      <c r="AC16" s="4">
        <f>MAX('03_Сеть'!AC19*'07_Тарифы'!S$8*IF('03_Сеть'!AC6&gt;=ДатаПереходаСтавки,СтавкаРоялтиВсех,СтавкаРоялтиСтарых),'03_Сеть'!AC17*МинРоялтиШкола)</f>
        <v/>
      </c>
      <c r="AD16" s="4">
        <f>MAX('03_Сеть'!AD19*'07_Тарифы'!T$8*IF('03_Сеть'!AD6&gt;=ДатаПереходаСтавки,СтавкаРоялтиВсех,СтавкаРоялтиСтарых),'03_Сеть'!AD17*МинРоялтиШкола)</f>
        <v/>
      </c>
      <c r="AE16" s="4">
        <f>MAX('03_Сеть'!AE19*'07_Тарифы'!U$8*IF('03_Сеть'!AE6&gt;=ДатаПереходаСтавки,СтавкаРоялтиВсех,СтавкаРоялтиСтарых),'03_Сеть'!AE17*МинРоялтиШкола)</f>
        <v/>
      </c>
      <c r="AF16" s="4">
        <f>MAX('03_Сеть'!AF19*'07_Тарифы'!V$8*IF('03_Сеть'!AF6&gt;=ДатаПереходаСтавки,СтавкаРоялтиВсех,СтавкаРоялтиСтарых),'03_Сеть'!AF17*МинРоялтиШкола)</f>
        <v/>
      </c>
      <c r="AG16" s="4">
        <f>MAX('03_Сеть'!AG19*'07_Тарифы'!W$8*IF('03_Сеть'!AG6&gt;=ДатаПереходаСтавки,СтавкаРоялтиВсех,СтавкаРоялтиСтарых),'03_Сеть'!AG17*МинРоялтиШкола)</f>
        <v/>
      </c>
      <c r="AH16" s="4">
        <f>MAX('03_Сеть'!AH19*'07_Тарифы'!X$8*IF('03_Сеть'!AH6&gt;=ДатаПереходаСтавки,СтавкаРоялтиВсех,СтавкаРоялтиСтарых),'03_Сеть'!AH17*МинРоялтиШкола)</f>
        <v/>
      </c>
      <c r="AI16" s="4">
        <f>MAX('03_Сеть'!AI19*'07_Тарифы'!Y$8*IF('03_Сеть'!AI6&gt;=ДатаПереходаСтавки,СтавкаРоялтиВсех,СтавкаРоялтиСтарых),'03_Сеть'!AI17*МинРоялтиШкола)</f>
        <v/>
      </c>
      <c r="AJ16" s="4">
        <f>MAX('03_Сеть'!AJ19*'07_Тарифы'!Z$8*IF('03_Сеть'!AJ6&gt;=ДатаПереходаСтавки,СтавкаРоялтиВсех,СтавкаРоялтиСтарых),'03_Сеть'!AJ17*МинРоялтиШкола)</f>
        <v/>
      </c>
      <c r="AK16" s="4">
        <f>MAX('03_Сеть'!AK19*'07_Тарифы'!AA$8*IF('03_Сеть'!AK6&gt;=ДатаПереходаСтавки,СтавкаРоялтиВсех,СтавкаРоялтиСтарых),'03_Сеть'!AK17*МинРоялтиШкола)</f>
        <v/>
      </c>
      <c r="AL16" s="4">
        <f>MAX('03_Сеть'!AL19*'07_Тарифы'!AB$8*IF('03_Сеть'!AL6&gt;=ДатаПереходаСтавки,СтавкаРоялтиВсех,СтавкаРоялтиСтарых),'03_Сеть'!AL17*МинРоялтиШкола)</f>
        <v/>
      </c>
      <c r="AM16" s="4">
        <f>MAX('03_Сеть'!AM19*'07_Тарифы'!AC$8*IF('03_Сеть'!AM6&gt;=ДатаПереходаСтавки,СтавкаРоялтиВсех,СтавкаРоялтиСтарых),'03_Сеть'!AM17*МинРоялтиШкола)</f>
        <v/>
      </c>
      <c r="AN16" s="4">
        <f>MAX('03_Сеть'!AN19*'07_Тарифы'!AD$8*IF('03_Сеть'!AN6&gt;=ДатаПереходаСтавки,СтавкаРоялтиВсех,СтавкаРоялтиСтарых),'03_Сеть'!AN17*МинРоялтиШкола)</f>
        <v/>
      </c>
      <c r="AO16" s="4">
        <f>MAX('03_Сеть'!AO19*'07_Тарифы'!AE$8*IF('03_Сеть'!AO6&gt;=ДатаПереходаСтавки,СтавкаРоялтиВсех,СтавкаРоялтиСтарых),'03_Сеть'!AO17*МинРоялтиШкола)</f>
        <v/>
      </c>
      <c r="AP16" s="4">
        <f>MAX('03_Сеть'!AP19*'07_Тарифы'!AF$8*IF('03_Сеть'!AP6&gt;=ДатаПереходаСтавки,СтавкаРоялтиВсех,СтавкаРоялтиСтарых),'03_Сеть'!AP17*МинРоялтиШкола)</f>
        <v/>
      </c>
      <c r="AQ16" s="4">
        <f>MAX('03_Сеть'!AQ19*'07_Тарифы'!AG$8*IF('03_Сеть'!AQ6&gt;=ДатаПереходаСтавки,СтавкаРоялтиВсех,СтавкаРоялтиСтарых),'03_Сеть'!AQ17*МинРоялтиШкола)</f>
        <v/>
      </c>
      <c r="AR16" s="4">
        <f>MAX('03_Сеть'!AR19*'07_Тарифы'!AH$8*IF('03_Сеть'!AR6&gt;=ДатаПереходаСтавки,СтавкаРоялтиВсех,СтавкаРоялтиСтарых),'03_Сеть'!AR17*МинРоялтиШкола)</f>
        <v/>
      </c>
      <c r="AS16" s="4">
        <f>MAX('03_Сеть'!AS19*'07_Тарифы'!AI$8*IF('03_Сеть'!AS6&gt;=ДатаПереходаСтавки,СтавкаРоялтиВсех,СтавкаРоялтиСтарых),'03_Сеть'!AS17*МинРоялтиШкола)</f>
        <v/>
      </c>
      <c r="AT16" s="4">
        <f>MAX('03_Сеть'!AT19*'07_Тарифы'!AJ$8*IF('03_Сеть'!AT6&gt;=ДатаПереходаСтавки,СтавкаРоялтиВсех,СтавкаРоялтиСтарых),'03_Сеть'!AT17*МинРоялтиШкола)</f>
        <v/>
      </c>
      <c r="AU16" s="4">
        <f>MAX('03_Сеть'!AU19*'07_Тарифы'!AK$8*IF('03_Сеть'!AU6&gt;=ДатаПереходаСтавки,СтавкаРоялтиВсех,СтавкаРоялтиСтарых),'03_Сеть'!AU17*МинРоялтиШкола)</f>
        <v/>
      </c>
      <c r="AV16" s="4">
        <f>MAX('03_Сеть'!AV19*'07_Тарифы'!AL$8*IF('03_Сеть'!AV6&gt;=ДатаПереходаСтавки,СтавкаРоялтиВсех,СтавкаРоялтиСтарых),'03_Сеть'!AV17*МинРоялтиШкола)</f>
        <v/>
      </c>
      <c r="AW16" s="4">
        <f>MAX('03_Сеть'!AW19*'07_Тарифы'!AM$8*IF('03_Сеть'!AW6&gt;=ДатаПереходаСтавки,СтавкаРоялтиВсех,СтавкаРоялтиСтарых),'03_Сеть'!AW17*МинРоялтиШкола)</f>
        <v/>
      </c>
      <c r="AX16" s="4">
        <f>MAX('03_Сеть'!AX19*'07_Тарифы'!AN$8*IF('03_Сеть'!AX6&gt;=ДатаПереходаСтавки,СтавкаРоялтиВсех,СтавкаРоялтиСтарых),'03_Сеть'!AX17*МинРоялтиШкола)</f>
        <v/>
      </c>
      <c r="AY16" s="4">
        <f>MAX('03_Сеть'!AY19*'07_Тарифы'!AO$8*IF('03_Сеть'!AY6&gt;=ДатаПереходаСтавки,СтавкаРоялтиВсех,СтавкаРоялтиСтарых),'03_Сеть'!AY17*МинРоялтиШкола)</f>
        <v/>
      </c>
      <c r="AZ16" s="4">
        <f>MAX('03_Сеть'!AZ19*'07_Тарифы'!AP$8*IF('03_Сеть'!AZ6&gt;=ДатаПереходаСтавки,СтавкаРоялтиВсех,СтавкаРоялтиСтарых),'03_Сеть'!AZ17*МинРоялтиШкола)</f>
        <v/>
      </c>
      <c r="BA16" s="4">
        <f>MAX('03_Сеть'!BA19*'07_Тарифы'!AQ$8*IF('03_Сеть'!BA6&gt;=ДатаПереходаСтавки,СтавкаРоялтиВсех,СтавкаРоялтиСтарых),'03_Сеть'!BA17*МинРоялтиШкола)</f>
        <v/>
      </c>
      <c r="BB16" s="4">
        <f>MAX('03_Сеть'!BB19*'07_Тарифы'!AR$8*IF('03_Сеть'!BB6&gt;=ДатаПереходаСтавки,СтавкаРоялтиВсех,СтавкаРоялтиСтарых),'03_Сеть'!BB17*МинРоялтиШкола)</f>
        <v/>
      </c>
      <c r="BC16" s="4">
        <f>MAX('03_Сеть'!BC19*'07_Тарифы'!AS$8*IF('03_Сеть'!BC6&gt;=ДатаПереходаСтавки,СтавкаРоялтиВсех,СтавкаРоялтиСтарых),'03_Сеть'!BC17*МинРоялтиШкола)</f>
        <v/>
      </c>
      <c r="BD16" s="4">
        <f>MAX('03_Сеть'!BD19*'07_Тарифы'!AT$8*IF('03_Сеть'!BD6&gt;=ДатаПереходаСтавки,СтавкаРоялтиВсех,СтавкаРоялтиСтарых),'03_Сеть'!BD17*МинРоялтиШкола)</f>
        <v/>
      </c>
      <c r="BE16" s="4">
        <f>MAX('03_Сеть'!BE19*'07_Тарифы'!AU$8*IF('03_Сеть'!BE6&gt;=ДатаПереходаСтавки,СтавкаРоялтиВсех,СтавкаРоялтиСтарых),'03_Сеть'!BE17*МинРоялтиШкола)</f>
        <v/>
      </c>
      <c r="BF16" s="4">
        <f>MAX('03_Сеть'!BF19*'07_Тарифы'!AV$8*IF('03_Сеть'!BF6&gt;=ДатаПереходаСтавки,СтавкаРоялтиВсех,СтавкаРоялтиСтарых),'03_Сеть'!BF17*МинРоялтиШкола)</f>
        <v/>
      </c>
      <c r="BG16" s="4">
        <f>MAX('03_Сеть'!BG19*'07_Тарифы'!AW$8*IF('03_Сеть'!BG6&gt;=ДатаПереходаСтавки,СтавкаРоялтиВсех,СтавкаРоялтиСтарых),'03_Сеть'!BG17*МинРоялтиШкола)</f>
        <v/>
      </c>
      <c r="BH16" s="4">
        <f>MAX('03_Сеть'!BH19*'07_Тарифы'!AX$8*IF('03_Сеть'!BH6&gt;=ДатаПереходаСтавки,СтавкаРоялтиВсех,СтавкаРоялтиСтарых),'03_Сеть'!BH17*МинРоялтиШкола)</f>
        <v/>
      </c>
      <c r="BI16" s="4">
        <f>MAX('03_Сеть'!BI19*'07_Тарифы'!AY$8*IF('03_Сеть'!BI6&gt;=ДатаПереходаСтавки,СтавкаРоялтиВсех,СтавкаРоялтиСтарых),'03_Сеть'!BI17*МинРоялтиШкола)</f>
        <v/>
      </c>
      <c r="BJ16" s="4">
        <f>MAX('03_Сеть'!BJ19*'07_Тарифы'!AZ$8*IF('03_Сеть'!BJ6&gt;=ДатаПереходаСтавки,СтавкаРоялтиВсех,СтавкаРоялтиСтарых),'03_Сеть'!BJ17*МинРоялтиШкола)</f>
        <v/>
      </c>
      <c r="BK16" s="4">
        <f>MAX('03_Сеть'!BK19*'07_Тарифы'!BA$8*IF('03_Сеть'!BK6&gt;=ДатаПереходаСтавки,СтавкаРоялтиВсех,СтавкаРоялтиСтарых),'03_Сеть'!BK17*МинРоялтиШкола)</f>
        <v/>
      </c>
      <c r="BL16" s="4">
        <f>MAX('03_Сеть'!BL19*'07_Тарифы'!BB$8*IF('03_Сеть'!BL6&gt;=ДатаПереходаСтавки,СтавкаРоялтиВсех,СтавкаРоялтиСтарых),'03_Сеть'!BL17*МинРоялтиШкола)</f>
        <v/>
      </c>
      <c r="BM16" s="4">
        <f>MAX('03_Сеть'!BM19*'07_Тарифы'!BC$8*IF('03_Сеть'!BM6&gt;=ДатаПереходаСтавки,СтавкаРоялтиВсех,СтавкаРоялтиСтарых),'03_Сеть'!BM17*МинРоялтиШкола)</f>
        <v/>
      </c>
      <c r="BN16" s="4">
        <f>MAX('03_Сеть'!BN19*'07_Тарифы'!BD$8*IF('03_Сеть'!BN6&gt;=ДатаПереходаСтавки,СтавкаРоялтиВсех,СтавкаРоялтиСтарых),'03_Сеть'!BN17*МинРоялтиШкола)</f>
        <v/>
      </c>
      <c r="BO16" s="4">
        <f>MAX('03_Сеть'!BO19*'07_Тарифы'!BE$8*IF('03_Сеть'!BO6&gt;=ДатаПереходаСтавки,СтавкаРоялтиВсех,СтавкаРоялтиСтарых),'03_Сеть'!BO17*МинРоялтиШкола)</f>
        <v/>
      </c>
      <c r="BP16" s="4">
        <f>MAX('03_Сеть'!BP19*'07_Тарифы'!BF$8*IF('03_Сеть'!BP6&gt;=ДатаПереходаСтавки,СтавкаРоялтиВсех,СтавкаРоялтиСтарых),'03_Сеть'!BP17*МинРоялтиШкола)</f>
        <v/>
      </c>
      <c r="BQ16" s="4">
        <f>MAX('03_Сеть'!BQ19*'07_Тарифы'!BG$8*IF('03_Сеть'!BQ6&gt;=ДатаПереходаСтавки,СтавкаРоялтиВсех,СтавкаРоялтиСтарых),'03_Сеть'!BQ17*МинРоялтиШкола)</f>
        <v/>
      </c>
      <c r="BR16" s="4">
        <f>MAX('03_Сеть'!BR19*'07_Тарифы'!BH$8*IF('03_Сеть'!BR6&gt;=ДатаПереходаСтавки,СтавкаРоялтиВсех,СтавкаРоялтиСтарых),'03_Сеть'!BR17*МинРоялтиШкола)</f>
        <v/>
      </c>
      <c r="BS16" s="4">
        <f>MAX('03_Сеть'!BS19*'07_Тарифы'!BI$8*IF('03_Сеть'!BS6&gt;=ДатаПереходаСтавки,СтавкаРоялтиВсех,СтавкаРоялтиСтарых),'03_Сеть'!BS17*МинРоялтиШкола)</f>
        <v/>
      </c>
      <c r="BT16" s="4">
        <f>MAX('03_Сеть'!BT19*'07_Тарифы'!BJ$8*IF('03_Сеть'!BT6&gt;=ДатаПереходаСтавки,СтавкаРоялтиВсех,СтавкаРоялтиСтарых),'03_Сеть'!BT17*МинРоялтиШкола)</f>
        <v/>
      </c>
      <c r="BU16" s="4">
        <f>MAX('03_Сеть'!BU19*'07_Тарифы'!BK$8*IF('03_Сеть'!BU6&gt;=ДатаПереходаСтавки,СтавкаРоялтиВсех,СтавкаРоялтиСтарых),'03_Сеть'!BU17*МинРоялтиШкола)</f>
        <v/>
      </c>
      <c r="BV16" s="4">
        <f>MAX('03_Сеть'!BV19*'07_Тарифы'!BL$8*IF('03_Сеть'!BV6&gt;=ДатаПереходаСтавки,СтавкаРоялтиВсех,СтавкаРоялтиСтарых),'03_Сеть'!BV17*МинРоялтиШкола)</f>
        <v/>
      </c>
      <c r="BW16" s="4">
        <f>MAX('03_Сеть'!BW19*'07_Тарифы'!BM$8*IF('03_Сеть'!BW6&gt;=ДатаПереходаСтавки,СтавкаРоялтиВсех,СтавкаРоялтиСтарых),'03_Сеть'!BW17*МинРоялтиШкола)</f>
        <v/>
      </c>
      <c r="BX16" s="4">
        <f>MAX('03_Сеть'!BX19*'07_Тарифы'!BN$8*IF('03_Сеть'!BX6&gt;=ДатаПереходаСтавки,СтавкаРоялтиВсех,СтавкаРоялтиСтарых),'03_Сеть'!BX17*МинРоялтиШкола)</f>
        <v/>
      </c>
      <c r="BY16" s="4">
        <f>MAX('03_Сеть'!BY19*'07_Тарифы'!BO$8*IF('03_Сеть'!BY6&gt;=ДатаПереходаСтавки,СтавкаРоялтиВсех,СтавкаРоялтиСтарых),'03_Сеть'!BY17*МинРоялтиШкола)</f>
        <v/>
      </c>
    </row>
    <row r="18">
      <c r="B18" s="115" t="inlineStr">
        <is>
          <t>Школы по возрасту: договоры до перехода на новую ставку</t>
        </is>
      </c>
      <c r="C18" s="116" t="n"/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W18" s="116" t="n"/>
      <c r="AX18" s="116" t="n"/>
      <c r="AY18" s="116" t="n"/>
      <c r="AZ18" s="116" t="n"/>
      <c r="BA18" s="116" t="n"/>
      <c r="BB18" s="116" t="n"/>
      <c r="BC18" s="116" t="n"/>
      <c r="BD18" s="116" t="n"/>
      <c r="BE18" s="116" t="n"/>
      <c r="BF18" s="116" t="n"/>
      <c r="BG18" s="116" t="n"/>
      <c r="BH18" s="116" t="n"/>
      <c r="BI18" s="116" t="n"/>
      <c r="BJ18" s="116" t="n"/>
      <c r="BK18" s="116" t="n"/>
      <c r="BL18" s="116" t="n"/>
      <c r="BM18" s="116" t="n"/>
      <c r="BN18" s="116" t="n"/>
      <c r="BO18" s="116" t="n"/>
      <c r="BP18" s="116" t="n"/>
      <c r="BQ18" s="116" t="n"/>
      <c r="BR18" s="116" t="n"/>
      <c r="BS18" s="116" t="n"/>
      <c r="BT18" s="116" t="n"/>
      <c r="BU18" s="116" t="n"/>
      <c r="BV18" s="116" t="n"/>
      <c r="BW18" s="116" t="n"/>
      <c r="BX18" s="116" t="n"/>
      <c r="BY18" s="116" t="n"/>
    </row>
    <row r="19">
      <c r="B19" t="inlineStr">
        <is>
          <t>Открытия по старым договорам</t>
        </is>
      </c>
      <c r="C19" t="inlineStr">
        <is>
          <t>шт.</t>
        </is>
      </c>
      <c r="D19" s="117" t="inlineStr">
        <is>
          <t>Школа считается «старой», если франшизу купили до граничной даты</t>
        </is>
      </c>
      <c r="E19" s="118">
        <f>SUM(L19:W19)</f>
        <v/>
      </c>
      <c r="F19" s="118">
        <f>SUM(X19:AI19)</f>
        <v/>
      </c>
      <c r="G19" s="118">
        <f>SUM(AJ19:AU19)</f>
        <v/>
      </c>
      <c r="H19" s="118">
        <f>SUM(AV19:BG19)</f>
        <v/>
      </c>
      <c r="I19" s="118">
        <f>SUM(BH19:BS19)</f>
        <v/>
      </c>
      <c r="J19" s="10">
        <f>SUM(L19:BS19)</f>
        <v/>
      </c>
      <c r="L19" s="9">
        <f>IF(1-ЛагОткрытия&lt;1,0,IF(INDEX('03_Сеть'!$L6:$BY6,1,1-ЛагОткрытия)&lt;=ДатаLegacy,'03_Сеть'!L13,0))</f>
        <v/>
      </c>
      <c r="M19" s="9">
        <f>IF(2-ЛагОткрытия&lt;1,0,IF(INDEX('03_Сеть'!$L6:$BY6,1,2-ЛагОткрытия)&lt;=ДатаLegacy,'03_Сеть'!M13,0))</f>
        <v/>
      </c>
      <c r="N19" s="9">
        <f>IF(3-ЛагОткрытия&lt;1,0,IF(INDEX('03_Сеть'!$L6:$BY6,1,3-ЛагОткрытия)&lt;=ДатаLegacy,'03_Сеть'!N13,0))</f>
        <v/>
      </c>
      <c r="O19" s="9">
        <f>IF(4-ЛагОткрытия&lt;1,0,IF(INDEX('03_Сеть'!$L6:$BY6,1,4-ЛагОткрытия)&lt;=ДатаLegacy,'03_Сеть'!O13,0))</f>
        <v/>
      </c>
      <c r="P19" s="9">
        <f>IF(5-ЛагОткрытия&lt;1,0,IF(INDEX('03_Сеть'!$L6:$BY6,1,5-ЛагОткрытия)&lt;=ДатаLegacy,'03_Сеть'!P13,0))</f>
        <v/>
      </c>
      <c r="Q19" s="9">
        <f>IF(6-ЛагОткрытия&lt;1,0,IF(INDEX('03_Сеть'!$L6:$BY6,1,6-ЛагОткрытия)&lt;=ДатаLegacy,'03_Сеть'!Q13,0))</f>
        <v/>
      </c>
      <c r="R19" s="9">
        <f>IF(7-ЛагОткрытия&lt;1,0,IF(INDEX('03_Сеть'!$L6:$BY6,1,7-ЛагОткрытия)&lt;=ДатаLegacy,'03_Сеть'!R13,0))</f>
        <v/>
      </c>
      <c r="S19" s="9">
        <f>IF(8-ЛагОткрытия&lt;1,0,IF(INDEX('03_Сеть'!$L6:$BY6,1,8-ЛагОткрытия)&lt;=ДатаLegacy,'03_Сеть'!S13,0))</f>
        <v/>
      </c>
      <c r="T19" s="9">
        <f>IF(9-ЛагОткрытия&lt;1,0,IF(INDEX('03_Сеть'!$L6:$BY6,1,9-ЛагОткрытия)&lt;=ДатаLegacy,'03_Сеть'!T13,0))</f>
        <v/>
      </c>
      <c r="U19" s="9">
        <f>IF(10-ЛагОткрытия&lt;1,0,IF(INDEX('03_Сеть'!$L6:$BY6,1,10-ЛагОткрытия)&lt;=ДатаLegacy,'03_Сеть'!U13,0))</f>
        <v/>
      </c>
      <c r="V19" s="9">
        <f>IF(11-ЛагОткрытия&lt;1,0,IF(INDEX('03_Сеть'!$L6:$BY6,1,11-ЛагОткрытия)&lt;=ДатаLegacy,'03_Сеть'!V13,0))</f>
        <v/>
      </c>
      <c r="W19" s="9">
        <f>IF(12-ЛагОткрытия&lt;1,0,IF(INDEX('03_Сеть'!$L6:$BY6,1,12-ЛагОткрытия)&lt;=ДатаLegacy,'03_Сеть'!W13,0))</f>
        <v/>
      </c>
      <c r="X19" s="9">
        <f>IF(13-ЛагОткрытия&lt;1,0,IF(INDEX('03_Сеть'!$L6:$BY6,1,13-ЛагОткрытия)&lt;=ДатаLegacy,'03_Сеть'!X13,0))</f>
        <v/>
      </c>
      <c r="Y19" s="9">
        <f>IF(14-ЛагОткрытия&lt;1,0,IF(INDEX('03_Сеть'!$L6:$BY6,1,14-ЛагОткрытия)&lt;=ДатаLegacy,'03_Сеть'!Y13,0))</f>
        <v/>
      </c>
      <c r="Z19" s="9">
        <f>IF(15-ЛагОткрытия&lt;1,0,IF(INDEX('03_Сеть'!$L6:$BY6,1,15-ЛагОткрытия)&lt;=ДатаLegacy,'03_Сеть'!Z13,0))</f>
        <v/>
      </c>
      <c r="AA19" s="9">
        <f>IF(16-ЛагОткрытия&lt;1,0,IF(INDEX('03_Сеть'!$L6:$BY6,1,16-ЛагОткрытия)&lt;=ДатаLegacy,'03_Сеть'!AA13,0))</f>
        <v/>
      </c>
      <c r="AB19" s="9">
        <f>IF(17-ЛагОткрытия&lt;1,0,IF(INDEX('03_Сеть'!$L6:$BY6,1,17-ЛагОткрытия)&lt;=ДатаLegacy,'03_Сеть'!AB13,0))</f>
        <v/>
      </c>
      <c r="AC19" s="9">
        <f>IF(18-ЛагОткрытия&lt;1,0,IF(INDEX('03_Сеть'!$L6:$BY6,1,18-ЛагОткрытия)&lt;=ДатаLegacy,'03_Сеть'!AC13,0))</f>
        <v/>
      </c>
      <c r="AD19" s="9">
        <f>IF(19-ЛагОткрытия&lt;1,0,IF(INDEX('03_Сеть'!$L6:$BY6,1,19-ЛагОткрытия)&lt;=ДатаLegacy,'03_Сеть'!AD13,0))</f>
        <v/>
      </c>
      <c r="AE19" s="9">
        <f>IF(20-ЛагОткрытия&lt;1,0,IF(INDEX('03_Сеть'!$L6:$BY6,1,20-ЛагОткрытия)&lt;=ДатаLegacy,'03_Сеть'!AE13,0))</f>
        <v/>
      </c>
      <c r="AF19" s="9">
        <f>IF(21-ЛагОткрытия&lt;1,0,IF(INDEX('03_Сеть'!$L6:$BY6,1,21-ЛагОткрытия)&lt;=ДатаLegacy,'03_Сеть'!AF13,0))</f>
        <v/>
      </c>
      <c r="AG19" s="9">
        <f>IF(22-ЛагОткрытия&lt;1,0,IF(INDEX('03_Сеть'!$L6:$BY6,1,22-ЛагОткрытия)&lt;=ДатаLegacy,'03_Сеть'!AG13,0))</f>
        <v/>
      </c>
      <c r="AH19" s="9">
        <f>IF(23-ЛагОткрытия&lt;1,0,IF(INDEX('03_Сеть'!$L6:$BY6,1,23-ЛагОткрытия)&lt;=ДатаLegacy,'03_Сеть'!AH13,0))</f>
        <v/>
      </c>
      <c r="AI19" s="9">
        <f>IF(24-ЛагОткрытия&lt;1,0,IF(INDEX('03_Сеть'!$L6:$BY6,1,24-ЛагОткрытия)&lt;=ДатаLegacy,'03_Сеть'!AI13,0))</f>
        <v/>
      </c>
      <c r="AJ19" s="9">
        <f>IF(25-ЛагОткрытия&lt;1,0,IF(INDEX('03_Сеть'!$L6:$BY6,1,25-ЛагОткрытия)&lt;=ДатаLegacy,'03_Сеть'!AJ13,0))</f>
        <v/>
      </c>
      <c r="AK19" s="9">
        <f>IF(26-ЛагОткрытия&lt;1,0,IF(INDEX('03_Сеть'!$L6:$BY6,1,26-ЛагОткрытия)&lt;=ДатаLegacy,'03_Сеть'!AK13,0))</f>
        <v/>
      </c>
      <c r="AL19" s="9">
        <f>IF(27-ЛагОткрытия&lt;1,0,IF(INDEX('03_Сеть'!$L6:$BY6,1,27-ЛагОткрытия)&lt;=ДатаLegacy,'03_Сеть'!AL13,0))</f>
        <v/>
      </c>
      <c r="AM19" s="9">
        <f>IF(28-ЛагОткрытия&lt;1,0,IF(INDEX('03_Сеть'!$L6:$BY6,1,28-ЛагОткрытия)&lt;=ДатаLegacy,'03_Сеть'!AM13,0))</f>
        <v/>
      </c>
      <c r="AN19" s="9">
        <f>IF(29-ЛагОткрытия&lt;1,0,IF(INDEX('03_Сеть'!$L6:$BY6,1,29-ЛагОткрытия)&lt;=ДатаLegacy,'03_Сеть'!AN13,0))</f>
        <v/>
      </c>
      <c r="AO19" s="9">
        <f>IF(30-ЛагОткрытия&lt;1,0,IF(INDEX('03_Сеть'!$L6:$BY6,1,30-ЛагОткрытия)&lt;=ДатаLegacy,'03_Сеть'!AO13,0))</f>
        <v/>
      </c>
      <c r="AP19" s="9">
        <f>IF(31-ЛагОткрытия&lt;1,0,IF(INDEX('03_Сеть'!$L6:$BY6,1,31-ЛагОткрытия)&lt;=ДатаLegacy,'03_Сеть'!AP13,0))</f>
        <v/>
      </c>
      <c r="AQ19" s="9">
        <f>IF(32-ЛагОткрытия&lt;1,0,IF(INDEX('03_Сеть'!$L6:$BY6,1,32-ЛагОткрытия)&lt;=ДатаLegacy,'03_Сеть'!AQ13,0))</f>
        <v/>
      </c>
      <c r="AR19" s="9">
        <f>IF(33-ЛагОткрытия&lt;1,0,IF(INDEX('03_Сеть'!$L6:$BY6,1,33-ЛагОткрытия)&lt;=ДатаLegacy,'03_Сеть'!AR13,0))</f>
        <v/>
      </c>
      <c r="AS19" s="9">
        <f>IF(34-ЛагОткрытия&lt;1,0,IF(INDEX('03_Сеть'!$L6:$BY6,1,34-ЛагОткрытия)&lt;=ДатаLegacy,'03_Сеть'!AS13,0))</f>
        <v/>
      </c>
      <c r="AT19" s="9">
        <f>IF(35-ЛагОткрытия&lt;1,0,IF(INDEX('03_Сеть'!$L6:$BY6,1,35-ЛагОткрытия)&lt;=ДатаLegacy,'03_Сеть'!AT13,0))</f>
        <v/>
      </c>
      <c r="AU19" s="9">
        <f>IF(36-ЛагОткрытия&lt;1,0,IF(INDEX('03_Сеть'!$L6:$BY6,1,36-ЛагОткрытия)&lt;=ДатаLegacy,'03_Сеть'!AU13,0))</f>
        <v/>
      </c>
      <c r="AV19" s="9">
        <f>IF(37-ЛагОткрытия&lt;1,0,IF(INDEX('03_Сеть'!$L6:$BY6,1,37-ЛагОткрытия)&lt;=ДатаLegacy,'03_Сеть'!AV13,0))</f>
        <v/>
      </c>
      <c r="AW19" s="9">
        <f>IF(38-ЛагОткрытия&lt;1,0,IF(INDEX('03_Сеть'!$L6:$BY6,1,38-ЛагОткрытия)&lt;=ДатаLegacy,'03_Сеть'!AW13,0))</f>
        <v/>
      </c>
      <c r="AX19" s="9">
        <f>IF(39-ЛагОткрытия&lt;1,0,IF(INDEX('03_Сеть'!$L6:$BY6,1,39-ЛагОткрытия)&lt;=ДатаLegacy,'03_Сеть'!AX13,0))</f>
        <v/>
      </c>
      <c r="AY19" s="9">
        <f>IF(40-ЛагОткрытия&lt;1,0,IF(INDEX('03_Сеть'!$L6:$BY6,1,40-ЛагОткрытия)&lt;=ДатаLegacy,'03_Сеть'!AY13,0))</f>
        <v/>
      </c>
      <c r="AZ19" s="9">
        <f>IF(41-ЛагОткрытия&lt;1,0,IF(INDEX('03_Сеть'!$L6:$BY6,1,41-ЛагОткрытия)&lt;=ДатаLegacy,'03_Сеть'!AZ13,0))</f>
        <v/>
      </c>
      <c r="BA19" s="9">
        <f>IF(42-ЛагОткрытия&lt;1,0,IF(INDEX('03_Сеть'!$L6:$BY6,1,42-ЛагОткрытия)&lt;=ДатаLegacy,'03_Сеть'!BA13,0))</f>
        <v/>
      </c>
      <c r="BB19" s="9">
        <f>IF(43-ЛагОткрытия&lt;1,0,IF(INDEX('03_Сеть'!$L6:$BY6,1,43-ЛагОткрытия)&lt;=ДатаLegacy,'03_Сеть'!BB13,0))</f>
        <v/>
      </c>
      <c r="BC19" s="9">
        <f>IF(44-ЛагОткрытия&lt;1,0,IF(INDEX('03_Сеть'!$L6:$BY6,1,44-ЛагОткрытия)&lt;=ДатаLegacy,'03_Сеть'!BC13,0))</f>
        <v/>
      </c>
      <c r="BD19" s="9">
        <f>IF(45-ЛагОткрытия&lt;1,0,IF(INDEX('03_Сеть'!$L6:$BY6,1,45-ЛагОткрытия)&lt;=ДатаLegacy,'03_Сеть'!BD13,0))</f>
        <v/>
      </c>
      <c r="BE19" s="9">
        <f>IF(46-ЛагОткрытия&lt;1,0,IF(INDEX('03_Сеть'!$L6:$BY6,1,46-ЛагОткрытия)&lt;=ДатаLegacy,'03_Сеть'!BE13,0))</f>
        <v/>
      </c>
      <c r="BF19" s="9">
        <f>IF(47-ЛагОткрытия&lt;1,0,IF(INDEX('03_Сеть'!$L6:$BY6,1,47-ЛагОткрытия)&lt;=ДатаLegacy,'03_Сеть'!BF13,0))</f>
        <v/>
      </c>
      <c r="BG19" s="9">
        <f>IF(48-ЛагОткрытия&lt;1,0,IF(INDEX('03_Сеть'!$L6:$BY6,1,48-ЛагОткрытия)&lt;=ДатаLegacy,'03_Сеть'!BG13,0))</f>
        <v/>
      </c>
      <c r="BH19" s="9">
        <f>IF(49-ЛагОткрытия&lt;1,0,IF(INDEX('03_Сеть'!$L6:$BY6,1,49-ЛагОткрытия)&lt;=ДатаLegacy,'03_Сеть'!BH13,0))</f>
        <v/>
      </c>
      <c r="BI19" s="9">
        <f>IF(50-ЛагОткрытия&lt;1,0,IF(INDEX('03_Сеть'!$L6:$BY6,1,50-ЛагОткрытия)&lt;=ДатаLegacy,'03_Сеть'!BI13,0))</f>
        <v/>
      </c>
      <c r="BJ19" s="9">
        <f>IF(51-ЛагОткрытия&lt;1,0,IF(INDEX('03_Сеть'!$L6:$BY6,1,51-ЛагОткрытия)&lt;=ДатаLegacy,'03_Сеть'!BJ13,0))</f>
        <v/>
      </c>
      <c r="BK19" s="9">
        <f>IF(52-ЛагОткрытия&lt;1,0,IF(INDEX('03_Сеть'!$L6:$BY6,1,52-ЛагОткрытия)&lt;=ДатаLegacy,'03_Сеть'!BK13,0))</f>
        <v/>
      </c>
      <c r="BL19" s="9">
        <f>IF(53-ЛагОткрытия&lt;1,0,IF(INDEX('03_Сеть'!$L6:$BY6,1,53-ЛагОткрытия)&lt;=ДатаLegacy,'03_Сеть'!BL13,0))</f>
        <v/>
      </c>
      <c r="BM19" s="9">
        <f>IF(54-ЛагОткрытия&lt;1,0,IF(INDEX('03_Сеть'!$L6:$BY6,1,54-ЛагОткрытия)&lt;=ДатаLegacy,'03_Сеть'!BM13,0))</f>
        <v/>
      </c>
      <c r="BN19" s="9">
        <f>IF(55-ЛагОткрытия&lt;1,0,IF(INDEX('03_Сеть'!$L6:$BY6,1,55-ЛагОткрытия)&lt;=ДатаLegacy,'03_Сеть'!BN13,0))</f>
        <v/>
      </c>
      <c r="BO19" s="9">
        <f>IF(56-ЛагОткрытия&lt;1,0,IF(INDEX('03_Сеть'!$L6:$BY6,1,56-ЛагОткрытия)&lt;=ДатаLegacy,'03_Сеть'!BO13,0))</f>
        <v/>
      </c>
      <c r="BP19" s="9">
        <f>IF(57-ЛагОткрытия&lt;1,0,IF(INDEX('03_Сеть'!$L6:$BY6,1,57-ЛагОткрытия)&lt;=ДатаLegacy,'03_Сеть'!BP13,0))</f>
        <v/>
      </c>
      <c r="BQ19" s="9">
        <f>IF(58-ЛагОткрытия&lt;1,0,IF(INDEX('03_Сеть'!$L6:$BY6,1,58-ЛагОткрытия)&lt;=ДатаLegacy,'03_Сеть'!BQ13,0))</f>
        <v/>
      </c>
      <c r="BR19" s="9">
        <f>IF(59-ЛагОткрытия&lt;1,0,IF(INDEX('03_Сеть'!$L6:$BY6,1,59-ЛагОткрытия)&lt;=ДатаLegacy,'03_Сеть'!BR13,0))</f>
        <v/>
      </c>
      <c r="BS19" s="9">
        <f>IF(60-ЛагОткрытия&lt;1,0,IF(INDEX('03_Сеть'!$L6:$BY6,1,60-ЛагОткрытия)&lt;=ДатаLegacy,'03_Сеть'!BS13,0))</f>
        <v/>
      </c>
      <c r="BT19" s="9">
        <f>IF(61-ЛагОткрытия&lt;1,0,IF(INDEX('03_Сеть'!$L6:$BY6,1,61-ЛагОткрытия)&lt;=ДатаLegacy,'03_Сеть'!BT13,0))</f>
        <v/>
      </c>
      <c r="BU19" s="9">
        <f>IF(62-ЛагОткрытия&lt;1,0,IF(INDEX('03_Сеть'!$L6:$BY6,1,62-ЛагОткрытия)&lt;=ДатаLegacy,'03_Сеть'!BU13,0))</f>
        <v/>
      </c>
      <c r="BV19" s="9">
        <f>IF(63-ЛагОткрытия&lt;1,0,IF(INDEX('03_Сеть'!$L6:$BY6,1,63-ЛагОткрытия)&lt;=ДатаLegacy,'03_Сеть'!BV13,0))</f>
        <v/>
      </c>
      <c r="BW19" s="9">
        <f>IF(64-ЛагОткрытия&lt;1,0,IF(INDEX('03_Сеть'!$L6:$BY6,1,64-ЛагОткрытия)&lt;=ДатаLegacy,'03_Сеть'!BW13,0))</f>
        <v/>
      </c>
      <c r="BX19" s="9">
        <f>IF(65-ЛагОткрытия&lt;1,0,IF(INDEX('03_Сеть'!$L6:$BY6,1,65-ЛагОткрытия)&lt;=ДатаLegacy,'03_Сеть'!BX13,0))</f>
        <v/>
      </c>
      <c r="BY19" s="9">
        <f>IF(66-ЛагОткрытия&lt;1,0,IF(INDEX('03_Сеть'!$L6:$BY6,1,66-ЛагОткрытия)&lt;=ДатаLegacy,'03_Сеть'!BY13,0))</f>
        <v/>
      </c>
    </row>
    <row r="20">
      <c r="B20" t="inlineStr">
        <is>
          <t>1 мес.</t>
        </is>
      </c>
      <c r="C20" t="inlineStr">
        <is>
          <t>шт.</t>
        </is>
      </c>
      <c r="D20" s="117" t="inlineStr"/>
      <c r="E20" s="118">
        <f>W20</f>
        <v/>
      </c>
      <c r="F20" s="118">
        <f>AI20</f>
        <v/>
      </c>
      <c r="G20" s="118">
        <f>AU20</f>
        <v/>
      </c>
      <c r="H20" s="118">
        <f>BG20</f>
        <v/>
      </c>
      <c r="I20" s="118">
        <f>BS20</f>
        <v/>
      </c>
      <c r="J20" s="10">
        <f>BS20</f>
        <v/>
      </c>
      <c r="L20" s="9">
        <f>L19</f>
        <v/>
      </c>
      <c r="M20" s="9">
        <f>M19</f>
        <v/>
      </c>
      <c r="N20" s="9">
        <f>N19</f>
        <v/>
      </c>
      <c r="O20" s="9">
        <f>O19</f>
        <v/>
      </c>
      <c r="P20" s="9">
        <f>P19</f>
        <v/>
      </c>
      <c r="Q20" s="9">
        <f>Q19</f>
        <v/>
      </c>
      <c r="R20" s="9">
        <f>R19</f>
        <v/>
      </c>
      <c r="S20" s="9">
        <f>S19</f>
        <v/>
      </c>
      <c r="T20" s="9">
        <f>T19</f>
        <v/>
      </c>
      <c r="U20" s="9">
        <f>U19</f>
        <v/>
      </c>
      <c r="V20" s="9">
        <f>V19</f>
        <v/>
      </c>
      <c r="W20" s="9">
        <f>W19</f>
        <v/>
      </c>
      <c r="X20" s="9">
        <f>X19</f>
        <v/>
      </c>
      <c r="Y20" s="9">
        <f>Y19</f>
        <v/>
      </c>
      <c r="Z20" s="9">
        <f>Z19</f>
        <v/>
      </c>
      <c r="AA20" s="9">
        <f>AA19</f>
        <v/>
      </c>
      <c r="AB20" s="9">
        <f>AB19</f>
        <v/>
      </c>
      <c r="AC20" s="9">
        <f>AC19</f>
        <v/>
      </c>
      <c r="AD20" s="9">
        <f>AD19</f>
        <v/>
      </c>
      <c r="AE20" s="9">
        <f>AE19</f>
        <v/>
      </c>
      <c r="AF20" s="9">
        <f>AF19</f>
        <v/>
      </c>
      <c r="AG20" s="9">
        <f>AG19</f>
        <v/>
      </c>
      <c r="AH20" s="9">
        <f>AH19</f>
        <v/>
      </c>
      <c r="AI20" s="9">
        <f>AI19</f>
        <v/>
      </c>
      <c r="AJ20" s="9">
        <f>AJ19</f>
        <v/>
      </c>
      <c r="AK20" s="9">
        <f>AK19</f>
        <v/>
      </c>
      <c r="AL20" s="9">
        <f>AL19</f>
        <v/>
      </c>
      <c r="AM20" s="9">
        <f>AM19</f>
        <v/>
      </c>
      <c r="AN20" s="9">
        <f>AN19</f>
        <v/>
      </c>
      <c r="AO20" s="9">
        <f>AO19</f>
        <v/>
      </c>
      <c r="AP20" s="9">
        <f>AP19</f>
        <v/>
      </c>
      <c r="AQ20" s="9">
        <f>AQ19</f>
        <v/>
      </c>
      <c r="AR20" s="9">
        <f>AR19</f>
        <v/>
      </c>
      <c r="AS20" s="9">
        <f>AS19</f>
        <v/>
      </c>
      <c r="AT20" s="9">
        <f>AT19</f>
        <v/>
      </c>
      <c r="AU20" s="9">
        <f>AU19</f>
        <v/>
      </c>
      <c r="AV20" s="9">
        <f>AV19</f>
        <v/>
      </c>
      <c r="AW20" s="9">
        <f>AW19</f>
        <v/>
      </c>
      <c r="AX20" s="9">
        <f>AX19</f>
        <v/>
      </c>
      <c r="AY20" s="9">
        <f>AY19</f>
        <v/>
      </c>
      <c r="AZ20" s="9">
        <f>AZ19</f>
        <v/>
      </c>
      <c r="BA20" s="9">
        <f>BA19</f>
        <v/>
      </c>
      <c r="BB20" s="9">
        <f>BB19</f>
        <v/>
      </c>
      <c r="BC20" s="9">
        <f>BC19</f>
        <v/>
      </c>
      <c r="BD20" s="9">
        <f>BD19</f>
        <v/>
      </c>
      <c r="BE20" s="9">
        <f>BE19</f>
        <v/>
      </c>
      <c r="BF20" s="9">
        <f>BF19</f>
        <v/>
      </c>
      <c r="BG20" s="9">
        <f>BG19</f>
        <v/>
      </c>
      <c r="BH20" s="9">
        <f>BH19</f>
        <v/>
      </c>
      <c r="BI20" s="9">
        <f>BI19</f>
        <v/>
      </c>
      <c r="BJ20" s="9">
        <f>BJ19</f>
        <v/>
      </c>
      <c r="BK20" s="9">
        <f>BK19</f>
        <v/>
      </c>
      <c r="BL20" s="9">
        <f>BL19</f>
        <v/>
      </c>
      <c r="BM20" s="9">
        <f>BM19</f>
        <v/>
      </c>
      <c r="BN20" s="9">
        <f>BN19</f>
        <v/>
      </c>
      <c r="BO20" s="9">
        <f>BO19</f>
        <v/>
      </c>
      <c r="BP20" s="9">
        <f>BP19</f>
        <v/>
      </c>
      <c r="BQ20" s="9">
        <f>BQ19</f>
        <v/>
      </c>
      <c r="BR20" s="9">
        <f>BR19</f>
        <v/>
      </c>
      <c r="BS20" s="9">
        <f>BS19</f>
        <v/>
      </c>
      <c r="BT20" s="9">
        <f>BT19</f>
        <v/>
      </c>
      <c r="BU20" s="9">
        <f>BU19</f>
        <v/>
      </c>
      <c r="BV20" s="9">
        <f>BV19</f>
        <v/>
      </c>
      <c r="BW20" s="9">
        <f>BW19</f>
        <v/>
      </c>
      <c r="BX20" s="9">
        <f>BX19</f>
        <v/>
      </c>
      <c r="BY20" s="9">
        <f>BY19</f>
        <v/>
      </c>
    </row>
    <row r="21">
      <c r="B21" t="inlineStr">
        <is>
          <t>2 мес.</t>
        </is>
      </c>
      <c r="C21" t="inlineStr">
        <is>
          <t>шт.</t>
        </is>
      </c>
      <c r="D21" s="117" t="inlineStr"/>
      <c r="E21" s="118">
        <f>W21</f>
        <v/>
      </c>
      <c r="F21" s="118">
        <f>AI21</f>
        <v/>
      </c>
      <c r="G21" s="118">
        <f>AU21</f>
        <v/>
      </c>
      <c r="H21" s="118">
        <f>BG21</f>
        <v/>
      </c>
      <c r="I21" s="118">
        <f>BS21</f>
        <v/>
      </c>
      <c r="J21" s="10">
        <f>BS21</f>
        <v/>
      </c>
      <c r="L21" s="9">
        <f>0</f>
        <v/>
      </c>
      <c r="M21" s="9">
        <f>L20*КоэффСохранения</f>
        <v/>
      </c>
      <c r="N21" s="9">
        <f>M20*КоэффСохранения</f>
        <v/>
      </c>
      <c r="O21" s="9">
        <f>N20*КоэффСохранения</f>
        <v/>
      </c>
      <c r="P21" s="9">
        <f>O20*КоэффСохранения</f>
        <v/>
      </c>
      <c r="Q21" s="9">
        <f>P20*КоэффСохранения</f>
        <v/>
      </c>
      <c r="R21" s="9">
        <f>Q20*КоэффСохранения</f>
        <v/>
      </c>
      <c r="S21" s="9">
        <f>R20*КоэффСохранения</f>
        <v/>
      </c>
      <c r="T21" s="9">
        <f>S20*КоэффСохранения</f>
        <v/>
      </c>
      <c r="U21" s="9">
        <f>T20*КоэффСохранения</f>
        <v/>
      </c>
      <c r="V21" s="9">
        <f>U20*КоэффСохранения</f>
        <v/>
      </c>
      <c r="W21" s="9">
        <f>V20*КоэффСохранения</f>
        <v/>
      </c>
      <c r="X21" s="9">
        <f>W20*КоэффСохранения</f>
        <v/>
      </c>
      <c r="Y21" s="9">
        <f>X20*КоэффСохранения</f>
        <v/>
      </c>
      <c r="Z21" s="9">
        <f>Y20*КоэффСохранения</f>
        <v/>
      </c>
      <c r="AA21" s="9">
        <f>Z20*КоэффСохранения</f>
        <v/>
      </c>
      <c r="AB21" s="9">
        <f>AA20*КоэффСохранения</f>
        <v/>
      </c>
      <c r="AC21" s="9">
        <f>AB20*КоэффСохранения</f>
        <v/>
      </c>
      <c r="AD21" s="9">
        <f>AC20*КоэффСохранения</f>
        <v/>
      </c>
      <c r="AE21" s="9">
        <f>AD20*КоэффСохранения</f>
        <v/>
      </c>
      <c r="AF21" s="9">
        <f>AE20*КоэффСохранения</f>
        <v/>
      </c>
      <c r="AG21" s="9">
        <f>AF20*КоэффСохранения</f>
        <v/>
      </c>
      <c r="AH21" s="9">
        <f>AG20*КоэффСохранения</f>
        <v/>
      </c>
      <c r="AI21" s="9">
        <f>AH20*КоэффСохранения</f>
        <v/>
      </c>
      <c r="AJ21" s="9">
        <f>AI20*КоэффСохранения</f>
        <v/>
      </c>
      <c r="AK21" s="9">
        <f>AJ20*КоэффСохранения</f>
        <v/>
      </c>
      <c r="AL21" s="9">
        <f>AK20*КоэффСохранения</f>
        <v/>
      </c>
      <c r="AM21" s="9">
        <f>AL20*КоэффСохранения</f>
        <v/>
      </c>
      <c r="AN21" s="9">
        <f>AM20*КоэффСохранения</f>
        <v/>
      </c>
      <c r="AO21" s="9">
        <f>AN20*КоэффСохранения</f>
        <v/>
      </c>
      <c r="AP21" s="9">
        <f>AO20*КоэффСохранения</f>
        <v/>
      </c>
      <c r="AQ21" s="9">
        <f>AP20*КоэффСохранения</f>
        <v/>
      </c>
      <c r="AR21" s="9">
        <f>AQ20*КоэффСохранения</f>
        <v/>
      </c>
      <c r="AS21" s="9">
        <f>AR20*КоэффСохранения</f>
        <v/>
      </c>
      <c r="AT21" s="9">
        <f>AS20*КоэффСохранения</f>
        <v/>
      </c>
      <c r="AU21" s="9">
        <f>AT20*КоэффСохранения</f>
        <v/>
      </c>
      <c r="AV21" s="9">
        <f>AU20*КоэффСохранения</f>
        <v/>
      </c>
      <c r="AW21" s="9">
        <f>AV20*КоэффСохранения</f>
        <v/>
      </c>
      <c r="AX21" s="9">
        <f>AW20*КоэффСохранения</f>
        <v/>
      </c>
      <c r="AY21" s="9">
        <f>AX20*КоэффСохранения</f>
        <v/>
      </c>
      <c r="AZ21" s="9">
        <f>AY20*КоэффСохранения</f>
        <v/>
      </c>
      <c r="BA21" s="9">
        <f>AZ20*КоэффСохранения</f>
        <v/>
      </c>
      <c r="BB21" s="9">
        <f>BA20*КоэффСохранения</f>
        <v/>
      </c>
      <c r="BC21" s="9">
        <f>BB20*КоэффСохранения</f>
        <v/>
      </c>
      <c r="BD21" s="9">
        <f>BC20*КоэффСохранения</f>
        <v/>
      </c>
      <c r="BE21" s="9">
        <f>BD20*КоэффСохранения</f>
        <v/>
      </c>
      <c r="BF21" s="9">
        <f>BE20*КоэффСохранения</f>
        <v/>
      </c>
      <c r="BG21" s="9">
        <f>BF20*КоэффСохранения</f>
        <v/>
      </c>
      <c r="BH21" s="9">
        <f>BG20*КоэффСохранения</f>
        <v/>
      </c>
      <c r="BI21" s="9">
        <f>BH20*КоэффСохранения</f>
        <v/>
      </c>
      <c r="BJ21" s="9">
        <f>BI20*КоэффСохранения</f>
        <v/>
      </c>
      <c r="BK21" s="9">
        <f>BJ20*КоэффСохранения</f>
        <v/>
      </c>
      <c r="BL21" s="9">
        <f>BK20*КоэффСохранения</f>
        <v/>
      </c>
      <c r="BM21" s="9">
        <f>BL20*КоэффСохранения</f>
        <v/>
      </c>
      <c r="BN21" s="9">
        <f>BM20*КоэффСохранения</f>
        <v/>
      </c>
      <c r="BO21" s="9">
        <f>BN20*КоэффСохранения</f>
        <v/>
      </c>
      <c r="BP21" s="9">
        <f>BO20*КоэффСохранения</f>
        <v/>
      </c>
      <c r="BQ21" s="9">
        <f>BP20*КоэффСохранения</f>
        <v/>
      </c>
      <c r="BR21" s="9">
        <f>BQ20*КоэффСохранения</f>
        <v/>
      </c>
      <c r="BS21" s="9">
        <f>BR20*КоэффСохранения</f>
        <v/>
      </c>
      <c r="BT21" s="9">
        <f>BS20*КоэффСохранения</f>
        <v/>
      </c>
      <c r="BU21" s="9">
        <f>BT20*КоэффСохранения</f>
        <v/>
      </c>
      <c r="BV21" s="9">
        <f>BU20*КоэффСохранения</f>
        <v/>
      </c>
      <c r="BW21" s="9">
        <f>BV20*КоэффСохранения</f>
        <v/>
      </c>
      <c r="BX21" s="9">
        <f>BW20*КоэффСохранения</f>
        <v/>
      </c>
      <c r="BY21" s="9">
        <f>BX20*КоэффСохранения</f>
        <v/>
      </c>
    </row>
    <row r="22">
      <c r="B22" t="inlineStr">
        <is>
          <t>3 мес.</t>
        </is>
      </c>
      <c r="C22" t="inlineStr">
        <is>
          <t>шт.</t>
        </is>
      </c>
      <c r="D22" s="117" t="inlineStr"/>
      <c r="E22" s="118">
        <f>W22</f>
        <v/>
      </c>
      <c r="F22" s="118">
        <f>AI22</f>
        <v/>
      </c>
      <c r="G22" s="118">
        <f>AU22</f>
        <v/>
      </c>
      <c r="H22" s="118">
        <f>BG22</f>
        <v/>
      </c>
      <c r="I22" s="118">
        <f>BS22</f>
        <v/>
      </c>
      <c r="J22" s="10">
        <f>BS22</f>
        <v/>
      </c>
      <c r="L22" s="9">
        <f>0</f>
        <v/>
      </c>
      <c r="M22" s="9">
        <f>L21*КоэффСохранения</f>
        <v/>
      </c>
      <c r="N22" s="9">
        <f>M21*КоэффСохранения</f>
        <v/>
      </c>
      <c r="O22" s="9">
        <f>N21*КоэффСохранения</f>
        <v/>
      </c>
      <c r="P22" s="9">
        <f>O21*КоэффСохранения</f>
        <v/>
      </c>
      <c r="Q22" s="9">
        <f>P21*КоэффСохранения</f>
        <v/>
      </c>
      <c r="R22" s="9">
        <f>Q21*КоэффСохранения</f>
        <v/>
      </c>
      <c r="S22" s="9">
        <f>R21*КоэффСохранения</f>
        <v/>
      </c>
      <c r="T22" s="9">
        <f>S21*КоэффСохранения</f>
        <v/>
      </c>
      <c r="U22" s="9">
        <f>T21*КоэффСохранения</f>
        <v/>
      </c>
      <c r="V22" s="9">
        <f>U21*КоэффСохранения</f>
        <v/>
      </c>
      <c r="W22" s="9">
        <f>V21*КоэффСохранения</f>
        <v/>
      </c>
      <c r="X22" s="9">
        <f>W21*КоэффСохранения</f>
        <v/>
      </c>
      <c r="Y22" s="9">
        <f>X21*КоэффСохранения</f>
        <v/>
      </c>
      <c r="Z22" s="9">
        <f>Y21*КоэффСохранения</f>
        <v/>
      </c>
      <c r="AA22" s="9">
        <f>Z21*КоэффСохранения</f>
        <v/>
      </c>
      <c r="AB22" s="9">
        <f>AA21*КоэффСохранения</f>
        <v/>
      </c>
      <c r="AC22" s="9">
        <f>AB21*КоэффСохранения</f>
        <v/>
      </c>
      <c r="AD22" s="9">
        <f>AC21*КоэффСохранения</f>
        <v/>
      </c>
      <c r="AE22" s="9">
        <f>AD21*КоэффСохранения</f>
        <v/>
      </c>
      <c r="AF22" s="9">
        <f>AE21*КоэффСохранения</f>
        <v/>
      </c>
      <c r="AG22" s="9">
        <f>AF21*КоэффСохранения</f>
        <v/>
      </c>
      <c r="AH22" s="9">
        <f>AG21*КоэффСохранения</f>
        <v/>
      </c>
      <c r="AI22" s="9">
        <f>AH21*КоэффСохранения</f>
        <v/>
      </c>
      <c r="AJ22" s="9">
        <f>AI21*КоэффСохранения</f>
        <v/>
      </c>
      <c r="AK22" s="9">
        <f>AJ21*КоэффСохранения</f>
        <v/>
      </c>
      <c r="AL22" s="9">
        <f>AK21*КоэффСохранения</f>
        <v/>
      </c>
      <c r="AM22" s="9">
        <f>AL21*КоэффСохранения</f>
        <v/>
      </c>
      <c r="AN22" s="9">
        <f>AM21*КоэффСохранения</f>
        <v/>
      </c>
      <c r="AO22" s="9">
        <f>AN21*КоэффСохранения</f>
        <v/>
      </c>
      <c r="AP22" s="9">
        <f>AO21*КоэффСохранения</f>
        <v/>
      </c>
      <c r="AQ22" s="9">
        <f>AP21*КоэффСохранения</f>
        <v/>
      </c>
      <c r="AR22" s="9">
        <f>AQ21*КоэффСохранения</f>
        <v/>
      </c>
      <c r="AS22" s="9">
        <f>AR21*КоэффСохранения</f>
        <v/>
      </c>
      <c r="AT22" s="9">
        <f>AS21*КоэффСохранения</f>
        <v/>
      </c>
      <c r="AU22" s="9">
        <f>AT21*КоэффСохранения</f>
        <v/>
      </c>
      <c r="AV22" s="9">
        <f>AU21*КоэффСохранения</f>
        <v/>
      </c>
      <c r="AW22" s="9">
        <f>AV21*КоэффСохранения</f>
        <v/>
      </c>
      <c r="AX22" s="9">
        <f>AW21*КоэффСохранения</f>
        <v/>
      </c>
      <c r="AY22" s="9">
        <f>AX21*КоэффСохранения</f>
        <v/>
      </c>
      <c r="AZ22" s="9">
        <f>AY21*КоэффСохранения</f>
        <v/>
      </c>
      <c r="BA22" s="9">
        <f>AZ21*КоэффСохранения</f>
        <v/>
      </c>
      <c r="BB22" s="9">
        <f>BA21*КоэффСохранения</f>
        <v/>
      </c>
      <c r="BC22" s="9">
        <f>BB21*КоэффСохранения</f>
        <v/>
      </c>
      <c r="BD22" s="9">
        <f>BC21*КоэффСохранения</f>
        <v/>
      </c>
      <c r="BE22" s="9">
        <f>BD21*КоэффСохранения</f>
        <v/>
      </c>
      <c r="BF22" s="9">
        <f>BE21*КоэффСохранения</f>
        <v/>
      </c>
      <c r="BG22" s="9">
        <f>BF21*КоэффСохранения</f>
        <v/>
      </c>
      <c r="BH22" s="9">
        <f>BG21*КоэффСохранения</f>
        <v/>
      </c>
      <c r="BI22" s="9">
        <f>BH21*КоэффСохранения</f>
        <v/>
      </c>
      <c r="BJ22" s="9">
        <f>BI21*КоэффСохранения</f>
        <v/>
      </c>
      <c r="BK22" s="9">
        <f>BJ21*КоэффСохранения</f>
        <v/>
      </c>
      <c r="BL22" s="9">
        <f>BK21*КоэффСохранения</f>
        <v/>
      </c>
      <c r="BM22" s="9">
        <f>BL21*КоэффСохранения</f>
        <v/>
      </c>
      <c r="BN22" s="9">
        <f>BM21*КоэффСохранения</f>
        <v/>
      </c>
      <c r="BO22" s="9">
        <f>BN21*КоэффСохранения</f>
        <v/>
      </c>
      <c r="BP22" s="9">
        <f>BO21*КоэффСохранения</f>
        <v/>
      </c>
      <c r="BQ22" s="9">
        <f>BP21*КоэффСохранения</f>
        <v/>
      </c>
      <c r="BR22" s="9">
        <f>BQ21*КоэффСохранения</f>
        <v/>
      </c>
      <c r="BS22" s="9">
        <f>BR21*КоэффСохранения</f>
        <v/>
      </c>
      <c r="BT22" s="9">
        <f>BS21*КоэффСохранения</f>
        <v/>
      </c>
      <c r="BU22" s="9">
        <f>BT21*КоэффСохранения</f>
        <v/>
      </c>
      <c r="BV22" s="9">
        <f>BU21*КоэффСохранения</f>
        <v/>
      </c>
      <c r="BW22" s="9">
        <f>BV21*КоэффСохранения</f>
        <v/>
      </c>
      <c r="BX22" s="9">
        <f>BW21*КоэффСохранения</f>
        <v/>
      </c>
      <c r="BY22" s="9">
        <f>BX21*КоэффСохранения</f>
        <v/>
      </c>
    </row>
    <row r="23">
      <c r="B23" t="inlineStr">
        <is>
          <t>4 мес.</t>
        </is>
      </c>
      <c r="C23" t="inlineStr">
        <is>
          <t>шт.</t>
        </is>
      </c>
      <c r="D23" s="117" t="inlineStr"/>
      <c r="E23" s="118">
        <f>W23</f>
        <v/>
      </c>
      <c r="F23" s="118">
        <f>AI23</f>
        <v/>
      </c>
      <c r="G23" s="118">
        <f>AU23</f>
        <v/>
      </c>
      <c r="H23" s="118">
        <f>BG23</f>
        <v/>
      </c>
      <c r="I23" s="118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5 мес.</t>
        </is>
      </c>
      <c r="C24" t="inlineStr">
        <is>
          <t>шт.</t>
        </is>
      </c>
      <c r="D24" s="117" t="inlineStr"/>
      <c r="E24" s="118">
        <f>W24</f>
        <v/>
      </c>
      <c r="F24" s="118">
        <f>AI24</f>
        <v/>
      </c>
      <c r="G24" s="118">
        <f>AU24</f>
        <v/>
      </c>
      <c r="H24" s="118">
        <f>BG24</f>
        <v/>
      </c>
      <c r="I24" s="118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6 мес.</t>
        </is>
      </c>
      <c r="C25" t="inlineStr">
        <is>
          <t>шт.</t>
        </is>
      </c>
      <c r="D25" s="117" t="inlineStr"/>
      <c r="E25" s="118">
        <f>W25</f>
        <v/>
      </c>
      <c r="F25" s="118">
        <f>AI25</f>
        <v/>
      </c>
      <c r="G25" s="118">
        <f>AU25</f>
        <v/>
      </c>
      <c r="H25" s="118">
        <f>BG25</f>
        <v/>
      </c>
      <c r="I25" s="118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7 мес.</t>
        </is>
      </c>
      <c r="C26" t="inlineStr">
        <is>
          <t>шт.</t>
        </is>
      </c>
      <c r="D26" s="117" t="inlineStr"/>
      <c r="E26" s="118">
        <f>W26</f>
        <v/>
      </c>
      <c r="F26" s="118">
        <f>AI26</f>
        <v/>
      </c>
      <c r="G26" s="118">
        <f>AU26</f>
        <v/>
      </c>
      <c r="H26" s="118">
        <f>BG26</f>
        <v/>
      </c>
      <c r="I26" s="118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8 мес.</t>
        </is>
      </c>
      <c r="C27" t="inlineStr">
        <is>
          <t>шт.</t>
        </is>
      </c>
      <c r="D27" s="117" t="inlineStr"/>
      <c r="E27" s="118">
        <f>W27</f>
        <v/>
      </c>
      <c r="F27" s="118">
        <f>AI27</f>
        <v/>
      </c>
      <c r="G27" s="118">
        <f>AU27</f>
        <v/>
      </c>
      <c r="H27" s="118">
        <f>BG27</f>
        <v/>
      </c>
      <c r="I27" s="118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9 мес.</t>
        </is>
      </c>
      <c r="C28" t="inlineStr">
        <is>
          <t>шт.</t>
        </is>
      </c>
      <c r="D28" s="117" t="inlineStr"/>
      <c r="E28" s="118">
        <f>W28</f>
        <v/>
      </c>
      <c r="F28" s="118">
        <f>AI28</f>
        <v/>
      </c>
      <c r="G28" s="118">
        <f>AU28</f>
        <v/>
      </c>
      <c r="H28" s="118">
        <f>BG28</f>
        <v/>
      </c>
      <c r="I28" s="118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10 мес.</t>
        </is>
      </c>
      <c r="C29" t="inlineStr">
        <is>
          <t>шт.</t>
        </is>
      </c>
      <c r="D29" s="117" t="inlineStr"/>
      <c r="E29" s="118">
        <f>W29</f>
        <v/>
      </c>
      <c r="F29" s="118">
        <f>AI29</f>
        <v/>
      </c>
      <c r="G29" s="118">
        <f>AU29</f>
        <v/>
      </c>
      <c r="H29" s="118">
        <f>BG29</f>
        <v/>
      </c>
      <c r="I29" s="118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11 мес.</t>
        </is>
      </c>
      <c r="C30" t="inlineStr">
        <is>
          <t>шт.</t>
        </is>
      </c>
      <c r="D30" s="117" t="inlineStr"/>
      <c r="E30" s="118">
        <f>W30</f>
        <v/>
      </c>
      <c r="F30" s="118">
        <f>AI30</f>
        <v/>
      </c>
      <c r="G30" s="118">
        <f>AU30</f>
        <v/>
      </c>
      <c r="H30" s="118">
        <f>BG30</f>
        <v/>
      </c>
      <c r="I30" s="118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12 мес.</t>
        </is>
      </c>
      <c r="C31" t="inlineStr">
        <is>
          <t>шт.</t>
        </is>
      </c>
      <c r="D31" s="117" t="inlineStr"/>
      <c r="E31" s="118">
        <f>W31</f>
        <v/>
      </c>
      <c r="F31" s="118">
        <f>AI31</f>
        <v/>
      </c>
      <c r="G31" s="118">
        <f>AU31</f>
        <v/>
      </c>
      <c r="H31" s="118">
        <f>BG31</f>
        <v/>
      </c>
      <c r="I31" s="118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13 мес.</t>
        </is>
      </c>
      <c r="C32" t="inlineStr">
        <is>
          <t>шт.</t>
        </is>
      </c>
      <c r="D32" s="117" t="inlineStr"/>
      <c r="E32" s="118">
        <f>W32</f>
        <v/>
      </c>
      <c r="F32" s="118">
        <f>AI32</f>
        <v/>
      </c>
      <c r="G32" s="118">
        <f>AU32</f>
        <v/>
      </c>
      <c r="H32" s="118">
        <f>BG32</f>
        <v/>
      </c>
      <c r="I32" s="118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14 мес.</t>
        </is>
      </c>
      <c r="C33" t="inlineStr">
        <is>
          <t>шт.</t>
        </is>
      </c>
      <c r="D33" s="117" t="inlineStr"/>
      <c r="E33" s="118">
        <f>W33</f>
        <v/>
      </c>
      <c r="F33" s="118">
        <f>AI33</f>
        <v/>
      </c>
      <c r="G33" s="118">
        <f>AU33</f>
        <v/>
      </c>
      <c r="H33" s="118">
        <f>BG33</f>
        <v/>
      </c>
      <c r="I33" s="118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15 мес.</t>
        </is>
      </c>
      <c r="C34" t="inlineStr">
        <is>
          <t>шт.</t>
        </is>
      </c>
      <c r="D34" s="117" t="inlineStr"/>
      <c r="E34" s="118">
        <f>W34</f>
        <v/>
      </c>
      <c r="F34" s="118">
        <f>AI34</f>
        <v/>
      </c>
      <c r="G34" s="118">
        <f>AU34</f>
        <v/>
      </c>
      <c r="H34" s="118">
        <f>BG34</f>
        <v/>
      </c>
      <c r="I34" s="118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16 мес.</t>
        </is>
      </c>
      <c r="C35" t="inlineStr">
        <is>
          <t>шт.</t>
        </is>
      </c>
      <c r="D35" s="117" t="inlineStr"/>
      <c r="E35" s="118">
        <f>W35</f>
        <v/>
      </c>
      <c r="F35" s="118">
        <f>AI35</f>
        <v/>
      </c>
      <c r="G35" s="118">
        <f>AU35</f>
        <v/>
      </c>
      <c r="H35" s="118">
        <f>BG35</f>
        <v/>
      </c>
      <c r="I35" s="118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17 мес.</t>
        </is>
      </c>
      <c r="C36" t="inlineStr">
        <is>
          <t>шт.</t>
        </is>
      </c>
      <c r="D36" s="117" t="inlineStr"/>
      <c r="E36" s="118">
        <f>W36</f>
        <v/>
      </c>
      <c r="F36" s="118">
        <f>AI36</f>
        <v/>
      </c>
      <c r="G36" s="118">
        <f>AU36</f>
        <v/>
      </c>
      <c r="H36" s="118">
        <f>BG36</f>
        <v/>
      </c>
      <c r="I36" s="118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18 мес.</t>
        </is>
      </c>
      <c r="C37" t="inlineStr">
        <is>
          <t>шт.</t>
        </is>
      </c>
      <c r="D37" s="117" t="inlineStr"/>
      <c r="E37" s="118">
        <f>W37</f>
        <v/>
      </c>
      <c r="F37" s="118">
        <f>AI37</f>
        <v/>
      </c>
      <c r="G37" s="118">
        <f>AU37</f>
        <v/>
      </c>
      <c r="H37" s="118">
        <f>BG37</f>
        <v/>
      </c>
      <c r="I37" s="118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19 мес.</t>
        </is>
      </c>
      <c r="C38" t="inlineStr">
        <is>
          <t>шт.</t>
        </is>
      </c>
      <c r="D38" s="117" t="inlineStr"/>
      <c r="E38" s="118">
        <f>W38</f>
        <v/>
      </c>
      <c r="F38" s="118">
        <f>AI38</f>
        <v/>
      </c>
      <c r="G38" s="118">
        <f>AU38</f>
        <v/>
      </c>
      <c r="H38" s="118">
        <f>BG38</f>
        <v/>
      </c>
      <c r="I38" s="118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20 мес.</t>
        </is>
      </c>
      <c r="C39" t="inlineStr">
        <is>
          <t>шт.</t>
        </is>
      </c>
      <c r="D39" s="117" t="inlineStr"/>
      <c r="E39" s="118">
        <f>W39</f>
        <v/>
      </c>
      <c r="F39" s="118">
        <f>AI39</f>
        <v/>
      </c>
      <c r="G39" s="118">
        <f>AU39</f>
        <v/>
      </c>
      <c r="H39" s="118">
        <f>BG39</f>
        <v/>
      </c>
      <c r="I39" s="118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21 мес.</t>
        </is>
      </c>
      <c r="C40" t="inlineStr">
        <is>
          <t>шт.</t>
        </is>
      </c>
      <c r="D40" s="117" t="inlineStr"/>
      <c r="E40" s="118">
        <f>W40</f>
        <v/>
      </c>
      <c r="F40" s="118">
        <f>AI40</f>
        <v/>
      </c>
      <c r="G40" s="118">
        <f>AU40</f>
        <v/>
      </c>
      <c r="H40" s="118">
        <f>BG40</f>
        <v/>
      </c>
      <c r="I40" s="118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22 мес.</t>
        </is>
      </c>
      <c r="C41" t="inlineStr">
        <is>
          <t>шт.</t>
        </is>
      </c>
      <c r="D41" s="117" t="inlineStr"/>
      <c r="E41" s="118">
        <f>W41</f>
        <v/>
      </c>
      <c r="F41" s="118">
        <f>AI41</f>
        <v/>
      </c>
      <c r="G41" s="118">
        <f>AU41</f>
        <v/>
      </c>
      <c r="H41" s="118">
        <f>BG41</f>
        <v/>
      </c>
      <c r="I41" s="118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23 мес.</t>
        </is>
      </c>
      <c r="C42" t="inlineStr">
        <is>
          <t>шт.</t>
        </is>
      </c>
      <c r="D42" s="117" t="inlineStr"/>
      <c r="E42" s="118">
        <f>W42</f>
        <v/>
      </c>
      <c r="F42" s="118">
        <f>AI42</f>
        <v/>
      </c>
      <c r="G42" s="118">
        <f>AU42</f>
        <v/>
      </c>
      <c r="H42" s="118">
        <f>BG42</f>
        <v/>
      </c>
      <c r="I42" s="118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24 мес.</t>
        </is>
      </c>
      <c r="C43" t="inlineStr">
        <is>
          <t>шт.</t>
        </is>
      </c>
      <c r="D43" s="117" t="inlineStr"/>
      <c r="E43" s="118">
        <f>W43</f>
        <v/>
      </c>
      <c r="F43" s="118">
        <f>AI43</f>
        <v/>
      </c>
      <c r="G43" s="118">
        <f>AU43</f>
        <v/>
      </c>
      <c r="H43" s="118">
        <f>BG43</f>
        <v/>
      </c>
      <c r="I43" s="118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25+ мес.</t>
        </is>
      </c>
      <c r="C44" t="inlineStr">
        <is>
          <t>шт.</t>
        </is>
      </c>
      <c r="D44" s="117" t="inlineStr"/>
      <c r="E44" s="118">
        <f>W44</f>
        <v/>
      </c>
      <c r="F44" s="118">
        <f>AI44</f>
        <v/>
      </c>
      <c r="G44" s="118">
        <f>AU44</f>
        <v/>
      </c>
      <c r="H44" s="118">
        <f>BG44</f>
        <v/>
      </c>
      <c r="I44" s="118">
        <f>BS44</f>
        <v/>
      </c>
      <c r="J44" s="10">
        <f>BS44</f>
        <v/>
      </c>
      <c r="L44" s="9">
        <f>0</f>
        <v/>
      </c>
      <c r="M44" s="9">
        <f>(L43+L44)*КоэффСохранения</f>
        <v/>
      </c>
      <c r="N44" s="9">
        <f>(M43+M44)*КоэффСохранения</f>
        <v/>
      </c>
      <c r="O44" s="9">
        <f>(N43+N44)*КоэффСохранения</f>
        <v/>
      </c>
      <c r="P44" s="9">
        <f>(O43+O44)*КоэффСохранения</f>
        <v/>
      </c>
      <c r="Q44" s="9">
        <f>(P43+P44)*КоэффСохранения</f>
        <v/>
      </c>
      <c r="R44" s="9">
        <f>(Q43+Q44)*КоэффСохранения</f>
        <v/>
      </c>
      <c r="S44" s="9">
        <f>(R43+R44)*КоэффСохранения</f>
        <v/>
      </c>
      <c r="T44" s="9">
        <f>(S43+S44)*КоэффСохранения</f>
        <v/>
      </c>
      <c r="U44" s="9">
        <f>(T43+T44)*КоэффСохранения</f>
        <v/>
      </c>
      <c r="V44" s="9">
        <f>(U43+U44)*КоэффСохранения</f>
        <v/>
      </c>
      <c r="W44" s="9">
        <f>(V43+V44)*КоэффСохранения</f>
        <v/>
      </c>
      <c r="X44" s="9">
        <f>(W43+W44)*КоэффСохранения</f>
        <v/>
      </c>
      <c r="Y44" s="9">
        <f>(X43+X44)*КоэффСохранения</f>
        <v/>
      </c>
      <c r="Z44" s="9">
        <f>(Y43+Y44)*КоэффСохранения</f>
        <v/>
      </c>
      <c r="AA44" s="9">
        <f>(Z43+Z44)*КоэффСохранения</f>
        <v/>
      </c>
      <c r="AB44" s="9">
        <f>(AA43+AA44)*КоэффСохранения</f>
        <v/>
      </c>
      <c r="AC44" s="9">
        <f>(AB43+AB44)*КоэффСохранения</f>
        <v/>
      </c>
      <c r="AD44" s="9">
        <f>(AC43+AC44)*КоэффСохранения</f>
        <v/>
      </c>
      <c r="AE44" s="9">
        <f>(AD43+AD44)*КоэффСохранения</f>
        <v/>
      </c>
      <c r="AF44" s="9">
        <f>(AE43+AE44)*КоэффСохранения</f>
        <v/>
      </c>
      <c r="AG44" s="9">
        <f>(AF43+AF44)*КоэффСохранения</f>
        <v/>
      </c>
      <c r="AH44" s="9">
        <f>(AG43+AG44)*КоэффСохранения</f>
        <v/>
      </c>
      <c r="AI44" s="9">
        <f>(AH43+AH44)*КоэффСохранения</f>
        <v/>
      </c>
      <c r="AJ44" s="9">
        <f>(AI43+AI44)*КоэффСохранения</f>
        <v/>
      </c>
      <c r="AK44" s="9">
        <f>(AJ43+AJ44)*КоэффСохранения</f>
        <v/>
      </c>
      <c r="AL44" s="9">
        <f>(AK43+AK44)*КоэффСохранения</f>
        <v/>
      </c>
      <c r="AM44" s="9">
        <f>(AL43+AL44)*КоэффСохранения</f>
        <v/>
      </c>
      <c r="AN44" s="9">
        <f>(AM43+AM44)*КоэффСохранения</f>
        <v/>
      </c>
      <c r="AO44" s="9">
        <f>(AN43+AN44)*КоэффСохранения</f>
        <v/>
      </c>
      <c r="AP44" s="9">
        <f>(AO43+AO44)*КоэффСохранения</f>
        <v/>
      </c>
      <c r="AQ44" s="9">
        <f>(AP43+AP44)*КоэффСохранения</f>
        <v/>
      </c>
      <c r="AR44" s="9">
        <f>(AQ43+AQ44)*КоэффСохранения</f>
        <v/>
      </c>
      <c r="AS44" s="9">
        <f>(AR43+AR44)*КоэффСохранения</f>
        <v/>
      </c>
      <c r="AT44" s="9">
        <f>(AS43+AS44)*КоэффСохранения</f>
        <v/>
      </c>
      <c r="AU44" s="9">
        <f>(AT43+AT44)*КоэффСохранения</f>
        <v/>
      </c>
      <c r="AV44" s="9">
        <f>(AU43+AU44)*КоэффСохранения</f>
        <v/>
      </c>
      <c r="AW44" s="9">
        <f>(AV43+AV44)*КоэффСохранения</f>
        <v/>
      </c>
      <c r="AX44" s="9">
        <f>(AW43+AW44)*КоэффСохранения</f>
        <v/>
      </c>
      <c r="AY44" s="9">
        <f>(AX43+AX44)*КоэффСохранения</f>
        <v/>
      </c>
      <c r="AZ44" s="9">
        <f>(AY43+AY44)*КоэффСохранения</f>
        <v/>
      </c>
      <c r="BA44" s="9">
        <f>(AZ43+AZ44)*КоэффСохранения</f>
        <v/>
      </c>
      <c r="BB44" s="9">
        <f>(BA43+BA44)*КоэффСохранения</f>
        <v/>
      </c>
      <c r="BC44" s="9">
        <f>(BB43+BB44)*КоэффСохранения</f>
        <v/>
      </c>
      <c r="BD44" s="9">
        <f>(BC43+BC44)*КоэффСохранения</f>
        <v/>
      </c>
      <c r="BE44" s="9">
        <f>(BD43+BD44)*КоэффСохранения</f>
        <v/>
      </c>
      <c r="BF44" s="9">
        <f>(BE43+BE44)*КоэффСохранения</f>
        <v/>
      </c>
      <c r="BG44" s="9">
        <f>(BF43+BF44)*КоэффСохранения</f>
        <v/>
      </c>
      <c r="BH44" s="9">
        <f>(BG43+BG44)*КоэффСохранения</f>
        <v/>
      </c>
      <c r="BI44" s="9">
        <f>(BH43+BH44)*КоэффСохранения</f>
        <v/>
      </c>
      <c r="BJ44" s="9">
        <f>(BI43+BI44)*КоэффСохранения</f>
        <v/>
      </c>
      <c r="BK44" s="9">
        <f>(BJ43+BJ44)*КоэффСохранения</f>
        <v/>
      </c>
      <c r="BL44" s="9">
        <f>(BK43+BK44)*КоэффСохранения</f>
        <v/>
      </c>
      <c r="BM44" s="9">
        <f>(BL43+BL44)*КоэффСохранения</f>
        <v/>
      </c>
      <c r="BN44" s="9">
        <f>(BM43+BM44)*КоэффСохранения</f>
        <v/>
      </c>
      <c r="BO44" s="9">
        <f>(BN43+BN44)*КоэффСохранения</f>
        <v/>
      </c>
      <c r="BP44" s="9">
        <f>(BO43+BO44)*КоэффСохранения</f>
        <v/>
      </c>
      <c r="BQ44" s="9">
        <f>(BP43+BP44)*КоэффСохранения</f>
        <v/>
      </c>
      <c r="BR44" s="9">
        <f>(BQ43+BQ44)*КоэффСохранения</f>
        <v/>
      </c>
      <c r="BS44" s="9">
        <f>(BR43+BR44)*КоэффСохранения</f>
        <v/>
      </c>
      <c r="BT44" s="9">
        <f>(BS43+BS44)*КоэффСохранения</f>
        <v/>
      </c>
      <c r="BU44" s="9">
        <f>(BT43+BT44)*КоэффСохранения</f>
        <v/>
      </c>
      <c r="BV44" s="9">
        <f>(BU43+BU44)*КоэффСохранения</f>
        <v/>
      </c>
      <c r="BW44" s="9">
        <f>(BV43+BV44)*КоэффСохранения</f>
        <v/>
      </c>
      <c r="BX44" s="9">
        <f>(BW43+BW44)*КоэффСохранения</f>
        <v/>
      </c>
      <c r="BY44" s="9">
        <f>(BX43+BX44)*КоэффСохранения</f>
        <v/>
      </c>
    </row>
    <row r="46">
      <c r="B46" s="115" t="inlineStr">
        <is>
          <t>Роялти новых школ по возрасту — старая ставка</t>
        </is>
      </c>
      <c r="C46" s="116" t="n"/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R46" s="116" t="n"/>
      <c r="S46" s="116" t="n"/>
      <c r="T46" s="116" t="n"/>
      <c r="U46" s="116" t="n"/>
      <c r="V46" s="116" t="n"/>
      <c r="W46" s="116" t="n"/>
      <c r="X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AO46" s="116" t="n"/>
      <c r="AP46" s="116" t="n"/>
      <c r="AQ46" s="116" t="n"/>
      <c r="AR46" s="116" t="n"/>
      <c r="AS46" s="116" t="n"/>
      <c r="AT46" s="116" t="n"/>
      <c r="AU46" s="116" t="n"/>
      <c r="AV46" s="116" t="n"/>
      <c r="AW46" s="116" t="n"/>
      <c r="AX46" s="116" t="n"/>
      <c r="AY46" s="116" t="n"/>
      <c r="AZ46" s="116" t="n"/>
      <c r="BA46" s="116" t="n"/>
      <c r="BB46" s="116" t="n"/>
      <c r="BC46" s="116" t="n"/>
      <c r="BD46" s="116" t="n"/>
      <c r="BE46" s="116" t="n"/>
      <c r="BF46" s="116" t="n"/>
      <c r="BG46" s="116" t="n"/>
      <c r="BH46" s="116" t="n"/>
      <c r="BI46" s="116" t="n"/>
      <c r="BJ46" s="116" t="n"/>
      <c r="BK46" s="116" t="n"/>
      <c r="BL46" s="116" t="n"/>
      <c r="BM46" s="116" t="n"/>
      <c r="BN46" s="116" t="n"/>
      <c r="BO46" s="116" t="n"/>
      <c r="BP46" s="116" t="n"/>
      <c r="BQ46" s="116" t="n"/>
      <c r="BR46" s="116" t="n"/>
      <c r="BS46" s="116" t="n"/>
      <c r="BT46" s="116" t="n"/>
      <c r="BU46" s="116" t="n"/>
      <c r="BV46" s="116" t="n"/>
      <c r="BW46" s="116" t="n"/>
      <c r="BX46" s="116" t="n"/>
      <c r="BY46" s="116" t="n"/>
    </row>
    <row r="47">
      <c r="B47" t="inlineStr">
        <is>
          <t>1 мес.</t>
        </is>
      </c>
      <c r="C47" t="inlineStr">
        <is>
          <t>₽</t>
        </is>
      </c>
      <c r="D47" s="117" t="inlineStr"/>
      <c r="E47" s="119">
        <f>SUM(L47:W47)</f>
        <v/>
      </c>
      <c r="F47" s="119">
        <f>SUM(X47:AI47)</f>
        <v/>
      </c>
      <c r="G47" s="119">
        <f>SUM(AJ47:AU47)</f>
        <v/>
      </c>
      <c r="H47" s="119">
        <f>SUM(AV47:BG47)</f>
        <v/>
      </c>
      <c r="I47" s="119">
        <f>SUM(BH47:BS47)</f>
        <v/>
      </c>
      <c r="J47" s="5">
        <f>SUM(L47:BS47)</f>
        <v/>
      </c>
      <c r="L47" s="4">
        <f>IF(OR(L20=0,1&lt;=КаникулыРоялти),0,L20*IF(РоялтиПоГруппам="Да",MeanMinAge01+L8*SUMIF(ThresholdAge01,"&lt;"&amp;L8,WeightedRevAge01)-SUMIF(ThresholdAge01,"&lt;"&amp;L8,WeightedMinAge01),MAX(CapacityAge01*АбонементНовых*L8,MeanMinAge01)))</f>
        <v/>
      </c>
      <c r="M47" s="4">
        <f>IF(OR(M20=0,1&lt;=КаникулыРоялти),0,M20*IF(РоялтиПоГруппам="Да",MeanMinAge01+M8*SUMIF(ThresholdAge01,"&lt;"&amp;M8,WeightedRevAge01)-SUMIF(ThresholdAge01,"&lt;"&amp;M8,WeightedMinAge01),MAX(CapacityAge01*АбонементНовых*M8,MeanMinAge01)))</f>
        <v/>
      </c>
      <c r="N47" s="4">
        <f>IF(OR(N20=0,1&lt;=КаникулыРоялти),0,N20*IF(РоялтиПоГруппам="Да",MeanMinAge01+N8*SUMIF(ThresholdAge01,"&lt;"&amp;N8,WeightedRevAge01)-SUMIF(ThresholdAge01,"&lt;"&amp;N8,WeightedMinAge01),MAX(CapacityAge01*АбонементНовых*N8,MeanMinAge01)))</f>
        <v/>
      </c>
      <c r="O47" s="4">
        <f>IF(OR(O20=0,1&lt;=КаникулыРоялти),0,O20*IF(РоялтиПоГруппам="Да",MeanMinAge01+O8*SUMIF(ThresholdAge01,"&lt;"&amp;O8,WeightedRevAge01)-SUMIF(ThresholdAge01,"&lt;"&amp;O8,WeightedMinAge01),MAX(CapacityAge01*АбонементНовых*O8,MeanMinAge01)))</f>
        <v/>
      </c>
      <c r="P47" s="4">
        <f>IF(OR(P20=0,1&lt;=КаникулыРоялти),0,P20*IF(РоялтиПоГруппам="Да",MeanMinAge01+P8*SUMIF(ThresholdAge01,"&lt;"&amp;P8,WeightedRevAge01)-SUMIF(ThresholdAge01,"&lt;"&amp;P8,WeightedMinAge01),MAX(CapacityAge01*АбонементНовых*P8,MeanMinAge01)))</f>
        <v/>
      </c>
      <c r="Q47" s="4">
        <f>IF(OR(Q20=0,1&lt;=КаникулыРоялти),0,Q20*IF(РоялтиПоГруппам="Да",MeanMinAge01+Q8*SUMIF(ThresholdAge01,"&lt;"&amp;Q8,WeightedRevAge01)-SUMIF(ThresholdAge01,"&lt;"&amp;Q8,WeightedMinAge01),MAX(CapacityAge01*АбонементНовых*Q8,MeanMinAge01)))</f>
        <v/>
      </c>
      <c r="R47" s="4">
        <f>IF(OR(R20=0,1&lt;=КаникулыРоялти),0,R20*IF(РоялтиПоГруппам="Да",MeanMinAge01+R8*SUMIF(ThresholdAge01,"&lt;"&amp;R8,WeightedRevAge01)-SUMIF(ThresholdAge01,"&lt;"&amp;R8,WeightedMinAge01),MAX(CapacityAge01*АбонементНовых*R8,MeanMinAge01)))</f>
        <v/>
      </c>
      <c r="S47" s="4">
        <f>IF(OR(S20=0,1&lt;=КаникулыРоялти),0,S20*IF(РоялтиПоГруппам="Да",MeanMinAge01+S8*SUMIF(ThresholdAge01,"&lt;"&amp;S8,WeightedRevAge01)-SUMIF(ThresholdAge01,"&lt;"&amp;S8,WeightedMinAge01),MAX(CapacityAge01*АбонементНовых*S8,MeanMinAge01)))</f>
        <v/>
      </c>
      <c r="T47" s="4">
        <f>IF(OR(T20=0,1&lt;=КаникулыРоялти),0,T20*IF(РоялтиПоГруппам="Да",MeanMinAge01+T8*SUMIF(ThresholdAge01,"&lt;"&amp;T8,WeightedRevAge01)-SUMIF(ThresholdAge01,"&lt;"&amp;T8,WeightedMinAge01),MAX(CapacityAge01*АбонементНовых*T8,MeanMinAge01)))</f>
        <v/>
      </c>
      <c r="U47" s="4">
        <f>IF(OR(U20=0,1&lt;=КаникулыРоялти),0,U20*IF(РоялтиПоГруппам="Да",MeanMinAge01+U8*SUMIF(ThresholdAge01,"&lt;"&amp;U8,WeightedRevAge01)-SUMIF(ThresholdAge01,"&lt;"&amp;U8,WeightedMinAge01),MAX(CapacityAge01*АбонементНовых*U8,MeanMinAge01)))</f>
        <v/>
      </c>
      <c r="V47" s="4">
        <f>IF(OR(V20=0,1&lt;=КаникулыРоялти),0,V20*IF(РоялтиПоГруппам="Да",MeanMinAge01+V8*SUMIF(ThresholdAge01,"&lt;"&amp;V8,WeightedRevAge01)-SUMIF(ThresholdAge01,"&lt;"&amp;V8,WeightedMinAge01),MAX(CapacityAge01*АбонементНовых*V8,MeanMinAge01)))</f>
        <v/>
      </c>
      <c r="W47" s="4">
        <f>IF(OR(W20=0,1&lt;=КаникулыРоялти),0,W20*IF(РоялтиПоГруппам="Да",MeanMinAge01+W8*SUMIF(ThresholdAge01,"&lt;"&amp;W8,WeightedRevAge01)-SUMIF(ThresholdAge01,"&lt;"&amp;W8,WeightedMinAge01),MAX(CapacityAge01*АбонементНовых*W8,MeanMinAge01)))</f>
        <v/>
      </c>
      <c r="X47" s="4">
        <f>IF(OR(X20=0,1&lt;=КаникулыРоялти),0,X20*IF(РоялтиПоГруппам="Да",MeanMinAge01+X8*SUMIF(ThresholdAge01,"&lt;"&amp;X8,WeightedRevAge01)-SUMIF(ThresholdAge01,"&lt;"&amp;X8,WeightedMinAge01),MAX(CapacityAge01*АбонементНовых*X8,MeanMinAge01)))</f>
        <v/>
      </c>
      <c r="Y47" s="4">
        <f>IF(OR(Y20=0,1&lt;=КаникулыРоялти),0,Y20*IF(РоялтиПоГруппам="Да",MeanMinAge01+Y8*SUMIF(ThresholdAge01,"&lt;"&amp;Y8,WeightedRevAge01)-SUMIF(ThresholdAge01,"&lt;"&amp;Y8,WeightedMinAge01),MAX(CapacityAge01*АбонементНовых*Y8,MeanMinAge01)))</f>
        <v/>
      </c>
      <c r="Z47" s="4">
        <f>IF(OR(Z20=0,1&lt;=КаникулыРоялти),0,Z20*IF(РоялтиПоГруппам="Да",MeanMinAge01+Z8*SUMIF(ThresholdAge01,"&lt;"&amp;Z8,WeightedRevAge01)-SUMIF(ThresholdAge01,"&lt;"&amp;Z8,WeightedMinAge01),MAX(CapacityAge01*АбонементНовых*Z8,MeanMinAge01)))</f>
        <v/>
      </c>
      <c r="AA47" s="4">
        <f>IF(OR(AA20=0,1&lt;=КаникулыРоялти),0,AA20*IF(РоялтиПоГруппам="Да",MeanMinAge01+AA8*SUMIF(ThresholdAge01,"&lt;"&amp;AA8,WeightedRevAge01)-SUMIF(ThresholdAge01,"&lt;"&amp;AA8,WeightedMinAge01),MAX(CapacityAge01*АбонементНовых*AA8,MeanMinAge01)))</f>
        <v/>
      </c>
      <c r="AB47" s="4">
        <f>IF(OR(AB20=0,1&lt;=КаникулыРоялти),0,AB20*IF(РоялтиПоГруппам="Да",MeanMinAge01+AB8*SUMIF(ThresholdAge01,"&lt;"&amp;AB8,WeightedRevAge01)-SUMIF(ThresholdAge01,"&lt;"&amp;AB8,WeightedMinAge01),MAX(CapacityAge01*АбонементНовых*AB8,MeanMinAge01)))</f>
        <v/>
      </c>
      <c r="AC47" s="4">
        <f>IF(OR(AC20=0,1&lt;=КаникулыРоялти),0,AC20*IF(РоялтиПоГруппам="Да",MeanMinAge01+AC8*SUMIF(ThresholdAge01,"&lt;"&amp;AC8,WeightedRevAge01)-SUMIF(ThresholdAge01,"&lt;"&amp;AC8,WeightedMinAge01),MAX(CapacityAge01*АбонементНовых*AC8,MeanMinAge01)))</f>
        <v/>
      </c>
      <c r="AD47" s="4">
        <f>IF(OR(AD20=0,1&lt;=КаникулыРоялти),0,AD20*IF(РоялтиПоГруппам="Да",MeanMinAge01+AD8*SUMIF(ThresholdAge01,"&lt;"&amp;AD8,WeightedRevAge01)-SUMIF(ThresholdAge01,"&lt;"&amp;AD8,WeightedMinAge01),MAX(CapacityAge01*АбонементНовых*AD8,MeanMinAge01)))</f>
        <v/>
      </c>
      <c r="AE47" s="4">
        <f>IF(OR(AE20=0,1&lt;=КаникулыРоялти),0,AE20*IF(РоялтиПоГруппам="Да",MeanMinAge01+AE8*SUMIF(ThresholdAge01,"&lt;"&amp;AE8,WeightedRevAge01)-SUMIF(ThresholdAge01,"&lt;"&amp;AE8,WeightedMinAge01),MAX(CapacityAge01*АбонементНовых*AE8,MeanMinAge01)))</f>
        <v/>
      </c>
      <c r="AF47" s="4">
        <f>IF(OR(AF20=0,1&lt;=КаникулыРоялти),0,AF20*IF(РоялтиПоГруппам="Да",MeanMinAge01+AF8*SUMIF(ThresholdAge01,"&lt;"&amp;AF8,WeightedRevAge01)-SUMIF(ThresholdAge01,"&lt;"&amp;AF8,WeightedMinAge01),MAX(CapacityAge01*АбонементНовых*AF8,MeanMinAge01)))</f>
        <v/>
      </c>
      <c r="AG47" s="4">
        <f>IF(OR(AG20=0,1&lt;=КаникулыРоялти),0,AG20*IF(РоялтиПоГруппам="Да",MeanMinAge01+AG8*SUMIF(ThresholdAge01,"&lt;"&amp;AG8,WeightedRevAge01)-SUMIF(ThresholdAge01,"&lt;"&amp;AG8,WeightedMinAge01),MAX(CapacityAge01*АбонементНовых*AG8,MeanMinAge01)))</f>
        <v/>
      </c>
      <c r="AH47" s="4">
        <f>IF(OR(AH20=0,1&lt;=КаникулыРоялти),0,AH20*IF(РоялтиПоГруппам="Да",MeanMinAge01+AH8*SUMIF(ThresholdAge01,"&lt;"&amp;AH8,WeightedRevAge01)-SUMIF(ThresholdAge01,"&lt;"&amp;AH8,WeightedMinAge01),MAX(CapacityAge01*АбонементНовых*AH8,MeanMinAge01)))</f>
        <v/>
      </c>
      <c r="AI47" s="4">
        <f>IF(OR(AI20=0,1&lt;=КаникулыРоялти),0,AI20*IF(РоялтиПоГруппам="Да",MeanMinAge01+AI8*SUMIF(ThresholdAge01,"&lt;"&amp;AI8,WeightedRevAge01)-SUMIF(ThresholdAge01,"&lt;"&amp;AI8,WeightedMinAge01),MAX(CapacityAge01*АбонементНовых*AI8,MeanMinAge01)))</f>
        <v/>
      </c>
      <c r="AJ47" s="4">
        <f>IF(OR(AJ20=0,1&lt;=КаникулыРоялти),0,AJ20*IF(РоялтиПоГруппам="Да",MeanMinAge01+AJ8*SUMIF(ThresholdAge01,"&lt;"&amp;AJ8,WeightedRevAge01)-SUMIF(ThresholdAge01,"&lt;"&amp;AJ8,WeightedMinAge01),MAX(CapacityAge01*АбонементНовых*AJ8,MeanMinAge01)))</f>
        <v/>
      </c>
      <c r="AK47" s="4">
        <f>IF(OR(AK20=0,1&lt;=КаникулыРоялти),0,AK20*IF(РоялтиПоГруппам="Да",MeanMinAge01+AK8*SUMIF(ThresholdAge01,"&lt;"&amp;AK8,WeightedRevAge01)-SUMIF(ThresholdAge01,"&lt;"&amp;AK8,WeightedMinAge01),MAX(CapacityAge01*АбонементНовых*AK8,MeanMinAge01)))</f>
        <v/>
      </c>
      <c r="AL47" s="4">
        <f>IF(OR(AL20=0,1&lt;=КаникулыРоялти),0,AL20*IF(РоялтиПоГруппам="Да",MeanMinAge01+AL8*SUMIF(ThresholdAge01,"&lt;"&amp;AL8,WeightedRevAge01)-SUMIF(ThresholdAge01,"&lt;"&amp;AL8,WeightedMinAge01),MAX(CapacityAge01*АбонементНовых*AL8,MeanMinAge01)))</f>
        <v/>
      </c>
      <c r="AM47" s="4">
        <f>IF(OR(AM20=0,1&lt;=КаникулыРоялти),0,AM20*IF(РоялтиПоГруппам="Да",MeanMinAge01+AM8*SUMIF(ThresholdAge01,"&lt;"&amp;AM8,WeightedRevAge01)-SUMIF(ThresholdAge01,"&lt;"&amp;AM8,WeightedMinAge01),MAX(CapacityAge01*АбонементНовых*AM8,MeanMinAge01)))</f>
        <v/>
      </c>
      <c r="AN47" s="4">
        <f>IF(OR(AN20=0,1&lt;=КаникулыРоялти),0,AN20*IF(РоялтиПоГруппам="Да",MeanMinAge01+AN8*SUMIF(ThresholdAge01,"&lt;"&amp;AN8,WeightedRevAge01)-SUMIF(ThresholdAge01,"&lt;"&amp;AN8,WeightedMinAge01),MAX(CapacityAge01*АбонементНовых*AN8,MeanMinAge01)))</f>
        <v/>
      </c>
      <c r="AO47" s="4">
        <f>IF(OR(AO20=0,1&lt;=КаникулыРоялти),0,AO20*IF(РоялтиПоГруппам="Да",MeanMinAge01+AO8*SUMIF(ThresholdAge01,"&lt;"&amp;AO8,WeightedRevAge01)-SUMIF(ThresholdAge01,"&lt;"&amp;AO8,WeightedMinAge01),MAX(CapacityAge01*АбонементНовых*AO8,MeanMinAge01)))</f>
        <v/>
      </c>
      <c r="AP47" s="4">
        <f>IF(OR(AP20=0,1&lt;=КаникулыРоялти),0,AP20*IF(РоялтиПоГруппам="Да",MeanMinAge01+AP8*SUMIF(ThresholdAge01,"&lt;"&amp;AP8,WeightedRevAge01)-SUMIF(ThresholdAge01,"&lt;"&amp;AP8,WeightedMinAge01),MAX(CapacityAge01*АбонементНовых*AP8,MeanMinAge01)))</f>
        <v/>
      </c>
      <c r="AQ47" s="4">
        <f>IF(OR(AQ20=0,1&lt;=КаникулыРоялти),0,AQ20*IF(РоялтиПоГруппам="Да",MeanMinAge01+AQ8*SUMIF(ThresholdAge01,"&lt;"&amp;AQ8,WeightedRevAge01)-SUMIF(ThresholdAge01,"&lt;"&amp;AQ8,WeightedMinAge01),MAX(CapacityAge01*АбонементНовых*AQ8,MeanMinAge01)))</f>
        <v/>
      </c>
      <c r="AR47" s="4">
        <f>IF(OR(AR20=0,1&lt;=КаникулыРоялти),0,AR20*IF(РоялтиПоГруппам="Да",MeanMinAge01+AR8*SUMIF(ThresholdAge01,"&lt;"&amp;AR8,WeightedRevAge01)-SUMIF(ThresholdAge01,"&lt;"&amp;AR8,WeightedMinAge01),MAX(CapacityAge01*АбонементНовых*AR8,MeanMinAge01)))</f>
        <v/>
      </c>
      <c r="AS47" s="4">
        <f>IF(OR(AS20=0,1&lt;=КаникулыРоялти),0,AS20*IF(РоялтиПоГруппам="Да",MeanMinAge01+AS8*SUMIF(ThresholdAge01,"&lt;"&amp;AS8,WeightedRevAge01)-SUMIF(ThresholdAge01,"&lt;"&amp;AS8,WeightedMinAge01),MAX(CapacityAge01*АбонементНовых*AS8,MeanMinAge01)))</f>
        <v/>
      </c>
      <c r="AT47" s="4">
        <f>IF(OR(AT20=0,1&lt;=КаникулыРоялти),0,AT20*IF(РоялтиПоГруппам="Да",MeanMinAge01+AT8*SUMIF(ThresholdAge01,"&lt;"&amp;AT8,WeightedRevAge01)-SUMIF(ThresholdAge01,"&lt;"&amp;AT8,WeightedMinAge01),MAX(CapacityAge01*АбонементНовых*AT8,MeanMinAge01)))</f>
        <v/>
      </c>
      <c r="AU47" s="4">
        <f>IF(OR(AU20=0,1&lt;=КаникулыРоялти),0,AU20*IF(РоялтиПоГруппам="Да",MeanMinAge01+AU8*SUMIF(ThresholdAge01,"&lt;"&amp;AU8,WeightedRevAge01)-SUMIF(ThresholdAge01,"&lt;"&amp;AU8,WeightedMinAge01),MAX(CapacityAge01*АбонементНовых*AU8,MeanMinAge01)))</f>
        <v/>
      </c>
      <c r="AV47" s="4">
        <f>IF(OR(AV20=0,1&lt;=КаникулыРоялти),0,AV20*IF(РоялтиПоГруппам="Да",MeanMinAge01+AV8*SUMIF(ThresholdAge01,"&lt;"&amp;AV8,WeightedRevAge01)-SUMIF(ThresholdAge01,"&lt;"&amp;AV8,WeightedMinAge01),MAX(CapacityAge01*АбонементНовых*AV8,MeanMinAge01)))</f>
        <v/>
      </c>
      <c r="AW47" s="4">
        <f>IF(OR(AW20=0,1&lt;=КаникулыРоялти),0,AW20*IF(РоялтиПоГруппам="Да",MeanMinAge01+AW8*SUMIF(ThresholdAge01,"&lt;"&amp;AW8,WeightedRevAge01)-SUMIF(ThresholdAge01,"&lt;"&amp;AW8,WeightedMinAge01),MAX(CapacityAge01*АбонементНовых*AW8,MeanMinAge01)))</f>
        <v/>
      </c>
      <c r="AX47" s="4">
        <f>IF(OR(AX20=0,1&lt;=КаникулыРоялти),0,AX20*IF(РоялтиПоГруппам="Да",MeanMinAge01+AX8*SUMIF(ThresholdAge01,"&lt;"&amp;AX8,WeightedRevAge01)-SUMIF(ThresholdAge01,"&lt;"&amp;AX8,WeightedMinAge01),MAX(CapacityAge01*АбонементНовых*AX8,MeanMinAge01)))</f>
        <v/>
      </c>
      <c r="AY47" s="4">
        <f>IF(OR(AY20=0,1&lt;=КаникулыРоялти),0,AY20*IF(РоялтиПоГруппам="Да",MeanMinAge01+AY8*SUMIF(ThresholdAge01,"&lt;"&amp;AY8,WeightedRevAge01)-SUMIF(ThresholdAge01,"&lt;"&amp;AY8,WeightedMinAge01),MAX(CapacityAge01*АбонементНовых*AY8,MeanMinAge01)))</f>
        <v/>
      </c>
      <c r="AZ47" s="4">
        <f>IF(OR(AZ20=0,1&lt;=КаникулыРоялти),0,AZ20*IF(РоялтиПоГруппам="Да",MeanMinAge01+AZ8*SUMIF(ThresholdAge01,"&lt;"&amp;AZ8,WeightedRevAge01)-SUMIF(ThresholdAge01,"&lt;"&amp;AZ8,WeightedMinAge01),MAX(CapacityAge01*АбонементНовых*AZ8,MeanMinAge01)))</f>
        <v/>
      </c>
      <c r="BA47" s="4">
        <f>IF(OR(BA20=0,1&lt;=КаникулыРоялти),0,BA20*IF(РоялтиПоГруппам="Да",MeanMinAge01+BA8*SUMIF(ThresholdAge01,"&lt;"&amp;BA8,WeightedRevAge01)-SUMIF(ThresholdAge01,"&lt;"&amp;BA8,WeightedMinAge01),MAX(CapacityAge01*АбонементНовых*BA8,MeanMinAge01)))</f>
        <v/>
      </c>
      <c r="BB47" s="4">
        <f>IF(OR(BB20=0,1&lt;=КаникулыРоялти),0,BB20*IF(РоялтиПоГруппам="Да",MeanMinAge01+BB8*SUMIF(ThresholdAge01,"&lt;"&amp;BB8,WeightedRevAge01)-SUMIF(ThresholdAge01,"&lt;"&amp;BB8,WeightedMinAge01),MAX(CapacityAge01*АбонементНовых*BB8,MeanMinAge01)))</f>
        <v/>
      </c>
      <c r="BC47" s="4">
        <f>IF(OR(BC20=0,1&lt;=КаникулыРоялти),0,BC20*IF(РоялтиПоГруппам="Да",MeanMinAge01+BC8*SUMIF(ThresholdAge01,"&lt;"&amp;BC8,WeightedRevAge01)-SUMIF(ThresholdAge01,"&lt;"&amp;BC8,WeightedMinAge01),MAX(CapacityAge01*АбонементНовых*BC8,MeanMinAge01)))</f>
        <v/>
      </c>
      <c r="BD47" s="4">
        <f>IF(OR(BD20=0,1&lt;=КаникулыРоялти),0,BD20*IF(РоялтиПоГруппам="Да",MeanMinAge01+BD8*SUMIF(ThresholdAge01,"&lt;"&amp;BD8,WeightedRevAge01)-SUMIF(ThresholdAge01,"&lt;"&amp;BD8,WeightedMinAge01),MAX(CapacityAge01*АбонементНовых*BD8,MeanMinAge01)))</f>
        <v/>
      </c>
      <c r="BE47" s="4">
        <f>IF(OR(BE20=0,1&lt;=КаникулыРоялти),0,BE20*IF(РоялтиПоГруппам="Да",MeanMinAge01+BE8*SUMIF(ThresholdAge01,"&lt;"&amp;BE8,WeightedRevAge01)-SUMIF(ThresholdAge01,"&lt;"&amp;BE8,WeightedMinAge01),MAX(CapacityAge01*АбонементНовых*BE8,MeanMinAge01)))</f>
        <v/>
      </c>
      <c r="BF47" s="4">
        <f>IF(OR(BF20=0,1&lt;=КаникулыРоялти),0,BF20*IF(РоялтиПоГруппам="Да",MeanMinAge01+BF8*SUMIF(ThresholdAge01,"&lt;"&amp;BF8,WeightedRevAge01)-SUMIF(ThresholdAge01,"&lt;"&amp;BF8,WeightedMinAge01),MAX(CapacityAge01*АбонементНовых*BF8,MeanMinAge01)))</f>
        <v/>
      </c>
      <c r="BG47" s="4">
        <f>IF(OR(BG20=0,1&lt;=КаникулыРоялти),0,BG20*IF(РоялтиПоГруппам="Да",MeanMinAge01+BG8*SUMIF(ThresholdAge01,"&lt;"&amp;BG8,WeightedRevAge01)-SUMIF(ThresholdAge01,"&lt;"&amp;BG8,WeightedMinAge01),MAX(CapacityAge01*АбонементНовых*BG8,MeanMinAge01)))</f>
        <v/>
      </c>
      <c r="BH47" s="4">
        <f>IF(OR(BH20=0,1&lt;=КаникулыРоялти),0,BH20*IF(РоялтиПоГруппам="Да",MeanMinAge01+BH8*SUMIF(ThresholdAge01,"&lt;"&amp;BH8,WeightedRevAge01)-SUMIF(ThresholdAge01,"&lt;"&amp;BH8,WeightedMinAge01),MAX(CapacityAge01*АбонементНовых*BH8,MeanMinAge01)))</f>
        <v/>
      </c>
      <c r="BI47" s="4">
        <f>IF(OR(BI20=0,1&lt;=КаникулыРоялти),0,BI20*IF(РоялтиПоГруппам="Да",MeanMinAge01+BI8*SUMIF(ThresholdAge01,"&lt;"&amp;BI8,WeightedRevAge01)-SUMIF(ThresholdAge01,"&lt;"&amp;BI8,WeightedMinAge01),MAX(CapacityAge01*АбонементНовых*BI8,MeanMinAge01)))</f>
        <v/>
      </c>
      <c r="BJ47" s="4">
        <f>IF(OR(BJ20=0,1&lt;=КаникулыРоялти),0,BJ20*IF(РоялтиПоГруппам="Да",MeanMinAge01+BJ8*SUMIF(ThresholdAge01,"&lt;"&amp;BJ8,WeightedRevAge01)-SUMIF(ThresholdAge01,"&lt;"&amp;BJ8,WeightedMinAge01),MAX(CapacityAge01*АбонементНовых*BJ8,MeanMinAge01)))</f>
        <v/>
      </c>
      <c r="BK47" s="4">
        <f>IF(OR(BK20=0,1&lt;=КаникулыРоялти),0,BK20*IF(РоялтиПоГруппам="Да",MeanMinAge01+BK8*SUMIF(ThresholdAge01,"&lt;"&amp;BK8,WeightedRevAge01)-SUMIF(ThresholdAge01,"&lt;"&amp;BK8,WeightedMinAge01),MAX(CapacityAge01*АбонементНовых*BK8,MeanMinAge01)))</f>
        <v/>
      </c>
      <c r="BL47" s="4">
        <f>IF(OR(BL20=0,1&lt;=КаникулыРоялти),0,BL20*IF(РоялтиПоГруппам="Да",MeanMinAge01+BL8*SUMIF(ThresholdAge01,"&lt;"&amp;BL8,WeightedRevAge01)-SUMIF(ThresholdAge01,"&lt;"&amp;BL8,WeightedMinAge01),MAX(CapacityAge01*АбонементНовых*BL8,MeanMinAge01)))</f>
        <v/>
      </c>
      <c r="BM47" s="4">
        <f>IF(OR(BM20=0,1&lt;=КаникулыРоялти),0,BM20*IF(РоялтиПоГруппам="Да",MeanMinAge01+BM8*SUMIF(ThresholdAge01,"&lt;"&amp;BM8,WeightedRevAge01)-SUMIF(ThresholdAge01,"&lt;"&amp;BM8,WeightedMinAge01),MAX(CapacityAge01*АбонементНовых*BM8,MeanMinAge01)))</f>
        <v/>
      </c>
      <c r="BN47" s="4">
        <f>IF(OR(BN20=0,1&lt;=КаникулыРоялти),0,BN20*IF(РоялтиПоГруппам="Да",MeanMinAge01+BN8*SUMIF(ThresholdAge01,"&lt;"&amp;BN8,WeightedRevAge01)-SUMIF(ThresholdAge01,"&lt;"&amp;BN8,WeightedMinAge01),MAX(CapacityAge01*АбонементНовых*BN8,MeanMinAge01)))</f>
        <v/>
      </c>
      <c r="BO47" s="4">
        <f>IF(OR(BO20=0,1&lt;=КаникулыРоялти),0,BO20*IF(РоялтиПоГруппам="Да",MeanMinAge01+BO8*SUMIF(ThresholdAge01,"&lt;"&amp;BO8,WeightedRevAge01)-SUMIF(ThresholdAge01,"&lt;"&amp;BO8,WeightedMinAge01),MAX(CapacityAge01*АбонементНовых*BO8,MeanMinAge01)))</f>
        <v/>
      </c>
      <c r="BP47" s="4">
        <f>IF(OR(BP20=0,1&lt;=КаникулыРоялти),0,BP20*IF(РоялтиПоГруппам="Да",MeanMinAge01+BP8*SUMIF(ThresholdAge01,"&lt;"&amp;BP8,WeightedRevAge01)-SUMIF(ThresholdAge01,"&lt;"&amp;BP8,WeightedMinAge01),MAX(CapacityAge01*АбонементНовых*BP8,MeanMinAge01)))</f>
        <v/>
      </c>
      <c r="BQ47" s="4">
        <f>IF(OR(BQ20=0,1&lt;=КаникулыРоялти),0,BQ20*IF(РоялтиПоГруппам="Да",MeanMinAge01+BQ8*SUMIF(ThresholdAge01,"&lt;"&amp;BQ8,WeightedRevAge01)-SUMIF(ThresholdAge01,"&lt;"&amp;BQ8,WeightedMinAge01),MAX(CapacityAge01*АбонементНовых*BQ8,MeanMinAge01)))</f>
        <v/>
      </c>
      <c r="BR47" s="4">
        <f>IF(OR(BR20=0,1&lt;=КаникулыРоялти),0,BR20*IF(РоялтиПоГруппам="Да",MeanMinAge01+BR8*SUMIF(ThresholdAge01,"&lt;"&amp;BR8,WeightedRevAge01)-SUMIF(ThresholdAge01,"&lt;"&amp;BR8,WeightedMinAge01),MAX(CapacityAge01*АбонементНовых*BR8,MeanMinAge01)))</f>
        <v/>
      </c>
      <c r="BS47" s="4">
        <f>IF(OR(BS20=0,1&lt;=КаникулыРоялти),0,BS20*IF(РоялтиПоГруппам="Да",MeanMinAge01+BS8*SUMIF(ThresholdAge01,"&lt;"&amp;BS8,WeightedRevAge01)-SUMIF(ThresholdAge01,"&lt;"&amp;BS8,WeightedMinAge01),MAX(CapacityAge01*АбонементНовых*BS8,MeanMinAge01)))</f>
        <v/>
      </c>
      <c r="BT47" s="4">
        <f>IF(OR(BT20=0,1&lt;=КаникулыРоялти),0,BT20*IF(РоялтиПоГруппам="Да",MeanMinAge01+BT8*SUMIF(ThresholdAge01,"&lt;"&amp;BT8,WeightedRevAge01)-SUMIF(ThresholdAge01,"&lt;"&amp;BT8,WeightedMinAge01),MAX(CapacityAge01*АбонементНовых*BT8,MeanMinAge01)))</f>
        <v/>
      </c>
      <c r="BU47" s="4">
        <f>IF(OR(BU20=0,1&lt;=КаникулыРоялти),0,BU20*IF(РоялтиПоГруппам="Да",MeanMinAge01+BU8*SUMIF(ThresholdAge01,"&lt;"&amp;BU8,WeightedRevAge01)-SUMIF(ThresholdAge01,"&lt;"&amp;BU8,WeightedMinAge01),MAX(CapacityAge01*АбонементНовых*BU8,MeanMinAge01)))</f>
        <v/>
      </c>
      <c r="BV47" s="4">
        <f>IF(OR(BV20=0,1&lt;=КаникулыРоялти),0,BV20*IF(РоялтиПоГруппам="Да",MeanMinAge01+BV8*SUMIF(ThresholdAge01,"&lt;"&amp;BV8,WeightedRevAge01)-SUMIF(ThresholdAge01,"&lt;"&amp;BV8,WeightedMinAge01),MAX(CapacityAge01*АбонементНовых*BV8,MeanMinAge01)))</f>
        <v/>
      </c>
      <c r="BW47" s="4">
        <f>IF(OR(BW20=0,1&lt;=КаникулыРоялти),0,BW20*IF(РоялтиПоГруппам="Да",MeanMinAge01+BW8*SUMIF(ThresholdAge01,"&lt;"&amp;BW8,WeightedRevAge01)-SUMIF(ThresholdAge01,"&lt;"&amp;BW8,WeightedMinAge01),MAX(CapacityAge01*АбонементНовых*BW8,MeanMinAge01)))</f>
        <v/>
      </c>
      <c r="BX47" s="4">
        <f>IF(OR(BX20=0,1&lt;=КаникулыРоялти),0,BX20*IF(РоялтиПоГруппам="Да",MeanMinAge01+BX8*SUMIF(ThresholdAge01,"&lt;"&amp;BX8,WeightedRevAge01)-SUMIF(ThresholdAge01,"&lt;"&amp;BX8,WeightedMinAge01),MAX(CapacityAge01*АбонементНовых*BX8,MeanMinAge01)))</f>
        <v/>
      </c>
      <c r="BY47" s="4">
        <f>IF(OR(BY20=0,1&lt;=КаникулыРоялти),0,BY20*IF(РоялтиПоГруппам="Да",MeanMinAge01+BY8*SUMIF(ThresholdAge01,"&lt;"&amp;BY8,WeightedRevAge01)-SUMIF(ThresholdAge01,"&lt;"&amp;BY8,WeightedMinAge01),MAX(CapacityAge01*АбонементНовых*BY8,MeanMinAge01)))</f>
        <v/>
      </c>
    </row>
    <row r="48">
      <c r="B48" t="inlineStr">
        <is>
          <t>2 мес.</t>
        </is>
      </c>
      <c r="C48" t="inlineStr">
        <is>
          <t>₽</t>
        </is>
      </c>
      <c r="D48" s="117" t="inlineStr"/>
      <c r="E48" s="119">
        <f>SUM(L48:W48)</f>
        <v/>
      </c>
      <c r="F48" s="119">
        <f>SUM(X48:AI48)</f>
        <v/>
      </c>
      <c r="G48" s="119">
        <f>SUM(AJ48:AU48)</f>
        <v/>
      </c>
      <c r="H48" s="119">
        <f>SUM(AV48:BG48)</f>
        <v/>
      </c>
      <c r="I48" s="119">
        <f>SUM(BH48:BS48)</f>
        <v/>
      </c>
      <c r="J48" s="5">
        <f>SUM(L48:BS48)</f>
        <v/>
      </c>
      <c r="L48" s="4">
        <f>IF(OR(L21=0,2&lt;=КаникулыРоялти),0,L21*IF(РоялтиПоГруппам="Да",MeanMinAge02+L8*SUMIF(ThresholdAge02,"&lt;"&amp;L8,WeightedRevAge02)-SUMIF(ThresholdAge02,"&lt;"&amp;L8,WeightedMinAge02),MAX(CapacityAge02*АбонементНовых*L8,MeanMinAge02)))</f>
        <v/>
      </c>
      <c r="M48" s="4">
        <f>IF(OR(M21=0,2&lt;=КаникулыРоялти),0,M21*IF(РоялтиПоГруппам="Да",MeanMinAge02+M8*SUMIF(ThresholdAge02,"&lt;"&amp;M8,WeightedRevAge02)-SUMIF(ThresholdAge02,"&lt;"&amp;M8,WeightedMinAge02),MAX(CapacityAge02*АбонементНовых*M8,MeanMinAge02)))</f>
        <v/>
      </c>
      <c r="N48" s="4">
        <f>IF(OR(N21=0,2&lt;=КаникулыРоялти),0,N21*IF(РоялтиПоГруппам="Да",MeanMinAge02+N8*SUMIF(ThresholdAge02,"&lt;"&amp;N8,WeightedRevAge02)-SUMIF(ThresholdAge02,"&lt;"&amp;N8,WeightedMinAge02),MAX(CapacityAge02*АбонементНовых*N8,MeanMinAge02)))</f>
        <v/>
      </c>
      <c r="O48" s="4">
        <f>IF(OR(O21=0,2&lt;=КаникулыРоялти),0,O21*IF(РоялтиПоГруппам="Да",MeanMinAge02+O8*SUMIF(ThresholdAge02,"&lt;"&amp;O8,WeightedRevAge02)-SUMIF(ThresholdAge02,"&lt;"&amp;O8,WeightedMinAge02),MAX(CapacityAge02*АбонементНовых*O8,MeanMinAge02)))</f>
        <v/>
      </c>
      <c r="P48" s="4">
        <f>IF(OR(P21=0,2&lt;=КаникулыРоялти),0,P21*IF(РоялтиПоГруппам="Да",MeanMinAge02+P8*SUMIF(ThresholdAge02,"&lt;"&amp;P8,WeightedRevAge02)-SUMIF(ThresholdAge02,"&lt;"&amp;P8,WeightedMinAge02),MAX(CapacityAge02*АбонементНовых*P8,MeanMinAge02)))</f>
        <v/>
      </c>
      <c r="Q48" s="4">
        <f>IF(OR(Q21=0,2&lt;=КаникулыРоялти),0,Q21*IF(РоялтиПоГруппам="Да",MeanMinAge02+Q8*SUMIF(ThresholdAge02,"&lt;"&amp;Q8,WeightedRevAge02)-SUMIF(ThresholdAge02,"&lt;"&amp;Q8,WeightedMinAge02),MAX(CapacityAge02*АбонементНовых*Q8,MeanMinAge02)))</f>
        <v/>
      </c>
      <c r="R48" s="4">
        <f>IF(OR(R21=0,2&lt;=КаникулыРоялти),0,R21*IF(РоялтиПоГруппам="Да",MeanMinAge02+R8*SUMIF(ThresholdAge02,"&lt;"&amp;R8,WeightedRevAge02)-SUMIF(ThresholdAge02,"&lt;"&amp;R8,WeightedMinAge02),MAX(CapacityAge02*АбонементНовых*R8,MeanMinAge02)))</f>
        <v/>
      </c>
      <c r="S48" s="4">
        <f>IF(OR(S21=0,2&lt;=КаникулыРоялти),0,S21*IF(РоялтиПоГруппам="Да",MeanMinAge02+S8*SUMIF(ThresholdAge02,"&lt;"&amp;S8,WeightedRevAge02)-SUMIF(ThresholdAge02,"&lt;"&amp;S8,WeightedMinAge02),MAX(CapacityAge02*АбонементНовых*S8,MeanMinAge02)))</f>
        <v/>
      </c>
      <c r="T48" s="4">
        <f>IF(OR(T21=0,2&lt;=КаникулыРоялти),0,T21*IF(РоялтиПоГруппам="Да",MeanMinAge02+T8*SUMIF(ThresholdAge02,"&lt;"&amp;T8,WeightedRevAge02)-SUMIF(ThresholdAge02,"&lt;"&amp;T8,WeightedMinAge02),MAX(CapacityAge02*АбонементНовых*T8,MeanMinAge02)))</f>
        <v/>
      </c>
      <c r="U48" s="4">
        <f>IF(OR(U21=0,2&lt;=КаникулыРоялти),0,U21*IF(РоялтиПоГруппам="Да",MeanMinAge02+U8*SUMIF(ThresholdAge02,"&lt;"&amp;U8,WeightedRevAge02)-SUMIF(ThresholdAge02,"&lt;"&amp;U8,WeightedMinAge02),MAX(CapacityAge02*АбонементНовых*U8,MeanMinAge02)))</f>
        <v/>
      </c>
      <c r="V48" s="4">
        <f>IF(OR(V21=0,2&lt;=КаникулыРоялти),0,V21*IF(РоялтиПоГруппам="Да",MeanMinAge02+V8*SUMIF(ThresholdAge02,"&lt;"&amp;V8,WeightedRevAge02)-SUMIF(ThresholdAge02,"&lt;"&amp;V8,WeightedMinAge02),MAX(CapacityAge02*АбонементНовых*V8,MeanMinAge02)))</f>
        <v/>
      </c>
      <c r="W48" s="4">
        <f>IF(OR(W21=0,2&lt;=КаникулыРоялти),0,W21*IF(РоялтиПоГруппам="Да",MeanMinAge02+W8*SUMIF(ThresholdAge02,"&lt;"&amp;W8,WeightedRevAge02)-SUMIF(ThresholdAge02,"&lt;"&amp;W8,WeightedMinAge02),MAX(CapacityAge02*АбонементНовых*W8,MeanMinAge02)))</f>
        <v/>
      </c>
      <c r="X48" s="4">
        <f>IF(OR(X21=0,2&lt;=КаникулыРоялти),0,X21*IF(РоялтиПоГруппам="Да",MeanMinAge02+X8*SUMIF(ThresholdAge02,"&lt;"&amp;X8,WeightedRevAge02)-SUMIF(ThresholdAge02,"&lt;"&amp;X8,WeightedMinAge02),MAX(CapacityAge02*АбонементНовых*X8,MeanMinAge02)))</f>
        <v/>
      </c>
      <c r="Y48" s="4">
        <f>IF(OR(Y21=0,2&lt;=КаникулыРоялти),0,Y21*IF(РоялтиПоГруппам="Да",MeanMinAge02+Y8*SUMIF(ThresholdAge02,"&lt;"&amp;Y8,WeightedRevAge02)-SUMIF(ThresholdAge02,"&lt;"&amp;Y8,WeightedMinAge02),MAX(CapacityAge02*АбонементНовых*Y8,MeanMinAge02)))</f>
        <v/>
      </c>
      <c r="Z48" s="4">
        <f>IF(OR(Z21=0,2&lt;=КаникулыРоялти),0,Z21*IF(РоялтиПоГруппам="Да",MeanMinAge02+Z8*SUMIF(ThresholdAge02,"&lt;"&amp;Z8,WeightedRevAge02)-SUMIF(ThresholdAge02,"&lt;"&amp;Z8,WeightedMinAge02),MAX(CapacityAge02*АбонементНовых*Z8,MeanMinAge02)))</f>
        <v/>
      </c>
      <c r="AA48" s="4">
        <f>IF(OR(AA21=0,2&lt;=КаникулыРоялти),0,AA21*IF(РоялтиПоГруппам="Да",MeanMinAge02+AA8*SUMIF(ThresholdAge02,"&lt;"&amp;AA8,WeightedRevAge02)-SUMIF(ThresholdAge02,"&lt;"&amp;AA8,WeightedMinAge02),MAX(CapacityAge02*АбонементНовых*AA8,MeanMinAge02)))</f>
        <v/>
      </c>
      <c r="AB48" s="4">
        <f>IF(OR(AB21=0,2&lt;=КаникулыРоялти),0,AB21*IF(РоялтиПоГруппам="Да",MeanMinAge02+AB8*SUMIF(ThresholdAge02,"&lt;"&amp;AB8,WeightedRevAge02)-SUMIF(ThresholdAge02,"&lt;"&amp;AB8,WeightedMinAge02),MAX(CapacityAge02*АбонементНовых*AB8,MeanMinAge02)))</f>
        <v/>
      </c>
      <c r="AC48" s="4">
        <f>IF(OR(AC21=0,2&lt;=КаникулыРоялти),0,AC21*IF(РоялтиПоГруппам="Да",MeanMinAge02+AC8*SUMIF(ThresholdAge02,"&lt;"&amp;AC8,WeightedRevAge02)-SUMIF(ThresholdAge02,"&lt;"&amp;AC8,WeightedMinAge02),MAX(CapacityAge02*АбонементНовых*AC8,MeanMinAge02)))</f>
        <v/>
      </c>
      <c r="AD48" s="4">
        <f>IF(OR(AD21=0,2&lt;=КаникулыРоялти),0,AD21*IF(РоялтиПоГруппам="Да",MeanMinAge02+AD8*SUMIF(ThresholdAge02,"&lt;"&amp;AD8,WeightedRevAge02)-SUMIF(ThresholdAge02,"&lt;"&amp;AD8,WeightedMinAge02),MAX(CapacityAge02*АбонементНовых*AD8,MeanMinAge02)))</f>
        <v/>
      </c>
      <c r="AE48" s="4">
        <f>IF(OR(AE21=0,2&lt;=КаникулыРоялти),0,AE21*IF(РоялтиПоГруппам="Да",MeanMinAge02+AE8*SUMIF(ThresholdAge02,"&lt;"&amp;AE8,WeightedRevAge02)-SUMIF(ThresholdAge02,"&lt;"&amp;AE8,WeightedMinAge02),MAX(CapacityAge02*АбонементНовых*AE8,MeanMinAge02)))</f>
        <v/>
      </c>
      <c r="AF48" s="4">
        <f>IF(OR(AF21=0,2&lt;=КаникулыРоялти),0,AF21*IF(РоялтиПоГруппам="Да",MeanMinAge02+AF8*SUMIF(ThresholdAge02,"&lt;"&amp;AF8,WeightedRevAge02)-SUMIF(ThresholdAge02,"&lt;"&amp;AF8,WeightedMinAge02),MAX(CapacityAge02*АбонементНовых*AF8,MeanMinAge02)))</f>
        <v/>
      </c>
      <c r="AG48" s="4">
        <f>IF(OR(AG21=0,2&lt;=КаникулыРоялти),0,AG21*IF(РоялтиПоГруппам="Да",MeanMinAge02+AG8*SUMIF(ThresholdAge02,"&lt;"&amp;AG8,WeightedRevAge02)-SUMIF(ThresholdAge02,"&lt;"&amp;AG8,WeightedMinAge02),MAX(CapacityAge02*АбонементНовых*AG8,MeanMinAge02)))</f>
        <v/>
      </c>
      <c r="AH48" s="4">
        <f>IF(OR(AH21=0,2&lt;=КаникулыРоялти),0,AH21*IF(РоялтиПоГруппам="Да",MeanMinAge02+AH8*SUMIF(ThresholdAge02,"&lt;"&amp;AH8,WeightedRevAge02)-SUMIF(ThresholdAge02,"&lt;"&amp;AH8,WeightedMinAge02),MAX(CapacityAge02*АбонементНовых*AH8,MeanMinAge02)))</f>
        <v/>
      </c>
      <c r="AI48" s="4">
        <f>IF(OR(AI21=0,2&lt;=КаникулыРоялти),0,AI21*IF(РоялтиПоГруппам="Да",MeanMinAge02+AI8*SUMIF(ThresholdAge02,"&lt;"&amp;AI8,WeightedRevAge02)-SUMIF(ThresholdAge02,"&lt;"&amp;AI8,WeightedMinAge02),MAX(CapacityAge02*АбонементНовых*AI8,MeanMinAge02)))</f>
        <v/>
      </c>
      <c r="AJ48" s="4">
        <f>IF(OR(AJ21=0,2&lt;=КаникулыРоялти),0,AJ21*IF(РоялтиПоГруппам="Да",MeanMinAge02+AJ8*SUMIF(ThresholdAge02,"&lt;"&amp;AJ8,WeightedRevAge02)-SUMIF(ThresholdAge02,"&lt;"&amp;AJ8,WeightedMinAge02),MAX(CapacityAge02*АбонементНовых*AJ8,MeanMinAge02)))</f>
        <v/>
      </c>
      <c r="AK48" s="4">
        <f>IF(OR(AK21=0,2&lt;=КаникулыРоялти),0,AK21*IF(РоялтиПоГруппам="Да",MeanMinAge02+AK8*SUMIF(ThresholdAge02,"&lt;"&amp;AK8,WeightedRevAge02)-SUMIF(ThresholdAge02,"&lt;"&amp;AK8,WeightedMinAge02),MAX(CapacityAge02*АбонементНовых*AK8,MeanMinAge02)))</f>
        <v/>
      </c>
      <c r="AL48" s="4">
        <f>IF(OR(AL21=0,2&lt;=КаникулыРоялти),0,AL21*IF(РоялтиПоГруппам="Да",MeanMinAge02+AL8*SUMIF(ThresholdAge02,"&lt;"&amp;AL8,WeightedRevAge02)-SUMIF(ThresholdAge02,"&lt;"&amp;AL8,WeightedMinAge02),MAX(CapacityAge02*АбонементНовых*AL8,MeanMinAge02)))</f>
        <v/>
      </c>
      <c r="AM48" s="4">
        <f>IF(OR(AM21=0,2&lt;=КаникулыРоялти),0,AM21*IF(РоялтиПоГруппам="Да",MeanMinAge02+AM8*SUMIF(ThresholdAge02,"&lt;"&amp;AM8,WeightedRevAge02)-SUMIF(ThresholdAge02,"&lt;"&amp;AM8,WeightedMinAge02),MAX(CapacityAge02*АбонементНовых*AM8,MeanMinAge02)))</f>
        <v/>
      </c>
      <c r="AN48" s="4">
        <f>IF(OR(AN21=0,2&lt;=КаникулыРоялти),0,AN21*IF(РоялтиПоГруппам="Да",MeanMinAge02+AN8*SUMIF(ThresholdAge02,"&lt;"&amp;AN8,WeightedRevAge02)-SUMIF(ThresholdAge02,"&lt;"&amp;AN8,WeightedMinAge02),MAX(CapacityAge02*АбонементНовых*AN8,MeanMinAge02)))</f>
        <v/>
      </c>
      <c r="AO48" s="4">
        <f>IF(OR(AO21=0,2&lt;=КаникулыРоялти),0,AO21*IF(РоялтиПоГруппам="Да",MeanMinAge02+AO8*SUMIF(ThresholdAge02,"&lt;"&amp;AO8,WeightedRevAge02)-SUMIF(ThresholdAge02,"&lt;"&amp;AO8,WeightedMinAge02),MAX(CapacityAge02*АбонементНовых*AO8,MeanMinAge02)))</f>
        <v/>
      </c>
      <c r="AP48" s="4">
        <f>IF(OR(AP21=0,2&lt;=КаникулыРоялти),0,AP21*IF(РоялтиПоГруппам="Да",MeanMinAge02+AP8*SUMIF(ThresholdAge02,"&lt;"&amp;AP8,WeightedRevAge02)-SUMIF(ThresholdAge02,"&lt;"&amp;AP8,WeightedMinAge02),MAX(CapacityAge02*АбонементНовых*AP8,MeanMinAge02)))</f>
        <v/>
      </c>
      <c r="AQ48" s="4">
        <f>IF(OR(AQ21=0,2&lt;=КаникулыРоялти),0,AQ21*IF(РоялтиПоГруппам="Да",MeanMinAge02+AQ8*SUMIF(ThresholdAge02,"&lt;"&amp;AQ8,WeightedRevAge02)-SUMIF(ThresholdAge02,"&lt;"&amp;AQ8,WeightedMinAge02),MAX(CapacityAge02*АбонементНовых*AQ8,MeanMinAge02)))</f>
        <v/>
      </c>
      <c r="AR48" s="4">
        <f>IF(OR(AR21=0,2&lt;=КаникулыРоялти),0,AR21*IF(РоялтиПоГруппам="Да",MeanMinAge02+AR8*SUMIF(ThresholdAge02,"&lt;"&amp;AR8,WeightedRevAge02)-SUMIF(ThresholdAge02,"&lt;"&amp;AR8,WeightedMinAge02),MAX(CapacityAge02*АбонементНовых*AR8,MeanMinAge02)))</f>
        <v/>
      </c>
      <c r="AS48" s="4">
        <f>IF(OR(AS21=0,2&lt;=КаникулыРоялти),0,AS21*IF(РоялтиПоГруппам="Да",MeanMinAge02+AS8*SUMIF(ThresholdAge02,"&lt;"&amp;AS8,WeightedRevAge02)-SUMIF(ThresholdAge02,"&lt;"&amp;AS8,WeightedMinAge02),MAX(CapacityAge02*АбонементНовых*AS8,MeanMinAge02)))</f>
        <v/>
      </c>
      <c r="AT48" s="4">
        <f>IF(OR(AT21=0,2&lt;=КаникулыРоялти),0,AT21*IF(РоялтиПоГруппам="Да",MeanMinAge02+AT8*SUMIF(ThresholdAge02,"&lt;"&amp;AT8,WeightedRevAge02)-SUMIF(ThresholdAge02,"&lt;"&amp;AT8,WeightedMinAge02),MAX(CapacityAge02*АбонементНовых*AT8,MeanMinAge02)))</f>
        <v/>
      </c>
      <c r="AU48" s="4">
        <f>IF(OR(AU21=0,2&lt;=КаникулыРоялти),0,AU21*IF(РоялтиПоГруппам="Да",MeanMinAge02+AU8*SUMIF(ThresholdAge02,"&lt;"&amp;AU8,WeightedRevAge02)-SUMIF(ThresholdAge02,"&lt;"&amp;AU8,WeightedMinAge02),MAX(CapacityAge02*АбонементНовых*AU8,MeanMinAge02)))</f>
        <v/>
      </c>
      <c r="AV48" s="4">
        <f>IF(OR(AV21=0,2&lt;=КаникулыРоялти),0,AV21*IF(РоялтиПоГруппам="Да",MeanMinAge02+AV8*SUMIF(ThresholdAge02,"&lt;"&amp;AV8,WeightedRevAge02)-SUMIF(ThresholdAge02,"&lt;"&amp;AV8,WeightedMinAge02),MAX(CapacityAge02*АбонементНовых*AV8,MeanMinAge02)))</f>
        <v/>
      </c>
      <c r="AW48" s="4">
        <f>IF(OR(AW21=0,2&lt;=КаникулыРоялти),0,AW21*IF(РоялтиПоГруппам="Да",MeanMinAge02+AW8*SUMIF(ThresholdAge02,"&lt;"&amp;AW8,WeightedRevAge02)-SUMIF(ThresholdAge02,"&lt;"&amp;AW8,WeightedMinAge02),MAX(CapacityAge02*АбонементНовых*AW8,MeanMinAge02)))</f>
        <v/>
      </c>
      <c r="AX48" s="4">
        <f>IF(OR(AX21=0,2&lt;=КаникулыРоялти),0,AX21*IF(РоялтиПоГруппам="Да",MeanMinAge02+AX8*SUMIF(ThresholdAge02,"&lt;"&amp;AX8,WeightedRevAge02)-SUMIF(ThresholdAge02,"&lt;"&amp;AX8,WeightedMinAge02),MAX(CapacityAge02*АбонементНовых*AX8,MeanMinAge02)))</f>
        <v/>
      </c>
      <c r="AY48" s="4">
        <f>IF(OR(AY21=0,2&lt;=КаникулыРоялти),0,AY21*IF(РоялтиПоГруппам="Да",MeanMinAge02+AY8*SUMIF(ThresholdAge02,"&lt;"&amp;AY8,WeightedRevAge02)-SUMIF(ThresholdAge02,"&lt;"&amp;AY8,WeightedMinAge02),MAX(CapacityAge02*АбонементНовых*AY8,MeanMinAge02)))</f>
        <v/>
      </c>
      <c r="AZ48" s="4">
        <f>IF(OR(AZ21=0,2&lt;=КаникулыРоялти),0,AZ21*IF(РоялтиПоГруппам="Да",MeanMinAge02+AZ8*SUMIF(ThresholdAge02,"&lt;"&amp;AZ8,WeightedRevAge02)-SUMIF(ThresholdAge02,"&lt;"&amp;AZ8,WeightedMinAge02),MAX(CapacityAge02*АбонементНовых*AZ8,MeanMinAge02)))</f>
        <v/>
      </c>
      <c r="BA48" s="4">
        <f>IF(OR(BA21=0,2&lt;=КаникулыРоялти),0,BA21*IF(РоялтиПоГруппам="Да",MeanMinAge02+BA8*SUMIF(ThresholdAge02,"&lt;"&amp;BA8,WeightedRevAge02)-SUMIF(ThresholdAge02,"&lt;"&amp;BA8,WeightedMinAge02),MAX(CapacityAge02*АбонементНовых*BA8,MeanMinAge02)))</f>
        <v/>
      </c>
      <c r="BB48" s="4">
        <f>IF(OR(BB21=0,2&lt;=КаникулыРоялти),0,BB21*IF(РоялтиПоГруппам="Да",MeanMinAge02+BB8*SUMIF(ThresholdAge02,"&lt;"&amp;BB8,WeightedRevAge02)-SUMIF(ThresholdAge02,"&lt;"&amp;BB8,WeightedMinAge02),MAX(CapacityAge02*АбонементНовых*BB8,MeanMinAge02)))</f>
        <v/>
      </c>
      <c r="BC48" s="4">
        <f>IF(OR(BC21=0,2&lt;=КаникулыРоялти),0,BC21*IF(РоялтиПоГруппам="Да",MeanMinAge02+BC8*SUMIF(ThresholdAge02,"&lt;"&amp;BC8,WeightedRevAge02)-SUMIF(ThresholdAge02,"&lt;"&amp;BC8,WeightedMinAge02),MAX(CapacityAge02*АбонементНовых*BC8,MeanMinAge02)))</f>
        <v/>
      </c>
      <c r="BD48" s="4">
        <f>IF(OR(BD21=0,2&lt;=КаникулыРоялти),0,BD21*IF(РоялтиПоГруппам="Да",MeanMinAge02+BD8*SUMIF(ThresholdAge02,"&lt;"&amp;BD8,WeightedRevAge02)-SUMIF(ThresholdAge02,"&lt;"&amp;BD8,WeightedMinAge02),MAX(CapacityAge02*АбонементНовых*BD8,MeanMinAge02)))</f>
        <v/>
      </c>
      <c r="BE48" s="4">
        <f>IF(OR(BE21=0,2&lt;=КаникулыРоялти),0,BE21*IF(РоялтиПоГруппам="Да",MeanMinAge02+BE8*SUMIF(ThresholdAge02,"&lt;"&amp;BE8,WeightedRevAge02)-SUMIF(ThresholdAge02,"&lt;"&amp;BE8,WeightedMinAge02),MAX(CapacityAge02*АбонементНовых*BE8,MeanMinAge02)))</f>
        <v/>
      </c>
      <c r="BF48" s="4">
        <f>IF(OR(BF21=0,2&lt;=КаникулыРоялти),0,BF21*IF(РоялтиПоГруппам="Да",MeanMinAge02+BF8*SUMIF(ThresholdAge02,"&lt;"&amp;BF8,WeightedRevAge02)-SUMIF(ThresholdAge02,"&lt;"&amp;BF8,WeightedMinAge02),MAX(CapacityAge02*АбонементНовых*BF8,MeanMinAge02)))</f>
        <v/>
      </c>
      <c r="BG48" s="4">
        <f>IF(OR(BG21=0,2&lt;=КаникулыРоялти),0,BG21*IF(РоялтиПоГруппам="Да",MeanMinAge02+BG8*SUMIF(ThresholdAge02,"&lt;"&amp;BG8,WeightedRevAge02)-SUMIF(ThresholdAge02,"&lt;"&amp;BG8,WeightedMinAge02),MAX(CapacityAge02*АбонементНовых*BG8,MeanMinAge02)))</f>
        <v/>
      </c>
      <c r="BH48" s="4">
        <f>IF(OR(BH21=0,2&lt;=КаникулыРоялти),0,BH21*IF(РоялтиПоГруппам="Да",MeanMinAge02+BH8*SUMIF(ThresholdAge02,"&lt;"&amp;BH8,WeightedRevAge02)-SUMIF(ThresholdAge02,"&lt;"&amp;BH8,WeightedMinAge02),MAX(CapacityAge02*АбонементНовых*BH8,MeanMinAge02)))</f>
        <v/>
      </c>
      <c r="BI48" s="4">
        <f>IF(OR(BI21=0,2&lt;=КаникулыРоялти),0,BI21*IF(РоялтиПоГруппам="Да",MeanMinAge02+BI8*SUMIF(ThresholdAge02,"&lt;"&amp;BI8,WeightedRevAge02)-SUMIF(ThresholdAge02,"&lt;"&amp;BI8,WeightedMinAge02),MAX(CapacityAge02*АбонементНовых*BI8,MeanMinAge02)))</f>
        <v/>
      </c>
      <c r="BJ48" s="4">
        <f>IF(OR(BJ21=0,2&lt;=КаникулыРоялти),0,BJ21*IF(РоялтиПоГруппам="Да",MeanMinAge02+BJ8*SUMIF(ThresholdAge02,"&lt;"&amp;BJ8,WeightedRevAge02)-SUMIF(ThresholdAge02,"&lt;"&amp;BJ8,WeightedMinAge02),MAX(CapacityAge02*АбонементНовых*BJ8,MeanMinAge02)))</f>
        <v/>
      </c>
      <c r="BK48" s="4">
        <f>IF(OR(BK21=0,2&lt;=КаникулыРоялти),0,BK21*IF(РоялтиПоГруппам="Да",MeanMinAge02+BK8*SUMIF(ThresholdAge02,"&lt;"&amp;BK8,WeightedRevAge02)-SUMIF(ThresholdAge02,"&lt;"&amp;BK8,WeightedMinAge02),MAX(CapacityAge02*АбонементНовых*BK8,MeanMinAge02)))</f>
        <v/>
      </c>
      <c r="BL48" s="4">
        <f>IF(OR(BL21=0,2&lt;=КаникулыРоялти),0,BL21*IF(РоялтиПоГруппам="Да",MeanMinAge02+BL8*SUMIF(ThresholdAge02,"&lt;"&amp;BL8,WeightedRevAge02)-SUMIF(ThresholdAge02,"&lt;"&amp;BL8,WeightedMinAge02),MAX(CapacityAge02*АбонементНовых*BL8,MeanMinAge02)))</f>
        <v/>
      </c>
      <c r="BM48" s="4">
        <f>IF(OR(BM21=0,2&lt;=КаникулыРоялти),0,BM21*IF(РоялтиПоГруппам="Да",MeanMinAge02+BM8*SUMIF(ThresholdAge02,"&lt;"&amp;BM8,WeightedRevAge02)-SUMIF(ThresholdAge02,"&lt;"&amp;BM8,WeightedMinAge02),MAX(CapacityAge02*АбонементНовых*BM8,MeanMinAge02)))</f>
        <v/>
      </c>
      <c r="BN48" s="4">
        <f>IF(OR(BN21=0,2&lt;=КаникулыРоялти),0,BN21*IF(РоялтиПоГруппам="Да",MeanMinAge02+BN8*SUMIF(ThresholdAge02,"&lt;"&amp;BN8,WeightedRevAge02)-SUMIF(ThresholdAge02,"&lt;"&amp;BN8,WeightedMinAge02),MAX(CapacityAge02*АбонементНовых*BN8,MeanMinAge02)))</f>
        <v/>
      </c>
      <c r="BO48" s="4">
        <f>IF(OR(BO21=0,2&lt;=КаникулыРоялти),0,BO21*IF(РоялтиПоГруппам="Да",MeanMinAge02+BO8*SUMIF(ThresholdAge02,"&lt;"&amp;BO8,WeightedRevAge02)-SUMIF(ThresholdAge02,"&lt;"&amp;BO8,WeightedMinAge02),MAX(CapacityAge02*АбонементНовых*BO8,MeanMinAge02)))</f>
        <v/>
      </c>
      <c r="BP48" s="4">
        <f>IF(OR(BP21=0,2&lt;=КаникулыРоялти),0,BP21*IF(РоялтиПоГруппам="Да",MeanMinAge02+BP8*SUMIF(ThresholdAge02,"&lt;"&amp;BP8,WeightedRevAge02)-SUMIF(ThresholdAge02,"&lt;"&amp;BP8,WeightedMinAge02),MAX(CapacityAge02*АбонементНовых*BP8,MeanMinAge02)))</f>
        <v/>
      </c>
      <c r="BQ48" s="4">
        <f>IF(OR(BQ21=0,2&lt;=КаникулыРоялти),0,BQ21*IF(РоялтиПоГруппам="Да",MeanMinAge02+BQ8*SUMIF(ThresholdAge02,"&lt;"&amp;BQ8,WeightedRevAge02)-SUMIF(ThresholdAge02,"&lt;"&amp;BQ8,WeightedMinAge02),MAX(CapacityAge02*АбонементНовых*BQ8,MeanMinAge02)))</f>
        <v/>
      </c>
      <c r="BR48" s="4">
        <f>IF(OR(BR21=0,2&lt;=КаникулыРоялти),0,BR21*IF(РоялтиПоГруппам="Да",MeanMinAge02+BR8*SUMIF(ThresholdAge02,"&lt;"&amp;BR8,WeightedRevAge02)-SUMIF(ThresholdAge02,"&lt;"&amp;BR8,WeightedMinAge02),MAX(CapacityAge02*АбонементНовых*BR8,MeanMinAge02)))</f>
        <v/>
      </c>
      <c r="BS48" s="4">
        <f>IF(OR(BS21=0,2&lt;=КаникулыРоялти),0,BS21*IF(РоялтиПоГруппам="Да",MeanMinAge02+BS8*SUMIF(ThresholdAge02,"&lt;"&amp;BS8,WeightedRevAge02)-SUMIF(ThresholdAge02,"&lt;"&amp;BS8,WeightedMinAge02),MAX(CapacityAge02*АбонементНовых*BS8,MeanMinAge02)))</f>
        <v/>
      </c>
      <c r="BT48" s="4">
        <f>IF(OR(BT21=0,2&lt;=КаникулыРоялти),0,BT21*IF(РоялтиПоГруппам="Да",MeanMinAge02+BT8*SUMIF(ThresholdAge02,"&lt;"&amp;BT8,WeightedRevAge02)-SUMIF(ThresholdAge02,"&lt;"&amp;BT8,WeightedMinAge02),MAX(CapacityAge02*АбонементНовых*BT8,MeanMinAge02)))</f>
        <v/>
      </c>
      <c r="BU48" s="4">
        <f>IF(OR(BU21=0,2&lt;=КаникулыРоялти),0,BU21*IF(РоялтиПоГруппам="Да",MeanMinAge02+BU8*SUMIF(ThresholdAge02,"&lt;"&amp;BU8,WeightedRevAge02)-SUMIF(ThresholdAge02,"&lt;"&amp;BU8,WeightedMinAge02),MAX(CapacityAge02*АбонементНовых*BU8,MeanMinAge02)))</f>
        <v/>
      </c>
      <c r="BV48" s="4">
        <f>IF(OR(BV21=0,2&lt;=КаникулыРоялти),0,BV21*IF(РоялтиПоГруппам="Да",MeanMinAge02+BV8*SUMIF(ThresholdAge02,"&lt;"&amp;BV8,WeightedRevAge02)-SUMIF(ThresholdAge02,"&lt;"&amp;BV8,WeightedMinAge02),MAX(CapacityAge02*АбонементНовых*BV8,MeanMinAge02)))</f>
        <v/>
      </c>
      <c r="BW48" s="4">
        <f>IF(OR(BW21=0,2&lt;=КаникулыРоялти),0,BW21*IF(РоялтиПоГруппам="Да",MeanMinAge02+BW8*SUMIF(ThresholdAge02,"&lt;"&amp;BW8,WeightedRevAge02)-SUMIF(ThresholdAge02,"&lt;"&amp;BW8,WeightedMinAge02),MAX(CapacityAge02*АбонементНовых*BW8,MeanMinAge02)))</f>
        <v/>
      </c>
      <c r="BX48" s="4">
        <f>IF(OR(BX21=0,2&lt;=КаникулыРоялти),0,BX21*IF(РоялтиПоГруппам="Да",MeanMinAge02+BX8*SUMIF(ThresholdAge02,"&lt;"&amp;BX8,WeightedRevAge02)-SUMIF(ThresholdAge02,"&lt;"&amp;BX8,WeightedMinAge02),MAX(CapacityAge02*АбонементНовых*BX8,MeanMinAge02)))</f>
        <v/>
      </c>
      <c r="BY48" s="4">
        <f>IF(OR(BY21=0,2&lt;=КаникулыРоялти),0,BY21*IF(РоялтиПоГруппам="Да",MeanMinAge02+BY8*SUMIF(ThresholdAge02,"&lt;"&amp;BY8,WeightedRevAge02)-SUMIF(ThresholdAge02,"&lt;"&amp;BY8,WeightedMinAge02),MAX(CapacityAge02*АбонементНовых*BY8,MeanMinAge02)))</f>
        <v/>
      </c>
    </row>
    <row r="49">
      <c r="B49" t="inlineStr">
        <is>
          <t>3 мес.</t>
        </is>
      </c>
      <c r="C49" t="inlineStr">
        <is>
          <t>₽</t>
        </is>
      </c>
      <c r="D49" s="117" t="inlineStr"/>
      <c r="E49" s="119">
        <f>SUM(L49:W49)</f>
        <v/>
      </c>
      <c r="F49" s="119">
        <f>SUM(X49:AI49)</f>
        <v/>
      </c>
      <c r="G49" s="119">
        <f>SUM(AJ49:AU49)</f>
        <v/>
      </c>
      <c r="H49" s="119">
        <f>SUM(AV49:BG49)</f>
        <v/>
      </c>
      <c r="I49" s="119">
        <f>SUM(BH49:BS49)</f>
        <v/>
      </c>
      <c r="J49" s="5">
        <f>SUM(L49:BS49)</f>
        <v/>
      </c>
      <c r="L49" s="4">
        <f>IF(OR(L22=0,3&lt;=КаникулыРоялти),0,L22*IF(РоялтиПоГруппам="Да",MeanMinAge03+L8*SUMIF(ThresholdAge03,"&lt;"&amp;L8,WeightedRevAge03)-SUMIF(ThresholdAge03,"&lt;"&amp;L8,WeightedMinAge03),MAX(CapacityAge03*АбонементНовых*L8,MeanMinAge03)))</f>
        <v/>
      </c>
      <c r="M49" s="4">
        <f>IF(OR(M22=0,3&lt;=КаникулыРоялти),0,M22*IF(РоялтиПоГруппам="Да",MeanMinAge03+M8*SUMIF(ThresholdAge03,"&lt;"&amp;M8,WeightedRevAge03)-SUMIF(ThresholdAge03,"&lt;"&amp;M8,WeightedMinAge03),MAX(CapacityAge03*АбонементНовых*M8,MeanMinAge03)))</f>
        <v/>
      </c>
      <c r="N49" s="4">
        <f>IF(OR(N22=0,3&lt;=КаникулыРоялти),0,N22*IF(РоялтиПоГруппам="Да",MeanMinAge03+N8*SUMIF(ThresholdAge03,"&lt;"&amp;N8,WeightedRevAge03)-SUMIF(ThresholdAge03,"&lt;"&amp;N8,WeightedMinAge03),MAX(CapacityAge03*АбонементНовых*N8,MeanMinAge03)))</f>
        <v/>
      </c>
      <c r="O49" s="4">
        <f>IF(OR(O22=0,3&lt;=КаникулыРоялти),0,O22*IF(РоялтиПоГруппам="Да",MeanMinAge03+O8*SUMIF(ThresholdAge03,"&lt;"&amp;O8,WeightedRevAge03)-SUMIF(ThresholdAge03,"&lt;"&amp;O8,WeightedMinAge03),MAX(CapacityAge03*АбонементНовых*O8,MeanMinAge03)))</f>
        <v/>
      </c>
      <c r="P49" s="4">
        <f>IF(OR(P22=0,3&lt;=КаникулыРоялти),0,P22*IF(РоялтиПоГруппам="Да",MeanMinAge03+P8*SUMIF(ThresholdAge03,"&lt;"&amp;P8,WeightedRevAge03)-SUMIF(ThresholdAge03,"&lt;"&amp;P8,WeightedMinAge03),MAX(CapacityAge03*АбонементНовых*P8,MeanMinAge03)))</f>
        <v/>
      </c>
      <c r="Q49" s="4">
        <f>IF(OR(Q22=0,3&lt;=КаникулыРоялти),0,Q22*IF(РоялтиПоГруппам="Да",MeanMinAge03+Q8*SUMIF(ThresholdAge03,"&lt;"&amp;Q8,WeightedRevAge03)-SUMIF(ThresholdAge03,"&lt;"&amp;Q8,WeightedMinAge03),MAX(CapacityAge03*АбонементНовых*Q8,MeanMinAge03)))</f>
        <v/>
      </c>
      <c r="R49" s="4">
        <f>IF(OR(R22=0,3&lt;=КаникулыРоялти),0,R22*IF(РоялтиПоГруппам="Да",MeanMinAge03+R8*SUMIF(ThresholdAge03,"&lt;"&amp;R8,WeightedRevAge03)-SUMIF(ThresholdAge03,"&lt;"&amp;R8,WeightedMinAge03),MAX(CapacityAge03*АбонементНовых*R8,MeanMinAge03)))</f>
        <v/>
      </c>
      <c r="S49" s="4">
        <f>IF(OR(S22=0,3&lt;=КаникулыРоялти),0,S22*IF(РоялтиПоГруппам="Да",MeanMinAge03+S8*SUMIF(ThresholdAge03,"&lt;"&amp;S8,WeightedRevAge03)-SUMIF(ThresholdAge03,"&lt;"&amp;S8,WeightedMinAge03),MAX(CapacityAge03*АбонементНовых*S8,MeanMinAge03)))</f>
        <v/>
      </c>
      <c r="T49" s="4">
        <f>IF(OR(T22=0,3&lt;=КаникулыРоялти),0,T22*IF(РоялтиПоГруппам="Да",MeanMinAge03+T8*SUMIF(ThresholdAge03,"&lt;"&amp;T8,WeightedRevAge03)-SUMIF(ThresholdAge03,"&lt;"&amp;T8,WeightedMinAge03),MAX(CapacityAge03*АбонементНовых*T8,MeanMinAge03)))</f>
        <v/>
      </c>
      <c r="U49" s="4">
        <f>IF(OR(U22=0,3&lt;=КаникулыРоялти),0,U22*IF(РоялтиПоГруппам="Да",MeanMinAge03+U8*SUMIF(ThresholdAge03,"&lt;"&amp;U8,WeightedRevAge03)-SUMIF(ThresholdAge03,"&lt;"&amp;U8,WeightedMinAge03),MAX(CapacityAge03*АбонементНовых*U8,MeanMinAge03)))</f>
        <v/>
      </c>
      <c r="V49" s="4">
        <f>IF(OR(V22=0,3&lt;=КаникулыРоялти),0,V22*IF(РоялтиПоГруппам="Да",MeanMinAge03+V8*SUMIF(ThresholdAge03,"&lt;"&amp;V8,WeightedRevAge03)-SUMIF(ThresholdAge03,"&lt;"&amp;V8,WeightedMinAge03),MAX(CapacityAge03*АбонементНовых*V8,MeanMinAge03)))</f>
        <v/>
      </c>
      <c r="W49" s="4">
        <f>IF(OR(W22=0,3&lt;=КаникулыРоялти),0,W22*IF(РоялтиПоГруппам="Да",MeanMinAge03+W8*SUMIF(ThresholdAge03,"&lt;"&amp;W8,WeightedRevAge03)-SUMIF(ThresholdAge03,"&lt;"&amp;W8,WeightedMinAge03),MAX(CapacityAge03*АбонементНовых*W8,MeanMinAge03)))</f>
        <v/>
      </c>
      <c r="X49" s="4">
        <f>IF(OR(X22=0,3&lt;=КаникулыРоялти),0,X22*IF(РоялтиПоГруппам="Да",MeanMinAge03+X8*SUMIF(ThresholdAge03,"&lt;"&amp;X8,WeightedRevAge03)-SUMIF(ThresholdAge03,"&lt;"&amp;X8,WeightedMinAge03),MAX(CapacityAge03*АбонементНовых*X8,MeanMinAge03)))</f>
        <v/>
      </c>
      <c r="Y49" s="4">
        <f>IF(OR(Y22=0,3&lt;=КаникулыРоялти),0,Y22*IF(РоялтиПоГруппам="Да",MeanMinAge03+Y8*SUMIF(ThresholdAge03,"&lt;"&amp;Y8,WeightedRevAge03)-SUMIF(ThresholdAge03,"&lt;"&amp;Y8,WeightedMinAge03),MAX(CapacityAge03*АбонементНовых*Y8,MeanMinAge03)))</f>
        <v/>
      </c>
      <c r="Z49" s="4">
        <f>IF(OR(Z22=0,3&lt;=КаникулыРоялти),0,Z22*IF(РоялтиПоГруппам="Да",MeanMinAge03+Z8*SUMIF(ThresholdAge03,"&lt;"&amp;Z8,WeightedRevAge03)-SUMIF(ThresholdAge03,"&lt;"&amp;Z8,WeightedMinAge03),MAX(CapacityAge03*АбонементНовых*Z8,MeanMinAge03)))</f>
        <v/>
      </c>
      <c r="AA49" s="4">
        <f>IF(OR(AA22=0,3&lt;=КаникулыРоялти),0,AA22*IF(РоялтиПоГруппам="Да",MeanMinAge03+AA8*SUMIF(ThresholdAge03,"&lt;"&amp;AA8,WeightedRevAge03)-SUMIF(ThresholdAge03,"&lt;"&amp;AA8,WeightedMinAge03),MAX(CapacityAge03*АбонементНовых*AA8,MeanMinAge03)))</f>
        <v/>
      </c>
      <c r="AB49" s="4">
        <f>IF(OR(AB22=0,3&lt;=КаникулыРоялти),0,AB22*IF(РоялтиПоГруппам="Да",MeanMinAge03+AB8*SUMIF(ThresholdAge03,"&lt;"&amp;AB8,WeightedRevAge03)-SUMIF(ThresholdAge03,"&lt;"&amp;AB8,WeightedMinAge03),MAX(CapacityAge03*АбонементНовых*AB8,MeanMinAge03)))</f>
        <v/>
      </c>
      <c r="AC49" s="4">
        <f>IF(OR(AC22=0,3&lt;=КаникулыРоялти),0,AC22*IF(РоялтиПоГруппам="Да",MeanMinAge03+AC8*SUMIF(ThresholdAge03,"&lt;"&amp;AC8,WeightedRevAge03)-SUMIF(ThresholdAge03,"&lt;"&amp;AC8,WeightedMinAge03),MAX(CapacityAge03*АбонементНовых*AC8,MeanMinAge03)))</f>
        <v/>
      </c>
      <c r="AD49" s="4">
        <f>IF(OR(AD22=0,3&lt;=КаникулыРоялти),0,AD22*IF(РоялтиПоГруппам="Да",MeanMinAge03+AD8*SUMIF(ThresholdAge03,"&lt;"&amp;AD8,WeightedRevAge03)-SUMIF(ThresholdAge03,"&lt;"&amp;AD8,WeightedMinAge03),MAX(CapacityAge03*АбонементНовых*AD8,MeanMinAge03)))</f>
        <v/>
      </c>
      <c r="AE49" s="4">
        <f>IF(OR(AE22=0,3&lt;=КаникулыРоялти),0,AE22*IF(РоялтиПоГруппам="Да",MeanMinAge03+AE8*SUMIF(ThresholdAge03,"&lt;"&amp;AE8,WeightedRevAge03)-SUMIF(ThresholdAge03,"&lt;"&amp;AE8,WeightedMinAge03),MAX(CapacityAge03*АбонементНовых*AE8,MeanMinAge03)))</f>
        <v/>
      </c>
      <c r="AF49" s="4">
        <f>IF(OR(AF22=0,3&lt;=КаникулыРоялти),0,AF22*IF(РоялтиПоГруппам="Да",MeanMinAge03+AF8*SUMIF(ThresholdAge03,"&lt;"&amp;AF8,WeightedRevAge03)-SUMIF(ThresholdAge03,"&lt;"&amp;AF8,WeightedMinAge03),MAX(CapacityAge03*АбонементНовых*AF8,MeanMinAge03)))</f>
        <v/>
      </c>
      <c r="AG49" s="4">
        <f>IF(OR(AG22=0,3&lt;=КаникулыРоялти),0,AG22*IF(РоялтиПоГруппам="Да",MeanMinAge03+AG8*SUMIF(ThresholdAge03,"&lt;"&amp;AG8,WeightedRevAge03)-SUMIF(ThresholdAge03,"&lt;"&amp;AG8,WeightedMinAge03),MAX(CapacityAge03*АбонементНовых*AG8,MeanMinAge03)))</f>
        <v/>
      </c>
      <c r="AH49" s="4">
        <f>IF(OR(AH22=0,3&lt;=КаникулыРоялти),0,AH22*IF(РоялтиПоГруппам="Да",MeanMinAge03+AH8*SUMIF(ThresholdAge03,"&lt;"&amp;AH8,WeightedRevAge03)-SUMIF(ThresholdAge03,"&lt;"&amp;AH8,WeightedMinAge03),MAX(CapacityAge03*АбонементНовых*AH8,MeanMinAge03)))</f>
        <v/>
      </c>
      <c r="AI49" s="4">
        <f>IF(OR(AI22=0,3&lt;=КаникулыРоялти),0,AI22*IF(РоялтиПоГруппам="Да",MeanMinAge03+AI8*SUMIF(ThresholdAge03,"&lt;"&amp;AI8,WeightedRevAge03)-SUMIF(ThresholdAge03,"&lt;"&amp;AI8,WeightedMinAge03),MAX(CapacityAge03*АбонементНовых*AI8,MeanMinAge03)))</f>
        <v/>
      </c>
      <c r="AJ49" s="4">
        <f>IF(OR(AJ22=0,3&lt;=КаникулыРоялти),0,AJ22*IF(РоялтиПоГруппам="Да",MeanMinAge03+AJ8*SUMIF(ThresholdAge03,"&lt;"&amp;AJ8,WeightedRevAge03)-SUMIF(ThresholdAge03,"&lt;"&amp;AJ8,WeightedMinAge03),MAX(CapacityAge03*АбонементНовых*AJ8,MeanMinAge03)))</f>
        <v/>
      </c>
      <c r="AK49" s="4">
        <f>IF(OR(AK22=0,3&lt;=КаникулыРоялти),0,AK22*IF(РоялтиПоГруппам="Да",MeanMinAge03+AK8*SUMIF(ThresholdAge03,"&lt;"&amp;AK8,WeightedRevAge03)-SUMIF(ThresholdAge03,"&lt;"&amp;AK8,WeightedMinAge03),MAX(CapacityAge03*АбонементНовых*AK8,MeanMinAge03)))</f>
        <v/>
      </c>
      <c r="AL49" s="4">
        <f>IF(OR(AL22=0,3&lt;=КаникулыРоялти),0,AL22*IF(РоялтиПоГруппам="Да",MeanMinAge03+AL8*SUMIF(ThresholdAge03,"&lt;"&amp;AL8,WeightedRevAge03)-SUMIF(ThresholdAge03,"&lt;"&amp;AL8,WeightedMinAge03),MAX(CapacityAge03*АбонементНовых*AL8,MeanMinAge03)))</f>
        <v/>
      </c>
      <c r="AM49" s="4">
        <f>IF(OR(AM22=0,3&lt;=КаникулыРоялти),0,AM22*IF(РоялтиПоГруппам="Да",MeanMinAge03+AM8*SUMIF(ThresholdAge03,"&lt;"&amp;AM8,WeightedRevAge03)-SUMIF(ThresholdAge03,"&lt;"&amp;AM8,WeightedMinAge03),MAX(CapacityAge03*АбонементНовых*AM8,MeanMinAge03)))</f>
        <v/>
      </c>
      <c r="AN49" s="4">
        <f>IF(OR(AN22=0,3&lt;=КаникулыРоялти),0,AN22*IF(РоялтиПоГруппам="Да",MeanMinAge03+AN8*SUMIF(ThresholdAge03,"&lt;"&amp;AN8,WeightedRevAge03)-SUMIF(ThresholdAge03,"&lt;"&amp;AN8,WeightedMinAge03),MAX(CapacityAge03*АбонементНовых*AN8,MeanMinAge03)))</f>
        <v/>
      </c>
      <c r="AO49" s="4">
        <f>IF(OR(AO22=0,3&lt;=КаникулыРоялти),0,AO22*IF(РоялтиПоГруппам="Да",MeanMinAge03+AO8*SUMIF(ThresholdAge03,"&lt;"&amp;AO8,WeightedRevAge03)-SUMIF(ThresholdAge03,"&lt;"&amp;AO8,WeightedMinAge03),MAX(CapacityAge03*АбонементНовых*AO8,MeanMinAge03)))</f>
        <v/>
      </c>
      <c r="AP49" s="4">
        <f>IF(OR(AP22=0,3&lt;=КаникулыРоялти),0,AP22*IF(РоялтиПоГруппам="Да",MeanMinAge03+AP8*SUMIF(ThresholdAge03,"&lt;"&amp;AP8,WeightedRevAge03)-SUMIF(ThresholdAge03,"&lt;"&amp;AP8,WeightedMinAge03),MAX(CapacityAge03*АбонементНовых*AP8,MeanMinAge03)))</f>
        <v/>
      </c>
      <c r="AQ49" s="4">
        <f>IF(OR(AQ22=0,3&lt;=КаникулыРоялти),0,AQ22*IF(РоялтиПоГруппам="Да",MeanMinAge03+AQ8*SUMIF(ThresholdAge03,"&lt;"&amp;AQ8,WeightedRevAge03)-SUMIF(ThresholdAge03,"&lt;"&amp;AQ8,WeightedMinAge03),MAX(CapacityAge03*АбонементНовых*AQ8,MeanMinAge03)))</f>
        <v/>
      </c>
      <c r="AR49" s="4">
        <f>IF(OR(AR22=0,3&lt;=КаникулыРоялти),0,AR22*IF(РоялтиПоГруппам="Да",MeanMinAge03+AR8*SUMIF(ThresholdAge03,"&lt;"&amp;AR8,WeightedRevAge03)-SUMIF(ThresholdAge03,"&lt;"&amp;AR8,WeightedMinAge03),MAX(CapacityAge03*АбонементНовых*AR8,MeanMinAge03)))</f>
        <v/>
      </c>
      <c r="AS49" s="4">
        <f>IF(OR(AS22=0,3&lt;=КаникулыРоялти),0,AS22*IF(РоялтиПоГруппам="Да",MeanMinAge03+AS8*SUMIF(ThresholdAge03,"&lt;"&amp;AS8,WeightedRevAge03)-SUMIF(ThresholdAge03,"&lt;"&amp;AS8,WeightedMinAge03),MAX(CapacityAge03*АбонементНовых*AS8,MeanMinAge03)))</f>
        <v/>
      </c>
      <c r="AT49" s="4">
        <f>IF(OR(AT22=0,3&lt;=КаникулыРоялти),0,AT22*IF(РоялтиПоГруппам="Да",MeanMinAge03+AT8*SUMIF(ThresholdAge03,"&lt;"&amp;AT8,WeightedRevAge03)-SUMIF(ThresholdAge03,"&lt;"&amp;AT8,WeightedMinAge03),MAX(CapacityAge03*АбонементНовых*AT8,MeanMinAge03)))</f>
        <v/>
      </c>
      <c r="AU49" s="4">
        <f>IF(OR(AU22=0,3&lt;=КаникулыРоялти),0,AU22*IF(РоялтиПоГруппам="Да",MeanMinAge03+AU8*SUMIF(ThresholdAge03,"&lt;"&amp;AU8,WeightedRevAge03)-SUMIF(ThresholdAge03,"&lt;"&amp;AU8,WeightedMinAge03),MAX(CapacityAge03*АбонементНовых*AU8,MeanMinAge03)))</f>
        <v/>
      </c>
      <c r="AV49" s="4">
        <f>IF(OR(AV22=0,3&lt;=КаникулыРоялти),0,AV22*IF(РоялтиПоГруппам="Да",MeanMinAge03+AV8*SUMIF(ThresholdAge03,"&lt;"&amp;AV8,WeightedRevAge03)-SUMIF(ThresholdAge03,"&lt;"&amp;AV8,WeightedMinAge03),MAX(CapacityAge03*АбонементНовых*AV8,MeanMinAge03)))</f>
        <v/>
      </c>
      <c r="AW49" s="4">
        <f>IF(OR(AW22=0,3&lt;=КаникулыРоялти),0,AW22*IF(РоялтиПоГруппам="Да",MeanMinAge03+AW8*SUMIF(ThresholdAge03,"&lt;"&amp;AW8,WeightedRevAge03)-SUMIF(ThresholdAge03,"&lt;"&amp;AW8,WeightedMinAge03),MAX(CapacityAge03*АбонементНовых*AW8,MeanMinAge03)))</f>
        <v/>
      </c>
      <c r="AX49" s="4">
        <f>IF(OR(AX22=0,3&lt;=КаникулыРоялти),0,AX22*IF(РоялтиПоГруппам="Да",MeanMinAge03+AX8*SUMIF(ThresholdAge03,"&lt;"&amp;AX8,WeightedRevAge03)-SUMIF(ThresholdAge03,"&lt;"&amp;AX8,WeightedMinAge03),MAX(CapacityAge03*АбонементНовых*AX8,MeanMinAge03)))</f>
        <v/>
      </c>
      <c r="AY49" s="4">
        <f>IF(OR(AY22=0,3&lt;=КаникулыРоялти),0,AY22*IF(РоялтиПоГруппам="Да",MeanMinAge03+AY8*SUMIF(ThresholdAge03,"&lt;"&amp;AY8,WeightedRevAge03)-SUMIF(ThresholdAge03,"&lt;"&amp;AY8,WeightedMinAge03),MAX(CapacityAge03*АбонементНовых*AY8,MeanMinAge03)))</f>
        <v/>
      </c>
      <c r="AZ49" s="4">
        <f>IF(OR(AZ22=0,3&lt;=КаникулыРоялти),0,AZ22*IF(РоялтиПоГруппам="Да",MeanMinAge03+AZ8*SUMIF(ThresholdAge03,"&lt;"&amp;AZ8,WeightedRevAge03)-SUMIF(ThresholdAge03,"&lt;"&amp;AZ8,WeightedMinAge03),MAX(CapacityAge03*АбонементНовых*AZ8,MeanMinAge03)))</f>
        <v/>
      </c>
      <c r="BA49" s="4">
        <f>IF(OR(BA22=0,3&lt;=КаникулыРоялти),0,BA22*IF(РоялтиПоГруппам="Да",MeanMinAge03+BA8*SUMIF(ThresholdAge03,"&lt;"&amp;BA8,WeightedRevAge03)-SUMIF(ThresholdAge03,"&lt;"&amp;BA8,WeightedMinAge03),MAX(CapacityAge03*АбонементНовых*BA8,MeanMinAge03)))</f>
        <v/>
      </c>
      <c r="BB49" s="4">
        <f>IF(OR(BB22=0,3&lt;=КаникулыРоялти),0,BB22*IF(РоялтиПоГруппам="Да",MeanMinAge03+BB8*SUMIF(ThresholdAge03,"&lt;"&amp;BB8,WeightedRevAge03)-SUMIF(ThresholdAge03,"&lt;"&amp;BB8,WeightedMinAge03),MAX(CapacityAge03*АбонементНовых*BB8,MeanMinAge03)))</f>
        <v/>
      </c>
      <c r="BC49" s="4">
        <f>IF(OR(BC22=0,3&lt;=КаникулыРоялти),0,BC22*IF(РоялтиПоГруппам="Да",MeanMinAge03+BC8*SUMIF(ThresholdAge03,"&lt;"&amp;BC8,WeightedRevAge03)-SUMIF(ThresholdAge03,"&lt;"&amp;BC8,WeightedMinAge03),MAX(CapacityAge03*АбонементНовых*BC8,MeanMinAge03)))</f>
        <v/>
      </c>
      <c r="BD49" s="4">
        <f>IF(OR(BD22=0,3&lt;=КаникулыРоялти),0,BD22*IF(РоялтиПоГруппам="Да",MeanMinAge03+BD8*SUMIF(ThresholdAge03,"&lt;"&amp;BD8,WeightedRevAge03)-SUMIF(ThresholdAge03,"&lt;"&amp;BD8,WeightedMinAge03),MAX(CapacityAge03*АбонементНовых*BD8,MeanMinAge03)))</f>
        <v/>
      </c>
      <c r="BE49" s="4">
        <f>IF(OR(BE22=0,3&lt;=КаникулыРоялти),0,BE22*IF(РоялтиПоГруппам="Да",MeanMinAge03+BE8*SUMIF(ThresholdAge03,"&lt;"&amp;BE8,WeightedRevAge03)-SUMIF(ThresholdAge03,"&lt;"&amp;BE8,WeightedMinAge03),MAX(CapacityAge03*АбонементНовых*BE8,MeanMinAge03)))</f>
        <v/>
      </c>
      <c r="BF49" s="4">
        <f>IF(OR(BF22=0,3&lt;=КаникулыРоялти),0,BF22*IF(РоялтиПоГруппам="Да",MeanMinAge03+BF8*SUMIF(ThresholdAge03,"&lt;"&amp;BF8,WeightedRevAge03)-SUMIF(ThresholdAge03,"&lt;"&amp;BF8,WeightedMinAge03),MAX(CapacityAge03*АбонементНовых*BF8,MeanMinAge03)))</f>
        <v/>
      </c>
      <c r="BG49" s="4">
        <f>IF(OR(BG22=0,3&lt;=КаникулыРоялти),0,BG22*IF(РоялтиПоГруппам="Да",MeanMinAge03+BG8*SUMIF(ThresholdAge03,"&lt;"&amp;BG8,WeightedRevAge03)-SUMIF(ThresholdAge03,"&lt;"&amp;BG8,WeightedMinAge03),MAX(CapacityAge03*АбонементНовых*BG8,MeanMinAge03)))</f>
        <v/>
      </c>
      <c r="BH49" s="4">
        <f>IF(OR(BH22=0,3&lt;=КаникулыРоялти),0,BH22*IF(РоялтиПоГруппам="Да",MeanMinAge03+BH8*SUMIF(ThresholdAge03,"&lt;"&amp;BH8,WeightedRevAge03)-SUMIF(ThresholdAge03,"&lt;"&amp;BH8,WeightedMinAge03),MAX(CapacityAge03*АбонементНовых*BH8,MeanMinAge03)))</f>
        <v/>
      </c>
      <c r="BI49" s="4">
        <f>IF(OR(BI22=0,3&lt;=КаникулыРоялти),0,BI22*IF(РоялтиПоГруппам="Да",MeanMinAge03+BI8*SUMIF(ThresholdAge03,"&lt;"&amp;BI8,WeightedRevAge03)-SUMIF(ThresholdAge03,"&lt;"&amp;BI8,WeightedMinAge03),MAX(CapacityAge03*АбонементНовых*BI8,MeanMinAge03)))</f>
        <v/>
      </c>
      <c r="BJ49" s="4">
        <f>IF(OR(BJ22=0,3&lt;=КаникулыРоялти),0,BJ22*IF(РоялтиПоГруппам="Да",MeanMinAge03+BJ8*SUMIF(ThresholdAge03,"&lt;"&amp;BJ8,WeightedRevAge03)-SUMIF(ThresholdAge03,"&lt;"&amp;BJ8,WeightedMinAge03),MAX(CapacityAge03*АбонементНовых*BJ8,MeanMinAge03)))</f>
        <v/>
      </c>
      <c r="BK49" s="4">
        <f>IF(OR(BK22=0,3&lt;=КаникулыРоялти),0,BK22*IF(РоялтиПоГруппам="Да",MeanMinAge03+BK8*SUMIF(ThresholdAge03,"&lt;"&amp;BK8,WeightedRevAge03)-SUMIF(ThresholdAge03,"&lt;"&amp;BK8,WeightedMinAge03),MAX(CapacityAge03*АбонементНовых*BK8,MeanMinAge03)))</f>
        <v/>
      </c>
      <c r="BL49" s="4">
        <f>IF(OR(BL22=0,3&lt;=КаникулыРоялти),0,BL22*IF(РоялтиПоГруппам="Да",MeanMinAge03+BL8*SUMIF(ThresholdAge03,"&lt;"&amp;BL8,WeightedRevAge03)-SUMIF(ThresholdAge03,"&lt;"&amp;BL8,WeightedMinAge03),MAX(CapacityAge03*АбонементНовых*BL8,MeanMinAge03)))</f>
        <v/>
      </c>
      <c r="BM49" s="4">
        <f>IF(OR(BM22=0,3&lt;=КаникулыРоялти),0,BM22*IF(РоялтиПоГруппам="Да",MeanMinAge03+BM8*SUMIF(ThresholdAge03,"&lt;"&amp;BM8,WeightedRevAge03)-SUMIF(ThresholdAge03,"&lt;"&amp;BM8,WeightedMinAge03),MAX(CapacityAge03*АбонементНовых*BM8,MeanMinAge03)))</f>
        <v/>
      </c>
      <c r="BN49" s="4">
        <f>IF(OR(BN22=0,3&lt;=КаникулыРоялти),0,BN22*IF(РоялтиПоГруппам="Да",MeanMinAge03+BN8*SUMIF(ThresholdAge03,"&lt;"&amp;BN8,WeightedRevAge03)-SUMIF(ThresholdAge03,"&lt;"&amp;BN8,WeightedMinAge03),MAX(CapacityAge03*АбонементНовых*BN8,MeanMinAge03)))</f>
        <v/>
      </c>
      <c r="BO49" s="4">
        <f>IF(OR(BO22=0,3&lt;=КаникулыРоялти),0,BO22*IF(РоялтиПоГруппам="Да",MeanMinAge03+BO8*SUMIF(ThresholdAge03,"&lt;"&amp;BO8,WeightedRevAge03)-SUMIF(ThresholdAge03,"&lt;"&amp;BO8,WeightedMinAge03),MAX(CapacityAge03*АбонементНовых*BO8,MeanMinAge03)))</f>
        <v/>
      </c>
      <c r="BP49" s="4">
        <f>IF(OR(BP22=0,3&lt;=КаникулыРоялти),0,BP22*IF(РоялтиПоГруппам="Да",MeanMinAge03+BP8*SUMIF(ThresholdAge03,"&lt;"&amp;BP8,WeightedRevAge03)-SUMIF(ThresholdAge03,"&lt;"&amp;BP8,WeightedMinAge03),MAX(CapacityAge03*АбонементНовых*BP8,MeanMinAge03)))</f>
        <v/>
      </c>
      <c r="BQ49" s="4">
        <f>IF(OR(BQ22=0,3&lt;=КаникулыРоялти),0,BQ22*IF(РоялтиПоГруппам="Да",MeanMinAge03+BQ8*SUMIF(ThresholdAge03,"&lt;"&amp;BQ8,WeightedRevAge03)-SUMIF(ThresholdAge03,"&lt;"&amp;BQ8,WeightedMinAge03),MAX(CapacityAge03*АбонементНовых*BQ8,MeanMinAge03)))</f>
        <v/>
      </c>
      <c r="BR49" s="4">
        <f>IF(OR(BR22=0,3&lt;=КаникулыРоялти),0,BR22*IF(РоялтиПоГруппам="Да",MeanMinAge03+BR8*SUMIF(ThresholdAge03,"&lt;"&amp;BR8,WeightedRevAge03)-SUMIF(ThresholdAge03,"&lt;"&amp;BR8,WeightedMinAge03),MAX(CapacityAge03*АбонементНовых*BR8,MeanMinAge03)))</f>
        <v/>
      </c>
      <c r="BS49" s="4">
        <f>IF(OR(BS22=0,3&lt;=КаникулыРоялти),0,BS22*IF(РоялтиПоГруппам="Да",MeanMinAge03+BS8*SUMIF(ThresholdAge03,"&lt;"&amp;BS8,WeightedRevAge03)-SUMIF(ThresholdAge03,"&lt;"&amp;BS8,WeightedMinAge03),MAX(CapacityAge03*АбонементНовых*BS8,MeanMinAge03)))</f>
        <v/>
      </c>
      <c r="BT49" s="4">
        <f>IF(OR(BT22=0,3&lt;=КаникулыРоялти),0,BT22*IF(РоялтиПоГруппам="Да",MeanMinAge03+BT8*SUMIF(ThresholdAge03,"&lt;"&amp;BT8,WeightedRevAge03)-SUMIF(ThresholdAge03,"&lt;"&amp;BT8,WeightedMinAge03),MAX(CapacityAge03*АбонементНовых*BT8,MeanMinAge03)))</f>
        <v/>
      </c>
      <c r="BU49" s="4">
        <f>IF(OR(BU22=0,3&lt;=КаникулыРоялти),0,BU22*IF(РоялтиПоГруппам="Да",MeanMinAge03+BU8*SUMIF(ThresholdAge03,"&lt;"&amp;BU8,WeightedRevAge03)-SUMIF(ThresholdAge03,"&lt;"&amp;BU8,WeightedMinAge03),MAX(CapacityAge03*АбонементНовых*BU8,MeanMinAge03)))</f>
        <v/>
      </c>
      <c r="BV49" s="4">
        <f>IF(OR(BV22=0,3&lt;=КаникулыРоялти),0,BV22*IF(РоялтиПоГруппам="Да",MeanMinAge03+BV8*SUMIF(ThresholdAge03,"&lt;"&amp;BV8,WeightedRevAge03)-SUMIF(ThresholdAge03,"&lt;"&amp;BV8,WeightedMinAge03),MAX(CapacityAge03*АбонементНовых*BV8,MeanMinAge03)))</f>
        <v/>
      </c>
      <c r="BW49" s="4">
        <f>IF(OR(BW22=0,3&lt;=КаникулыРоялти),0,BW22*IF(РоялтиПоГруппам="Да",MeanMinAge03+BW8*SUMIF(ThresholdAge03,"&lt;"&amp;BW8,WeightedRevAge03)-SUMIF(ThresholdAge03,"&lt;"&amp;BW8,WeightedMinAge03),MAX(CapacityAge03*АбонементНовых*BW8,MeanMinAge03)))</f>
        <v/>
      </c>
      <c r="BX49" s="4">
        <f>IF(OR(BX22=0,3&lt;=КаникулыРоялти),0,BX22*IF(РоялтиПоГруппам="Да",MeanMinAge03+BX8*SUMIF(ThresholdAge03,"&lt;"&amp;BX8,WeightedRevAge03)-SUMIF(ThresholdAge03,"&lt;"&amp;BX8,WeightedMinAge03),MAX(CapacityAge03*АбонементНовых*BX8,MeanMinAge03)))</f>
        <v/>
      </c>
      <c r="BY49" s="4">
        <f>IF(OR(BY22=0,3&lt;=КаникулыРоялти),0,BY22*IF(РоялтиПоГруппам="Да",MeanMinAge03+BY8*SUMIF(ThresholdAge03,"&lt;"&amp;BY8,WeightedRevAge03)-SUMIF(ThresholdAge03,"&lt;"&amp;BY8,WeightedMinAge03),MAX(CapacityAge03*АбонементНовых*BY8,MeanMinAge03)))</f>
        <v/>
      </c>
    </row>
    <row r="50">
      <c r="B50" t="inlineStr">
        <is>
          <t>4 мес.</t>
        </is>
      </c>
      <c r="C50" t="inlineStr">
        <is>
          <t>₽</t>
        </is>
      </c>
      <c r="D50" s="117" t="inlineStr"/>
      <c r="E50" s="119">
        <f>SUM(L50:W50)</f>
        <v/>
      </c>
      <c r="F50" s="119">
        <f>SUM(X50:AI50)</f>
        <v/>
      </c>
      <c r="G50" s="119">
        <f>SUM(AJ50:AU50)</f>
        <v/>
      </c>
      <c r="H50" s="119">
        <f>SUM(AV50:BG50)</f>
        <v/>
      </c>
      <c r="I50" s="119">
        <f>SUM(BH50:BS50)</f>
        <v/>
      </c>
      <c r="J50" s="5">
        <f>SUM(L50:BS50)</f>
        <v/>
      </c>
      <c r="L50" s="4">
        <f>IF(OR(L23=0,4&lt;=КаникулыРоялти),0,L23*IF(РоялтиПоГруппам="Да",MeanMinAge04+L8*SUMIF(ThresholdAge04,"&lt;"&amp;L8,WeightedRevAge04)-SUMIF(ThresholdAge04,"&lt;"&amp;L8,WeightedMinAge04),MAX(CapacityAge04*АбонементНовых*L8,MeanMinAge04)))</f>
        <v/>
      </c>
      <c r="M50" s="4">
        <f>IF(OR(M23=0,4&lt;=КаникулыРоялти),0,M23*IF(РоялтиПоГруппам="Да",MeanMinAge04+M8*SUMIF(ThresholdAge04,"&lt;"&amp;M8,WeightedRevAge04)-SUMIF(ThresholdAge04,"&lt;"&amp;M8,WeightedMinAge04),MAX(CapacityAge04*АбонементНовых*M8,MeanMinAge04)))</f>
        <v/>
      </c>
      <c r="N50" s="4">
        <f>IF(OR(N23=0,4&lt;=КаникулыРоялти),0,N23*IF(РоялтиПоГруппам="Да",MeanMinAge04+N8*SUMIF(ThresholdAge04,"&lt;"&amp;N8,WeightedRevAge04)-SUMIF(ThresholdAge04,"&lt;"&amp;N8,WeightedMinAge04),MAX(CapacityAge04*АбонементНовых*N8,MeanMinAge04)))</f>
        <v/>
      </c>
      <c r="O50" s="4">
        <f>IF(OR(O23=0,4&lt;=КаникулыРоялти),0,O23*IF(РоялтиПоГруппам="Да",MeanMinAge04+O8*SUMIF(ThresholdAge04,"&lt;"&amp;O8,WeightedRevAge04)-SUMIF(ThresholdAge04,"&lt;"&amp;O8,WeightedMinAge04),MAX(CapacityAge04*АбонементНовых*O8,MeanMinAge04)))</f>
        <v/>
      </c>
      <c r="P50" s="4">
        <f>IF(OR(P23=0,4&lt;=КаникулыРоялти),0,P23*IF(РоялтиПоГруппам="Да",MeanMinAge04+P8*SUMIF(ThresholdAge04,"&lt;"&amp;P8,WeightedRevAge04)-SUMIF(ThresholdAge04,"&lt;"&amp;P8,WeightedMinAge04),MAX(CapacityAge04*АбонементНовых*P8,MeanMinAge04)))</f>
        <v/>
      </c>
      <c r="Q50" s="4">
        <f>IF(OR(Q23=0,4&lt;=КаникулыРоялти),0,Q23*IF(РоялтиПоГруппам="Да",MeanMinAge04+Q8*SUMIF(ThresholdAge04,"&lt;"&amp;Q8,WeightedRevAge04)-SUMIF(ThresholdAge04,"&lt;"&amp;Q8,WeightedMinAge04),MAX(CapacityAge04*АбонементНовых*Q8,MeanMinAge04)))</f>
        <v/>
      </c>
      <c r="R50" s="4">
        <f>IF(OR(R23=0,4&lt;=КаникулыРоялти),0,R23*IF(РоялтиПоГруппам="Да",MeanMinAge04+R8*SUMIF(ThresholdAge04,"&lt;"&amp;R8,WeightedRevAge04)-SUMIF(ThresholdAge04,"&lt;"&amp;R8,WeightedMinAge04),MAX(CapacityAge04*АбонементНовых*R8,MeanMinAge04)))</f>
        <v/>
      </c>
      <c r="S50" s="4">
        <f>IF(OR(S23=0,4&lt;=КаникулыРоялти),0,S23*IF(РоялтиПоГруппам="Да",MeanMinAge04+S8*SUMIF(ThresholdAge04,"&lt;"&amp;S8,WeightedRevAge04)-SUMIF(ThresholdAge04,"&lt;"&amp;S8,WeightedMinAge04),MAX(CapacityAge04*АбонементНовых*S8,MeanMinAge04)))</f>
        <v/>
      </c>
      <c r="T50" s="4">
        <f>IF(OR(T23=0,4&lt;=КаникулыРоялти),0,T23*IF(РоялтиПоГруппам="Да",MeanMinAge04+T8*SUMIF(ThresholdAge04,"&lt;"&amp;T8,WeightedRevAge04)-SUMIF(ThresholdAge04,"&lt;"&amp;T8,WeightedMinAge04),MAX(CapacityAge04*АбонементНовых*T8,MeanMinAge04)))</f>
        <v/>
      </c>
      <c r="U50" s="4">
        <f>IF(OR(U23=0,4&lt;=КаникулыРоялти),0,U23*IF(РоялтиПоГруппам="Да",MeanMinAge04+U8*SUMIF(ThresholdAge04,"&lt;"&amp;U8,WeightedRevAge04)-SUMIF(ThresholdAge04,"&lt;"&amp;U8,WeightedMinAge04),MAX(CapacityAge04*АбонементНовых*U8,MeanMinAge04)))</f>
        <v/>
      </c>
      <c r="V50" s="4">
        <f>IF(OR(V23=0,4&lt;=КаникулыРоялти),0,V23*IF(РоялтиПоГруппам="Да",MeanMinAge04+V8*SUMIF(ThresholdAge04,"&lt;"&amp;V8,WeightedRevAge04)-SUMIF(ThresholdAge04,"&lt;"&amp;V8,WeightedMinAge04),MAX(CapacityAge04*АбонементНовых*V8,MeanMinAge04)))</f>
        <v/>
      </c>
      <c r="W50" s="4">
        <f>IF(OR(W23=0,4&lt;=КаникулыРоялти),0,W23*IF(РоялтиПоГруппам="Да",MeanMinAge04+W8*SUMIF(ThresholdAge04,"&lt;"&amp;W8,WeightedRevAge04)-SUMIF(ThresholdAge04,"&lt;"&amp;W8,WeightedMinAge04),MAX(CapacityAge04*АбонементНовых*W8,MeanMinAge04)))</f>
        <v/>
      </c>
      <c r="X50" s="4">
        <f>IF(OR(X23=0,4&lt;=КаникулыРоялти),0,X23*IF(РоялтиПоГруппам="Да",MeanMinAge04+X8*SUMIF(ThresholdAge04,"&lt;"&amp;X8,WeightedRevAge04)-SUMIF(ThresholdAge04,"&lt;"&amp;X8,WeightedMinAge04),MAX(CapacityAge04*АбонементНовых*X8,MeanMinAge04)))</f>
        <v/>
      </c>
      <c r="Y50" s="4">
        <f>IF(OR(Y23=0,4&lt;=КаникулыРоялти),0,Y23*IF(РоялтиПоГруппам="Да",MeanMinAge04+Y8*SUMIF(ThresholdAge04,"&lt;"&amp;Y8,WeightedRevAge04)-SUMIF(ThresholdAge04,"&lt;"&amp;Y8,WeightedMinAge04),MAX(CapacityAge04*АбонементНовых*Y8,MeanMinAge04)))</f>
        <v/>
      </c>
      <c r="Z50" s="4">
        <f>IF(OR(Z23=0,4&lt;=КаникулыРоялти),0,Z23*IF(РоялтиПоГруппам="Да",MeanMinAge04+Z8*SUMIF(ThresholdAge04,"&lt;"&amp;Z8,WeightedRevAge04)-SUMIF(ThresholdAge04,"&lt;"&amp;Z8,WeightedMinAge04),MAX(CapacityAge04*АбонементНовых*Z8,MeanMinAge04)))</f>
        <v/>
      </c>
      <c r="AA50" s="4">
        <f>IF(OR(AA23=0,4&lt;=КаникулыРоялти),0,AA23*IF(РоялтиПоГруппам="Да",MeanMinAge04+AA8*SUMIF(ThresholdAge04,"&lt;"&amp;AA8,WeightedRevAge04)-SUMIF(ThresholdAge04,"&lt;"&amp;AA8,WeightedMinAge04),MAX(CapacityAge04*АбонементНовых*AA8,MeanMinAge04)))</f>
        <v/>
      </c>
      <c r="AB50" s="4">
        <f>IF(OR(AB23=0,4&lt;=КаникулыРоялти),0,AB23*IF(РоялтиПоГруппам="Да",MeanMinAge04+AB8*SUMIF(ThresholdAge04,"&lt;"&amp;AB8,WeightedRevAge04)-SUMIF(ThresholdAge04,"&lt;"&amp;AB8,WeightedMinAge04),MAX(CapacityAge04*АбонементНовых*AB8,MeanMinAge04)))</f>
        <v/>
      </c>
      <c r="AC50" s="4">
        <f>IF(OR(AC23=0,4&lt;=КаникулыРоялти),0,AC23*IF(РоялтиПоГруппам="Да",MeanMinAge04+AC8*SUMIF(ThresholdAge04,"&lt;"&amp;AC8,WeightedRevAge04)-SUMIF(ThresholdAge04,"&lt;"&amp;AC8,WeightedMinAge04),MAX(CapacityAge04*АбонементНовых*AC8,MeanMinAge04)))</f>
        <v/>
      </c>
      <c r="AD50" s="4">
        <f>IF(OR(AD23=0,4&lt;=КаникулыРоялти),0,AD23*IF(РоялтиПоГруппам="Да",MeanMinAge04+AD8*SUMIF(ThresholdAge04,"&lt;"&amp;AD8,WeightedRevAge04)-SUMIF(ThresholdAge04,"&lt;"&amp;AD8,WeightedMinAge04),MAX(CapacityAge04*АбонементНовых*AD8,MeanMinAge04)))</f>
        <v/>
      </c>
      <c r="AE50" s="4">
        <f>IF(OR(AE23=0,4&lt;=КаникулыРоялти),0,AE23*IF(РоялтиПоГруппам="Да",MeanMinAge04+AE8*SUMIF(ThresholdAge04,"&lt;"&amp;AE8,WeightedRevAge04)-SUMIF(ThresholdAge04,"&lt;"&amp;AE8,WeightedMinAge04),MAX(CapacityAge04*АбонементНовых*AE8,MeanMinAge04)))</f>
        <v/>
      </c>
      <c r="AF50" s="4">
        <f>IF(OR(AF23=0,4&lt;=КаникулыРоялти),0,AF23*IF(РоялтиПоГруппам="Да",MeanMinAge04+AF8*SUMIF(ThresholdAge04,"&lt;"&amp;AF8,WeightedRevAge04)-SUMIF(ThresholdAge04,"&lt;"&amp;AF8,WeightedMinAge04),MAX(CapacityAge04*АбонементНовых*AF8,MeanMinAge04)))</f>
        <v/>
      </c>
      <c r="AG50" s="4">
        <f>IF(OR(AG23=0,4&lt;=КаникулыРоялти),0,AG23*IF(РоялтиПоГруппам="Да",MeanMinAge04+AG8*SUMIF(ThresholdAge04,"&lt;"&amp;AG8,WeightedRevAge04)-SUMIF(ThresholdAge04,"&lt;"&amp;AG8,WeightedMinAge04),MAX(CapacityAge04*АбонементНовых*AG8,MeanMinAge04)))</f>
        <v/>
      </c>
      <c r="AH50" s="4">
        <f>IF(OR(AH23=0,4&lt;=КаникулыРоялти),0,AH23*IF(РоялтиПоГруппам="Да",MeanMinAge04+AH8*SUMIF(ThresholdAge04,"&lt;"&amp;AH8,WeightedRevAge04)-SUMIF(ThresholdAge04,"&lt;"&amp;AH8,WeightedMinAge04),MAX(CapacityAge04*АбонементНовых*AH8,MeanMinAge04)))</f>
        <v/>
      </c>
      <c r="AI50" s="4">
        <f>IF(OR(AI23=0,4&lt;=КаникулыРоялти),0,AI23*IF(РоялтиПоГруппам="Да",MeanMinAge04+AI8*SUMIF(ThresholdAge04,"&lt;"&amp;AI8,WeightedRevAge04)-SUMIF(ThresholdAge04,"&lt;"&amp;AI8,WeightedMinAge04),MAX(CapacityAge04*АбонементНовых*AI8,MeanMinAge04)))</f>
        <v/>
      </c>
      <c r="AJ50" s="4">
        <f>IF(OR(AJ23=0,4&lt;=КаникулыРоялти),0,AJ23*IF(РоялтиПоГруппам="Да",MeanMinAge04+AJ8*SUMIF(ThresholdAge04,"&lt;"&amp;AJ8,WeightedRevAge04)-SUMIF(ThresholdAge04,"&lt;"&amp;AJ8,WeightedMinAge04),MAX(CapacityAge04*АбонементНовых*AJ8,MeanMinAge04)))</f>
        <v/>
      </c>
      <c r="AK50" s="4">
        <f>IF(OR(AK23=0,4&lt;=КаникулыРоялти),0,AK23*IF(РоялтиПоГруппам="Да",MeanMinAge04+AK8*SUMIF(ThresholdAge04,"&lt;"&amp;AK8,WeightedRevAge04)-SUMIF(ThresholdAge04,"&lt;"&amp;AK8,WeightedMinAge04),MAX(CapacityAge04*АбонементНовых*AK8,MeanMinAge04)))</f>
        <v/>
      </c>
      <c r="AL50" s="4">
        <f>IF(OR(AL23=0,4&lt;=КаникулыРоялти),0,AL23*IF(РоялтиПоГруппам="Да",MeanMinAge04+AL8*SUMIF(ThresholdAge04,"&lt;"&amp;AL8,WeightedRevAge04)-SUMIF(ThresholdAge04,"&lt;"&amp;AL8,WeightedMinAge04),MAX(CapacityAge04*АбонементНовых*AL8,MeanMinAge04)))</f>
        <v/>
      </c>
      <c r="AM50" s="4">
        <f>IF(OR(AM23=0,4&lt;=КаникулыРоялти),0,AM23*IF(РоялтиПоГруппам="Да",MeanMinAge04+AM8*SUMIF(ThresholdAge04,"&lt;"&amp;AM8,WeightedRevAge04)-SUMIF(ThresholdAge04,"&lt;"&amp;AM8,WeightedMinAge04),MAX(CapacityAge04*АбонементНовых*AM8,MeanMinAge04)))</f>
        <v/>
      </c>
      <c r="AN50" s="4">
        <f>IF(OR(AN23=0,4&lt;=КаникулыРоялти),0,AN23*IF(РоялтиПоГруппам="Да",MeanMinAge04+AN8*SUMIF(ThresholdAge04,"&lt;"&amp;AN8,WeightedRevAge04)-SUMIF(ThresholdAge04,"&lt;"&amp;AN8,WeightedMinAge04),MAX(CapacityAge04*АбонементНовых*AN8,MeanMinAge04)))</f>
        <v/>
      </c>
      <c r="AO50" s="4">
        <f>IF(OR(AO23=0,4&lt;=КаникулыРоялти),0,AO23*IF(РоялтиПоГруппам="Да",MeanMinAge04+AO8*SUMIF(ThresholdAge04,"&lt;"&amp;AO8,WeightedRevAge04)-SUMIF(ThresholdAge04,"&lt;"&amp;AO8,WeightedMinAge04),MAX(CapacityAge04*АбонементНовых*AO8,MeanMinAge04)))</f>
        <v/>
      </c>
      <c r="AP50" s="4">
        <f>IF(OR(AP23=0,4&lt;=КаникулыРоялти),0,AP23*IF(РоялтиПоГруппам="Да",MeanMinAge04+AP8*SUMIF(ThresholdAge04,"&lt;"&amp;AP8,WeightedRevAge04)-SUMIF(ThresholdAge04,"&lt;"&amp;AP8,WeightedMinAge04),MAX(CapacityAge04*АбонементНовых*AP8,MeanMinAge04)))</f>
        <v/>
      </c>
      <c r="AQ50" s="4">
        <f>IF(OR(AQ23=0,4&lt;=КаникулыРоялти),0,AQ23*IF(РоялтиПоГруппам="Да",MeanMinAge04+AQ8*SUMIF(ThresholdAge04,"&lt;"&amp;AQ8,WeightedRevAge04)-SUMIF(ThresholdAge04,"&lt;"&amp;AQ8,WeightedMinAge04),MAX(CapacityAge04*АбонементНовых*AQ8,MeanMinAge04)))</f>
        <v/>
      </c>
      <c r="AR50" s="4">
        <f>IF(OR(AR23=0,4&lt;=КаникулыРоялти),0,AR23*IF(РоялтиПоГруппам="Да",MeanMinAge04+AR8*SUMIF(ThresholdAge04,"&lt;"&amp;AR8,WeightedRevAge04)-SUMIF(ThresholdAge04,"&lt;"&amp;AR8,WeightedMinAge04),MAX(CapacityAge04*АбонементНовых*AR8,MeanMinAge04)))</f>
        <v/>
      </c>
      <c r="AS50" s="4">
        <f>IF(OR(AS23=0,4&lt;=КаникулыРоялти),0,AS23*IF(РоялтиПоГруппам="Да",MeanMinAge04+AS8*SUMIF(ThresholdAge04,"&lt;"&amp;AS8,WeightedRevAge04)-SUMIF(ThresholdAge04,"&lt;"&amp;AS8,WeightedMinAge04),MAX(CapacityAge04*АбонементНовых*AS8,MeanMinAge04)))</f>
        <v/>
      </c>
      <c r="AT50" s="4">
        <f>IF(OR(AT23=0,4&lt;=КаникулыРоялти),0,AT23*IF(РоялтиПоГруппам="Да",MeanMinAge04+AT8*SUMIF(ThresholdAge04,"&lt;"&amp;AT8,WeightedRevAge04)-SUMIF(ThresholdAge04,"&lt;"&amp;AT8,WeightedMinAge04),MAX(CapacityAge04*АбонементНовых*AT8,MeanMinAge04)))</f>
        <v/>
      </c>
      <c r="AU50" s="4">
        <f>IF(OR(AU23=0,4&lt;=КаникулыРоялти),0,AU23*IF(РоялтиПоГруппам="Да",MeanMinAge04+AU8*SUMIF(ThresholdAge04,"&lt;"&amp;AU8,WeightedRevAge04)-SUMIF(ThresholdAge04,"&lt;"&amp;AU8,WeightedMinAge04),MAX(CapacityAge04*АбонементНовых*AU8,MeanMinAge04)))</f>
        <v/>
      </c>
      <c r="AV50" s="4">
        <f>IF(OR(AV23=0,4&lt;=КаникулыРоялти),0,AV23*IF(РоялтиПоГруппам="Да",MeanMinAge04+AV8*SUMIF(ThresholdAge04,"&lt;"&amp;AV8,WeightedRevAge04)-SUMIF(ThresholdAge04,"&lt;"&amp;AV8,WeightedMinAge04),MAX(CapacityAge04*АбонементНовых*AV8,MeanMinAge04)))</f>
        <v/>
      </c>
      <c r="AW50" s="4">
        <f>IF(OR(AW23=0,4&lt;=КаникулыРоялти),0,AW23*IF(РоялтиПоГруппам="Да",MeanMinAge04+AW8*SUMIF(ThresholdAge04,"&lt;"&amp;AW8,WeightedRevAge04)-SUMIF(ThresholdAge04,"&lt;"&amp;AW8,WeightedMinAge04),MAX(CapacityAge04*АбонементНовых*AW8,MeanMinAge04)))</f>
        <v/>
      </c>
      <c r="AX50" s="4">
        <f>IF(OR(AX23=0,4&lt;=КаникулыРоялти),0,AX23*IF(РоялтиПоГруппам="Да",MeanMinAge04+AX8*SUMIF(ThresholdAge04,"&lt;"&amp;AX8,WeightedRevAge04)-SUMIF(ThresholdAge04,"&lt;"&amp;AX8,WeightedMinAge04),MAX(CapacityAge04*АбонементНовых*AX8,MeanMinAge04)))</f>
        <v/>
      </c>
      <c r="AY50" s="4">
        <f>IF(OR(AY23=0,4&lt;=КаникулыРоялти),0,AY23*IF(РоялтиПоГруппам="Да",MeanMinAge04+AY8*SUMIF(ThresholdAge04,"&lt;"&amp;AY8,WeightedRevAge04)-SUMIF(ThresholdAge04,"&lt;"&amp;AY8,WeightedMinAge04),MAX(CapacityAge04*АбонементНовых*AY8,MeanMinAge04)))</f>
        <v/>
      </c>
      <c r="AZ50" s="4">
        <f>IF(OR(AZ23=0,4&lt;=КаникулыРоялти),0,AZ23*IF(РоялтиПоГруппам="Да",MeanMinAge04+AZ8*SUMIF(ThresholdAge04,"&lt;"&amp;AZ8,WeightedRevAge04)-SUMIF(ThresholdAge04,"&lt;"&amp;AZ8,WeightedMinAge04),MAX(CapacityAge04*АбонементНовых*AZ8,MeanMinAge04)))</f>
        <v/>
      </c>
      <c r="BA50" s="4">
        <f>IF(OR(BA23=0,4&lt;=КаникулыРоялти),0,BA23*IF(РоялтиПоГруппам="Да",MeanMinAge04+BA8*SUMIF(ThresholdAge04,"&lt;"&amp;BA8,WeightedRevAge04)-SUMIF(ThresholdAge04,"&lt;"&amp;BA8,WeightedMinAge04),MAX(CapacityAge04*АбонементНовых*BA8,MeanMinAge04)))</f>
        <v/>
      </c>
      <c r="BB50" s="4">
        <f>IF(OR(BB23=0,4&lt;=КаникулыРоялти),0,BB23*IF(РоялтиПоГруппам="Да",MeanMinAge04+BB8*SUMIF(ThresholdAge04,"&lt;"&amp;BB8,WeightedRevAge04)-SUMIF(ThresholdAge04,"&lt;"&amp;BB8,WeightedMinAge04),MAX(CapacityAge04*АбонементНовых*BB8,MeanMinAge04)))</f>
        <v/>
      </c>
      <c r="BC50" s="4">
        <f>IF(OR(BC23=0,4&lt;=КаникулыРоялти),0,BC23*IF(РоялтиПоГруппам="Да",MeanMinAge04+BC8*SUMIF(ThresholdAge04,"&lt;"&amp;BC8,WeightedRevAge04)-SUMIF(ThresholdAge04,"&lt;"&amp;BC8,WeightedMinAge04),MAX(CapacityAge04*АбонементНовых*BC8,MeanMinAge04)))</f>
        <v/>
      </c>
      <c r="BD50" s="4">
        <f>IF(OR(BD23=0,4&lt;=КаникулыРоялти),0,BD23*IF(РоялтиПоГруппам="Да",MeanMinAge04+BD8*SUMIF(ThresholdAge04,"&lt;"&amp;BD8,WeightedRevAge04)-SUMIF(ThresholdAge04,"&lt;"&amp;BD8,WeightedMinAge04),MAX(CapacityAge04*АбонементНовых*BD8,MeanMinAge04)))</f>
        <v/>
      </c>
      <c r="BE50" s="4">
        <f>IF(OR(BE23=0,4&lt;=КаникулыРоялти),0,BE23*IF(РоялтиПоГруппам="Да",MeanMinAge04+BE8*SUMIF(ThresholdAge04,"&lt;"&amp;BE8,WeightedRevAge04)-SUMIF(ThresholdAge04,"&lt;"&amp;BE8,WeightedMinAge04),MAX(CapacityAge04*АбонементНовых*BE8,MeanMinAge04)))</f>
        <v/>
      </c>
      <c r="BF50" s="4">
        <f>IF(OR(BF23=0,4&lt;=КаникулыРоялти),0,BF23*IF(РоялтиПоГруппам="Да",MeanMinAge04+BF8*SUMIF(ThresholdAge04,"&lt;"&amp;BF8,WeightedRevAge04)-SUMIF(ThresholdAge04,"&lt;"&amp;BF8,WeightedMinAge04),MAX(CapacityAge04*АбонементНовых*BF8,MeanMinAge04)))</f>
        <v/>
      </c>
      <c r="BG50" s="4">
        <f>IF(OR(BG23=0,4&lt;=КаникулыРоялти),0,BG23*IF(РоялтиПоГруппам="Да",MeanMinAge04+BG8*SUMIF(ThresholdAge04,"&lt;"&amp;BG8,WeightedRevAge04)-SUMIF(ThresholdAge04,"&lt;"&amp;BG8,WeightedMinAge04),MAX(CapacityAge04*АбонементНовых*BG8,MeanMinAge04)))</f>
        <v/>
      </c>
      <c r="BH50" s="4">
        <f>IF(OR(BH23=0,4&lt;=КаникулыРоялти),0,BH23*IF(РоялтиПоГруппам="Да",MeanMinAge04+BH8*SUMIF(ThresholdAge04,"&lt;"&amp;BH8,WeightedRevAge04)-SUMIF(ThresholdAge04,"&lt;"&amp;BH8,WeightedMinAge04),MAX(CapacityAge04*АбонементНовых*BH8,MeanMinAge04)))</f>
        <v/>
      </c>
      <c r="BI50" s="4">
        <f>IF(OR(BI23=0,4&lt;=КаникулыРоялти),0,BI23*IF(РоялтиПоГруппам="Да",MeanMinAge04+BI8*SUMIF(ThresholdAge04,"&lt;"&amp;BI8,WeightedRevAge04)-SUMIF(ThresholdAge04,"&lt;"&amp;BI8,WeightedMinAge04),MAX(CapacityAge04*АбонементНовых*BI8,MeanMinAge04)))</f>
        <v/>
      </c>
      <c r="BJ50" s="4">
        <f>IF(OR(BJ23=0,4&lt;=КаникулыРоялти),0,BJ23*IF(РоялтиПоГруппам="Да",MeanMinAge04+BJ8*SUMIF(ThresholdAge04,"&lt;"&amp;BJ8,WeightedRevAge04)-SUMIF(ThresholdAge04,"&lt;"&amp;BJ8,WeightedMinAge04),MAX(CapacityAge04*АбонементНовых*BJ8,MeanMinAge04)))</f>
        <v/>
      </c>
      <c r="BK50" s="4">
        <f>IF(OR(BK23=0,4&lt;=КаникулыРоялти),0,BK23*IF(РоялтиПоГруппам="Да",MeanMinAge04+BK8*SUMIF(ThresholdAge04,"&lt;"&amp;BK8,WeightedRevAge04)-SUMIF(ThresholdAge04,"&lt;"&amp;BK8,WeightedMinAge04),MAX(CapacityAge04*АбонементНовых*BK8,MeanMinAge04)))</f>
        <v/>
      </c>
      <c r="BL50" s="4">
        <f>IF(OR(BL23=0,4&lt;=КаникулыРоялти),0,BL23*IF(РоялтиПоГруппам="Да",MeanMinAge04+BL8*SUMIF(ThresholdAge04,"&lt;"&amp;BL8,WeightedRevAge04)-SUMIF(ThresholdAge04,"&lt;"&amp;BL8,WeightedMinAge04),MAX(CapacityAge04*АбонементНовых*BL8,MeanMinAge04)))</f>
        <v/>
      </c>
      <c r="BM50" s="4">
        <f>IF(OR(BM23=0,4&lt;=КаникулыРоялти),0,BM23*IF(РоялтиПоГруппам="Да",MeanMinAge04+BM8*SUMIF(ThresholdAge04,"&lt;"&amp;BM8,WeightedRevAge04)-SUMIF(ThresholdAge04,"&lt;"&amp;BM8,WeightedMinAge04),MAX(CapacityAge04*АбонементНовых*BM8,MeanMinAge04)))</f>
        <v/>
      </c>
      <c r="BN50" s="4">
        <f>IF(OR(BN23=0,4&lt;=КаникулыРоялти),0,BN23*IF(РоялтиПоГруппам="Да",MeanMinAge04+BN8*SUMIF(ThresholdAge04,"&lt;"&amp;BN8,WeightedRevAge04)-SUMIF(ThresholdAge04,"&lt;"&amp;BN8,WeightedMinAge04),MAX(CapacityAge04*АбонементНовых*BN8,MeanMinAge04)))</f>
        <v/>
      </c>
      <c r="BO50" s="4">
        <f>IF(OR(BO23=0,4&lt;=КаникулыРоялти),0,BO23*IF(РоялтиПоГруппам="Да",MeanMinAge04+BO8*SUMIF(ThresholdAge04,"&lt;"&amp;BO8,WeightedRevAge04)-SUMIF(ThresholdAge04,"&lt;"&amp;BO8,WeightedMinAge04),MAX(CapacityAge04*АбонементНовых*BO8,MeanMinAge04)))</f>
        <v/>
      </c>
      <c r="BP50" s="4">
        <f>IF(OR(BP23=0,4&lt;=КаникулыРоялти),0,BP23*IF(РоялтиПоГруппам="Да",MeanMinAge04+BP8*SUMIF(ThresholdAge04,"&lt;"&amp;BP8,WeightedRevAge04)-SUMIF(ThresholdAge04,"&lt;"&amp;BP8,WeightedMinAge04),MAX(CapacityAge04*АбонементНовых*BP8,MeanMinAge04)))</f>
        <v/>
      </c>
      <c r="BQ50" s="4">
        <f>IF(OR(BQ23=0,4&lt;=КаникулыРоялти),0,BQ23*IF(РоялтиПоГруппам="Да",MeanMinAge04+BQ8*SUMIF(ThresholdAge04,"&lt;"&amp;BQ8,WeightedRevAge04)-SUMIF(ThresholdAge04,"&lt;"&amp;BQ8,WeightedMinAge04),MAX(CapacityAge04*АбонементНовых*BQ8,MeanMinAge04)))</f>
        <v/>
      </c>
      <c r="BR50" s="4">
        <f>IF(OR(BR23=0,4&lt;=КаникулыРоялти),0,BR23*IF(РоялтиПоГруппам="Да",MeanMinAge04+BR8*SUMIF(ThresholdAge04,"&lt;"&amp;BR8,WeightedRevAge04)-SUMIF(ThresholdAge04,"&lt;"&amp;BR8,WeightedMinAge04),MAX(CapacityAge04*АбонементНовых*BR8,MeanMinAge04)))</f>
        <v/>
      </c>
      <c r="BS50" s="4">
        <f>IF(OR(BS23=0,4&lt;=КаникулыРоялти),0,BS23*IF(РоялтиПоГруппам="Да",MeanMinAge04+BS8*SUMIF(ThresholdAge04,"&lt;"&amp;BS8,WeightedRevAge04)-SUMIF(ThresholdAge04,"&lt;"&amp;BS8,WeightedMinAge04),MAX(CapacityAge04*АбонементНовых*BS8,MeanMinAge04)))</f>
        <v/>
      </c>
      <c r="BT50" s="4">
        <f>IF(OR(BT23=0,4&lt;=КаникулыРоялти),0,BT23*IF(РоялтиПоГруппам="Да",MeanMinAge04+BT8*SUMIF(ThresholdAge04,"&lt;"&amp;BT8,WeightedRevAge04)-SUMIF(ThresholdAge04,"&lt;"&amp;BT8,WeightedMinAge04),MAX(CapacityAge04*АбонементНовых*BT8,MeanMinAge04)))</f>
        <v/>
      </c>
      <c r="BU50" s="4">
        <f>IF(OR(BU23=0,4&lt;=КаникулыРоялти),0,BU23*IF(РоялтиПоГруппам="Да",MeanMinAge04+BU8*SUMIF(ThresholdAge04,"&lt;"&amp;BU8,WeightedRevAge04)-SUMIF(ThresholdAge04,"&lt;"&amp;BU8,WeightedMinAge04),MAX(CapacityAge04*АбонементНовых*BU8,MeanMinAge04)))</f>
        <v/>
      </c>
      <c r="BV50" s="4">
        <f>IF(OR(BV23=0,4&lt;=КаникулыРоялти),0,BV23*IF(РоялтиПоГруппам="Да",MeanMinAge04+BV8*SUMIF(ThresholdAge04,"&lt;"&amp;BV8,WeightedRevAge04)-SUMIF(ThresholdAge04,"&lt;"&amp;BV8,WeightedMinAge04),MAX(CapacityAge04*АбонементНовых*BV8,MeanMinAge04)))</f>
        <v/>
      </c>
      <c r="BW50" s="4">
        <f>IF(OR(BW23=0,4&lt;=КаникулыРоялти),0,BW23*IF(РоялтиПоГруппам="Да",MeanMinAge04+BW8*SUMIF(ThresholdAge04,"&lt;"&amp;BW8,WeightedRevAge04)-SUMIF(ThresholdAge04,"&lt;"&amp;BW8,WeightedMinAge04),MAX(CapacityAge04*АбонементНовых*BW8,MeanMinAge04)))</f>
        <v/>
      </c>
      <c r="BX50" s="4">
        <f>IF(OR(BX23=0,4&lt;=КаникулыРоялти),0,BX23*IF(РоялтиПоГруппам="Да",MeanMinAge04+BX8*SUMIF(ThresholdAge04,"&lt;"&amp;BX8,WeightedRevAge04)-SUMIF(ThresholdAge04,"&lt;"&amp;BX8,WeightedMinAge04),MAX(CapacityAge04*АбонементНовых*BX8,MeanMinAge04)))</f>
        <v/>
      </c>
      <c r="BY50" s="4">
        <f>IF(OR(BY23=0,4&lt;=КаникулыРоялти),0,BY23*IF(РоялтиПоГруппам="Да",MeanMinAge04+BY8*SUMIF(ThresholdAge04,"&lt;"&amp;BY8,WeightedRevAge04)-SUMIF(ThresholdAge04,"&lt;"&amp;BY8,WeightedMinAge04),MAX(CapacityAge04*АбонементНовых*BY8,MeanMinAge04)))</f>
        <v/>
      </c>
    </row>
    <row r="51">
      <c r="B51" t="inlineStr">
        <is>
          <t>5 мес.</t>
        </is>
      </c>
      <c r="C51" t="inlineStr">
        <is>
          <t>₽</t>
        </is>
      </c>
      <c r="D51" s="117" t="inlineStr"/>
      <c r="E51" s="119">
        <f>SUM(L51:W51)</f>
        <v/>
      </c>
      <c r="F51" s="119">
        <f>SUM(X51:AI51)</f>
        <v/>
      </c>
      <c r="G51" s="119">
        <f>SUM(AJ51:AU51)</f>
        <v/>
      </c>
      <c r="H51" s="119">
        <f>SUM(AV51:BG51)</f>
        <v/>
      </c>
      <c r="I51" s="119">
        <f>SUM(BH51:BS51)</f>
        <v/>
      </c>
      <c r="J51" s="5">
        <f>SUM(L51:BS51)</f>
        <v/>
      </c>
      <c r="L51" s="4">
        <f>IF(OR(L24=0,5&lt;=КаникулыРоялти),0,L24*IF(РоялтиПоГруппам="Да",MeanMinAge05+L8*SUMIF(ThresholdAge05,"&lt;"&amp;L8,WeightedRevAge05)-SUMIF(ThresholdAge05,"&lt;"&amp;L8,WeightedMinAge05),MAX(CapacityAge05*АбонементНовых*L8,MeanMinAge05)))</f>
        <v/>
      </c>
      <c r="M51" s="4">
        <f>IF(OR(M24=0,5&lt;=КаникулыРоялти),0,M24*IF(РоялтиПоГруппам="Да",MeanMinAge05+M8*SUMIF(ThresholdAge05,"&lt;"&amp;M8,WeightedRevAge05)-SUMIF(ThresholdAge05,"&lt;"&amp;M8,WeightedMinAge05),MAX(CapacityAge05*АбонементНовых*M8,MeanMinAge05)))</f>
        <v/>
      </c>
      <c r="N51" s="4">
        <f>IF(OR(N24=0,5&lt;=КаникулыРоялти),0,N24*IF(РоялтиПоГруппам="Да",MeanMinAge05+N8*SUMIF(ThresholdAge05,"&lt;"&amp;N8,WeightedRevAge05)-SUMIF(ThresholdAge05,"&lt;"&amp;N8,WeightedMinAge05),MAX(CapacityAge05*АбонементНовых*N8,MeanMinAge05)))</f>
        <v/>
      </c>
      <c r="O51" s="4">
        <f>IF(OR(O24=0,5&lt;=КаникулыРоялти),0,O24*IF(РоялтиПоГруппам="Да",MeanMinAge05+O8*SUMIF(ThresholdAge05,"&lt;"&amp;O8,WeightedRevAge05)-SUMIF(ThresholdAge05,"&lt;"&amp;O8,WeightedMinAge05),MAX(CapacityAge05*АбонементНовых*O8,MeanMinAge05)))</f>
        <v/>
      </c>
      <c r="P51" s="4">
        <f>IF(OR(P24=0,5&lt;=КаникулыРоялти),0,P24*IF(РоялтиПоГруппам="Да",MeanMinAge05+P8*SUMIF(ThresholdAge05,"&lt;"&amp;P8,WeightedRevAge05)-SUMIF(ThresholdAge05,"&lt;"&amp;P8,WeightedMinAge05),MAX(CapacityAge05*АбонементНовых*P8,MeanMinAge05)))</f>
        <v/>
      </c>
      <c r="Q51" s="4">
        <f>IF(OR(Q24=0,5&lt;=КаникулыРоялти),0,Q24*IF(РоялтиПоГруппам="Да",MeanMinAge05+Q8*SUMIF(ThresholdAge05,"&lt;"&amp;Q8,WeightedRevAge05)-SUMIF(ThresholdAge05,"&lt;"&amp;Q8,WeightedMinAge05),MAX(CapacityAge05*АбонементНовых*Q8,MeanMinAge05)))</f>
        <v/>
      </c>
      <c r="R51" s="4">
        <f>IF(OR(R24=0,5&lt;=КаникулыРоялти),0,R24*IF(РоялтиПоГруппам="Да",MeanMinAge05+R8*SUMIF(ThresholdAge05,"&lt;"&amp;R8,WeightedRevAge05)-SUMIF(ThresholdAge05,"&lt;"&amp;R8,WeightedMinAge05),MAX(CapacityAge05*АбонементНовых*R8,MeanMinAge05)))</f>
        <v/>
      </c>
      <c r="S51" s="4">
        <f>IF(OR(S24=0,5&lt;=КаникулыРоялти),0,S24*IF(РоялтиПоГруппам="Да",MeanMinAge05+S8*SUMIF(ThresholdAge05,"&lt;"&amp;S8,WeightedRevAge05)-SUMIF(ThresholdAge05,"&lt;"&amp;S8,WeightedMinAge05),MAX(CapacityAge05*АбонементНовых*S8,MeanMinAge05)))</f>
        <v/>
      </c>
      <c r="T51" s="4">
        <f>IF(OR(T24=0,5&lt;=КаникулыРоялти),0,T24*IF(РоялтиПоГруппам="Да",MeanMinAge05+T8*SUMIF(ThresholdAge05,"&lt;"&amp;T8,WeightedRevAge05)-SUMIF(ThresholdAge05,"&lt;"&amp;T8,WeightedMinAge05),MAX(CapacityAge05*АбонементНовых*T8,MeanMinAge05)))</f>
        <v/>
      </c>
      <c r="U51" s="4">
        <f>IF(OR(U24=0,5&lt;=КаникулыРоялти),0,U24*IF(РоялтиПоГруппам="Да",MeanMinAge05+U8*SUMIF(ThresholdAge05,"&lt;"&amp;U8,WeightedRevAge05)-SUMIF(ThresholdAge05,"&lt;"&amp;U8,WeightedMinAge05),MAX(CapacityAge05*АбонементНовых*U8,MeanMinAge05)))</f>
        <v/>
      </c>
      <c r="V51" s="4">
        <f>IF(OR(V24=0,5&lt;=КаникулыРоялти),0,V24*IF(РоялтиПоГруппам="Да",MeanMinAge05+V8*SUMIF(ThresholdAge05,"&lt;"&amp;V8,WeightedRevAge05)-SUMIF(ThresholdAge05,"&lt;"&amp;V8,WeightedMinAge05),MAX(CapacityAge05*АбонементНовых*V8,MeanMinAge05)))</f>
        <v/>
      </c>
      <c r="W51" s="4">
        <f>IF(OR(W24=0,5&lt;=КаникулыРоялти),0,W24*IF(РоялтиПоГруппам="Да",MeanMinAge05+W8*SUMIF(ThresholdAge05,"&lt;"&amp;W8,WeightedRevAge05)-SUMIF(ThresholdAge05,"&lt;"&amp;W8,WeightedMinAge05),MAX(CapacityAge05*АбонементНовых*W8,MeanMinAge05)))</f>
        <v/>
      </c>
      <c r="X51" s="4">
        <f>IF(OR(X24=0,5&lt;=КаникулыРоялти),0,X24*IF(РоялтиПоГруппам="Да",MeanMinAge05+X8*SUMIF(ThresholdAge05,"&lt;"&amp;X8,WeightedRevAge05)-SUMIF(ThresholdAge05,"&lt;"&amp;X8,WeightedMinAge05),MAX(CapacityAge05*АбонементНовых*X8,MeanMinAge05)))</f>
        <v/>
      </c>
      <c r="Y51" s="4">
        <f>IF(OR(Y24=0,5&lt;=КаникулыРоялти),0,Y24*IF(РоялтиПоГруппам="Да",MeanMinAge05+Y8*SUMIF(ThresholdAge05,"&lt;"&amp;Y8,WeightedRevAge05)-SUMIF(ThresholdAge05,"&lt;"&amp;Y8,WeightedMinAge05),MAX(CapacityAge05*АбонементНовых*Y8,MeanMinAge05)))</f>
        <v/>
      </c>
      <c r="Z51" s="4">
        <f>IF(OR(Z24=0,5&lt;=КаникулыРоялти),0,Z24*IF(РоялтиПоГруппам="Да",MeanMinAge05+Z8*SUMIF(ThresholdAge05,"&lt;"&amp;Z8,WeightedRevAge05)-SUMIF(ThresholdAge05,"&lt;"&amp;Z8,WeightedMinAge05),MAX(CapacityAge05*АбонементНовых*Z8,MeanMinAge05)))</f>
        <v/>
      </c>
      <c r="AA51" s="4">
        <f>IF(OR(AA24=0,5&lt;=КаникулыРоялти),0,AA24*IF(РоялтиПоГруппам="Да",MeanMinAge05+AA8*SUMIF(ThresholdAge05,"&lt;"&amp;AA8,WeightedRevAge05)-SUMIF(ThresholdAge05,"&lt;"&amp;AA8,WeightedMinAge05),MAX(CapacityAge05*АбонементНовых*AA8,MeanMinAge05)))</f>
        <v/>
      </c>
      <c r="AB51" s="4">
        <f>IF(OR(AB24=0,5&lt;=КаникулыРоялти),0,AB24*IF(РоялтиПоГруппам="Да",MeanMinAge05+AB8*SUMIF(ThresholdAge05,"&lt;"&amp;AB8,WeightedRevAge05)-SUMIF(ThresholdAge05,"&lt;"&amp;AB8,WeightedMinAge05),MAX(CapacityAge05*АбонементНовых*AB8,MeanMinAge05)))</f>
        <v/>
      </c>
      <c r="AC51" s="4">
        <f>IF(OR(AC24=0,5&lt;=КаникулыРоялти),0,AC24*IF(РоялтиПоГруппам="Да",MeanMinAge05+AC8*SUMIF(ThresholdAge05,"&lt;"&amp;AC8,WeightedRevAge05)-SUMIF(ThresholdAge05,"&lt;"&amp;AC8,WeightedMinAge05),MAX(CapacityAge05*АбонементНовых*AC8,MeanMinAge05)))</f>
        <v/>
      </c>
      <c r="AD51" s="4">
        <f>IF(OR(AD24=0,5&lt;=КаникулыРоялти),0,AD24*IF(РоялтиПоГруппам="Да",MeanMinAge05+AD8*SUMIF(ThresholdAge05,"&lt;"&amp;AD8,WeightedRevAge05)-SUMIF(ThresholdAge05,"&lt;"&amp;AD8,WeightedMinAge05),MAX(CapacityAge05*АбонементНовых*AD8,MeanMinAge05)))</f>
        <v/>
      </c>
      <c r="AE51" s="4">
        <f>IF(OR(AE24=0,5&lt;=КаникулыРоялти),0,AE24*IF(РоялтиПоГруппам="Да",MeanMinAge05+AE8*SUMIF(ThresholdAge05,"&lt;"&amp;AE8,WeightedRevAge05)-SUMIF(ThresholdAge05,"&lt;"&amp;AE8,WeightedMinAge05),MAX(CapacityAge05*АбонементНовых*AE8,MeanMinAge05)))</f>
        <v/>
      </c>
      <c r="AF51" s="4">
        <f>IF(OR(AF24=0,5&lt;=КаникулыРоялти),0,AF24*IF(РоялтиПоГруппам="Да",MeanMinAge05+AF8*SUMIF(ThresholdAge05,"&lt;"&amp;AF8,WeightedRevAge05)-SUMIF(ThresholdAge05,"&lt;"&amp;AF8,WeightedMinAge05),MAX(CapacityAge05*АбонементНовых*AF8,MeanMinAge05)))</f>
        <v/>
      </c>
      <c r="AG51" s="4">
        <f>IF(OR(AG24=0,5&lt;=КаникулыРоялти),0,AG24*IF(РоялтиПоГруппам="Да",MeanMinAge05+AG8*SUMIF(ThresholdAge05,"&lt;"&amp;AG8,WeightedRevAge05)-SUMIF(ThresholdAge05,"&lt;"&amp;AG8,WeightedMinAge05),MAX(CapacityAge05*АбонементНовых*AG8,MeanMinAge05)))</f>
        <v/>
      </c>
      <c r="AH51" s="4">
        <f>IF(OR(AH24=0,5&lt;=КаникулыРоялти),0,AH24*IF(РоялтиПоГруппам="Да",MeanMinAge05+AH8*SUMIF(ThresholdAge05,"&lt;"&amp;AH8,WeightedRevAge05)-SUMIF(ThresholdAge05,"&lt;"&amp;AH8,WeightedMinAge05),MAX(CapacityAge05*АбонементНовых*AH8,MeanMinAge05)))</f>
        <v/>
      </c>
      <c r="AI51" s="4">
        <f>IF(OR(AI24=0,5&lt;=КаникулыРоялти),0,AI24*IF(РоялтиПоГруппам="Да",MeanMinAge05+AI8*SUMIF(ThresholdAge05,"&lt;"&amp;AI8,WeightedRevAge05)-SUMIF(ThresholdAge05,"&lt;"&amp;AI8,WeightedMinAge05),MAX(CapacityAge05*АбонементНовых*AI8,MeanMinAge05)))</f>
        <v/>
      </c>
      <c r="AJ51" s="4">
        <f>IF(OR(AJ24=0,5&lt;=КаникулыРоялти),0,AJ24*IF(РоялтиПоГруппам="Да",MeanMinAge05+AJ8*SUMIF(ThresholdAge05,"&lt;"&amp;AJ8,WeightedRevAge05)-SUMIF(ThresholdAge05,"&lt;"&amp;AJ8,WeightedMinAge05),MAX(CapacityAge05*АбонементНовых*AJ8,MeanMinAge05)))</f>
        <v/>
      </c>
      <c r="AK51" s="4">
        <f>IF(OR(AK24=0,5&lt;=КаникулыРоялти),0,AK24*IF(РоялтиПоГруппам="Да",MeanMinAge05+AK8*SUMIF(ThresholdAge05,"&lt;"&amp;AK8,WeightedRevAge05)-SUMIF(ThresholdAge05,"&lt;"&amp;AK8,WeightedMinAge05),MAX(CapacityAge05*АбонементНовых*AK8,MeanMinAge05)))</f>
        <v/>
      </c>
      <c r="AL51" s="4">
        <f>IF(OR(AL24=0,5&lt;=КаникулыРоялти),0,AL24*IF(РоялтиПоГруппам="Да",MeanMinAge05+AL8*SUMIF(ThresholdAge05,"&lt;"&amp;AL8,WeightedRevAge05)-SUMIF(ThresholdAge05,"&lt;"&amp;AL8,WeightedMinAge05),MAX(CapacityAge05*АбонементНовых*AL8,MeanMinAge05)))</f>
        <v/>
      </c>
      <c r="AM51" s="4">
        <f>IF(OR(AM24=0,5&lt;=КаникулыРоялти),0,AM24*IF(РоялтиПоГруппам="Да",MeanMinAge05+AM8*SUMIF(ThresholdAge05,"&lt;"&amp;AM8,WeightedRevAge05)-SUMIF(ThresholdAge05,"&lt;"&amp;AM8,WeightedMinAge05),MAX(CapacityAge05*АбонементНовых*AM8,MeanMinAge05)))</f>
        <v/>
      </c>
      <c r="AN51" s="4">
        <f>IF(OR(AN24=0,5&lt;=КаникулыРоялти),0,AN24*IF(РоялтиПоГруппам="Да",MeanMinAge05+AN8*SUMIF(ThresholdAge05,"&lt;"&amp;AN8,WeightedRevAge05)-SUMIF(ThresholdAge05,"&lt;"&amp;AN8,WeightedMinAge05),MAX(CapacityAge05*АбонементНовых*AN8,MeanMinAge05)))</f>
        <v/>
      </c>
      <c r="AO51" s="4">
        <f>IF(OR(AO24=0,5&lt;=КаникулыРоялти),0,AO24*IF(РоялтиПоГруппам="Да",MeanMinAge05+AO8*SUMIF(ThresholdAge05,"&lt;"&amp;AO8,WeightedRevAge05)-SUMIF(ThresholdAge05,"&lt;"&amp;AO8,WeightedMinAge05),MAX(CapacityAge05*АбонементНовых*AO8,MeanMinAge05)))</f>
        <v/>
      </c>
      <c r="AP51" s="4">
        <f>IF(OR(AP24=0,5&lt;=КаникулыРоялти),0,AP24*IF(РоялтиПоГруппам="Да",MeanMinAge05+AP8*SUMIF(ThresholdAge05,"&lt;"&amp;AP8,WeightedRevAge05)-SUMIF(ThresholdAge05,"&lt;"&amp;AP8,WeightedMinAge05),MAX(CapacityAge05*АбонементНовых*AP8,MeanMinAge05)))</f>
        <v/>
      </c>
      <c r="AQ51" s="4">
        <f>IF(OR(AQ24=0,5&lt;=КаникулыРоялти),0,AQ24*IF(РоялтиПоГруппам="Да",MeanMinAge05+AQ8*SUMIF(ThresholdAge05,"&lt;"&amp;AQ8,WeightedRevAge05)-SUMIF(ThresholdAge05,"&lt;"&amp;AQ8,WeightedMinAge05),MAX(CapacityAge05*АбонементНовых*AQ8,MeanMinAge05)))</f>
        <v/>
      </c>
      <c r="AR51" s="4">
        <f>IF(OR(AR24=0,5&lt;=КаникулыРоялти),0,AR24*IF(РоялтиПоГруппам="Да",MeanMinAge05+AR8*SUMIF(ThresholdAge05,"&lt;"&amp;AR8,WeightedRevAge05)-SUMIF(ThresholdAge05,"&lt;"&amp;AR8,WeightedMinAge05),MAX(CapacityAge05*АбонементНовых*AR8,MeanMinAge05)))</f>
        <v/>
      </c>
      <c r="AS51" s="4">
        <f>IF(OR(AS24=0,5&lt;=КаникулыРоялти),0,AS24*IF(РоялтиПоГруппам="Да",MeanMinAge05+AS8*SUMIF(ThresholdAge05,"&lt;"&amp;AS8,WeightedRevAge05)-SUMIF(ThresholdAge05,"&lt;"&amp;AS8,WeightedMinAge05),MAX(CapacityAge05*АбонементНовых*AS8,MeanMinAge05)))</f>
        <v/>
      </c>
      <c r="AT51" s="4">
        <f>IF(OR(AT24=0,5&lt;=КаникулыРоялти),0,AT24*IF(РоялтиПоГруппам="Да",MeanMinAge05+AT8*SUMIF(ThresholdAge05,"&lt;"&amp;AT8,WeightedRevAge05)-SUMIF(ThresholdAge05,"&lt;"&amp;AT8,WeightedMinAge05),MAX(CapacityAge05*АбонементНовых*AT8,MeanMinAge05)))</f>
        <v/>
      </c>
      <c r="AU51" s="4">
        <f>IF(OR(AU24=0,5&lt;=КаникулыРоялти),0,AU24*IF(РоялтиПоГруппам="Да",MeanMinAge05+AU8*SUMIF(ThresholdAge05,"&lt;"&amp;AU8,WeightedRevAge05)-SUMIF(ThresholdAge05,"&lt;"&amp;AU8,WeightedMinAge05),MAX(CapacityAge05*АбонементНовых*AU8,MeanMinAge05)))</f>
        <v/>
      </c>
      <c r="AV51" s="4">
        <f>IF(OR(AV24=0,5&lt;=КаникулыРоялти),0,AV24*IF(РоялтиПоГруппам="Да",MeanMinAge05+AV8*SUMIF(ThresholdAge05,"&lt;"&amp;AV8,WeightedRevAge05)-SUMIF(ThresholdAge05,"&lt;"&amp;AV8,WeightedMinAge05),MAX(CapacityAge05*АбонементНовых*AV8,MeanMinAge05)))</f>
        <v/>
      </c>
      <c r="AW51" s="4">
        <f>IF(OR(AW24=0,5&lt;=КаникулыРоялти),0,AW24*IF(РоялтиПоГруппам="Да",MeanMinAge05+AW8*SUMIF(ThresholdAge05,"&lt;"&amp;AW8,WeightedRevAge05)-SUMIF(ThresholdAge05,"&lt;"&amp;AW8,WeightedMinAge05),MAX(CapacityAge05*АбонементНовых*AW8,MeanMinAge05)))</f>
        <v/>
      </c>
      <c r="AX51" s="4">
        <f>IF(OR(AX24=0,5&lt;=КаникулыРоялти),0,AX24*IF(РоялтиПоГруппам="Да",MeanMinAge05+AX8*SUMIF(ThresholdAge05,"&lt;"&amp;AX8,WeightedRevAge05)-SUMIF(ThresholdAge05,"&lt;"&amp;AX8,WeightedMinAge05),MAX(CapacityAge05*АбонементНовых*AX8,MeanMinAge05)))</f>
        <v/>
      </c>
      <c r="AY51" s="4">
        <f>IF(OR(AY24=0,5&lt;=КаникулыРоялти),0,AY24*IF(РоялтиПоГруппам="Да",MeanMinAge05+AY8*SUMIF(ThresholdAge05,"&lt;"&amp;AY8,WeightedRevAge05)-SUMIF(ThresholdAge05,"&lt;"&amp;AY8,WeightedMinAge05),MAX(CapacityAge05*АбонементНовых*AY8,MeanMinAge05)))</f>
        <v/>
      </c>
      <c r="AZ51" s="4">
        <f>IF(OR(AZ24=0,5&lt;=КаникулыРоялти),0,AZ24*IF(РоялтиПоГруппам="Да",MeanMinAge05+AZ8*SUMIF(ThresholdAge05,"&lt;"&amp;AZ8,WeightedRevAge05)-SUMIF(ThresholdAge05,"&lt;"&amp;AZ8,WeightedMinAge05),MAX(CapacityAge05*АбонементНовых*AZ8,MeanMinAge05)))</f>
        <v/>
      </c>
      <c r="BA51" s="4">
        <f>IF(OR(BA24=0,5&lt;=КаникулыРоялти),0,BA24*IF(РоялтиПоГруппам="Да",MeanMinAge05+BA8*SUMIF(ThresholdAge05,"&lt;"&amp;BA8,WeightedRevAge05)-SUMIF(ThresholdAge05,"&lt;"&amp;BA8,WeightedMinAge05),MAX(CapacityAge05*АбонементНовых*BA8,MeanMinAge05)))</f>
        <v/>
      </c>
      <c r="BB51" s="4">
        <f>IF(OR(BB24=0,5&lt;=КаникулыРоялти),0,BB24*IF(РоялтиПоГруппам="Да",MeanMinAge05+BB8*SUMIF(ThresholdAge05,"&lt;"&amp;BB8,WeightedRevAge05)-SUMIF(ThresholdAge05,"&lt;"&amp;BB8,WeightedMinAge05),MAX(CapacityAge05*АбонементНовых*BB8,MeanMinAge05)))</f>
        <v/>
      </c>
      <c r="BC51" s="4">
        <f>IF(OR(BC24=0,5&lt;=КаникулыРоялти),0,BC24*IF(РоялтиПоГруппам="Да",MeanMinAge05+BC8*SUMIF(ThresholdAge05,"&lt;"&amp;BC8,WeightedRevAge05)-SUMIF(ThresholdAge05,"&lt;"&amp;BC8,WeightedMinAge05),MAX(CapacityAge05*АбонементНовых*BC8,MeanMinAge05)))</f>
        <v/>
      </c>
      <c r="BD51" s="4">
        <f>IF(OR(BD24=0,5&lt;=КаникулыРоялти),0,BD24*IF(РоялтиПоГруппам="Да",MeanMinAge05+BD8*SUMIF(ThresholdAge05,"&lt;"&amp;BD8,WeightedRevAge05)-SUMIF(ThresholdAge05,"&lt;"&amp;BD8,WeightedMinAge05),MAX(CapacityAge05*АбонементНовых*BD8,MeanMinAge05)))</f>
        <v/>
      </c>
      <c r="BE51" s="4">
        <f>IF(OR(BE24=0,5&lt;=КаникулыРоялти),0,BE24*IF(РоялтиПоГруппам="Да",MeanMinAge05+BE8*SUMIF(ThresholdAge05,"&lt;"&amp;BE8,WeightedRevAge05)-SUMIF(ThresholdAge05,"&lt;"&amp;BE8,WeightedMinAge05),MAX(CapacityAge05*АбонементНовых*BE8,MeanMinAge05)))</f>
        <v/>
      </c>
      <c r="BF51" s="4">
        <f>IF(OR(BF24=0,5&lt;=КаникулыРоялти),0,BF24*IF(РоялтиПоГруппам="Да",MeanMinAge05+BF8*SUMIF(ThresholdAge05,"&lt;"&amp;BF8,WeightedRevAge05)-SUMIF(ThresholdAge05,"&lt;"&amp;BF8,WeightedMinAge05),MAX(CapacityAge05*АбонементНовых*BF8,MeanMinAge05)))</f>
        <v/>
      </c>
      <c r="BG51" s="4">
        <f>IF(OR(BG24=0,5&lt;=КаникулыРоялти),0,BG24*IF(РоялтиПоГруппам="Да",MeanMinAge05+BG8*SUMIF(ThresholdAge05,"&lt;"&amp;BG8,WeightedRevAge05)-SUMIF(ThresholdAge05,"&lt;"&amp;BG8,WeightedMinAge05),MAX(CapacityAge05*АбонементНовых*BG8,MeanMinAge05)))</f>
        <v/>
      </c>
      <c r="BH51" s="4">
        <f>IF(OR(BH24=0,5&lt;=КаникулыРоялти),0,BH24*IF(РоялтиПоГруппам="Да",MeanMinAge05+BH8*SUMIF(ThresholdAge05,"&lt;"&amp;BH8,WeightedRevAge05)-SUMIF(ThresholdAge05,"&lt;"&amp;BH8,WeightedMinAge05),MAX(CapacityAge05*АбонементНовых*BH8,MeanMinAge05)))</f>
        <v/>
      </c>
      <c r="BI51" s="4">
        <f>IF(OR(BI24=0,5&lt;=КаникулыРоялти),0,BI24*IF(РоялтиПоГруппам="Да",MeanMinAge05+BI8*SUMIF(ThresholdAge05,"&lt;"&amp;BI8,WeightedRevAge05)-SUMIF(ThresholdAge05,"&lt;"&amp;BI8,WeightedMinAge05),MAX(CapacityAge05*АбонементНовых*BI8,MeanMinAge05)))</f>
        <v/>
      </c>
      <c r="BJ51" s="4">
        <f>IF(OR(BJ24=0,5&lt;=КаникулыРоялти),0,BJ24*IF(РоялтиПоГруппам="Да",MeanMinAge05+BJ8*SUMIF(ThresholdAge05,"&lt;"&amp;BJ8,WeightedRevAge05)-SUMIF(ThresholdAge05,"&lt;"&amp;BJ8,WeightedMinAge05),MAX(CapacityAge05*АбонементНовых*BJ8,MeanMinAge05)))</f>
        <v/>
      </c>
      <c r="BK51" s="4">
        <f>IF(OR(BK24=0,5&lt;=КаникулыРоялти),0,BK24*IF(РоялтиПоГруппам="Да",MeanMinAge05+BK8*SUMIF(ThresholdAge05,"&lt;"&amp;BK8,WeightedRevAge05)-SUMIF(ThresholdAge05,"&lt;"&amp;BK8,WeightedMinAge05),MAX(CapacityAge05*АбонементНовых*BK8,MeanMinAge05)))</f>
        <v/>
      </c>
      <c r="BL51" s="4">
        <f>IF(OR(BL24=0,5&lt;=КаникулыРоялти),0,BL24*IF(РоялтиПоГруппам="Да",MeanMinAge05+BL8*SUMIF(ThresholdAge05,"&lt;"&amp;BL8,WeightedRevAge05)-SUMIF(ThresholdAge05,"&lt;"&amp;BL8,WeightedMinAge05),MAX(CapacityAge05*АбонементНовых*BL8,MeanMinAge05)))</f>
        <v/>
      </c>
      <c r="BM51" s="4">
        <f>IF(OR(BM24=0,5&lt;=КаникулыРоялти),0,BM24*IF(РоялтиПоГруппам="Да",MeanMinAge05+BM8*SUMIF(ThresholdAge05,"&lt;"&amp;BM8,WeightedRevAge05)-SUMIF(ThresholdAge05,"&lt;"&amp;BM8,WeightedMinAge05),MAX(CapacityAge05*АбонементНовых*BM8,MeanMinAge05)))</f>
        <v/>
      </c>
      <c r="BN51" s="4">
        <f>IF(OR(BN24=0,5&lt;=КаникулыРоялти),0,BN24*IF(РоялтиПоГруппам="Да",MeanMinAge05+BN8*SUMIF(ThresholdAge05,"&lt;"&amp;BN8,WeightedRevAge05)-SUMIF(ThresholdAge05,"&lt;"&amp;BN8,WeightedMinAge05),MAX(CapacityAge05*АбонементНовых*BN8,MeanMinAge05)))</f>
        <v/>
      </c>
      <c r="BO51" s="4">
        <f>IF(OR(BO24=0,5&lt;=КаникулыРоялти),0,BO24*IF(РоялтиПоГруппам="Да",MeanMinAge05+BO8*SUMIF(ThresholdAge05,"&lt;"&amp;BO8,WeightedRevAge05)-SUMIF(ThresholdAge05,"&lt;"&amp;BO8,WeightedMinAge05),MAX(CapacityAge05*АбонементНовых*BO8,MeanMinAge05)))</f>
        <v/>
      </c>
      <c r="BP51" s="4">
        <f>IF(OR(BP24=0,5&lt;=КаникулыРоялти),0,BP24*IF(РоялтиПоГруппам="Да",MeanMinAge05+BP8*SUMIF(ThresholdAge05,"&lt;"&amp;BP8,WeightedRevAge05)-SUMIF(ThresholdAge05,"&lt;"&amp;BP8,WeightedMinAge05),MAX(CapacityAge05*АбонементНовых*BP8,MeanMinAge05)))</f>
        <v/>
      </c>
      <c r="BQ51" s="4">
        <f>IF(OR(BQ24=0,5&lt;=КаникулыРоялти),0,BQ24*IF(РоялтиПоГруппам="Да",MeanMinAge05+BQ8*SUMIF(ThresholdAge05,"&lt;"&amp;BQ8,WeightedRevAge05)-SUMIF(ThresholdAge05,"&lt;"&amp;BQ8,WeightedMinAge05),MAX(CapacityAge05*АбонементНовых*BQ8,MeanMinAge05)))</f>
        <v/>
      </c>
      <c r="BR51" s="4">
        <f>IF(OR(BR24=0,5&lt;=КаникулыРоялти),0,BR24*IF(РоялтиПоГруппам="Да",MeanMinAge05+BR8*SUMIF(ThresholdAge05,"&lt;"&amp;BR8,WeightedRevAge05)-SUMIF(ThresholdAge05,"&lt;"&amp;BR8,WeightedMinAge05),MAX(CapacityAge05*АбонементНовых*BR8,MeanMinAge05)))</f>
        <v/>
      </c>
      <c r="BS51" s="4">
        <f>IF(OR(BS24=0,5&lt;=КаникулыРоялти),0,BS24*IF(РоялтиПоГруппам="Да",MeanMinAge05+BS8*SUMIF(ThresholdAge05,"&lt;"&amp;BS8,WeightedRevAge05)-SUMIF(ThresholdAge05,"&lt;"&amp;BS8,WeightedMinAge05),MAX(CapacityAge05*АбонементНовых*BS8,MeanMinAge05)))</f>
        <v/>
      </c>
      <c r="BT51" s="4">
        <f>IF(OR(BT24=0,5&lt;=КаникулыРоялти),0,BT24*IF(РоялтиПоГруппам="Да",MeanMinAge05+BT8*SUMIF(ThresholdAge05,"&lt;"&amp;BT8,WeightedRevAge05)-SUMIF(ThresholdAge05,"&lt;"&amp;BT8,WeightedMinAge05),MAX(CapacityAge05*АбонементНовых*BT8,MeanMinAge05)))</f>
        <v/>
      </c>
      <c r="BU51" s="4">
        <f>IF(OR(BU24=0,5&lt;=КаникулыРоялти),0,BU24*IF(РоялтиПоГруппам="Да",MeanMinAge05+BU8*SUMIF(ThresholdAge05,"&lt;"&amp;BU8,WeightedRevAge05)-SUMIF(ThresholdAge05,"&lt;"&amp;BU8,WeightedMinAge05),MAX(CapacityAge05*АбонементНовых*BU8,MeanMinAge05)))</f>
        <v/>
      </c>
      <c r="BV51" s="4">
        <f>IF(OR(BV24=0,5&lt;=КаникулыРоялти),0,BV24*IF(РоялтиПоГруппам="Да",MeanMinAge05+BV8*SUMIF(ThresholdAge05,"&lt;"&amp;BV8,WeightedRevAge05)-SUMIF(ThresholdAge05,"&lt;"&amp;BV8,WeightedMinAge05),MAX(CapacityAge05*АбонементНовых*BV8,MeanMinAge05)))</f>
        <v/>
      </c>
      <c r="BW51" s="4">
        <f>IF(OR(BW24=0,5&lt;=КаникулыРоялти),0,BW24*IF(РоялтиПоГруппам="Да",MeanMinAge05+BW8*SUMIF(ThresholdAge05,"&lt;"&amp;BW8,WeightedRevAge05)-SUMIF(ThresholdAge05,"&lt;"&amp;BW8,WeightedMinAge05),MAX(CapacityAge05*АбонементНовых*BW8,MeanMinAge05)))</f>
        <v/>
      </c>
      <c r="BX51" s="4">
        <f>IF(OR(BX24=0,5&lt;=КаникулыРоялти),0,BX24*IF(РоялтиПоГруппам="Да",MeanMinAge05+BX8*SUMIF(ThresholdAge05,"&lt;"&amp;BX8,WeightedRevAge05)-SUMIF(ThresholdAge05,"&lt;"&amp;BX8,WeightedMinAge05),MAX(CapacityAge05*АбонементНовых*BX8,MeanMinAge05)))</f>
        <v/>
      </c>
      <c r="BY51" s="4">
        <f>IF(OR(BY24=0,5&lt;=КаникулыРоялти),0,BY24*IF(РоялтиПоГруппам="Да",MeanMinAge05+BY8*SUMIF(ThresholdAge05,"&lt;"&amp;BY8,WeightedRevAge05)-SUMIF(ThresholdAge05,"&lt;"&amp;BY8,WeightedMinAge05),MAX(CapacityAge05*АбонементНовых*BY8,MeanMinAge05)))</f>
        <v/>
      </c>
    </row>
    <row r="52">
      <c r="B52" t="inlineStr">
        <is>
          <t>6 мес.</t>
        </is>
      </c>
      <c r="C52" t="inlineStr">
        <is>
          <t>₽</t>
        </is>
      </c>
      <c r="D52" s="117" t="inlineStr"/>
      <c r="E52" s="119">
        <f>SUM(L52:W52)</f>
        <v/>
      </c>
      <c r="F52" s="119">
        <f>SUM(X52:AI52)</f>
        <v/>
      </c>
      <c r="G52" s="119">
        <f>SUM(AJ52:AU52)</f>
        <v/>
      </c>
      <c r="H52" s="119">
        <f>SUM(AV52:BG52)</f>
        <v/>
      </c>
      <c r="I52" s="119">
        <f>SUM(BH52:BS52)</f>
        <v/>
      </c>
      <c r="J52" s="5">
        <f>SUM(L52:BS52)</f>
        <v/>
      </c>
      <c r="L52" s="4">
        <f>IF(OR(L25=0,6&lt;=КаникулыРоялти),0,L25*IF(РоялтиПоГруппам="Да",MeanMinAge06+L8*SUMIF(ThresholdAge06,"&lt;"&amp;L8,WeightedRevAge06)-SUMIF(ThresholdAge06,"&lt;"&amp;L8,WeightedMinAge06),MAX(CapacityAge06*АбонементНовых*L8,MeanMinAge06)))</f>
        <v/>
      </c>
      <c r="M52" s="4">
        <f>IF(OR(M25=0,6&lt;=КаникулыРоялти),0,M25*IF(РоялтиПоГруппам="Да",MeanMinAge06+M8*SUMIF(ThresholdAge06,"&lt;"&amp;M8,WeightedRevAge06)-SUMIF(ThresholdAge06,"&lt;"&amp;M8,WeightedMinAge06),MAX(CapacityAge06*АбонементНовых*M8,MeanMinAge06)))</f>
        <v/>
      </c>
      <c r="N52" s="4">
        <f>IF(OR(N25=0,6&lt;=КаникулыРоялти),0,N25*IF(РоялтиПоГруппам="Да",MeanMinAge06+N8*SUMIF(ThresholdAge06,"&lt;"&amp;N8,WeightedRevAge06)-SUMIF(ThresholdAge06,"&lt;"&amp;N8,WeightedMinAge06),MAX(CapacityAge06*АбонементНовых*N8,MeanMinAge06)))</f>
        <v/>
      </c>
      <c r="O52" s="4">
        <f>IF(OR(O25=0,6&lt;=КаникулыРоялти),0,O25*IF(РоялтиПоГруппам="Да",MeanMinAge06+O8*SUMIF(ThresholdAge06,"&lt;"&amp;O8,WeightedRevAge06)-SUMIF(ThresholdAge06,"&lt;"&amp;O8,WeightedMinAge06),MAX(CapacityAge06*АбонементНовых*O8,MeanMinAge06)))</f>
        <v/>
      </c>
      <c r="P52" s="4">
        <f>IF(OR(P25=0,6&lt;=КаникулыРоялти),0,P25*IF(РоялтиПоГруппам="Да",MeanMinAge06+P8*SUMIF(ThresholdAge06,"&lt;"&amp;P8,WeightedRevAge06)-SUMIF(ThresholdAge06,"&lt;"&amp;P8,WeightedMinAge06),MAX(CapacityAge06*АбонементНовых*P8,MeanMinAge06)))</f>
        <v/>
      </c>
      <c r="Q52" s="4">
        <f>IF(OR(Q25=0,6&lt;=КаникулыРоялти),0,Q25*IF(РоялтиПоГруппам="Да",MeanMinAge06+Q8*SUMIF(ThresholdAge06,"&lt;"&amp;Q8,WeightedRevAge06)-SUMIF(ThresholdAge06,"&lt;"&amp;Q8,WeightedMinAge06),MAX(CapacityAge06*АбонементНовых*Q8,MeanMinAge06)))</f>
        <v/>
      </c>
      <c r="R52" s="4">
        <f>IF(OR(R25=0,6&lt;=КаникулыРоялти),0,R25*IF(РоялтиПоГруппам="Да",MeanMinAge06+R8*SUMIF(ThresholdAge06,"&lt;"&amp;R8,WeightedRevAge06)-SUMIF(ThresholdAge06,"&lt;"&amp;R8,WeightedMinAge06),MAX(CapacityAge06*АбонементНовых*R8,MeanMinAge06)))</f>
        <v/>
      </c>
      <c r="S52" s="4">
        <f>IF(OR(S25=0,6&lt;=КаникулыРоялти),0,S25*IF(РоялтиПоГруппам="Да",MeanMinAge06+S8*SUMIF(ThresholdAge06,"&lt;"&amp;S8,WeightedRevAge06)-SUMIF(ThresholdAge06,"&lt;"&amp;S8,WeightedMinAge06),MAX(CapacityAge06*АбонементНовых*S8,MeanMinAge06)))</f>
        <v/>
      </c>
      <c r="T52" s="4">
        <f>IF(OR(T25=0,6&lt;=КаникулыРоялти),0,T25*IF(РоялтиПоГруппам="Да",MeanMinAge06+T8*SUMIF(ThresholdAge06,"&lt;"&amp;T8,WeightedRevAge06)-SUMIF(ThresholdAge06,"&lt;"&amp;T8,WeightedMinAge06),MAX(CapacityAge06*АбонементНовых*T8,MeanMinAge06)))</f>
        <v/>
      </c>
      <c r="U52" s="4">
        <f>IF(OR(U25=0,6&lt;=КаникулыРоялти),0,U25*IF(РоялтиПоГруппам="Да",MeanMinAge06+U8*SUMIF(ThresholdAge06,"&lt;"&amp;U8,WeightedRevAge06)-SUMIF(ThresholdAge06,"&lt;"&amp;U8,WeightedMinAge06),MAX(CapacityAge06*АбонементНовых*U8,MeanMinAge06)))</f>
        <v/>
      </c>
      <c r="V52" s="4">
        <f>IF(OR(V25=0,6&lt;=КаникулыРоялти),0,V25*IF(РоялтиПоГруппам="Да",MeanMinAge06+V8*SUMIF(ThresholdAge06,"&lt;"&amp;V8,WeightedRevAge06)-SUMIF(ThresholdAge06,"&lt;"&amp;V8,WeightedMinAge06),MAX(CapacityAge06*АбонементНовых*V8,MeanMinAge06)))</f>
        <v/>
      </c>
      <c r="W52" s="4">
        <f>IF(OR(W25=0,6&lt;=КаникулыРоялти),0,W25*IF(РоялтиПоГруппам="Да",MeanMinAge06+W8*SUMIF(ThresholdAge06,"&lt;"&amp;W8,WeightedRevAge06)-SUMIF(ThresholdAge06,"&lt;"&amp;W8,WeightedMinAge06),MAX(CapacityAge06*АбонементНовых*W8,MeanMinAge06)))</f>
        <v/>
      </c>
      <c r="X52" s="4">
        <f>IF(OR(X25=0,6&lt;=КаникулыРоялти),0,X25*IF(РоялтиПоГруппам="Да",MeanMinAge06+X8*SUMIF(ThresholdAge06,"&lt;"&amp;X8,WeightedRevAge06)-SUMIF(ThresholdAge06,"&lt;"&amp;X8,WeightedMinAge06),MAX(CapacityAge06*АбонементНовых*X8,MeanMinAge06)))</f>
        <v/>
      </c>
      <c r="Y52" s="4">
        <f>IF(OR(Y25=0,6&lt;=КаникулыРоялти),0,Y25*IF(РоялтиПоГруппам="Да",MeanMinAge06+Y8*SUMIF(ThresholdAge06,"&lt;"&amp;Y8,WeightedRevAge06)-SUMIF(ThresholdAge06,"&lt;"&amp;Y8,WeightedMinAge06),MAX(CapacityAge06*АбонементНовых*Y8,MeanMinAge06)))</f>
        <v/>
      </c>
      <c r="Z52" s="4">
        <f>IF(OR(Z25=0,6&lt;=КаникулыРоялти),0,Z25*IF(РоялтиПоГруппам="Да",MeanMinAge06+Z8*SUMIF(ThresholdAge06,"&lt;"&amp;Z8,WeightedRevAge06)-SUMIF(ThresholdAge06,"&lt;"&amp;Z8,WeightedMinAge06),MAX(CapacityAge06*АбонементНовых*Z8,MeanMinAge06)))</f>
        <v/>
      </c>
      <c r="AA52" s="4">
        <f>IF(OR(AA25=0,6&lt;=КаникулыРоялти),0,AA25*IF(РоялтиПоГруппам="Да",MeanMinAge06+AA8*SUMIF(ThresholdAge06,"&lt;"&amp;AA8,WeightedRevAge06)-SUMIF(ThresholdAge06,"&lt;"&amp;AA8,WeightedMinAge06),MAX(CapacityAge06*АбонементНовых*AA8,MeanMinAge06)))</f>
        <v/>
      </c>
      <c r="AB52" s="4">
        <f>IF(OR(AB25=0,6&lt;=КаникулыРоялти),0,AB25*IF(РоялтиПоГруппам="Да",MeanMinAge06+AB8*SUMIF(ThresholdAge06,"&lt;"&amp;AB8,WeightedRevAge06)-SUMIF(ThresholdAge06,"&lt;"&amp;AB8,WeightedMinAge06),MAX(CapacityAge06*АбонементНовых*AB8,MeanMinAge06)))</f>
        <v/>
      </c>
      <c r="AC52" s="4">
        <f>IF(OR(AC25=0,6&lt;=КаникулыРоялти),0,AC25*IF(РоялтиПоГруппам="Да",MeanMinAge06+AC8*SUMIF(ThresholdAge06,"&lt;"&amp;AC8,WeightedRevAge06)-SUMIF(ThresholdAge06,"&lt;"&amp;AC8,WeightedMinAge06),MAX(CapacityAge06*АбонементНовых*AC8,MeanMinAge06)))</f>
        <v/>
      </c>
      <c r="AD52" s="4">
        <f>IF(OR(AD25=0,6&lt;=КаникулыРоялти),0,AD25*IF(РоялтиПоГруппам="Да",MeanMinAge06+AD8*SUMIF(ThresholdAge06,"&lt;"&amp;AD8,WeightedRevAge06)-SUMIF(ThresholdAge06,"&lt;"&amp;AD8,WeightedMinAge06),MAX(CapacityAge06*АбонементНовых*AD8,MeanMinAge06)))</f>
        <v/>
      </c>
      <c r="AE52" s="4">
        <f>IF(OR(AE25=0,6&lt;=КаникулыРоялти),0,AE25*IF(РоялтиПоГруппам="Да",MeanMinAge06+AE8*SUMIF(ThresholdAge06,"&lt;"&amp;AE8,WeightedRevAge06)-SUMIF(ThresholdAge06,"&lt;"&amp;AE8,WeightedMinAge06),MAX(CapacityAge06*АбонементНовых*AE8,MeanMinAge06)))</f>
        <v/>
      </c>
      <c r="AF52" s="4">
        <f>IF(OR(AF25=0,6&lt;=КаникулыРоялти),0,AF25*IF(РоялтиПоГруппам="Да",MeanMinAge06+AF8*SUMIF(ThresholdAge06,"&lt;"&amp;AF8,WeightedRevAge06)-SUMIF(ThresholdAge06,"&lt;"&amp;AF8,WeightedMinAge06),MAX(CapacityAge06*АбонементНовых*AF8,MeanMinAge06)))</f>
        <v/>
      </c>
      <c r="AG52" s="4">
        <f>IF(OR(AG25=0,6&lt;=КаникулыРоялти),0,AG25*IF(РоялтиПоГруппам="Да",MeanMinAge06+AG8*SUMIF(ThresholdAge06,"&lt;"&amp;AG8,WeightedRevAge06)-SUMIF(ThresholdAge06,"&lt;"&amp;AG8,WeightedMinAge06),MAX(CapacityAge06*АбонементНовых*AG8,MeanMinAge06)))</f>
        <v/>
      </c>
      <c r="AH52" s="4">
        <f>IF(OR(AH25=0,6&lt;=КаникулыРоялти),0,AH25*IF(РоялтиПоГруппам="Да",MeanMinAge06+AH8*SUMIF(ThresholdAge06,"&lt;"&amp;AH8,WeightedRevAge06)-SUMIF(ThresholdAge06,"&lt;"&amp;AH8,WeightedMinAge06),MAX(CapacityAge06*АбонементНовых*AH8,MeanMinAge06)))</f>
        <v/>
      </c>
      <c r="AI52" s="4">
        <f>IF(OR(AI25=0,6&lt;=КаникулыРоялти),0,AI25*IF(РоялтиПоГруппам="Да",MeanMinAge06+AI8*SUMIF(ThresholdAge06,"&lt;"&amp;AI8,WeightedRevAge06)-SUMIF(ThresholdAge06,"&lt;"&amp;AI8,WeightedMinAge06),MAX(CapacityAge06*АбонементНовых*AI8,MeanMinAge06)))</f>
        <v/>
      </c>
      <c r="AJ52" s="4">
        <f>IF(OR(AJ25=0,6&lt;=КаникулыРоялти),0,AJ25*IF(РоялтиПоГруппам="Да",MeanMinAge06+AJ8*SUMIF(ThresholdAge06,"&lt;"&amp;AJ8,WeightedRevAge06)-SUMIF(ThresholdAge06,"&lt;"&amp;AJ8,WeightedMinAge06),MAX(CapacityAge06*АбонементНовых*AJ8,MeanMinAge06)))</f>
        <v/>
      </c>
      <c r="AK52" s="4">
        <f>IF(OR(AK25=0,6&lt;=КаникулыРоялти),0,AK25*IF(РоялтиПоГруппам="Да",MeanMinAge06+AK8*SUMIF(ThresholdAge06,"&lt;"&amp;AK8,WeightedRevAge06)-SUMIF(ThresholdAge06,"&lt;"&amp;AK8,WeightedMinAge06),MAX(CapacityAge06*АбонементНовых*AK8,MeanMinAge06)))</f>
        <v/>
      </c>
      <c r="AL52" s="4">
        <f>IF(OR(AL25=0,6&lt;=КаникулыРоялти),0,AL25*IF(РоялтиПоГруппам="Да",MeanMinAge06+AL8*SUMIF(ThresholdAge06,"&lt;"&amp;AL8,WeightedRevAge06)-SUMIF(ThresholdAge06,"&lt;"&amp;AL8,WeightedMinAge06),MAX(CapacityAge06*АбонементНовых*AL8,MeanMinAge06)))</f>
        <v/>
      </c>
      <c r="AM52" s="4">
        <f>IF(OR(AM25=0,6&lt;=КаникулыРоялти),0,AM25*IF(РоялтиПоГруппам="Да",MeanMinAge06+AM8*SUMIF(ThresholdAge06,"&lt;"&amp;AM8,WeightedRevAge06)-SUMIF(ThresholdAge06,"&lt;"&amp;AM8,WeightedMinAge06),MAX(CapacityAge06*АбонементНовых*AM8,MeanMinAge06)))</f>
        <v/>
      </c>
      <c r="AN52" s="4">
        <f>IF(OR(AN25=0,6&lt;=КаникулыРоялти),0,AN25*IF(РоялтиПоГруппам="Да",MeanMinAge06+AN8*SUMIF(ThresholdAge06,"&lt;"&amp;AN8,WeightedRevAge06)-SUMIF(ThresholdAge06,"&lt;"&amp;AN8,WeightedMinAge06),MAX(CapacityAge06*АбонементНовых*AN8,MeanMinAge06)))</f>
        <v/>
      </c>
      <c r="AO52" s="4">
        <f>IF(OR(AO25=0,6&lt;=КаникулыРоялти),0,AO25*IF(РоялтиПоГруппам="Да",MeanMinAge06+AO8*SUMIF(ThresholdAge06,"&lt;"&amp;AO8,WeightedRevAge06)-SUMIF(ThresholdAge06,"&lt;"&amp;AO8,WeightedMinAge06),MAX(CapacityAge06*АбонементНовых*AO8,MeanMinAge06)))</f>
        <v/>
      </c>
      <c r="AP52" s="4">
        <f>IF(OR(AP25=0,6&lt;=КаникулыРоялти),0,AP25*IF(РоялтиПоГруппам="Да",MeanMinAge06+AP8*SUMIF(ThresholdAge06,"&lt;"&amp;AP8,WeightedRevAge06)-SUMIF(ThresholdAge06,"&lt;"&amp;AP8,WeightedMinAge06),MAX(CapacityAge06*АбонементНовых*AP8,MeanMinAge06)))</f>
        <v/>
      </c>
      <c r="AQ52" s="4">
        <f>IF(OR(AQ25=0,6&lt;=КаникулыРоялти),0,AQ25*IF(РоялтиПоГруппам="Да",MeanMinAge06+AQ8*SUMIF(ThresholdAge06,"&lt;"&amp;AQ8,WeightedRevAge06)-SUMIF(ThresholdAge06,"&lt;"&amp;AQ8,WeightedMinAge06),MAX(CapacityAge06*АбонементНовых*AQ8,MeanMinAge06)))</f>
        <v/>
      </c>
      <c r="AR52" s="4">
        <f>IF(OR(AR25=0,6&lt;=КаникулыРоялти),0,AR25*IF(РоялтиПоГруппам="Да",MeanMinAge06+AR8*SUMIF(ThresholdAge06,"&lt;"&amp;AR8,WeightedRevAge06)-SUMIF(ThresholdAge06,"&lt;"&amp;AR8,WeightedMinAge06),MAX(CapacityAge06*АбонементНовых*AR8,MeanMinAge06)))</f>
        <v/>
      </c>
      <c r="AS52" s="4">
        <f>IF(OR(AS25=0,6&lt;=КаникулыРоялти),0,AS25*IF(РоялтиПоГруппам="Да",MeanMinAge06+AS8*SUMIF(ThresholdAge06,"&lt;"&amp;AS8,WeightedRevAge06)-SUMIF(ThresholdAge06,"&lt;"&amp;AS8,WeightedMinAge06),MAX(CapacityAge06*АбонементНовых*AS8,MeanMinAge06)))</f>
        <v/>
      </c>
      <c r="AT52" s="4">
        <f>IF(OR(AT25=0,6&lt;=КаникулыРоялти),0,AT25*IF(РоялтиПоГруппам="Да",MeanMinAge06+AT8*SUMIF(ThresholdAge06,"&lt;"&amp;AT8,WeightedRevAge06)-SUMIF(ThresholdAge06,"&lt;"&amp;AT8,WeightedMinAge06),MAX(CapacityAge06*АбонементНовых*AT8,MeanMinAge06)))</f>
        <v/>
      </c>
      <c r="AU52" s="4">
        <f>IF(OR(AU25=0,6&lt;=КаникулыРоялти),0,AU25*IF(РоялтиПоГруппам="Да",MeanMinAge06+AU8*SUMIF(ThresholdAge06,"&lt;"&amp;AU8,WeightedRevAge06)-SUMIF(ThresholdAge06,"&lt;"&amp;AU8,WeightedMinAge06),MAX(CapacityAge06*АбонементНовых*AU8,MeanMinAge06)))</f>
        <v/>
      </c>
      <c r="AV52" s="4">
        <f>IF(OR(AV25=0,6&lt;=КаникулыРоялти),0,AV25*IF(РоялтиПоГруппам="Да",MeanMinAge06+AV8*SUMIF(ThresholdAge06,"&lt;"&amp;AV8,WeightedRevAge06)-SUMIF(ThresholdAge06,"&lt;"&amp;AV8,WeightedMinAge06),MAX(CapacityAge06*АбонементНовых*AV8,MeanMinAge06)))</f>
        <v/>
      </c>
      <c r="AW52" s="4">
        <f>IF(OR(AW25=0,6&lt;=КаникулыРоялти),0,AW25*IF(РоялтиПоГруппам="Да",MeanMinAge06+AW8*SUMIF(ThresholdAge06,"&lt;"&amp;AW8,WeightedRevAge06)-SUMIF(ThresholdAge06,"&lt;"&amp;AW8,WeightedMinAge06),MAX(CapacityAge06*АбонементНовых*AW8,MeanMinAge06)))</f>
        <v/>
      </c>
      <c r="AX52" s="4">
        <f>IF(OR(AX25=0,6&lt;=КаникулыРоялти),0,AX25*IF(РоялтиПоГруппам="Да",MeanMinAge06+AX8*SUMIF(ThresholdAge06,"&lt;"&amp;AX8,WeightedRevAge06)-SUMIF(ThresholdAge06,"&lt;"&amp;AX8,WeightedMinAge06),MAX(CapacityAge06*АбонементНовых*AX8,MeanMinAge06)))</f>
        <v/>
      </c>
      <c r="AY52" s="4">
        <f>IF(OR(AY25=0,6&lt;=КаникулыРоялти),0,AY25*IF(РоялтиПоГруппам="Да",MeanMinAge06+AY8*SUMIF(ThresholdAge06,"&lt;"&amp;AY8,WeightedRevAge06)-SUMIF(ThresholdAge06,"&lt;"&amp;AY8,WeightedMinAge06),MAX(CapacityAge06*АбонементНовых*AY8,MeanMinAge06)))</f>
        <v/>
      </c>
      <c r="AZ52" s="4">
        <f>IF(OR(AZ25=0,6&lt;=КаникулыРоялти),0,AZ25*IF(РоялтиПоГруппам="Да",MeanMinAge06+AZ8*SUMIF(ThresholdAge06,"&lt;"&amp;AZ8,WeightedRevAge06)-SUMIF(ThresholdAge06,"&lt;"&amp;AZ8,WeightedMinAge06),MAX(CapacityAge06*АбонементНовых*AZ8,MeanMinAge06)))</f>
        <v/>
      </c>
      <c r="BA52" s="4">
        <f>IF(OR(BA25=0,6&lt;=КаникулыРоялти),0,BA25*IF(РоялтиПоГруппам="Да",MeanMinAge06+BA8*SUMIF(ThresholdAge06,"&lt;"&amp;BA8,WeightedRevAge06)-SUMIF(ThresholdAge06,"&lt;"&amp;BA8,WeightedMinAge06),MAX(CapacityAge06*АбонементНовых*BA8,MeanMinAge06)))</f>
        <v/>
      </c>
      <c r="BB52" s="4">
        <f>IF(OR(BB25=0,6&lt;=КаникулыРоялти),0,BB25*IF(РоялтиПоГруппам="Да",MeanMinAge06+BB8*SUMIF(ThresholdAge06,"&lt;"&amp;BB8,WeightedRevAge06)-SUMIF(ThresholdAge06,"&lt;"&amp;BB8,WeightedMinAge06),MAX(CapacityAge06*АбонементНовых*BB8,MeanMinAge06)))</f>
        <v/>
      </c>
      <c r="BC52" s="4">
        <f>IF(OR(BC25=0,6&lt;=КаникулыРоялти),0,BC25*IF(РоялтиПоГруппам="Да",MeanMinAge06+BC8*SUMIF(ThresholdAge06,"&lt;"&amp;BC8,WeightedRevAge06)-SUMIF(ThresholdAge06,"&lt;"&amp;BC8,WeightedMinAge06),MAX(CapacityAge06*АбонементНовых*BC8,MeanMinAge06)))</f>
        <v/>
      </c>
      <c r="BD52" s="4">
        <f>IF(OR(BD25=0,6&lt;=КаникулыРоялти),0,BD25*IF(РоялтиПоГруппам="Да",MeanMinAge06+BD8*SUMIF(ThresholdAge06,"&lt;"&amp;BD8,WeightedRevAge06)-SUMIF(ThresholdAge06,"&lt;"&amp;BD8,WeightedMinAge06),MAX(CapacityAge06*АбонементНовых*BD8,MeanMinAge06)))</f>
        <v/>
      </c>
      <c r="BE52" s="4">
        <f>IF(OR(BE25=0,6&lt;=КаникулыРоялти),0,BE25*IF(РоялтиПоГруппам="Да",MeanMinAge06+BE8*SUMIF(ThresholdAge06,"&lt;"&amp;BE8,WeightedRevAge06)-SUMIF(ThresholdAge06,"&lt;"&amp;BE8,WeightedMinAge06),MAX(CapacityAge06*АбонементНовых*BE8,MeanMinAge06)))</f>
        <v/>
      </c>
      <c r="BF52" s="4">
        <f>IF(OR(BF25=0,6&lt;=КаникулыРоялти),0,BF25*IF(РоялтиПоГруппам="Да",MeanMinAge06+BF8*SUMIF(ThresholdAge06,"&lt;"&amp;BF8,WeightedRevAge06)-SUMIF(ThresholdAge06,"&lt;"&amp;BF8,WeightedMinAge06),MAX(CapacityAge06*АбонементНовых*BF8,MeanMinAge06)))</f>
        <v/>
      </c>
      <c r="BG52" s="4">
        <f>IF(OR(BG25=0,6&lt;=КаникулыРоялти),0,BG25*IF(РоялтиПоГруппам="Да",MeanMinAge06+BG8*SUMIF(ThresholdAge06,"&lt;"&amp;BG8,WeightedRevAge06)-SUMIF(ThresholdAge06,"&lt;"&amp;BG8,WeightedMinAge06),MAX(CapacityAge06*АбонементНовых*BG8,MeanMinAge06)))</f>
        <v/>
      </c>
      <c r="BH52" s="4">
        <f>IF(OR(BH25=0,6&lt;=КаникулыРоялти),0,BH25*IF(РоялтиПоГруппам="Да",MeanMinAge06+BH8*SUMIF(ThresholdAge06,"&lt;"&amp;BH8,WeightedRevAge06)-SUMIF(ThresholdAge06,"&lt;"&amp;BH8,WeightedMinAge06),MAX(CapacityAge06*АбонементНовых*BH8,MeanMinAge06)))</f>
        <v/>
      </c>
      <c r="BI52" s="4">
        <f>IF(OR(BI25=0,6&lt;=КаникулыРоялти),0,BI25*IF(РоялтиПоГруппам="Да",MeanMinAge06+BI8*SUMIF(ThresholdAge06,"&lt;"&amp;BI8,WeightedRevAge06)-SUMIF(ThresholdAge06,"&lt;"&amp;BI8,WeightedMinAge06),MAX(CapacityAge06*АбонементНовых*BI8,MeanMinAge06)))</f>
        <v/>
      </c>
      <c r="BJ52" s="4">
        <f>IF(OR(BJ25=0,6&lt;=КаникулыРоялти),0,BJ25*IF(РоялтиПоГруппам="Да",MeanMinAge06+BJ8*SUMIF(ThresholdAge06,"&lt;"&amp;BJ8,WeightedRevAge06)-SUMIF(ThresholdAge06,"&lt;"&amp;BJ8,WeightedMinAge06),MAX(CapacityAge06*АбонементНовых*BJ8,MeanMinAge06)))</f>
        <v/>
      </c>
      <c r="BK52" s="4">
        <f>IF(OR(BK25=0,6&lt;=КаникулыРоялти),0,BK25*IF(РоялтиПоГруппам="Да",MeanMinAge06+BK8*SUMIF(ThresholdAge06,"&lt;"&amp;BK8,WeightedRevAge06)-SUMIF(ThresholdAge06,"&lt;"&amp;BK8,WeightedMinAge06),MAX(CapacityAge06*АбонементНовых*BK8,MeanMinAge06)))</f>
        <v/>
      </c>
      <c r="BL52" s="4">
        <f>IF(OR(BL25=0,6&lt;=КаникулыРоялти),0,BL25*IF(РоялтиПоГруппам="Да",MeanMinAge06+BL8*SUMIF(ThresholdAge06,"&lt;"&amp;BL8,WeightedRevAge06)-SUMIF(ThresholdAge06,"&lt;"&amp;BL8,WeightedMinAge06),MAX(CapacityAge06*АбонементНовых*BL8,MeanMinAge06)))</f>
        <v/>
      </c>
      <c r="BM52" s="4">
        <f>IF(OR(BM25=0,6&lt;=КаникулыРоялти),0,BM25*IF(РоялтиПоГруппам="Да",MeanMinAge06+BM8*SUMIF(ThresholdAge06,"&lt;"&amp;BM8,WeightedRevAge06)-SUMIF(ThresholdAge06,"&lt;"&amp;BM8,WeightedMinAge06),MAX(CapacityAge06*АбонементНовых*BM8,MeanMinAge06)))</f>
        <v/>
      </c>
      <c r="BN52" s="4">
        <f>IF(OR(BN25=0,6&lt;=КаникулыРоялти),0,BN25*IF(РоялтиПоГруппам="Да",MeanMinAge06+BN8*SUMIF(ThresholdAge06,"&lt;"&amp;BN8,WeightedRevAge06)-SUMIF(ThresholdAge06,"&lt;"&amp;BN8,WeightedMinAge06),MAX(CapacityAge06*АбонементНовых*BN8,MeanMinAge06)))</f>
        <v/>
      </c>
      <c r="BO52" s="4">
        <f>IF(OR(BO25=0,6&lt;=КаникулыРоялти),0,BO25*IF(РоялтиПоГруппам="Да",MeanMinAge06+BO8*SUMIF(ThresholdAge06,"&lt;"&amp;BO8,WeightedRevAge06)-SUMIF(ThresholdAge06,"&lt;"&amp;BO8,WeightedMinAge06),MAX(CapacityAge06*АбонементНовых*BO8,MeanMinAge06)))</f>
        <v/>
      </c>
      <c r="BP52" s="4">
        <f>IF(OR(BP25=0,6&lt;=КаникулыРоялти),0,BP25*IF(РоялтиПоГруппам="Да",MeanMinAge06+BP8*SUMIF(ThresholdAge06,"&lt;"&amp;BP8,WeightedRevAge06)-SUMIF(ThresholdAge06,"&lt;"&amp;BP8,WeightedMinAge06),MAX(CapacityAge06*АбонементНовых*BP8,MeanMinAge06)))</f>
        <v/>
      </c>
      <c r="BQ52" s="4">
        <f>IF(OR(BQ25=0,6&lt;=КаникулыРоялти),0,BQ25*IF(РоялтиПоГруппам="Да",MeanMinAge06+BQ8*SUMIF(ThresholdAge06,"&lt;"&amp;BQ8,WeightedRevAge06)-SUMIF(ThresholdAge06,"&lt;"&amp;BQ8,WeightedMinAge06),MAX(CapacityAge06*АбонементНовых*BQ8,MeanMinAge06)))</f>
        <v/>
      </c>
      <c r="BR52" s="4">
        <f>IF(OR(BR25=0,6&lt;=КаникулыРоялти),0,BR25*IF(РоялтиПоГруппам="Да",MeanMinAge06+BR8*SUMIF(ThresholdAge06,"&lt;"&amp;BR8,WeightedRevAge06)-SUMIF(ThresholdAge06,"&lt;"&amp;BR8,WeightedMinAge06),MAX(CapacityAge06*АбонементНовых*BR8,MeanMinAge06)))</f>
        <v/>
      </c>
      <c r="BS52" s="4">
        <f>IF(OR(BS25=0,6&lt;=КаникулыРоялти),0,BS25*IF(РоялтиПоГруппам="Да",MeanMinAge06+BS8*SUMIF(ThresholdAge06,"&lt;"&amp;BS8,WeightedRevAge06)-SUMIF(ThresholdAge06,"&lt;"&amp;BS8,WeightedMinAge06),MAX(CapacityAge06*АбонементНовых*BS8,MeanMinAge06)))</f>
        <v/>
      </c>
      <c r="BT52" s="4">
        <f>IF(OR(BT25=0,6&lt;=КаникулыРоялти),0,BT25*IF(РоялтиПоГруппам="Да",MeanMinAge06+BT8*SUMIF(ThresholdAge06,"&lt;"&amp;BT8,WeightedRevAge06)-SUMIF(ThresholdAge06,"&lt;"&amp;BT8,WeightedMinAge06),MAX(CapacityAge06*АбонементНовых*BT8,MeanMinAge06)))</f>
        <v/>
      </c>
      <c r="BU52" s="4">
        <f>IF(OR(BU25=0,6&lt;=КаникулыРоялти),0,BU25*IF(РоялтиПоГруппам="Да",MeanMinAge06+BU8*SUMIF(ThresholdAge06,"&lt;"&amp;BU8,WeightedRevAge06)-SUMIF(ThresholdAge06,"&lt;"&amp;BU8,WeightedMinAge06),MAX(CapacityAge06*АбонементНовых*BU8,MeanMinAge06)))</f>
        <v/>
      </c>
      <c r="BV52" s="4">
        <f>IF(OR(BV25=0,6&lt;=КаникулыРоялти),0,BV25*IF(РоялтиПоГруппам="Да",MeanMinAge06+BV8*SUMIF(ThresholdAge06,"&lt;"&amp;BV8,WeightedRevAge06)-SUMIF(ThresholdAge06,"&lt;"&amp;BV8,WeightedMinAge06),MAX(CapacityAge06*АбонементНовых*BV8,MeanMinAge06)))</f>
        <v/>
      </c>
      <c r="BW52" s="4">
        <f>IF(OR(BW25=0,6&lt;=КаникулыРоялти),0,BW25*IF(РоялтиПоГруппам="Да",MeanMinAge06+BW8*SUMIF(ThresholdAge06,"&lt;"&amp;BW8,WeightedRevAge06)-SUMIF(ThresholdAge06,"&lt;"&amp;BW8,WeightedMinAge06),MAX(CapacityAge06*АбонементНовых*BW8,MeanMinAge06)))</f>
        <v/>
      </c>
      <c r="BX52" s="4">
        <f>IF(OR(BX25=0,6&lt;=КаникулыРоялти),0,BX25*IF(РоялтиПоГруппам="Да",MeanMinAge06+BX8*SUMIF(ThresholdAge06,"&lt;"&amp;BX8,WeightedRevAge06)-SUMIF(ThresholdAge06,"&lt;"&amp;BX8,WeightedMinAge06),MAX(CapacityAge06*АбонементНовых*BX8,MeanMinAge06)))</f>
        <v/>
      </c>
      <c r="BY52" s="4">
        <f>IF(OR(BY25=0,6&lt;=КаникулыРоялти),0,BY25*IF(РоялтиПоГруппам="Да",MeanMinAge06+BY8*SUMIF(ThresholdAge06,"&lt;"&amp;BY8,WeightedRevAge06)-SUMIF(ThresholdAge06,"&lt;"&amp;BY8,WeightedMinAge06),MAX(CapacityAge06*АбонементНовых*BY8,MeanMinAge06)))</f>
        <v/>
      </c>
    </row>
    <row r="53">
      <c r="B53" t="inlineStr">
        <is>
          <t>7 мес.</t>
        </is>
      </c>
      <c r="C53" t="inlineStr">
        <is>
          <t>₽</t>
        </is>
      </c>
      <c r="D53" s="117" t="inlineStr"/>
      <c r="E53" s="119">
        <f>SUM(L53:W53)</f>
        <v/>
      </c>
      <c r="F53" s="119">
        <f>SUM(X53:AI53)</f>
        <v/>
      </c>
      <c r="G53" s="119">
        <f>SUM(AJ53:AU53)</f>
        <v/>
      </c>
      <c r="H53" s="119">
        <f>SUM(AV53:BG53)</f>
        <v/>
      </c>
      <c r="I53" s="119">
        <f>SUM(BH53:BS53)</f>
        <v/>
      </c>
      <c r="J53" s="5">
        <f>SUM(L53:BS53)</f>
        <v/>
      </c>
      <c r="L53" s="4">
        <f>IF(OR(L26=0,7&lt;=КаникулыРоялти),0,L26*IF(РоялтиПоГруппам="Да",MeanMinAge07+L8*SUMIF(ThresholdAge07,"&lt;"&amp;L8,WeightedRevAge07)-SUMIF(ThresholdAge07,"&lt;"&amp;L8,WeightedMinAge07),MAX(CapacityAge07*АбонементНовых*L8,MeanMinAge07)))</f>
        <v/>
      </c>
      <c r="M53" s="4">
        <f>IF(OR(M26=0,7&lt;=КаникулыРоялти),0,M26*IF(РоялтиПоГруппам="Да",MeanMinAge07+M8*SUMIF(ThresholdAge07,"&lt;"&amp;M8,WeightedRevAge07)-SUMIF(ThresholdAge07,"&lt;"&amp;M8,WeightedMinAge07),MAX(CapacityAge07*АбонементНовых*M8,MeanMinAge07)))</f>
        <v/>
      </c>
      <c r="N53" s="4">
        <f>IF(OR(N26=0,7&lt;=КаникулыРоялти),0,N26*IF(РоялтиПоГруппам="Да",MeanMinAge07+N8*SUMIF(ThresholdAge07,"&lt;"&amp;N8,WeightedRevAge07)-SUMIF(ThresholdAge07,"&lt;"&amp;N8,WeightedMinAge07),MAX(CapacityAge07*АбонементНовых*N8,MeanMinAge07)))</f>
        <v/>
      </c>
      <c r="O53" s="4">
        <f>IF(OR(O26=0,7&lt;=КаникулыРоялти),0,O26*IF(РоялтиПоГруппам="Да",MeanMinAge07+O8*SUMIF(ThresholdAge07,"&lt;"&amp;O8,WeightedRevAge07)-SUMIF(ThresholdAge07,"&lt;"&amp;O8,WeightedMinAge07),MAX(CapacityAge07*АбонементНовых*O8,MeanMinAge07)))</f>
        <v/>
      </c>
      <c r="P53" s="4">
        <f>IF(OR(P26=0,7&lt;=КаникулыРоялти),0,P26*IF(РоялтиПоГруппам="Да",MeanMinAge07+P8*SUMIF(ThresholdAge07,"&lt;"&amp;P8,WeightedRevAge07)-SUMIF(ThresholdAge07,"&lt;"&amp;P8,WeightedMinAge07),MAX(CapacityAge07*АбонементНовых*P8,MeanMinAge07)))</f>
        <v/>
      </c>
      <c r="Q53" s="4">
        <f>IF(OR(Q26=0,7&lt;=КаникулыРоялти),0,Q26*IF(РоялтиПоГруппам="Да",MeanMinAge07+Q8*SUMIF(ThresholdAge07,"&lt;"&amp;Q8,WeightedRevAge07)-SUMIF(ThresholdAge07,"&lt;"&amp;Q8,WeightedMinAge07),MAX(CapacityAge07*АбонементНовых*Q8,MeanMinAge07)))</f>
        <v/>
      </c>
      <c r="R53" s="4">
        <f>IF(OR(R26=0,7&lt;=КаникулыРоялти),0,R26*IF(РоялтиПоГруппам="Да",MeanMinAge07+R8*SUMIF(ThresholdAge07,"&lt;"&amp;R8,WeightedRevAge07)-SUMIF(ThresholdAge07,"&lt;"&amp;R8,WeightedMinAge07),MAX(CapacityAge07*АбонементНовых*R8,MeanMinAge07)))</f>
        <v/>
      </c>
      <c r="S53" s="4">
        <f>IF(OR(S26=0,7&lt;=КаникулыРоялти),0,S26*IF(РоялтиПоГруппам="Да",MeanMinAge07+S8*SUMIF(ThresholdAge07,"&lt;"&amp;S8,WeightedRevAge07)-SUMIF(ThresholdAge07,"&lt;"&amp;S8,WeightedMinAge07),MAX(CapacityAge07*АбонементНовых*S8,MeanMinAge07)))</f>
        <v/>
      </c>
      <c r="T53" s="4">
        <f>IF(OR(T26=0,7&lt;=КаникулыРоялти),0,T26*IF(РоялтиПоГруппам="Да",MeanMinAge07+T8*SUMIF(ThresholdAge07,"&lt;"&amp;T8,WeightedRevAge07)-SUMIF(ThresholdAge07,"&lt;"&amp;T8,WeightedMinAge07),MAX(CapacityAge07*АбонементНовых*T8,MeanMinAge07)))</f>
        <v/>
      </c>
      <c r="U53" s="4">
        <f>IF(OR(U26=0,7&lt;=КаникулыРоялти),0,U26*IF(РоялтиПоГруппам="Да",MeanMinAge07+U8*SUMIF(ThresholdAge07,"&lt;"&amp;U8,WeightedRevAge07)-SUMIF(ThresholdAge07,"&lt;"&amp;U8,WeightedMinAge07),MAX(CapacityAge07*АбонементНовых*U8,MeanMinAge07)))</f>
        <v/>
      </c>
      <c r="V53" s="4">
        <f>IF(OR(V26=0,7&lt;=КаникулыРоялти),0,V26*IF(РоялтиПоГруппам="Да",MeanMinAge07+V8*SUMIF(ThresholdAge07,"&lt;"&amp;V8,WeightedRevAge07)-SUMIF(ThresholdAge07,"&lt;"&amp;V8,WeightedMinAge07),MAX(CapacityAge07*АбонементНовых*V8,MeanMinAge07)))</f>
        <v/>
      </c>
      <c r="W53" s="4">
        <f>IF(OR(W26=0,7&lt;=КаникулыРоялти),0,W26*IF(РоялтиПоГруппам="Да",MeanMinAge07+W8*SUMIF(ThresholdAge07,"&lt;"&amp;W8,WeightedRevAge07)-SUMIF(ThresholdAge07,"&lt;"&amp;W8,WeightedMinAge07),MAX(CapacityAge07*АбонементНовых*W8,MeanMinAge07)))</f>
        <v/>
      </c>
      <c r="X53" s="4">
        <f>IF(OR(X26=0,7&lt;=КаникулыРоялти),0,X26*IF(РоялтиПоГруппам="Да",MeanMinAge07+X8*SUMIF(ThresholdAge07,"&lt;"&amp;X8,WeightedRevAge07)-SUMIF(ThresholdAge07,"&lt;"&amp;X8,WeightedMinAge07),MAX(CapacityAge07*АбонементНовых*X8,MeanMinAge07)))</f>
        <v/>
      </c>
      <c r="Y53" s="4">
        <f>IF(OR(Y26=0,7&lt;=КаникулыРоялти),0,Y26*IF(РоялтиПоГруппам="Да",MeanMinAge07+Y8*SUMIF(ThresholdAge07,"&lt;"&amp;Y8,WeightedRevAge07)-SUMIF(ThresholdAge07,"&lt;"&amp;Y8,WeightedMinAge07),MAX(CapacityAge07*АбонементНовых*Y8,MeanMinAge07)))</f>
        <v/>
      </c>
      <c r="Z53" s="4">
        <f>IF(OR(Z26=0,7&lt;=КаникулыРоялти),0,Z26*IF(РоялтиПоГруппам="Да",MeanMinAge07+Z8*SUMIF(ThresholdAge07,"&lt;"&amp;Z8,WeightedRevAge07)-SUMIF(ThresholdAge07,"&lt;"&amp;Z8,WeightedMinAge07),MAX(CapacityAge07*АбонементНовых*Z8,MeanMinAge07)))</f>
        <v/>
      </c>
      <c r="AA53" s="4">
        <f>IF(OR(AA26=0,7&lt;=КаникулыРоялти),0,AA26*IF(РоялтиПоГруппам="Да",MeanMinAge07+AA8*SUMIF(ThresholdAge07,"&lt;"&amp;AA8,WeightedRevAge07)-SUMIF(ThresholdAge07,"&lt;"&amp;AA8,WeightedMinAge07),MAX(CapacityAge07*АбонементНовых*AA8,MeanMinAge07)))</f>
        <v/>
      </c>
      <c r="AB53" s="4">
        <f>IF(OR(AB26=0,7&lt;=КаникулыРоялти),0,AB26*IF(РоялтиПоГруппам="Да",MeanMinAge07+AB8*SUMIF(ThresholdAge07,"&lt;"&amp;AB8,WeightedRevAge07)-SUMIF(ThresholdAge07,"&lt;"&amp;AB8,WeightedMinAge07),MAX(CapacityAge07*АбонементНовых*AB8,MeanMinAge07)))</f>
        <v/>
      </c>
      <c r="AC53" s="4">
        <f>IF(OR(AC26=0,7&lt;=КаникулыРоялти),0,AC26*IF(РоялтиПоГруппам="Да",MeanMinAge07+AC8*SUMIF(ThresholdAge07,"&lt;"&amp;AC8,WeightedRevAge07)-SUMIF(ThresholdAge07,"&lt;"&amp;AC8,WeightedMinAge07),MAX(CapacityAge07*АбонементНовых*AC8,MeanMinAge07)))</f>
        <v/>
      </c>
      <c r="AD53" s="4">
        <f>IF(OR(AD26=0,7&lt;=КаникулыРоялти),0,AD26*IF(РоялтиПоГруппам="Да",MeanMinAge07+AD8*SUMIF(ThresholdAge07,"&lt;"&amp;AD8,WeightedRevAge07)-SUMIF(ThresholdAge07,"&lt;"&amp;AD8,WeightedMinAge07),MAX(CapacityAge07*АбонементНовых*AD8,MeanMinAge07)))</f>
        <v/>
      </c>
      <c r="AE53" s="4">
        <f>IF(OR(AE26=0,7&lt;=КаникулыРоялти),0,AE26*IF(РоялтиПоГруппам="Да",MeanMinAge07+AE8*SUMIF(ThresholdAge07,"&lt;"&amp;AE8,WeightedRevAge07)-SUMIF(ThresholdAge07,"&lt;"&amp;AE8,WeightedMinAge07),MAX(CapacityAge07*АбонементНовых*AE8,MeanMinAge07)))</f>
        <v/>
      </c>
      <c r="AF53" s="4">
        <f>IF(OR(AF26=0,7&lt;=КаникулыРоялти),0,AF26*IF(РоялтиПоГруппам="Да",MeanMinAge07+AF8*SUMIF(ThresholdAge07,"&lt;"&amp;AF8,WeightedRevAge07)-SUMIF(ThresholdAge07,"&lt;"&amp;AF8,WeightedMinAge07),MAX(CapacityAge07*АбонементНовых*AF8,MeanMinAge07)))</f>
        <v/>
      </c>
      <c r="AG53" s="4">
        <f>IF(OR(AG26=0,7&lt;=КаникулыРоялти),0,AG26*IF(РоялтиПоГруппам="Да",MeanMinAge07+AG8*SUMIF(ThresholdAge07,"&lt;"&amp;AG8,WeightedRevAge07)-SUMIF(ThresholdAge07,"&lt;"&amp;AG8,WeightedMinAge07),MAX(CapacityAge07*АбонементНовых*AG8,MeanMinAge07)))</f>
        <v/>
      </c>
      <c r="AH53" s="4">
        <f>IF(OR(AH26=0,7&lt;=КаникулыРоялти),0,AH26*IF(РоялтиПоГруппам="Да",MeanMinAge07+AH8*SUMIF(ThresholdAge07,"&lt;"&amp;AH8,WeightedRevAge07)-SUMIF(ThresholdAge07,"&lt;"&amp;AH8,WeightedMinAge07),MAX(CapacityAge07*АбонементНовых*AH8,MeanMinAge07)))</f>
        <v/>
      </c>
      <c r="AI53" s="4">
        <f>IF(OR(AI26=0,7&lt;=КаникулыРоялти),0,AI26*IF(РоялтиПоГруппам="Да",MeanMinAge07+AI8*SUMIF(ThresholdAge07,"&lt;"&amp;AI8,WeightedRevAge07)-SUMIF(ThresholdAge07,"&lt;"&amp;AI8,WeightedMinAge07),MAX(CapacityAge07*АбонементНовых*AI8,MeanMinAge07)))</f>
        <v/>
      </c>
      <c r="AJ53" s="4">
        <f>IF(OR(AJ26=0,7&lt;=КаникулыРоялти),0,AJ26*IF(РоялтиПоГруппам="Да",MeanMinAge07+AJ8*SUMIF(ThresholdAge07,"&lt;"&amp;AJ8,WeightedRevAge07)-SUMIF(ThresholdAge07,"&lt;"&amp;AJ8,WeightedMinAge07),MAX(CapacityAge07*АбонементНовых*AJ8,MeanMinAge07)))</f>
        <v/>
      </c>
      <c r="AK53" s="4">
        <f>IF(OR(AK26=0,7&lt;=КаникулыРоялти),0,AK26*IF(РоялтиПоГруппам="Да",MeanMinAge07+AK8*SUMIF(ThresholdAge07,"&lt;"&amp;AK8,WeightedRevAge07)-SUMIF(ThresholdAge07,"&lt;"&amp;AK8,WeightedMinAge07),MAX(CapacityAge07*АбонементНовых*AK8,MeanMinAge07)))</f>
        <v/>
      </c>
      <c r="AL53" s="4">
        <f>IF(OR(AL26=0,7&lt;=КаникулыРоялти),0,AL26*IF(РоялтиПоГруппам="Да",MeanMinAge07+AL8*SUMIF(ThresholdAge07,"&lt;"&amp;AL8,WeightedRevAge07)-SUMIF(ThresholdAge07,"&lt;"&amp;AL8,WeightedMinAge07),MAX(CapacityAge07*АбонементНовых*AL8,MeanMinAge07)))</f>
        <v/>
      </c>
      <c r="AM53" s="4">
        <f>IF(OR(AM26=0,7&lt;=КаникулыРоялти),0,AM26*IF(РоялтиПоГруппам="Да",MeanMinAge07+AM8*SUMIF(ThresholdAge07,"&lt;"&amp;AM8,WeightedRevAge07)-SUMIF(ThresholdAge07,"&lt;"&amp;AM8,WeightedMinAge07),MAX(CapacityAge07*АбонементНовых*AM8,MeanMinAge07)))</f>
        <v/>
      </c>
      <c r="AN53" s="4">
        <f>IF(OR(AN26=0,7&lt;=КаникулыРоялти),0,AN26*IF(РоялтиПоГруппам="Да",MeanMinAge07+AN8*SUMIF(ThresholdAge07,"&lt;"&amp;AN8,WeightedRevAge07)-SUMIF(ThresholdAge07,"&lt;"&amp;AN8,WeightedMinAge07),MAX(CapacityAge07*АбонементНовых*AN8,MeanMinAge07)))</f>
        <v/>
      </c>
      <c r="AO53" s="4">
        <f>IF(OR(AO26=0,7&lt;=КаникулыРоялти),0,AO26*IF(РоялтиПоГруппам="Да",MeanMinAge07+AO8*SUMIF(ThresholdAge07,"&lt;"&amp;AO8,WeightedRevAge07)-SUMIF(ThresholdAge07,"&lt;"&amp;AO8,WeightedMinAge07),MAX(CapacityAge07*АбонементНовых*AO8,MeanMinAge07)))</f>
        <v/>
      </c>
      <c r="AP53" s="4">
        <f>IF(OR(AP26=0,7&lt;=КаникулыРоялти),0,AP26*IF(РоялтиПоГруппам="Да",MeanMinAge07+AP8*SUMIF(ThresholdAge07,"&lt;"&amp;AP8,WeightedRevAge07)-SUMIF(ThresholdAge07,"&lt;"&amp;AP8,WeightedMinAge07),MAX(CapacityAge07*АбонементНовых*AP8,MeanMinAge07)))</f>
        <v/>
      </c>
      <c r="AQ53" s="4">
        <f>IF(OR(AQ26=0,7&lt;=КаникулыРоялти),0,AQ26*IF(РоялтиПоГруппам="Да",MeanMinAge07+AQ8*SUMIF(ThresholdAge07,"&lt;"&amp;AQ8,WeightedRevAge07)-SUMIF(ThresholdAge07,"&lt;"&amp;AQ8,WeightedMinAge07),MAX(CapacityAge07*АбонементНовых*AQ8,MeanMinAge07)))</f>
        <v/>
      </c>
      <c r="AR53" s="4">
        <f>IF(OR(AR26=0,7&lt;=КаникулыРоялти),0,AR26*IF(РоялтиПоГруппам="Да",MeanMinAge07+AR8*SUMIF(ThresholdAge07,"&lt;"&amp;AR8,WeightedRevAge07)-SUMIF(ThresholdAge07,"&lt;"&amp;AR8,WeightedMinAge07),MAX(CapacityAge07*АбонементНовых*AR8,MeanMinAge07)))</f>
        <v/>
      </c>
      <c r="AS53" s="4">
        <f>IF(OR(AS26=0,7&lt;=КаникулыРоялти),0,AS26*IF(РоялтиПоГруппам="Да",MeanMinAge07+AS8*SUMIF(ThresholdAge07,"&lt;"&amp;AS8,WeightedRevAge07)-SUMIF(ThresholdAge07,"&lt;"&amp;AS8,WeightedMinAge07),MAX(CapacityAge07*АбонементНовых*AS8,MeanMinAge07)))</f>
        <v/>
      </c>
      <c r="AT53" s="4">
        <f>IF(OR(AT26=0,7&lt;=КаникулыРоялти),0,AT26*IF(РоялтиПоГруппам="Да",MeanMinAge07+AT8*SUMIF(ThresholdAge07,"&lt;"&amp;AT8,WeightedRevAge07)-SUMIF(ThresholdAge07,"&lt;"&amp;AT8,WeightedMinAge07),MAX(CapacityAge07*АбонементНовых*AT8,MeanMinAge07)))</f>
        <v/>
      </c>
      <c r="AU53" s="4">
        <f>IF(OR(AU26=0,7&lt;=КаникулыРоялти),0,AU26*IF(РоялтиПоГруппам="Да",MeanMinAge07+AU8*SUMIF(ThresholdAge07,"&lt;"&amp;AU8,WeightedRevAge07)-SUMIF(ThresholdAge07,"&lt;"&amp;AU8,WeightedMinAge07),MAX(CapacityAge07*АбонементНовых*AU8,MeanMinAge07)))</f>
        <v/>
      </c>
      <c r="AV53" s="4">
        <f>IF(OR(AV26=0,7&lt;=КаникулыРоялти),0,AV26*IF(РоялтиПоГруппам="Да",MeanMinAge07+AV8*SUMIF(ThresholdAge07,"&lt;"&amp;AV8,WeightedRevAge07)-SUMIF(ThresholdAge07,"&lt;"&amp;AV8,WeightedMinAge07),MAX(CapacityAge07*АбонементНовых*AV8,MeanMinAge07)))</f>
        <v/>
      </c>
      <c r="AW53" s="4">
        <f>IF(OR(AW26=0,7&lt;=КаникулыРоялти),0,AW26*IF(РоялтиПоГруппам="Да",MeanMinAge07+AW8*SUMIF(ThresholdAge07,"&lt;"&amp;AW8,WeightedRevAge07)-SUMIF(ThresholdAge07,"&lt;"&amp;AW8,WeightedMinAge07),MAX(CapacityAge07*АбонементНовых*AW8,MeanMinAge07)))</f>
        <v/>
      </c>
      <c r="AX53" s="4">
        <f>IF(OR(AX26=0,7&lt;=КаникулыРоялти),0,AX26*IF(РоялтиПоГруппам="Да",MeanMinAge07+AX8*SUMIF(ThresholdAge07,"&lt;"&amp;AX8,WeightedRevAge07)-SUMIF(ThresholdAge07,"&lt;"&amp;AX8,WeightedMinAge07),MAX(CapacityAge07*АбонементНовых*AX8,MeanMinAge07)))</f>
        <v/>
      </c>
      <c r="AY53" s="4">
        <f>IF(OR(AY26=0,7&lt;=КаникулыРоялти),0,AY26*IF(РоялтиПоГруппам="Да",MeanMinAge07+AY8*SUMIF(ThresholdAge07,"&lt;"&amp;AY8,WeightedRevAge07)-SUMIF(ThresholdAge07,"&lt;"&amp;AY8,WeightedMinAge07),MAX(CapacityAge07*АбонементНовых*AY8,MeanMinAge07)))</f>
        <v/>
      </c>
      <c r="AZ53" s="4">
        <f>IF(OR(AZ26=0,7&lt;=КаникулыРоялти),0,AZ26*IF(РоялтиПоГруппам="Да",MeanMinAge07+AZ8*SUMIF(ThresholdAge07,"&lt;"&amp;AZ8,WeightedRevAge07)-SUMIF(ThresholdAge07,"&lt;"&amp;AZ8,WeightedMinAge07),MAX(CapacityAge07*АбонементНовых*AZ8,MeanMinAge07)))</f>
        <v/>
      </c>
      <c r="BA53" s="4">
        <f>IF(OR(BA26=0,7&lt;=КаникулыРоялти),0,BA26*IF(РоялтиПоГруппам="Да",MeanMinAge07+BA8*SUMIF(ThresholdAge07,"&lt;"&amp;BA8,WeightedRevAge07)-SUMIF(ThresholdAge07,"&lt;"&amp;BA8,WeightedMinAge07),MAX(CapacityAge07*АбонементНовых*BA8,MeanMinAge07)))</f>
        <v/>
      </c>
      <c r="BB53" s="4">
        <f>IF(OR(BB26=0,7&lt;=КаникулыРоялти),0,BB26*IF(РоялтиПоГруппам="Да",MeanMinAge07+BB8*SUMIF(ThresholdAge07,"&lt;"&amp;BB8,WeightedRevAge07)-SUMIF(ThresholdAge07,"&lt;"&amp;BB8,WeightedMinAge07),MAX(CapacityAge07*АбонементНовых*BB8,MeanMinAge07)))</f>
        <v/>
      </c>
      <c r="BC53" s="4">
        <f>IF(OR(BC26=0,7&lt;=КаникулыРоялти),0,BC26*IF(РоялтиПоГруппам="Да",MeanMinAge07+BC8*SUMIF(ThresholdAge07,"&lt;"&amp;BC8,WeightedRevAge07)-SUMIF(ThresholdAge07,"&lt;"&amp;BC8,WeightedMinAge07),MAX(CapacityAge07*АбонементНовых*BC8,MeanMinAge07)))</f>
        <v/>
      </c>
      <c r="BD53" s="4">
        <f>IF(OR(BD26=0,7&lt;=КаникулыРоялти),0,BD26*IF(РоялтиПоГруппам="Да",MeanMinAge07+BD8*SUMIF(ThresholdAge07,"&lt;"&amp;BD8,WeightedRevAge07)-SUMIF(ThresholdAge07,"&lt;"&amp;BD8,WeightedMinAge07),MAX(CapacityAge07*АбонементНовых*BD8,MeanMinAge07)))</f>
        <v/>
      </c>
      <c r="BE53" s="4">
        <f>IF(OR(BE26=0,7&lt;=КаникулыРоялти),0,BE26*IF(РоялтиПоГруппам="Да",MeanMinAge07+BE8*SUMIF(ThresholdAge07,"&lt;"&amp;BE8,WeightedRevAge07)-SUMIF(ThresholdAge07,"&lt;"&amp;BE8,WeightedMinAge07),MAX(CapacityAge07*АбонементНовых*BE8,MeanMinAge07)))</f>
        <v/>
      </c>
      <c r="BF53" s="4">
        <f>IF(OR(BF26=0,7&lt;=КаникулыРоялти),0,BF26*IF(РоялтиПоГруппам="Да",MeanMinAge07+BF8*SUMIF(ThresholdAge07,"&lt;"&amp;BF8,WeightedRevAge07)-SUMIF(ThresholdAge07,"&lt;"&amp;BF8,WeightedMinAge07),MAX(CapacityAge07*АбонементНовых*BF8,MeanMinAge07)))</f>
        <v/>
      </c>
      <c r="BG53" s="4">
        <f>IF(OR(BG26=0,7&lt;=КаникулыРоялти),0,BG26*IF(РоялтиПоГруппам="Да",MeanMinAge07+BG8*SUMIF(ThresholdAge07,"&lt;"&amp;BG8,WeightedRevAge07)-SUMIF(ThresholdAge07,"&lt;"&amp;BG8,WeightedMinAge07),MAX(CapacityAge07*АбонементНовых*BG8,MeanMinAge07)))</f>
        <v/>
      </c>
      <c r="BH53" s="4">
        <f>IF(OR(BH26=0,7&lt;=КаникулыРоялти),0,BH26*IF(РоялтиПоГруппам="Да",MeanMinAge07+BH8*SUMIF(ThresholdAge07,"&lt;"&amp;BH8,WeightedRevAge07)-SUMIF(ThresholdAge07,"&lt;"&amp;BH8,WeightedMinAge07),MAX(CapacityAge07*АбонементНовых*BH8,MeanMinAge07)))</f>
        <v/>
      </c>
      <c r="BI53" s="4">
        <f>IF(OR(BI26=0,7&lt;=КаникулыРоялти),0,BI26*IF(РоялтиПоГруппам="Да",MeanMinAge07+BI8*SUMIF(ThresholdAge07,"&lt;"&amp;BI8,WeightedRevAge07)-SUMIF(ThresholdAge07,"&lt;"&amp;BI8,WeightedMinAge07),MAX(CapacityAge07*АбонементНовых*BI8,MeanMinAge07)))</f>
        <v/>
      </c>
      <c r="BJ53" s="4">
        <f>IF(OR(BJ26=0,7&lt;=КаникулыРоялти),0,BJ26*IF(РоялтиПоГруппам="Да",MeanMinAge07+BJ8*SUMIF(ThresholdAge07,"&lt;"&amp;BJ8,WeightedRevAge07)-SUMIF(ThresholdAge07,"&lt;"&amp;BJ8,WeightedMinAge07),MAX(CapacityAge07*АбонементНовых*BJ8,MeanMinAge07)))</f>
        <v/>
      </c>
      <c r="BK53" s="4">
        <f>IF(OR(BK26=0,7&lt;=КаникулыРоялти),0,BK26*IF(РоялтиПоГруппам="Да",MeanMinAge07+BK8*SUMIF(ThresholdAge07,"&lt;"&amp;BK8,WeightedRevAge07)-SUMIF(ThresholdAge07,"&lt;"&amp;BK8,WeightedMinAge07),MAX(CapacityAge07*АбонементНовых*BK8,MeanMinAge07)))</f>
        <v/>
      </c>
      <c r="BL53" s="4">
        <f>IF(OR(BL26=0,7&lt;=КаникулыРоялти),0,BL26*IF(РоялтиПоГруппам="Да",MeanMinAge07+BL8*SUMIF(ThresholdAge07,"&lt;"&amp;BL8,WeightedRevAge07)-SUMIF(ThresholdAge07,"&lt;"&amp;BL8,WeightedMinAge07),MAX(CapacityAge07*АбонементНовых*BL8,MeanMinAge07)))</f>
        <v/>
      </c>
      <c r="BM53" s="4">
        <f>IF(OR(BM26=0,7&lt;=КаникулыРоялти),0,BM26*IF(РоялтиПоГруппам="Да",MeanMinAge07+BM8*SUMIF(ThresholdAge07,"&lt;"&amp;BM8,WeightedRevAge07)-SUMIF(ThresholdAge07,"&lt;"&amp;BM8,WeightedMinAge07),MAX(CapacityAge07*АбонементНовых*BM8,MeanMinAge07)))</f>
        <v/>
      </c>
      <c r="BN53" s="4">
        <f>IF(OR(BN26=0,7&lt;=КаникулыРоялти),0,BN26*IF(РоялтиПоГруппам="Да",MeanMinAge07+BN8*SUMIF(ThresholdAge07,"&lt;"&amp;BN8,WeightedRevAge07)-SUMIF(ThresholdAge07,"&lt;"&amp;BN8,WeightedMinAge07),MAX(CapacityAge07*АбонементНовых*BN8,MeanMinAge07)))</f>
        <v/>
      </c>
      <c r="BO53" s="4">
        <f>IF(OR(BO26=0,7&lt;=КаникулыРоялти),0,BO26*IF(РоялтиПоГруппам="Да",MeanMinAge07+BO8*SUMIF(ThresholdAge07,"&lt;"&amp;BO8,WeightedRevAge07)-SUMIF(ThresholdAge07,"&lt;"&amp;BO8,WeightedMinAge07),MAX(CapacityAge07*АбонементНовых*BO8,MeanMinAge07)))</f>
        <v/>
      </c>
      <c r="BP53" s="4">
        <f>IF(OR(BP26=0,7&lt;=КаникулыРоялти),0,BP26*IF(РоялтиПоГруппам="Да",MeanMinAge07+BP8*SUMIF(ThresholdAge07,"&lt;"&amp;BP8,WeightedRevAge07)-SUMIF(ThresholdAge07,"&lt;"&amp;BP8,WeightedMinAge07),MAX(CapacityAge07*АбонементНовых*BP8,MeanMinAge07)))</f>
        <v/>
      </c>
      <c r="BQ53" s="4">
        <f>IF(OR(BQ26=0,7&lt;=КаникулыРоялти),0,BQ26*IF(РоялтиПоГруппам="Да",MeanMinAge07+BQ8*SUMIF(ThresholdAge07,"&lt;"&amp;BQ8,WeightedRevAge07)-SUMIF(ThresholdAge07,"&lt;"&amp;BQ8,WeightedMinAge07),MAX(CapacityAge07*АбонементНовых*BQ8,MeanMinAge07)))</f>
        <v/>
      </c>
      <c r="BR53" s="4">
        <f>IF(OR(BR26=0,7&lt;=КаникулыРоялти),0,BR26*IF(РоялтиПоГруппам="Да",MeanMinAge07+BR8*SUMIF(ThresholdAge07,"&lt;"&amp;BR8,WeightedRevAge07)-SUMIF(ThresholdAge07,"&lt;"&amp;BR8,WeightedMinAge07),MAX(CapacityAge07*АбонементНовых*BR8,MeanMinAge07)))</f>
        <v/>
      </c>
      <c r="BS53" s="4">
        <f>IF(OR(BS26=0,7&lt;=КаникулыРоялти),0,BS26*IF(РоялтиПоГруппам="Да",MeanMinAge07+BS8*SUMIF(ThresholdAge07,"&lt;"&amp;BS8,WeightedRevAge07)-SUMIF(ThresholdAge07,"&lt;"&amp;BS8,WeightedMinAge07),MAX(CapacityAge07*АбонементНовых*BS8,MeanMinAge07)))</f>
        <v/>
      </c>
      <c r="BT53" s="4">
        <f>IF(OR(BT26=0,7&lt;=КаникулыРоялти),0,BT26*IF(РоялтиПоГруппам="Да",MeanMinAge07+BT8*SUMIF(ThresholdAge07,"&lt;"&amp;BT8,WeightedRevAge07)-SUMIF(ThresholdAge07,"&lt;"&amp;BT8,WeightedMinAge07),MAX(CapacityAge07*АбонементНовых*BT8,MeanMinAge07)))</f>
        <v/>
      </c>
      <c r="BU53" s="4">
        <f>IF(OR(BU26=0,7&lt;=КаникулыРоялти),0,BU26*IF(РоялтиПоГруппам="Да",MeanMinAge07+BU8*SUMIF(ThresholdAge07,"&lt;"&amp;BU8,WeightedRevAge07)-SUMIF(ThresholdAge07,"&lt;"&amp;BU8,WeightedMinAge07),MAX(CapacityAge07*АбонементНовых*BU8,MeanMinAge07)))</f>
        <v/>
      </c>
      <c r="BV53" s="4">
        <f>IF(OR(BV26=0,7&lt;=КаникулыРоялти),0,BV26*IF(РоялтиПоГруппам="Да",MeanMinAge07+BV8*SUMIF(ThresholdAge07,"&lt;"&amp;BV8,WeightedRevAge07)-SUMIF(ThresholdAge07,"&lt;"&amp;BV8,WeightedMinAge07),MAX(CapacityAge07*АбонементНовых*BV8,MeanMinAge07)))</f>
        <v/>
      </c>
      <c r="BW53" s="4">
        <f>IF(OR(BW26=0,7&lt;=КаникулыРоялти),0,BW26*IF(РоялтиПоГруппам="Да",MeanMinAge07+BW8*SUMIF(ThresholdAge07,"&lt;"&amp;BW8,WeightedRevAge07)-SUMIF(ThresholdAge07,"&lt;"&amp;BW8,WeightedMinAge07),MAX(CapacityAge07*АбонементНовых*BW8,MeanMinAge07)))</f>
        <v/>
      </c>
      <c r="BX53" s="4">
        <f>IF(OR(BX26=0,7&lt;=КаникулыРоялти),0,BX26*IF(РоялтиПоГруппам="Да",MeanMinAge07+BX8*SUMIF(ThresholdAge07,"&lt;"&amp;BX8,WeightedRevAge07)-SUMIF(ThresholdAge07,"&lt;"&amp;BX8,WeightedMinAge07),MAX(CapacityAge07*АбонементНовых*BX8,MeanMinAge07)))</f>
        <v/>
      </c>
      <c r="BY53" s="4">
        <f>IF(OR(BY26=0,7&lt;=КаникулыРоялти),0,BY26*IF(РоялтиПоГруппам="Да",MeanMinAge07+BY8*SUMIF(ThresholdAge07,"&lt;"&amp;BY8,WeightedRevAge07)-SUMIF(ThresholdAge07,"&lt;"&amp;BY8,WeightedMinAge07),MAX(CapacityAge07*АбонементНовых*BY8,MeanMinAge07)))</f>
        <v/>
      </c>
    </row>
    <row r="54">
      <c r="B54" t="inlineStr">
        <is>
          <t>8 мес.</t>
        </is>
      </c>
      <c r="C54" t="inlineStr">
        <is>
          <t>₽</t>
        </is>
      </c>
      <c r="D54" s="117" t="inlineStr"/>
      <c r="E54" s="119">
        <f>SUM(L54:W54)</f>
        <v/>
      </c>
      <c r="F54" s="119">
        <f>SUM(X54:AI54)</f>
        <v/>
      </c>
      <c r="G54" s="119">
        <f>SUM(AJ54:AU54)</f>
        <v/>
      </c>
      <c r="H54" s="119">
        <f>SUM(AV54:BG54)</f>
        <v/>
      </c>
      <c r="I54" s="119">
        <f>SUM(BH54:BS54)</f>
        <v/>
      </c>
      <c r="J54" s="5">
        <f>SUM(L54:BS54)</f>
        <v/>
      </c>
      <c r="L54" s="4">
        <f>IF(OR(L27=0,8&lt;=КаникулыРоялти),0,L27*IF(РоялтиПоГруппам="Да",MeanMinAge08+L8*SUMIF(ThresholdAge08,"&lt;"&amp;L8,WeightedRevAge08)-SUMIF(ThresholdAge08,"&lt;"&amp;L8,WeightedMinAge08),MAX(CapacityAge08*АбонементНовых*L8,MeanMinAge08)))</f>
        <v/>
      </c>
      <c r="M54" s="4">
        <f>IF(OR(M27=0,8&lt;=КаникулыРоялти),0,M27*IF(РоялтиПоГруппам="Да",MeanMinAge08+M8*SUMIF(ThresholdAge08,"&lt;"&amp;M8,WeightedRevAge08)-SUMIF(ThresholdAge08,"&lt;"&amp;M8,WeightedMinAge08),MAX(CapacityAge08*АбонементНовых*M8,MeanMinAge08)))</f>
        <v/>
      </c>
      <c r="N54" s="4">
        <f>IF(OR(N27=0,8&lt;=КаникулыРоялти),0,N27*IF(РоялтиПоГруппам="Да",MeanMinAge08+N8*SUMIF(ThresholdAge08,"&lt;"&amp;N8,WeightedRevAge08)-SUMIF(ThresholdAge08,"&lt;"&amp;N8,WeightedMinAge08),MAX(CapacityAge08*АбонементНовых*N8,MeanMinAge08)))</f>
        <v/>
      </c>
      <c r="O54" s="4">
        <f>IF(OR(O27=0,8&lt;=КаникулыРоялти),0,O27*IF(РоялтиПоГруппам="Да",MeanMinAge08+O8*SUMIF(ThresholdAge08,"&lt;"&amp;O8,WeightedRevAge08)-SUMIF(ThresholdAge08,"&lt;"&amp;O8,WeightedMinAge08),MAX(CapacityAge08*АбонементНовых*O8,MeanMinAge08)))</f>
        <v/>
      </c>
      <c r="P54" s="4">
        <f>IF(OR(P27=0,8&lt;=КаникулыРоялти),0,P27*IF(РоялтиПоГруппам="Да",MeanMinAge08+P8*SUMIF(ThresholdAge08,"&lt;"&amp;P8,WeightedRevAge08)-SUMIF(ThresholdAge08,"&lt;"&amp;P8,WeightedMinAge08),MAX(CapacityAge08*АбонементНовых*P8,MeanMinAge08)))</f>
        <v/>
      </c>
      <c r="Q54" s="4">
        <f>IF(OR(Q27=0,8&lt;=КаникулыРоялти),0,Q27*IF(РоялтиПоГруппам="Да",MeanMinAge08+Q8*SUMIF(ThresholdAge08,"&lt;"&amp;Q8,WeightedRevAge08)-SUMIF(ThresholdAge08,"&lt;"&amp;Q8,WeightedMinAge08),MAX(CapacityAge08*АбонементНовых*Q8,MeanMinAge08)))</f>
        <v/>
      </c>
      <c r="R54" s="4">
        <f>IF(OR(R27=0,8&lt;=КаникулыРоялти),0,R27*IF(РоялтиПоГруппам="Да",MeanMinAge08+R8*SUMIF(ThresholdAge08,"&lt;"&amp;R8,WeightedRevAge08)-SUMIF(ThresholdAge08,"&lt;"&amp;R8,WeightedMinAge08),MAX(CapacityAge08*АбонементНовых*R8,MeanMinAge08)))</f>
        <v/>
      </c>
      <c r="S54" s="4">
        <f>IF(OR(S27=0,8&lt;=КаникулыРоялти),0,S27*IF(РоялтиПоГруппам="Да",MeanMinAge08+S8*SUMIF(ThresholdAge08,"&lt;"&amp;S8,WeightedRevAge08)-SUMIF(ThresholdAge08,"&lt;"&amp;S8,WeightedMinAge08),MAX(CapacityAge08*АбонементНовых*S8,MeanMinAge08)))</f>
        <v/>
      </c>
      <c r="T54" s="4">
        <f>IF(OR(T27=0,8&lt;=КаникулыРоялти),0,T27*IF(РоялтиПоГруппам="Да",MeanMinAge08+T8*SUMIF(ThresholdAge08,"&lt;"&amp;T8,WeightedRevAge08)-SUMIF(ThresholdAge08,"&lt;"&amp;T8,WeightedMinAge08),MAX(CapacityAge08*АбонементНовых*T8,MeanMinAge08)))</f>
        <v/>
      </c>
      <c r="U54" s="4">
        <f>IF(OR(U27=0,8&lt;=КаникулыРоялти),0,U27*IF(РоялтиПоГруппам="Да",MeanMinAge08+U8*SUMIF(ThresholdAge08,"&lt;"&amp;U8,WeightedRevAge08)-SUMIF(ThresholdAge08,"&lt;"&amp;U8,WeightedMinAge08),MAX(CapacityAge08*АбонементНовых*U8,MeanMinAge08)))</f>
        <v/>
      </c>
      <c r="V54" s="4">
        <f>IF(OR(V27=0,8&lt;=КаникулыРоялти),0,V27*IF(РоялтиПоГруппам="Да",MeanMinAge08+V8*SUMIF(ThresholdAge08,"&lt;"&amp;V8,WeightedRevAge08)-SUMIF(ThresholdAge08,"&lt;"&amp;V8,WeightedMinAge08),MAX(CapacityAge08*АбонементНовых*V8,MeanMinAge08)))</f>
        <v/>
      </c>
      <c r="W54" s="4">
        <f>IF(OR(W27=0,8&lt;=КаникулыРоялти),0,W27*IF(РоялтиПоГруппам="Да",MeanMinAge08+W8*SUMIF(ThresholdAge08,"&lt;"&amp;W8,WeightedRevAge08)-SUMIF(ThresholdAge08,"&lt;"&amp;W8,WeightedMinAge08),MAX(CapacityAge08*АбонементНовых*W8,MeanMinAge08)))</f>
        <v/>
      </c>
      <c r="X54" s="4">
        <f>IF(OR(X27=0,8&lt;=КаникулыРоялти),0,X27*IF(РоялтиПоГруппам="Да",MeanMinAge08+X8*SUMIF(ThresholdAge08,"&lt;"&amp;X8,WeightedRevAge08)-SUMIF(ThresholdAge08,"&lt;"&amp;X8,WeightedMinAge08),MAX(CapacityAge08*АбонементНовых*X8,MeanMinAge08)))</f>
        <v/>
      </c>
      <c r="Y54" s="4">
        <f>IF(OR(Y27=0,8&lt;=КаникулыРоялти),0,Y27*IF(РоялтиПоГруппам="Да",MeanMinAge08+Y8*SUMIF(ThresholdAge08,"&lt;"&amp;Y8,WeightedRevAge08)-SUMIF(ThresholdAge08,"&lt;"&amp;Y8,WeightedMinAge08),MAX(CapacityAge08*АбонементНовых*Y8,MeanMinAge08)))</f>
        <v/>
      </c>
      <c r="Z54" s="4">
        <f>IF(OR(Z27=0,8&lt;=КаникулыРоялти),0,Z27*IF(РоялтиПоГруппам="Да",MeanMinAge08+Z8*SUMIF(ThresholdAge08,"&lt;"&amp;Z8,WeightedRevAge08)-SUMIF(ThresholdAge08,"&lt;"&amp;Z8,WeightedMinAge08),MAX(CapacityAge08*АбонементНовых*Z8,MeanMinAge08)))</f>
        <v/>
      </c>
      <c r="AA54" s="4">
        <f>IF(OR(AA27=0,8&lt;=КаникулыРоялти),0,AA27*IF(РоялтиПоГруппам="Да",MeanMinAge08+AA8*SUMIF(ThresholdAge08,"&lt;"&amp;AA8,WeightedRevAge08)-SUMIF(ThresholdAge08,"&lt;"&amp;AA8,WeightedMinAge08),MAX(CapacityAge08*АбонементНовых*AA8,MeanMinAge08)))</f>
        <v/>
      </c>
      <c r="AB54" s="4">
        <f>IF(OR(AB27=0,8&lt;=КаникулыРоялти),0,AB27*IF(РоялтиПоГруппам="Да",MeanMinAge08+AB8*SUMIF(ThresholdAge08,"&lt;"&amp;AB8,WeightedRevAge08)-SUMIF(ThresholdAge08,"&lt;"&amp;AB8,WeightedMinAge08),MAX(CapacityAge08*АбонементНовых*AB8,MeanMinAge08)))</f>
        <v/>
      </c>
      <c r="AC54" s="4">
        <f>IF(OR(AC27=0,8&lt;=КаникулыРоялти),0,AC27*IF(РоялтиПоГруппам="Да",MeanMinAge08+AC8*SUMIF(ThresholdAge08,"&lt;"&amp;AC8,WeightedRevAge08)-SUMIF(ThresholdAge08,"&lt;"&amp;AC8,WeightedMinAge08),MAX(CapacityAge08*АбонементНовых*AC8,MeanMinAge08)))</f>
        <v/>
      </c>
      <c r="AD54" s="4">
        <f>IF(OR(AD27=0,8&lt;=КаникулыРоялти),0,AD27*IF(РоялтиПоГруппам="Да",MeanMinAge08+AD8*SUMIF(ThresholdAge08,"&lt;"&amp;AD8,WeightedRevAge08)-SUMIF(ThresholdAge08,"&lt;"&amp;AD8,WeightedMinAge08),MAX(CapacityAge08*АбонементНовых*AD8,MeanMinAge08)))</f>
        <v/>
      </c>
      <c r="AE54" s="4">
        <f>IF(OR(AE27=0,8&lt;=КаникулыРоялти),0,AE27*IF(РоялтиПоГруппам="Да",MeanMinAge08+AE8*SUMIF(ThresholdAge08,"&lt;"&amp;AE8,WeightedRevAge08)-SUMIF(ThresholdAge08,"&lt;"&amp;AE8,WeightedMinAge08),MAX(CapacityAge08*АбонементНовых*AE8,MeanMinAge08)))</f>
        <v/>
      </c>
      <c r="AF54" s="4">
        <f>IF(OR(AF27=0,8&lt;=КаникулыРоялти),0,AF27*IF(РоялтиПоГруппам="Да",MeanMinAge08+AF8*SUMIF(ThresholdAge08,"&lt;"&amp;AF8,WeightedRevAge08)-SUMIF(ThresholdAge08,"&lt;"&amp;AF8,WeightedMinAge08),MAX(CapacityAge08*АбонементНовых*AF8,MeanMinAge08)))</f>
        <v/>
      </c>
      <c r="AG54" s="4">
        <f>IF(OR(AG27=0,8&lt;=КаникулыРоялти),0,AG27*IF(РоялтиПоГруппам="Да",MeanMinAge08+AG8*SUMIF(ThresholdAge08,"&lt;"&amp;AG8,WeightedRevAge08)-SUMIF(ThresholdAge08,"&lt;"&amp;AG8,WeightedMinAge08),MAX(CapacityAge08*АбонементНовых*AG8,MeanMinAge08)))</f>
        <v/>
      </c>
      <c r="AH54" s="4">
        <f>IF(OR(AH27=0,8&lt;=КаникулыРоялти),0,AH27*IF(РоялтиПоГруппам="Да",MeanMinAge08+AH8*SUMIF(ThresholdAge08,"&lt;"&amp;AH8,WeightedRevAge08)-SUMIF(ThresholdAge08,"&lt;"&amp;AH8,WeightedMinAge08),MAX(CapacityAge08*АбонементНовых*AH8,MeanMinAge08)))</f>
        <v/>
      </c>
      <c r="AI54" s="4">
        <f>IF(OR(AI27=0,8&lt;=КаникулыРоялти),0,AI27*IF(РоялтиПоГруппам="Да",MeanMinAge08+AI8*SUMIF(ThresholdAge08,"&lt;"&amp;AI8,WeightedRevAge08)-SUMIF(ThresholdAge08,"&lt;"&amp;AI8,WeightedMinAge08),MAX(CapacityAge08*АбонементНовых*AI8,MeanMinAge08)))</f>
        <v/>
      </c>
      <c r="AJ54" s="4">
        <f>IF(OR(AJ27=0,8&lt;=КаникулыРоялти),0,AJ27*IF(РоялтиПоГруппам="Да",MeanMinAge08+AJ8*SUMIF(ThresholdAge08,"&lt;"&amp;AJ8,WeightedRevAge08)-SUMIF(ThresholdAge08,"&lt;"&amp;AJ8,WeightedMinAge08),MAX(CapacityAge08*АбонементНовых*AJ8,MeanMinAge08)))</f>
        <v/>
      </c>
      <c r="AK54" s="4">
        <f>IF(OR(AK27=0,8&lt;=КаникулыРоялти),0,AK27*IF(РоялтиПоГруппам="Да",MeanMinAge08+AK8*SUMIF(ThresholdAge08,"&lt;"&amp;AK8,WeightedRevAge08)-SUMIF(ThresholdAge08,"&lt;"&amp;AK8,WeightedMinAge08),MAX(CapacityAge08*АбонементНовых*AK8,MeanMinAge08)))</f>
        <v/>
      </c>
      <c r="AL54" s="4">
        <f>IF(OR(AL27=0,8&lt;=КаникулыРоялти),0,AL27*IF(РоялтиПоГруппам="Да",MeanMinAge08+AL8*SUMIF(ThresholdAge08,"&lt;"&amp;AL8,WeightedRevAge08)-SUMIF(ThresholdAge08,"&lt;"&amp;AL8,WeightedMinAge08),MAX(CapacityAge08*АбонементНовых*AL8,MeanMinAge08)))</f>
        <v/>
      </c>
      <c r="AM54" s="4">
        <f>IF(OR(AM27=0,8&lt;=КаникулыРоялти),0,AM27*IF(РоялтиПоГруппам="Да",MeanMinAge08+AM8*SUMIF(ThresholdAge08,"&lt;"&amp;AM8,WeightedRevAge08)-SUMIF(ThresholdAge08,"&lt;"&amp;AM8,WeightedMinAge08),MAX(CapacityAge08*АбонементНовых*AM8,MeanMinAge08)))</f>
        <v/>
      </c>
      <c r="AN54" s="4">
        <f>IF(OR(AN27=0,8&lt;=КаникулыРоялти),0,AN27*IF(РоялтиПоГруппам="Да",MeanMinAge08+AN8*SUMIF(ThresholdAge08,"&lt;"&amp;AN8,WeightedRevAge08)-SUMIF(ThresholdAge08,"&lt;"&amp;AN8,WeightedMinAge08),MAX(CapacityAge08*АбонементНовых*AN8,MeanMinAge08)))</f>
        <v/>
      </c>
      <c r="AO54" s="4">
        <f>IF(OR(AO27=0,8&lt;=КаникулыРоялти),0,AO27*IF(РоялтиПоГруппам="Да",MeanMinAge08+AO8*SUMIF(ThresholdAge08,"&lt;"&amp;AO8,WeightedRevAge08)-SUMIF(ThresholdAge08,"&lt;"&amp;AO8,WeightedMinAge08),MAX(CapacityAge08*АбонементНовых*AO8,MeanMinAge08)))</f>
        <v/>
      </c>
      <c r="AP54" s="4">
        <f>IF(OR(AP27=0,8&lt;=КаникулыРоялти),0,AP27*IF(РоялтиПоГруппам="Да",MeanMinAge08+AP8*SUMIF(ThresholdAge08,"&lt;"&amp;AP8,WeightedRevAge08)-SUMIF(ThresholdAge08,"&lt;"&amp;AP8,WeightedMinAge08),MAX(CapacityAge08*АбонементНовых*AP8,MeanMinAge08)))</f>
        <v/>
      </c>
      <c r="AQ54" s="4">
        <f>IF(OR(AQ27=0,8&lt;=КаникулыРоялти),0,AQ27*IF(РоялтиПоГруппам="Да",MeanMinAge08+AQ8*SUMIF(ThresholdAge08,"&lt;"&amp;AQ8,WeightedRevAge08)-SUMIF(ThresholdAge08,"&lt;"&amp;AQ8,WeightedMinAge08),MAX(CapacityAge08*АбонементНовых*AQ8,MeanMinAge08)))</f>
        <v/>
      </c>
      <c r="AR54" s="4">
        <f>IF(OR(AR27=0,8&lt;=КаникулыРоялти),0,AR27*IF(РоялтиПоГруппам="Да",MeanMinAge08+AR8*SUMIF(ThresholdAge08,"&lt;"&amp;AR8,WeightedRevAge08)-SUMIF(ThresholdAge08,"&lt;"&amp;AR8,WeightedMinAge08),MAX(CapacityAge08*АбонементНовых*AR8,MeanMinAge08)))</f>
        <v/>
      </c>
      <c r="AS54" s="4">
        <f>IF(OR(AS27=0,8&lt;=КаникулыРоялти),0,AS27*IF(РоялтиПоГруппам="Да",MeanMinAge08+AS8*SUMIF(ThresholdAge08,"&lt;"&amp;AS8,WeightedRevAge08)-SUMIF(ThresholdAge08,"&lt;"&amp;AS8,WeightedMinAge08),MAX(CapacityAge08*АбонементНовых*AS8,MeanMinAge08)))</f>
        <v/>
      </c>
      <c r="AT54" s="4">
        <f>IF(OR(AT27=0,8&lt;=КаникулыРоялти),0,AT27*IF(РоялтиПоГруппам="Да",MeanMinAge08+AT8*SUMIF(ThresholdAge08,"&lt;"&amp;AT8,WeightedRevAge08)-SUMIF(ThresholdAge08,"&lt;"&amp;AT8,WeightedMinAge08),MAX(CapacityAge08*АбонементНовых*AT8,MeanMinAge08)))</f>
        <v/>
      </c>
      <c r="AU54" s="4">
        <f>IF(OR(AU27=0,8&lt;=КаникулыРоялти),0,AU27*IF(РоялтиПоГруппам="Да",MeanMinAge08+AU8*SUMIF(ThresholdAge08,"&lt;"&amp;AU8,WeightedRevAge08)-SUMIF(ThresholdAge08,"&lt;"&amp;AU8,WeightedMinAge08),MAX(CapacityAge08*АбонементНовых*AU8,MeanMinAge08)))</f>
        <v/>
      </c>
      <c r="AV54" s="4">
        <f>IF(OR(AV27=0,8&lt;=КаникулыРоялти),0,AV27*IF(РоялтиПоГруппам="Да",MeanMinAge08+AV8*SUMIF(ThresholdAge08,"&lt;"&amp;AV8,WeightedRevAge08)-SUMIF(ThresholdAge08,"&lt;"&amp;AV8,WeightedMinAge08),MAX(CapacityAge08*АбонементНовых*AV8,MeanMinAge08)))</f>
        <v/>
      </c>
      <c r="AW54" s="4">
        <f>IF(OR(AW27=0,8&lt;=КаникулыРоялти),0,AW27*IF(РоялтиПоГруппам="Да",MeanMinAge08+AW8*SUMIF(ThresholdAge08,"&lt;"&amp;AW8,WeightedRevAge08)-SUMIF(ThresholdAge08,"&lt;"&amp;AW8,WeightedMinAge08),MAX(CapacityAge08*АбонементНовых*AW8,MeanMinAge08)))</f>
        <v/>
      </c>
      <c r="AX54" s="4">
        <f>IF(OR(AX27=0,8&lt;=КаникулыРоялти),0,AX27*IF(РоялтиПоГруппам="Да",MeanMinAge08+AX8*SUMIF(ThresholdAge08,"&lt;"&amp;AX8,WeightedRevAge08)-SUMIF(ThresholdAge08,"&lt;"&amp;AX8,WeightedMinAge08),MAX(CapacityAge08*АбонементНовых*AX8,MeanMinAge08)))</f>
        <v/>
      </c>
      <c r="AY54" s="4">
        <f>IF(OR(AY27=0,8&lt;=КаникулыРоялти),0,AY27*IF(РоялтиПоГруппам="Да",MeanMinAge08+AY8*SUMIF(ThresholdAge08,"&lt;"&amp;AY8,WeightedRevAge08)-SUMIF(ThresholdAge08,"&lt;"&amp;AY8,WeightedMinAge08),MAX(CapacityAge08*АбонементНовых*AY8,MeanMinAge08)))</f>
        <v/>
      </c>
      <c r="AZ54" s="4">
        <f>IF(OR(AZ27=0,8&lt;=КаникулыРоялти),0,AZ27*IF(РоялтиПоГруппам="Да",MeanMinAge08+AZ8*SUMIF(ThresholdAge08,"&lt;"&amp;AZ8,WeightedRevAge08)-SUMIF(ThresholdAge08,"&lt;"&amp;AZ8,WeightedMinAge08),MAX(CapacityAge08*АбонементНовых*AZ8,MeanMinAge08)))</f>
        <v/>
      </c>
      <c r="BA54" s="4">
        <f>IF(OR(BA27=0,8&lt;=КаникулыРоялти),0,BA27*IF(РоялтиПоГруппам="Да",MeanMinAge08+BA8*SUMIF(ThresholdAge08,"&lt;"&amp;BA8,WeightedRevAge08)-SUMIF(ThresholdAge08,"&lt;"&amp;BA8,WeightedMinAge08),MAX(CapacityAge08*АбонементНовых*BA8,MeanMinAge08)))</f>
        <v/>
      </c>
      <c r="BB54" s="4">
        <f>IF(OR(BB27=0,8&lt;=КаникулыРоялти),0,BB27*IF(РоялтиПоГруппам="Да",MeanMinAge08+BB8*SUMIF(ThresholdAge08,"&lt;"&amp;BB8,WeightedRevAge08)-SUMIF(ThresholdAge08,"&lt;"&amp;BB8,WeightedMinAge08),MAX(CapacityAge08*АбонементНовых*BB8,MeanMinAge08)))</f>
        <v/>
      </c>
      <c r="BC54" s="4">
        <f>IF(OR(BC27=0,8&lt;=КаникулыРоялти),0,BC27*IF(РоялтиПоГруппам="Да",MeanMinAge08+BC8*SUMIF(ThresholdAge08,"&lt;"&amp;BC8,WeightedRevAge08)-SUMIF(ThresholdAge08,"&lt;"&amp;BC8,WeightedMinAge08),MAX(CapacityAge08*АбонементНовых*BC8,MeanMinAge08)))</f>
        <v/>
      </c>
      <c r="BD54" s="4">
        <f>IF(OR(BD27=0,8&lt;=КаникулыРоялти),0,BD27*IF(РоялтиПоГруппам="Да",MeanMinAge08+BD8*SUMIF(ThresholdAge08,"&lt;"&amp;BD8,WeightedRevAge08)-SUMIF(ThresholdAge08,"&lt;"&amp;BD8,WeightedMinAge08),MAX(CapacityAge08*АбонементНовых*BD8,MeanMinAge08)))</f>
        <v/>
      </c>
      <c r="BE54" s="4">
        <f>IF(OR(BE27=0,8&lt;=КаникулыРоялти),0,BE27*IF(РоялтиПоГруппам="Да",MeanMinAge08+BE8*SUMIF(ThresholdAge08,"&lt;"&amp;BE8,WeightedRevAge08)-SUMIF(ThresholdAge08,"&lt;"&amp;BE8,WeightedMinAge08),MAX(CapacityAge08*АбонементНовых*BE8,MeanMinAge08)))</f>
        <v/>
      </c>
      <c r="BF54" s="4">
        <f>IF(OR(BF27=0,8&lt;=КаникулыРоялти),0,BF27*IF(РоялтиПоГруппам="Да",MeanMinAge08+BF8*SUMIF(ThresholdAge08,"&lt;"&amp;BF8,WeightedRevAge08)-SUMIF(ThresholdAge08,"&lt;"&amp;BF8,WeightedMinAge08),MAX(CapacityAge08*АбонементНовых*BF8,MeanMinAge08)))</f>
        <v/>
      </c>
      <c r="BG54" s="4">
        <f>IF(OR(BG27=0,8&lt;=КаникулыРоялти),0,BG27*IF(РоялтиПоГруппам="Да",MeanMinAge08+BG8*SUMIF(ThresholdAge08,"&lt;"&amp;BG8,WeightedRevAge08)-SUMIF(ThresholdAge08,"&lt;"&amp;BG8,WeightedMinAge08),MAX(CapacityAge08*АбонементНовых*BG8,MeanMinAge08)))</f>
        <v/>
      </c>
      <c r="BH54" s="4">
        <f>IF(OR(BH27=0,8&lt;=КаникулыРоялти),0,BH27*IF(РоялтиПоГруппам="Да",MeanMinAge08+BH8*SUMIF(ThresholdAge08,"&lt;"&amp;BH8,WeightedRevAge08)-SUMIF(ThresholdAge08,"&lt;"&amp;BH8,WeightedMinAge08),MAX(CapacityAge08*АбонементНовых*BH8,MeanMinAge08)))</f>
        <v/>
      </c>
      <c r="BI54" s="4">
        <f>IF(OR(BI27=0,8&lt;=КаникулыРоялти),0,BI27*IF(РоялтиПоГруппам="Да",MeanMinAge08+BI8*SUMIF(ThresholdAge08,"&lt;"&amp;BI8,WeightedRevAge08)-SUMIF(ThresholdAge08,"&lt;"&amp;BI8,WeightedMinAge08),MAX(CapacityAge08*АбонементНовых*BI8,MeanMinAge08)))</f>
        <v/>
      </c>
      <c r="BJ54" s="4">
        <f>IF(OR(BJ27=0,8&lt;=КаникулыРоялти),0,BJ27*IF(РоялтиПоГруппам="Да",MeanMinAge08+BJ8*SUMIF(ThresholdAge08,"&lt;"&amp;BJ8,WeightedRevAge08)-SUMIF(ThresholdAge08,"&lt;"&amp;BJ8,WeightedMinAge08),MAX(CapacityAge08*АбонементНовых*BJ8,MeanMinAge08)))</f>
        <v/>
      </c>
      <c r="BK54" s="4">
        <f>IF(OR(BK27=0,8&lt;=КаникулыРоялти),0,BK27*IF(РоялтиПоГруппам="Да",MeanMinAge08+BK8*SUMIF(ThresholdAge08,"&lt;"&amp;BK8,WeightedRevAge08)-SUMIF(ThresholdAge08,"&lt;"&amp;BK8,WeightedMinAge08),MAX(CapacityAge08*АбонементНовых*BK8,MeanMinAge08)))</f>
        <v/>
      </c>
      <c r="BL54" s="4">
        <f>IF(OR(BL27=0,8&lt;=КаникулыРоялти),0,BL27*IF(РоялтиПоГруппам="Да",MeanMinAge08+BL8*SUMIF(ThresholdAge08,"&lt;"&amp;BL8,WeightedRevAge08)-SUMIF(ThresholdAge08,"&lt;"&amp;BL8,WeightedMinAge08),MAX(CapacityAge08*АбонементНовых*BL8,MeanMinAge08)))</f>
        <v/>
      </c>
      <c r="BM54" s="4">
        <f>IF(OR(BM27=0,8&lt;=КаникулыРоялти),0,BM27*IF(РоялтиПоГруппам="Да",MeanMinAge08+BM8*SUMIF(ThresholdAge08,"&lt;"&amp;BM8,WeightedRevAge08)-SUMIF(ThresholdAge08,"&lt;"&amp;BM8,WeightedMinAge08),MAX(CapacityAge08*АбонементНовых*BM8,MeanMinAge08)))</f>
        <v/>
      </c>
      <c r="BN54" s="4">
        <f>IF(OR(BN27=0,8&lt;=КаникулыРоялти),0,BN27*IF(РоялтиПоГруппам="Да",MeanMinAge08+BN8*SUMIF(ThresholdAge08,"&lt;"&amp;BN8,WeightedRevAge08)-SUMIF(ThresholdAge08,"&lt;"&amp;BN8,WeightedMinAge08),MAX(CapacityAge08*АбонементНовых*BN8,MeanMinAge08)))</f>
        <v/>
      </c>
      <c r="BO54" s="4">
        <f>IF(OR(BO27=0,8&lt;=КаникулыРоялти),0,BO27*IF(РоялтиПоГруппам="Да",MeanMinAge08+BO8*SUMIF(ThresholdAge08,"&lt;"&amp;BO8,WeightedRevAge08)-SUMIF(ThresholdAge08,"&lt;"&amp;BO8,WeightedMinAge08),MAX(CapacityAge08*АбонементНовых*BO8,MeanMinAge08)))</f>
        <v/>
      </c>
      <c r="BP54" s="4">
        <f>IF(OR(BP27=0,8&lt;=КаникулыРоялти),0,BP27*IF(РоялтиПоГруппам="Да",MeanMinAge08+BP8*SUMIF(ThresholdAge08,"&lt;"&amp;BP8,WeightedRevAge08)-SUMIF(ThresholdAge08,"&lt;"&amp;BP8,WeightedMinAge08),MAX(CapacityAge08*АбонементНовых*BP8,MeanMinAge08)))</f>
        <v/>
      </c>
      <c r="BQ54" s="4">
        <f>IF(OR(BQ27=0,8&lt;=КаникулыРоялти),0,BQ27*IF(РоялтиПоГруппам="Да",MeanMinAge08+BQ8*SUMIF(ThresholdAge08,"&lt;"&amp;BQ8,WeightedRevAge08)-SUMIF(ThresholdAge08,"&lt;"&amp;BQ8,WeightedMinAge08),MAX(CapacityAge08*АбонементНовых*BQ8,MeanMinAge08)))</f>
        <v/>
      </c>
      <c r="BR54" s="4">
        <f>IF(OR(BR27=0,8&lt;=КаникулыРоялти),0,BR27*IF(РоялтиПоГруппам="Да",MeanMinAge08+BR8*SUMIF(ThresholdAge08,"&lt;"&amp;BR8,WeightedRevAge08)-SUMIF(ThresholdAge08,"&lt;"&amp;BR8,WeightedMinAge08),MAX(CapacityAge08*АбонементНовых*BR8,MeanMinAge08)))</f>
        <v/>
      </c>
      <c r="BS54" s="4">
        <f>IF(OR(BS27=0,8&lt;=КаникулыРоялти),0,BS27*IF(РоялтиПоГруппам="Да",MeanMinAge08+BS8*SUMIF(ThresholdAge08,"&lt;"&amp;BS8,WeightedRevAge08)-SUMIF(ThresholdAge08,"&lt;"&amp;BS8,WeightedMinAge08),MAX(CapacityAge08*АбонементНовых*BS8,MeanMinAge08)))</f>
        <v/>
      </c>
      <c r="BT54" s="4">
        <f>IF(OR(BT27=0,8&lt;=КаникулыРоялти),0,BT27*IF(РоялтиПоГруппам="Да",MeanMinAge08+BT8*SUMIF(ThresholdAge08,"&lt;"&amp;BT8,WeightedRevAge08)-SUMIF(ThresholdAge08,"&lt;"&amp;BT8,WeightedMinAge08),MAX(CapacityAge08*АбонементНовых*BT8,MeanMinAge08)))</f>
        <v/>
      </c>
      <c r="BU54" s="4">
        <f>IF(OR(BU27=0,8&lt;=КаникулыРоялти),0,BU27*IF(РоялтиПоГруппам="Да",MeanMinAge08+BU8*SUMIF(ThresholdAge08,"&lt;"&amp;BU8,WeightedRevAge08)-SUMIF(ThresholdAge08,"&lt;"&amp;BU8,WeightedMinAge08),MAX(CapacityAge08*АбонементНовых*BU8,MeanMinAge08)))</f>
        <v/>
      </c>
      <c r="BV54" s="4">
        <f>IF(OR(BV27=0,8&lt;=КаникулыРоялти),0,BV27*IF(РоялтиПоГруппам="Да",MeanMinAge08+BV8*SUMIF(ThresholdAge08,"&lt;"&amp;BV8,WeightedRevAge08)-SUMIF(ThresholdAge08,"&lt;"&amp;BV8,WeightedMinAge08),MAX(CapacityAge08*АбонементНовых*BV8,MeanMinAge08)))</f>
        <v/>
      </c>
      <c r="BW54" s="4">
        <f>IF(OR(BW27=0,8&lt;=КаникулыРоялти),0,BW27*IF(РоялтиПоГруппам="Да",MeanMinAge08+BW8*SUMIF(ThresholdAge08,"&lt;"&amp;BW8,WeightedRevAge08)-SUMIF(ThresholdAge08,"&lt;"&amp;BW8,WeightedMinAge08),MAX(CapacityAge08*АбонементНовых*BW8,MeanMinAge08)))</f>
        <v/>
      </c>
      <c r="BX54" s="4">
        <f>IF(OR(BX27=0,8&lt;=КаникулыРоялти),0,BX27*IF(РоялтиПоГруппам="Да",MeanMinAge08+BX8*SUMIF(ThresholdAge08,"&lt;"&amp;BX8,WeightedRevAge08)-SUMIF(ThresholdAge08,"&lt;"&amp;BX8,WeightedMinAge08),MAX(CapacityAge08*АбонементНовых*BX8,MeanMinAge08)))</f>
        <v/>
      </c>
      <c r="BY54" s="4">
        <f>IF(OR(BY27=0,8&lt;=КаникулыРоялти),0,BY27*IF(РоялтиПоГруппам="Да",MeanMinAge08+BY8*SUMIF(ThresholdAge08,"&lt;"&amp;BY8,WeightedRevAge08)-SUMIF(ThresholdAge08,"&lt;"&amp;BY8,WeightedMinAge08),MAX(CapacityAge08*АбонементНовых*BY8,MeanMinAge08)))</f>
        <v/>
      </c>
    </row>
    <row r="55">
      <c r="B55" t="inlineStr">
        <is>
          <t>9 мес.</t>
        </is>
      </c>
      <c r="C55" t="inlineStr">
        <is>
          <t>₽</t>
        </is>
      </c>
      <c r="D55" s="117" t="inlineStr"/>
      <c r="E55" s="119">
        <f>SUM(L55:W55)</f>
        <v/>
      </c>
      <c r="F55" s="119">
        <f>SUM(X55:AI55)</f>
        <v/>
      </c>
      <c r="G55" s="119">
        <f>SUM(AJ55:AU55)</f>
        <v/>
      </c>
      <c r="H55" s="119">
        <f>SUM(AV55:BG55)</f>
        <v/>
      </c>
      <c r="I55" s="119">
        <f>SUM(BH55:BS55)</f>
        <v/>
      </c>
      <c r="J55" s="5">
        <f>SUM(L55:BS55)</f>
        <v/>
      </c>
      <c r="L55" s="4">
        <f>IF(OR(L28=0,9&lt;=КаникулыРоялти),0,L28*IF(РоялтиПоГруппам="Да",MeanMinAge09+L8*SUMIF(ThresholdAge09,"&lt;"&amp;L8,WeightedRevAge09)-SUMIF(ThresholdAge09,"&lt;"&amp;L8,WeightedMinAge09),MAX(CapacityAge09*АбонементНовых*L8,MeanMinAge09)))</f>
        <v/>
      </c>
      <c r="M55" s="4">
        <f>IF(OR(M28=0,9&lt;=КаникулыРоялти),0,M28*IF(РоялтиПоГруппам="Да",MeanMinAge09+M8*SUMIF(ThresholdAge09,"&lt;"&amp;M8,WeightedRevAge09)-SUMIF(ThresholdAge09,"&lt;"&amp;M8,WeightedMinAge09),MAX(CapacityAge09*АбонементНовых*M8,MeanMinAge09)))</f>
        <v/>
      </c>
      <c r="N55" s="4">
        <f>IF(OR(N28=0,9&lt;=КаникулыРоялти),0,N28*IF(РоялтиПоГруппам="Да",MeanMinAge09+N8*SUMIF(ThresholdAge09,"&lt;"&amp;N8,WeightedRevAge09)-SUMIF(ThresholdAge09,"&lt;"&amp;N8,WeightedMinAge09),MAX(CapacityAge09*АбонементНовых*N8,MeanMinAge09)))</f>
        <v/>
      </c>
      <c r="O55" s="4">
        <f>IF(OR(O28=0,9&lt;=КаникулыРоялти),0,O28*IF(РоялтиПоГруппам="Да",MeanMinAge09+O8*SUMIF(ThresholdAge09,"&lt;"&amp;O8,WeightedRevAge09)-SUMIF(ThresholdAge09,"&lt;"&amp;O8,WeightedMinAge09),MAX(CapacityAge09*АбонементНовых*O8,MeanMinAge09)))</f>
        <v/>
      </c>
      <c r="P55" s="4">
        <f>IF(OR(P28=0,9&lt;=КаникулыРоялти),0,P28*IF(РоялтиПоГруппам="Да",MeanMinAge09+P8*SUMIF(ThresholdAge09,"&lt;"&amp;P8,WeightedRevAge09)-SUMIF(ThresholdAge09,"&lt;"&amp;P8,WeightedMinAge09),MAX(CapacityAge09*АбонементНовых*P8,MeanMinAge09)))</f>
        <v/>
      </c>
      <c r="Q55" s="4">
        <f>IF(OR(Q28=0,9&lt;=КаникулыРоялти),0,Q28*IF(РоялтиПоГруппам="Да",MeanMinAge09+Q8*SUMIF(ThresholdAge09,"&lt;"&amp;Q8,WeightedRevAge09)-SUMIF(ThresholdAge09,"&lt;"&amp;Q8,WeightedMinAge09),MAX(CapacityAge09*АбонементНовых*Q8,MeanMinAge09)))</f>
        <v/>
      </c>
      <c r="R55" s="4">
        <f>IF(OR(R28=0,9&lt;=КаникулыРоялти),0,R28*IF(РоялтиПоГруппам="Да",MeanMinAge09+R8*SUMIF(ThresholdAge09,"&lt;"&amp;R8,WeightedRevAge09)-SUMIF(ThresholdAge09,"&lt;"&amp;R8,WeightedMinAge09),MAX(CapacityAge09*АбонементНовых*R8,MeanMinAge09)))</f>
        <v/>
      </c>
      <c r="S55" s="4">
        <f>IF(OR(S28=0,9&lt;=КаникулыРоялти),0,S28*IF(РоялтиПоГруппам="Да",MeanMinAge09+S8*SUMIF(ThresholdAge09,"&lt;"&amp;S8,WeightedRevAge09)-SUMIF(ThresholdAge09,"&lt;"&amp;S8,WeightedMinAge09),MAX(CapacityAge09*АбонементНовых*S8,MeanMinAge09)))</f>
        <v/>
      </c>
      <c r="T55" s="4">
        <f>IF(OR(T28=0,9&lt;=КаникулыРоялти),0,T28*IF(РоялтиПоГруппам="Да",MeanMinAge09+T8*SUMIF(ThresholdAge09,"&lt;"&amp;T8,WeightedRevAge09)-SUMIF(ThresholdAge09,"&lt;"&amp;T8,WeightedMinAge09),MAX(CapacityAge09*АбонементНовых*T8,MeanMinAge09)))</f>
        <v/>
      </c>
      <c r="U55" s="4">
        <f>IF(OR(U28=0,9&lt;=КаникулыРоялти),0,U28*IF(РоялтиПоГруппам="Да",MeanMinAge09+U8*SUMIF(ThresholdAge09,"&lt;"&amp;U8,WeightedRevAge09)-SUMIF(ThresholdAge09,"&lt;"&amp;U8,WeightedMinAge09),MAX(CapacityAge09*АбонементНовых*U8,MeanMinAge09)))</f>
        <v/>
      </c>
      <c r="V55" s="4">
        <f>IF(OR(V28=0,9&lt;=КаникулыРоялти),0,V28*IF(РоялтиПоГруппам="Да",MeanMinAge09+V8*SUMIF(ThresholdAge09,"&lt;"&amp;V8,WeightedRevAge09)-SUMIF(ThresholdAge09,"&lt;"&amp;V8,WeightedMinAge09),MAX(CapacityAge09*АбонементНовых*V8,MeanMinAge09)))</f>
        <v/>
      </c>
      <c r="W55" s="4">
        <f>IF(OR(W28=0,9&lt;=КаникулыРоялти),0,W28*IF(РоялтиПоГруппам="Да",MeanMinAge09+W8*SUMIF(ThresholdAge09,"&lt;"&amp;W8,WeightedRevAge09)-SUMIF(ThresholdAge09,"&lt;"&amp;W8,WeightedMinAge09),MAX(CapacityAge09*АбонементНовых*W8,MeanMinAge09)))</f>
        <v/>
      </c>
      <c r="X55" s="4">
        <f>IF(OR(X28=0,9&lt;=КаникулыРоялти),0,X28*IF(РоялтиПоГруппам="Да",MeanMinAge09+X8*SUMIF(ThresholdAge09,"&lt;"&amp;X8,WeightedRevAge09)-SUMIF(ThresholdAge09,"&lt;"&amp;X8,WeightedMinAge09),MAX(CapacityAge09*АбонементНовых*X8,MeanMinAge09)))</f>
        <v/>
      </c>
      <c r="Y55" s="4">
        <f>IF(OR(Y28=0,9&lt;=КаникулыРоялти),0,Y28*IF(РоялтиПоГруппам="Да",MeanMinAge09+Y8*SUMIF(ThresholdAge09,"&lt;"&amp;Y8,WeightedRevAge09)-SUMIF(ThresholdAge09,"&lt;"&amp;Y8,WeightedMinAge09),MAX(CapacityAge09*АбонементНовых*Y8,MeanMinAge09)))</f>
        <v/>
      </c>
      <c r="Z55" s="4">
        <f>IF(OR(Z28=0,9&lt;=КаникулыРоялти),0,Z28*IF(РоялтиПоГруппам="Да",MeanMinAge09+Z8*SUMIF(ThresholdAge09,"&lt;"&amp;Z8,WeightedRevAge09)-SUMIF(ThresholdAge09,"&lt;"&amp;Z8,WeightedMinAge09),MAX(CapacityAge09*АбонементНовых*Z8,MeanMinAge09)))</f>
        <v/>
      </c>
      <c r="AA55" s="4">
        <f>IF(OR(AA28=0,9&lt;=КаникулыРоялти),0,AA28*IF(РоялтиПоГруппам="Да",MeanMinAge09+AA8*SUMIF(ThresholdAge09,"&lt;"&amp;AA8,WeightedRevAge09)-SUMIF(ThresholdAge09,"&lt;"&amp;AA8,WeightedMinAge09),MAX(CapacityAge09*АбонементНовых*AA8,MeanMinAge09)))</f>
        <v/>
      </c>
      <c r="AB55" s="4">
        <f>IF(OR(AB28=0,9&lt;=КаникулыРоялти),0,AB28*IF(РоялтиПоГруппам="Да",MeanMinAge09+AB8*SUMIF(ThresholdAge09,"&lt;"&amp;AB8,WeightedRevAge09)-SUMIF(ThresholdAge09,"&lt;"&amp;AB8,WeightedMinAge09),MAX(CapacityAge09*АбонементНовых*AB8,MeanMinAge09)))</f>
        <v/>
      </c>
      <c r="AC55" s="4">
        <f>IF(OR(AC28=0,9&lt;=КаникулыРоялти),0,AC28*IF(РоялтиПоГруппам="Да",MeanMinAge09+AC8*SUMIF(ThresholdAge09,"&lt;"&amp;AC8,WeightedRevAge09)-SUMIF(ThresholdAge09,"&lt;"&amp;AC8,WeightedMinAge09),MAX(CapacityAge09*АбонементНовых*AC8,MeanMinAge09)))</f>
        <v/>
      </c>
      <c r="AD55" s="4">
        <f>IF(OR(AD28=0,9&lt;=КаникулыРоялти),0,AD28*IF(РоялтиПоГруппам="Да",MeanMinAge09+AD8*SUMIF(ThresholdAge09,"&lt;"&amp;AD8,WeightedRevAge09)-SUMIF(ThresholdAge09,"&lt;"&amp;AD8,WeightedMinAge09),MAX(CapacityAge09*АбонементНовых*AD8,MeanMinAge09)))</f>
        <v/>
      </c>
      <c r="AE55" s="4">
        <f>IF(OR(AE28=0,9&lt;=КаникулыРоялти),0,AE28*IF(РоялтиПоГруппам="Да",MeanMinAge09+AE8*SUMIF(ThresholdAge09,"&lt;"&amp;AE8,WeightedRevAge09)-SUMIF(ThresholdAge09,"&lt;"&amp;AE8,WeightedMinAge09),MAX(CapacityAge09*АбонементНовых*AE8,MeanMinAge09)))</f>
        <v/>
      </c>
      <c r="AF55" s="4">
        <f>IF(OR(AF28=0,9&lt;=КаникулыРоялти),0,AF28*IF(РоялтиПоГруппам="Да",MeanMinAge09+AF8*SUMIF(ThresholdAge09,"&lt;"&amp;AF8,WeightedRevAge09)-SUMIF(ThresholdAge09,"&lt;"&amp;AF8,WeightedMinAge09),MAX(CapacityAge09*АбонементНовых*AF8,MeanMinAge09)))</f>
        <v/>
      </c>
      <c r="AG55" s="4">
        <f>IF(OR(AG28=0,9&lt;=КаникулыРоялти),0,AG28*IF(РоялтиПоГруппам="Да",MeanMinAge09+AG8*SUMIF(ThresholdAge09,"&lt;"&amp;AG8,WeightedRevAge09)-SUMIF(ThresholdAge09,"&lt;"&amp;AG8,WeightedMinAge09),MAX(CapacityAge09*АбонементНовых*AG8,MeanMinAge09)))</f>
        <v/>
      </c>
      <c r="AH55" s="4">
        <f>IF(OR(AH28=0,9&lt;=КаникулыРоялти),0,AH28*IF(РоялтиПоГруппам="Да",MeanMinAge09+AH8*SUMIF(ThresholdAge09,"&lt;"&amp;AH8,WeightedRevAge09)-SUMIF(ThresholdAge09,"&lt;"&amp;AH8,WeightedMinAge09),MAX(CapacityAge09*АбонементНовых*AH8,MeanMinAge09)))</f>
        <v/>
      </c>
      <c r="AI55" s="4">
        <f>IF(OR(AI28=0,9&lt;=КаникулыРоялти),0,AI28*IF(РоялтиПоГруппам="Да",MeanMinAge09+AI8*SUMIF(ThresholdAge09,"&lt;"&amp;AI8,WeightedRevAge09)-SUMIF(ThresholdAge09,"&lt;"&amp;AI8,WeightedMinAge09),MAX(CapacityAge09*АбонементНовых*AI8,MeanMinAge09)))</f>
        <v/>
      </c>
      <c r="AJ55" s="4">
        <f>IF(OR(AJ28=0,9&lt;=КаникулыРоялти),0,AJ28*IF(РоялтиПоГруппам="Да",MeanMinAge09+AJ8*SUMIF(ThresholdAge09,"&lt;"&amp;AJ8,WeightedRevAge09)-SUMIF(ThresholdAge09,"&lt;"&amp;AJ8,WeightedMinAge09),MAX(CapacityAge09*АбонементНовых*AJ8,MeanMinAge09)))</f>
        <v/>
      </c>
      <c r="AK55" s="4">
        <f>IF(OR(AK28=0,9&lt;=КаникулыРоялти),0,AK28*IF(РоялтиПоГруппам="Да",MeanMinAge09+AK8*SUMIF(ThresholdAge09,"&lt;"&amp;AK8,WeightedRevAge09)-SUMIF(ThresholdAge09,"&lt;"&amp;AK8,WeightedMinAge09),MAX(CapacityAge09*АбонементНовых*AK8,MeanMinAge09)))</f>
        <v/>
      </c>
      <c r="AL55" s="4">
        <f>IF(OR(AL28=0,9&lt;=КаникулыРоялти),0,AL28*IF(РоялтиПоГруппам="Да",MeanMinAge09+AL8*SUMIF(ThresholdAge09,"&lt;"&amp;AL8,WeightedRevAge09)-SUMIF(ThresholdAge09,"&lt;"&amp;AL8,WeightedMinAge09),MAX(CapacityAge09*АбонементНовых*AL8,MeanMinAge09)))</f>
        <v/>
      </c>
      <c r="AM55" s="4">
        <f>IF(OR(AM28=0,9&lt;=КаникулыРоялти),0,AM28*IF(РоялтиПоГруппам="Да",MeanMinAge09+AM8*SUMIF(ThresholdAge09,"&lt;"&amp;AM8,WeightedRevAge09)-SUMIF(ThresholdAge09,"&lt;"&amp;AM8,WeightedMinAge09),MAX(CapacityAge09*АбонементНовых*AM8,MeanMinAge09)))</f>
        <v/>
      </c>
      <c r="AN55" s="4">
        <f>IF(OR(AN28=0,9&lt;=КаникулыРоялти),0,AN28*IF(РоялтиПоГруппам="Да",MeanMinAge09+AN8*SUMIF(ThresholdAge09,"&lt;"&amp;AN8,WeightedRevAge09)-SUMIF(ThresholdAge09,"&lt;"&amp;AN8,WeightedMinAge09),MAX(CapacityAge09*АбонементНовых*AN8,MeanMinAge09)))</f>
        <v/>
      </c>
      <c r="AO55" s="4">
        <f>IF(OR(AO28=0,9&lt;=КаникулыРоялти),0,AO28*IF(РоялтиПоГруппам="Да",MeanMinAge09+AO8*SUMIF(ThresholdAge09,"&lt;"&amp;AO8,WeightedRevAge09)-SUMIF(ThresholdAge09,"&lt;"&amp;AO8,WeightedMinAge09),MAX(CapacityAge09*АбонементНовых*AO8,MeanMinAge09)))</f>
        <v/>
      </c>
      <c r="AP55" s="4">
        <f>IF(OR(AP28=0,9&lt;=КаникулыРоялти),0,AP28*IF(РоялтиПоГруппам="Да",MeanMinAge09+AP8*SUMIF(ThresholdAge09,"&lt;"&amp;AP8,WeightedRevAge09)-SUMIF(ThresholdAge09,"&lt;"&amp;AP8,WeightedMinAge09),MAX(CapacityAge09*АбонементНовых*AP8,MeanMinAge09)))</f>
        <v/>
      </c>
      <c r="AQ55" s="4">
        <f>IF(OR(AQ28=0,9&lt;=КаникулыРоялти),0,AQ28*IF(РоялтиПоГруппам="Да",MeanMinAge09+AQ8*SUMIF(ThresholdAge09,"&lt;"&amp;AQ8,WeightedRevAge09)-SUMIF(ThresholdAge09,"&lt;"&amp;AQ8,WeightedMinAge09),MAX(CapacityAge09*АбонементНовых*AQ8,MeanMinAge09)))</f>
        <v/>
      </c>
      <c r="AR55" s="4">
        <f>IF(OR(AR28=0,9&lt;=КаникулыРоялти),0,AR28*IF(РоялтиПоГруппам="Да",MeanMinAge09+AR8*SUMIF(ThresholdAge09,"&lt;"&amp;AR8,WeightedRevAge09)-SUMIF(ThresholdAge09,"&lt;"&amp;AR8,WeightedMinAge09),MAX(CapacityAge09*АбонементНовых*AR8,MeanMinAge09)))</f>
        <v/>
      </c>
      <c r="AS55" s="4">
        <f>IF(OR(AS28=0,9&lt;=КаникулыРоялти),0,AS28*IF(РоялтиПоГруппам="Да",MeanMinAge09+AS8*SUMIF(ThresholdAge09,"&lt;"&amp;AS8,WeightedRevAge09)-SUMIF(ThresholdAge09,"&lt;"&amp;AS8,WeightedMinAge09),MAX(CapacityAge09*АбонементНовых*AS8,MeanMinAge09)))</f>
        <v/>
      </c>
      <c r="AT55" s="4">
        <f>IF(OR(AT28=0,9&lt;=КаникулыРоялти),0,AT28*IF(РоялтиПоГруппам="Да",MeanMinAge09+AT8*SUMIF(ThresholdAge09,"&lt;"&amp;AT8,WeightedRevAge09)-SUMIF(ThresholdAge09,"&lt;"&amp;AT8,WeightedMinAge09),MAX(CapacityAge09*АбонементНовых*AT8,MeanMinAge09)))</f>
        <v/>
      </c>
      <c r="AU55" s="4">
        <f>IF(OR(AU28=0,9&lt;=КаникулыРоялти),0,AU28*IF(РоялтиПоГруппам="Да",MeanMinAge09+AU8*SUMIF(ThresholdAge09,"&lt;"&amp;AU8,WeightedRevAge09)-SUMIF(ThresholdAge09,"&lt;"&amp;AU8,WeightedMinAge09),MAX(CapacityAge09*АбонементНовых*AU8,MeanMinAge09)))</f>
        <v/>
      </c>
      <c r="AV55" s="4">
        <f>IF(OR(AV28=0,9&lt;=КаникулыРоялти),0,AV28*IF(РоялтиПоГруппам="Да",MeanMinAge09+AV8*SUMIF(ThresholdAge09,"&lt;"&amp;AV8,WeightedRevAge09)-SUMIF(ThresholdAge09,"&lt;"&amp;AV8,WeightedMinAge09),MAX(CapacityAge09*АбонементНовых*AV8,MeanMinAge09)))</f>
        <v/>
      </c>
      <c r="AW55" s="4">
        <f>IF(OR(AW28=0,9&lt;=КаникулыРоялти),0,AW28*IF(РоялтиПоГруппам="Да",MeanMinAge09+AW8*SUMIF(ThresholdAge09,"&lt;"&amp;AW8,WeightedRevAge09)-SUMIF(ThresholdAge09,"&lt;"&amp;AW8,WeightedMinAge09),MAX(CapacityAge09*АбонементНовых*AW8,MeanMinAge09)))</f>
        <v/>
      </c>
      <c r="AX55" s="4">
        <f>IF(OR(AX28=0,9&lt;=КаникулыРоялти),0,AX28*IF(РоялтиПоГруппам="Да",MeanMinAge09+AX8*SUMIF(ThresholdAge09,"&lt;"&amp;AX8,WeightedRevAge09)-SUMIF(ThresholdAge09,"&lt;"&amp;AX8,WeightedMinAge09),MAX(CapacityAge09*АбонементНовых*AX8,MeanMinAge09)))</f>
        <v/>
      </c>
      <c r="AY55" s="4">
        <f>IF(OR(AY28=0,9&lt;=КаникулыРоялти),0,AY28*IF(РоялтиПоГруппам="Да",MeanMinAge09+AY8*SUMIF(ThresholdAge09,"&lt;"&amp;AY8,WeightedRevAge09)-SUMIF(ThresholdAge09,"&lt;"&amp;AY8,WeightedMinAge09),MAX(CapacityAge09*АбонементНовых*AY8,MeanMinAge09)))</f>
        <v/>
      </c>
      <c r="AZ55" s="4">
        <f>IF(OR(AZ28=0,9&lt;=КаникулыРоялти),0,AZ28*IF(РоялтиПоГруппам="Да",MeanMinAge09+AZ8*SUMIF(ThresholdAge09,"&lt;"&amp;AZ8,WeightedRevAge09)-SUMIF(ThresholdAge09,"&lt;"&amp;AZ8,WeightedMinAge09),MAX(CapacityAge09*АбонементНовых*AZ8,MeanMinAge09)))</f>
        <v/>
      </c>
      <c r="BA55" s="4">
        <f>IF(OR(BA28=0,9&lt;=КаникулыРоялти),0,BA28*IF(РоялтиПоГруппам="Да",MeanMinAge09+BA8*SUMIF(ThresholdAge09,"&lt;"&amp;BA8,WeightedRevAge09)-SUMIF(ThresholdAge09,"&lt;"&amp;BA8,WeightedMinAge09),MAX(CapacityAge09*АбонементНовых*BA8,MeanMinAge09)))</f>
        <v/>
      </c>
      <c r="BB55" s="4">
        <f>IF(OR(BB28=0,9&lt;=КаникулыРоялти),0,BB28*IF(РоялтиПоГруппам="Да",MeanMinAge09+BB8*SUMIF(ThresholdAge09,"&lt;"&amp;BB8,WeightedRevAge09)-SUMIF(ThresholdAge09,"&lt;"&amp;BB8,WeightedMinAge09),MAX(CapacityAge09*АбонементНовых*BB8,MeanMinAge09)))</f>
        <v/>
      </c>
      <c r="BC55" s="4">
        <f>IF(OR(BC28=0,9&lt;=КаникулыРоялти),0,BC28*IF(РоялтиПоГруппам="Да",MeanMinAge09+BC8*SUMIF(ThresholdAge09,"&lt;"&amp;BC8,WeightedRevAge09)-SUMIF(ThresholdAge09,"&lt;"&amp;BC8,WeightedMinAge09),MAX(CapacityAge09*АбонементНовых*BC8,MeanMinAge09)))</f>
        <v/>
      </c>
      <c r="BD55" s="4">
        <f>IF(OR(BD28=0,9&lt;=КаникулыРоялти),0,BD28*IF(РоялтиПоГруппам="Да",MeanMinAge09+BD8*SUMIF(ThresholdAge09,"&lt;"&amp;BD8,WeightedRevAge09)-SUMIF(ThresholdAge09,"&lt;"&amp;BD8,WeightedMinAge09),MAX(CapacityAge09*АбонементНовых*BD8,MeanMinAge09)))</f>
        <v/>
      </c>
      <c r="BE55" s="4">
        <f>IF(OR(BE28=0,9&lt;=КаникулыРоялти),0,BE28*IF(РоялтиПоГруппам="Да",MeanMinAge09+BE8*SUMIF(ThresholdAge09,"&lt;"&amp;BE8,WeightedRevAge09)-SUMIF(ThresholdAge09,"&lt;"&amp;BE8,WeightedMinAge09),MAX(CapacityAge09*АбонементНовых*BE8,MeanMinAge09)))</f>
        <v/>
      </c>
      <c r="BF55" s="4">
        <f>IF(OR(BF28=0,9&lt;=КаникулыРоялти),0,BF28*IF(РоялтиПоГруппам="Да",MeanMinAge09+BF8*SUMIF(ThresholdAge09,"&lt;"&amp;BF8,WeightedRevAge09)-SUMIF(ThresholdAge09,"&lt;"&amp;BF8,WeightedMinAge09),MAX(CapacityAge09*АбонементНовых*BF8,MeanMinAge09)))</f>
        <v/>
      </c>
      <c r="BG55" s="4">
        <f>IF(OR(BG28=0,9&lt;=КаникулыРоялти),0,BG28*IF(РоялтиПоГруппам="Да",MeanMinAge09+BG8*SUMIF(ThresholdAge09,"&lt;"&amp;BG8,WeightedRevAge09)-SUMIF(ThresholdAge09,"&lt;"&amp;BG8,WeightedMinAge09),MAX(CapacityAge09*АбонементНовых*BG8,MeanMinAge09)))</f>
        <v/>
      </c>
      <c r="BH55" s="4">
        <f>IF(OR(BH28=0,9&lt;=КаникулыРоялти),0,BH28*IF(РоялтиПоГруппам="Да",MeanMinAge09+BH8*SUMIF(ThresholdAge09,"&lt;"&amp;BH8,WeightedRevAge09)-SUMIF(ThresholdAge09,"&lt;"&amp;BH8,WeightedMinAge09),MAX(CapacityAge09*АбонементНовых*BH8,MeanMinAge09)))</f>
        <v/>
      </c>
      <c r="BI55" s="4">
        <f>IF(OR(BI28=0,9&lt;=КаникулыРоялти),0,BI28*IF(РоялтиПоГруппам="Да",MeanMinAge09+BI8*SUMIF(ThresholdAge09,"&lt;"&amp;BI8,WeightedRevAge09)-SUMIF(ThresholdAge09,"&lt;"&amp;BI8,WeightedMinAge09),MAX(CapacityAge09*АбонементНовых*BI8,MeanMinAge09)))</f>
        <v/>
      </c>
      <c r="BJ55" s="4">
        <f>IF(OR(BJ28=0,9&lt;=КаникулыРоялти),0,BJ28*IF(РоялтиПоГруппам="Да",MeanMinAge09+BJ8*SUMIF(ThresholdAge09,"&lt;"&amp;BJ8,WeightedRevAge09)-SUMIF(ThresholdAge09,"&lt;"&amp;BJ8,WeightedMinAge09),MAX(CapacityAge09*АбонементНовых*BJ8,MeanMinAge09)))</f>
        <v/>
      </c>
      <c r="BK55" s="4">
        <f>IF(OR(BK28=0,9&lt;=КаникулыРоялти),0,BK28*IF(РоялтиПоГруппам="Да",MeanMinAge09+BK8*SUMIF(ThresholdAge09,"&lt;"&amp;BK8,WeightedRevAge09)-SUMIF(ThresholdAge09,"&lt;"&amp;BK8,WeightedMinAge09),MAX(CapacityAge09*АбонементНовых*BK8,MeanMinAge09)))</f>
        <v/>
      </c>
      <c r="BL55" s="4">
        <f>IF(OR(BL28=0,9&lt;=КаникулыРоялти),0,BL28*IF(РоялтиПоГруппам="Да",MeanMinAge09+BL8*SUMIF(ThresholdAge09,"&lt;"&amp;BL8,WeightedRevAge09)-SUMIF(ThresholdAge09,"&lt;"&amp;BL8,WeightedMinAge09),MAX(CapacityAge09*АбонементНовых*BL8,MeanMinAge09)))</f>
        <v/>
      </c>
      <c r="BM55" s="4">
        <f>IF(OR(BM28=0,9&lt;=КаникулыРоялти),0,BM28*IF(РоялтиПоГруппам="Да",MeanMinAge09+BM8*SUMIF(ThresholdAge09,"&lt;"&amp;BM8,WeightedRevAge09)-SUMIF(ThresholdAge09,"&lt;"&amp;BM8,WeightedMinAge09),MAX(CapacityAge09*АбонементНовых*BM8,MeanMinAge09)))</f>
        <v/>
      </c>
      <c r="BN55" s="4">
        <f>IF(OR(BN28=0,9&lt;=КаникулыРоялти),0,BN28*IF(РоялтиПоГруппам="Да",MeanMinAge09+BN8*SUMIF(ThresholdAge09,"&lt;"&amp;BN8,WeightedRevAge09)-SUMIF(ThresholdAge09,"&lt;"&amp;BN8,WeightedMinAge09),MAX(CapacityAge09*АбонементНовых*BN8,MeanMinAge09)))</f>
        <v/>
      </c>
      <c r="BO55" s="4">
        <f>IF(OR(BO28=0,9&lt;=КаникулыРоялти),0,BO28*IF(РоялтиПоГруппам="Да",MeanMinAge09+BO8*SUMIF(ThresholdAge09,"&lt;"&amp;BO8,WeightedRevAge09)-SUMIF(ThresholdAge09,"&lt;"&amp;BO8,WeightedMinAge09),MAX(CapacityAge09*АбонементНовых*BO8,MeanMinAge09)))</f>
        <v/>
      </c>
      <c r="BP55" s="4">
        <f>IF(OR(BP28=0,9&lt;=КаникулыРоялти),0,BP28*IF(РоялтиПоГруппам="Да",MeanMinAge09+BP8*SUMIF(ThresholdAge09,"&lt;"&amp;BP8,WeightedRevAge09)-SUMIF(ThresholdAge09,"&lt;"&amp;BP8,WeightedMinAge09),MAX(CapacityAge09*АбонементНовых*BP8,MeanMinAge09)))</f>
        <v/>
      </c>
      <c r="BQ55" s="4">
        <f>IF(OR(BQ28=0,9&lt;=КаникулыРоялти),0,BQ28*IF(РоялтиПоГруппам="Да",MeanMinAge09+BQ8*SUMIF(ThresholdAge09,"&lt;"&amp;BQ8,WeightedRevAge09)-SUMIF(ThresholdAge09,"&lt;"&amp;BQ8,WeightedMinAge09),MAX(CapacityAge09*АбонементНовых*BQ8,MeanMinAge09)))</f>
        <v/>
      </c>
      <c r="BR55" s="4">
        <f>IF(OR(BR28=0,9&lt;=КаникулыРоялти),0,BR28*IF(РоялтиПоГруппам="Да",MeanMinAge09+BR8*SUMIF(ThresholdAge09,"&lt;"&amp;BR8,WeightedRevAge09)-SUMIF(ThresholdAge09,"&lt;"&amp;BR8,WeightedMinAge09),MAX(CapacityAge09*АбонементНовых*BR8,MeanMinAge09)))</f>
        <v/>
      </c>
      <c r="BS55" s="4">
        <f>IF(OR(BS28=0,9&lt;=КаникулыРоялти),0,BS28*IF(РоялтиПоГруппам="Да",MeanMinAge09+BS8*SUMIF(ThresholdAge09,"&lt;"&amp;BS8,WeightedRevAge09)-SUMIF(ThresholdAge09,"&lt;"&amp;BS8,WeightedMinAge09),MAX(CapacityAge09*АбонементНовых*BS8,MeanMinAge09)))</f>
        <v/>
      </c>
      <c r="BT55" s="4">
        <f>IF(OR(BT28=0,9&lt;=КаникулыРоялти),0,BT28*IF(РоялтиПоГруппам="Да",MeanMinAge09+BT8*SUMIF(ThresholdAge09,"&lt;"&amp;BT8,WeightedRevAge09)-SUMIF(ThresholdAge09,"&lt;"&amp;BT8,WeightedMinAge09),MAX(CapacityAge09*АбонементНовых*BT8,MeanMinAge09)))</f>
        <v/>
      </c>
      <c r="BU55" s="4">
        <f>IF(OR(BU28=0,9&lt;=КаникулыРоялти),0,BU28*IF(РоялтиПоГруппам="Да",MeanMinAge09+BU8*SUMIF(ThresholdAge09,"&lt;"&amp;BU8,WeightedRevAge09)-SUMIF(ThresholdAge09,"&lt;"&amp;BU8,WeightedMinAge09),MAX(CapacityAge09*АбонементНовых*BU8,MeanMinAge09)))</f>
        <v/>
      </c>
      <c r="BV55" s="4">
        <f>IF(OR(BV28=0,9&lt;=КаникулыРоялти),0,BV28*IF(РоялтиПоГруппам="Да",MeanMinAge09+BV8*SUMIF(ThresholdAge09,"&lt;"&amp;BV8,WeightedRevAge09)-SUMIF(ThresholdAge09,"&lt;"&amp;BV8,WeightedMinAge09),MAX(CapacityAge09*АбонементНовых*BV8,MeanMinAge09)))</f>
        <v/>
      </c>
      <c r="BW55" s="4">
        <f>IF(OR(BW28=0,9&lt;=КаникулыРоялти),0,BW28*IF(РоялтиПоГруппам="Да",MeanMinAge09+BW8*SUMIF(ThresholdAge09,"&lt;"&amp;BW8,WeightedRevAge09)-SUMIF(ThresholdAge09,"&lt;"&amp;BW8,WeightedMinAge09),MAX(CapacityAge09*АбонементНовых*BW8,MeanMinAge09)))</f>
        <v/>
      </c>
      <c r="BX55" s="4">
        <f>IF(OR(BX28=0,9&lt;=КаникулыРоялти),0,BX28*IF(РоялтиПоГруппам="Да",MeanMinAge09+BX8*SUMIF(ThresholdAge09,"&lt;"&amp;BX8,WeightedRevAge09)-SUMIF(ThresholdAge09,"&lt;"&amp;BX8,WeightedMinAge09),MAX(CapacityAge09*АбонементНовых*BX8,MeanMinAge09)))</f>
        <v/>
      </c>
      <c r="BY55" s="4">
        <f>IF(OR(BY28=0,9&lt;=КаникулыРоялти),0,BY28*IF(РоялтиПоГруппам="Да",MeanMinAge09+BY8*SUMIF(ThresholdAge09,"&lt;"&amp;BY8,WeightedRevAge09)-SUMIF(ThresholdAge09,"&lt;"&amp;BY8,WeightedMinAge09),MAX(CapacityAge09*АбонементНовых*BY8,MeanMinAge09)))</f>
        <v/>
      </c>
    </row>
    <row r="56">
      <c r="B56" t="inlineStr">
        <is>
          <t>10 мес.</t>
        </is>
      </c>
      <c r="C56" t="inlineStr">
        <is>
          <t>₽</t>
        </is>
      </c>
      <c r="D56" s="117" t="inlineStr"/>
      <c r="E56" s="119">
        <f>SUM(L56:W56)</f>
        <v/>
      </c>
      <c r="F56" s="119">
        <f>SUM(X56:AI56)</f>
        <v/>
      </c>
      <c r="G56" s="119">
        <f>SUM(AJ56:AU56)</f>
        <v/>
      </c>
      <c r="H56" s="119">
        <f>SUM(AV56:BG56)</f>
        <v/>
      </c>
      <c r="I56" s="119">
        <f>SUM(BH56:BS56)</f>
        <v/>
      </c>
      <c r="J56" s="5">
        <f>SUM(L56:BS56)</f>
        <v/>
      </c>
      <c r="L56" s="4">
        <f>IF(OR(L29=0,10&lt;=КаникулыРоялти),0,L29*IF(РоялтиПоГруппам="Да",MeanMinAge10+L8*SUMIF(ThresholdAge10,"&lt;"&amp;L8,WeightedRevAge10)-SUMIF(ThresholdAge10,"&lt;"&amp;L8,WeightedMinAge10),MAX(CapacityAge10*АбонементНовых*L8,MeanMinAge10)))</f>
        <v/>
      </c>
      <c r="M56" s="4">
        <f>IF(OR(M29=0,10&lt;=КаникулыРоялти),0,M29*IF(РоялтиПоГруппам="Да",MeanMinAge10+M8*SUMIF(ThresholdAge10,"&lt;"&amp;M8,WeightedRevAge10)-SUMIF(ThresholdAge10,"&lt;"&amp;M8,WeightedMinAge10),MAX(CapacityAge10*АбонементНовых*M8,MeanMinAge10)))</f>
        <v/>
      </c>
      <c r="N56" s="4">
        <f>IF(OR(N29=0,10&lt;=КаникулыРоялти),0,N29*IF(РоялтиПоГруппам="Да",MeanMinAge10+N8*SUMIF(ThresholdAge10,"&lt;"&amp;N8,WeightedRevAge10)-SUMIF(ThresholdAge10,"&lt;"&amp;N8,WeightedMinAge10),MAX(CapacityAge10*АбонементНовых*N8,MeanMinAge10)))</f>
        <v/>
      </c>
      <c r="O56" s="4">
        <f>IF(OR(O29=0,10&lt;=КаникулыРоялти),0,O29*IF(РоялтиПоГруппам="Да",MeanMinAge10+O8*SUMIF(ThresholdAge10,"&lt;"&amp;O8,WeightedRevAge10)-SUMIF(ThresholdAge10,"&lt;"&amp;O8,WeightedMinAge10),MAX(CapacityAge10*АбонементНовых*O8,MeanMinAge10)))</f>
        <v/>
      </c>
      <c r="P56" s="4">
        <f>IF(OR(P29=0,10&lt;=КаникулыРоялти),0,P29*IF(РоялтиПоГруппам="Да",MeanMinAge10+P8*SUMIF(ThresholdAge10,"&lt;"&amp;P8,WeightedRevAge10)-SUMIF(ThresholdAge10,"&lt;"&amp;P8,WeightedMinAge10),MAX(CapacityAge10*АбонементНовых*P8,MeanMinAge10)))</f>
        <v/>
      </c>
      <c r="Q56" s="4">
        <f>IF(OR(Q29=0,10&lt;=КаникулыРоялти),0,Q29*IF(РоялтиПоГруппам="Да",MeanMinAge10+Q8*SUMIF(ThresholdAge10,"&lt;"&amp;Q8,WeightedRevAge10)-SUMIF(ThresholdAge10,"&lt;"&amp;Q8,WeightedMinAge10),MAX(CapacityAge10*АбонементНовых*Q8,MeanMinAge10)))</f>
        <v/>
      </c>
      <c r="R56" s="4">
        <f>IF(OR(R29=0,10&lt;=КаникулыРоялти),0,R29*IF(РоялтиПоГруппам="Да",MeanMinAge10+R8*SUMIF(ThresholdAge10,"&lt;"&amp;R8,WeightedRevAge10)-SUMIF(ThresholdAge10,"&lt;"&amp;R8,WeightedMinAge10),MAX(CapacityAge10*АбонементНовых*R8,MeanMinAge10)))</f>
        <v/>
      </c>
      <c r="S56" s="4">
        <f>IF(OR(S29=0,10&lt;=КаникулыРоялти),0,S29*IF(РоялтиПоГруппам="Да",MeanMinAge10+S8*SUMIF(ThresholdAge10,"&lt;"&amp;S8,WeightedRevAge10)-SUMIF(ThresholdAge10,"&lt;"&amp;S8,WeightedMinAge10),MAX(CapacityAge10*АбонементНовых*S8,MeanMinAge10)))</f>
        <v/>
      </c>
      <c r="T56" s="4">
        <f>IF(OR(T29=0,10&lt;=КаникулыРоялти),0,T29*IF(РоялтиПоГруппам="Да",MeanMinAge10+T8*SUMIF(ThresholdAge10,"&lt;"&amp;T8,WeightedRevAge10)-SUMIF(ThresholdAge10,"&lt;"&amp;T8,WeightedMinAge10),MAX(CapacityAge10*АбонементНовых*T8,MeanMinAge10)))</f>
        <v/>
      </c>
      <c r="U56" s="4">
        <f>IF(OR(U29=0,10&lt;=КаникулыРоялти),0,U29*IF(РоялтиПоГруппам="Да",MeanMinAge10+U8*SUMIF(ThresholdAge10,"&lt;"&amp;U8,WeightedRevAge10)-SUMIF(ThresholdAge10,"&lt;"&amp;U8,WeightedMinAge10),MAX(CapacityAge10*АбонементНовых*U8,MeanMinAge10)))</f>
        <v/>
      </c>
      <c r="V56" s="4">
        <f>IF(OR(V29=0,10&lt;=КаникулыРоялти),0,V29*IF(РоялтиПоГруппам="Да",MeanMinAge10+V8*SUMIF(ThresholdAge10,"&lt;"&amp;V8,WeightedRevAge10)-SUMIF(ThresholdAge10,"&lt;"&amp;V8,WeightedMinAge10),MAX(CapacityAge10*АбонементНовых*V8,MeanMinAge10)))</f>
        <v/>
      </c>
      <c r="W56" s="4">
        <f>IF(OR(W29=0,10&lt;=КаникулыРоялти),0,W29*IF(РоялтиПоГруппам="Да",MeanMinAge10+W8*SUMIF(ThresholdAge10,"&lt;"&amp;W8,WeightedRevAge10)-SUMIF(ThresholdAge10,"&lt;"&amp;W8,WeightedMinAge10),MAX(CapacityAge10*АбонементНовых*W8,MeanMinAge10)))</f>
        <v/>
      </c>
      <c r="X56" s="4">
        <f>IF(OR(X29=0,10&lt;=КаникулыРоялти),0,X29*IF(РоялтиПоГруппам="Да",MeanMinAge10+X8*SUMIF(ThresholdAge10,"&lt;"&amp;X8,WeightedRevAge10)-SUMIF(ThresholdAge10,"&lt;"&amp;X8,WeightedMinAge10),MAX(CapacityAge10*АбонементНовых*X8,MeanMinAge10)))</f>
        <v/>
      </c>
      <c r="Y56" s="4">
        <f>IF(OR(Y29=0,10&lt;=КаникулыРоялти),0,Y29*IF(РоялтиПоГруппам="Да",MeanMinAge10+Y8*SUMIF(ThresholdAge10,"&lt;"&amp;Y8,WeightedRevAge10)-SUMIF(ThresholdAge10,"&lt;"&amp;Y8,WeightedMinAge10),MAX(CapacityAge10*АбонементНовых*Y8,MeanMinAge10)))</f>
        <v/>
      </c>
      <c r="Z56" s="4">
        <f>IF(OR(Z29=0,10&lt;=КаникулыРоялти),0,Z29*IF(РоялтиПоГруппам="Да",MeanMinAge10+Z8*SUMIF(ThresholdAge10,"&lt;"&amp;Z8,WeightedRevAge10)-SUMIF(ThresholdAge10,"&lt;"&amp;Z8,WeightedMinAge10),MAX(CapacityAge10*АбонементНовых*Z8,MeanMinAge10)))</f>
        <v/>
      </c>
      <c r="AA56" s="4">
        <f>IF(OR(AA29=0,10&lt;=КаникулыРоялти),0,AA29*IF(РоялтиПоГруппам="Да",MeanMinAge10+AA8*SUMIF(ThresholdAge10,"&lt;"&amp;AA8,WeightedRevAge10)-SUMIF(ThresholdAge10,"&lt;"&amp;AA8,WeightedMinAge10),MAX(CapacityAge10*АбонементНовых*AA8,MeanMinAge10)))</f>
        <v/>
      </c>
      <c r="AB56" s="4">
        <f>IF(OR(AB29=0,10&lt;=КаникулыРоялти),0,AB29*IF(РоялтиПоГруппам="Да",MeanMinAge10+AB8*SUMIF(ThresholdAge10,"&lt;"&amp;AB8,WeightedRevAge10)-SUMIF(ThresholdAge10,"&lt;"&amp;AB8,WeightedMinAge10),MAX(CapacityAge10*АбонементНовых*AB8,MeanMinAge10)))</f>
        <v/>
      </c>
      <c r="AC56" s="4">
        <f>IF(OR(AC29=0,10&lt;=КаникулыРоялти),0,AC29*IF(РоялтиПоГруппам="Да",MeanMinAge10+AC8*SUMIF(ThresholdAge10,"&lt;"&amp;AC8,WeightedRevAge10)-SUMIF(ThresholdAge10,"&lt;"&amp;AC8,WeightedMinAge10),MAX(CapacityAge10*АбонементНовых*AC8,MeanMinAge10)))</f>
        <v/>
      </c>
      <c r="AD56" s="4">
        <f>IF(OR(AD29=0,10&lt;=КаникулыРоялти),0,AD29*IF(РоялтиПоГруппам="Да",MeanMinAge10+AD8*SUMIF(ThresholdAge10,"&lt;"&amp;AD8,WeightedRevAge10)-SUMIF(ThresholdAge10,"&lt;"&amp;AD8,WeightedMinAge10),MAX(CapacityAge10*АбонементНовых*AD8,MeanMinAge10)))</f>
        <v/>
      </c>
      <c r="AE56" s="4">
        <f>IF(OR(AE29=0,10&lt;=КаникулыРоялти),0,AE29*IF(РоялтиПоГруппам="Да",MeanMinAge10+AE8*SUMIF(ThresholdAge10,"&lt;"&amp;AE8,WeightedRevAge10)-SUMIF(ThresholdAge10,"&lt;"&amp;AE8,WeightedMinAge10),MAX(CapacityAge10*АбонементНовых*AE8,MeanMinAge10)))</f>
        <v/>
      </c>
      <c r="AF56" s="4">
        <f>IF(OR(AF29=0,10&lt;=КаникулыРоялти),0,AF29*IF(РоялтиПоГруппам="Да",MeanMinAge10+AF8*SUMIF(ThresholdAge10,"&lt;"&amp;AF8,WeightedRevAge10)-SUMIF(ThresholdAge10,"&lt;"&amp;AF8,WeightedMinAge10),MAX(CapacityAge10*АбонементНовых*AF8,MeanMinAge10)))</f>
        <v/>
      </c>
      <c r="AG56" s="4">
        <f>IF(OR(AG29=0,10&lt;=КаникулыРоялти),0,AG29*IF(РоялтиПоГруппам="Да",MeanMinAge10+AG8*SUMIF(ThresholdAge10,"&lt;"&amp;AG8,WeightedRevAge10)-SUMIF(ThresholdAge10,"&lt;"&amp;AG8,WeightedMinAge10),MAX(CapacityAge10*АбонементНовых*AG8,MeanMinAge10)))</f>
        <v/>
      </c>
      <c r="AH56" s="4">
        <f>IF(OR(AH29=0,10&lt;=КаникулыРоялти),0,AH29*IF(РоялтиПоГруппам="Да",MeanMinAge10+AH8*SUMIF(ThresholdAge10,"&lt;"&amp;AH8,WeightedRevAge10)-SUMIF(ThresholdAge10,"&lt;"&amp;AH8,WeightedMinAge10),MAX(CapacityAge10*АбонементНовых*AH8,MeanMinAge10)))</f>
        <v/>
      </c>
      <c r="AI56" s="4">
        <f>IF(OR(AI29=0,10&lt;=КаникулыРоялти),0,AI29*IF(РоялтиПоГруппам="Да",MeanMinAge10+AI8*SUMIF(ThresholdAge10,"&lt;"&amp;AI8,WeightedRevAge10)-SUMIF(ThresholdAge10,"&lt;"&amp;AI8,WeightedMinAge10),MAX(CapacityAge10*АбонементНовых*AI8,MeanMinAge10)))</f>
        <v/>
      </c>
      <c r="AJ56" s="4">
        <f>IF(OR(AJ29=0,10&lt;=КаникулыРоялти),0,AJ29*IF(РоялтиПоГруппам="Да",MeanMinAge10+AJ8*SUMIF(ThresholdAge10,"&lt;"&amp;AJ8,WeightedRevAge10)-SUMIF(ThresholdAge10,"&lt;"&amp;AJ8,WeightedMinAge10),MAX(CapacityAge10*АбонементНовых*AJ8,MeanMinAge10)))</f>
        <v/>
      </c>
      <c r="AK56" s="4">
        <f>IF(OR(AK29=0,10&lt;=КаникулыРоялти),0,AK29*IF(РоялтиПоГруппам="Да",MeanMinAge10+AK8*SUMIF(ThresholdAge10,"&lt;"&amp;AK8,WeightedRevAge10)-SUMIF(ThresholdAge10,"&lt;"&amp;AK8,WeightedMinAge10),MAX(CapacityAge10*АбонементНовых*AK8,MeanMinAge10)))</f>
        <v/>
      </c>
      <c r="AL56" s="4">
        <f>IF(OR(AL29=0,10&lt;=КаникулыРоялти),0,AL29*IF(РоялтиПоГруппам="Да",MeanMinAge10+AL8*SUMIF(ThresholdAge10,"&lt;"&amp;AL8,WeightedRevAge10)-SUMIF(ThresholdAge10,"&lt;"&amp;AL8,WeightedMinAge10),MAX(CapacityAge10*АбонементНовых*AL8,MeanMinAge10)))</f>
        <v/>
      </c>
      <c r="AM56" s="4">
        <f>IF(OR(AM29=0,10&lt;=КаникулыРоялти),0,AM29*IF(РоялтиПоГруппам="Да",MeanMinAge10+AM8*SUMIF(ThresholdAge10,"&lt;"&amp;AM8,WeightedRevAge10)-SUMIF(ThresholdAge10,"&lt;"&amp;AM8,WeightedMinAge10),MAX(CapacityAge10*АбонементНовых*AM8,MeanMinAge10)))</f>
        <v/>
      </c>
      <c r="AN56" s="4">
        <f>IF(OR(AN29=0,10&lt;=КаникулыРоялти),0,AN29*IF(РоялтиПоГруппам="Да",MeanMinAge10+AN8*SUMIF(ThresholdAge10,"&lt;"&amp;AN8,WeightedRevAge10)-SUMIF(ThresholdAge10,"&lt;"&amp;AN8,WeightedMinAge10),MAX(CapacityAge10*АбонементНовых*AN8,MeanMinAge10)))</f>
        <v/>
      </c>
      <c r="AO56" s="4">
        <f>IF(OR(AO29=0,10&lt;=КаникулыРоялти),0,AO29*IF(РоялтиПоГруппам="Да",MeanMinAge10+AO8*SUMIF(ThresholdAge10,"&lt;"&amp;AO8,WeightedRevAge10)-SUMIF(ThresholdAge10,"&lt;"&amp;AO8,WeightedMinAge10),MAX(CapacityAge10*АбонементНовых*AO8,MeanMinAge10)))</f>
        <v/>
      </c>
      <c r="AP56" s="4">
        <f>IF(OR(AP29=0,10&lt;=КаникулыРоялти),0,AP29*IF(РоялтиПоГруппам="Да",MeanMinAge10+AP8*SUMIF(ThresholdAge10,"&lt;"&amp;AP8,WeightedRevAge10)-SUMIF(ThresholdAge10,"&lt;"&amp;AP8,WeightedMinAge10),MAX(CapacityAge10*АбонементНовых*AP8,MeanMinAge10)))</f>
        <v/>
      </c>
      <c r="AQ56" s="4">
        <f>IF(OR(AQ29=0,10&lt;=КаникулыРоялти),0,AQ29*IF(РоялтиПоГруппам="Да",MeanMinAge10+AQ8*SUMIF(ThresholdAge10,"&lt;"&amp;AQ8,WeightedRevAge10)-SUMIF(ThresholdAge10,"&lt;"&amp;AQ8,WeightedMinAge10),MAX(CapacityAge10*АбонементНовых*AQ8,MeanMinAge10)))</f>
        <v/>
      </c>
      <c r="AR56" s="4">
        <f>IF(OR(AR29=0,10&lt;=КаникулыРоялти),0,AR29*IF(РоялтиПоГруппам="Да",MeanMinAge10+AR8*SUMIF(ThresholdAge10,"&lt;"&amp;AR8,WeightedRevAge10)-SUMIF(ThresholdAge10,"&lt;"&amp;AR8,WeightedMinAge10),MAX(CapacityAge10*АбонементНовых*AR8,MeanMinAge10)))</f>
        <v/>
      </c>
      <c r="AS56" s="4">
        <f>IF(OR(AS29=0,10&lt;=КаникулыРоялти),0,AS29*IF(РоялтиПоГруппам="Да",MeanMinAge10+AS8*SUMIF(ThresholdAge10,"&lt;"&amp;AS8,WeightedRevAge10)-SUMIF(ThresholdAge10,"&lt;"&amp;AS8,WeightedMinAge10),MAX(CapacityAge10*АбонементНовых*AS8,MeanMinAge10)))</f>
        <v/>
      </c>
      <c r="AT56" s="4">
        <f>IF(OR(AT29=0,10&lt;=КаникулыРоялти),0,AT29*IF(РоялтиПоГруппам="Да",MeanMinAge10+AT8*SUMIF(ThresholdAge10,"&lt;"&amp;AT8,WeightedRevAge10)-SUMIF(ThresholdAge10,"&lt;"&amp;AT8,WeightedMinAge10),MAX(CapacityAge10*АбонементНовых*AT8,MeanMinAge10)))</f>
        <v/>
      </c>
      <c r="AU56" s="4">
        <f>IF(OR(AU29=0,10&lt;=КаникулыРоялти),0,AU29*IF(РоялтиПоГруппам="Да",MeanMinAge10+AU8*SUMIF(ThresholdAge10,"&lt;"&amp;AU8,WeightedRevAge10)-SUMIF(ThresholdAge10,"&lt;"&amp;AU8,WeightedMinAge10),MAX(CapacityAge10*АбонементНовых*AU8,MeanMinAge10)))</f>
        <v/>
      </c>
      <c r="AV56" s="4">
        <f>IF(OR(AV29=0,10&lt;=КаникулыРоялти),0,AV29*IF(РоялтиПоГруппам="Да",MeanMinAge10+AV8*SUMIF(ThresholdAge10,"&lt;"&amp;AV8,WeightedRevAge10)-SUMIF(ThresholdAge10,"&lt;"&amp;AV8,WeightedMinAge10),MAX(CapacityAge10*АбонементНовых*AV8,MeanMinAge10)))</f>
        <v/>
      </c>
      <c r="AW56" s="4">
        <f>IF(OR(AW29=0,10&lt;=КаникулыРоялти),0,AW29*IF(РоялтиПоГруппам="Да",MeanMinAge10+AW8*SUMIF(ThresholdAge10,"&lt;"&amp;AW8,WeightedRevAge10)-SUMIF(ThresholdAge10,"&lt;"&amp;AW8,WeightedMinAge10),MAX(CapacityAge10*АбонементНовых*AW8,MeanMinAge10)))</f>
        <v/>
      </c>
      <c r="AX56" s="4">
        <f>IF(OR(AX29=0,10&lt;=КаникулыРоялти),0,AX29*IF(РоялтиПоГруппам="Да",MeanMinAge10+AX8*SUMIF(ThresholdAge10,"&lt;"&amp;AX8,WeightedRevAge10)-SUMIF(ThresholdAge10,"&lt;"&amp;AX8,WeightedMinAge10),MAX(CapacityAge10*АбонементНовых*AX8,MeanMinAge10)))</f>
        <v/>
      </c>
      <c r="AY56" s="4">
        <f>IF(OR(AY29=0,10&lt;=КаникулыРоялти),0,AY29*IF(РоялтиПоГруппам="Да",MeanMinAge10+AY8*SUMIF(ThresholdAge10,"&lt;"&amp;AY8,WeightedRevAge10)-SUMIF(ThresholdAge10,"&lt;"&amp;AY8,WeightedMinAge10),MAX(CapacityAge10*АбонементНовых*AY8,MeanMinAge10)))</f>
        <v/>
      </c>
      <c r="AZ56" s="4">
        <f>IF(OR(AZ29=0,10&lt;=КаникулыРоялти),0,AZ29*IF(РоялтиПоГруппам="Да",MeanMinAge10+AZ8*SUMIF(ThresholdAge10,"&lt;"&amp;AZ8,WeightedRevAge10)-SUMIF(ThresholdAge10,"&lt;"&amp;AZ8,WeightedMinAge10),MAX(CapacityAge10*АбонементНовых*AZ8,MeanMinAge10)))</f>
        <v/>
      </c>
      <c r="BA56" s="4">
        <f>IF(OR(BA29=0,10&lt;=КаникулыРоялти),0,BA29*IF(РоялтиПоГруппам="Да",MeanMinAge10+BA8*SUMIF(ThresholdAge10,"&lt;"&amp;BA8,WeightedRevAge10)-SUMIF(ThresholdAge10,"&lt;"&amp;BA8,WeightedMinAge10),MAX(CapacityAge10*АбонементНовых*BA8,MeanMinAge10)))</f>
        <v/>
      </c>
      <c r="BB56" s="4">
        <f>IF(OR(BB29=0,10&lt;=КаникулыРоялти),0,BB29*IF(РоялтиПоГруппам="Да",MeanMinAge10+BB8*SUMIF(ThresholdAge10,"&lt;"&amp;BB8,WeightedRevAge10)-SUMIF(ThresholdAge10,"&lt;"&amp;BB8,WeightedMinAge10),MAX(CapacityAge10*АбонементНовых*BB8,MeanMinAge10)))</f>
        <v/>
      </c>
      <c r="BC56" s="4">
        <f>IF(OR(BC29=0,10&lt;=КаникулыРоялти),0,BC29*IF(РоялтиПоГруппам="Да",MeanMinAge10+BC8*SUMIF(ThresholdAge10,"&lt;"&amp;BC8,WeightedRevAge10)-SUMIF(ThresholdAge10,"&lt;"&amp;BC8,WeightedMinAge10),MAX(CapacityAge10*АбонементНовых*BC8,MeanMinAge10)))</f>
        <v/>
      </c>
      <c r="BD56" s="4">
        <f>IF(OR(BD29=0,10&lt;=КаникулыРоялти),0,BD29*IF(РоялтиПоГруппам="Да",MeanMinAge10+BD8*SUMIF(ThresholdAge10,"&lt;"&amp;BD8,WeightedRevAge10)-SUMIF(ThresholdAge10,"&lt;"&amp;BD8,WeightedMinAge10),MAX(CapacityAge10*АбонементНовых*BD8,MeanMinAge10)))</f>
        <v/>
      </c>
      <c r="BE56" s="4">
        <f>IF(OR(BE29=0,10&lt;=КаникулыРоялти),0,BE29*IF(РоялтиПоГруппам="Да",MeanMinAge10+BE8*SUMIF(ThresholdAge10,"&lt;"&amp;BE8,WeightedRevAge10)-SUMIF(ThresholdAge10,"&lt;"&amp;BE8,WeightedMinAge10),MAX(CapacityAge10*АбонементНовых*BE8,MeanMinAge10)))</f>
        <v/>
      </c>
      <c r="BF56" s="4">
        <f>IF(OR(BF29=0,10&lt;=КаникулыРоялти),0,BF29*IF(РоялтиПоГруппам="Да",MeanMinAge10+BF8*SUMIF(ThresholdAge10,"&lt;"&amp;BF8,WeightedRevAge10)-SUMIF(ThresholdAge10,"&lt;"&amp;BF8,WeightedMinAge10),MAX(CapacityAge10*АбонементНовых*BF8,MeanMinAge10)))</f>
        <v/>
      </c>
      <c r="BG56" s="4">
        <f>IF(OR(BG29=0,10&lt;=КаникулыРоялти),0,BG29*IF(РоялтиПоГруппам="Да",MeanMinAge10+BG8*SUMIF(ThresholdAge10,"&lt;"&amp;BG8,WeightedRevAge10)-SUMIF(ThresholdAge10,"&lt;"&amp;BG8,WeightedMinAge10),MAX(CapacityAge10*АбонементНовых*BG8,MeanMinAge10)))</f>
        <v/>
      </c>
      <c r="BH56" s="4">
        <f>IF(OR(BH29=0,10&lt;=КаникулыРоялти),0,BH29*IF(РоялтиПоГруппам="Да",MeanMinAge10+BH8*SUMIF(ThresholdAge10,"&lt;"&amp;BH8,WeightedRevAge10)-SUMIF(ThresholdAge10,"&lt;"&amp;BH8,WeightedMinAge10),MAX(CapacityAge10*АбонементНовых*BH8,MeanMinAge10)))</f>
        <v/>
      </c>
      <c r="BI56" s="4">
        <f>IF(OR(BI29=0,10&lt;=КаникулыРоялти),0,BI29*IF(РоялтиПоГруппам="Да",MeanMinAge10+BI8*SUMIF(ThresholdAge10,"&lt;"&amp;BI8,WeightedRevAge10)-SUMIF(ThresholdAge10,"&lt;"&amp;BI8,WeightedMinAge10),MAX(CapacityAge10*АбонементНовых*BI8,MeanMinAge10)))</f>
        <v/>
      </c>
      <c r="BJ56" s="4">
        <f>IF(OR(BJ29=0,10&lt;=КаникулыРоялти),0,BJ29*IF(РоялтиПоГруппам="Да",MeanMinAge10+BJ8*SUMIF(ThresholdAge10,"&lt;"&amp;BJ8,WeightedRevAge10)-SUMIF(ThresholdAge10,"&lt;"&amp;BJ8,WeightedMinAge10),MAX(CapacityAge10*АбонементНовых*BJ8,MeanMinAge10)))</f>
        <v/>
      </c>
      <c r="BK56" s="4">
        <f>IF(OR(BK29=0,10&lt;=КаникулыРоялти),0,BK29*IF(РоялтиПоГруппам="Да",MeanMinAge10+BK8*SUMIF(ThresholdAge10,"&lt;"&amp;BK8,WeightedRevAge10)-SUMIF(ThresholdAge10,"&lt;"&amp;BK8,WeightedMinAge10),MAX(CapacityAge10*АбонементНовых*BK8,MeanMinAge10)))</f>
        <v/>
      </c>
      <c r="BL56" s="4">
        <f>IF(OR(BL29=0,10&lt;=КаникулыРоялти),0,BL29*IF(РоялтиПоГруппам="Да",MeanMinAge10+BL8*SUMIF(ThresholdAge10,"&lt;"&amp;BL8,WeightedRevAge10)-SUMIF(ThresholdAge10,"&lt;"&amp;BL8,WeightedMinAge10),MAX(CapacityAge10*АбонементНовых*BL8,MeanMinAge10)))</f>
        <v/>
      </c>
      <c r="BM56" s="4">
        <f>IF(OR(BM29=0,10&lt;=КаникулыРоялти),0,BM29*IF(РоялтиПоГруппам="Да",MeanMinAge10+BM8*SUMIF(ThresholdAge10,"&lt;"&amp;BM8,WeightedRevAge10)-SUMIF(ThresholdAge10,"&lt;"&amp;BM8,WeightedMinAge10),MAX(CapacityAge10*АбонементНовых*BM8,MeanMinAge10)))</f>
        <v/>
      </c>
      <c r="BN56" s="4">
        <f>IF(OR(BN29=0,10&lt;=КаникулыРоялти),0,BN29*IF(РоялтиПоГруппам="Да",MeanMinAge10+BN8*SUMIF(ThresholdAge10,"&lt;"&amp;BN8,WeightedRevAge10)-SUMIF(ThresholdAge10,"&lt;"&amp;BN8,WeightedMinAge10),MAX(CapacityAge10*АбонементНовых*BN8,MeanMinAge10)))</f>
        <v/>
      </c>
      <c r="BO56" s="4">
        <f>IF(OR(BO29=0,10&lt;=КаникулыРоялти),0,BO29*IF(РоялтиПоГруппам="Да",MeanMinAge10+BO8*SUMIF(ThresholdAge10,"&lt;"&amp;BO8,WeightedRevAge10)-SUMIF(ThresholdAge10,"&lt;"&amp;BO8,WeightedMinAge10),MAX(CapacityAge10*АбонементНовых*BO8,MeanMinAge10)))</f>
        <v/>
      </c>
      <c r="BP56" s="4">
        <f>IF(OR(BP29=0,10&lt;=КаникулыРоялти),0,BP29*IF(РоялтиПоГруппам="Да",MeanMinAge10+BP8*SUMIF(ThresholdAge10,"&lt;"&amp;BP8,WeightedRevAge10)-SUMIF(ThresholdAge10,"&lt;"&amp;BP8,WeightedMinAge10),MAX(CapacityAge10*АбонементНовых*BP8,MeanMinAge10)))</f>
        <v/>
      </c>
      <c r="BQ56" s="4">
        <f>IF(OR(BQ29=0,10&lt;=КаникулыРоялти),0,BQ29*IF(РоялтиПоГруппам="Да",MeanMinAge10+BQ8*SUMIF(ThresholdAge10,"&lt;"&amp;BQ8,WeightedRevAge10)-SUMIF(ThresholdAge10,"&lt;"&amp;BQ8,WeightedMinAge10),MAX(CapacityAge10*АбонементНовых*BQ8,MeanMinAge10)))</f>
        <v/>
      </c>
      <c r="BR56" s="4">
        <f>IF(OR(BR29=0,10&lt;=КаникулыРоялти),0,BR29*IF(РоялтиПоГруппам="Да",MeanMinAge10+BR8*SUMIF(ThresholdAge10,"&lt;"&amp;BR8,WeightedRevAge10)-SUMIF(ThresholdAge10,"&lt;"&amp;BR8,WeightedMinAge10),MAX(CapacityAge10*АбонементНовых*BR8,MeanMinAge10)))</f>
        <v/>
      </c>
      <c r="BS56" s="4">
        <f>IF(OR(BS29=0,10&lt;=КаникулыРоялти),0,BS29*IF(РоялтиПоГруппам="Да",MeanMinAge10+BS8*SUMIF(ThresholdAge10,"&lt;"&amp;BS8,WeightedRevAge10)-SUMIF(ThresholdAge10,"&lt;"&amp;BS8,WeightedMinAge10),MAX(CapacityAge10*АбонементНовых*BS8,MeanMinAge10)))</f>
        <v/>
      </c>
      <c r="BT56" s="4">
        <f>IF(OR(BT29=0,10&lt;=КаникулыРоялти),0,BT29*IF(РоялтиПоГруппам="Да",MeanMinAge10+BT8*SUMIF(ThresholdAge10,"&lt;"&amp;BT8,WeightedRevAge10)-SUMIF(ThresholdAge10,"&lt;"&amp;BT8,WeightedMinAge10),MAX(CapacityAge10*АбонементНовых*BT8,MeanMinAge10)))</f>
        <v/>
      </c>
      <c r="BU56" s="4">
        <f>IF(OR(BU29=0,10&lt;=КаникулыРоялти),0,BU29*IF(РоялтиПоГруппам="Да",MeanMinAge10+BU8*SUMIF(ThresholdAge10,"&lt;"&amp;BU8,WeightedRevAge10)-SUMIF(ThresholdAge10,"&lt;"&amp;BU8,WeightedMinAge10),MAX(CapacityAge10*АбонементНовых*BU8,MeanMinAge10)))</f>
        <v/>
      </c>
      <c r="BV56" s="4">
        <f>IF(OR(BV29=0,10&lt;=КаникулыРоялти),0,BV29*IF(РоялтиПоГруппам="Да",MeanMinAge10+BV8*SUMIF(ThresholdAge10,"&lt;"&amp;BV8,WeightedRevAge10)-SUMIF(ThresholdAge10,"&lt;"&amp;BV8,WeightedMinAge10),MAX(CapacityAge10*АбонементНовых*BV8,MeanMinAge10)))</f>
        <v/>
      </c>
      <c r="BW56" s="4">
        <f>IF(OR(BW29=0,10&lt;=КаникулыРоялти),0,BW29*IF(РоялтиПоГруппам="Да",MeanMinAge10+BW8*SUMIF(ThresholdAge10,"&lt;"&amp;BW8,WeightedRevAge10)-SUMIF(ThresholdAge10,"&lt;"&amp;BW8,WeightedMinAge10),MAX(CapacityAge10*АбонементНовых*BW8,MeanMinAge10)))</f>
        <v/>
      </c>
      <c r="BX56" s="4">
        <f>IF(OR(BX29=0,10&lt;=КаникулыРоялти),0,BX29*IF(РоялтиПоГруппам="Да",MeanMinAge10+BX8*SUMIF(ThresholdAge10,"&lt;"&amp;BX8,WeightedRevAge10)-SUMIF(ThresholdAge10,"&lt;"&amp;BX8,WeightedMinAge10),MAX(CapacityAge10*АбонементНовых*BX8,MeanMinAge10)))</f>
        <v/>
      </c>
      <c r="BY56" s="4">
        <f>IF(OR(BY29=0,10&lt;=КаникулыРоялти),0,BY29*IF(РоялтиПоГруппам="Да",MeanMinAge10+BY8*SUMIF(ThresholdAge10,"&lt;"&amp;BY8,WeightedRevAge10)-SUMIF(ThresholdAge10,"&lt;"&amp;BY8,WeightedMinAge10),MAX(CapacityAge10*АбонементНовых*BY8,MeanMinAge10)))</f>
        <v/>
      </c>
    </row>
    <row r="57">
      <c r="B57" t="inlineStr">
        <is>
          <t>11 мес.</t>
        </is>
      </c>
      <c r="C57" t="inlineStr">
        <is>
          <t>₽</t>
        </is>
      </c>
      <c r="D57" s="117" t="inlineStr"/>
      <c r="E57" s="119">
        <f>SUM(L57:W57)</f>
        <v/>
      </c>
      <c r="F57" s="119">
        <f>SUM(X57:AI57)</f>
        <v/>
      </c>
      <c r="G57" s="119">
        <f>SUM(AJ57:AU57)</f>
        <v/>
      </c>
      <c r="H57" s="119">
        <f>SUM(AV57:BG57)</f>
        <v/>
      </c>
      <c r="I57" s="119">
        <f>SUM(BH57:BS57)</f>
        <v/>
      </c>
      <c r="J57" s="5">
        <f>SUM(L57:BS57)</f>
        <v/>
      </c>
      <c r="L57" s="4">
        <f>IF(OR(L30=0,11&lt;=КаникулыРоялти),0,L30*IF(РоялтиПоГруппам="Да",MeanMinAge11+L8*SUMIF(ThresholdAge11,"&lt;"&amp;L8,WeightedRevAge11)-SUMIF(ThresholdAge11,"&lt;"&amp;L8,WeightedMinAge11),MAX(CapacityAge11*АбонементНовых*L8,MeanMinAge11)))</f>
        <v/>
      </c>
      <c r="M57" s="4">
        <f>IF(OR(M30=0,11&lt;=КаникулыРоялти),0,M30*IF(РоялтиПоГруппам="Да",MeanMinAge11+M8*SUMIF(ThresholdAge11,"&lt;"&amp;M8,WeightedRevAge11)-SUMIF(ThresholdAge11,"&lt;"&amp;M8,WeightedMinAge11),MAX(CapacityAge11*АбонементНовых*M8,MeanMinAge11)))</f>
        <v/>
      </c>
      <c r="N57" s="4">
        <f>IF(OR(N30=0,11&lt;=КаникулыРоялти),0,N30*IF(РоялтиПоГруппам="Да",MeanMinAge11+N8*SUMIF(ThresholdAge11,"&lt;"&amp;N8,WeightedRevAge11)-SUMIF(ThresholdAge11,"&lt;"&amp;N8,WeightedMinAge11),MAX(CapacityAge11*АбонементНовых*N8,MeanMinAge11)))</f>
        <v/>
      </c>
      <c r="O57" s="4">
        <f>IF(OR(O30=0,11&lt;=КаникулыРоялти),0,O30*IF(РоялтиПоГруппам="Да",MeanMinAge11+O8*SUMIF(ThresholdAge11,"&lt;"&amp;O8,WeightedRevAge11)-SUMIF(ThresholdAge11,"&lt;"&amp;O8,WeightedMinAge11),MAX(CapacityAge11*АбонементНовых*O8,MeanMinAge11)))</f>
        <v/>
      </c>
      <c r="P57" s="4">
        <f>IF(OR(P30=0,11&lt;=КаникулыРоялти),0,P30*IF(РоялтиПоГруппам="Да",MeanMinAge11+P8*SUMIF(ThresholdAge11,"&lt;"&amp;P8,WeightedRevAge11)-SUMIF(ThresholdAge11,"&lt;"&amp;P8,WeightedMinAge11),MAX(CapacityAge11*АбонементНовых*P8,MeanMinAge11)))</f>
        <v/>
      </c>
      <c r="Q57" s="4">
        <f>IF(OR(Q30=0,11&lt;=КаникулыРоялти),0,Q30*IF(РоялтиПоГруппам="Да",MeanMinAge11+Q8*SUMIF(ThresholdAge11,"&lt;"&amp;Q8,WeightedRevAge11)-SUMIF(ThresholdAge11,"&lt;"&amp;Q8,WeightedMinAge11),MAX(CapacityAge11*АбонементНовых*Q8,MeanMinAge11)))</f>
        <v/>
      </c>
      <c r="R57" s="4">
        <f>IF(OR(R30=0,11&lt;=КаникулыРоялти),0,R30*IF(РоялтиПоГруппам="Да",MeanMinAge11+R8*SUMIF(ThresholdAge11,"&lt;"&amp;R8,WeightedRevAge11)-SUMIF(ThresholdAge11,"&lt;"&amp;R8,WeightedMinAge11),MAX(CapacityAge11*АбонементНовых*R8,MeanMinAge11)))</f>
        <v/>
      </c>
      <c r="S57" s="4">
        <f>IF(OR(S30=0,11&lt;=КаникулыРоялти),0,S30*IF(РоялтиПоГруппам="Да",MeanMinAge11+S8*SUMIF(ThresholdAge11,"&lt;"&amp;S8,WeightedRevAge11)-SUMIF(ThresholdAge11,"&lt;"&amp;S8,WeightedMinAge11),MAX(CapacityAge11*АбонементНовых*S8,MeanMinAge11)))</f>
        <v/>
      </c>
      <c r="T57" s="4">
        <f>IF(OR(T30=0,11&lt;=КаникулыРоялти),0,T30*IF(РоялтиПоГруппам="Да",MeanMinAge11+T8*SUMIF(ThresholdAge11,"&lt;"&amp;T8,WeightedRevAge11)-SUMIF(ThresholdAge11,"&lt;"&amp;T8,WeightedMinAge11),MAX(CapacityAge11*АбонементНовых*T8,MeanMinAge11)))</f>
        <v/>
      </c>
      <c r="U57" s="4">
        <f>IF(OR(U30=0,11&lt;=КаникулыРоялти),0,U30*IF(РоялтиПоГруппам="Да",MeanMinAge11+U8*SUMIF(ThresholdAge11,"&lt;"&amp;U8,WeightedRevAge11)-SUMIF(ThresholdAge11,"&lt;"&amp;U8,WeightedMinAge11),MAX(CapacityAge11*АбонементНовых*U8,MeanMinAge11)))</f>
        <v/>
      </c>
      <c r="V57" s="4">
        <f>IF(OR(V30=0,11&lt;=КаникулыРоялти),0,V30*IF(РоялтиПоГруппам="Да",MeanMinAge11+V8*SUMIF(ThresholdAge11,"&lt;"&amp;V8,WeightedRevAge11)-SUMIF(ThresholdAge11,"&lt;"&amp;V8,WeightedMinAge11),MAX(CapacityAge11*АбонементНовых*V8,MeanMinAge11)))</f>
        <v/>
      </c>
      <c r="W57" s="4">
        <f>IF(OR(W30=0,11&lt;=КаникулыРоялти),0,W30*IF(РоялтиПоГруппам="Да",MeanMinAge11+W8*SUMIF(ThresholdAge11,"&lt;"&amp;W8,WeightedRevAge11)-SUMIF(ThresholdAge11,"&lt;"&amp;W8,WeightedMinAge11),MAX(CapacityAge11*АбонементНовых*W8,MeanMinAge11)))</f>
        <v/>
      </c>
      <c r="X57" s="4">
        <f>IF(OR(X30=0,11&lt;=КаникулыРоялти),0,X30*IF(РоялтиПоГруппам="Да",MeanMinAge11+X8*SUMIF(ThresholdAge11,"&lt;"&amp;X8,WeightedRevAge11)-SUMIF(ThresholdAge11,"&lt;"&amp;X8,WeightedMinAge11),MAX(CapacityAge11*АбонементНовых*X8,MeanMinAge11)))</f>
        <v/>
      </c>
      <c r="Y57" s="4">
        <f>IF(OR(Y30=0,11&lt;=КаникулыРоялти),0,Y30*IF(РоялтиПоГруппам="Да",MeanMinAge11+Y8*SUMIF(ThresholdAge11,"&lt;"&amp;Y8,WeightedRevAge11)-SUMIF(ThresholdAge11,"&lt;"&amp;Y8,WeightedMinAge11),MAX(CapacityAge11*АбонементНовых*Y8,MeanMinAge11)))</f>
        <v/>
      </c>
      <c r="Z57" s="4">
        <f>IF(OR(Z30=0,11&lt;=КаникулыРоялти),0,Z30*IF(РоялтиПоГруппам="Да",MeanMinAge11+Z8*SUMIF(ThresholdAge11,"&lt;"&amp;Z8,WeightedRevAge11)-SUMIF(ThresholdAge11,"&lt;"&amp;Z8,WeightedMinAge11),MAX(CapacityAge11*АбонементНовых*Z8,MeanMinAge11)))</f>
        <v/>
      </c>
      <c r="AA57" s="4">
        <f>IF(OR(AA30=0,11&lt;=КаникулыРоялти),0,AA30*IF(РоялтиПоГруппам="Да",MeanMinAge11+AA8*SUMIF(ThresholdAge11,"&lt;"&amp;AA8,WeightedRevAge11)-SUMIF(ThresholdAge11,"&lt;"&amp;AA8,WeightedMinAge11),MAX(CapacityAge11*АбонементНовых*AA8,MeanMinAge11)))</f>
        <v/>
      </c>
      <c r="AB57" s="4">
        <f>IF(OR(AB30=0,11&lt;=КаникулыРоялти),0,AB30*IF(РоялтиПоГруппам="Да",MeanMinAge11+AB8*SUMIF(ThresholdAge11,"&lt;"&amp;AB8,WeightedRevAge11)-SUMIF(ThresholdAge11,"&lt;"&amp;AB8,WeightedMinAge11),MAX(CapacityAge11*АбонементНовых*AB8,MeanMinAge11)))</f>
        <v/>
      </c>
      <c r="AC57" s="4">
        <f>IF(OR(AC30=0,11&lt;=КаникулыРоялти),0,AC30*IF(РоялтиПоГруппам="Да",MeanMinAge11+AC8*SUMIF(ThresholdAge11,"&lt;"&amp;AC8,WeightedRevAge11)-SUMIF(ThresholdAge11,"&lt;"&amp;AC8,WeightedMinAge11),MAX(CapacityAge11*АбонементНовых*AC8,MeanMinAge11)))</f>
        <v/>
      </c>
      <c r="AD57" s="4">
        <f>IF(OR(AD30=0,11&lt;=КаникулыРоялти),0,AD30*IF(РоялтиПоГруппам="Да",MeanMinAge11+AD8*SUMIF(ThresholdAge11,"&lt;"&amp;AD8,WeightedRevAge11)-SUMIF(ThresholdAge11,"&lt;"&amp;AD8,WeightedMinAge11),MAX(CapacityAge11*АбонементНовых*AD8,MeanMinAge11)))</f>
        <v/>
      </c>
      <c r="AE57" s="4">
        <f>IF(OR(AE30=0,11&lt;=КаникулыРоялти),0,AE30*IF(РоялтиПоГруппам="Да",MeanMinAge11+AE8*SUMIF(ThresholdAge11,"&lt;"&amp;AE8,WeightedRevAge11)-SUMIF(ThresholdAge11,"&lt;"&amp;AE8,WeightedMinAge11),MAX(CapacityAge11*АбонементНовых*AE8,MeanMinAge11)))</f>
        <v/>
      </c>
      <c r="AF57" s="4">
        <f>IF(OR(AF30=0,11&lt;=КаникулыРоялти),0,AF30*IF(РоялтиПоГруппам="Да",MeanMinAge11+AF8*SUMIF(ThresholdAge11,"&lt;"&amp;AF8,WeightedRevAge11)-SUMIF(ThresholdAge11,"&lt;"&amp;AF8,WeightedMinAge11),MAX(CapacityAge11*АбонементНовых*AF8,MeanMinAge11)))</f>
        <v/>
      </c>
      <c r="AG57" s="4">
        <f>IF(OR(AG30=0,11&lt;=КаникулыРоялти),0,AG30*IF(РоялтиПоГруппам="Да",MeanMinAge11+AG8*SUMIF(ThresholdAge11,"&lt;"&amp;AG8,WeightedRevAge11)-SUMIF(ThresholdAge11,"&lt;"&amp;AG8,WeightedMinAge11),MAX(CapacityAge11*АбонементНовых*AG8,MeanMinAge11)))</f>
        <v/>
      </c>
      <c r="AH57" s="4">
        <f>IF(OR(AH30=0,11&lt;=КаникулыРоялти),0,AH30*IF(РоялтиПоГруппам="Да",MeanMinAge11+AH8*SUMIF(ThresholdAge11,"&lt;"&amp;AH8,WeightedRevAge11)-SUMIF(ThresholdAge11,"&lt;"&amp;AH8,WeightedMinAge11),MAX(CapacityAge11*АбонементНовых*AH8,MeanMinAge11)))</f>
        <v/>
      </c>
      <c r="AI57" s="4">
        <f>IF(OR(AI30=0,11&lt;=КаникулыРоялти),0,AI30*IF(РоялтиПоГруппам="Да",MeanMinAge11+AI8*SUMIF(ThresholdAge11,"&lt;"&amp;AI8,WeightedRevAge11)-SUMIF(ThresholdAge11,"&lt;"&amp;AI8,WeightedMinAge11),MAX(CapacityAge11*АбонементНовых*AI8,MeanMinAge11)))</f>
        <v/>
      </c>
      <c r="AJ57" s="4">
        <f>IF(OR(AJ30=0,11&lt;=КаникулыРоялти),0,AJ30*IF(РоялтиПоГруппам="Да",MeanMinAge11+AJ8*SUMIF(ThresholdAge11,"&lt;"&amp;AJ8,WeightedRevAge11)-SUMIF(ThresholdAge11,"&lt;"&amp;AJ8,WeightedMinAge11),MAX(CapacityAge11*АбонементНовых*AJ8,MeanMinAge11)))</f>
        <v/>
      </c>
      <c r="AK57" s="4">
        <f>IF(OR(AK30=0,11&lt;=КаникулыРоялти),0,AK30*IF(РоялтиПоГруппам="Да",MeanMinAge11+AK8*SUMIF(ThresholdAge11,"&lt;"&amp;AK8,WeightedRevAge11)-SUMIF(ThresholdAge11,"&lt;"&amp;AK8,WeightedMinAge11),MAX(CapacityAge11*АбонементНовых*AK8,MeanMinAge11)))</f>
        <v/>
      </c>
      <c r="AL57" s="4">
        <f>IF(OR(AL30=0,11&lt;=КаникулыРоялти),0,AL30*IF(РоялтиПоГруппам="Да",MeanMinAge11+AL8*SUMIF(ThresholdAge11,"&lt;"&amp;AL8,WeightedRevAge11)-SUMIF(ThresholdAge11,"&lt;"&amp;AL8,WeightedMinAge11),MAX(CapacityAge11*АбонементНовых*AL8,MeanMinAge11)))</f>
        <v/>
      </c>
      <c r="AM57" s="4">
        <f>IF(OR(AM30=0,11&lt;=КаникулыРоялти),0,AM30*IF(РоялтиПоГруппам="Да",MeanMinAge11+AM8*SUMIF(ThresholdAge11,"&lt;"&amp;AM8,WeightedRevAge11)-SUMIF(ThresholdAge11,"&lt;"&amp;AM8,WeightedMinAge11),MAX(CapacityAge11*АбонементНовых*AM8,MeanMinAge11)))</f>
        <v/>
      </c>
      <c r="AN57" s="4">
        <f>IF(OR(AN30=0,11&lt;=КаникулыРоялти),0,AN30*IF(РоялтиПоГруппам="Да",MeanMinAge11+AN8*SUMIF(ThresholdAge11,"&lt;"&amp;AN8,WeightedRevAge11)-SUMIF(ThresholdAge11,"&lt;"&amp;AN8,WeightedMinAge11),MAX(CapacityAge11*АбонементНовых*AN8,MeanMinAge11)))</f>
        <v/>
      </c>
      <c r="AO57" s="4">
        <f>IF(OR(AO30=0,11&lt;=КаникулыРоялти),0,AO30*IF(РоялтиПоГруппам="Да",MeanMinAge11+AO8*SUMIF(ThresholdAge11,"&lt;"&amp;AO8,WeightedRevAge11)-SUMIF(ThresholdAge11,"&lt;"&amp;AO8,WeightedMinAge11),MAX(CapacityAge11*АбонементНовых*AO8,MeanMinAge11)))</f>
        <v/>
      </c>
      <c r="AP57" s="4">
        <f>IF(OR(AP30=0,11&lt;=КаникулыРоялти),0,AP30*IF(РоялтиПоГруппам="Да",MeanMinAge11+AP8*SUMIF(ThresholdAge11,"&lt;"&amp;AP8,WeightedRevAge11)-SUMIF(ThresholdAge11,"&lt;"&amp;AP8,WeightedMinAge11),MAX(CapacityAge11*АбонементНовых*AP8,MeanMinAge11)))</f>
        <v/>
      </c>
      <c r="AQ57" s="4">
        <f>IF(OR(AQ30=0,11&lt;=КаникулыРоялти),0,AQ30*IF(РоялтиПоГруппам="Да",MeanMinAge11+AQ8*SUMIF(ThresholdAge11,"&lt;"&amp;AQ8,WeightedRevAge11)-SUMIF(ThresholdAge11,"&lt;"&amp;AQ8,WeightedMinAge11),MAX(CapacityAge11*АбонементНовых*AQ8,MeanMinAge11)))</f>
        <v/>
      </c>
      <c r="AR57" s="4">
        <f>IF(OR(AR30=0,11&lt;=КаникулыРоялти),0,AR30*IF(РоялтиПоГруппам="Да",MeanMinAge11+AR8*SUMIF(ThresholdAge11,"&lt;"&amp;AR8,WeightedRevAge11)-SUMIF(ThresholdAge11,"&lt;"&amp;AR8,WeightedMinAge11),MAX(CapacityAge11*АбонементНовых*AR8,MeanMinAge11)))</f>
        <v/>
      </c>
      <c r="AS57" s="4">
        <f>IF(OR(AS30=0,11&lt;=КаникулыРоялти),0,AS30*IF(РоялтиПоГруппам="Да",MeanMinAge11+AS8*SUMIF(ThresholdAge11,"&lt;"&amp;AS8,WeightedRevAge11)-SUMIF(ThresholdAge11,"&lt;"&amp;AS8,WeightedMinAge11),MAX(CapacityAge11*АбонементНовых*AS8,MeanMinAge11)))</f>
        <v/>
      </c>
      <c r="AT57" s="4">
        <f>IF(OR(AT30=0,11&lt;=КаникулыРоялти),0,AT30*IF(РоялтиПоГруппам="Да",MeanMinAge11+AT8*SUMIF(ThresholdAge11,"&lt;"&amp;AT8,WeightedRevAge11)-SUMIF(ThresholdAge11,"&lt;"&amp;AT8,WeightedMinAge11),MAX(CapacityAge11*АбонементНовых*AT8,MeanMinAge11)))</f>
        <v/>
      </c>
      <c r="AU57" s="4">
        <f>IF(OR(AU30=0,11&lt;=КаникулыРоялти),0,AU30*IF(РоялтиПоГруппам="Да",MeanMinAge11+AU8*SUMIF(ThresholdAge11,"&lt;"&amp;AU8,WeightedRevAge11)-SUMIF(ThresholdAge11,"&lt;"&amp;AU8,WeightedMinAge11),MAX(CapacityAge11*АбонементНовых*AU8,MeanMinAge11)))</f>
        <v/>
      </c>
      <c r="AV57" s="4">
        <f>IF(OR(AV30=0,11&lt;=КаникулыРоялти),0,AV30*IF(РоялтиПоГруппам="Да",MeanMinAge11+AV8*SUMIF(ThresholdAge11,"&lt;"&amp;AV8,WeightedRevAge11)-SUMIF(ThresholdAge11,"&lt;"&amp;AV8,WeightedMinAge11),MAX(CapacityAge11*АбонементНовых*AV8,MeanMinAge11)))</f>
        <v/>
      </c>
      <c r="AW57" s="4">
        <f>IF(OR(AW30=0,11&lt;=КаникулыРоялти),0,AW30*IF(РоялтиПоГруппам="Да",MeanMinAge11+AW8*SUMIF(ThresholdAge11,"&lt;"&amp;AW8,WeightedRevAge11)-SUMIF(ThresholdAge11,"&lt;"&amp;AW8,WeightedMinAge11),MAX(CapacityAge11*АбонементНовых*AW8,MeanMinAge11)))</f>
        <v/>
      </c>
      <c r="AX57" s="4">
        <f>IF(OR(AX30=0,11&lt;=КаникулыРоялти),0,AX30*IF(РоялтиПоГруппам="Да",MeanMinAge11+AX8*SUMIF(ThresholdAge11,"&lt;"&amp;AX8,WeightedRevAge11)-SUMIF(ThresholdAge11,"&lt;"&amp;AX8,WeightedMinAge11),MAX(CapacityAge11*АбонементНовых*AX8,MeanMinAge11)))</f>
        <v/>
      </c>
      <c r="AY57" s="4">
        <f>IF(OR(AY30=0,11&lt;=КаникулыРоялти),0,AY30*IF(РоялтиПоГруппам="Да",MeanMinAge11+AY8*SUMIF(ThresholdAge11,"&lt;"&amp;AY8,WeightedRevAge11)-SUMIF(ThresholdAge11,"&lt;"&amp;AY8,WeightedMinAge11),MAX(CapacityAge11*АбонементНовых*AY8,MeanMinAge11)))</f>
        <v/>
      </c>
      <c r="AZ57" s="4">
        <f>IF(OR(AZ30=0,11&lt;=КаникулыРоялти),0,AZ30*IF(РоялтиПоГруппам="Да",MeanMinAge11+AZ8*SUMIF(ThresholdAge11,"&lt;"&amp;AZ8,WeightedRevAge11)-SUMIF(ThresholdAge11,"&lt;"&amp;AZ8,WeightedMinAge11),MAX(CapacityAge11*АбонементНовых*AZ8,MeanMinAge11)))</f>
        <v/>
      </c>
      <c r="BA57" s="4">
        <f>IF(OR(BA30=0,11&lt;=КаникулыРоялти),0,BA30*IF(РоялтиПоГруппам="Да",MeanMinAge11+BA8*SUMIF(ThresholdAge11,"&lt;"&amp;BA8,WeightedRevAge11)-SUMIF(ThresholdAge11,"&lt;"&amp;BA8,WeightedMinAge11),MAX(CapacityAge11*АбонементНовых*BA8,MeanMinAge11)))</f>
        <v/>
      </c>
      <c r="BB57" s="4">
        <f>IF(OR(BB30=0,11&lt;=КаникулыРоялти),0,BB30*IF(РоялтиПоГруппам="Да",MeanMinAge11+BB8*SUMIF(ThresholdAge11,"&lt;"&amp;BB8,WeightedRevAge11)-SUMIF(ThresholdAge11,"&lt;"&amp;BB8,WeightedMinAge11),MAX(CapacityAge11*АбонементНовых*BB8,MeanMinAge11)))</f>
        <v/>
      </c>
      <c r="BC57" s="4">
        <f>IF(OR(BC30=0,11&lt;=КаникулыРоялти),0,BC30*IF(РоялтиПоГруппам="Да",MeanMinAge11+BC8*SUMIF(ThresholdAge11,"&lt;"&amp;BC8,WeightedRevAge11)-SUMIF(ThresholdAge11,"&lt;"&amp;BC8,WeightedMinAge11),MAX(CapacityAge11*АбонементНовых*BC8,MeanMinAge11)))</f>
        <v/>
      </c>
      <c r="BD57" s="4">
        <f>IF(OR(BD30=0,11&lt;=КаникулыРоялти),0,BD30*IF(РоялтиПоГруппам="Да",MeanMinAge11+BD8*SUMIF(ThresholdAge11,"&lt;"&amp;BD8,WeightedRevAge11)-SUMIF(ThresholdAge11,"&lt;"&amp;BD8,WeightedMinAge11),MAX(CapacityAge11*АбонементНовых*BD8,MeanMinAge11)))</f>
        <v/>
      </c>
      <c r="BE57" s="4">
        <f>IF(OR(BE30=0,11&lt;=КаникулыРоялти),0,BE30*IF(РоялтиПоГруппам="Да",MeanMinAge11+BE8*SUMIF(ThresholdAge11,"&lt;"&amp;BE8,WeightedRevAge11)-SUMIF(ThresholdAge11,"&lt;"&amp;BE8,WeightedMinAge11),MAX(CapacityAge11*АбонементНовых*BE8,MeanMinAge11)))</f>
        <v/>
      </c>
      <c r="BF57" s="4">
        <f>IF(OR(BF30=0,11&lt;=КаникулыРоялти),0,BF30*IF(РоялтиПоГруппам="Да",MeanMinAge11+BF8*SUMIF(ThresholdAge11,"&lt;"&amp;BF8,WeightedRevAge11)-SUMIF(ThresholdAge11,"&lt;"&amp;BF8,WeightedMinAge11),MAX(CapacityAge11*АбонементНовых*BF8,MeanMinAge11)))</f>
        <v/>
      </c>
      <c r="BG57" s="4">
        <f>IF(OR(BG30=0,11&lt;=КаникулыРоялти),0,BG30*IF(РоялтиПоГруппам="Да",MeanMinAge11+BG8*SUMIF(ThresholdAge11,"&lt;"&amp;BG8,WeightedRevAge11)-SUMIF(ThresholdAge11,"&lt;"&amp;BG8,WeightedMinAge11),MAX(CapacityAge11*АбонементНовых*BG8,MeanMinAge11)))</f>
        <v/>
      </c>
      <c r="BH57" s="4">
        <f>IF(OR(BH30=0,11&lt;=КаникулыРоялти),0,BH30*IF(РоялтиПоГруппам="Да",MeanMinAge11+BH8*SUMIF(ThresholdAge11,"&lt;"&amp;BH8,WeightedRevAge11)-SUMIF(ThresholdAge11,"&lt;"&amp;BH8,WeightedMinAge11),MAX(CapacityAge11*АбонементНовых*BH8,MeanMinAge11)))</f>
        <v/>
      </c>
      <c r="BI57" s="4">
        <f>IF(OR(BI30=0,11&lt;=КаникулыРоялти),0,BI30*IF(РоялтиПоГруппам="Да",MeanMinAge11+BI8*SUMIF(ThresholdAge11,"&lt;"&amp;BI8,WeightedRevAge11)-SUMIF(ThresholdAge11,"&lt;"&amp;BI8,WeightedMinAge11),MAX(CapacityAge11*АбонементНовых*BI8,MeanMinAge11)))</f>
        <v/>
      </c>
      <c r="BJ57" s="4">
        <f>IF(OR(BJ30=0,11&lt;=КаникулыРоялти),0,BJ30*IF(РоялтиПоГруппам="Да",MeanMinAge11+BJ8*SUMIF(ThresholdAge11,"&lt;"&amp;BJ8,WeightedRevAge11)-SUMIF(ThresholdAge11,"&lt;"&amp;BJ8,WeightedMinAge11),MAX(CapacityAge11*АбонементНовых*BJ8,MeanMinAge11)))</f>
        <v/>
      </c>
      <c r="BK57" s="4">
        <f>IF(OR(BK30=0,11&lt;=КаникулыРоялти),0,BK30*IF(РоялтиПоГруппам="Да",MeanMinAge11+BK8*SUMIF(ThresholdAge11,"&lt;"&amp;BK8,WeightedRevAge11)-SUMIF(ThresholdAge11,"&lt;"&amp;BK8,WeightedMinAge11),MAX(CapacityAge11*АбонементНовых*BK8,MeanMinAge11)))</f>
        <v/>
      </c>
      <c r="BL57" s="4">
        <f>IF(OR(BL30=0,11&lt;=КаникулыРоялти),0,BL30*IF(РоялтиПоГруппам="Да",MeanMinAge11+BL8*SUMIF(ThresholdAge11,"&lt;"&amp;BL8,WeightedRevAge11)-SUMIF(ThresholdAge11,"&lt;"&amp;BL8,WeightedMinAge11),MAX(CapacityAge11*АбонементНовых*BL8,MeanMinAge11)))</f>
        <v/>
      </c>
      <c r="BM57" s="4">
        <f>IF(OR(BM30=0,11&lt;=КаникулыРоялти),0,BM30*IF(РоялтиПоГруппам="Да",MeanMinAge11+BM8*SUMIF(ThresholdAge11,"&lt;"&amp;BM8,WeightedRevAge11)-SUMIF(ThresholdAge11,"&lt;"&amp;BM8,WeightedMinAge11),MAX(CapacityAge11*АбонементНовых*BM8,MeanMinAge11)))</f>
        <v/>
      </c>
      <c r="BN57" s="4">
        <f>IF(OR(BN30=0,11&lt;=КаникулыРоялти),0,BN30*IF(РоялтиПоГруппам="Да",MeanMinAge11+BN8*SUMIF(ThresholdAge11,"&lt;"&amp;BN8,WeightedRevAge11)-SUMIF(ThresholdAge11,"&lt;"&amp;BN8,WeightedMinAge11),MAX(CapacityAge11*АбонементНовых*BN8,MeanMinAge11)))</f>
        <v/>
      </c>
      <c r="BO57" s="4">
        <f>IF(OR(BO30=0,11&lt;=КаникулыРоялти),0,BO30*IF(РоялтиПоГруппам="Да",MeanMinAge11+BO8*SUMIF(ThresholdAge11,"&lt;"&amp;BO8,WeightedRevAge11)-SUMIF(ThresholdAge11,"&lt;"&amp;BO8,WeightedMinAge11),MAX(CapacityAge11*АбонементНовых*BO8,MeanMinAge11)))</f>
        <v/>
      </c>
      <c r="BP57" s="4">
        <f>IF(OR(BP30=0,11&lt;=КаникулыРоялти),0,BP30*IF(РоялтиПоГруппам="Да",MeanMinAge11+BP8*SUMIF(ThresholdAge11,"&lt;"&amp;BP8,WeightedRevAge11)-SUMIF(ThresholdAge11,"&lt;"&amp;BP8,WeightedMinAge11),MAX(CapacityAge11*АбонементНовых*BP8,MeanMinAge11)))</f>
        <v/>
      </c>
      <c r="BQ57" s="4">
        <f>IF(OR(BQ30=0,11&lt;=КаникулыРоялти),0,BQ30*IF(РоялтиПоГруппам="Да",MeanMinAge11+BQ8*SUMIF(ThresholdAge11,"&lt;"&amp;BQ8,WeightedRevAge11)-SUMIF(ThresholdAge11,"&lt;"&amp;BQ8,WeightedMinAge11),MAX(CapacityAge11*АбонементНовых*BQ8,MeanMinAge11)))</f>
        <v/>
      </c>
      <c r="BR57" s="4">
        <f>IF(OR(BR30=0,11&lt;=КаникулыРоялти),0,BR30*IF(РоялтиПоГруппам="Да",MeanMinAge11+BR8*SUMIF(ThresholdAge11,"&lt;"&amp;BR8,WeightedRevAge11)-SUMIF(ThresholdAge11,"&lt;"&amp;BR8,WeightedMinAge11),MAX(CapacityAge11*АбонементНовых*BR8,MeanMinAge11)))</f>
        <v/>
      </c>
      <c r="BS57" s="4">
        <f>IF(OR(BS30=0,11&lt;=КаникулыРоялти),0,BS30*IF(РоялтиПоГруппам="Да",MeanMinAge11+BS8*SUMIF(ThresholdAge11,"&lt;"&amp;BS8,WeightedRevAge11)-SUMIF(ThresholdAge11,"&lt;"&amp;BS8,WeightedMinAge11),MAX(CapacityAge11*АбонементНовых*BS8,MeanMinAge11)))</f>
        <v/>
      </c>
      <c r="BT57" s="4">
        <f>IF(OR(BT30=0,11&lt;=КаникулыРоялти),0,BT30*IF(РоялтиПоГруппам="Да",MeanMinAge11+BT8*SUMIF(ThresholdAge11,"&lt;"&amp;BT8,WeightedRevAge11)-SUMIF(ThresholdAge11,"&lt;"&amp;BT8,WeightedMinAge11),MAX(CapacityAge11*АбонементНовых*BT8,MeanMinAge11)))</f>
        <v/>
      </c>
      <c r="BU57" s="4">
        <f>IF(OR(BU30=0,11&lt;=КаникулыРоялти),0,BU30*IF(РоялтиПоГруппам="Да",MeanMinAge11+BU8*SUMIF(ThresholdAge11,"&lt;"&amp;BU8,WeightedRevAge11)-SUMIF(ThresholdAge11,"&lt;"&amp;BU8,WeightedMinAge11),MAX(CapacityAge11*АбонементНовых*BU8,MeanMinAge11)))</f>
        <v/>
      </c>
      <c r="BV57" s="4">
        <f>IF(OR(BV30=0,11&lt;=КаникулыРоялти),0,BV30*IF(РоялтиПоГруппам="Да",MeanMinAge11+BV8*SUMIF(ThresholdAge11,"&lt;"&amp;BV8,WeightedRevAge11)-SUMIF(ThresholdAge11,"&lt;"&amp;BV8,WeightedMinAge11),MAX(CapacityAge11*АбонементНовых*BV8,MeanMinAge11)))</f>
        <v/>
      </c>
      <c r="BW57" s="4">
        <f>IF(OR(BW30=0,11&lt;=КаникулыРоялти),0,BW30*IF(РоялтиПоГруппам="Да",MeanMinAge11+BW8*SUMIF(ThresholdAge11,"&lt;"&amp;BW8,WeightedRevAge11)-SUMIF(ThresholdAge11,"&lt;"&amp;BW8,WeightedMinAge11),MAX(CapacityAge11*АбонементНовых*BW8,MeanMinAge11)))</f>
        <v/>
      </c>
      <c r="BX57" s="4">
        <f>IF(OR(BX30=0,11&lt;=КаникулыРоялти),0,BX30*IF(РоялтиПоГруппам="Да",MeanMinAge11+BX8*SUMIF(ThresholdAge11,"&lt;"&amp;BX8,WeightedRevAge11)-SUMIF(ThresholdAge11,"&lt;"&amp;BX8,WeightedMinAge11),MAX(CapacityAge11*АбонементНовых*BX8,MeanMinAge11)))</f>
        <v/>
      </c>
      <c r="BY57" s="4">
        <f>IF(OR(BY30=0,11&lt;=КаникулыРоялти),0,BY30*IF(РоялтиПоГруппам="Да",MeanMinAge11+BY8*SUMIF(ThresholdAge11,"&lt;"&amp;BY8,WeightedRevAge11)-SUMIF(ThresholdAge11,"&lt;"&amp;BY8,WeightedMinAge11),MAX(CapacityAge11*АбонементНовых*BY8,MeanMinAge11)))</f>
        <v/>
      </c>
    </row>
    <row r="58">
      <c r="B58" t="inlineStr">
        <is>
          <t>12 мес.</t>
        </is>
      </c>
      <c r="C58" t="inlineStr">
        <is>
          <t>₽</t>
        </is>
      </c>
      <c r="D58" s="117" t="inlineStr"/>
      <c r="E58" s="119">
        <f>SUM(L58:W58)</f>
        <v/>
      </c>
      <c r="F58" s="119">
        <f>SUM(X58:AI58)</f>
        <v/>
      </c>
      <c r="G58" s="119">
        <f>SUM(AJ58:AU58)</f>
        <v/>
      </c>
      <c r="H58" s="119">
        <f>SUM(AV58:BG58)</f>
        <v/>
      </c>
      <c r="I58" s="119">
        <f>SUM(BH58:BS58)</f>
        <v/>
      </c>
      <c r="J58" s="5">
        <f>SUM(L58:BS58)</f>
        <v/>
      </c>
      <c r="L58" s="4">
        <f>IF(OR(L31=0,12&lt;=КаникулыРоялти),0,L31*IF(РоялтиПоГруппам="Да",MeanMinAge12+L8*SUMIF(ThresholdAge12,"&lt;"&amp;L8,WeightedRevAge12)-SUMIF(ThresholdAge12,"&lt;"&amp;L8,WeightedMinAge12),MAX(CapacityAge12*АбонементНовых*L8,MeanMinAge12)))</f>
        <v/>
      </c>
      <c r="M58" s="4">
        <f>IF(OR(M31=0,12&lt;=КаникулыРоялти),0,M31*IF(РоялтиПоГруппам="Да",MeanMinAge12+M8*SUMIF(ThresholdAge12,"&lt;"&amp;M8,WeightedRevAge12)-SUMIF(ThresholdAge12,"&lt;"&amp;M8,WeightedMinAge12),MAX(CapacityAge12*АбонементНовых*M8,MeanMinAge12)))</f>
        <v/>
      </c>
      <c r="N58" s="4">
        <f>IF(OR(N31=0,12&lt;=КаникулыРоялти),0,N31*IF(РоялтиПоГруппам="Да",MeanMinAge12+N8*SUMIF(ThresholdAge12,"&lt;"&amp;N8,WeightedRevAge12)-SUMIF(ThresholdAge12,"&lt;"&amp;N8,WeightedMinAge12),MAX(CapacityAge12*АбонементНовых*N8,MeanMinAge12)))</f>
        <v/>
      </c>
      <c r="O58" s="4">
        <f>IF(OR(O31=0,12&lt;=КаникулыРоялти),0,O31*IF(РоялтиПоГруппам="Да",MeanMinAge12+O8*SUMIF(ThresholdAge12,"&lt;"&amp;O8,WeightedRevAge12)-SUMIF(ThresholdAge12,"&lt;"&amp;O8,WeightedMinAge12),MAX(CapacityAge12*АбонементНовых*O8,MeanMinAge12)))</f>
        <v/>
      </c>
      <c r="P58" s="4">
        <f>IF(OR(P31=0,12&lt;=КаникулыРоялти),0,P31*IF(РоялтиПоГруппам="Да",MeanMinAge12+P8*SUMIF(ThresholdAge12,"&lt;"&amp;P8,WeightedRevAge12)-SUMIF(ThresholdAge12,"&lt;"&amp;P8,WeightedMinAge12),MAX(CapacityAge12*АбонементНовых*P8,MeanMinAge12)))</f>
        <v/>
      </c>
      <c r="Q58" s="4">
        <f>IF(OR(Q31=0,12&lt;=КаникулыРоялти),0,Q31*IF(РоялтиПоГруппам="Да",MeanMinAge12+Q8*SUMIF(ThresholdAge12,"&lt;"&amp;Q8,WeightedRevAge12)-SUMIF(ThresholdAge12,"&lt;"&amp;Q8,WeightedMinAge12),MAX(CapacityAge12*АбонементНовых*Q8,MeanMinAge12)))</f>
        <v/>
      </c>
      <c r="R58" s="4">
        <f>IF(OR(R31=0,12&lt;=КаникулыРоялти),0,R31*IF(РоялтиПоГруппам="Да",MeanMinAge12+R8*SUMIF(ThresholdAge12,"&lt;"&amp;R8,WeightedRevAge12)-SUMIF(ThresholdAge12,"&lt;"&amp;R8,WeightedMinAge12),MAX(CapacityAge12*АбонементНовых*R8,MeanMinAge12)))</f>
        <v/>
      </c>
      <c r="S58" s="4">
        <f>IF(OR(S31=0,12&lt;=КаникулыРоялти),0,S31*IF(РоялтиПоГруппам="Да",MeanMinAge12+S8*SUMIF(ThresholdAge12,"&lt;"&amp;S8,WeightedRevAge12)-SUMIF(ThresholdAge12,"&lt;"&amp;S8,WeightedMinAge12),MAX(CapacityAge12*АбонементНовых*S8,MeanMinAge12)))</f>
        <v/>
      </c>
      <c r="T58" s="4">
        <f>IF(OR(T31=0,12&lt;=КаникулыРоялти),0,T31*IF(РоялтиПоГруппам="Да",MeanMinAge12+T8*SUMIF(ThresholdAge12,"&lt;"&amp;T8,WeightedRevAge12)-SUMIF(ThresholdAge12,"&lt;"&amp;T8,WeightedMinAge12),MAX(CapacityAge12*АбонементНовых*T8,MeanMinAge12)))</f>
        <v/>
      </c>
      <c r="U58" s="4">
        <f>IF(OR(U31=0,12&lt;=КаникулыРоялти),0,U31*IF(РоялтиПоГруппам="Да",MeanMinAge12+U8*SUMIF(ThresholdAge12,"&lt;"&amp;U8,WeightedRevAge12)-SUMIF(ThresholdAge12,"&lt;"&amp;U8,WeightedMinAge12),MAX(CapacityAge12*АбонементНовых*U8,MeanMinAge12)))</f>
        <v/>
      </c>
      <c r="V58" s="4">
        <f>IF(OR(V31=0,12&lt;=КаникулыРоялти),0,V31*IF(РоялтиПоГруппам="Да",MeanMinAge12+V8*SUMIF(ThresholdAge12,"&lt;"&amp;V8,WeightedRevAge12)-SUMIF(ThresholdAge12,"&lt;"&amp;V8,WeightedMinAge12),MAX(CapacityAge12*АбонементНовых*V8,MeanMinAge12)))</f>
        <v/>
      </c>
      <c r="W58" s="4">
        <f>IF(OR(W31=0,12&lt;=КаникулыРоялти),0,W31*IF(РоялтиПоГруппам="Да",MeanMinAge12+W8*SUMIF(ThresholdAge12,"&lt;"&amp;W8,WeightedRevAge12)-SUMIF(ThresholdAge12,"&lt;"&amp;W8,WeightedMinAge12),MAX(CapacityAge12*АбонементНовых*W8,MeanMinAge12)))</f>
        <v/>
      </c>
      <c r="X58" s="4">
        <f>IF(OR(X31=0,12&lt;=КаникулыРоялти),0,X31*IF(РоялтиПоГруппам="Да",MeanMinAge12+X8*SUMIF(ThresholdAge12,"&lt;"&amp;X8,WeightedRevAge12)-SUMIF(ThresholdAge12,"&lt;"&amp;X8,WeightedMinAge12),MAX(CapacityAge12*АбонементНовых*X8,MeanMinAge12)))</f>
        <v/>
      </c>
      <c r="Y58" s="4">
        <f>IF(OR(Y31=0,12&lt;=КаникулыРоялти),0,Y31*IF(РоялтиПоГруппам="Да",MeanMinAge12+Y8*SUMIF(ThresholdAge12,"&lt;"&amp;Y8,WeightedRevAge12)-SUMIF(ThresholdAge12,"&lt;"&amp;Y8,WeightedMinAge12),MAX(CapacityAge12*АбонементНовых*Y8,MeanMinAge12)))</f>
        <v/>
      </c>
      <c r="Z58" s="4">
        <f>IF(OR(Z31=0,12&lt;=КаникулыРоялти),0,Z31*IF(РоялтиПоГруппам="Да",MeanMinAge12+Z8*SUMIF(ThresholdAge12,"&lt;"&amp;Z8,WeightedRevAge12)-SUMIF(ThresholdAge12,"&lt;"&amp;Z8,WeightedMinAge12),MAX(CapacityAge12*АбонементНовых*Z8,MeanMinAge12)))</f>
        <v/>
      </c>
      <c r="AA58" s="4">
        <f>IF(OR(AA31=0,12&lt;=КаникулыРоялти),0,AA31*IF(РоялтиПоГруппам="Да",MeanMinAge12+AA8*SUMIF(ThresholdAge12,"&lt;"&amp;AA8,WeightedRevAge12)-SUMIF(ThresholdAge12,"&lt;"&amp;AA8,WeightedMinAge12),MAX(CapacityAge12*АбонементНовых*AA8,MeanMinAge12)))</f>
        <v/>
      </c>
      <c r="AB58" s="4">
        <f>IF(OR(AB31=0,12&lt;=КаникулыРоялти),0,AB31*IF(РоялтиПоГруппам="Да",MeanMinAge12+AB8*SUMIF(ThresholdAge12,"&lt;"&amp;AB8,WeightedRevAge12)-SUMIF(ThresholdAge12,"&lt;"&amp;AB8,WeightedMinAge12),MAX(CapacityAge12*АбонементНовых*AB8,MeanMinAge12)))</f>
        <v/>
      </c>
      <c r="AC58" s="4">
        <f>IF(OR(AC31=0,12&lt;=КаникулыРоялти),0,AC31*IF(РоялтиПоГруппам="Да",MeanMinAge12+AC8*SUMIF(ThresholdAge12,"&lt;"&amp;AC8,WeightedRevAge12)-SUMIF(ThresholdAge12,"&lt;"&amp;AC8,WeightedMinAge12),MAX(CapacityAge12*АбонементНовых*AC8,MeanMinAge12)))</f>
        <v/>
      </c>
      <c r="AD58" s="4">
        <f>IF(OR(AD31=0,12&lt;=КаникулыРоялти),0,AD31*IF(РоялтиПоГруппам="Да",MeanMinAge12+AD8*SUMIF(ThresholdAge12,"&lt;"&amp;AD8,WeightedRevAge12)-SUMIF(ThresholdAge12,"&lt;"&amp;AD8,WeightedMinAge12),MAX(CapacityAge12*АбонементНовых*AD8,MeanMinAge12)))</f>
        <v/>
      </c>
      <c r="AE58" s="4">
        <f>IF(OR(AE31=0,12&lt;=КаникулыРоялти),0,AE31*IF(РоялтиПоГруппам="Да",MeanMinAge12+AE8*SUMIF(ThresholdAge12,"&lt;"&amp;AE8,WeightedRevAge12)-SUMIF(ThresholdAge12,"&lt;"&amp;AE8,WeightedMinAge12),MAX(CapacityAge12*АбонементНовых*AE8,MeanMinAge12)))</f>
        <v/>
      </c>
      <c r="AF58" s="4">
        <f>IF(OR(AF31=0,12&lt;=КаникулыРоялти),0,AF31*IF(РоялтиПоГруппам="Да",MeanMinAge12+AF8*SUMIF(ThresholdAge12,"&lt;"&amp;AF8,WeightedRevAge12)-SUMIF(ThresholdAge12,"&lt;"&amp;AF8,WeightedMinAge12),MAX(CapacityAge12*АбонементНовых*AF8,MeanMinAge12)))</f>
        <v/>
      </c>
      <c r="AG58" s="4">
        <f>IF(OR(AG31=0,12&lt;=КаникулыРоялти),0,AG31*IF(РоялтиПоГруппам="Да",MeanMinAge12+AG8*SUMIF(ThresholdAge12,"&lt;"&amp;AG8,WeightedRevAge12)-SUMIF(ThresholdAge12,"&lt;"&amp;AG8,WeightedMinAge12),MAX(CapacityAge12*АбонементНовых*AG8,MeanMinAge12)))</f>
        <v/>
      </c>
      <c r="AH58" s="4">
        <f>IF(OR(AH31=0,12&lt;=КаникулыРоялти),0,AH31*IF(РоялтиПоГруппам="Да",MeanMinAge12+AH8*SUMIF(ThresholdAge12,"&lt;"&amp;AH8,WeightedRevAge12)-SUMIF(ThresholdAge12,"&lt;"&amp;AH8,WeightedMinAge12),MAX(CapacityAge12*АбонементНовых*AH8,MeanMinAge12)))</f>
        <v/>
      </c>
      <c r="AI58" s="4">
        <f>IF(OR(AI31=0,12&lt;=КаникулыРоялти),0,AI31*IF(РоялтиПоГруппам="Да",MeanMinAge12+AI8*SUMIF(ThresholdAge12,"&lt;"&amp;AI8,WeightedRevAge12)-SUMIF(ThresholdAge12,"&lt;"&amp;AI8,WeightedMinAge12),MAX(CapacityAge12*АбонементНовых*AI8,MeanMinAge12)))</f>
        <v/>
      </c>
      <c r="AJ58" s="4">
        <f>IF(OR(AJ31=0,12&lt;=КаникулыРоялти),0,AJ31*IF(РоялтиПоГруппам="Да",MeanMinAge12+AJ8*SUMIF(ThresholdAge12,"&lt;"&amp;AJ8,WeightedRevAge12)-SUMIF(ThresholdAge12,"&lt;"&amp;AJ8,WeightedMinAge12),MAX(CapacityAge12*АбонементНовых*AJ8,MeanMinAge12)))</f>
        <v/>
      </c>
      <c r="AK58" s="4">
        <f>IF(OR(AK31=0,12&lt;=КаникулыРоялти),0,AK31*IF(РоялтиПоГруппам="Да",MeanMinAge12+AK8*SUMIF(ThresholdAge12,"&lt;"&amp;AK8,WeightedRevAge12)-SUMIF(ThresholdAge12,"&lt;"&amp;AK8,WeightedMinAge12),MAX(CapacityAge12*АбонементНовых*AK8,MeanMinAge12)))</f>
        <v/>
      </c>
      <c r="AL58" s="4">
        <f>IF(OR(AL31=0,12&lt;=КаникулыРоялти),0,AL31*IF(РоялтиПоГруппам="Да",MeanMinAge12+AL8*SUMIF(ThresholdAge12,"&lt;"&amp;AL8,WeightedRevAge12)-SUMIF(ThresholdAge12,"&lt;"&amp;AL8,WeightedMinAge12),MAX(CapacityAge12*АбонементНовых*AL8,MeanMinAge12)))</f>
        <v/>
      </c>
      <c r="AM58" s="4">
        <f>IF(OR(AM31=0,12&lt;=КаникулыРоялти),0,AM31*IF(РоялтиПоГруппам="Да",MeanMinAge12+AM8*SUMIF(ThresholdAge12,"&lt;"&amp;AM8,WeightedRevAge12)-SUMIF(ThresholdAge12,"&lt;"&amp;AM8,WeightedMinAge12),MAX(CapacityAge12*АбонементНовых*AM8,MeanMinAge12)))</f>
        <v/>
      </c>
      <c r="AN58" s="4">
        <f>IF(OR(AN31=0,12&lt;=КаникулыРоялти),0,AN31*IF(РоялтиПоГруппам="Да",MeanMinAge12+AN8*SUMIF(ThresholdAge12,"&lt;"&amp;AN8,WeightedRevAge12)-SUMIF(ThresholdAge12,"&lt;"&amp;AN8,WeightedMinAge12),MAX(CapacityAge12*АбонементНовых*AN8,MeanMinAge12)))</f>
        <v/>
      </c>
      <c r="AO58" s="4">
        <f>IF(OR(AO31=0,12&lt;=КаникулыРоялти),0,AO31*IF(РоялтиПоГруппам="Да",MeanMinAge12+AO8*SUMIF(ThresholdAge12,"&lt;"&amp;AO8,WeightedRevAge12)-SUMIF(ThresholdAge12,"&lt;"&amp;AO8,WeightedMinAge12),MAX(CapacityAge12*АбонементНовых*AO8,MeanMinAge12)))</f>
        <v/>
      </c>
      <c r="AP58" s="4">
        <f>IF(OR(AP31=0,12&lt;=КаникулыРоялти),0,AP31*IF(РоялтиПоГруппам="Да",MeanMinAge12+AP8*SUMIF(ThresholdAge12,"&lt;"&amp;AP8,WeightedRevAge12)-SUMIF(ThresholdAge12,"&lt;"&amp;AP8,WeightedMinAge12),MAX(CapacityAge12*АбонементНовых*AP8,MeanMinAge12)))</f>
        <v/>
      </c>
      <c r="AQ58" s="4">
        <f>IF(OR(AQ31=0,12&lt;=КаникулыРоялти),0,AQ31*IF(РоялтиПоГруппам="Да",MeanMinAge12+AQ8*SUMIF(ThresholdAge12,"&lt;"&amp;AQ8,WeightedRevAge12)-SUMIF(ThresholdAge12,"&lt;"&amp;AQ8,WeightedMinAge12),MAX(CapacityAge12*АбонементНовых*AQ8,MeanMinAge12)))</f>
        <v/>
      </c>
      <c r="AR58" s="4">
        <f>IF(OR(AR31=0,12&lt;=КаникулыРоялти),0,AR31*IF(РоялтиПоГруппам="Да",MeanMinAge12+AR8*SUMIF(ThresholdAge12,"&lt;"&amp;AR8,WeightedRevAge12)-SUMIF(ThresholdAge12,"&lt;"&amp;AR8,WeightedMinAge12),MAX(CapacityAge12*АбонементНовых*AR8,MeanMinAge12)))</f>
        <v/>
      </c>
      <c r="AS58" s="4">
        <f>IF(OR(AS31=0,12&lt;=КаникулыРоялти),0,AS31*IF(РоялтиПоГруппам="Да",MeanMinAge12+AS8*SUMIF(ThresholdAge12,"&lt;"&amp;AS8,WeightedRevAge12)-SUMIF(ThresholdAge12,"&lt;"&amp;AS8,WeightedMinAge12),MAX(CapacityAge12*АбонементНовых*AS8,MeanMinAge12)))</f>
        <v/>
      </c>
      <c r="AT58" s="4">
        <f>IF(OR(AT31=0,12&lt;=КаникулыРоялти),0,AT31*IF(РоялтиПоГруппам="Да",MeanMinAge12+AT8*SUMIF(ThresholdAge12,"&lt;"&amp;AT8,WeightedRevAge12)-SUMIF(ThresholdAge12,"&lt;"&amp;AT8,WeightedMinAge12),MAX(CapacityAge12*АбонементНовых*AT8,MeanMinAge12)))</f>
        <v/>
      </c>
      <c r="AU58" s="4">
        <f>IF(OR(AU31=0,12&lt;=КаникулыРоялти),0,AU31*IF(РоялтиПоГруппам="Да",MeanMinAge12+AU8*SUMIF(ThresholdAge12,"&lt;"&amp;AU8,WeightedRevAge12)-SUMIF(ThresholdAge12,"&lt;"&amp;AU8,WeightedMinAge12),MAX(CapacityAge12*АбонементНовых*AU8,MeanMinAge12)))</f>
        <v/>
      </c>
      <c r="AV58" s="4">
        <f>IF(OR(AV31=0,12&lt;=КаникулыРоялти),0,AV31*IF(РоялтиПоГруппам="Да",MeanMinAge12+AV8*SUMIF(ThresholdAge12,"&lt;"&amp;AV8,WeightedRevAge12)-SUMIF(ThresholdAge12,"&lt;"&amp;AV8,WeightedMinAge12),MAX(CapacityAge12*АбонементНовых*AV8,MeanMinAge12)))</f>
        <v/>
      </c>
      <c r="AW58" s="4">
        <f>IF(OR(AW31=0,12&lt;=КаникулыРоялти),0,AW31*IF(РоялтиПоГруппам="Да",MeanMinAge12+AW8*SUMIF(ThresholdAge12,"&lt;"&amp;AW8,WeightedRevAge12)-SUMIF(ThresholdAge12,"&lt;"&amp;AW8,WeightedMinAge12),MAX(CapacityAge12*АбонементНовых*AW8,MeanMinAge12)))</f>
        <v/>
      </c>
      <c r="AX58" s="4">
        <f>IF(OR(AX31=0,12&lt;=КаникулыРоялти),0,AX31*IF(РоялтиПоГруппам="Да",MeanMinAge12+AX8*SUMIF(ThresholdAge12,"&lt;"&amp;AX8,WeightedRevAge12)-SUMIF(ThresholdAge12,"&lt;"&amp;AX8,WeightedMinAge12),MAX(CapacityAge12*АбонементНовых*AX8,MeanMinAge12)))</f>
        <v/>
      </c>
      <c r="AY58" s="4">
        <f>IF(OR(AY31=0,12&lt;=КаникулыРоялти),0,AY31*IF(РоялтиПоГруппам="Да",MeanMinAge12+AY8*SUMIF(ThresholdAge12,"&lt;"&amp;AY8,WeightedRevAge12)-SUMIF(ThresholdAge12,"&lt;"&amp;AY8,WeightedMinAge12),MAX(CapacityAge12*АбонементНовых*AY8,MeanMinAge12)))</f>
        <v/>
      </c>
      <c r="AZ58" s="4">
        <f>IF(OR(AZ31=0,12&lt;=КаникулыРоялти),0,AZ31*IF(РоялтиПоГруппам="Да",MeanMinAge12+AZ8*SUMIF(ThresholdAge12,"&lt;"&amp;AZ8,WeightedRevAge12)-SUMIF(ThresholdAge12,"&lt;"&amp;AZ8,WeightedMinAge12),MAX(CapacityAge12*АбонементНовых*AZ8,MeanMinAge12)))</f>
        <v/>
      </c>
      <c r="BA58" s="4">
        <f>IF(OR(BA31=0,12&lt;=КаникулыРоялти),0,BA31*IF(РоялтиПоГруппам="Да",MeanMinAge12+BA8*SUMIF(ThresholdAge12,"&lt;"&amp;BA8,WeightedRevAge12)-SUMIF(ThresholdAge12,"&lt;"&amp;BA8,WeightedMinAge12),MAX(CapacityAge12*АбонементНовых*BA8,MeanMinAge12)))</f>
        <v/>
      </c>
      <c r="BB58" s="4">
        <f>IF(OR(BB31=0,12&lt;=КаникулыРоялти),0,BB31*IF(РоялтиПоГруппам="Да",MeanMinAge12+BB8*SUMIF(ThresholdAge12,"&lt;"&amp;BB8,WeightedRevAge12)-SUMIF(ThresholdAge12,"&lt;"&amp;BB8,WeightedMinAge12),MAX(CapacityAge12*АбонементНовых*BB8,MeanMinAge12)))</f>
        <v/>
      </c>
      <c r="BC58" s="4">
        <f>IF(OR(BC31=0,12&lt;=КаникулыРоялти),0,BC31*IF(РоялтиПоГруппам="Да",MeanMinAge12+BC8*SUMIF(ThresholdAge12,"&lt;"&amp;BC8,WeightedRevAge12)-SUMIF(ThresholdAge12,"&lt;"&amp;BC8,WeightedMinAge12),MAX(CapacityAge12*АбонементНовых*BC8,MeanMinAge12)))</f>
        <v/>
      </c>
      <c r="BD58" s="4">
        <f>IF(OR(BD31=0,12&lt;=КаникулыРоялти),0,BD31*IF(РоялтиПоГруппам="Да",MeanMinAge12+BD8*SUMIF(ThresholdAge12,"&lt;"&amp;BD8,WeightedRevAge12)-SUMIF(ThresholdAge12,"&lt;"&amp;BD8,WeightedMinAge12),MAX(CapacityAge12*АбонементНовых*BD8,MeanMinAge12)))</f>
        <v/>
      </c>
      <c r="BE58" s="4">
        <f>IF(OR(BE31=0,12&lt;=КаникулыРоялти),0,BE31*IF(РоялтиПоГруппам="Да",MeanMinAge12+BE8*SUMIF(ThresholdAge12,"&lt;"&amp;BE8,WeightedRevAge12)-SUMIF(ThresholdAge12,"&lt;"&amp;BE8,WeightedMinAge12),MAX(CapacityAge12*АбонементНовых*BE8,MeanMinAge12)))</f>
        <v/>
      </c>
      <c r="BF58" s="4">
        <f>IF(OR(BF31=0,12&lt;=КаникулыРоялти),0,BF31*IF(РоялтиПоГруппам="Да",MeanMinAge12+BF8*SUMIF(ThresholdAge12,"&lt;"&amp;BF8,WeightedRevAge12)-SUMIF(ThresholdAge12,"&lt;"&amp;BF8,WeightedMinAge12),MAX(CapacityAge12*АбонементНовых*BF8,MeanMinAge12)))</f>
        <v/>
      </c>
      <c r="BG58" s="4">
        <f>IF(OR(BG31=0,12&lt;=КаникулыРоялти),0,BG31*IF(РоялтиПоГруппам="Да",MeanMinAge12+BG8*SUMIF(ThresholdAge12,"&lt;"&amp;BG8,WeightedRevAge12)-SUMIF(ThresholdAge12,"&lt;"&amp;BG8,WeightedMinAge12),MAX(CapacityAge12*АбонементНовых*BG8,MeanMinAge12)))</f>
        <v/>
      </c>
      <c r="BH58" s="4">
        <f>IF(OR(BH31=0,12&lt;=КаникулыРоялти),0,BH31*IF(РоялтиПоГруппам="Да",MeanMinAge12+BH8*SUMIF(ThresholdAge12,"&lt;"&amp;BH8,WeightedRevAge12)-SUMIF(ThresholdAge12,"&lt;"&amp;BH8,WeightedMinAge12),MAX(CapacityAge12*АбонементНовых*BH8,MeanMinAge12)))</f>
        <v/>
      </c>
      <c r="BI58" s="4">
        <f>IF(OR(BI31=0,12&lt;=КаникулыРоялти),0,BI31*IF(РоялтиПоГруппам="Да",MeanMinAge12+BI8*SUMIF(ThresholdAge12,"&lt;"&amp;BI8,WeightedRevAge12)-SUMIF(ThresholdAge12,"&lt;"&amp;BI8,WeightedMinAge12),MAX(CapacityAge12*АбонементНовых*BI8,MeanMinAge12)))</f>
        <v/>
      </c>
      <c r="BJ58" s="4">
        <f>IF(OR(BJ31=0,12&lt;=КаникулыРоялти),0,BJ31*IF(РоялтиПоГруппам="Да",MeanMinAge12+BJ8*SUMIF(ThresholdAge12,"&lt;"&amp;BJ8,WeightedRevAge12)-SUMIF(ThresholdAge12,"&lt;"&amp;BJ8,WeightedMinAge12),MAX(CapacityAge12*АбонементНовых*BJ8,MeanMinAge12)))</f>
        <v/>
      </c>
      <c r="BK58" s="4">
        <f>IF(OR(BK31=0,12&lt;=КаникулыРоялти),0,BK31*IF(РоялтиПоГруппам="Да",MeanMinAge12+BK8*SUMIF(ThresholdAge12,"&lt;"&amp;BK8,WeightedRevAge12)-SUMIF(ThresholdAge12,"&lt;"&amp;BK8,WeightedMinAge12),MAX(CapacityAge12*АбонементНовых*BK8,MeanMinAge12)))</f>
        <v/>
      </c>
      <c r="BL58" s="4">
        <f>IF(OR(BL31=0,12&lt;=КаникулыРоялти),0,BL31*IF(РоялтиПоГруппам="Да",MeanMinAge12+BL8*SUMIF(ThresholdAge12,"&lt;"&amp;BL8,WeightedRevAge12)-SUMIF(ThresholdAge12,"&lt;"&amp;BL8,WeightedMinAge12),MAX(CapacityAge12*АбонементНовых*BL8,MeanMinAge12)))</f>
        <v/>
      </c>
      <c r="BM58" s="4">
        <f>IF(OR(BM31=0,12&lt;=КаникулыРоялти),0,BM31*IF(РоялтиПоГруппам="Да",MeanMinAge12+BM8*SUMIF(ThresholdAge12,"&lt;"&amp;BM8,WeightedRevAge12)-SUMIF(ThresholdAge12,"&lt;"&amp;BM8,WeightedMinAge12),MAX(CapacityAge12*АбонементНовых*BM8,MeanMinAge12)))</f>
        <v/>
      </c>
      <c r="BN58" s="4">
        <f>IF(OR(BN31=0,12&lt;=КаникулыРоялти),0,BN31*IF(РоялтиПоГруппам="Да",MeanMinAge12+BN8*SUMIF(ThresholdAge12,"&lt;"&amp;BN8,WeightedRevAge12)-SUMIF(ThresholdAge12,"&lt;"&amp;BN8,WeightedMinAge12),MAX(CapacityAge12*АбонементНовых*BN8,MeanMinAge12)))</f>
        <v/>
      </c>
      <c r="BO58" s="4">
        <f>IF(OR(BO31=0,12&lt;=КаникулыРоялти),0,BO31*IF(РоялтиПоГруппам="Да",MeanMinAge12+BO8*SUMIF(ThresholdAge12,"&lt;"&amp;BO8,WeightedRevAge12)-SUMIF(ThresholdAge12,"&lt;"&amp;BO8,WeightedMinAge12),MAX(CapacityAge12*АбонементНовых*BO8,MeanMinAge12)))</f>
        <v/>
      </c>
      <c r="BP58" s="4">
        <f>IF(OR(BP31=0,12&lt;=КаникулыРоялти),0,BP31*IF(РоялтиПоГруппам="Да",MeanMinAge12+BP8*SUMIF(ThresholdAge12,"&lt;"&amp;BP8,WeightedRevAge12)-SUMIF(ThresholdAge12,"&lt;"&amp;BP8,WeightedMinAge12),MAX(CapacityAge12*АбонементНовых*BP8,MeanMinAge12)))</f>
        <v/>
      </c>
      <c r="BQ58" s="4">
        <f>IF(OR(BQ31=0,12&lt;=КаникулыРоялти),0,BQ31*IF(РоялтиПоГруппам="Да",MeanMinAge12+BQ8*SUMIF(ThresholdAge12,"&lt;"&amp;BQ8,WeightedRevAge12)-SUMIF(ThresholdAge12,"&lt;"&amp;BQ8,WeightedMinAge12),MAX(CapacityAge12*АбонементНовых*BQ8,MeanMinAge12)))</f>
        <v/>
      </c>
      <c r="BR58" s="4">
        <f>IF(OR(BR31=0,12&lt;=КаникулыРоялти),0,BR31*IF(РоялтиПоГруппам="Да",MeanMinAge12+BR8*SUMIF(ThresholdAge12,"&lt;"&amp;BR8,WeightedRevAge12)-SUMIF(ThresholdAge12,"&lt;"&amp;BR8,WeightedMinAge12),MAX(CapacityAge12*АбонементНовых*BR8,MeanMinAge12)))</f>
        <v/>
      </c>
      <c r="BS58" s="4">
        <f>IF(OR(BS31=0,12&lt;=КаникулыРоялти),0,BS31*IF(РоялтиПоГруппам="Да",MeanMinAge12+BS8*SUMIF(ThresholdAge12,"&lt;"&amp;BS8,WeightedRevAge12)-SUMIF(ThresholdAge12,"&lt;"&amp;BS8,WeightedMinAge12),MAX(CapacityAge12*АбонементНовых*BS8,MeanMinAge12)))</f>
        <v/>
      </c>
      <c r="BT58" s="4">
        <f>IF(OR(BT31=0,12&lt;=КаникулыРоялти),0,BT31*IF(РоялтиПоГруппам="Да",MeanMinAge12+BT8*SUMIF(ThresholdAge12,"&lt;"&amp;BT8,WeightedRevAge12)-SUMIF(ThresholdAge12,"&lt;"&amp;BT8,WeightedMinAge12),MAX(CapacityAge12*АбонементНовых*BT8,MeanMinAge12)))</f>
        <v/>
      </c>
      <c r="BU58" s="4">
        <f>IF(OR(BU31=0,12&lt;=КаникулыРоялти),0,BU31*IF(РоялтиПоГруппам="Да",MeanMinAge12+BU8*SUMIF(ThresholdAge12,"&lt;"&amp;BU8,WeightedRevAge12)-SUMIF(ThresholdAge12,"&lt;"&amp;BU8,WeightedMinAge12),MAX(CapacityAge12*АбонементНовых*BU8,MeanMinAge12)))</f>
        <v/>
      </c>
      <c r="BV58" s="4">
        <f>IF(OR(BV31=0,12&lt;=КаникулыРоялти),0,BV31*IF(РоялтиПоГруппам="Да",MeanMinAge12+BV8*SUMIF(ThresholdAge12,"&lt;"&amp;BV8,WeightedRevAge12)-SUMIF(ThresholdAge12,"&lt;"&amp;BV8,WeightedMinAge12),MAX(CapacityAge12*АбонементНовых*BV8,MeanMinAge12)))</f>
        <v/>
      </c>
      <c r="BW58" s="4">
        <f>IF(OR(BW31=0,12&lt;=КаникулыРоялти),0,BW31*IF(РоялтиПоГруппам="Да",MeanMinAge12+BW8*SUMIF(ThresholdAge12,"&lt;"&amp;BW8,WeightedRevAge12)-SUMIF(ThresholdAge12,"&lt;"&amp;BW8,WeightedMinAge12),MAX(CapacityAge12*АбонементНовых*BW8,MeanMinAge12)))</f>
        <v/>
      </c>
      <c r="BX58" s="4">
        <f>IF(OR(BX31=0,12&lt;=КаникулыРоялти),0,BX31*IF(РоялтиПоГруппам="Да",MeanMinAge12+BX8*SUMIF(ThresholdAge12,"&lt;"&amp;BX8,WeightedRevAge12)-SUMIF(ThresholdAge12,"&lt;"&amp;BX8,WeightedMinAge12),MAX(CapacityAge12*АбонементНовых*BX8,MeanMinAge12)))</f>
        <v/>
      </c>
      <c r="BY58" s="4">
        <f>IF(OR(BY31=0,12&lt;=КаникулыРоялти),0,BY31*IF(РоялтиПоГруппам="Да",MeanMinAge12+BY8*SUMIF(ThresholdAge12,"&lt;"&amp;BY8,WeightedRevAge12)-SUMIF(ThresholdAge12,"&lt;"&amp;BY8,WeightedMinAge12),MAX(CapacityAge12*АбонементНовых*BY8,MeanMinAge12)))</f>
        <v/>
      </c>
    </row>
    <row r="59">
      <c r="B59" t="inlineStr">
        <is>
          <t>13 мес.</t>
        </is>
      </c>
      <c r="C59" t="inlineStr">
        <is>
          <t>₽</t>
        </is>
      </c>
      <c r="D59" s="117" t="inlineStr"/>
      <c r="E59" s="119">
        <f>SUM(L59:W59)</f>
        <v/>
      </c>
      <c r="F59" s="119">
        <f>SUM(X59:AI59)</f>
        <v/>
      </c>
      <c r="G59" s="119">
        <f>SUM(AJ59:AU59)</f>
        <v/>
      </c>
      <c r="H59" s="119">
        <f>SUM(AV59:BG59)</f>
        <v/>
      </c>
      <c r="I59" s="119">
        <f>SUM(BH59:BS59)</f>
        <v/>
      </c>
      <c r="J59" s="5">
        <f>SUM(L59:BS59)</f>
        <v/>
      </c>
      <c r="L59" s="4">
        <f>IF(OR(L32=0,13&lt;=КаникулыРоялти),0,L32*IF(РоялтиПоГруппам="Да",MeanMinAge13+L8*SUMIF(ThresholdAge13,"&lt;"&amp;L8,WeightedRevAge13)-SUMIF(ThresholdAge13,"&lt;"&amp;L8,WeightedMinAge13),MAX(CapacityAge13*АбонементНовых*L8,MeanMinAge13)))</f>
        <v/>
      </c>
      <c r="M59" s="4">
        <f>IF(OR(M32=0,13&lt;=КаникулыРоялти),0,M32*IF(РоялтиПоГруппам="Да",MeanMinAge13+M8*SUMIF(ThresholdAge13,"&lt;"&amp;M8,WeightedRevAge13)-SUMIF(ThresholdAge13,"&lt;"&amp;M8,WeightedMinAge13),MAX(CapacityAge13*АбонементНовых*M8,MeanMinAge13)))</f>
        <v/>
      </c>
      <c r="N59" s="4">
        <f>IF(OR(N32=0,13&lt;=КаникулыРоялти),0,N32*IF(РоялтиПоГруппам="Да",MeanMinAge13+N8*SUMIF(ThresholdAge13,"&lt;"&amp;N8,WeightedRevAge13)-SUMIF(ThresholdAge13,"&lt;"&amp;N8,WeightedMinAge13),MAX(CapacityAge13*АбонементНовых*N8,MeanMinAge13)))</f>
        <v/>
      </c>
      <c r="O59" s="4">
        <f>IF(OR(O32=0,13&lt;=КаникулыРоялти),0,O32*IF(РоялтиПоГруппам="Да",MeanMinAge13+O8*SUMIF(ThresholdAge13,"&lt;"&amp;O8,WeightedRevAge13)-SUMIF(ThresholdAge13,"&lt;"&amp;O8,WeightedMinAge13),MAX(CapacityAge13*АбонементНовых*O8,MeanMinAge13)))</f>
        <v/>
      </c>
      <c r="P59" s="4">
        <f>IF(OR(P32=0,13&lt;=КаникулыРоялти),0,P32*IF(РоялтиПоГруппам="Да",MeanMinAge13+P8*SUMIF(ThresholdAge13,"&lt;"&amp;P8,WeightedRevAge13)-SUMIF(ThresholdAge13,"&lt;"&amp;P8,WeightedMinAge13),MAX(CapacityAge13*АбонементНовых*P8,MeanMinAge13)))</f>
        <v/>
      </c>
      <c r="Q59" s="4">
        <f>IF(OR(Q32=0,13&lt;=КаникулыРоялти),0,Q32*IF(РоялтиПоГруппам="Да",MeanMinAge13+Q8*SUMIF(ThresholdAge13,"&lt;"&amp;Q8,WeightedRevAge13)-SUMIF(ThresholdAge13,"&lt;"&amp;Q8,WeightedMinAge13),MAX(CapacityAge13*АбонементНовых*Q8,MeanMinAge13)))</f>
        <v/>
      </c>
      <c r="R59" s="4">
        <f>IF(OR(R32=0,13&lt;=КаникулыРоялти),0,R32*IF(РоялтиПоГруппам="Да",MeanMinAge13+R8*SUMIF(ThresholdAge13,"&lt;"&amp;R8,WeightedRevAge13)-SUMIF(ThresholdAge13,"&lt;"&amp;R8,WeightedMinAge13),MAX(CapacityAge13*АбонементНовых*R8,MeanMinAge13)))</f>
        <v/>
      </c>
      <c r="S59" s="4">
        <f>IF(OR(S32=0,13&lt;=КаникулыРоялти),0,S32*IF(РоялтиПоГруппам="Да",MeanMinAge13+S8*SUMIF(ThresholdAge13,"&lt;"&amp;S8,WeightedRevAge13)-SUMIF(ThresholdAge13,"&lt;"&amp;S8,WeightedMinAge13),MAX(CapacityAge13*АбонементНовых*S8,MeanMinAge13)))</f>
        <v/>
      </c>
      <c r="T59" s="4">
        <f>IF(OR(T32=0,13&lt;=КаникулыРоялти),0,T32*IF(РоялтиПоГруппам="Да",MeanMinAge13+T8*SUMIF(ThresholdAge13,"&lt;"&amp;T8,WeightedRevAge13)-SUMIF(ThresholdAge13,"&lt;"&amp;T8,WeightedMinAge13),MAX(CapacityAge13*АбонементНовых*T8,MeanMinAge13)))</f>
        <v/>
      </c>
      <c r="U59" s="4">
        <f>IF(OR(U32=0,13&lt;=КаникулыРоялти),0,U32*IF(РоялтиПоГруппам="Да",MeanMinAge13+U8*SUMIF(ThresholdAge13,"&lt;"&amp;U8,WeightedRevAge13)-SUMIF(ThresholdAge13,"&lt;"&amp;U8,WeightedMinAge13),MAX(CapacityAge13*АбонементНовых*U8,MeanMinAge13)))</f>
        <v/>
      </c>
      <c r="V59" s="4">
        <f>IF(OR(V32=0,13&lt;=КаникулыРоялти),0,V32*IF(РоялтиПоГруппам="Да",MeanMinAge13+V8*SUMIF(ThresholdAge13,"&lt;"&amp;V8,WeightedRevAge13)-SUMIF(ThresholdAge13,"&lt;"&amp;V8,WeightedMinAge13),MAX(CapacityAge13*АбонементНовых*V8,MeanMinAge13)))</f>
        <v/>
      </c>
      <c r="W59" s="4">
        <f>IF(OR(W32=0,13&lt;=КаникулыРоялти),0,W32*IF(РоялтиПоГруппам="Да",MeanMinAge13+W8*SUMIF(ThresholdAge13,"&lt;"&amp;W8,WeightedRevAge13)-SUMIF(ThresholdAge13,"&lt;"&amp;W8,WeightedMinAge13),MAX(CapacityAge13*АбонементНовых*W8,MeanMinAge13)))</f>
        <v/>
      </c>
      <c r="X59" s="4">
        <f>IF(OR(X32=0,13&lt;=КаникулыРоялти),0,X32*IF(РоялтиПоГруппам="Да",MeanMinAge13+X8*SUMIF(ThresholdAge13,"&lt;"&amp;X8,WeightedRevAge13)-SUMIF(ThresholdAge13,"&lt;"&amp;X8,WeightedMinAge13),MAX(CapacityAge13*АбонементНовых*X8,MeanMinAge13)))</f>
        <v/>
      </c>
      <c r="Y59" s="4">
        <f>IF(OR(Y32=0,13&lt;=КаникулыРоялти),0,Y32*IF(РоялтиПоГруппам="Да",MeanMinAge13+Y8*SUMIF(ThresholdAge13,"&lt;"&amp;Y8,WeightedRevAge13)-SUMIF(ThresholdAge13,"&lt;"&amp;Y8,WeightedMinAge13),MAX(CapacityAge13*АбонементНовых*Y8,MeanMinAge13)))</f>
        <v/>
      </c>
      <c r="Z59" s="4">
        <f>IF(OR(Z32=0,13&lt;=КаникулыРоялти),0,Z32*IF(РоялтиПоГруппам="Да",MeanMinAge13+Z8*SUMIF(ThresholdAge13,"&lt;"&amp;Z8,WeightedRevAge13)-SUMIF(ThresholdAge13,"&lt;"&amp;Z8,WeightedMinAge13),MAX(CapacityAge13*АбонементНовых*Z8,MeanMinAge13)))</f>
        <v/>
      </c>
      <c r="AA59" s="4">
        <f>IF(OR(AA32=0,13&lt;=КаникулыРоялти),0,AA32*IF(РоялтиПоГруппам="Да",MeanMinAge13+AA8*SUMIF(ThresholdAge13,"&lt;"&amp;AA8,WeightedRevAge13)-SUMIF(ThresholdAge13,"&lt;"&amp;AA8,WeightedMinAge13),MAX(CapacityAge13*АбонементНовых*AA8,MeanMinAge13)))</f>
        <v/>
      </c>
      <c r="AB59" s="4">
        <f>IF(OR(AB32=0,13&lt;=КаникулыРоялти),0,AB32*IF(РоялтиПоГруппам="Да",MeanMinAge13+AB8*SUMIF(ThresholdAge13,"&lt;"&amp;AB8,WeightedRevAge13)-SUMIF(ThresholdAge13,"&lt;"&amp;AB8,WeightedMinAge13),MAX(CapacityAge13*АбонементНовых*AB8,MeanMinAge13)))</f>
        <v/>
      </c>
      <c r="AC59" s="4">
        <f>IF(OR(AC32=0,13&lt;=КаникулыРоялти),0,AC32*IF(РоялтиПоГруппам="Да",MeanMinAge13+AC8*SUMIF(ThresholdAge13,"&lt;"&amp;AC8,WeightedRevAge13)-SUMIF(ThresholdAge13,"&lt;"&amp;AC8,WeightedMinAge13),MAX(CapacityAge13*АбонементНовых*AC8,MeanMinAge13)))</f>
        <v/>
      </c>
      <c r="AD59" s="4">
        <f>IF(OR(AD32=0,13&lt;=КаникулыРоялти),0,AD32*IF(РоялтиПоГруппам="Да",MeanMinAge13+AD8*SUMIF(ThresholdAge13,"&lt;"&amp;AD8,WeightedRevAge13)-SUMIF(ThresholdAge13,"&lt;"&amp;AD8,WeightedMinAge13),MAX(CapacityAge13*АбонементНовых*AD8,MeanMinAge13)))</f>
        <v/>
      </c>
      <c r="AE59" s="4">
        <f>IF(OR(AE32=0,13&lt;=КаникулыРоялти),0,AE32*IF(РоялтиПоГруппам="Да",MeanMinAge13+AE8*SUMIF(ThresholdAge13,"&lt;"&amp;AE8,WeightedRevAge13)-SUMIF(ThresholdAge13,"&lt;"&amp;AE8,WeightedMinAge13),MAX(CapacityAge13*АбонементНовых*AE8,MeanMinAge13)))</f>
        <v/>
      </c>
      <c r="AF59" s="4">
        <f>IF(OR(AF32=0,13&lt;=КаникулыРоялти),0,AF32*IF(РоялтиПоГруппам="Да",MeanMinAge13+AF8*SUMIF(ThresholdAge13,"&lt;"&amp;AF8,WeightedRevAge13)-SUMIF(ThresholdAge13,"&lt;"&amp;AF8,WeightedMinAge13),MAX(CapacityAge13*АбонементНовых*AF8,MeanMinAge13)))</f>
        <v/>
      </c>
      <c r="AG59" s="4">
        <f>IF(OR(AG32=0,13&lt;=КаникулыРоялти),0,AG32*IF(РоялтиПоГруппам="Да",MeanMinAge13+AG8*SUMIF(ThresholdAge13,"&lt;"&amp;AG8,WeightedRevAge13)-SUMIF(ThresholdAge13,"&lt;"&amp;AG8,WeightedMinAge13),MAX(CapacityAge13*АбонементНовых*AG8,MeanMinAge13)))</f>
        <v/>
      </c>
      <c r="AH59" s="4">
        <f>IF(OR(AH32=0,13&lt;=КаникулыРоялти),0,AH32*IF(РоялтиПоГруппам="Да",MeanMinAge13+AH8*SUMIF(ThresholdAge13,"&lt;"&amp;AH8,WeightedRevAge13)-SUMIF(ThresholdAge13,"&lt;"&amp;AH8,WeightedMinAge13),MAX(CapacityAge13*АбонементНовых*AH8,MeanMinAge13)))</f>
        <v/>
      </c>
      <c r="AI59" s="4">
        <f>IF(OR(AI32=0,13&lt;=КаникулыРоялти),0,AI32*IF(РоялтиПоГруппам="Да",MeanMinAge13+AI8*SUMIF(ThresholdAge13,"&lt;"&amp;AI8,WeightedRevAge13)-SUMIF(ThresholdAge13,"&lt;"&amp;AI8,WeightedMinAge13),MAX(CapacityAge13*АбонементНовых*AI8,MeanMinAge13)))</f>
        <v/>
      </c>
      <c r="AJ59" s="4">
        <f>IF(OR(AJ32=0,13&lt;=КаникулыРоялти),0,AJ32*IF(РоялтиПоГруппам="Да",MeanMinAge13+AJ8*SUMIF(ThresholdAge13,"&lt;"&amp;AJ8,WeightedRevAge13)-SUMIF(ThresholdAge13,"&lt;"&amp;AJ8,WeightedMinAge13),MAX(CapacityAge13*АбонементНовых*AJ8,MeanMinAge13)))</f>
        <v/>
      </c>
      <c r="AK59" s="4">
        <f>IF(OR(AK32=0,13&lt;=КаникулыРоялти),0,AK32*IF(РоялтиПоГруппам="Да",MeanMinAge13+AK8*SUMIF(ThresholdAge13,"&lt;"&amp;AK8,WeightedRevAge13)-SUMIF(ThresholdAge13,"&lt;"&amp;AK8,WeightedMinAge13),MAX(CapacityAge13*АбонементНовых*AK8,MeanMinAge13)))</f>
        <v/>
      </c>
      <c r="AL59" s="4">
        <f>IF(OR(AL32=0,13&lt;=КаникулыРоялти),0,AL32*IF(РоялтиПоГруппам="Да",MeanMinAge13+AL8*SUMIF(ThresholdAge13,"&lt;"&amp;AL8,WeightedRevAge13)-SUMIF(ThresholdAge13,"&lt;"&amp;AL8,WeightedMinAge13),MAX(CapacityAge13*АбонементНовых*AL8,MeanMinAge13)))</f>
        <v/>
      </c>
      <c r="AM59" s="4">
        <f>IF(OR(AM32=0,13&lt;=КаникулыРоялти),0,AM32*IF(РоялтиПоГруппам="Да",MeanMinAge13+AM8*SUMIF(ThresholdAge13,"&lt;"&amp;AM8,WeightedRevAge13)-SUMIF(ThresholdAge13,"&lt;"&amp;AM8,WeightedMinAge13),MAX(CapacityAge13*АбонементНовых*AM8,MeanMinAge13)))</f>
        <v/>
      </c>
      <c r="AN59" s="4">
        <f>IF(OR(AN32=0,13&lt;=КаникулыРоялти),0,AN32*IF(РоялтиПоГруппам="Да",MeanMinAge13+AN8*SUMIF(ThresholdAge13,"&lt;"&amp;AN8,WeightedRevAge13)-SUMIF(ThresholdAge13,"&lt;"&amp;AN8,WeightedMinAge13),MAX(CapacityAge13*АбонементНовых*AN8,MeanMinAge13)))</f>
        <v/>
      </c>
      <c r="AO59" s="4">
        <f>IF(OR(AO32=0,13&lt;=КаникулыРоялти),0,AO32*IF(РоялтиПоГруппам="Да",MeanMinAge13+AO8*SUMIF(ThresholdAge13,"&lt;"&amp;AO8,WeightedRevAge13)-SUMIF(ThresholdAge13,"&lt;"&amp;AO8,WeightedMinAge13),MAX(CapacityAge13*АбонементНовых*AO8,MeanMinAge13)))</f>
        <v/>
      </c>
      <c r="AP59" s="4">
        <f>IF(OR(AP32=0,13&lt;=КаникулыРоялти),0,AP32*IF(РоялтиПоГруппам="Да",MeanMinAge13+AP8*SUMIF(ThresholdAge13,"&lt;"&amp;AP8,WeightedRevAge13)-SUMIF(ThresholdAge13,"&lt;"&amp;AP8,WeightedMinAge13),MAX(CapacityAge13*АбонементНовых*AP8,MeanMinAge13)))</f>
        <v/>
      </c>
      <c r="AQ59" s="4">
        <f>IF(OR(AQ32=0,13&lt;=КаникулыРоялти),0,AQ32*IF(РоялтиПоГруппам="Да",MeanMinAge13+AQ8*SUMIF(ThresholdAge13,"&lt;"&amp;AQ8,WeightedRevAge13)-SUMIF(ThresholdAge13,"&lt;"&amp;AQ8,WeightedMinAge13),MAX(CapacityAge13*АбонементНовых*AQ8,MeanMinAge13)))</f>
        <v/>
      </c>
      <c r="AR59" s="4">
        <f>IF(OR(AR32=0,13&lt;=КаникулыРоялти),0,AR32*IF(РоялтиПоГруппам="Да",MeanMinAge13+AR8*SUMIF(ThresholdAge13,"&lt;"&amp;AR8,WeightedRevAge13)-SUMIF(ThresholdAge13,"&lt;"&amp;AR8,WeightedMinAge13),MAX(CapacityAge13*АбонементНовых*AR8,MeanMinAge13)))</f>
        <v/>
      </c>
      <c r="AS59" s="4">
        <f>IF(OR(AS32=0,13&lt;=КаникулыРоялти),0,AS32*IF(РоялтиПоГруппам="Да",MeanMinAge13+AS8*SUMIF(ThresholdAge13,"&lt;"&amp;AS8,WeightedRevAge13)-SUMIF(ThresholdAge13,"&lt;"&amp;AS8,WeightedMinAge13),MAX(CapacityAge13*АбонементНовых*AS8,MeanMinAge13)))</f>
        <v/>
      </c>
      <c r="AT59" s="4">
        <f>IF(OR(AT32=0,13&lt;=КаникулыРоялти),0,AT32*IF(РоялтиПоГруппам="Да",MeanMinAge13+AT8*SUMIF(ThresholdAge13,"&lt;"&amp;AT8,WeightedRevAge13)-SUMIF(ThresholdAge13,"&lt;"&amp;AT8,WeightedMinAge13),MAX(CapacityAge13*АбонементНовых*AT8,MeanMinAge13)))</f>
        <v/>
      </c>
      <c r="AU59" s="4">
        <f>IF(OR(AU32=0,13&lt;=КаникулыРоялти),0,AU32*IF(РоялтиПоГруппам="Да",MeanMinAge13+AU8*SUMIF(ThresholdAge13,"&lt;"&amp;AU8,WeightedRevAge13)-SUMIF(ThresholdAge13,"&lt;"&amp;AU8,WeightedMinAge13),MAX(CapacityAge13*АбонементНовых*AU8,MeanMinAge13)))</f>
        <v/>
      </c>
      <c r="AV59" s="4">
        <f>IF(OR(AV32=0,13&lt;=КаникулыРоялти),0,AV32*IF(РоялтиПоГруппам="Да",MeanMinAge13+AV8*SUMIF(ThresholdAge13,"&lt;"&amp;AV8,WeightedRevAge13)-SUMIF(ThresholdAge13,"&lt;"&amp;AV8,WeightedMinAge13),MAX(CapacityAge13*АбонементНовых*AV8,MeanMinAge13)))</f>
        <v/>
      </c>
      <c r="AW59" s="4">
        <f>IF(OR(AW32=0,13&lt;=КаникулыРоялти),0,AW32*IF(РоялтиПоГруппам="Да",MeanMinAge13+AW8*SUMIF(ThresholdAge13,"&lt;"&amp;AW8,WeightedRevAge13)-SUMIF(ThresholdAge13,"&lt;"&amp;AW8,WeightedMinAge13),MAX(CapacityAge13*АбонементНовых*AW8,MeanMinAge13)))</f>
        <v/>
      </c>
      <c r="AX59" s="4">
        <f>IF(OR(AX32=0,13&lt;=КаникулыРоялти),0,AX32*IF(РоялтиПоГруппам="Да",MeanMinAge13+AX8*SUMIF(ThresholdAge13,"&lt;"&amp;AX8,WeightedRevAge13)-SUMIF(ThresholdAge13,"&lt;"&amp;AX8,WeightedMinAge13),MAX(CapacityAge13*АбонементНовых*AX8,MeanMinAge13)))</f>
        <v/>
      </c>
      <c r="AY59" s="4">
        <f>IF(OR(AY32=0,13&lt;=КаникулыРоялти),0,AY32*IF(РоялтиПоГруппам="Да",MeanMinAge13+AY8*SUMIF(ThresholdAge13,"&lt;"&amp;AY8,WeightedRevAge13)-SUMIF(ThresholdAge13,"&lt;"&amp;AY8,WeightedMinAge13),MAX(CapacityAge13*АбонементНовых*AY8,MeanMinAge13)))</f>
        <v/>
      </c>
      <c r="AZ59" s="4">
        <f>IF(OR(AZ32=0,13&lt;=КаникулыРоялти),0,AZ32*IF(РоялтиПоГруппам="Да",MeanMinAge13+AZ8*SUMIF(ThresholdAge13,"&lt;"&amp;AZ8,WeightedRevAge13)-SUMIF(ThresholdAge13,"&lt;"&amp;AZ8,WeightedMinAge13),MAX(CapacityAge13*АбонементНовых*AZ8,MeanMinAge13)))</f>
        <v/>
      </c>
      <c r="BA59" s="4">
        <f>IF(OR(BA32=0,13&lt;=КаникулыРоялти),0,BA32*IF(РоялтиПоГруппам="Да",MeanMinAge13+BA8*SUMIF(ThresholdAge13,"&lt;"&amp;BA8,WeightedRevAge13)-SUMIF(ThresholdAge13,"&lt;"&amp;BA8,WeightedMinAge13),MAX(CapacityAge13*АбонементНовых*BA8,MeanMinAge13)))</f>
        <v/>
      </c>
      <c r="BB59" s="4">
        <f>IF(OR(BB32=0,13&lt;=КаникулыРоялти),0,BB32*IF(РоялтиПоГруппам="Да",MeanMinAge13+BB8*SUMIF(ThresholdAge13,"&lt;"&amp;BB8,WeightedRevAge13)-SUMIF(ThresholdAge13,"&lt;"&amp;BB8,WeightedMinAge13),MAX(CapacityAge13*АбонементНовых*BB8,MeanMinAge13)))</f>
        <v/>
      </c>
      <c r="BC59" s="4">
        <f>IF(OR(BC32=0,13&lt;=КаникулыРоялти),0,BC32*IF(РоялтиПоГруппам="Да",MeanMinAge13+BC8*SUMIF(ThresholdAge13,"&lt;"&amp;BC8,WeightedRevAge13)-SUMIF(ThresholdAge13,"&lt;"&amp;BC8,WeightedMinAge13),MAX(CapacityAge13*АбонементНовых*BC8,MeanMinAge13)))</f>
        <v/>
      </c>
      <c r="BD59" s="4">
        <f>IF(OR(BD32=0,13&lt;=КаникулыРоялти),0,BD32*IF(РоялтиПоГруппам="Да",MeanMinAge13+BD8*SUMIF(ThresholdAge13,"&lt;"&amp;BD8,WeightedRevAge13)-SUMIF(ThresholdAge13,"&lt;"&amp;BD8,WeightedMinAge13),MAX(CapacityAge13*АбонементНовых*BD8,MeanMinAge13)))</f>
        <v/>
      </c>
      <c r="BE59" s="4">
        <f>IF(OR(BE32=0,13&lt;=КаникулыРоялти),0,BE32*IF(РоялтиПоГруппам="Да",MeanMinAge13+BE8*SUMIF(ThresholdAge13,"&lt;"&amp;BE8,WeightedRevAge13)-SUMIF(ThresholdAge13,"&lt;"&amp;BE8,WeightedMinAge13),MAX(CapacityAge13*АбонементНовых*BE8,MeanMinAge13)))</f>
        <v/>
      </c>
      <c r="BF59" s="4">
        <f>IF(OR(BF32=0,13&lt;=КаникулыРоялти),0,BF32*IF(РоялтиПоГруппам="Да",MeanMinAge13+BF8*SUMIF(ThresholdAge13,"&lt;"&amp;BF8,WeightedRevAge13)-SUMIF(ThresholdAge13,"&lt;"&amp;BF8,WeightedMinAge13),MAX(CapacityAge13*АбонементНовых*BF8,MeanMinAge13)))</f>
        <v/>
      </c>
      <c r="BG59" s="4">
        <f>IF(OR(BG32=0,13&lt;=КаникулыРоялти),0,BG32*IF(РоялтиПоГруппам="Да",MeanMinAge13+BG8*SUMIF(ThresholdAge13,"&lt;"&amp;BG8,WeightedRevAge13)-SUMIF(ThresholdAge13,"&lt;"&amp;BG8,WeightedMinAge13),MAX(CapacityAge13*АбонементНовых*BG8,MeanMinAge13)))</f>
        <v/>
      </c>
      <c r="BH59" s="4">
        <f>IF(OR(BH32=0,13&lt;=КаникулыРоялти),0,BH32*IF(РоялтиПоГруппам="Да",MeanMinAge13+BH8*SUMIF(ThresholdAge13,"&lt;"&amp;BH8,WeightedRevAge13)-SUMIF(ThresholdAge13,"&lt;"&amp;BH8,WeightedMinAge13),MAX(CapacityAge13*АбонементНовых*BH8,MeanMinAge13)))</f>
        <v/>
      </c>
      <c r="BI59" s="4">
        <f>IF(OR(BI32=0,13&lt;=КаникулыРоялти),0,BI32*IF(РоялтиПоГруппам="Да",MeanMinAge13+BI8*SUMIF(ThresholdAge13,"&lt;"&amp;BI8,WeightedRevAge13)-SUMIF(ThresholdAge13,"&lt;"&amp;BI8,WeightedMinAge13),MAX(CapacityAge13*АбонементНовых*BI8,MeanMinAge13)))</f>
        <v/>
      </c>
      <c r="BJ59" s="4">
        <f>IF(OR(BJ32=0,13&lt;=КаникулыРоялти),0,BJ32*IF(РоялтиПоГруппам="Да",MeanMinAge13+BJ8*SUMIF(ThresholdAge13,"&lt;"&amp;BJ8,WeightedRevAge13)-SUMIF(ThresholdAge13,"&lt;"&amp;BJ8,WeightedMinAge13),MAX(CapacityAge13*АбонементНовых*BJ8,MeanMinAge13)))</f>
        <v/>
      </c>
      <c r="BK59" s="4">
        <f>IF(OR(BK32=0,13&lt;=КаникулыРоялти),0,BK32*IF(РоялтиПоГруппам="Да",MeanMinAge13+BK8*SUMIF(ThresholdAge13,"&lt;"&amp;BK8,WeightedRevAge13)-SUMIF(ThresholdAge13,"&lt;"&amp;BK8,WeightedMinAge13),MAX(CapacityAge13*АбонементНовых*BK8,MeanMinAge13)))</f>
        <v/>
      </c>
      <c r="BL59" s="4">
        <f>IF(OR(BL32=0,13&lt;=КаникулыРоялти),0,BL32*IF(РоялтиПоГруппам="Да",MeanMinAge13+BL8*SUMIF(ThresholdAge13,"&lt;"&amp;BL8,WeightedRevAge13)-SUMIF(ThresholdAge13,"&lt;"&amp;BL8,WeightedMinAge13),MAX(CapacityAge13*АбонементНовых*BL8,MeanMinAge13)))</f>
        <v/>
      </c>
      <c r="BM59" s="4">
        <f>IF(OR(BM32=0,13&lt;=КаникулыРоялти),0,BM32*IF(РоялтиПоГруппам="Да",MeanMinAge13+BM8*SUMIF(ThresholdAge13,"&lt;"&amp;BM8,WeightedRevAge13)-SUMIF(ThresholdAge13,"&lt;"&amp;BM8,WeightedMinAge13),MAX(CapacityAge13*АбонементНовых*BM8,MeanMinAge13)))</f>
        <v/>
      </c>
      <c r="BN59" s="4">
        <f>IF(OR(BN32=0,13&lt;=КаникулыРоялти),0,BN32*IF(РоялтиПоГруппам="Да",MeanMinAge13+BN8*SUMIF(ThresholdAge13,"&lt;"&amp;BN8,WeightedRevAge13)-SUMIF(ThresholdAge13,"&lt;"&amp;BN8,WeightedMinAge13),MAX(CapacityAge13*АбонементНовых*BN8,MeanMinAge13)))</f>
        <v/>
      </c>
      <c r="BO59" s="4">
        <f>IF(OR(BO32=0,13&lt;=КаникулыРоялти),0,BO32*IF(РоялтиПоГруппам="Да",MeanMinAge13+BO8*SUMIF(ThresholdAge13,"&lt;"&amp;BO8,WeightedRevAge13)-SUMIF(ThresholdAge13,"&lt;"&amp;BO8,WeightedMinAge13),MAX(CapacityAge13*АбонементНовых*BO8,MeanMinAge13)))</f>
        <v/>
      </c>
      <c r="BP59" s="4">
        <f>IF(OR(BP32=0,13&lt;=КаникулыРоялти),0,BP32*IF(РоялтиПоГруппам="Да",MeanMinAge13+BP8*SUMIF(ThresholdAge13,"&lt;"&amp;BP8,WeightedRevAge13)-SUMIF(ThresholdAge13,"&lt;"&amp;BP8,WeightedMinAge13),MAX(CapacityAge13*АбонементНовых*BP8,MeanMinAge13)))</f>
        <v/>
      </c>
      <c r="BQ59" s="4">
        <f>IF(OR(BQ32=0,13&lt;=КаникулыРоялти),0,BQ32*IF(РоялтиПоГруппам="Да",MeanMinAge13+BQ8*SUMIF(ThresholdAge13,"&lt;"&amp;BQ8,WeightedRevAge13)-SUMIF(ThresholdAge13,"&lt;"&amp;BQ8,WeightedMinAge13),MAX(CapacityAge13*АбонементНовых*BQ8,MeanMinAge13)))</f>
        <v/>
      </c>
      <c r="BR59" s="4">
        <f>IF(OR(BR32=0,13&lt;=КаникулыРоялти),0,BR32*IF(РоялтиПоГруппам="Да",MeanMinAge13+BR8*SUMIF(ThresholdAge13,"&lt;"&amp;BR8,WeightedRevAge13)-SUMIF(ThresholdAge13,"&lt;"&amp;BR8,WeightedMinAge13),MAX(CapacityAge13*АбонементНовых*BR8,MeanMinAge13)))</f>
        <v/>
      </c>
      <c r="BS59" s="4">
        <f>IF(OR(BS32=0,13&lt;=КаникулыРоялти),0,BS32*IF(РоялтиПоГруппам="Да",MeanMinAge13+BS8*SUMIF(ThresholdAge13,"&lt;"&amp;BS8,WeightedRevAge13)-SUMIF(ThresholdAge13,"&lt;"&amp;BS8,WeightedMinAge13),MAX(CapacityAge13*АбонементНовых*BS8,MeanMinAge13)))</f>
        <v/>
      </c>
      <c r="BT59" s="4">
        <f>IF(OR(BT32=0,13&lt;=КаникулыРоялти),0,BT32*IF(РоялтиПоГруппам="Да",MeanMinAge13+BT8*SUMIF(ThresholdAge13,"&lt;"&amp;BT8,WeightedRevAge13)-SUMIF(ThresholdAge13,"&lt;"&amp;BT8,WeightedMinAge13),MAX(CapacityAge13*АбонементНовых*BT8,MeanMinAge13)))</f>
        <v/>
      </c>
      <c r="BU59" s="4">
        <f>IF(OR(BU32=0,13&lt;=КаникулыРоялти),0,BU32*IF(РоялтиПоГруппам="Да",MeanMinAge13+BU8*SUMIF(ThresholdAge13,"&lt;"&amp;BU8,WeightedRevAge13)-SUMIF(ThresholdAge13,"&lt;"&amp;BU8,WeightedMinAge13),MAX(CapacityAge13*АбонементНовых*BU8,MeanMinAge13)))</f>
        <v/>
      </c>
      <c r="BV59" s="4">
        <f>IF(OR(BV32=0,13&lt;=КаникулыРоялти),0,BV32*IF(РоялтиПоГруппам="Да",MeanMinAge13+BV8*SUMIF(ThresholdAge13,"&lt;"&amp;BV8,WeightedRevAge13)-SUMIF(ThresholdAge13,"&lt;"&amp;BV8,WeightedMinAge13),MAX(CapacityAge13*АбонементНовых*BV8,MeanMinAge13)))</f>
        <v/>
      </c>
      <c r="BW59" s="4">
        <f>IF(OR(BW32=0,13&lt;=КаникулыРоялти),0,BW32*IF(РоялтиПоГруппам="Да",MeanMinAge13+BW8*SUMIF(ThresholdAge13,"&lt;"&amp;BW8,WeightedRevAge13)-SUMIF(ThresholdAge13,"&lt;"&amp;BW8,WeightedMinAge13),MAX(CapacityAge13*АбонементНовых*BW8,MeanMinAge13)))</f>
        <v/>
      </c>
      <c r="BX59" s="4">
        <f>IF(OR(BX32=0,13&lt;=КаникулыРоялти),0,BX32*IF(РоялтиПоГруппам="Да",MeanMinAge13+BX8*SUMIF(ThresholdAge13,"&lt;"&amp;BX8,WeightedRevAge13)-SUMIF(ThresholdAge13,"&lt;"&amp;BX8,WeightedMinAge13),MAX(CapacityAge13*АбонементНовых*BX8,MeanMinAge13)))</f>
        <v/>
      </c>
      <c r="BY59" s="4">
        <f>IF(OR(BY32=0,13&lt;=КаникулыРоялти),0,BY32*IF(РоялтиПоГруппам="Да",MeanMinAge13+BY8*SUMIF(ThresholdAge13,"&lt;"&amp;BY8,WeightedRevAge13)-SUMIF(ThresholdAge13,"&lt;"&amp;BY8,WeightedMinAge13),MAX(CapacityAge13*АбонементНовых*BY8,MeanMinAge13)))</f>
        <v/>
      </c>
    </row>
    <row r="60">
      <c r="B60" t="inlineStr">
        <is>
          <t>14 мес.</t>
        </is>
      </c>
      <c r="C60" t="inlineStr">
        <is>
          <t>₽</t>
        </is>
      </c>
      <c r="D60" s="117" t="inlineStr"/>
      <c r="E60" s="119">
        <f>SUM(L60:W60)</f>
        <v/>
      </c>
      <c r="F60" s="119">
        <f>SUM(X60:AI60)</f>
        <v/>
      </c>
      <c r="G60" s="119">
        <f>SUM(AJ60:AU60)</f>
        <v/>
      </c>
      <c r="H60" s="119">
        <f>SUM(AV60:BG60)</f>
        <v/>
      </c>
      <c r="I60" s="119">
        <f>SUM(BH60:BS60)</f>
        <v/>
      </c>
      <c r="J60" s="5">
        <f>SUM(L60:BS60)</f>
        <v/>
      </c>
      <c r="L60" s="4">
        <f>IF(OR(L33=0,14&lt;=КаникулыРоялти),0,L33*IF(РоялтиПоГруппам="Да",MeanMinAge14+L8*SUMIF(ThresholdAge14,"&lt;"&amp;L8,WeightedRevAge14)-SUMIF(ThresholdAge14,"&lt;"&amp;L8,WeightedMinAge14),MAX(CapacityAge14*АбонементНовых*L8,MeanMinAge14)))</f>
        <v/>
      </c>
      <c r="M60" s="4">
        <f>IF(OR(M33=0,14&lt;=КаникулыРоялти),0,M33*IF(РоялтиПоГруппам="Да",MeanMinAge14+M8*SUMIF(ThresholdAge14,"&lt;"&amp;M8,WeightedRevAge14)-SUMIF(ThresholdAge14,"&lt;"&amp;M8,WeightedMinAge14),MAX(CapacityAge14*АбонементНовых*M8,MeanMinAge14)))</f>
        <v/>
      </c>
      <c r="N60" s="4">
        <f>IF(OR(N33=0,14&lt;=КаникулыРоялти),0,N33*IF(РоялтиПоГруппам="Да",MeanMinAge14+N8*SUMIF(ThresholdAge14,"&lt;"&amp;N8,WeightedRevAge14)-SUMIF(ThresholdAge14,"&lt;"&amp;N8,WeightedMinAge14),MAX(CapacityAge14*АбонементНовых*N8,MeanMinAge14)))</f>
        <v/>
      </c>
      <c r="O60" s="4">
        <f>IF(OR(O33=0,14&lt;=КаникулыРоялти),0,O33*IF(РоялтиПоГруппам="Да",MeanMinAge14+O8*SUMIF(ThresholdAge14,"&lt;"&amp;O8,WeightedRevAge14)-SUMIF(ThresholdAge14,"&lt;"&amp;O8,WeightedMinAge14),MAX(CapacityAge14*АбонементНовых*O8,MeanMinAge14)))</f>
        <v/>
      </c>
      <c r="P60" s="4">
        <f>IF(OR(P33=0,14&lt;=КаникулыРоялти),0,P33*IF(РоялтиПоГруппам="Да",MeanMinAge14+P8*SUMIF(ThresholdAge14,"&lt;"&amp;P8,WeightedRevAge14)-SUMIF(ThresholdAge14,"&lt;"&amp;P8,WeightedMinAge14),MAX(CapacityAge14*АбонементНовых*P8,MeanMinAge14)))</f>
        <v/>
      </c>
      <c r="Q60" s="4">
        <f>IF(OR(Q33=0,14&lt;=КаникулыРоялти),0,Q33*IF(РоялтиПоГруппам="Да",MeanMinAge14+Q8*SUMIF(ThresholdAge14,"&lt;"&amp;Q8,WeightedRevAge14)-SUMIF(ThresholdAge14,"&lt;"&amp;Q8,WeightedMinAge14),MAX(CapacityAge14*АбонементНовых*Q8,MeanMinAge14)))</f>
        <v/>
      </c>
      <c r="R60" s="4">
        <f>IF(OR(R33=0,14&lt;=КаникулыРоялти),0,R33*IF(РоялтиПоГруппам="Да",MeanMinAge14+R8*SUMIF(ThresholdAge14,"&lt;"&amp;R8,WeightedRevAge14)-SUMIF(ThresholdAge14,"&lt;"&amp;R8,WeightedMinAge14),MAX(CapacityAge14*АбонементНовых*R8,MeanMinAge14)))</f>
        <v/>
      </c>
      <c r="S60" s="4">
        <f>IF(OR(S33=0,14&lt;=КаникулыРоялти),0,S33*IF(РоялтиПоГруппам="Да",MeanMinAge14+S8*SUMIF(ThresholdAge14,"&lt;"&amp;S8,WeightedRevAge14)-SUMIF(ThresholdAge14,"&lt;"&amp;S8,WeightedMinAge14),MAX(CapacityAge14*АбонементНовых*S8,MeanMinAge14)))</f>
        <v/>
      </c>
      <c r="T60" s="4">
        <f>IF(OR(T33=0,14&lt;=КаникулыРоялти),0,T33*IF(РоялтиПоГруппам="Да",MeanMinAge14+T8*SUMIF(ThresholdAge14,"&lt;"&amp;T8,WeightedRevAge14)-SUMIF(ThresholdAge14,"&lt;"&amp;T8,WeightedMinAge14),MAX(CapacityAge14*АбонементНовых*T8,MeanMinAge14)))</f>
        <v/>
      </c>
      <c r="U60" s="4">
        <f>IF(OR(U33=0,14&lt;=КаникулыРоялти),0,U33*IF(РоялтиПоГруппам="Да",MeanMinAge14+U8*SUMIF(ThresholdAge14,"&lt;"&amp;U8,WeightedRevAge14)-SUMIF(ThresholdAge14,"&lt;"&amp;U8,WeightedMinAge14),MAX(CapacityAge14*АбонементНовых*U8,MeanMinAge14)))</f>
        <v/>
      </c>
      <c r="V60" s="4">
        <f>IF(OR(V33=0,14&lt;=КаникулыРоялти),0,V33*IF(РоялтиПоГруппам="Да",MeanMinAge14+V8*SUMIF(ThresholdAge14,"&lt;"&amp;V8,WeightedRevAge14)-SUMIF(ThresholdAge14,"&lt;"&amp;V8,WeightedMinAge14),MAX(CapacityAge14*АбонементНовых*V8,MeanMinAge14)))</f>
        <v/>
      </c>
      <c r="W60" s="4">
        <f>IF(OR(W33=0,14&lt;=КаникулыРоялти),0,W33*IF(РоялтиПоГруппам="Да",MeanMinAge14+W8*SUMIF(ThresholdAge14,"&lt;"&amp;W8,WeightedRevAge14)-SUMIF(ThresholdAge14,"&lt;"&amp;W8,WeightedMinAge14),MAX(CapacityAge14*АбонементНовых*W8,MeanMinAge14)))</f>
        <v/>
      </c>
      <c r="X60" s="4">
        <f>IF(OR(X33=0,14&lt;=КаникулыРоялти),0,X33*IF(РоялтиПоГруппам="Да",MeanMinAge14+X8*SUMIF(ThresholdAge14,"&lt;"&amp;X8,WeightedRevAge14)-SUMIF(ThresholdAge14,"&lt;"&amp;X8,WeightedMinAge14),MAX(CapacityAge14*АбонементНовых*X8,MeanMinAge14)))</f>
        <v/>
      </c>
      <c r="Y60" s="4">
        <f>IF(OR(Y33=0,14&lt;=КаникулыРоялти),0,Y33*IF(РоялтиПоГруппам="Да",MeanMinAge14+Y8*SUMIF(ThresholdAge14,"&lt;"&amp;Y8,WeightedRevAge14)-SUMIF(ThresholdAge14,"&lt;"&amp;Y8,WeightedMinAge14),MAX(CapacityAge14*АбонементНовых*Y8,MeanMinAge14)))</f>
        <v/>
      </c>
      <c r="Z60" s="4">
        <f>IF(OR(Z33=0,14&lt;=КаникулыРоялти),0,Z33*IF(РоялтиПоГруппам="Да",MeanMinAge14+Z8*SUMIF(ThresholdAge14,"&lt;"&amp;Z8,WeightedRevAge14)-SUMIF(ThresholdAge14,"&lt;"&amp;Z8,WeightedMinAge14),MAX(CapacityAge14*АбонементНовых*Z8,MeanMinAge14)))</f>
        <v/>
      </c>
      <c r="AA60" s="4">
        <f>IF(OR(AA33=0,14&lt;=КаникулыРоялти),0,AA33*IF(РоялтиПоГруппам="Да",MeanMinAge14+AA8*SUMIF(ThresholdAge14,"&lt;"&amp;AA8,WeightedRevAge14)-SUMIF(ThresholdAge14,"&lt;"&amp;AA8,WeightedMinAge14),MAX(CapacityAge14*АбонементНовых*AA8,MeanMinAge14)))</f>
        <v/>
      </c>
      <c r="AB60" s="4">
        <f>IF(OR(AB33=0,14&lt;=КаникулыРоялти),0,AB33*IF(РоялтиПоГруппам="Да",MeanMinAge14+AB8*SUMIF(ThresholdAge14,"&lt;"&amp;AB8,WeightedRevAge14)-SUMIF(ThresholdAge14,"&lt;"&amp;AB8,WeightedMinAge14),MAX(CapacityAge14*АбонементНовых*AB8,MeanMinAge14)))</f>
        <v/>
      </c>
      <c r="AC60" s="4">
        <f>IF(OR(AC33=0,14&lt;=КаникулыРоялти),0,AC33*IF(РоялтиПоГруппам="Да",MeanMinAge14+AC8*SUMIF(ThresholdAge14,"&lt;"&amp;AC8,WeightedRevAge14)-SUMIF(ThresholdAge14,"&lt;"&amp;AC8,WeightedMinAge14),MAX(CapacityAge14*АбонементНовых*AC8,MeanMinAge14)))</f>
        <v/>
      </c>
      <c r="AD60" s="4">
        <f>IF(OR(AD33=0,14&lt;=КаникулыРоялти),0,AD33*IF(РоялтиПоГруппам="Да",MeanMinAge14+AD8*SUMIF(ThresholdAge14,"&lt;"&amp;AD8,WeightedRevAge14)-SUMIF(ThresholdAge14,"&lt;"&amp;AD8,WeightedMinAge14),MAX(CapacityAge14*АбонементНовых*AD8,MeanMinAge14)))</f>
        <v/>
      </c>
      <c r="AE60" s="4">
        <f>IF(OR(AE33=0,14&lt;=КаникулыРоялти),0,AE33*IF(РоялтиПоГруппам="Да",MeanMinAge14+AE8*SUMIF(ThresholdAge14,"&lt;"&amp;AE8,WeightedRevAge14)-SUMIF(ThresholdAge14,"&lt;"&amp;AE8,WeightedMinAge14),MAX(CapacityAge14*АбонементНовых*AE8,MeanMinAge14)))</f>
        <v/>
      </c>
      <c r="AF60" s="4">
        <f>IF(OR(AF33=0,14&lt;=КаникулыРоялти),0,AF33*IF(РоялтиПоГруппам="Да",MeanMinAge14+AF8*SUMIF(ThresholdAge14,"&lt;"&amp;AF8,WeightedRevAge14)-SUMIF(ThresholdAge14,"&lt;"&amp;AF8,WeightedMinAge14),MAX(CapacityAge14*АбонементНовых*AF8,MeanMinAge14)))</f>
        <v/>
      </c>
      <c r="AG60" s="4">
        <f>IF(OR(AG33=0,14&lt;=КаникулыРоялти),0,AG33*IF(РоялтиПоГруппам="Да",MeanMinAge14+AG8*SUMIF(ThresholdAge14,"&lt;"&amp;AG8,WeightedRevAge14)-SUMIF(ThresholdAge14,"&lt;"&amp;AG8,WeightedMinAge14),MAX(CapacityAge14*АбонементНовых*AG8,MeanMinAge14)))</f>
        <v/>
      </c>
      <c r="AH60" s="4">
        <f>IF(OR(AH33=0,14&lt;=КаникулыРоялти),0,AH33*IF(РоялтиПоГруппам="Да",MeanMinAge14+AH8*SUMIF(ThresholdAge14,"&lt;"&amp;AH8,WeightedRevAge14)-SUMIF(ThresholdAge14,"&lt;"&amp;AH8,WeightedMinAge14),MAX(CapacityAge14*АбонементНовых*AH8,MeanMinAge14)))</f>
        <v/>
      </c>
      <c r="AI60" s="4">
        <f>IF(OR(AI33=0,14&lt;=КаникулыРоялти),0,AI33*IF(РоялтиПоГруппам="Да",MeanMinAge14+AI8*SUMIF(ThresholdAge14,"&lt;"&amp;AI8,WeightedRevAge14)-SUMIF(ThresholdAge14,"&lt;"&amp;AI8,WeightedMinAge14),MAX(CapacityAge14*АбонементНовых*AI8,MeanMinAge14)))</f>
        <v/>
      </c>
      <c r="AJ60" s="4">
        <f>IF(OR(AJ33=0,14&lt;=КаникулыРоялти),0,AJ33*IF(РоялтиПоГруппам="Да",MeanMinAge14+AJ8*SUMIF(ThresholdAge14,"&lt;"&amp;AJ8,WeightedRevAge14)-SUMIF(ThresholdAge14,"&lt;"&amp;AJ8,WeightedMinAge14),MAX(CapacityAge14*АбонементНовых*AJ8,MeanMinAge14)))</f>
        <v/>
      </c>
      <c r="AK60" s="4">
        <f>IF(OR(AK33=0,14&lt;=КаникулыРоялти),0,AK33*IF(РоялтиПоГруппам="Да",MeanMinAge14+AK8*SUMIF(ThresholdAge14,"&lt;"&amp;AK8,WeightedRevAge14)-SUMIF(ThresholdAge14,"&lt;"&amp;AK8,WeightedMinAge14),MAX(CapacityAge14*АбонементНовых*AK8,MeanMinAge14)))</f>
        <v/>
      </c>
      <c r="AL60" s="4">
        <f>IF(OR(AL33=0,14&lt;=КаникулыРоялти),0,AL33*IF(РоялтиПоГруппам="Да",MeanMinAge14+AL8*SUMIF(ThresholdAge14,"&lt;"&amp;AL8,WeightedRevAge14)-SUMIF(ThresholdAge14,"&lt;"&amp;AL8,WeightedMinAge14),MAX(CapacityAge14*АбонементНовых*AL8,MeanMinAge14)))</f>
        <v/>
      </c>
      <c r="AM60" s="4">
        <f>IF(OR(AM33=0,14&lt;=КаникулыРоялти),0,AM33*IF(РоялтиПоГруппам="Да",MeanMinAge14+AM8*SUMIF(ThresholdAge14,"&lt;"&amp;AM8,WeightedRevAge14)-SUMIF(ThresholdAge14,"&lt;"&amp;AM8,WeightedMinAge14),MAX(CapacityAge14*АбонементНовых*AM8,MeanMinAge14)))</f>
        <v/>
      </c>
      <c r="AN60" s="4">
        <f>IF(OR(AN33=0,14&lt;=КаникулыРоялти),0,AN33*IF(РоялтиПоГруппам="Да",MeanMinAge14+AN8*SUMIF(ThresholdAge14,"&lt;"&amp;AN8,WeightedRevAge14)-SUMIF(ThresholdAge14,"&lt;"&amp;AN8,WeightedMinAge14),MAX(CapacityAge14*АбонементНовых*AN8,MeanMinAge14)))</f>
        <v/>
      </c>
      <c r="AO60" s="4">
        <f>IF(OR(AO33=0,14&lt;=КаникулыРоялти),0,AO33*IF(РоялтиПоГруппам="Да",MeanMinAge14+AO8*SUMIF(ThresholdAge14,"&lt;"&amp;AO8,WeightedRevAge14)-SUMIF(ThresholdAge14,"&lt;"&amp;AO8,WeightedMinAge14),MAX(CapacityAge14*АбонементНовых*AO8,MeanMinAge14)))</f>
        <v/>
      </c>
      <c r="AP60" s="4">
        <f>IF(OR(AP33=0,14&lt;=КаникулыРоялти),0,AP33*IF(РоялтиПоГруппам="Да",MeanMinAge14+AP8*SUMIF(ThresholdAge14,"&lt;"&amp;AP8,WeightedRevAge14)-SUMIF(ThresholdAge14,"&lt;"&amp;AP8,WeightedMinAge14),MAX(CapacityAge14*АбонементНовых*AP8,MeanMinAge14)))</f>
        <v/>
      </c>
      <c r="AQ60" s="4">
        <f>IF(OR(AQ33=0,14&lt;=КаникулыРоялти),0,AQ33*IF(РоялтиПоГруппам="Да",MeanMinAge14+AQ8*SUMIF(ThresholdAge14,"&lt;"&amp;AQ8,WeightedRevAge14)-SUMIF(ThresholdAge14,"&lt;"&amp;AQ8,WeightedMinAge14),MAX(CapacityAge14*АбонементНовых*AQ8,MeanMinAge14)))</f>
        <v/>
      </c>
      <c r="AR60" s="4">
        <f>IF(OR(AR33=0,14&lt;=КаникулыРоялти),0,AR33*IF(РоялтиПоГруппам="Да",MeanMinAge14+AR8*SUMIF(ThresholdAge14,"&lt;"&amp;AR8,WeightedRevAge14)-SUMIF(ThresholdAge14,"&lt;"&amp;AR8,WeightedMinAge14),MAX(CapacityAge14*АбонементНовых*AR8,MeanMinAge14)))</f>
        <v/>
      </c>
      <c r="AS60" s="4">
        <f>IF(OR(AS33=0,14&lt;=КаникулыРоялти),0,AS33*IF(РоялтиПоГруппам="Да",MeanMinAge14+AS8*SUMIF(ThresholdAge14,"&lt;"&amp;AS8,WeightedRevAge14)-SUMIF(ThresholdAge14,"&lt;"&amp;AS8,WeightedMinAge14),MAX(CapacityAge14*АбонементНовых*AS8,MeanMinAge14)))</f>
        <v/>
      </c>
      <c r="AT60" s="4">
        <f>IF(OR(AT33=0,14&lt;=КаникулыРоялти),0,AT33*IF(РоялтиПоГруппам="Да",MeanMinAge14+AT8*SUMIF(ThresholdAge14,"&lt;"&amp;AT8,WeightedRevAge14)-SUMIF(ThresholdAge14,"&lt;"&amp;AT8,WeightedMinAge14),MAX(CapacityAge14*АбонементНовых*AT8,MeanMinAge14)))</f>
        <v/>
      </c>
      <c r="AU60" s="4">
        <f>IF(OR(AU33=0,14&lt;=КаникулыРоялти),0,AU33*IF(РоялтиПоГруппам="Да",MeanMinAge14+AU8*SUMIF(ThresholdAge14,"&lt;"&amp;AU8,WeightedRevAge14)-SUMIF(ThresholdAge14,"&lt;"&amp;AU8,WeightedMinAge14),MAX(CapacityAge14*АбонементНовых*AU8,MeanMinAge14)))</f>
        <v/>
      </c>
      <c r="AV60" s="4">
        <f>IF(OR(AV33=0,14&lt;=КаникулыРоялти),0,AV33*IF(РоялтиПоГруппам="Да",MeanMinAge14+AV8*SUMIF(ThresholdAge14,"&lt;"&amp;AV8,WeightedRevAge14)-SUMIF(ThresholdAge14,"&lt;"&amp;AV8,WeightedMinAge14),MAX(CapacityAge14*АбонементНовых*AV8,MeanMinAge14)))</f>
        <v/>
      </c>
      <c r="AW60" s="4">
        <f>IF(OR(AW33=0,14&lt;=КаникулыРоялти),0,AW33*IF(РоялтиПоГруппам="Да",MeanMinAge14+AW8*SUMIF(ThresholdAge14,"&lt;"&amp;AW8,WeightedRevAge14)-SUMIF(ThresholdAge14,"&lt;"&amp;AW8,WeightedMinAge14),MAX(CapacityAge14*АбонементНовых*AW8,MeanMinAge14)))</f>
        <v/>
      </c>
      <c r="AX60" s="4">
        <f>IF(OR(AX33=0,14&lt;=КаникулыРоялти),0,AX33*IF(РоялтиПоГруппам="Да",MeanMinAge14+AX8*SUMIF(ThresholdAge14,"&lt;"&amp;AX8,WeightedRevAge14)-SUMIF(ThresholdAge14,"&lt;"&amp;AX8,WeightedMinAge14),MAX(CapacityAge14*АбонементНовых*AX8,MeanMinAge14)))</f>
        <v/>
      </c>
      <c r="AY60" s="4">
        <f>IF(OR(AY33=0,14&lt;=КаникулыРоялти),0,AY33*IF(РоялтиПоГруппам="Да",MeanMinAge14+AY8*SUMIF(ThresholdAge14,"&lt;"&amp;AY8,WeightedRevAge14)-SUMIF(ThresholdAge14,"&lt;"&amp;AY8,WeightedMinAge14),MAX(CapacityAge14*АбонементНовых*AY8,MeanMinAge14)))</f>
        <v/>
      </c>
      <c r="AZ60" s="4">
        <f>IF(OR(AZ33=0,14&lt;=КаникулыРоялти),0,AZ33*IF(РоялтиПоГруппам="Да",MeanMinAge14+AZ8*SUMIF(ThresholdAge14,"&lt;"&amp;AZ8,WeightedRevAge14)-SUMIF(ThresholdAge14,"&lt;"&amp;AZ8,WeightedMinAge14),MAX(CapacityAge14*АбонементНовых*AZ8,MeanMinAge14)))</f>
        <v/>
      </c>
      <c r="BA60" s="4">
        <f>IF(OR(BA33=0,14&lt;=КаникулыРоялти),0,BA33*IF(РоялтиПоГруппам="Да",MeanMinAge14+BA8*SUMIF(ThresholdAge14,"&lt;"&amp;BA8,WeightedRevAge14)-SUMIF(ThresholdAge14,"&lt;"&amp;BA8,WeightedMinAge14),MAX(CapacityAge14*АбонементНовых*BA8,MeanMinAge14)))</f>
        <v/>
      </c>
      <c r="BB60" s="4">
        <f>IF(OR(BB33=0,14&lt;=КаникулыРоялти),0,BB33*IF(РоялтиПоГруппам="Да",MeanMinAge14+BB8*SUMIF(ThresholdAge14,"&lt;"&amp;BB8,WeightedRevAge14)-SUMIF(ThresholdAge14,"&lt;"&amp;BB8,WeightedMinAge14),MAX(CapacityAge14*АбонементНовых*BB8,MeanMinAge14)))</f>
        <v/>
      </c>
      <c r="BC60" s="4">
        <f>IF(OR(BC33=0,14&lt;=КаникулыРоялти),0,BC33*IF(РоялтиПоГруппам="Да",MeanMinAge14+BC8*SUMIF(ThresholdAge14,"&lt;"&amp;BC8,WeightedRevAge14)-SUMIF(ThresholdAge14,"&lt;"&amp;BC8,WeightedMinAge14),MAX(CapacityAge14*АбонементНовых*BC8,MeanMinAge14)))</f>
        <v/>
      </c>
      <c r="BD60" s="4">
        <f>IF(OR(BD33=0,14&lt;=КаникулыРоялти),0,BD33*IF(РоялтиПоГруппам="Да",MeanMinAge14+BD8*SUMIF(ThresholdAge14,"&lt;"&amp;BD8,WeightedRevAge14)-SUMIF(ThresholdAge14,"&lt;"&amp;BD8,WeightedMinAge14),MAX(CapacityAge14*АбонементНовых*BD8,MeanMinAge14)))</f>
        <v/>
      </c>
      <c r="BE60" s="4">
        <f>IF(OR(BE33=0,14&lt;=КаникулыРоялти),0,BE33*IF(РоялтиПоГруппам="Да",MeanMinAge14+BE8*SUMIF(ThresholdAge14,"&lt;"&amp;BE8,WeightedRevAge14)-SUMIF(ThresholdAge14,"&lt;"&amp;BE8,WeightedMinAge14),MAX(CapacityAge14*АбонементНовых*BE8,MeanMinAge14)))</f>
        <v/>
      </c>
      <c r="BF60" s="4">
        <f>IF(OR(BF33=0,14&lt;=КаникулыРоялти),0,BF33*IF(РоялтиПоГруппам="Да",MeanMinAge14+BF8*SUMIF(ThresholdAge14,"&lt;"&amp;BF8,WeightedRevAge14)-SUMIF(ThresholdAge14,"&lt;"&amp;BF8,WeightedMinAge14),MAX(CapacityAge14*АбонементНовых*BF8,MeanMinAge14)))</f>
        <v/>
      </c>
      <c r="BG60" s="4">
        <f>IF(OR(BG33=0,14&lt;=КаникулыРоялти),0,BG33*IF(РоялтиПоГруппам="Да",MeanMinAge14+BG8*SUMIF(ThresholdAge14,"&lt;"&amp;BG8,WeightedRevAge14)-SUMIF(ThresholdAge14,"&lt;"&amp;BG8,WeightedMinAge14),MAX(CapacityAge14*АбонементНовых*BG8,MeanMinAge14)))</f>
        <v/>
      </c>
      <c r="BH60" s="4">
        <f>IF(OR(BH33=0,14&lt;=КаникулыРоялти),0,BH33*IF(РоялтиПоГруппам="Да",MeanMinAge14+BH8*SUMIF(ThresholdAge14,"&lt;"&amp;BH8,WeightedRevAge14)-SUMIF(ThresholdAge14,"&lt;"&amp;BH8,WeightedMinAge14),MAX(CapacityAge14*АбонементНовых*BH8,MeanMinAge14)))</f>
        <v/>
      </c>
      <c r="BI60" s="4">
        <f>IF(OR(BI33=0,14&lt;=КаникулыРоялти),0,BI33*IF(РоялтиПоГруппам="Да",MeanMinAge14+BI8*SUMIF(ThresholdAge14,"&lt;"&amp;BI8,WeightedRevAge14)-SUMIF(ThresholdAge14,"&lt;"&amp;BI8,WeightedMinAge14),MAX(CapacityAge14*АбонементНовых*BI8,MeanMinAge14)))</f>
        <v/>
      </c>
      <c r="BJ60" s="4">
        <f>IF(OR(BJ33=0,14&lt;=КаникулыРоялти),0,BJ33*IF(РоялтиПоГруппам="Да",MeanMinAge14+BJ8*SUMIF(ThresholdAge14,"&lt;"&amp;BJ8,WeightedRevAge14)-SUMIF(ThresholdAge14,"&lt;"&amp;BJ8,WeightedMinAge14),MAX(CapacityAge14*АбонементНовых*BJ8,MeanMinAge14)))</f>
        <v/>
      </c>
      <c r="BK60" s="4">
        <f>IF(OR(BK33=0,14&lt;=КаникулыРоялти),0,BK33*IF(РоялтиПоГруппам="Да",MeanMinAge14+BK8*SUMIF(ThresholdAge14,"&lt;"&amp;BK8,WeightedRevAge14)-SUMIF(ThresholdAge14,"&lt;"&amp;BK8,WeightedMinAge14),MAX(CapacityAge14*АбонементНовых*BK8,MeanMinAge14)))</f>
        <v/>
      </c>
      <c r="BL60" s="4">
        <f>IF(OR(BL33=0,14&lt;=КаникулыРоялти),0,BL33*IF(РоялтиПоГруппам="Да",MeanMinAge14+BL8*SUMIF(ThresholdAge14,"&lt;"&amp;BL8,WeightedRevAge14)-SUMIF(ThresholdAge14,"&lt;"&amp;BL8,WeightedMinAge14),MAX(CapacityAge14*АбонементНовых*BL8,MeanMinAge14)))</f>
        <v/>
      </c>
      <c r="BM60" s="4">
        <f>IF(OR(BM33=0,14&lt;=КаникулыРоялти),0,BM33*IF(РоялтиПоГруппам="Да",MeanMinAge14+BM8*SUMIF(ThresholdAge14,"&lt;"&amp;BM8,WeightedRevAge14)-SUMIF(ThresholdAge14,"&lt;"&amp;BM8,WeightedMinAge14),MAX(CapacityAge14*АбонементНовых*BM8,MeanMinAge14)))</f>
        <v/>
      </c>
      <c r="BN60" s="4">
        <f>IF(OR(BN33=0,14&lt;=КаникулыРоялти),0,BN33*IF(РоялтиПоГруппам="Да",MeanMinAge14+BN8*SUMIF(ThresholdAge14,"&lt;"&amp;BN8,WeightedRevAge14)-SUMIF(ThresholdAge14,"&lt;"&amp;BN8,WeightedMinAge14),MAX(CapacityAge14*АбонементНовых*BN8,MeanMinAge14)))</f>
        <v/>
      </c>
      <c r="BO60" s="4">
        <f>IF(OR(BO33=0,14&lt;=КаникулыРоялти),0,BO33*IF(РоялтиПоГруппам="Да",MeanMinAge14+BO8*SUMIF(ThresholdAge14,"&lt;"&amp;BO8,WeightedRevAge14)-SUMIF(ThresholdAge14,"&lt;"&amp;BO8,WeightedMinAge14),MAX(CapacityAge14*АбонементНовых*BO8,MeanMinAge14)))</f>
        <v/>
      </c>
      <c r="BP60" s="4">
        <f>IF(OR(BP33=0,14&lt;=КаникулыРоялти),0,BP33*IF(РоялтиПоГруппам="Да",MeanMinAge14+BP8*SUMIF(ThresholdAge14,"&lt;"&amp;BP8,WeightedRevAge14)-SUMIF(ThresholdAge14,"&lt;"&amp;BP8,WeightedMinAge14),MAX(CapacityAge14*АбонементНовых*BP8,MeanMinAge14)))</f>
        <v/>
      </c>
      <c r="BQ60" s="4">
        <f>IF(OR(BQ33=0,14&lt;=КаникулыРоялти),0,BQ33*IF(РоялтиПоГруппам="Да",MeanMinAge14+BQ8*SUMIF(ThresholdAge14,"&lt;"&amp;BQ8,WeightedRevAge14)-SUMIF(ThresholdAge14,"&lt;"&amp;BQ8,WeightedMinAge14),MAX(CapacityAge14*АбонементНовых*BQ8,MeanMinAge14)))</f>
        <v/>
      </c>
      <c r="BR60" s="4">
        <f>IF(OR(BR33=0,14&lt;=КаникулыРоялти),0,BR33*IF(РоялтиПоГруппам="Да",MeanMinAge14+BR8*SUMIF(ThresholdAge14,"&lt;"&amp;BR8,WeightedRevAge14)-SUMIF(ThresholdAge14,"&lt;"&amp;BR8,WeightedMinAge14),MAX(CapacityAge14*АбонементНовых*BR8,MeanMinAge14)))</f>
        <v/>
      </c>
      <c r="BS60" s="4">
        <f>IF(OR(BS33=0,14&lt;=КаникулыРоялти),0,BS33*IF(РоялтиПоГруппам="Да",MeanMinAge14+BS8*SUMIF(ThresholdAge14,"&lt;"&amp;BS8,WeightedRevAge14)-SUMIF(ThresholdAge14,"&lt;"&amp;BS8,WeightedMinAge14),MAX(CapacityAge14*АбонементНовых*BS8,MeanMinAge14)))</f>
        <v/>
      </c>
      <c r="BT60" s="4">
        <f>IF(OR(BT33=0,14&lt;=КаникулыРоялти),0,BT33*IF(РоялтиПоГруппам="Да",MeanMinAge14+BT8*SUMIF(ThresholdAge14,"&lt;"&amp;BT8,WeightedRevAge14)-SUMIF(ThresholdAge14,"&lt;"&amp;BT8,WeightedMinAge14),MAX(CapacityAge14*АбонементНовых*BT8,MeanMinAge14)))</f>
        <v/>
      </c>
      <c r="BU60" s="4">
        <f>IF(OR(BU33=0,14&lt;=КаникулыРоялти),0,BU33*IF(РоялтиПоГруппам="Да",MeanMinAge14+BU8*SUMIF(ThresholdAge14,"&lt;"&amp;BU8,WeightedRevAge14)-SUMIF(ThresholdAge14,"&lt;"&amp;BU8,WeightedMinAge14),MAX(CapacityAge14*АбонементНовых*BU8,MeanMinAge14)))</f>
        <v/>
      </c>
      <c r="BV60" s="4">
        <f>IF(OR(BV33=0,14&lt;=КаникулыРоялти),0,BV33*IF(РоялтиПоГруппам="Да",MeanMinAge14+BV8*SUMIF(ThresholdAge14,"&lt;"&amp;BV8,WeightedRevAge14)-SUMIF(ThresholdAge14,"&lt;"&amp;BV8,WeightedMinAge14),MAX(CapacityAge14*АбонементНовых*BV8,MeanMinAge14)))</f>
        <v/>
      </c>
      <c r="BW60" s="4">
        <f>IF(OR(BW33=0,14&lt;=КаникулыРоялти),0,BW33*IF(РоялтиПоГруппам="Да",MeanMinAge14+BW8*SUMIF(ThresholdAge14,"&lt;"&amp;BW8,WeightedRevAge14)-SUMIF(ThresholdAge14,"&lt;"&amp;BW8,WeightedMinAge14),MAX(CapacityAge14*АбонементНовых*BW8,MeanMinAge14)))</f>
        <v/>
      </c>
      <c r="BX60" s="4">
        <f>IF(OR(BX33=0,14&lt;=КаникулыРоялти),0,BX33*IF(РоялтиПоГруппам="Да",MeanMinAge14+BX8*SUMIF(ThresholdAge14,"&lt;"&amp;BX8,WeightedRevAge14)-SUMIF(ThresholdAge14,"&lt;"&amp;BX8,WeightedMinAge14),MAX(CapacityAge14*АбонементНовых*BX8,MeanMinAge14)))</f>
        <v/>
      </c>
      <c r="BY60" s="4">
        <f>IF(OR(BY33=0,14&lt;=КаникулыРоялти),0,BY33*IF(РоялтиПоГруппам="Да",MeanMinAge14+BY8*SUMIF(ThresholdAge14,"&lt;"&amp;BY8,WeightedRevAge14)-SUMIF(ThresholdAge14,"&lt;"&amp;BY8,WeightedMinAge14),MAX(CapacityAge14*АбонементНовых*BY8,MeanMinAge14)))</f>
        <v/>
      </c>
    </row>
    <row r="61">
      <c r="B61" t="inlineStr">
        <is>
          <t>15 мес.</t>
        </is>
      </c>
      <c r="C61" t="inlineStr">
        <is>
          <t>₽</t>
        </is>
      </c>
      <c r="D61" s="117" t="inlineStr"/>
      <c r="E61" s="119">
        <f>SUM(L61:W61)</f>
        <v/>
      </c>
      <c r="F61" s="119">
        <f>SUM(X61:AI61)</f>
        <v/>
      </c>
      <c r="G61" s="119">
        <f>SUM(AJ61:AU61)</f>
        <v/>
      </c>
      <c r="H61" s="119">
        <f>SUM(AV61:BG61)</f>
        <v/>
      </c>
      <c r="I61" s="119">
        <f>SUM(BH61:BS61)</f>
        <v/>
      </c>
      <c r="J61" s="5">
        <f>SUM(L61:BS61)</f>
        <v/>
      </c>
      <c r="L61" s="4">
        <f>IF(OR(L34=0,15&lt;=КаникулыРоялти),0,L34*IF(РоялтиПоГруппам="Да",MeanMinAge15+L8*SUMIF(ThresholdAge15,"&lt;"&amp;L8,WeightedRevAge15)-SUMIF(ThresholdAge15,"&lt;"&amp;L8,WeightedMinAge15),MAX(CapacityAge15*АбонементНовых*L8,MeanMinAge15)))</f>
        <v/>
      </c>
      <c r="M61" s="4">
        <f>IF(OR(M34=0,15&lt;=КаникулыРоялти),0,M34*IF(РоялтиПоГруппам="Да",MeanMinAge15+M8*SUMIF(ThresholdAge15,"&lt;"&amp;M8,WeightedRevAge15)-SUMIF(ThresholdAge15,"&lt;"&amp;M8,WeightedMinAge15),MAX(CapacityAge15*АбонементНовых*M8,MeanMinAge15)))</f>
        <v/>
      </c>
      <c r="N61" s="4">
        <f>IF(OR(N34=0,15&lt;=КаникулыРоялти),0,N34*IF(РоялтиПоГруппам="Да",MeanMinAge15+N8*SUMIF(ThresholdAge15,"&lt;"&amp;N8,WeightedRevAge15)-SUMIF(ThresholdAge15,"&lt;"&amp;N8,WeightedMinAge15),MAX(CapacityAge15*АбонементНовых*N8,MeanMinAge15)))</f>
        <v/>
      </c>
      <c r="O61" s="4">
        <f>IF(OR(O34=0,15&lt;=КаникулыРоялти),0,O34*IF(РоялтиПоГруппам="Да",MeanMinAge15+O8*SUMIF(ThresholdAge15,"&lt;"&amp;O8,WeightedRevAge15)-SUMIF(ThresholdAge15,"&lt;"&amp;O8,WeightedMinAge15),MAX(CapacityAge15*АбонементНовых*O8,MeanMinAge15)))</f>
        <v/>
      </c>
      <c r="P61" s="4">
        <f>IF(OR(P34=0,15&lt;=КаникулыРоялти),0,P34*IF(РоялтиПоГруппам="Да",MeanMinAge15+P8*SUMIF(ThresholdAge15,"&lt;"&amp;P8,WeightedRevAge15)-SUMIF(ThresholdAge15,"&lt;"&amp;P8,WeightedMinAge15),MAX(CapacityAge15*АбонементНовых*P8,MeanMinAge15)))</f>
        <v/>
      </c>
      <c r="Q61" s="4">
        <f>IF(OR(Q34=0,15&lt;=КаникулыРоялти),0,Q34*IF(РоялтиПоГруппам="Да",MeanMinAge15+Q8*SUMIF(ThresholdAge15,"&lt;"&amp;Q8,WeightedRevAge15)-SUMIF(ThresholdAge15,"&lt;"&amp;Q8,WeightedMinAge15),MAX(CapacityAge15*АбонементНовых*Q8,MeanMinAge15)))</f>
        <v/>
      </c>
      <c r="R61" s="4">
        <f>IF(OR(R34=0,15&lt;=КаникулыРоялти),0,R34*IF(РоялтиПоГруппам="Да",MeanMinAge15+R8*SUMIF(ThresholdAge15,"&lt;"&amp;R8,WeightedRevAge15)-SUMIF(ThresholdAge15,"&lt;"&amp;R8,WeightedMinAge15),MAX(CapacityAge15*АбонементНовых*R8,MeanMinAge15)))</f>
        <v/>
      </c>
      <c r="S61" s="4">
        <f>IF(OR(S34=0,15&lt;=КаникулыРоялти),0,S34*IF(РоялтиПоГруппам="Да",MeanMinAge15+S8*SUMIF(ThresholdAge15,"&lt;"&amp;S8,WeightedRevAge15)-SUMIF(ThresholdAge15,"&lt;"&amp;S8,WeightedMinAge15),MAX(CapacityAge15*АбонементНовых*S8,MeanMinAge15)))</f>
        <v/>
      </c>
      <c r="T61" s="4">
        <f>IF(OR(T34=0,15&lt;=КаникулыРоялти),0,T34*IF(РоялтиПоГруппам="Да",MeanMinAge15+T8*SUMIF(ThresholdAge15,"&lt;"&amp;T8,WeightedRevAge15)-SUMIF(ThresholdAge15,"&lt;"&amp;T8,WeightedMinAge15),MAX(CapacityAge15*АбонементНовых*T8,MeanMinAge15)))</f>
        <v/>
      </c>
      <c r="U61" s="4">
        <f>IF(OR(U34=0,15&lt;=КаникулыРоялти),0,U34*IF(РоялтиПоГруппам="Да",MeanMinAge15+U8*SUMIF(ThresholdAge15,"&lt;"&amp;U8,WeightedRevAge15)-SUMIF(ThresholdAge15,"&lt;"&amp;U8,WeightedMinAge15),MAX(CapacityAge15*АбонементНовых*U8,MeanMinAge15)))</f>
        <v/>
      </c>
      <c r="V61" s="4">
        <f>IF(OR(V34=0,15&lt;=КаникулыРоялти),0,V34*IF(РоялтиПоГруппам="Да",MeanMinAge15+V8*SUMIF(ThresholdAge15,"&lt;"&amp;V8,WeightedRevAge15)-SUMIF(ThresholdAge15,"&lt;"&amp;V8,WeightedMinAge15),MAX(CapacityAge15*АбонементНовых*V8,MeanMinAge15)))</f>
        <v/>
      </c>
      <c r="W61" s="4">
        <f>IF(OR(W34=0,15&lt;=КаникулыРоялти),0,W34*IF(РоялтиПоГруппам="Да",MeanMinAge15+W8*SUMIF(ThresholdAge15,"&lt;"&amp;W8,WeightedRevAge15)-SUMIF(ThresholdAge15,"&lt;"&amp;W8,WeightedMinAge15),MAX(CapacityAge15*АбонементНовых*W8,MeanMinAge15)))</f>
        <v/>
      </c>
      <c r="X61" s="4">
        <f>IF(OR(X34=0,15&lt;=КаникулыРоялти),0,X34*IF(РоялтиПоГруппам="Да",MeanMinAge15+X8*SUMIF(ThresholdAge15,"&lt;"&amp;X8,WeightedRevAge15)-SUMIF(ThresholdAge15,"&lt;"&amp;X8,WeightedMinAge15),MAX(CapacityAge15*АбонементНовых*X8,MeanMinAge15)))</f>
        <v/>
      </c>
      <c r="Y61" s="4">
        <f>IF(OR(Y34=0,15&lt;=КаникулыРоялти),0,Y34*IF(РоялтиПоГруппам="Да",MeanMinAge15+Y8*SUMIF(ThresholdAge15,"&lt;"&amp;Y8,WeightedRevAge15)-SUMIF(ThresholdAge15,"&lt;"&amp;Y8,WeightedMinAge15),MAX(CapacityAge15*АбонементНовых*Y8,MeanMinAge15)))</f>
        <v/>
      </c>
      <c r="Z61" s="4">
        <f>IF(OR(Z34=0,15&lt;=КаникулыРоялти),0,Z34*IF(РоялтиПоГруппам="Да",MeanMinAge15+Z8*SUMIF(ThresholdAge15,"&lt;"&amp;Z8,WeightedRevAge15)-SUMIF(ThresholdAge15,"&lt;"&amp;Z8,WeightedMinAge15),MAX(CapacityAge15*АбонементНовых*Z8,MeanMinAge15)))</f>
        <v/>
      </c>
      <c r="AA61" s="4">
        <f>IF(OR(AA34=0,15&lt;=КаникулыРоялти),0,AA34*IF(РоялтиПоГруппам="Да",MeanMinAge15+AA8*SUMIF(ThresholdAge15,"&lt;"&amp;AA8,WeightedRevAge15)-SUMIF(ThresholdAge15,"&lt;"&amp;AA8,WeightedMinAge15),MAX(CapacityAge15*АбонементНовых*AA8,MeanMinAge15)))</f>
        <v/>
      </c>
      <c r="AB61" s="4">
        <f>IF(OR(AB34=0,15&lt;=КаникулыРоялти),0,AB34*IF(РоялтиПоГруппам="Да",MeanMinAge15+AB8*SUMIF(ThresholdAge15,"&lt;"&amp;AB8,WeightedRevAge15)-SUMIF(ThresholdAge15,"&lt;"&amp;AB8,WeightedMinAge15),MAX(CapacityAge15*АбонементНовых*AB8,MeanMinAge15)))</f>
        <v/>
      </c>
      <c r="AC61" s="4">
        <f>IF(OR(AC34=0,15&lt;=КаникулыРоялти),0,AC34*IF(РоялтиПоГруппам="Да",MeanMinAge15+AC8*SUMIF(ThresholdAge15,"&lt;"&amp;AC8,WeightedRevAge15)-SUMIF(ThresholdAge15,"&lt;"&amp;AC8,WeightedMinAge15),MAX(CapacityAge15*АбонементНовых*AC8,MeanMinAge15)))</f>
        <v/>
      </c>
      <c r="AD61" s="4">
        <f>IF(OR(AD34=0,15&lt;=КаникулыРоялти),0,AD34*IF(РоялтиПоГруппам="Да",MeanMinAge15+AD8*SUMIF(ThresholdAge15,"&lt;"&amp;AD8,WeightedRevAge15)-SUMIF(ThresholdAge15,"&lt;"&amp;AD8,WeightedMinAge15),MAX(CapacityAge15*АбонементНовых*AD8,MeanMinAge15)))</f>
        <v/>
      </c>
      <c r="AE61" s="4">
        <f>IF(OR(AE34=0,15&lt;=КаникулыРоялти),0,AE34*IF(РоялтиПоГруппам="Да",MeanMinAge15+AE8*SUMIF(ThresholdAge15,"&lt;"&amp;AE8,WeightedRevAge15)-SUMIF(ThresholdAge15,"&lt;"&amp;AE8,WeightedMinAge15),MAX(CapacityAge15*АбонементНовых*AE8,MeanMinAge15)))</f>
        <v/>
      </c>
      <c r="AF61" s="4">
        <f>IF(OR(AF34=0,15&lt;=КаникулыРоялти),0,AF34*IF(РоялтиПоГруппам="Да",MeanMinAge15+AF8*SUMIF(ThresholdAge15,"&lt;"&amp;AF8,WeightedRevAge15)-SUMIF(ThresholdAge15,"&lt;"&amp;AF8,WeightedMinAge15),MAX(CapacityAge15*АбонементНовых*AF8,MeanMinAge15)))</f>
        <v/>
      </c>
      <c r="AG61" s="4">
        <f>IF(OR(AG34=0,15&lt;=КаникулыРоялти),0,AG34*IF(РоялтиПоГруппам="Да",MeanMinAge15+AG8*SUMIF(ThresholdAge15,"&lt;"&amp;AG8,WeightedRevAge15)-SUMIF(ThresholdAge15,"&lt;"&amp;AG8,WeightedMinAge15),MAX(CapacityAge15*АбонементНовых*AG8,MeanMinAge15)))</f>
        <v/>
      </c>
      <c r="AH61" s="4">
        <f>IF(OR(AH34=0,15&lt;=КаникулыРоялти),0,AH34*IF(РоялтиПоГруппам="Да",MeanMinAge15+AH8*SUMIF(ThresholdAge15,"&lt;"&amp;AH8,WeightedRevAge15)-SUMIF(ThresholdAge15,"&lt;"&amp;AH8,WeightedMinAge15),MAX(CapacityAge15*АбонементНовых*AH8,MeanMinAge15)))</f>
        <v/>
      </c>
      <c r="AI61" s="4">
        <f>IF(OR(AI34=0,15&lt;=КаникулыРоялти),0,AI34*IF(РоялтиПоГруппам="Да",MeanMinAge15+AI8*SUMIF(ThresholdAge15,"&lt;"&amp;AI8,WeightedRevAge15)-SUMIF(ThresholdAge15,"&lt;"&amp;AI8,WeightedMinAge15),MAX(CapacityAge15*АбонементНовых*AI8,MeanMinAge15)))</f>
        <v/>
      </c>
      <c r="AJ61" s="4">
        <f>IF(OR(AJ34=0,15&lt;=КаникулыРоялти),0,AJ34*IF(РоялтиПоГруппам="Да",MeanMinAge15+AJ8*SUMIF(ThresholdAge15,"&lt;"&amp;AJ8,WeightedRevAge15)-SUMIF(ThresholdAge15,"&lt;"&amp;AJ8,WeightedMinAge15),MAX(CapacityAge15*АбонементНовых*AJ8,MeanMinAge15)))</f>
        <v/>
      </c>
      <c r="AK61" s="4">
        <f>IF(OR(AK34=0,15&lt;=КаникулыРоялти),0,AK34*IF(РоялтиПоГруппам="Да",MeanMinAge15+AK8*SUMIF(ThresholdAge15,"&lt;"&amp;AK8,WeightedRevAge15)-SUMIF(ThresholdAge15,"&lt;"&amp;AK8,WeightedMinAge15),MAX(CapacityAge15*АбонементНовых*AK8,MeanMinAge15)))</f>
        <v/>
      </c>
      <c r="AL61" s="4">
        <f>IF(OR(AL34=0,15&lt;=КаникулыРоялти),0,AL34*IF(РоялтиПоГруппам="Да",MeanMinAge15+AL8*SUMIF(ThresholdAge15,"&lt;"&amp;AL8,WeightedRevAge15)-SUMIF(ThresholdAge15,"&lt;"&amp;AL8,WeightedMinAge15),MAX(CapacityAge15*АбонементНовых*AL8,MeanMinAge15)))</f>
        <v/>
      </c>
      <c r="AM61" s="4">
        <f>IF(OR(AM34=0,15&lt;=КаникулыРоялти),0,AM34*IF(РоялтиПоГруппам="Да",MeanMinAge15+AM8*SUMIF(ThresholdAge15,"&lt;"&amp;AM8,WeightedRevAge15)-SUMIF(ThresholdAge15,"&lt;"&amp;AM8,WeightedMinAge15),MAX(CapacityAge15*АбонементНовых*AM8,MeanMinAge15)))</f>
        <v/>
      </c>
      <c r="AN61" s="4">
        <f>IF(OR(AN34=0,15&lt;=КаникулыРоялти),0,AN34*IF(РоялтиПоГруппам="Да",MeanMinAge15+AN8*SUMIF(ThresholdAge15,"&lt;"&amp;AN8,WeightedRevAge15)-SUMIF(ThresholdAge15,"&lt;"&amp;AN8,WeightedMinAge15),MAX(CapacityAge15*АбонементНовых*AN8,MeanMinAge15)))</f>
        <v/>
      </c>
      <c r="AO61" s="4">
        <f>IF(OR(AO34=0,15&lt;=КаникулыРоялти),0,AO34*IF(РоялтиПоГруппам="Да",MeanMinAge15+AO8*SUMIF(ThresholdAge15,"&lt;"&amp;AO8,WeightedRevAge15)-SUMIF(ThresholdAge15,"&lt;"&amp;AO8,WeightedMinAge15),MAX(CapacityAge15*АбонементНовых*AO8,MeanMinAge15)))</f>
        <v/>
      </c>
      <c r="AP61" s="4">
        <f>IF(OR(AP34=0,15&lt;=КаникулыРоялти),0,AP34*IF(РоялтиПоГруппам="Да",MeanMinAge15+AP8*SUMIF(ThresholdAge15,"&lt;"&amp;AP8,WeightedRevAge15)-SUMIF(ThresholdAge15,"&lt;"&amp;AP8,WeightedMinAge15),MAX(CapacityAge15*АбонементНовых*AP8,MeanMinAge15)))</f>
        <v/>
      </c>
      <c r="AQ61" s="4">
        <f>IF(OR(AQ34=0,15&lt;=КаникулыРоялти),0,AQ34*IF(РоялтиПоГруппам="Да",MeanMinAge15+AQ8*SUMIF(ThresholdAge15,"&lt;"&amp;AQ8,WeightedRevAge15)-SUMIF(ThresholdAge15,"&lt;"&amp;AQ8,WeightedMinAge15),MAX(CapacityAge15*АбонементНовых*AQ8,MeanMinAge15)))</f>
        <v/>
      </c>
      <c r="AR61" s="4">
        <f>IF(OR(AR34=0,15&lt;=КаникулыРоялти),0,AR34*IF(РоялтиПоГруппам="Да",MeanMinAge15+AR8*SUMIF(ThresholdAge15,"&lt;"&amp;AR8,WeightedRevAge15)-SUMIF(ThresholdAge15,"&lt;"&amp;AR8,WeightedMinAge15),MAX(CapacityAge15*АбонементНовых*AR8,MeanMinAge15)))</f>
        <v/>
      </c>
      <c r="AS61" s="4">
        <f>IF(OR(AS34=0,15&lt;=КаникулыРоялти),0,AS34*IF(РоялтиПоГруппам="Да",MeanMinAge15+AS8*SUMIF(ThresholdAge15,"&lt;"&amp;AS8,WeightedRevAge15)-SUMIF(ThresholdAge15,"&lt;"&amp;AS8,WeightedMinAge15),MAX(CapacityAge15*АбонементНовых*AS8,MeanMinAge15)))</f>
        <v/>
      </c>
      <c r="AT61" s="4">
        <f>IF(OR(AT34=0,15&lt;=КаникулыРоялти),0,AT34*IF(РоялтиПоГруппам="Да",MeanMinAge15+AT8*SUMIF(ThresholdAge15,"&lt;"&amp;AT8,WeightedRevAge15)-SUMIF(ThresholdAge15,"&lt;"&amp;AT8,WeightedMinAge15),MAX(CapacityAge15*АбонементНовых*AT8,MeanMinAge15)))</f>
        <v/>
      </c>
      <c r="AU61" s="4">
        <f>IF(OR(AU34=0,15&lt;=КаникулыРоялти),0,AU34*IF(РоялтиПоГруппам="Да",MeanMinAge15+AU8*SUMIF(ThresholdAge15,"&lt;"&amp;AU8,WeightedRevAge15)-SUMIF(ThresholdAge15,"&lt;"&amp;AU8,WeightedMinAge15),MAX(CapacityAge15*АбонементНовых*AU8,MeanMinAge15)))</f>
        <v/>
      </c>
      <c r="AV61" s="4">
        <f>IF(OR(AV34=0,15&lt;=КаникулыРоялти),0,AV34*IF(РоялтиПоГруппам="Да",MeanMinAge15+AV8*SUMIF(ThresholdAge15,"&lt;"&amp;AV8,WeightedRevAge15)-SUMIF(ThresholdAge15,"&lt;"&amp;AV8,WeightedMinAge15),MAX(CapacityAge15*АбонементНовых*AV8,MeanMinAge15)))</f>
        <v/>
      </c>
      <c r="AW61" s="4">
        <f>IF(OR(AW34=0,15&lt;=КаникулыРоялти),0,AW34*IF(РоялтиПоГруппам="Да",MeanMinAge15+AW8*SUMIF(ThresholdAge15,"&lt;"&amp;AW8,WeightedRevAge15)-SUMIF(ThresholdAge15,"&lt;"&amp;AW8,WeightedMinAge15),MAX(CapacityAge15*АбонементНовых*AW8,MeanMinAge15)))</f>
        <v/>
      </c>
      <c r="AX61" s="4">
        <f>IF(OR(AX34=0,15&lt;=КаникулыРоялти),0,AX34*IF(РоялтиПоГруппам="Да",MeanMinAge15+AX8*SUMIF(ThresholdAge15,"&lt;"&amp;AX8,WeightedRevAge15)-SUMIF(ThresholdAge15,"&lt;"&amp;AX8,WeightedMinAge15),MAX(CapacityAge15*АбонементНовых*AX8,MeanMinAge15)))</f>
        <v/>
      </c>
      <c r="AY61" s="4">
        <f>IF(OR(AY34=0,15&lt;=КаникулыРоялти),0,AY34*IF(РоялтиПоГруппам="Да",MeanMinAge15+AY8*SUMIF(ThresholdAge15,"&lt;"&amp;AY8,WeightedRevAge15)-SUMIF(ThresholdAge15,"&lt;"&amp;AY8,WeightedMinAge15),MAX(CapacityAge15*АбонементНовых*AY8,MeanMinAge15)))</f>
        <v/>
      </c>
      <c r="AZ61" s="4">
        <f>IF(OR(AZ34=0,15&lt;=КаникулыРоялти),0,AZ34*IF(РоялтиПоГруппам="Да",MeanMinAge15+AZ8*SUMIF(ThresholdAge15,"&lt;"&amp;AZ8,WeightedRevAge15)-SUMIF(ThresholdAge15,"&lt;"&amp;AZ8,WeightedMinAge15),MAX(CapacityAge15*АбонементНовых*AZ8,MeanMinAge15)))</f>
        <v/>
      </c>
      <c r="BA61" s="4">
        <f>IF(OR(BA34=0,15&lt;=КаникулыРоялти),0,BA34*IF(РоялтиПоГруппам="Да",MeanMinAge15+BA8*SUMIF(ThresholdAge15,"&lt;"&amp;BA8,WeightedRevAge15)-SUMIF(ThresholdAge15,"&lt;"&amp;BA8,WeightedMinAge15),MAX(CapacityAge15*АбонементНовых*BA8,MeanMinAge15)))</f>
        <v/>
      </c>
      <c r="BB61" s="4">
        <f>IF(OR(BB34=0,15&lt;=КаникулыРоялти),0,BB34*IF(РоялтиПоГруппам="Да",MeanMinAge15+BB8*SUMIF(ThresholdAge15,"&lt;"&amp;BB8,WeightedRevAge15)-SUMIF(ThresholdAge15,"&lt;"&amp;BB8,WeightedMinAge15),MAX(CapacityAge15*АбонементНовых*BB8,MeanMinAge15)))</f>
        <v/>
      </c>
      <c r="BC61" s="4">
        <f>IF(OR(BC34=0,15&lt;=КаникулыРоялти),0,BC34*IF(РоялтиПоГруппам="Да",MeanMinAge15+BC8*SUMIF(ThresholdAge15,"&lt;"&amp;BC8,WeightedRevAge15)-SUMIF(ThresholdAge15,"&lt;"&amp;BC8,WeightedMinAge15),MAX(CapacityAge15*АбонементНовых*BC8,MeanMinAge15)))</f>
        <v/>
      </c>
      <c r="BD61" s="4">
        <f>IF(OR(BD34=0,15&lt;=КаникулыРоялти),0,BD34*IF(РоялтиПоГруппам="Да",MeanMinAge15+BD8*SUMIF(ThresholdAge15,"&lt;"&amp;BD8,WeightedRevAge15)-SUMIF(ThresholdAge15,"&lt;"&amp;BD8,WeightedMinAge15),MAX(CapacityAge15*АбонементНовых*BD8,MeanMinAge15)))</f>
        <v/>
      </c>
      <c r="BE61" s="4">
        <f>IF(OR(BE34=0,15&lt;=КаникулыРоялти),0,BE34*IF(РоялтиПоГруппам="Да",MeanMinAge15+BE8*SUMIF(ThresholdAge15,"&lt;"&amp;BE8,WeightedRevAge15)-SUMIF(ThresholdAge15,"&lt;"&amp;BE8,WeightedMinAge15),MAX(CapacityAge15*АбонементНовых*BE8,MeanMinAge15)))</f>
        <v/>
      </c>
      <c r="BF61" s="4">
        <f>IF(OR(BF34=0,15&lt;=КаникулыРоялти),0,BF34*IF(РоялтиПоГруппам="Да",MeanMinAge15+BF8*SUMIF(ThresholdAge15,"&lt;"&amp;BF8,WeightedRevAge15)-SUMIF(ThresholdAge15,"&lt;"&amp;BF8,WeightedMinAge15),MAX(CapacityAge15*АбонементНовых*BF8,MeanMinAge15)))</f>
        <v/>
      </c>
      <c r="BG61" s="4">
        <f>IF(OR(BG34=0,15&lt;=КаникулыРоялти),0,BG34*IF(РоялтиПоГруппам="Да",MeanMinAge15+BG8*SUMIF(ThresholdAge15,"&lt;"&amp;BG8,WeightedRevAge15)-SUMIF(ThresholdAge15,"&lt;"&amp;BG8,WeightedMinAge15),MAX(CapacityAge15*АбонементНовых*BG8,MeanMinAge15)))</f>
        <v/>
      </c>
      <c r="BH61" s="4">
        <f>IF(OR(BH34=0,15&lt;=КаникулыРоялти),0,BH34*IF(РоялтиПоГруппам="Да",MeanMinAge15+BH8*SUMIF(ThresholdAge15,"&lt;"&amp;BH8,WeightedRevAge15)-SUMIF(ThresholdAge15,"&lt;"&amp;BH8,WeightedMinAge15),MAX(CapacityAge15*АбонементНовых*BH8,MeanMinAge15)))</f>
        <v/>
      </c>
      <c r="BI61" s="4">
        <f>IF(OR(BI34=0,15&lt;=КаникулыРоялти),0,BI34*IF(РоялтиПоГруппам="Да",MeanMinAge15+BI8*SUMIF(ThresholdAge15,"&lt;"&amp;BI8,WeightedRevAge15)-SUMIF(ThresholdAge15,"&lt;"&amp;BI8,WeightedMinAge15),MAX(CapacityAge15*АбонементНовых*BI8,MeanMinAge15)))</f>
        <v/>
      </c>
      <c r="BJ61" s="4">
        <f>IF(OR(BJ34=0,15&lt;=КаникулыРоялти),0,BJ34*IF(РоялтиПоГруппам="Да",MeanMinAge15+BJ8*SUMIF(ThresholdAge15,"&lt;"&amp;BJ8,WeightedRevAge15)-SUMIF(ThresholdAge15,"&lt;"&amp;BJ8,WeightedMinAge15),MAX(CapacityAge15*АбонементНовых*BJ8,MeanMinAge15)))</f>
        <v/>
      </c>
      <c r="BK61" s="4">
        <f>IF(OR(BK34=0,15&lt;=КаникулыРоялти),0,BK34*IF(РоялтиПоГруппам="Да",MeanMinAge15+BK8*SUMIF(ThresholdAge15,"&lt;"&amp;BK8,WeightedRevAge15)-SUMIF(ThresholdAge15,"&lt;"&amp;BK8,WeightedMinAge15),MAX(CapacityAge15*АбонементНовых*BK8,MeanMinAge15)))</f>
        <v/>
      </c>
      <c r="BL61" s="4">
        <f>IF(OR(BL34=0,15&lt;=КаникулыРоялти),0,BL34*IF(РоялтиПоГруппам="Да",MeanMinAge15+BL8*SUMIF(ThresholdAge15,"&lt;"&amp;BL8,WeightedRevAge15)-SUMIF(ThresholdAge15,"&lt;"&amp;BL8,WeightedMinAge15),MAX(CapacityAge15*АбонементНовых*BL8,MeanMinAge15)))</f>
        <v/>
      </c>
      <c r="BM61" s="4">
        <f>IF(OR(BM34=0,15&lt;=КаникулыРоялти),0,BM34*IF(РоялтиПоГруппам="Да",MeanMinAge15+BM8*SUMIF(ThresholdAge15,"&lt;"&amp;BM8,WeightedRevAge15)-SUMIF(ThresholdAge15,"&lt;"&amp;BM8,WeightedMinAge15),MAX(CapacityAge15*АбонементНовых*BM8,MeanMinAge15)))</f>
        <v/>
      </c>
      <c r="BN61" s="4">
        <f>IF(OR(BN34=0,15&lt;=КаникулыРоялти),0,BN34*IF(РоялтиПоГруппам="Да",MeanMinAge15+BN8*SUMIF(ThresholdAge15,"&lt;"&amp;BN8,WeightedRevAge15)-SUMIF(ThresholdAge15,"&lt;"&amp;BN8,WeightedMinAge15),MAX(CapacityAge15*АбонементНовых*BN8,MeanMinAge15)))</f>
        <v/>
      </c>
      <c r="BO61" s="4">
        <f>IF(OR(BO34=0,15&lt;=КаникулыРоялти),0,BO34*IF(РоялтиПоГруппам="Да",MeanMinAge15+BO8*SUMIF(ThresholdAge15,"&lt;"&amp;BO8,WeightedRevAge15)-SUMIF(ThresholdAge15,"&lt;"&amp;BO8,WeightedMinAge15),MAX(CapacityAge15*АбонементНовых*BO8,MeanMinAge15)))</f>
        <v/>
      </c>
      <c r="BP61" s="4">
        <f>IF(OR(BP34=0,15&lt;=КаникулыРоялти),0,BP34*IF(РоялтиПоГруппам="Да",MeanMinAge15+BP8*SUMIF(ThresholdAge15,"&lt;"&amp;BP8,WeightedRevAge15)-SUMIF(ThresholdAge15,"&lt;"&amp;BP8,WeightedMinAge15),MAX(CapacityAge15*АбонементНовых*BP8,MeanMinAge15)))</f>
        <v/>
      </c>
      <c r="BQ61" s="4">
        <f>IF(OR(BQ34=0,15&lt;=КаникулыРоялти),0,BQ34*IF(РоялтиПоГруппам="Да",MeanMinAge15+BQ8*SUMIF(ThresholdAge15,"&lt;"&amp;BQ8,WeightedRevAge15)-SUMIF(ThresholdAge15,"&lt;"&amp;BQ8,WeightedMinAge15),MAX(CapacityAge15*АбонементНовых*BQ8,MeanMinAge15)))</f>
        <v/>
      </c>
      <c r="BR61" s="4">
        <f>IF(OR(BR34=0,15&lt;=КаникулыРоялти),0,BR34*IF(РоялтиПоГруппам="Да",MeanMinAge15+BR8*SUMIF(ThresholdAge15,"&lt;"&amp;BR8,WeightedRevAge15)-SUMIF(ThresholdAge15,"&lt;"&amp;BR8,WeightedMinAge15),MAX(CapacityAge15*АбонементНовых*BR8,MeanMinAge15)))</f>
        <v/>
      </c>
      <c r="BS61" s="4">
        <f>IF(OR(BS34=0,15&lt;=КаникулыРоялти),0,BS34*IF(РоялтиПоГруппам="Да",MeanMinAge15+BS8*SUMIF(ThresholdAge15,"&lt;"&amp;BS8,WeightedRevAge15)-SUMIF(ThresholdAge15,"&lt;"&amp;BS8,WeightedMinAge15),MAX(CapacityAge15*АбонементНовых*BS8,MeanMinAge15)))</f>
        <v/>
      </c>
      <c r="BT61" s="4">
        <f>IF(OR(BT34=0,15&lt;=КаникулыРоялти),0,BT34*IF(РоялтиПоГруппам="Да",MeanMinAge15+BT8*SUMIF(ThresholdAge15,"&lt;"&amp;BT8,WeightedRevAge15)-SUMIF(ThresholdAge15,"&lt;"&amp;BT8,WeightedMinAge15),MAX(CapacityAge15*АбонементНовых*BT8,MeanMinAge15)))</f>
        <v/>
      </c>
      <c r="BU61" s="4">
        <f>IF(OR(BU34=0,15&lt;=КаникулыРоялти),0,BU34*IF(РоялтиПоГруппам="Да",MeanMinAge15+BU8*SUMIF(ThresholdAge15,"&lt;"&amp;BU8,WeightedRevAge15)-SUMIF(ThresholdAge15,"&lt;"&amp;BU8,WeightedMinAge15),MAX(CapacityAge15*АбонементНовых*BU8,MeanMinAge15)))</f>
        <v/>
      </c>
      <c r="BV61" s="4">
        <f>IF(OR(BV34=0,15&lt;=КаникулыРоялти),0,BV34*IF(РоялтиПоГруппам="Да",MeanMinAge15+BV8*SUMIF(ThresholdAge15,"&lt;"&amp;BV8,WeightedRevAge15)-SUMIF(ThresholdAge15,"&lt;"&amp;BV8,WeightedMinAge15),MAX(CapacityAge15*АбонементНовых*BV8,MeanMinAge15)))</f>
        <v/>
      </c>
      <c r="BW61" s="4">
        <f>IF(OR(BW34=0,15&lt;=КаникулыРоялти),0,BW34*IF(РоялтиПоГруппам="Да",MeanMinAge15+BW8*SUMIF(ThresholdAge15,"&lt;"&amp;BW8,WeightedRevAge15)-SUMIF(ThresholdAge15,"&lt;"&amp;BW8,WeightedMinAge15),MAX(CapacityAge15*АбонементНовых*BW8,MeanMinAge15)))</f>
        <v/>
      </c>
      <c r="BX61" s="4">
        <f>IF(OR(BX34=0,15&lt;=КаникулыРоялти),0,BX34*IF(РоялтиПоГруппам="Да",MeanMinAge15+BX8*SUMIF(ThresholdAge15,"&lt;"&amp;BX8,WeightedRevAge15)-SUMIF(ThresholdAge15,"&lt;"&amp;BX8,WeightedMinAge15),MAX(CapacityAge15*АбонементНовых*BX8,MeanMinAge15)))</f>
        <v/>
      </c>
      <c r="BY61" s="4">
        <f>IF(OR(BY34=0,15&lt;=КаникулыРоялти),0,BY34*IF(РоялтиПоГруппам="Да",MeanMinAge15+BY8*SUMIF(ThresholdAge15,"&lt;"&amp;BY8,WeightedRevAge15)-SUMIF(ThresholdAge15,"&lt;"&amp;BY8,WeightedMinAge15),MAX(CapacityAge15*АбонементНовых*BY8,MeanMinAge15)))</f>
        <v/>
      </c>
    </row>
    <row r="62">
      <c r="B62" t="inlineStr">
        <is>
          <t>16 мес.</t>
        </is>
      </c>
      <c r="C62" t="inlineStr">
        <is>
          <t>₽</t>
        </is>
      </c>
      <c r="D62" s="117" t="inlineStr"/>
      <c r="E62" s="119">
        <f>SUM(L62:W62)</f>
        <v/>
      </c>
      <c r="F62" s="119">
        <f>SUM(X62:AI62)</f>
        <v/>
      </c>
      <c r="G62" s="119">
        <f>SUM(AJ62:AU62)</f>
        <v/>
      </c>
      <c r="H62" s="119">
        <f>SUM(AV62:BG62)</f>
        <v/>
      </c>
      <c r="I62" s="119">
        <f>SUM(BH62:BS62)</f>
        <v/>
      </c>
      <c r="J62" s="5">
        <f>SUM(L62:BS62)</f>
        <v/>
      </c>
      <c r="L62" s="4">
        <f>IF(OR(L35=0,16&lt;=КаникулыРоялти),0,L35*IF(РоялтиПоГруппам="Да",MeanMinAge16+L8*SUMIF(ThresholdAge16,"&lt;"&amp;L8,WeightedRevAge16)-SUMIF(ThresholdAge16,"&lt;"&amp;L8,WeightedMinAge16),MAX(CapacityAge16*АбонементНовых*L8,MeanMinAge16)))</f>
        <v/>
      </c>
      <c r="M62" s="4">
        <f>IF(OR(M35=0,16&lt;=КаникулыРоялти),0,M35*IF(РоялтиПоГруппам="Да",MeanMinAge16+M8*SUMIF(ThresholdAge16,"&lt;"&amp;M8,WeightedRevAge16)-SUMIF(ThresholdAge16,"&lt;"&amp;M8,WeightedMinAge16),MAX(CapacityAge16*АбонементНовых*M8,MeanMinAge16)))</f>
        <v/>
      </c>
      <c r="N62" s="4">
        <f>IF(OR(N35=0,16&lt;=КаникулыРоялти),0,N35*IF(РоялтиПоГруппам="Да",MeanMinAge16+N8*SUMIF(ThresholdAge16,"&lt;"&amp;N8,WeightedRevAge16)-SUMIF(ThresholdAge16,"&lt;"&amp;N8,WeightedMinAge16),MAX(CapacityAge16*АбонементНовых*N8,MeanMinAge16)))</f>
        <v/>
      </c>
      <c r="O62" s="4">
        <f>IF(OR(O35=0,16&lt;=КаникулыРоялти),0,O35*IF(РоялтиПоГруппам="Да",MeanMinAge16+O8*SUMIF(ThresholdAge16,"&lt;"&amp;O8,WeightedRevAge16)-SUMIF(ThresholdAge16,"&lt;"&amp;O8,WeightedMinAge16),MAX(CapacityAge16*АбонементНовых*O8,MeanMinAge16)))</f>
        <v/>
      </c>
      <c r="P62" s="4">
        <f>IF(OR(P35=0,16&lt;=КаникулыРоялти),0,P35*IF(РоялтиПоГруппам="Да",MeanMinAge16+P8*SUMIF(ThresholdAge16,"&lt;"&amp;P8,WeightedRevAge16)-SUMIF(ThresholdAge16,"&lt;"&amp;P8,WeightedMinAge16),MAX(CapacityAge16*АбонементНовых*P8,MeanMinAge16)))</f>
        <v/>
      </c>
      <c r="Q62" s="4">
        <f>IF(OR(Q35=0,16&lt;=КаникулыРоялти),0,Q35*IF(РоялтиПоГруппам="Да",MeanMinAge16+Q8*SUMIF(ThresholdAge16,"&lt;"&amp;Q8,WeightedRevAge16)-SUMIF(ThresholdAge16,"&lt;"&amp;Q8,WeightedMinAge16),MAX(CapacityAge16*АбонементНовых*Q8,MeanMinAge16)))</f>
        <v/>
      </c>
      <c r="R62" s="4">
        <f>IF(OR(R35=0,16&lt;=КаникулыРоялти),0,R35*IF(РоялтиПоГруппам="Да",MeanMinAge16+R8*SUMIF(ThresholdAge16,"&lt;"&amp;R8,WeightedRevAge16)-SUMIF(ThresholdAge16,"&lt;"&amp;R8,WeightedMinAge16),MAX(CapacityAge16*АбонементНовых*R8,MeanMinAge16)))</f>
        <v/>
      </c>
      <c r="S62" s="4">
        <f>IF(OR(S35=0,16&lt;=КаникулыРоялти),0,S35*IF(РоялтиПоГруппам="Да",MeanMinAge16+S8*SUMIF(ThresholdAge16,"&lt;"&amp;S8,WeightedRevAge16)-SUMIF(ThresholdAge16,"&lt;"&amp;S8,WeightedMinAge16),MAX(CapacityAge16*АбонементНовых*S8,MeanMinAge16)))</f>
        <v/>
      </c>
      <c r="T62" s="4">
        <f>IF(OR(T35=0,16&lt;=КаникулыРоялти),0,T35*IF(РоялтиПоГруппам="Да",MeanMinAge16+T8*SUMIF(ThresholdAge16,"&lt;"&amp;T8,WeightedRevAge16)-SUMIF(ThresholdAge16,"&lt;"&amp;T8,WeightedMinAge16),MAX(CapacityAge16*АбонементНовых*T8,MeanMinAge16)))</f>
        <v/>
      </c>
      <c r="U62" s="4">
        <f>IF(OR(U35=0,16&lt;=КаникулыРоялти),0,U35*IF(РоялтиПоГруппам="Да",MeanMinAge16+U8*SUMIF(ThresholdAge16,"&lt;"&amp;U8,WeightedRevAge16)-SUMIF(ThresholdAge16,"&lt;"&amp;U8,WeightedMinAge16),MAX(CapacityAge16*АбонементНовых*U8,MeanMinAge16)))</f>
        <v/>
      </c>
      <c r="V62" s="4">
        <f>IF(OR(V35=0,16&lt;=КаникулыРоялти),0,V35*IF(РоялтиПоГруппам="Да",MeanMinAge16+V8*SUMIF(ThresholdAge16,"&lt;"&amp;V8,WeightedRevAge16)-SUMIF(ThresholdAge16,"&lt;"&amp;V8,WeightedMinAge16),MAX(CapacityAge16*АбонементНовых*V8,MeanMinAge16)))</f>
        <v/>
      </c>
      <c r="W62" s="4">
        <f>IF(OR(W35=0,16&lt;=КаникулыРоялти),0,W35*IF(РоялтиПоГруппам="Да",MeanMinAge16+W8*SUMIF(ThresholdAge16,"&lt;"&amp;W8,WeightedRevAge16)-SUMIF(ThresholdAge16,"&lt;"&amp;W8,WeightedMinAge16),MAX(CapacityAge16*АбонементНовых*W8,MeanMinAge16)))</f>
        <v/>
      </c>
      <c r="X62" s="4">
        <f>IF(OR(X35=0,16&lt;=КаникулыРоялти),0,X35*IF(РоялтиПоГруппам="Да",MeanMinAge16+X8*SUMIF(ThresholdAge16,"&lt;"&amp;X8,WeightedRevAge16)-SUMIF(ThresholdAge16,"&lt;"&amp;X8,WeightedMinAge16),MAX(CapacityAge16*АбонементНовых*X8,MeanMinAge16)))</f>
        <v/>
      </c>
      <c r="Y62" s="4">
        <f>IF(OR(Y35=0,16&lt;=КаникулыРоялти),0,Y35*IF(РоялтиПоГруппам="Да",MeanMinAge16+Y8*SUMIF(ThresholdAge16,"&lt;"&amp;Y8,WeightedRevAge16)-SUMIF(ThresholdAge16,"&lt;"&amp;Y8,WeightedMinAge16),MAX(CapacityAge16*АбонементНовых*Y8,MeanMinAge16)))</f>
        <v/>
      </c>
      <c r="Z62" s="4">
        <f>IF(OR(Z35=0,16&lt;=КаникулыРоялти),0,Z35*IF(РоялтиПоГруппам="Да",MeanMinAge16+Z8*SUMIF(ThresholdAge16,"&lt;"&amp;Z8,WeightedRevAge16)-SUMIF(ThresholdAge16,"&lt;"&amp;Z8,WeightedMinAge16),MAX(CapacityAge16*АбонементНовых*Z8,MeanMinAge16)))</f>
        <v/>
      </c>
      <c r="AA62" s="4">
        <f>IF(OR(AA35=0,16&lt;=КаникулыРоялти),0,AA35*IF(РоялтиПоГруппам="Да",MeanMinAge16+AA8*SUMIF(ThresholdAge16,"&lt;"&amp;AA8,WeightedRevAge16)-SUMIF(ThresholdAge16,"&lt;"&amp;AA8,WeightedMinAge16),MAX(CapacityAge16*АбонементНовых*AA8,MeanMinAge16)))</f>
        <v/>
      </c>
      <c r="AB62" s="4">
        <f>IF(OR(AB35=0,16&lt;=КаникулыРоялти),0,AB35*IF(РоялтиПоГруппам="Да",MeanMinAge16+AB8*SUMIF(ThresholdAge16,"&lt;"&amp;AB8,WeightedRevAge16)-SUMIF(ThresholdAge16,"&lt;"&amp;AB8,WeightedMinAge16),MAX(CapacityAge16*АбонементНовых*AB8,MeanMinAge16)))</f>
        <v/>
      </c>
      <c r="AC62" s="4">
        <f>IF(OR(AC35=0,16&lt;=КаникулыРоялти),0,AC35*IF(РоялтиПоГруппам="Да",MeanMinAge16+AC8*SUMIF(ThresholdAge16,"&lt;"&amp;AC8,WeightedRevAge16)-SUMIF(ThresholdAge16,"&lt;"&amp;AC8,WeightedMinAge16),MAX(CapacityAge16*АбонементНовых*AC8,MeanMinAge16)))</f>
        <v/>
      </c>
      <c r="AD62" s="4">
        <f>IF(OR(AD35=0,16&lt;=КаникулыРоялти),0,AD35*IF(РоялтиПоГруппам="Да",MeanMinAge16+AD8*SUMIF(ThresholdAge16,"&lt;"&amp;AD8,WeightedRevAge16)-SUMIF(ThresholdAge16,"&lt;"&amp;AD8,WeightedMinAge16),MAX(CapacityAge16*АбонементНовых*AD8,MeanMinAge16)))</f>
        <v/>
      </c>
      <c r="AE62" s="4">
        <f>IF(OR(AE35=0,16&lt;=КаникулыРоялти),0,AE35*IF(РоялтиПоГруппам="Да",MeanMinAge16+AE8*SUMIF(ThresholdAge16,"&lt;"&amp;AE8,WeightedRevAge16)-SUMIF(ThresholdAge16,"&lt;"&amp;AE8,WeightedMinAge16),MAX(CapacityAge16*АбонементНовых*AE8,MeanMinAge16)))</f>
        <v/>
      </c>
      <c r="AF62" s="4">
        <f>IF(OR(AF35=0,16&lt;=КаникулыРоялти),0,AF35*IF(РоялтиПоГруппам="Да",MeanMinAge16+AF8*SUMIF(ThresholdAge16,"&lt;"&amp;AF8,WeightedRevAge16)-SUMIF(ThresholdAge16,"&lt;"&amp;AF8,WeightedMinAge16),MAX(CapacityAge16*АбонементНовых*AF8,MeanMinAge16)))</f>
        <v/>
      </c>
      <c r="AG62" s="4">
        <f>IF(OR(AG35=0,16&lt;=КаникулыРоялти),0,AG35*IF(РоялтиПоГруппам="Да",MeanMinAge16+AG8*SUMIF(ThresholdAge16,"&lt;"&amp;AG8,WeightedRevAge16)-SUMIF(ThresholdAge16,"&lt;"&amp;AG8,WeightedMinAge16),MAX(CapacityAge16*АбонементНовых*AG8,MeanMinAge16)))</f>
        <v/>
      </c>
      <c r="AH62" s="4">
        <f>IF(OR(AH35=0,16&lt;=КаникулыРоялти),0,AH35*IF(РоялтиПоГруппам="Да",MeanMinAge16+AH8*SUMIF(ThresholdAge16,"&lt;"&amp;AH8,WeightedRevAge16)-SUMIF(ThresholdAge16,"&lt;"&amp;AH8,WeightedMinAge16),MAX(CapacityAge16*АбонементНовых*AH8,MeanMinAge16)))</f>
        <v/>
      </c>
      <c r="AI62" s="4">
        <f>IF(OR(AI35=0,16&lt;=КаникулыРоялти),0,AI35*IF(РоялтиПоГруппам="Да",MeanMinAge16+AI8*SUMIF(ThresholdAge16,"&lt;"&amp;AI8,WeightedRevAge16)-SUMIF(ThresholdAge16,"&lt;"&amp;AI8,WeightedMinAge16),MAX(CapacityAge16*АбонементНовых*AI8,MeanMinAge16)))</f>
        <v/>
      </c>
      <c r="AJ62" s="4">
        <f>IF(OR(AJ35=0,16&lt;=КаникулыРоялти),0,AJ35*IF(РоялтиПоГруппам="Да",MeanMinAge16+AJ8*SUMIF(ThresholdAge16,"&lt;"&amp;AJ8,WeightedRevAge16)-SUMIF(ThresholdAge16,"&lt;"&amp;AJ8,WeightedMinAge16),MAX(CapacityAge16*АбонементНовых*AJ8,MeanMinAge16)))</f>
        <v/>
      </c>
      <c r="AK62" s="4">
        <f>IF(OR(AK35=0,16&lt;=КаникулыРоялти),0,AK35*IF(РоялтиПоГруппам="Да",MeanMinAge16+AK8*SUMIF(ThresholdAge16,"&lt;"&amp;AK8,WeightedRevAge16)-SUMIF(ThresholdAge16,"&lt;"&amp;AK8,WeightedMinAge16),MAX(CapacityAge16*АбонементНовых*AK8,MeanMinAge16)))</f>
        <v/>
      </c>
      <c r="AL62" s="4">
        <f>IF(OR(AL35=0,16&lt;=КаникулыРоялти),0,AL35*IF(РоялтиПоГруппам="Да",MeanMinAge16+AL8*SUMIF(ThresholdAge16,"&lt;"&amp;AL8,WeightedRevAge16)-SUMIF(ThresholdAge16,"&lt;"&amp;AL8,WeightedMinAge16),MAX(CapacityAge16*АбонементНовых*AL8,MeanMinAge16)))</f>
        <v/>
      </c>
      <c r="AM62" s="4">
        <f>IF(OR(AM35=0,16&lt;=КаникулыРоялти),0,AM35*IF(РоялтиПоГруппам="Да",MeanMinAge16+AM8*SUMIF(ThresholdAge16,"&lt;"&amp;AM8,WeightedRevAge16)-SUMIF(ThresholdAge16,"&lt;"&amp;AM8,WeightedMinAge16),MAX(CapacityAge16*АбонементНовых*AM8,MeanMinAge16)))</f>
        <v/>
      </c>
      <c r="AN62" s="4">
        <f>IF(OR(AN35=0,16&lt;=КаникулыРоялти),0,AN35*IF(РоялтиПоГруппам="Да",MeanMinAge16+AN8*SUMIF(ThresholdAge16,"&lt;"&amp;AN8,WeightedRevAge16)-SUMIF(ThresholdAge16,"&lt;"&amp;AN8,WeightedMinAge16),MAX(CapacityAge16*АбонементНовых*AN8,MeanMinAge16)))</f>
        <v/>
      </c>
      <c r="AO62" s="4">
        <f>IF(OR(AO35=0,16&lt;=КаникулыРоялти),0,AO35*IF(РоялтиПоГруппам="Да",MeanMinAge16+AO8*SUMIF(ThresholdAge16,"&lt;"&amp;AO8,WeightedRevAge16)-SUMIF(ThresholdAge16,"&lt;"&amp;AO8,WeightedMinAge16),MAX(CapacityAge16*АбонементНовых*AO8,MeanMinAge16)))</f>
        <v/>
      </c>
      <c r="AP62" s="4">
        <f>IF(OR(AP35=0,16&lt;=КаникулыРоялти),0,AP35*IF(РоялтиПоГруппам="Да",MeanMinAge16+AP8*SUMIF(ThresholdAge16,"&lt;"&amp;AP8,WeightedRevAge16)-SUMIF(ThresholdAge16,"&lt;"&amp;AP8,WeightedMinAge16),MAX(CapacityAge16*АбонементНовых*AP8,MeanMinAge16)))</f>
        <v/>
      </c>
      <c r="AQ62" s="4">
        <f>IF(OR(AQ35=0,16&lt;=КаникулыРоялти),0,AQ35*IF(РоялтиПоГруппам="Да",MeanMinAge16+AQ8*SUMIF(ThresholdAge16,"&lt;"&amp;AQ8,WeightedRevAge16)-SUMIF(ThresholdAge16,"&lt;"&amp;AQ8,WeightedMinAge16),MAX(CapacityAge16*АбонементНовых*AQ8,MeanMinAge16)))</f>
        <v/>
      </c>
      <c r="AR62" s="4">
        <f>IF(OR(AR35=0,16&lt;=КаникулыРоялти),0,AR35*IF(РоялтиПоГруппам="Да",MeanMinAge16+AR8*SUMIF(ThresholdAge16,"&lt;"&amp;AR8,WeightedRevAge16)-SUMIF(ThresholdAge16,"&lt;"&amp;AR8,WeightedMinAge16),MAX(CapacityAge16*АбонементНовых*AR8,MeanMinAge16)))</f>
        <v/>
      </c>
      <c r="AS62" s="4">
        <f>IF(OR(AS35=0,16&lt;=КаникулыРоялти),0,AS35*IF(РоялтиПоГруппам="Да",MeanMinAge16+AS8*SUMIF(ThresholdAge16,"&lt;"&amp;AS8,WeightedRevAge16)-SUMIF(ThresholdAge16,"&lt;"&amp;AS8,WeightedMinAge16),MAX(CapacityAge16*АбонементНовых*AS8,MeanMinAge16)))</f>
        <v/>
      </c>
      <c r="AT62" s="4">
        <f>IF(OR(AT35=0,16&lt;=КаникулыРоялти),0,AT35*IF(РоялтиПоГруппам="Да",MeanMinAge16+AT8*SUMIF(ThresholdAge16,"&lt;"&amp;AT8,WeightedRevAge16)-SUMIF(ThresholdAge16,"&lt;"&amp;AT8,WeightedMinAge16),MAX(CapacityAge16*АбонементНовых*AT8,MeanMinAge16)))</f>
        <v/>
      </c>
      <c r="AU62" s="4">
        <f>IF(OR(AU35=0,16&lt;=КаникулыРоялти),0,AU35*IF(РоялтиПоГруппам="Да",MeanMinAge16+AU8*SUMIF(ThresholdAge16,"&lt;"&amp;AU8,WeightedRevAge16)-SUMIF(ThresholdAge16,"&lt;"&amp;AU8,WeightedMinAge16),MAX(CapacityAge16*АбонементНовых*AU8,MeanMinAge16)))</f>
        <v/>
      </c>
      <c r="AV62" s="4">
        <f>IF(OR(AV35=0,16&lt;=КаникулыРоялти),0,AV35*IF(РоялтиПоГруппам="Да",MeanMinAge16+AV8*SUMIF(ThresholdAge16,"&lt;"&amp;AV8,WeightedRevAge16)-SUMIF(ThresholdAge16,"&lt;"&amp;AV8,WeightedMinAge16),MAX(CapacityAge16*АбонементНовых*AV8,MeanMinAge16)))</f>
        <v/>
      </c>
      <c r="AW62" s="4">
        <f>IF(OR(AW35=0,16&lt;=КаникулыРоялти),0,AW35*IF(РоялтиПоГруппам="Да",MeanMinAge16+AW8*SUMIF(ThresholdAge16,"&lt;"&amp;AW8,WeightedRevAge16)-SUMIF(ThresholdAge16,"&lt;"&amp;AW8,WeightedMinAge16),MAX(CapacityAge16*АбонементНовых*AW8,MeanMinAge16)))</f>
        <v/>
      </c>
      <c r="AX62" s="4">
        <f>IF(OR(AX35=0,16&lt;=КаникулыРоялти),0,AX35*IF(РоялтиПоГруппам="Да",MeanMinAge16+AX8*SUMIF(ThresholdAge16,"&lt;"&amp;AX8,WeightedRevAge16)-SUMIF(ThresholdAge16,"&lt;"&amp;AX8,WeightedMinAge16),MAX(CapacityAge16*АбонементНовых*AX8,MeanMinAge16)))</f>
        <v/>
      </c>
      <c r="AY62" s="4">
        <f>IF(OR(AY35=0,16&lt;=КаникулыРоялти),0,AY35*IF(РоялтиПоГруппам="Да",MeanMinAge16+AY8*SUMIF(ThresholdAge16,"&lt;"&amp;AY8,WeightedRevAge16)-SUMIF(ThresholdAge16,"&lt;"&amp;AY8,WeightedMinAge16),MAX(CapacityAge16*АбонементНовых*AY8,MeanMinAge16)))</f>
        <v/>
      </c>
      <c r="AZ62" s="4">
        <f>IF(OR(AZ35=0,16&lt;=КаникулыРоялти),0,AZ35*IF(РоялтиПоГруппам="Да",MeanMinAge16+AZ8*SUMIF(ThresholdAge16,"&lt;"&amp;AZ8,WeightedRevAge16)-SUMIF(ThresholdAge16,"&lt;"&amp;AZ8,WeightedMinAge16),MAX(CapacityAge16*АбонементНовых*AZ8,MeanMinAge16)))</f>
        <v/>
      </c>
      <c r="BA62" s="4">
        <f>IF(OR(BA35=0,16&lt;=КаникулыРоялти),0,BA35*IF(РоялтиПоГруппам="Да",MeanMinAge16+BA8*SUMIF(ThresholdAge16,"&lt;"&amp;BA8,WeightedRevAge16)-SUMIF(ThresholdAge16,"&lt;"&amp;BA8,WeightedMinAge16),MAX(CapacityAge16*АбонементНовых*BA8,MeanMinAge16)))</f>
        <v/>
      </c>
      <c r="BB62" s="4">
        <f>IF(OR(BB35=0,16&lt;=КаникулыРоялти),0,BB35*IF(РоялтиПоГруппам="Да",MeanMinAge16+BB8*SUMIF(ThresholdAge16,"&lt;"&amp;BB8,WeightedRevAge16)-SUMIF(ThresholdAge16,"&lt;"&amp;BB8,WeightedMinAge16),MAX(CapacityAge16*АбонементНовых*BB8,MeanMinAge16)))</f>
        <v/>
      </c>
      <c r="BC62" s="4">
        <f>IF(OR(BC35=0,16&lt;=КаникулыРоялти),0,BC35*IF(РоялтиПоГруппам="Да",MeanMinAge16+BC8*SUMIF(ThresholdAge16,"&lt;"&amp;BC8,WeightedRevAge16)-SUMIF(ThresholdAge16,"&lt;"&amp;BC8,WeightedMinAge16),MAX(CapacityAge16*АбонементНовых*BC8,MeanMinAge16)))</f>
        <v/>
      </c>
      <c r="BD62" s="4">
        <f>IF(OR(BD35=0,16&lt;=КаникулыРоялти),0,BD35*IF(РоялтиПоГруппам="Да",MeanMinAge16+BD8*SUMIF(ThresholdAge16,"&lt;"&amp;BD8,WeightedRevAge16)-SUMIF(ThresholdAge16,"&lt;"&amp;BD8,WeightedMinAge16),MAX(CapacityAge16*АбонементНовых*BD8,MeanMinAge16)))</f>
        <v/>
      </c>
      <c r="BE62" s="4">
        <f>IF(OR(BE35=0,16&lt;=КаникулыРоялти),0,BE35*IF(РоялтиПоГруппам="Да",MeanMinAge16+BE8*SUMIF(ThresholdAge16,"&lt;"&amp;BE8,WeightedRevAge16)-SUMIF(ThresholdAge16,"&lt;"&amp;BE8,WeightedMinAge16),MAX(CapacityAge16*АбонементНовых*BE8,MeanMinAge16)))</f>
        <v/>
      </c>
      <c r="BF62" s="4">
        <f>IF(OR(BF35=0,16&lt;=КаникулыРоялти),0,BF35*IF(РоялтиПоГруппам="Да",MeanMinAge16+BF8*SUMIF(ThresholdAge16,"&lt;"&amp;BF8,WeightedRevAge16)-SUMIF(ThresholdAge16,"&lt;"&amp;BF8,WeightedMinAge16),MAX(CapacityAge16*АбонементНовых*BF8,MeanMinAge16)))</f>
        <v/>
      </c>
      <c r="BG62" s="4">
        <f>IF(OR(BG35=0,16&lt;=КаникулыРоялти),0,BG35*IF(РоялтиПоГруппам="Да",MeanMinAge16+BG8*SUMIF(ThresholdAge16,"&lt;"&amp;BG8,WeightedRevAge16)-SUMIF(ThresholdAge16,"&lt;"&amp;BG8,WeightedMinAge16),MAX(CapacityAge16*АбонементНовых*BG8,MeanMinAge16)))</f>
        <v/>
      </c>
      <c r="BH62" s="4">
        <f>IF(OR(BH35=0,16&lt;=КаникулыРоялти),0,BH35*IF(РоялтиПоГруппам="Да",MeanMinAge16+BH8*SUMIF(ThresholdAge16,"&lt;"&amp;BH8,WeightedRevAge16)-SUMIF(ThresholdAge16,"&lt;"&amp;BH8,WeightedMinAge16),MAX(CapacityAge16*АбонементНовых*BH8,MeanMinAge16)))</f>
        <v/>
      </c>
      <c r="BI62" s="4">
        <f>IF(OR(BI35=0,16&lt;=КаникулыРоялти),0,BI35*IF(РоялтиПоГруппам="Да",MeanMinAge16+BI8*SUMIF(ThresholdAge16,"&lt;"&amp;BI8,WeightedRevAge16)-SUMIF(ThresholdAge16,"&lt;"&amp;BI8,WeightedMinAge16),MAX(CapacityAge16*АбонементНовых*BI8,MeanMinAge16)))</f>
        <v/>
      </c>
      <c r="BJ62" s="4">
        <f>IF(OR(BJ35=0,16&lt;=КаникулыРоялти),0,BJ35*IF(РоялтиПоГруппам="Да",MeanMinAge16+BJ8*SUMIF(ThresholdAge16,"&lt;"&amp;BJ8,WeightedRevAge16)-SUMIF(ThresholdAge16,"&lt;"&amp;BJ8,WeightedMinAge16),MAX(CapacityAge16*АбонементНовых*BJ8,MeanMinAge16)))</f>
        <v/>
      </c>
      <c r="BK62" s="4">
        <f>IF(OR(BK35=0,16&lt;=КаникулыРоялти),0,BK35*IF(РоялтиПоГруппам="Да",MeanMinAge16+BK8*SUMIF(ThresholdAge16,"&lt;"&amp;BK8,WeightedRevAge16)-SUMIF(ThresholdAge16,"&lt;"&amp;BK8,WeightedMinAge16),MAX(CapacityAge16*АбонементНовых*BK8,MeanMinAge16)))</f>
        <v/>
      </c>
      <c r="BL62" s="4">
        <f>IF(OR(BL35=0,16&lt;=КаникулыРоялти),0,BL35*IF(РоялтиПоГруппам="Да",MeanMinAge16+BL8*SUMIF(ThresholdAge16,"&lt;"&amp;BL8,WeightedRevAge16)-SUMIF(ThresholdAge16,"&lt;"&amp;BL8,WeightedMinAge16),MAX(CapacityAge16*АбонементНовых*BL8,MeanMinAge16)))</f>
        <v/>
      </c>
      <c r="BM62" s="4">
        <f>IF(OR(BM35=0,16&lt;=КаникулыРоялти),0,BM35*IF(РоялтиПоГруппам="Да",MeanMinAge16+BM8*SUMIF(ThresholdAge16,"&lt;"&amp;BM8,WeightedRevAge16)-SUMIF(ThresholdAge16,"&lt;"&amp;BM8,WeightedMinAge16),MAX(CapacityAge16*АбонементНовых*BM8,MeanMinAge16)))</f>
        <v/>
      </c>
      <c r="BN62" s="4">
        <f>IF(OR(BN35=0,16&lt;=КаникулыРоялти),0,BN35*IF(РоялтиПоГруппам="Да",MeanMinAge16+BN8*SUMIF(ThresholdAge16,"&lt;"&amp;BN8,WeightedRevAge16)-SUMIF(ThresholdAge16,"&lt;"&amp;BN8,WeightedMinAge16),MAX(CapacityAge16*АбонементНовых*BN8,MeanMinAge16)))</f>
        <v/>
      </c>
      <c r="BO62" s="4">
        <f>IF(OR(BO35=0,16&lt;=КаникулыРоялти),0,BO35*IF(РоялтиПоГруппам="Да",MeanMinAge16+BO8*SUMIF(ThresholdAge16,"&lt;"&amp;BO8,WeightedRevAge16)-SUMIF(ThresholdAge16,"&lt;"&amp;BO8,WeightedMinAge16),MAX(CapacityAge16*АбонементНовых*BO8,MeanMinAge16)))</f>
        <v/>
      </c>
      <c r="BP62" s="4">
        <f>IF(OR(BP35=0,16&lt;=КаникулыРоялти),0,BP35*IF(РоялтиПоГруппам="Да",MeanMinAge16+BP8*SUMIF(ThresholdAge16,"&lt;"&amp;BP8,WeightedRevAge16)-SUMIF(ThresholdAge16,"&lt;"&amp;BP8,WeightedMinAge16),MAX(CapacityAge16*АбонементНовых*BP8,MeanMinAge16)))</f>
        <v/>
      </c>
      <c r="BQ62" s="4">
        <f>IF(OR(BQ35=0,16&lt;=КаникулыРоялти),0,BQ35*IF(РоялтиПоГруппам="Да",MeanMinAge16+BQ8*SUMIF(ThresholdAge16,"&lt;"&amp;BQ8,WeightedRevAge16)-SUMIF(ThresholdAge16,"&lt;"&amp;BQ8,WeightedMinAge16),MAX(CapacityAge16*АбонементНовых*BQ8,MeanMinAge16)))</f>
        <v/>
      </c>
      <c r="BR62" s="4">
        <f>IF(OR(BR35=0,16&lt;=КаникулыРоялти),0,BR35*IF(РоялтиПоГруппам="Да",MeanMinAge16+BR8*SUMIF(ThresholdAge16,"&lt;"&amp;BR8,WeightedRevAge16)-SUMIF(ThresholdAge16,"&lt;"&amp;BR8,WeightedMinAge16),MAX(CapacityAge16*АбонементНовых*BR8,MeanMinAge16)))</f>
        <v/>
      </c>
      <c r="BS62" s="4">
        <f>IF(OR(BS35=0,16&lt;=КаникулыРоялти),0,BS35*IF(РоялтиПоГруппам="Да",MeanMinAge16+BS8*SUMIF(ThresholdAge16,"&lt;"&amp;BS8,WeightedRevAge16)-SUMIF(ThresholdAge16,"&lt;"&amp;BS8,WeightedMinAge16),MAX(CapacityAge16*АбонементНовых*BS8,MeanMinAge16)))</f>
        <v/>
      </c>
      <c r="BT62" s="4">
        <f>IF(OR(BT35=0,16&lt;=КаникулыРоялти),0,BT35*IF(РоялтиПоГруппам="Да",MeanMinAge16+BT8*SUMIF(ThresholdAge16,"&lt;"&amp;BT8,WeightedRevAge16)-SUMIF(ThresholdAge16,"&lt;"&amp;BT8,WeightedMinAge16),MAX(CapacityAge16*АбонементНовых*BT8,MeanMinAge16)))</f>
        <v/>
      </c>
      <c r="BU62" s="4">
        <f>IF(OR(BU35=0,16&lt;=КаникулыРоялти),0,BU35*IF(РоялтиПоГруппам="Да",MeanMinAge16+BU8*SUMIF(ThresholdAge16,"&lt;"&amp;BU8,WeightedRevAge16)-SUMIF(ThresholdAge16,"&lt;"&amp;BU8,WeightedMinAge16),MAX(CapacityAge16*АбонементНовых*BU8,MeanMinAge16)))</f>
        <v/>
      </c>
      <c r="BV62" s="4">
        <f>IF(OR(BV35=0,16&lt;=КаникулыРоялти),0,BV35*IF(РоялтиПоГруппам="Да",MeanMinAge16+BV8*SUMIF(ThresholdAge16,"&lt;"&amp;BV8,WeightedRevAge16)-SUMIF(ThresholdAge16,"&lt;"&amp;BV8,WeightedMinAge16),MAX(CapacityAge16*АбонементНовых*BV8,MeanMinAge16)))</f>
        <v/>
      </c>
      <c r="BW62" s="4">
        <f>IF(OR(BW35=0,16&lt;=КаникулыРоялти),0,BW35*IF(РоялтиПоГруппам="Да",MeanMinAge16+BW8*SUMIF(ThresholdAge16,"&lt;"&amp;BW8,WeightedRevAge16)-SUMIF(ThresholdAge16,"&lt;"&amp;BW8,WeightedMinAge16),MAX(CapacityAge16*АбонементНовых*BW8,MeanMinAge16)))</f>
        <v/>
      </c>
      <c r="BX62" s="4">
        <f>IF(OR(BX35=0,16&lt;=КаникулыРоялти),0,BX35*IF(РоялтиПоГруппам="Да",MeanMinAge16+BX8*SUMIF(ThresholdAge16,"&lt;"&amp;BX8,WeightedRevAge16)-SUMIF(ThresholdAge16,"&lt;"&amp;BX8,WeightedMinAge16),MAX(CapacityAge16*АбонементНовых*BX8,MeanMinAge16)))</f>
        <v/>
      </c>
      <c r="BY62" s="4">
        <f>IF(OR(BY35=0,16&lt;=КаникулыРоялти),0,BY35*IF(РоялтиПоГруппам="Да",MeanMinAge16+BY8*SUMIF(ThresholdAge16,"&lt;"&amp;BY8,WeightedRevAge16)-SUMIF(ThresholdAge16,"&lt;"&amp;BY8,WeightedMinAge16),MAX(CapacityAge16*АбонементНовых*BY8,MeanMinAge16)))</f>
        <v/>
      </c>
    </row>
    <row r="63">
      <c r="B63" t="inlineStr">
        <is>
          <t>17 мес.</t>
        </is>
      </c>
      <c r="C63" t="inlineStr">
        <is>
          <t>₽</t>
        </is>
      </c>
      <c r="D63" s="117" t="inlineStr"/>
      <c r="E63" s="119">
        <f>SUM(L63:W63)</f>
        <v/>
      </c>
      <c r="F63" s="119">
        <f>SUM(X63:AI63)</f>
        <v/>
      </c>
      <c r="G63" s="119">
        <f>SUM(AJ63:AU63)</f>
        <v/>
      </c>
      <c r="H63" s="119">
        <f>SUM(AV63:BG63)</f>
        <v/>
      </c>
      <c r="I63" s="119">
        <f>SUM(BH63:BS63)</f>
        <v/>
      </c>
      <c r="J63" s="5">
        <f>SUM(L63:BS63)</f>
        <v/>
      </c>
      <c r="L63" s="4">
        <f>IF(OR(L36=0,17&lt;=КаникулыРоялти),0,L36*IF(РоялтиПоГруппам="Да",MeanMinAge17+L8*SUMIF(ThresholdAge17,"&lt;"&amp;L8,WeightedRevAge17)-SUMIF(ThresholdAge17,"&lt;"&amp;L8,WeightedMinAge17),MAX(CapacityAge17*АбонементНовых*L8,MeanMinAge17)))</f>
        <v/>
      </c>
      <c r="M63" s="4">
        <f>IF(OR(M36=0,17&lt;=КаникулыРоялти),0,M36*IF(РоялтиПоГруппам="Да",MeanMinAge17+M8*SUMIF(ThresholdAge17,"&lt;"&amp;M8,WeightedRevAge17)-SUMIF(ThresholdAge17,"&lt;"&amp;M8,WeightedMinAge17),MAX(CapacityAge17*АбонементНовых*M8,MeanMinAge17)))</f>
        <v/>
      </c>
      <c r="N63" s="4">
        <f>IF(OR(N36=0,17&lt;=КаникулыРоялти),0,N36*IF(РоялтиПоГруппам="Да",MeanMinAge17+N8*SUMIF(ThresholdAge17,"&lt;"&amp;N8,WeightedRevAge17)-SUMIF(ThresholdAge17,"&lt;"&amp;N8,WeightedMinAge17),MAX(CapacityAge17*АбонементНовых*N8,MeanMinAge17)))</f>
        <v/>
      </c>
      <c r="O63" s="4">
        <f>IF(OR(O36=0,17&lt;=КаникулыРоялти),0,O36*IF(РоялтиПоГруппам="Да",MeanMinAge17+O8*SUMIF(ThresholdAge17,"&lt;"&amp;O8,WeightedRevAge17)-SUMIF(ThresholdAge17,"&lt;"&amp;O8,WeightedMinAge17),MAX(CapacityAge17*АбонементНовых*O8,MeanMinAge17)))</f>
        <v/>
      </c>
      <c r="P63" s="4">
        <f>IF(OR(P36=0,17&lt;=КаникулыРоялти),0,P36*IF(РоялтиПоГруппам="Да",MeanMinAge17+P8*SUMIF(ThresholdAge17,"&lt;"&amp;P8,WeightedRevAge17)-SUMIF(ThresholdAge17,"&lt;"&amp;P8,WeightedMinAge17),MAX(CapacityAge17*АбонементНовых*P8,MeanMinAge17)))</f>
        <v/>
      </c>
      <c r="Q63" s="4">
        <f>IF(OR(Q36=0,17&lt;=КаникулыРоялти),0,Q36*IF(РоялтиПоГруппам="Да",MeanMinAge17+Q8*SUMIF(ThresholdAge17,"&lt;"&amp;Q8,WeightedRevAge17)-SUMIF(ThresholdAge17,"&lt;"&amp;Q8,WeightedMinAge17),MAX(CapacityAge17*АбонементНовых*Q8,MeanMinAge17)))</f>
        <v/>
      </c>
      <c r="R63" s="4">
        <f>IF(OR(R36=0,17&lt;=КаникулыРоялти),0,R36*IF(РоялтиПоГруппам="Да",MeanMinAge17+R8*SUMIF(ThresholdAge17,"&lt;"&amp;R8,WeightedRevAge17)-SUMIF(ThresholdAge17,"&lt;"&amp;R8,WeightedMinAge17),MAX(CapacityAge17*АбонементНовых*R8,MeanMinAge17)))</f>
        <v/>
      </c>
      <c r="S63" s="4">
        <f>IF(OR(S36=0,17&lt;=КаникулыРоялти),0,S36*IF(РоялтиПоГруппам="Да",MeanMinAge17+S8*SUMIF(ThresholdAge17,"&lt;"&amp;S8,WeightedRevAge17)-SUMIF(ThresholdAge17,"&lt;"&amp;S8,WeightedMinAge17),MAX(CapacityAge17*АбонементНовых*S8,MeanMinAge17)))</f>
        <v/>
      </c>
      <c r="T63" s="4">
        <f>IF(OR(T36=0,17&lt;=КаникулыРоялти),0,T36*IF(РоялтиПоГруппам="Да",MeanMinAge17+T8*SUMIF(ThresholdAge17,"&lt;"&amp;T8,WeightedRevAge17)-SUMIF(ThresholdAge17,"&lt;"&amp;T8,WeightedMinAge17),MAX(CapacityAge17*АбонементНовых*T8,MeanMinAge17)))</f>
        <v/>
      </c>
      <c r="U63" s="4">
        <f>IF(OR(U36=0,17&lt;=КаникулыРоялти),0,U36*IF(РоялтиПоГруппам="Да",MeanMinAge17+U8*SUMIF(ThresholdAge17,"&lt;"&amp;U8,WeightedRevAge17)-SUMIF(ThresholdAge17,"&lt;"&amp;U8,WeightedMinAge17),MAX(CapacityAge17*АбонементНовых*U8,MeanMinAge17)))</f>
        <v/>
      </c>
      <c r="V63" s="4">
        <f>IF(OR(V36=0,17&lt;=КаникулыРоялти),0,V36*IF(РоялтиПоГруппам="Да",MeanMinAge17+V8*SUMIF(ThresholdAge17,"&lt;"&amp;V8,WeightedRevAge17)-SUMIF(ThresholdAge17,"&lt;"&amp;V8,WeightedMinAge17),MAX(CapacityAge17*АбонементНовых*V8,MeanMinAge17)))</f>
        <v/>
      </c>
      <c r="W63" s="4">
        <f>IF(OR(W36=0,17&lt;=КаникулыРоялти),0,W36*IF(РоялтиПоГруппам="Да",MeanMinAge17+W8*SUMIF(ThresholdAge17,"&lt;"&amp;W8,WeightedRevAge17)-SUMIF(ThresholdAge17,"&lt;"&amp;W8,WeightedMinAge17),MAX(CapacityAge17*АбонементНовых*W8,MeanMinAge17)))</f>
        <v/>
      </c>
      <c r="X63" s="4">
        <f>IF(OR(X36=0,17&lt;=КаникулыРоялти),0,X36*IF(РоялтиПоГруппам="Да",MeanMinAge17+X8*SUMIF(ThresholdAge17,"&lt;"&amp;X8,WeightedRevAge17)-SUMIF(ThresholdAge17,"&lt;"&amp;X8,WeightedMinAge17),MAX(CapacityAge17*АбонементНовых*X8,MeanMinAge17)))</f>
        <v/>
      </c>
      <c r="Y63" s="4">
        <f>IF(OR(Y36=0,17&lt;=КаникулыРоялти),0,Y36*IF(РоялтиПоГруппам="Да",MeanMinAge17+Y8*SUMIF(ThresholdAge17,"&lt;"&amp;Y8,WeightedRevAge17)-SUMIF(ThresholdAge17,"&lt;"&amp;Y8,WeightedMinAge17),MAX(CapacityAge17*АбонементНовых*Y8,MeanMinAge17)))</f>
        <v/>
      </c>
      <c r="Z63" s="4">
        <f>IF(OR(Z36=0,17&lt;=КаникулыРоялти),0,Z36*IF(РоялтиПоГруппам="Да",MeanMinAge17+Z8*SUMIF(ThresholdAge17,"&lt;"&amp;Z8,WeightedRevAge17)-SUMIF(ThresholdAge17,"&lt;"&amp;Z8,WeightedMinAge17),MAX(CapacityAge17*АбонементНовых*Z8,MeanMinAge17)))</f>
        <v/>
      </c>
      <c r="AA63" s="4">
        <f>IF(OR(AA36=0,17&lt;=КаникулыРоялти),0,AA36*IF(РоялтиПоГруппам="Да",MeanMinAge17+AA8*SUMIF(ThresholdAge17,"&lt;"&amp;AA8,WeightedRevAge17)-SUMIF(ThresholdAge17,"&lt;"&amp;AA8,WeightedMinAge17),MAX(CapacityAge17*АбонементНовых*AA8,MeanMinAge17)))</f>
        <v/>
      </c>
      <c r="AB63" s="4">
        <f>IF(OR(AB36=0,17&lt;=КаникулыРоялти),0,AB36*IF(РоялтиПоГруппам="Да",MeanMinAge17+AB8*SUMIF(ThresholdAge17,"&lt;"&amp;AB8,WeightedRevAge17)-SUMIF(ThresholdAge17,"&lt;"&amp;AB8,WeightedMinAge17),MAX(CapacityAge17*АбонементНовых*AB8,MeanMinAge17)))</f>
        <v/>
      </c>
      <c r="AC63" s="4">
        <f>IF(OR(AC36=0,17&lt;=КаникулыРоялти),0,AC36*IF(РоялтиПоГруппам="Да",MeanMinAge17+AC8*SUMIF(ThresholdAge17,"&lt;"&amp;AC8,WeightedRevAge17)-SUMIF(ThresholdAge17,"&lt;"&amp;AC8,WeightedMinAge17),MAX(CapacityAge17*АбонементНовых*AC8,MeanMinAge17)))</f>
        <v/>
      </c>
      <c r="AD63" s="4">
        <f>IF(OR(AD36=0,17&lt;=КаникулыРоялти),0,AD36*IF(РоялтиПоГруппам="Да",MeanMinAge17+AD8*SUMIF(ThresholdAge17,"&lt;"&amp;AD8,WeightedRevAge17)-SUMIF(ThresholdAge17,"&lt;"&amp;AD8,WeightedMinAge17),MAX(CapacityAge17*АбонементНовых*AD8,MeanMinAge17)))</f>
        <v/>
      </c>
      <c r="AE63" s="4">
        <f>IF(OR(AE36=0,17&lt;=КаникулыРоялти),0,AE36*IF(РоялтиПоГруппам="Да",MeanMinAge17+AE8*SUMIF(ThresholdAge17,"&lt;"&amp;AE8,WeightedRevAge17)-SUMIF(ThresholdAge17,"&lt;"&amp;AE8,WeightedMinAge17),MAX(CapacityAge17*АбонементНовых*AE8,MeanMinAge17)))</f>
        <v/>
      </c>
      <c r="AF63" s="4">
        <f>IF(OR(AF36=0,17&lt;=КаникулыРоялти),0,AF36*IF(РоялтиПоГруппам="Да",MeanMinAge17+AF8*SUMIF(ThresholdAge17,"&lt;"&amp;AF8,WeightedRevAge17)-SUMIF(ThresholdAge17,"&lt;"&amp;AF8,WeightedMinAge17),MAX(CapacityAge17*АбонементНовых*AF8,MeanMinAge17)))</f>
        <v/>
      </c>
      <c r="AG63" s="4">
        <f>IF(OR(AG36=0,17&lt;=КаникулыРоялти),0,AG36*IF(РоялтиПоГруппам="Да",MeanMinAge17+AG8*SUMIF(ThresholdAge17,"&lt;"&amp;AG8,WeightedRevAge17)-SUMIF(ThresholdAge17,"&lt;"&amp;AG8,WeightedMinAge17),MAX(CapacityAge17*АбонементНовых*AG8,MeanMinAge17)))</f>
        <v/>
      </c>
      <c r="AH63" s="4">
        <f>IF(OR(AH36=0,17&lt;=КаникулыРоялти),0,AH36*IF(РоялтиПоГруппам="Да",MeanMinAge17+AH8*SUMIF(ThresholdAge17,"&lt;"&amp;AH8,WeightedRevAge17)-SUMIF(ThresholdAge17,"&lt;"&amp;AH8,WeightedMinAge17),MAX(CapacityAge17*АбонементНовых*AH8,MeanMinAge17)))</f>
        <v/>
      </c>
      <c r="AI63" s="4">
        <f>IF(OR(AI36=0,17&lt;=КаникулыРоялти),0,AI36*IF(РоялтиПоГруппам="Да",MeanMinAge17+AI8*SUMIF(ThresholdAge17,"&lt;"&amp;AI8,WeightedRevAge17)-SUMIF(ThresholdAge17,"&lt;"&amp;AI8,WeightedMinAge17),MAX(CapacityAge17*АбонементНовых*AI8,MeanMinAge17)))</f>
        <v/>
      </c>
      <c r="AJ63" s="4">
        <f>IF(OR(AJ36=0,17&lt;=КаникулыРоялти),0,AJ36*IF(РоялтиПоГруппам="Да",MeanMinAge17+AJ8*SUMIF(ThresholdAge17,"&lt;"&amp;AJ8,WeightedRevAge17)-SUMIF(ThresholdAge17,"&lt;"&amp;AJ8,WeightedMinAge17),MAX(CapacityAge17*АбонементНовых*AJ8,MeanMinAge17)))</f>
        <v/>
      </c>
      <c r="AK63" s="4">
        <f>IF(OR(AK36=0,17&lt;=КаникулыРоялти),0,AK36*IF(РоялтиПоГруппам="Да",MeanMinAge17+AK8*SUMIF(ThresholdAge17,"&lt;"&amp;AK8,WeightedRevAge17)-SUMIF(ThresholdAge17,"&lt;"&amp;AK8,WeightedMinAge17),MAX(CapacityAge17*АбонементНовых*AK8,MeanMinAge17)))</f>
        <v/>
      </c>
      <c r="AL63" s="4">
        <f>IF(OR(AL36=0,17&lt;=КаникулыРоялти),0,AL36*IF(РоялтиПоГруппам="Да",MeanMinAge17+AL8*SUMIF(ThresholdAge17,"&lt;"&amp;AL8,WeightedRevAge17)-SUMIF(ThresholdAge17,"&lt;"&amp;AL8,WeightedMinAge17),MAX(CapacityAge17*АбонементНовых*AL8,MeanMinAge17)))</f>
        <v/>
      </c>
      <c r="AM63" s="4">
        <f>IF(OR(AM36=0,17&lt;=КаникулыРоялти),0,AM36*IF(РоялтиПоГруппам="Да",MeanMinAge17+AM8*SUMIF(ThresholdAge17,"&lt;"&amp;AM8,WeightedRevAge17)-SUMIF(ThresholdAge17,"&lt;"&amp;AM8,WeightedMinAge17),MAX(CapacityAge17*АбонементНовых*AM8,MeanMinAge17)))</f>
        <v/>
      </c>
      <c r="AN63" s="4">
        <f>IF(OR(AN36=0,17&lt;=КаникулыРоялти),0,AN36*IF(РоялтиПоГруппам="Да",MeanMinAge17+AN8*SUMIF(ThresholdAge17,"&lt;"&amp;AN8,WeightedRevAge17)-SUMIF(ThresholdAge17,"&lt;"&amp;AN8,WeightedMinAge17),MAX(CapacityAge17*АбонементНовых*AN8,MeanMinAge17)))</f>
        <v/>
      </c>
      <c r="AO63" s="4">
        <f>IF(OR(AO36=0,17&lt;=КаникулыРоялти),0,AO36*IF(РоялтиПоГруппам="Да",MeanMinAge17+AO8*SUMIF(ThresholdAge17,"&lt;"&amp;AO8,WeightedRevAge17)-SUMIF(ThresholdAge17,"&lt;"&amp;AO8,WeightedMinAge17),MAX(CapacityAge17*АбонементНовых*AO8,MeanMinAge17)))</f>
        <v/>
      </c>
      <c r="AP63" s="4">
        <f>IF(OR(AP36=0,17&lt;=КаникулыРоялти),0,AP36*IF(РоялтиПоГруппам="Да",MeanMinAge17+AP8*SUMIF(ThresholdAge17,"&lt;"&amp;AP8,WeightedRevAge17)-SUMIF(ThresholdAge17,"&lt;"&amp;AP8,WeightedMinAge17),MAX(CapacityAge17*АбонементНовых*AP8,MeanMinAge17)))</f>
        <v/>
      </c>
      <c r="AQ63" s="4">
        <f>IF(OR(AQ36=0,17&lt;=КаникулыРоялти),0,AQ36*IF(РоялтиПоГруппам="Да",MeanMinAge17+AQ8*SUMIF(ThresholdAge17,"&lt;"&amp;AQ8,WeightedRevAge17)-SUMIF(ThresholdAge17,"&lt;"&amp;AQ8,WeightedMinAge17),MAX(CapacityAge17*АбонементНовых*AQ8,MeanMinAge17)))</f>
        <v/>
      </c>
      <c r="AR63" s="4">
        <f>IF(OR(AR36=0,17&lt;=КаникулыРоялти),0,AR36*IF(РоялтиПоГруппам="Да",MeanMinAge17+AR8*SUMIF(ThresholdAge17,"&lt;"&amp;AR8,WeightedRevAge17)-SUMIF(ThresholdAge17,"&lt;"&amp;AR8,WeightedMinAge17),MAX(CapacityAge17*АбонементНовых*AR8,MeanMinAge17)))</f>
        <v/>
      </c>
      <c r="AS63" s="4">
        <f>IF(OR(AS36=0,17&lt;=КаникулыРоялти),0,AS36*IF(РоялтиПоГруппам="Да",MeanMinAge17+AS8*SUMIF(ThresholdAge17,"&lt;"&amp;AS8,WeightedRevAge17)-SUMIF(ThresholdAge17,"&lt;"&amp;AS8,WeightedMinAge17),MAX(CapacityAge17*АбонементНовых*AS8,MeanMinAge17)))</f>
        <v/>
      </c>
      <c r="AT63" s="4">
        <f>IF(OR(AT36=0,17&lt;=КаникулыРоялти),0,AT36*IF(РоялтиПоГруппам="Да",MeanMinAge17+AT8*SUMIF(ThresholdAge17,"&lt;"&amp;AT8,WeightedRevAge17)-SUMIF(ThresholdAge17,"&lt;"&amp;AT8,WeightedMinAge17),MAX(CapacityAge17*АбонементНовых*AT8,MeanMinAge17)))</f>
        <v/>
      </c>
      <c r="AU63" s="4">
        <f>IF(OR(AU36=0,17&lt;=КаникулыРоялти),0,AU36*IF(РоялтиПоГруппам="Да",MeanMinAge17+AU8*SUMIF(ThresholdAge17,"&lt;"&amp;AU8,WeightedRevAge17)-SUMIF(ThresholdAge17,"&lt;"&amp;AU8,WeightedMinAge17),MAX(CapacityAge17*АбонементНовых*AU8,MeanMinAge17)))</f>
        <v/>
      </c>
      <c r="AV63" s="4">
        <f>IF(OR(AV36=0,17&lt;=КаникулыРоялти),0,AV36*IF(РоялтиПоГруппам="Да",MeanMinAge17+AV8*SUMIF(ThresholdAge17,"&lt;"&amp;AV8,WeightedRevAge17)-SUMIF(ThresholdAge17,"&lt;"&amp;AV8,WeightedMinAge17),MAX(CapacityAge17*АбонементНовых*AV8,MeanMinAge17)))</f>
        <v/>
      </c>
      <c r="AW63" s="4">
        <f>IF(OR(AW36=0,17&lt;=КаникулыРоялти),0,AW36*IF(РоялтиПоГруппам="Да",MeanMinAge17+AW8*SUMIF(ThresholdAge17,"&lt;"&amp;AW8,WeightedRevAge17)-SUMIF(ThresholdAge17,"&lt;"&amp;AW8,WeightedMinAge17),MAX(CapacityAge17*АбонементНовых*AW8,MeanMinAge17)))</f>
        <v/>
      </c>
      <c r="AX63" s="4">
        <f>IF(OR(AX36=0,17&lt;=КаникулыРоялти),0,AX36*IF(РоялтиПоГруппам="Да",MeanMinAge17+AX8*SUMIF(ThresholdAge17,"&lt;"&amp;AX8,WeightedRevAge17)-SUMIF(ThresholdAge17,"&lt;"&amp;AX8,WeightedMinAge17),MAX(CapacityAge17*АбонементНовых*AX8,MeanMinAge17)))</f>
        <v/>
      </c>
      <c r="AY63" s="4">
        <f>IF(OR(AY36=0,17&lt;=КаникулыРоялти),0,AY36*IF(РоялтиПоГруппам="Да",MeanMinAge17+AY8*SUMIF(ThresholdAge17,"&lt;"&amp;AY8,WeightedRevAge17)-SUMIF(ThresholdAge17,"&lt;"&amp;AY8,WeightedMinAge17),MAX(CapacityAge17*АбонементНовых*AY8,MeanMinAge17)))</f>
        <v/>
      </c>
      <c r="AZ63" s="4">
        <f>IF(OR(AZ36=0,17&lt;=КаникулыРоялти),0,AZ36*IF(РоялтиПоГруппам="Да",MeanMinAge17+AZ8*SUMIF(ThresholdAge17,"&lt;"&amp;AZ8,WeightedRevAge17)-SUMIF(ThresholdAge17,"&lt;"&amp;AZ8,WeightedMinAge17),MAX(CapacityAge17*АбонементНовых*AZ8,MeanMinAge17)))</f>
        <v/>
      </c>
      <c r="BA63" s="4">
        <f>IF(OR(BA36=0,17&lt;=КаникулыРоялти),0,BA36*IF(РоялтиПоГруппам="Да",MeanMinAge17+BA8*SUMIF(ThresholdAge17,"&lt;"&amp;BA8,WeightedRevAge17)-SUMIF(ThresholdAge17,"&lt;"&amp;BA8,WeightedMinAge17),MAX(CapacityAge17*АбонементНовых*BA8,MeanMinAge17)))</f>
        <v/>
      </c>
      <c r="BB63" s="4">
        <f>IF(OR(BB36=0,17&lt;=КаникулыРоялти),0,BB36*IF(РоялтиПоГруппам="Да",MeanMinAge17+BB8*SUMIF(ThresholdAge17,"&lt;"&amp;BB8,WeightedRevAge17)-SUMIF(ThresholdAge17,"&lt;"&amp;BB8,WeightedMinAge17),MAX(CapacityAge17*АбонементНовых*BB8,MeanMinAge17)))</f>
        <v/>
      </c>
      <c r="BC63" s="4">
        <f>IF(OR(BC36=0,17&lt;=КаникулыРоялти),0,BC36*IF(РоялтиПоГруппам="Да",MeanMinAge17+BC8*SUMIF(ThresholdAge17,"&lt;"&amp;BC8,WeightedRevAge17)-SUMIF(ThresholdAge17,"&lt;"&amp;BC8,WeightedMinAge17),MAX(CapacityAge17*АбонементНовых*BC8,MeanMinAge17)))</f>
        <v/>
      </c>
      <c r="BD63" s="4">
        <f>IF(OR(BD36=0,17&lt;=КаникулыРоялти),0,BD36*IF(РоялтиПоГруппам="Да",MeanMinAge17+BD8*SUMIF(ThresholdAge17,"&lt;"&amp;BD8,WeightedRevAge17)-SUMIF(ThresholdAge17,"&lt;"&amp;BD8,WeightedMinAge17),MAX(CapacityAge17*АбонементНовых*BD8,MeanMinAge17)))</f>
        <v/>
      </c>
      <c r="BE63" s="4">
        <f>IF(OR(BE36=0,17&lt;=КаникулыРоялти),0,BE36*IF(РоялтиПоГруппам="Да",MeanMinAge17+BE8*SUMIF(ThresholdAge17,"&lt;"&amp;BE8,WeightedRevAge17)-SUMIF(ThresholdAge17,"&lt;"&amp;BE8,WeightedMinAge17),MAX(CapacityAge17*АбонементНовых*BE8,MeanMinAge17)))</f>
        <v/>
      </c>
      <c r="BF63" s="4">
        <f>IF(OR(BF36=0,17&lt;=КаникулыРоялти),0,BF36*IF(РоялтиПоГруппам="Да",MeanMinAge17+BF8*SUMIF(ThresholdAge17,"&lt;"&amp;BF8,WeightedRevAge17)-SUMIF(ThresholdAge17,"&lt;"&amp;BF8,WeightedMinAge17),MAX(CapacityAge17*АбонементНовых*BF8,MeanMinAge17)))</f>
        <v/>
      </c>
      <c r="BG63" s="4">
        <f>IF(OR(BG36=0,17&lt;=КаникулыРоялти),0,BG36*IF(РоялтиПоГруппам="Да",MeanMinAge17+BG8*SUMIF(ThresholdAge17,"&lt;"&amp;BG8,WeightedRevAge17)-SUMIF(ThresholdAge17,"&lt;"&amp;BG8,WeightedMinAge17),MAX(CapacityAge17*АбонементНовых*BG8,MeanMinAge17)))</f>
        <v/>
      </c>
      <c r="BH63" s="4">
        <f>IF(OR(BH36=0,17&lt;=КаникулыРоялти),0,BH36*IF(РоялтиПоГруппам="Да",MeanMinAge17+BH8*SUMIF(ThresholdAge17,"&lt;"&amp;BH8,WeightedRevAge17)-SUMIF(ThresholdAge17,"&lt;"&amp;BH8,WeightedMinAge17),MAX(CapacityAge17*АбонементНовых*BH8,MeanMinAge17)))</f>
        <v/>
      </c>
      <c r="BI63" s="4">
        <f>IF(OR(BI36=0,17&lt;=КаникулыРоялти),0,BI36*IF(РоялтиПоГруппам="Да",MeanMinAge17+BI8*SUMIF(ThresholdAge17,"&lt;"&amp;BI8,WeightedRevAge17)-SUMIF(ThresholdAge17,"&lt;"&amp;BI8,WeightedMinAge17),MAX(CapacityAge17*АбонементНовых*BI8,MeanMinAge17)))</f>
        <v/>
      </c>
      <c r="BJ63" s="4">
        <f>IF(OR(BJ36=0,17&lt;=КаникулыРоялти),0,BJ36*IF(РоялтиПоГруппам="Да",MeanMinAge17+BJ8*SUMIF(ThresholdAge17,"&lt;"&amp;BJ8,WeightedRevAge17)-SUMIF(ThresholdAge17,"&lt;"&amp;BJ8,WeightedMinAge17),MAX(CapacityAge17*АбонементНовых*BJ8,MeanMinAge17)))</f>
        <v/>
      </c>
      <c r="BK63" s="4">
        <f>IF(OR(BK36=0,17&lt;=КаникулыРоялти),0,BK36*IF(РоялтиПоГруппам="Да",MeanMinAge17+BK8*SUMIF(ThresholdAge17,"&lt;"&amp;BK8,WeightedRevAge17)-SUMIF(ThresholdAge17,"&lt;"&amp;BK8,WeightedMinAge17),MAX(CapacityAge17*АбонементНовых*BK8,MeanMinAge17)))</f>
        <v/>
      </c>
      <c r="BL63" s="4">
        <f>IF(OR(BL36=0,17&lt;=КаникулыРоялти),0,BL36*IF(РоялтиПоГруппам="Да",MeanMinAge17+BL8*SUMIF(ThresholdAge17,"&lt;"&amp;BL8,WeightedRevAge17)-SUMIF(ThresholdAge17,"&lt;"&amp;BL8,WeightedMinAge17),MAX(CapacityAge17*АбонементНовых*BL8,MeanMinAge17)))</f>
        <v/>
      </c>
      <c r="BM63" s="4">
        <f>IF(OR(BM36=0,17&lt;=КаникулыРоялти),0,BM36*IF(РоялтиПоГруппам="Да",MeanMinAge17+BM8*SUMIF(ThresholdAge17,"&lt;"&amp;BM8,WeightedRevAge17)-SUMIF(ThresholdAge17,"&lt;"&amp;BM8,WeightedMinAge17),MAX(CapacityAge17*АбонементНовых*BM8,MeanMinAge17)))</f>
        <v/>
      </c>
      <c r="BN63" s="4">
        <f>IF(OR(BN36=0,17&lt;=КаникулыРоялти),0,BN36*IF(РоялтиПоГруппам="Да",MeanMinAge17+BN8*SUMIF(ThresholdAge17,"&lt;"&amp;BN8,WeightedRevAge17)-SUMIF(ThresholdAge17,"&lt;"&amp;BN8,WeightedMinAge17),MAX(CapacityAge17*АбонементНовых*BN8,MeanMinAge17)))</f>
        <v/>
      </c>
      <c r="BO63" s="4">
        <f>IF(OR(BO36=0,17&lt;=КаникулыРоялти),0,BO36*IF(РоялтиПоГруппам="Да",MeanMinAge17+BO8*SUMIF(ThresholdAge17,"&lt;"&amp;BO8,WeightedRevAge17)-SUMIF(ThresholdAge17,"&lt;"&amp;BO8,WeightedMinAge17),MAX(CapacityAge17*АбонементНовых*BO8,MeanMinAge17)))</f>
        <v/>
      </c>
      <c r="BP63" s="4">
        <f>IF(OR(BP36=0,17&lt;=КаникулыРоялти),0,BP36*IF(РоялтиПоГруппам="Да",MeanMinAge17+BP8*SUMIF(ThresholdAge17,"&lt;"&amp;BP8,WeightedRevAge17)-SUMIF(ThresholdAge17,"&lt;"&amp;BP8,WeightedMinAge17),MAX(CapacityAge17*АбонементНовых*BP8,MeanMinAge17)))</f>
        <v/>
      </c>
      <c r="BQ63" s="4">
        <f>IF(OR(BQ36=0,17&lt;=КаникулыРоялти),0,BQ36*IF(РоялтиПоГруппам="Да",MeanMinAge17+BQ8*SUMIF(ThresholdAge17,"&lt;"&amp;BQ8,WeightedRevAge17)-SUMIF(ThresholdAge17,"&lt;"&amp;BQ8,WeightedMinAge17),MAX(CapacityAge17*АбонементНовых*BQ8,MeanMinAge17)))</f>
        <v/>
      </c>
      <c r="BR63" s="4">
        <f>IF(OR(BR36=0,17&lt;=КаникулыРоялти),0,BR36*IF(РоялтиПоГруппам="Да",MeanMinAge17+BR8*SUMIF(ThresholdAge17,"&lt;"&amp;BR8,WeightedRevAge17)-SUMIF(ThresholdAge17,"&lt;"&amp;BR8,WeightedMinAge17),MAX(CapacityAge17*АбонементНовых*BR8,MeanMinAge17)))</f>
        <v/>
      </c>
      <c r="BS63" s="4">
        <f>IF(OR(BS36=0,17&lt;=КаникулыРоялти),0,BS36*IF(РоялтиПоГруппам="Да",MeanMinAge17+BS8*SUMIF(ThresholdAge17,"&lt;"&amp;BS8,WeightedRevAge17)-SUMIF(ThresholdAge17,"&lt;"&amp;BS8,WeightedMinAge17),MAX(CapacityAge17*АбонементНовых*BS8,MeanMinAge17)))</f>
        <v/>
      </c>
      <c r="BT63" s="4">
        <f>IF(OR(BT36=0,17&lt;=КаникулыРоялти),0,BT36*IF(РоялтиПоГруппам="Да",MeanMinAge17+BT8*SUMIF(ThresholdAge17,"&lt;"&amp;BT8,WeightedRevAge17)-SUMIF(ThresholdAge17,"&lt;"&amp;BT8,WeightedMinAge17),MAX(CapacityAge17*АбонементНовых*BT8,MeanMinAge17)))</f>
        <v/>
      </c>
      <c r="BU63" s="4">
        <f>IF(OR(BU36=0,17&lt;=КаникулыРоялти),0,BU36*IF(РоялтиПоГруппам="Да",MeanMinAge17+BU8*SUMIF(ThresholdAge17,"&lt;"&amp;BU8,WeightedRevAge17)-SUMIF(ThresholdAge17,"&lt;"&amp;BU8,WeightedMinAge17),MAX(CapacityAge17*АбонементНовых*BU8,MeanMinAge17)))</f>
        <v/>
      </c>
      <c r="BV63" s="4">
        <f>IF(OR(BV36=0,17&lt;=КаникулыРоялти),0,BV36*IF(РоялтиПоГруппам="Да",MeanMinAge17+BV8*SUMIF(ThresholdAge17,"&lt;"&amp;BV8,WeightedRevAge17)-SUMIF(ThresholdAge17,"&lt;"&amp;BV8,WeightedMinAge17),MAX(CapacityAge17*АбонементНовых*BV8,MeanMinAge17)))</f>
        <v/>
      </c>
      <c r="BW63" s="4">
        <f>IF(OR(BW36=0,17&lt;=КаникулыРоялти),0,BW36*IF(РоялтиПоГруппам="Да",MeanMinAge17+BW8*SUMIF(ThresholdAge17,"&lt;"&amp;BW8,WeightedRevAge17)-SUMIF(ThresholdAge17,"&lt;"&amp;BW8,WeightedMinAge17),MAX(CapacityAge17*АбонементНовых*BW8,MeanMinAge17)))</f>
        <v/>
      </c>
      <c r="BX63" s="4">
        <f>IF(OR(BX36=0,17&lt;=КаникулыРоялти),0,BX36*IF(РоялтиПоГруппам="Да",MeanMinAge17+BX8*SUMIF(ThresholdAge17,"&lt;"&amp;BX8,WeightedRevAge17)-SUMIF(ThresholdAge17,"&lt;"&amp;BX8,WeightedMinAge17),MAX(CapacityAge17*АбонементНовых*BX8,MeanMinAge17)))</f>
        <v/>
      </c>
      <c r="BY63" s="4">
        <f>IF(OR(BY36=0,17&lt;=КаникулыРоялти),0,BY36*IF(РоялтиПоГруппам="Да",MeanMinAge17+BY8*SUMIF(ThresholdAge17,"&lt;"&amp;BY8,WeightedRevAge17)-SUMIF(ThresholdAge17,"&lt;"&amp;BY8,WeightedMinAge17),MAX(CapacityAge17*АбонементНовых*BY8,MeanMinAge17)))</f>
        <v/>
      </c>
    </row>
    <row r="64">
      <c r="B64" t="inlineStr">
        <is>
          <t>18 мес.</t>
        </is>
      </c>
      <c r="C64" t="inlineStr">
        <is>
          <t>₽</t>
        </is>
      </c>
      <c r="D64" s="117" t="inlineStr"/>
      <c r="E64" s="119">
        <f>SUM(L64:W64)</f>
        <v/>
      </c>
      <c r="F64" s="119">
        <f>SUM(X64:AI64)</f>
        <v/>
      </c>
      <c r="G64" s="119">
        <f>SUM(AJ64:AU64)</f>
        <v/>
      </c>
      <c r="H64" s="119">
        <f>SUM(AV64:BG64)</f>
        <v/>
      </c>
      <c r="I64" s="119">
        <f>SUM(BH64:BS64)</f>
        <v/>
      </c>
      <c r="J64" s="5">
        <f>SUM(L64:BS64)</f>
        <v/>
      </c>
      <c r="L64" s="4">
        <f>IF(OR(L37=0,18&lt;=КаникулыРоялти),0,L37*IF(РоялтиПоГруппам="Да",MeanMinAge18+L8*SUMIF(ThresholdAge18,"&lt;"&amp;L8,WeightedRevAge18)-SUMIF(ThresholdAge18,"&lt;"&amp;L8,WeightedMinAge18),MAX(CapacityAge18*АбонементНовых*L8,MeanMinAge18)))</f>
        <v/>
      </c>
      <c r="M64" s="4">
        <f>IF(OR(M37=0,18&lt;=КаникулыРоялти),0,M37*IF(РоялтиПоГруппам="Да",MeanMinAge18+M8*SUMIF(ThresholdAge18,"&lt;"&amp;M8,WeightedRevAge18)-SUMIF(ThresholdAge18,"&lt;"&amp;M8,WeightedMinAge18),MAX(CapacityAge18*АбонементНовых*M8,MeanMinAge18)))</f>
        <v/>
      </c>
      <c r="N64" s="4">
        <f>IF(OR(N37=0,18&lt;=КаникулыРоялти),0,N37*IF(РоялтиПоГруппам="Да",MeanMinAge18+N8*SUMIF(ThresholdAge18,"&lt;"&amp;N8,WeightedRevAge18)-SUMIF(ThresholdAge18,"&lt;"&amp;N8,WeightedMinAge18),MAX(CapacityAge18*АбонементНовых*N8,MeanMinAge18)))</f>
        <v/>
      </c>
      <c r="O64" s="4">
        <f>IF(OR(O37=0,18&lt;=КаникулыРоялти),0,O37*IF(РоялтиПоГруппам="Да",MeanMinAge18+O8*SUMIF(ThresholdAge18,"&lt;"&amp;O8,WeightedRevAge18)-SUMIF(ThresholdAge18,"&lt;"&amp;O8,WeightedMinAge18),MAX(CapacityAge18*АбонементНовых*O8,MeanMinAge18)))</f>
        <v/>
      </c>
      <c r="P64" s="4">
        <f>IF(OR(P37=0,18&lt;=КаникулыРоялти),0,P37*IF(РоялтиПоГруппам="Да",MeanMinAge18+P8*SUMIF(ThresholdAge18,"&lt;"&amp;P8,WeightedRevAge18)-SUMIF(ThresholdAge18,"&lt;"&amp;P8,WeightedMinAge18),MAX(CapacityAge18*АбонементНовых*P8,MeanMinAge18)))</f>
        <v/>
      </c>
      <c r="Q64" s="4">
        <f>IF(OR(Q37=0,18&lt;=КаникулыРоялти),0,Q37*IF(РоялтиПоГруппам="Да",MeanMinAge18+Q8*SUMIF(ThresholdAge18,"&lt;"&amp;Q8,WeightedRevAge18)-SUMIF(ThresholdAge18,"&lt;"&amp;Q8,WeightedMinAge18),MAX(CapacityAge18*АбонементНовых*Q8,MeanMinAge18)))</f>
        <v/>
      </c>
      <c r="R64" s="4">
        <f>IF(OR(R37=0,18&lt;=КаникулыРоялти),0,R37*IF(РоялтиПоГруппам="Да",MeanMinAge18+R8*SUMIF(ThresholdAge18,"&lt;"&amp;R8,WeightedRevAge18)-SUMIF(ThresholdAge18,"&lt;"&amp;R8,WeightedMinAge18),MAX(CapacityAge18*АбонементНовых*R8,MeanMinAge18)))</f>
        <v/>
      </c>
      <c r="S64" s="4">
        <f>IF(OR(S37=0,18&lt;=КаникулыРоялти),0,S37*IF(РоялтиПоГруппам="Да",MeanMinAge18+S8*SUMIF(ThresholdAge18,"&lt;"&amp;S8,WeightedRevAge18)-SUMIF(ThresholdAge18,"&lt;"&amp;S8,WeightedMinAge18),MAX(CapacityAge18*АбонементНовых*S8,MeanMinAge18)))</f>
        <v/>
      </c>
      <c r="T64" s="4">
        <f>IF(OR(T37=0,18&lt;=КаникулыРоялти),0,T37*IF(РоялтиПоГруппам="Да",MeanMinAge18+T8*SUMIF(ThresholdAge18,"&lt;"&amp;T8,WeightedRevAge18)-SUMIF(ThresholdAge18,"&lt;"&amp;T8,WeightedMinAge18),MAX(CapacityAge18*АбонементНовых*T8,MeanMinAge18)))</f>
        <v/>
      </c>
      <c r="U64" s="4">
        <f>IF(OR(U37=0,18&lt;=КаникулыРоялти),0,U37*IF(РоялтиПоГруппам="Да",MeanMinAge18+U8*SUMIF(ThresholdAge18,"&lt;"&amp;U8,WeightedRevAge18)-SUMIF(ThresholdAge18,"&lt;"&amp;U8,WeightedMinAge18),MAX(CapacityAge18*АбонементНовых*U8,MeanMinAge18)))</f>
        <v/>
      </c>
      <c r="V64" s="4">
        <f>IF(OR(V37=0,18&lt;=КаникулыРоялти),0,V37*IF(РоялтиПоГруппам="Да",MeanMinAge18+V8*SUMIF(ThresholdAge18,"&lt;"&amp;V8,WeightedRevAge18)-SUMIF(ThresholdAge18,"&lt;"&amp;V8,WeightedMinAge18),MAX(CapacityAge18*АбонементНовых*V8,MeanMinAge18)))</f>
        <v/>
      </c>
      <c r="W64" s="4">
        <f>IF(OR(W37=0,18&lt;=КаникулыРоялти),0,W37*IF(РоялтиПоГруппам="Да",MeanMinAge18+W8*SUMIF(ThresholdAge18,"&lt;"&amp;W8,WeightedRevAge18)-SUMIF(ThresholdAge18,"&lt;"&amp;W8,WeightedMinAge18),MAX(CapacityAge18*АбонементНовых*W8,MeanMinAge18)))</f>
        <v/>
      </c>
      <c r="X64" s="4">
        <f>IF(OR(X37=0,18&lt;=КаникулыРоялти),0,X37*IF(РоялтиПоГруппам="Да",MeanMinAge18+X8*SUMIF(ThresholdAge18,"&lt;"&amp;X8,WeightedRevAge18)-SUMIF(ThresholdAge18,"&lt;"&amp;X8,WeightedMinAge18),MAX(CapacityAge18*АбонементНовых*X8,MeanMinAge18)))</f>
        <v/>
      </c>
      <c r="Y64" s="4">
        <f>IF(OR(Y37=0,18&lt;=КаникулыРоялти),0,Y37*IF(РоялтиПоГруппам="Да",MeanMinAge18+Y8*SUMIF(ThresholdAge18,"&lt;"&amp;Y8,WeightedRevAge18)-SUMIF(ThresholdAge18,"&lt;"&amp;Y8,WeightedMinAge18),MAX(CapacityAge18*АбонементНовых*Y8,MeanMinAge18)))</f>
        <v/>
      </c>
      <c r="Z64" s="4">
        <f>IF(OR(Z37=0,18&lt;=КаникулыРоялти),0,Z37*IF(РоялтиПоГруппам="Да",MeanMinAge18+Z8*SUMIF(ThresholdAge18,"&lt;"&amp;Z8,WeightedRevAge18)-SUMIF(ThresholdAge18,"&lt;"&amp;Z8,WeightedMinAge18),MAX(CapacityAge18*АбонементНовых*Z8,MeanMinAge18)))</f>
        <v/>
      </c>
      <c r="AA64" s="4">
        <f>IF(OR(AA37=0,18&lt;=КаникулыРоялти),0,AA37*IF(РоялтиПоГруппам="Да",MeanMinAge18+AA8*SUMIF(ThresholdAge18,"&lt;"&amp;AA8,WeightedRevAge18)-SUMIF(ThresholdAge18,"&lt;"&amp;AA8,WeightedMinAge18),MAX(CapacityAge18*АбонементНовых*AA8,MeanMinAge18)))</f>
        <v/>
      </c>
      <c r="AB64" s="4">
        <f>IF(OR(AB37=0,18&lt;=КаникулыРоялти),0,AB37*IF(РоялтиПоГруппам="Да",MeanMinAge18+AB8*SUMIF(ThresholdAge18,"&lt;"&amp;AB8,WeightedRevAge18)-SUMIF(ThresholdAge18,"&lt;"&amp;AB8,WeightedMinAge18),MAX(CapacityAge18*АбонементНовых*AB8,MeanMinAge18)))</f>
        <v/>
      </c>
      <c r="AC64" s="4">
        <f>IF(OR(AC37=0,18&lt;=КаникулыРоялти),0,AC37*IF(РоялтиПоГруппам="Да",MeanMinAge18+AC8*SUMIF(ThresholdAge18,"&lt;"&amp;AC8,WeightedRevAge18)-SUMIF(ThresholdAge18,"&lt;"&amp;AC8,WeightedMinAge18),MAX(CapacityAge18*АбонементНовых*AC8,MeanMinAge18)))</f>
        <v/>
      </c>
      <c r="AD64" s="4">
        <f>IF(OR(AD37=0,18&lt;=КаникулыРоялти),0,AD37*IF(РоялтиПоГруппам="Да",MeanMinAge18+AD8*SUMIF(ThresholdAge18,"&lt;"&amp;AD8,WeightedRevAge18)-SUMIF(ThresholdAge18,"&lt;"&amp;AD8,WeightedMinAge18),MAX(CapacityAge18*АбонементНовых*AD8,MeanMinAge18)))</f>
        <v/>
      </c>
      <c r="AE64" s="4">
        <f>IF(OR(AE37=0,18&lt;=КаникулыРоялти),0,AE37*IF(РоялтиПоГруппам="Да",MeanMinAge18+AE8*SUMIF(ThresholdAge18,"&lt;"&amp;AE8,WeightedRevAge18)-SUMIF(ThresholdAge18,"&lt;"&amp;AE8,WeightedMinAge18),MAX(CapacityAge18*АбонементНовых*AE8,MeanMinAge18)))</f>
        <v/>
      </c>
      <c r="AF64" s="4">
        <f>IF(OR(AF37=0,18&lt;=КаникулыРоялти),0,AF37*IF(РоялтиПоГруппам="Да",MeanMinAge18+AF8*SUMIF(ThresholdAge18,"&lt;"&amp;AF8,WeightedRevAge18)-SUMIF(ThresholdAge18,"&lt;"&amp;AF8,WeightedMinAge18),MAX(CapacityAge18*АбонементНовых*AF8,MeanMinAge18)))</f>
        <v/>
      </c>
      <c r="AG64" s="4">
        <f>IF(OR(AG37=0,18&lt;=КаникулыРоялти),0,AG37*IF(РоялтиПоГруппам="Да",MeanMinAge18+AG8*SUMIF(ThresholdAge18,"&lt;"&amp;AG8,WeightedRevAge18)-SUMIF(ThresholdAge18,"&lt;"&amp;AG8,WeightedMinAge18),MAX(CapacityAge18*АбонементНовых*AG8,MeanMinAge18)))</f>
        <v/>
      </c>
      <c r="AH64" s="4">
        <f>IF(OR(AH37=0,18&lt;=КаникулыРоялти),0,AH37*IF(РоялтиПоГруппам="Да",MeanMinAge18+AH8*SUMIF(ThresholdAge18,"&lt;"&amp;AH8,WeightedRevAge18)-SUMIF(ThresholdAge18,"&lt;"&amp;AH8,WeightedMinAge18),MAX(CapacityAge18*АбонементНовых*AH8,MeanMinAge18)))</f>
        <v/>
      </c>
      <c r="AI64" s="4">
        <f>IF(OR(AI37=0,18&lt;=КаникулыРоялти),0,AI37*IF(РоялтиПоГруппам="Да",MeanMinAge18+AI8*SUMIF(ThresholdAge18,"&lt;"&amp;AI8,WeightedRevAge18)-SUMIF(ThresholdAge18,"&lt;"&amp;AI8,WeightedMinAge18),MAX(CapacityAge18*АбонементНовых*AI8,MeanMinAge18)))</f>
        <v/>
      </c>
      <c r="AJ64" s="4">
        <f>IF(OR(AJ37=0,18&lt;=КаникулыРоялти),0,AJ37*IF(РоялтиПоГруппам="Да",MeanMinAge18+AJ8*SUMIF(ThresholdAge18,"&lt;"&amp;AJ8,WeightedRevAge18)-SUMIF(ThresholdAge18,"&lt;"&amp;AJ8,WeightedMinAge18),MAX(CapacityAge18*АбонементНовых*AJ8,MeanMinAge18)))</f>
        <v/>
      </c>
      <c r="AK64" s="4">
        <f>IF(OR(AK37=0,18&lt;=КаникулыРоялти),0,AK37*IF(РоялтиПоГруппам="Да",MeanMinAge18+AK8*SUMIF(ThresholdAge18,"&lt;"&amp;AK8,WeightedRevAge18)-SUMIF(ThresholdAge18,"&lt;"&amp;AK8,WeightedMinAge18),MAX(CapacityAge18*АбонементНовых*AK8,MeanMinAge18)))</f>
        <v/>
      </c>
      <c r="AL64" s="4">
        <f>IF(OR(AL37=0,18&lt;=КаникулыРоялти),0,AL37*IF(РоялтиПоГруппам="Да",MeanMinAge18+AL8*SUMIF(ThresholdAge18,"&lt;"&amp;AL8,WeightedRevAge18)-SUMIF(ThresholdAge18,"&lt;"&amp;AL8,WeightedMinAge18),MAX(CapacityAge18*АбонементНовых*AL8,MeanMinAge18)))</f>
        <v/>
      </c>
      <c r="AM64" s="4">
        <f>IF(OR(AM37=0,18&lt;=КаникулыРоялти),0,AM37*IF(РоялтиПоГруппам="Да",MeanMinAge18+AM8*SUMIF(ThresholdAge18,"&lt;"&amp;AM8,WeightedRevAge18)-SUMIF(ThresholdAge18,"&lt;"&amp;AM8,WeightedMinAge18),MAX(CapacityAge18*АбонементНовых*AM8,MeanMinAge18)))</f>
        <v/>
      </c>
      <c r="AN64" s="4">
        <f>IF(OR(AN37=0,18&lt;=КаникулыРоялти),0,AN37*IF(РоялтиПоГруппам="Да",MeanMinAge18+AN8*SUMIF(ThresholdAge18,"&lt;"&amp;AN8,WeightedRevAge18)-SUMIF(ThresholdAge18,"&lt;"&amp;AN8,WeightedMinAge18),MAX(CapacityAge18*АбонементНовых*AN8,MeanMinAge18)))</f>
        <v/>
      </c>
      <c r="AO64" s="4">
        <f>IF(OR(AO37=0,18&lt;=КаникулыРоялти),0,AO37*IF(РоялтиПоГруппам="Да",MeanMinAge18+AO8*SUMIF(ThresholdAge18,"&lt;"&amp;AO8,WeightedRevAge18)-SUMIF(ThresholdAge18,"&lt;"&amp;AO8,WeightedMinAge18),MAX(CapacityAge18*АбонементНовых*AO8,MeanMinAge18)))</f>
        <v/>
      </c>
      <c r="AP64" s="4">
        <f>IF(OR(AP37=0,18&lt;=КаникулыРоялти),0,AP37*IF(РоялтиПоГруппам="Да",MeanMinAge18+AP8*SUMIF(ThresholdAge18,"&lt;"&amp;AP8,WeightedRevAge18)-SUMIF(ThresholdAge18,"&lt;"&amp;AP8,WeightedMinAge18),MAX(CapacityAge18*АбонементНовых*AP8,MeanMinAge18)))</f>
        <v/>
      </c>
      <c r="AQ64" s="4">
        <f>IF(OR(AQ37=0,18&lt;=КаникулыРоялти),0,AQ37*IF(РоялтиПоГруппам="Да",MeanMinAge18+AQ8*SUMIF(ThresholdAge18,"&lt;"&amp;AQ8,WeightedRevAge18)-SUMIF(ThresholdAge18,"&lt;"&amp;AQ8,WeightedMinAge18),MAX(CapacityAge18*АбонементНовых*AQ8,MeanMinAge18)))</f>
        <v/>
      </c>
      <c r="AR64" s="4">
        <f>IF(OR(AR37=0,18&lt;=КаникулыРоялти),0,AR37*IF(РоялтиПоГруппам="Да",MeanMinAge18+AR8*SUMIF(ThresholdAge18,"&lt;"&amp;AR8,WeightedRevAge18)-SUMIF(ThresholdAge18,"&lt;"&amp;AR8,WeightedMinAge18),MAX(CapacityAge18*АбонементНовых*AR8,MeanMinAge18)))</f>
        <v/>
      </c>
      <c r="AS64" s="4">
        <f>IF(OR(AS37=0,18&lt;=КаникулыРоялти),0,AS37*IF(РоялтиПоГруппам="Да",MeanMinAge18+AS8*SUMIF(ThresholdAge18,"&lt;"&amp;AS8,WeightedRevAge18)-SUMIF(ThresholdAge18,"&lt;"&amp;AS8,WeightedMinAge18),MAX(CapacityAge18*АбонементНовых*AS8,MeanMinAge18)))</f>
        <v/>
      </c>
      <c r="AT64" s="4">
        <f>IF(OR(AT37=0,18&lt;=КаникулыРоялти),0,AT37*IF(РоялтиПоГруппам="Да",MeanMinAge18+AT8*SUMIF(ThresholdAge18,"&lt;"&amp;AT8,WeightedRevAge18)-SUMIF(ThresholdAge18,"&lt;"&amp;AT8,WeightedMinAge18),MAX(CapacityAge18*АбонементНовых*AT8,MeanMinAge18)))</f>
        <v/>
      </c>
      <c r="AU64" s="4">
        <f>IF(OR(AU37=0,18&lt;=КаникулыРоялти),0,AU37*IF(РоялтиПоГруппам="Да",MeanMinAge18+AU8*SUMIF(ThresholdAge18,"&lt;"&amp;AU8,WeightedRevAge18)-SUMIF(ThresholdAge18,"&lt;"&amp;AU8,WeightedMinAge18),MAX(CapacityAge18*АбонементНовых*AU8,MeanMinAge18)))</f>
        <v/>
      </c>
      <c r="AV64" s="4">
        <f>IF(OR(AV37=0,18&lt;=КаникулыРоялти),0,AV37*IF(РоялтиПоГруппам="Да",MeanMinAge18+AV8*SUMIF(ThresholdAge18,"&lt;"&amp;AV8,WeightedRevAge18)-SUMIF(ThresholdAge18,"&lt;"&amp;AV8,WeightedMinAge18),MAX(CapacityAge18*АбонементНовых*AV8,MeanMinAge18)))</f>
        <v/>
      </c>
      <c r="AW64" s="4">
        <f>IF(OR(AW37=0,18&lt;=КаникулыРоялти),0,AW37*IF(РоялтиПоГруппам="Да",MeanMinAge18+AW8*SUMIF(ThresholdAge18,"&lt;"&amp;AW8,WeightedRevAge18)-SUMIF(ThresholdAge18,"&lt;"&amp;AW8,WeightedMinAge18),MAX(CapacityAge18*АбонементНовых*AW8,MeanMinAge18)))</f>
        <v/>
      </c>
      <c r="AX64" s="4">
        <f>IF(OR(AX37=0,18&lt;=КаникулыРоялти),0,AX37*IF(РоялтиПоГруппам="Да",MeanMinAge18+AX8*SUMIF(ThresholdAge18,"&lt;"&amp;AX8,WeightedRevAge18)-SUMIF(ThresholdAge18,"&lt;"&amp;AX8,WeightedMinAge18),MAX(CapacityAge18*АбонементНовых*AX8,MeanMinAge18)))</f>
        <v/>
      </c>
      <c r="AY64" s="4">
        <f>IF(OR(AY37=0,18&lt;=КаникулыРоялти),0,AY37*IF(РоялтиПоГруппам="Да",MeanMinAge18+AY8*SUMIF(ThresholdAge18,"&lt;"&amp;AY8,WeightedRevAge18)-SUMIF(ThresholdAge18,"&lt;"&amp;AY8,WeightedMinAge18),MAX(CapacityAge18*АбонементНовых*AY8,MeanMinAge18)))</f>
        <v/>
      </c>
      <c r="AZ64" s="4">
        <f>IF(OR(AZ37=0,18&lt;=КаникулыРоялти),0,AZ37*IF(РоялтиПоГруппам="Да",MeanMinAge18+AZ8*SUMIF(ThresholdAge18,"&lt;"&amp;AZ8,WeightedRevAge18)-SUMIF(ThresholdAge18,"&lt;"&amp;AZ8,WeightedMinAge18),MAX(CapacityAge18*АбонементНовых*AZ8,MeanMinAge18)))</f>
        <v/>
      </c>
      <c r="BA64" s="4">
        <f>IF(OR(BA37=0,18&lt;=КаникулыРоялти),0,BA37*IF(РоялтиПоГруппам="Да",MeanMinAge18+BA8*SUMIF(ThresholdAge18,"&lt;"&amp;BA8,WeightedRevAge18)-SUMIF(ThresholdAge18,"&lt;"&amp;BA8,WeightedMinAge18),MAX(CapacityAge18*АбонементНовых*BA8,MeanMinAge18)))</f>
        <v/>
      </c>
      <c r="BB64" s="4">
        <f>IF(OR(BB37=0,18&lt;=КаникулыРоялти),0,BB37*IF(РоялтиПоГруппам="Да",MeanMinAge18+BB8*SUMIF(ThresholdAge18,"&lt;"&amp;BB8,WeightedRevAge18)-SUMIF(ThresholdAge18,"&lt;"&amp;BB8,WeightedMinAge18),MAX(CapacityAge18*АбонементНовых*BB8,MeanMinAge18)))</f>
        <v/>
      </c>
      <c r="BC64" s="4">
        <f>IF(OR(BC37=0,18&lt;=КаникулыРоялти),0,BC37*IF(РоялтиПоГруппам="Да",MeanMinAge18+BC8*SUMIF(ThresholdAge18,"&lt;"&amp;BC8,WeightedRevAge18)-SUMIF(ThresholdAge18,"&lt;"&amp;BC8,WeightedMinAge18),MAX(CapacityAge18*АбонементНовых*BC8,MeanMinAge18)))</f>
        <v/>
      </c>
      <c r="BD64" s="4">
        <f>IF(OR(BD37=0,18&lt;=КаникулыРоялти),0,BD37*IF(РоялтиПоГруппам="Да",MeanMinAge18+BD8*SUMIF(ThresholdAge18,"&lt;"&amp;BD8,WeightedRevAge18)-SUMIF(ThresholdAge18,"&lt;"&amp;BD8,WeightedMinAge18),MAX(CapacityAge18*АбонементНовых*BD8,MeanMinAge18)))</f>
        <v/>
      </c>
      <c r="BE64" s="4">
        <f>IF(OR(BE37=0,18&lt;=КаникулыРоялти),0,BE37*IF(РоялтиПоГруппам="Да",MeanMinAge18+BE8*SUMIF(ThresholdAge18,"&lt;"&amp;BE8,WeightedRevAge18)-SUMIF(ThresholdAge18,"&lt;"&amp;BE8,WeightedMinAge18),MAX(CapacityAge18*АбонементНовых*BE8,MeanMinAge18)))</f>
        <v/>
      </c>
      <c r="BF64" s="4">
        <f>IF(OR(BF37=0,18&lt;=КаникулыРоялти),0,BF37*IF(РоялтиПоГруппам="Да",MeanMinAge18+BF8*SUMIF(ThresholdAge18,"&lt;"&amp;BF8,WeightedRevAge18)-SUMIF(ThresholdAge18,"&lt;"&amp;BF8,WeightedMinAge18),MAX(CapacityAge18*АбонементНовых*BF8,MeanMinAge18)))</f>
        <v/>
      </c>
      <c r="BG64" s="4">
        <f>IF(OR(BG37=0,18&lt;=КаникулыРоялти),0,BG37*IF(РоялтиПоГруппам="Да",MeanMinAge18+BG8*SUMIF(ThresholdAge18,"&lt;"&amp;BG8,WeightedRevAge18)-SUMIF(ThresholdAge18,"&lt;"&amp;BG8,WeightedMinAge18),MAX(CapacityAge18*АбонементНовых*BG8,MeanMinAge18)))</f>
        <v/>
      </c>
      <c r="BH64" s="4">
        <f>IF(OR(BH37=0,18&lt;=КаникулыРоялти),0,BH37*IF(РоялтиПоГруппам="Да",MeanMinAge18+BH8*SUMIF(ThresholdAge18,"&lt;"&amp;BH8,WeightedRevAge18)-SUMIF(ThresholdAge18,"&lt;"&amp;BH8,WeightedMinAge18),MAX(CapacityAge18*АбонементНовых*BH8,MeanMinAge18)))</f>
        <v/>
      </c>
      <c r="BI64" s="4">
        <f>IF(OR(BI37=0,18&lt;=КаникулыРоялти),0,BI37*IF(РоялтиПоГруппам="Да",MeanMinAge18+BI8*SUMIF(ThresholdAge18,"&lt;"&amp;BI8,WeightedRevAge18)-SUMIF(ThresholdAge18,"&lt;"&amp;BI8,WeightedMinAge18),MAX(CapacityAge18*АбонементНовых*BI8,MeanMinAge18)))</f>
        <v/>
      </c>
      <c r="BJ64" s="4">
        <f>IF(OR(BJ37=0,18&lt;=КаникулыРоялти),0,BJ37*IF(РоялтиПоГруппам="Да",MeanMinAge18+BJ8*SUMIF(ThresholdAge18,"&lt;"&amp;BJ8,WeightedRevAge18)-SUMIF(ThresholdAge18,"&lt;"&amp;BJ8,WeightedMinAge18),MAX(CapacityAge18*АбонементНовых*BJ8,MeanMinAge18)))</f>
        <v/>
      </c>
      <c r="BK64" s="4">
        <f>IF(OR(BK37=0,18&lt;=КаникулыРоялти),0,BK37*IF(РоялтиПоГруппам="Да",MeanMinAge18+BK8*SUMIF(ThresholdAge18,"&lt;"&amp;BK8,WeightedRevAge18)-SUMIF(ThresholdAge18,"&lt;"&amp;BK8,WeightedMinAge18),MAX(CapacityAge18*АбонементНовых*BK8,MeanMinAge18)))</f>
        <v/>
      </c>
      <c r="BL64" s="4">
        <f>IF(OR(BL37=0,18&lt;=КаникулыРоялти),0,BL37*IF(РоялтиПоГруппам="Да",MeanMinAge18+BL8*SUMIF(ThresholdAge18,"&lt;"&amp;BL8,WeightedRevAge18)-SUMIF(ThresholdAge18,"&lt;"&amp;BL8,WeightedMinAge18),MAX(CapacityAge18*АбонементНовых*BL8,MeanMinAge18)))</f>
        <v/>
      </c>
      <c r="BM64" s="4">
        <f>IF(OR(BM37=0,18&lt;=КаникулыРоялти),0,BM37*IF(РоялтиПоГруппам="Да",MeanMinAge18+BM8*SUMIF(ThresholdAge18,"&lt;"&amp;BM8,WeightedRevAge18)-SUMIF(ThresholdAge18,"&lt;"&amp;BM8,WeightedMinAge18),MAX(CapacityAge18*АбонементНовых*BM8,MeanMinAge18)))</f>
        <v/>
      </c>
      <c r="BN64" s="4">
        <f>IF(OR(BN37=0,18&lt;=КаникулыРоялти),0,BN37*IF(РоялтиПоГруппам="Да",MeanMinAge18+BN8*SUMIF(ThresholdAge18,"&lt;"&amp;BN8,WeightedRevAge18)-SUMIF(ThresholdAge18,"&lt;"&amp;BN8,WeightedMinAge18),MAX(CapacityAge18*АбонементНовых*BN8,MeanMinAge18)))</f>
        <v/>
      </c>
      <c r="BO64" s="4">
        <f>IF(OR(BO37=0,18&lt;=КаникулыРоялти),0,BO37*IF(РоялтиПоГруппам="Да",MeanMinAge18+BO8*SUMIF(ThresholdAge18,"&lt;"&amp;BO8,WeightedRevAge18)-SUMIF(ThresholdAge18,"&lt;"&amp;BO8,WeightedMinAge18),MAX(CapacityAge18*АбонементНовых*BO8,MeanMinAge18)))</f>
        <v/>
      </c>
      <c r="BP64" s="4">
        <f>IF(OR(BP37=0,18&lt;=КаникулыРоялти),0,BP37*IF(РоялтиПоГруппам="Да",MeanMinAge18+BP8*SUMIF(ThresholdAge18,"&lt;"&amp;BP8,WeightedRevAge18)-SUMIF(ThresholdAge18,"&lt;"&amp;BP8,WeightedMinAge18),MAX(CapacityAge18*АбонементНовых*BP8,MeanMinAge18)))</f>
        <v/>
      </c>
      <c r="BQ64" s="4">
        <f>IF(OR(BQ37=0,18&lt;=КаникулыРоялти),0,BQ37*IF(РоялтиПоГруппам="Да",MeanMinAge18+BQ8*SUMIF(ThresholdAge18,"&lt;"&amp;BQ8,WeightedRevAge18)-SUMIF(ThresholdAge18,"&lt;"&amp;BQ8,WeightedMinAge18),MAX(CapacityAge18*АбонементНовых*BQ8,MeanMinAge18)))</f>
        <v/>
      </c>
      <c r="BR64" s="4">
        <f>IF(OR(BR37=0,18&lt;=КаникулыРоялти),0,BR37*IF(РоялтиПоГруппам="Да",MeanMinAge18+BR8*SUMIF(ThresholdAge18,"&lt;"&amp;BR8,WeightedRevAge18)-SUMIF(ThresholdAge18,"&lt;"&amp;BR8,WeightedMinAge18),MAX(CapacityAge18*АбонементНовых*BR8,MeanMinAge18)))</f>
        <v/>
      </c>
      <c r="BS64" s="4">
        <f>IF(OR(BS37=0,18&lt;=КаникулыРоялти),0,BS37*IF(РоялтиПоГруппам="Да",MeanMinAge18+BS8*SUMIF(ThresholdAge18,"&lt;"&amp;BS8,WeightedRevAge18)-SUMIF(ThresholdAge18,"&lt;"&amp;BS8,WeightedMinAge18),MAX(CapacityAge18*АбонементНовых*BS8,MeanMinAge18)))</f>
        <v/>
      </c>
      <c r="BT64" s="4">
        <f>IF(OR(BT37=0,18&lt;=КаникулыРоялти),0,BT37*IF(РоялтиПоГруппам="Да",MeanMinAge18+BT8*SUMIF(ThresholdAge18,"&lt;"&amp;BT8,WeightedRevAge18)-SUMIF(ThresholdAge18,"&lt;"&amp;BT8,WeightedMinAge18),MAX(CapacityAge18*АбонементНовых*BT8,MeanMinAge18)))</f>
        <v/>
      </c>
      <c r="BU64" s="4">
        <f>IF(OR(BU37=0,18&lt;=КаникулыРоялти),0,BU37*IF(РоялтиПоГруппам="Да",MeanMinAge18+BU8*SUMIF(ThresholdAge18,"&lt;"&amp;BU8,WeightedRevAge18)-SUMIF(ThresholdAge18,"&lt;"&amp;BU8,WeightedMinAge18),MAX(CapacityAge18*АбонементНовых*BU8,MeanMinAge18)))</f>
        <v/>
      </c>
      <c r="BV64" s="4">
        <f>IF(OR(BV37=0,18&lt;=КаникулыРоялти),0,BV37*IF(РоялтиПоГруппам="Да",MeanMinAge18+BV8*SUMIF(ThresholdAge18,"&lt;"&amp;BV8,WeightedRevAge18)-SUMIF(ThresholdAge18,"&lt;"&amp;BV8,WeightedMinAge18),MAX(CapacityAge18*АбонементНовых*BV8,MeanMinAge18)))</f>
        <v/>
      </c>
      <c r="BW64" s="4">
        <f>IF(OR(BW37=0,18&lt;=КаникулыРоялти),0,BW37*IF(РоялтиПоГруппам="Да",MeanMinAge18+BW8*SUMIF(ThresholdAge18,"&lt;"&amp;BW8,WeightedRevAge18)-SUMIF(ThresholdAge18,"&lt;"&amp;BW8,WeightedMinAge18),MAX(CapacityAge18*АбонементНовых*BW8,MeanMinAge18)))</f>
        <v/>
      </c>
      <c r="BX64" s="4">
        <f>IF(OR(BX37=0,18&lt;=КаникулыРоялти),0,BX37*IF(РоялтиПоГруппам="Да",MeanMinAge18+BX8*SUMIF(ThresholdAge18,"&lt;"&amp;BX8,WeightedRevAge18)-SUMIF(ThresholdAge18,"&lt;"&amp;BX8,WeightedMinAge18),MAX(CapacityAge18*АбонементНовых*BX8,MeanMinAge18)))</f>
        <v/>
      </c>
      <c r="BY64" s="4">
        <f>IF(OR(BY37=0,18&lt;=КаникулыРоялти),0,BY37*IF(РоялтиПоГруппам="Да",MeanMinAge18+BY8*SUMIF(ThresholdAge18,"&lt;"&amp;BY8,WeightedRevAge18)-SUMIF(ThresholdAge18,"&lt;"&amp;BY8,WeightedMinAge18),MAX(CapacityAge18*АбонементНовых*BY8,MeanMinAge18)))</f>
        <v/>
      </c>
    </row>
    <row r="65">
      <c r="B65" t="inlineStr">
        <is>
          <t>19 мес.</t>
        </is>
      </c>
      <c r="C65" t="inlineStr">
        <is>
          <t>₽</t>
        </is>
      </c>
      <c r="D65" s="117" t="inlineStr"/>
      <c r="E65" s="119">
        <f>SUM(L65:W65)</f>
        <v/>
      </c>
      <c r="F65" s="119">
        <f>SUM(X65:AI65)</f>
        <v/>
      </c>
      <c r="G65" s="119">
        <f>SUM(AJ65:AU65)</f>
        <v/>
      </c>
      <c r="H65" s="119">
        <f>SUM(AV65:BG65)</f>
        <v/>
      </c>
      <c r="I65" s="119">
        <f>SUM(BH65:BS65)</f>
        <v/>
      </c>
      <c r="J65" s="5">
        <f>SUM(L65:BS65)</f>
        <v/>
      </c>
      <c r="L65" s="4">
        <f>IF(OR(L38=0,19&lt;=КаникулыРоялти),0,L38*IF(РоялтиПоГруппам="Да",MeanMinAge19+L8*SUMIF(ThresholdAge19,"&lt;"&amp;L8,WeightedRevAge19)-SUMIF(ThresholdAge19,"&lt;"&amp;L8,WeightedMinAge19),MAX(CapacityAge19*АбонементНовых*L8,MeanMinAge19)))</f>
        <v/>
      </c>
      <c r="M65" s="4">
        <f>IF(OR(M38=0,19&lt;=КаникулыРоялти),0,M38*IF(РоялтиПоГруппам="Да",MeanMinAge19+M8*SUMIF(ThresholdAge19,"&lt;"&amp;M8,WeightedRevAge19)-SUMIF(ThresholdAge19,"&lt;"&amp;M8,WeightedMinAge19),MAX(CapacityAge19*АбонементНовых*M8,MeanMinAge19)))</f>
        <v/>
      </c>
      <c r="N65" s="4">
        <f>IF(OR(N38=0,19&lt;=КаникулыРоялти),0,N38*IF(РоялтиПоГруппам="Да",MeanMinAge19+N8*SUMIF(ThresholdAge19,"&lt;"&amp;N8,WeightedRevAge19)-SUMIF(ThresholdAge19,"&lt;"&amp;N8,WeightedMinAge19),MAX(CapacityAge19*АбонементНовых*N8,MeanMinAge19)))</f>
        <v/>
      </c>
      <c r="O65" s="4">
        <f>IF(OR(O38=0,19&lt;=КаникулыРоялти),0,O38*IF(РоялтиПоГруппам="Да",MeanMinAge19+O8*SUMIF(ThresholdAge19,"&lt;"&amp;O8,WeightedRevAge19)-SUMIF(ThresholdAge19,"&lt;"&amp;O8,WeightedMinAge19),MAX(CapacityAge19*АбонементНовых*O8,MeanMinAge19)))</f>
        <v/>
      </c>
      <c r="P65" s="4">
        <f>IF(OR(P38=0,19&lt;=КаникулыРоялти),0,P38*IF(РоялтиПоГруппам="Да",MeanMinAge19+P8*SUMIF(ThresholdAge19,"&lt;"&amp;P8,WeightedRevAge19)-SUMIF(ThresholdAge19,"&lt;"&amp;P8,WeightedMinAge19),MAX(CapacityAge19*АбонементНовых*P8,MeanMinAge19)))</f>
        <v/>
      </c>
      <c r="Q65" s="4">
        <f>IF(OR(Q38=0,19&lt;=КаникулыРоялти),0,Q38*IF(РоялтиПоГруппам="Да",MeanMinAge19+Q8*SUMIF(ThresholdAge19,"&lt;"&amp;Q8,WeightedRevAge19)-SUMIF(ThresholdAge19,"&lt;"&amp;Q8,WeightedMinAge19),MAX(CapacityAge19*АбонементНовых*Q8,MeanMinAge19)))</f>
        <v/>
      </c>
      <c r="R65" s="4">
        <f>IF(OR(R38=0,19&lt;=КаникулыРоялти),0,R38*IF(РоялтиПоГруппам="Да",MeanMinAge19+R8*SUMIF(ThresholdAge19,"&lt;"&amp;R8,WeightedRevAge19)-SUMIF(ThresholdAge19,"&lt;"&amp;R8,WeightedMinAge19),MAX(CapacityAge19*АбонементНовых*R8,MeanMinAge19)))</f>
        <v/>
      </c>
      <c r="S65" s="4">
        <f>IF(OR(S38=0,19&lt;=КаникулыРоялти),0,S38*IF(РоялтиПоГруппам="Да",MeanMinAge19+S8*SUMIF(ThresholdAge19,"&lt;"&amp;S8,WeightedRevAge19)-SUMIF(ThresholdAge19,"&lt;"&amp;S8,WeightedMinAge19),MAX(CapacityAge19*АбонементНовых*S8,MeanMinAge19)))</f>
        <v/>
      </c>
      <c r="T65" s="4">
        <f>IF(OR(T38=0,19&lt;=КаникулыРоялти),0,T38*IF(РоялтиПоГруппам="Да",MeanMinAge19+T8*SUMIF(ThresholdAge19,"&lt;"&amp;T8,WeightedRevAge19)-SUMIF(ThresholdAge19,"&lt;"&amp;T8,WeightedMinAge19),MAX(CapacityAge19*АбонементНовых*T8,MeanMinAge19)))</f>
        <v/>
      </c>
      <c r="U65" s="4">
        <f>IF(OR(U38=0,19&lt;=КаникулыРоялти),0,U38*IF(РоялтиПоГруппам="Да",MeanMinAge19+U8*SUMIF(ThresholdAge19,"&lt;"&amp;U8,WeightedRevAge19)-SUMIF(ThresholdAge19,"&lt;"&amp;U8,WeightedMinAge19),MAX(CapacityAge19*АбонементНовых*U8,MeanMinAge19)))</f>
        <v/>
      </c>
      <c r="V65" s="4">
        <f>IF(OR(V38=0,19&lt;=КаникулыРоялти),0,V38*IF(РоялтиПоГруппам="Да",MeanMinAge19+V8*SUMIF(ThresholdAge19,"&lt;"&amp;V8,WeightedRevAge19)-SUMIF(ThresholdAge19,"&lt;"&amp;V8,WeightedMinAge19),MAX(CapacityAge19*АбонементНовых*V8,MeanMinAge19)))</f>
        <v/>
      </c>
      <c r="W65" s="4">
        <f>IF(OR(W38=0,19&lt;=КаникулыРоялти),0,W38*IF(РоялтиПоГруппам="Да",MeanMinAge19+W8*SUMIF(ThresholdAge19,"&lt;"&amp;W8,WeightedRevAge19)-SUMIF(ThresholdAge19,"&lt;"&amp;W8,WeightedMinAge19),MAX(CapacityAge19*АбонементНовых*W8,MeanMinAge19)))</f>
        <v/>
      </c>
      <c r="X65" s="4">
        <f>IF(OR(X38=0,19&lt;=КаникулыРоялти),0,X38*IF(РоялтиПоГруппам="Да",MeanMinAge19+X8*SUMIF(ThresholdAge19,"&lt;"&amp;X8,WeightedRevAge19)-SUMIF(ThresholdAge19,"&lt;"&amp;X8,WeightedMinAge19),MAX(CapacityAge19*АбонементНовых*X8,MeanMinAge19)))</f>
        <v/>
      </c>
      <c r="Y65" s="4">
        <f>IF(OR(Y38=0,19&lt;=КаникулыРоялти),0,Y38*IF(РоялтиПоГруппам="Да",MeanMinAge19+Y8*SUMIF(ThresholdAge19,"&lt;"&amp;Y8,WeightedRevAge19)-SUMIF(ThresholdAge19,"&lt;"&amp;Y8,WeightedMinAge19),MAX(CapacityAge19*АбонементНовых*Y8,MeanMinAge19)))</f>
        <v/>
      </c>
      <c r="Z65" s="4">
        <f>IF(OR(Z38=0,19&lt;=КаникулыРоялти),0,Z38*IF(РоялтиПоГруппам="Да",MeanMinAge19+Z8*SUMIF(ThresholdAge19,"&lt;"&amp;Z8,WeightedRevAge19)-SUMIF(ThresholdAge19,"&lt;"&amp;Z8,WeightedMinAge19),MAX(CapacityAge19*АбонементНовых*Z8,MeanMinAge19)))</f>
        <v/>
      </c>
      <c r="AA65" s="4">
        <f>IF(OR(AA38=0,19&lt;=КаникулыРоялти),0,AA38*IF(РоялтиПоГруппам="Да",MeanMinAge19+AA8*SUMIF(ThresholdAge19,"&lt;"&amp;AA8,WeightedRevAge19)-SUMIF(ThresholdAge19,"&lt;"&amp;AA8,WeightedMinAge19),MAX(CapacityAge19*АбонементНовых*AA8,MeanMinAge19)))</f>
        <v/>
      </c>
      <c r="AB65" s="4">
        <f>IF(OR(AB38=0,19&lt;=КаникулыРоялти),0,AB38*IF(РоялтиПоГруппам="Да",MeanMinAge19+AB8*SUMIF(ThresholdAge19,"&lt;"&amp;AB8,WeightedRevAge19)-SUMIF(ThresholdAge19,"&lt;"&amp;AB8,WeightedMinAge19),MAX(CapacityAge19*АбонементНовых*AB8,MeanMinAge19)))</f>
        <v/>
      </c>
      <c r="AC65" s="4">
        <f>IF(OR(AC38=0,19&lt;=КаникулыРоялти),0,AC38*IF(РоялтиПоГруппам="Да",MeanMinAge19+AC8*SUMIF(ThresholdAge19,"&lt;"&amp;AC8,WeightedRevAge19)-SUMIF(ThresholdAge19,"&lt;"&amp;AC8,WeightedMinAge19),MAX(CapacityAge19*АбонементНовых*AC8,MeanMinAge19)))</f>
        <v/>
      </c>
      <c r="AD65" s="4">
        <f>IF(OR(AD38=0,19&lt;=КаникулыРоялти),0,AD38*IF(РоялтиПоГруппам="Да",MeanMinAge19+AD8*SUMIF(ThresholdAge19,"&lt;"&amp;AD8,WeightedRevAge19)-SUMIF(ThresholdAge19,"&lt;"&amp;AD8,WeightedMinAge19),MAX(CapacityAge19*АбонементНовых*AD8,MeanMinAge19)))</f>
        <v/>
      </c>
      <c r="AE65" s="4">
        <f>IF(OR(AE38=0,19&lt;=КаникулыРоялти),0,AE38*IF(РоялтиПоГруппам="Да",MeanMinAge19+AE8*SUMIF(ThresholdAge19,"&lt;"&amp;AE8,WeightedRevAge19)-SUMIF(ThresholdAge19,"&lt;"&amp;AE8,WeightedMinAge19),MAX(CapacityAge19*АбонементНовых*AE8,MeanMinAge19)))</f>
        <v/>
      </c>
      <c r="AF65" s="4">
        <f>IF(OR(AF38=0,19&lt;=КаникулыРоялти),0,AF38*IF(РоялтиПоГруппам="Да",MeanMinAge19+AF8*SUMIF(ThresholdAge19,"&lt;"&amp;AF8,WeightedRevAge19)-SUMIF(ThresholdAge19,"&lt;"&amp;AF8,WeightedMinAge19),MAX(CapacityAge19*АбонементНовых*AF8,MeanMinAge19)))</f>
        <v/>
      </c>
      <c r="AG65" s="4">
        <f>IF(OR(AG38=0,19&lt;=КаникулыРоялти),0,AG38*IF(РоялтиПоГруппам="Да",MeanMinAge19+AG8*SUMIF(ThresholdAge19,"&lt;"&amp;AG8,WeightedRevAge19)-SUMIF(ThresholdAge19,"&lt;"&amp;AG8,WeightedMinAge19),MAX(CapacityAge19*АбонементНовых*AG8,MeanMinAge19)))</f>
        <v/>
      </c>
      <c r="AH65" s="4">
        <f>IF(OR(AH38=0,19&lt;=КаникулыРоялти),0,AH38*IF(РоялтиПоГруппам="Да",MeanMinAge19+AH8*SUMIF(ThresholdAge19,"&lt;"&amp;AH8,WeightedRevAge19)-SUMIF(ThresholdAge19,"&lt;"&amp;AH8,WeightedMinAge19),MAX(CapacityAge19*АбонементНовых*AH8,MeanMinAge19)))</f>
        <v/>
      </c>
      <c r="AI65" s="4">
        <f>IF(OR(AI38=0,19&lt;=КаникулыРоялти),0,AI38*IF(РоялтиПоГруппам="Да",MeanMinAge19+AI8*SUMIF(ThresholdAge19,"&lt;"&amp;AI8,WeightedRevAge19)-SUMIF(ThresholdAge19,"&lt;"&amp;AI8,WeightedMinAge19),MAX(CapacityAge19*АбонементНовых*AI8,MeanMinAge19)))</f>
        <v/>
      </c>
      <c r="AJ65" s="4">
        <f>IF(OR(AJ38=0,19&lt;=КаникулыРоялти),0,AJ38*IF(РоялтиПоГруппам="Да",MeanMinAge19+AJ8*SUMIF(ThresholdAge19,"&lt;"&amp;AJ8,WeightedRevAge19)-SUMIF(ThresholdAge19,"&lt;"&amp;AJ8,WeightedMinAge19),MAX(CapacityAge19*АбонементНовых*AJ8,MeanMinAge19)))</f>
        <v/>
      </c>
      <c r="AK65" s="4">
        <f>IF(OR(AK38=0,19&lt;=КаникулыРоялти),0,AK38*IF(РоялтиПоГруппам="Да",MeanMinAge19+AK8*SUMIF(ThresholdAge19,"&lt;"&amp;AK8,WeightedRevAge19)-SUMIF(ThresholdAge19,"&lt;"&amp;AK8,WeightedMinAge19),MAX(CapacityAge19*АбонементНовых*AK8,MeanMinAge19)))</f>
        <v/>
      </c>
      <c r="AL65" s="4">
        <f>IF(OR(AL38=0,19&lt;=КаникулыРоялти),0,AL38*IF(РоялтиПоГруппам="Да",MeanMinAge19+AL8*SUMIF(ThresholdAge19,"&lt;"&amp;AL8,WeightedRevAge19)-SUMIF(ThresholdAge19,"&lt;"&amp;AL8,WeightedMinAge19),MAX(CapacityAge19*АбонементНовых*AL8,MeanMinAge19)))</f>
        <v/>
      </c>
      <c r="AM65" s="4">
        <f>IF(OR(AM38=0,19&lt;=КаникулыРоялти),0,AM38*IF(РоялтиПоГруппам="Да",MeanMinAge19+AM8*SUMIF(ThresholdAge19,"&lt;"&amp;AM8,WeightedRevAge19)-SUMIF(ThresholdAge19,"&lt;"&amp;AM8,WeightedMinAge19),MAX(CapacityAge19*АбонементНовых*AM8,MeanMinAge19)))</f>
        <v/>
      </c>
      <c r="AN65" s="4">
        <f>IF(OR(AN38=0,19&lt;=КаникулыРоялти),0,AN38*IF(РоялтиПоГруппам="Да",MeanMinAge19+AN8*SUMIF(ThresholdAge19,"&lt;"&amp;AN8,WeightedRevAge19)-SUMIF(ThresholdAge19,"&lt;"&amp;AN8,WeightedMinAge19),MAX(CapacityAge19*АбонементНовых*AN8,MeanMinAge19)))</f>
        <v/>
      </c>
      <c r="AO65" s="4">
        <f>IF(OR(AO38=0,19&lt;=КаникулыРоялти),0,AO38*IF(РоялтиПоГруппам="Да",MeanMinAge19+AO8*SUMIF(ThresholdAge19,"&lt;"&amp;AO8,WeightedRevAge19)-SUMIF(ThresholdAge19,"&lt;"&amp;AO8,WeightedMinAge19),MAX(CapacityAge19*АбонементНовых*AO8,MeanMinAge19)))</f>
        <v/>
      </c>
      <c r="AP65" s="4">
        <f>IF(OR(AP38=0,19&lt;=КаникулыРоялти),0,AP38*IF(РоялтиПоГруппам="Да",MeanMinAge19+AP8*SUMIF(ThresholdAge19,"&lt;"&amp;AP8,WeightedRevAge19)-SUMIF(ThresholdAge19,"&lt;"&amp;AP8,WeightedMinAge19),MAX(CapacityAge19*АбонементНовых*AP8,MeanMinAge19)))</f>
        <v/>
      </c>
      <c r="AQ65" s="4">
        <f>IF(OR(AQ38=0,19&lt;=КаникулыРоялти),0,AQ38*IF(РоялтиПоГруппам="Да",MeanMinAge19+AQ8*SUMIF(ThresholdAge19,"&lt;"&amp;AQ8,WeightedRevAge19)-SUMIF(ThresholdAge19,"&lt;"&amp;AQ8,WeightedMinAge19),MAX(CapacityAge19*АбонементНовых*AQ8,MeanMinAge19)))</f>
        <v/>
      </c>
      <c r="AR65" s="4">
        <f>IF(OR(AR38=0,19&lt;=КаникулыРоялти),0,AR38*IF(РоялтиПоГруппам="Да",MeanMinAge19+AR8*SUMIF(ThresholdAge19,"&lt;"&amp;AR8,WeightedRevAge19)-SUMIF(ThresholdAge19,"&lt;"&amp;AR8,WeightedMinAge19),MAX(CapacityAge19*АбонементНовых*AR8,MeanMinAge19)))</f>
        <v/>
      </c>
      <c r="AS65" s="4">
        <f>IF(OR(AS38=0,19&lt;=КаникулыРоялти),0,AS38*IF(РоялтиПоГруппам="Да",MeanMinAge19+AS8*SUMIF(ThresholdAge19,"&lt;"&amp;AS8,WeightedRevAge19)-SUMIF(ThresholdAge19,"&lt;"&amp;AS8,WeightedMinAge19),MAX(CapacityAge19*АбонементНовых*AS8,MeanMinAge19)))</f>
        <v/>
      </c>
      <c r="AT65" s="4">
        <f>IF(OR(AT38=0,19&lt;=КаникулыРоялти),0,AT38*IF(РоялтиПоГруппам="Да",MeanMinAge19+AT8*SUMIF(ThresholdAge19,"&lt;"&amp;AT8,WeightedRevAge19)-SUMIF(ThresholdAge19,"&lt;"&amp;AT8,WeightedMinAge19),MAX(CapacityAge19*АбонементНовых*AT8,MeanMinAge19)))</f>
        <v/>
      </c>
      <c r="AU65" s="4">
        <f>IF(OR(AU38=0,19&lt;=КаникулыРоялти),0,AU38*IF(РоялтиПоГруппам="Да",MeanMinAge19+AU8*SUMIF(ThresholdAge19,"&lt;"&amp;AU8,WeightedRevAge19)-SUMIF(ThresholdAge19,"&lt;"&amp;AU8,WeightedMinAge19),MAX(CapacityAge19*АбонементНовых*AU8,MeanMinAge19)))</f>
        <v/>
      </c>
      <c r="AV65" s="4">
        <f>IF(OR(AV38=0,19&lt;=КаникулыРоялти),0,AV38*IF(РоялтиПоГруппам="Да",MeanMinAge19+AV8*SUMIF(ThresholdAge19,"&lt;"&amp;AV8,WeightedRevAge19)-SUMIF(ThresholdAge19,"&lt;"&amp;AV8,WeightedMinAge19),MAX(CapacityAge19*АбонементНовых*AV8,MeanMinAge19)))</f>
        <v/>
      </c>
      <c r="AW65" s="4">
        <f>IF(OR(AW38=0,19&lt;=КаникулыРоялти),0,AW38*IF(РоялтиПоГруппам="Да",MeanMinAge19+AW8*SUMIF(ThresholdAge19,"&lt;"&amp;AW8,WeightedRevAge19)-SUMIF(ThresholdAge19,"&lt;"&amp;AW8,WeightedMinAge19),MAX(CapacityAge19*АбонементНовых*AW8,MeanMinAge19)))</f>
        <v/>
      </c>
      <c r="AX65" s="4">
        <f>IF(OR(AX38=0,19&lt;=КаникулыРоялти),0,AX38*IF(РоялтиПоГруппам="Да",MeanMinAge19+AX8*SUMIF(ThresholdAge19,"&lt;"&amp;AX8,WeightedRevAge19)-SUMIF(ThresholdAge19,"&lt;"&amp;AX8,WeightedMinAge19),MAX(CapacityAge19*АбонементНовых*AX8,MeanMinAge19)))</f>
        <v/>
      </c>
      <c r="AY65" s="4">
        <f>IF(OR(AY38=0,19&lt;=КаникулыРоялти),0,AY38*IF(РоялтиПоГруппам="Да",MeanMinAge19+AY8*SUMIF(ThresholdAge19,"&lt;"&amp;AY8,WeightedRevAge19)-SUMIF(ThresholdAge19,"&lt;"&amp;AY8,WeightedMinAge19),MAX(CapacityAge19*АбонементНовых*AY8,MeanMinAge19)))</f>
        <v/>
      </c>
      <c r="AZ65" s="4">
        <f>IF(OR(AZ38=0,19&lt;=КаникулыРоялти),0,AZ38*IF(РоялтиПоГруппам="Да",MeanMinAge19+AZ8*SUMIF(ThresholdAge19,"&lt;"&amp;AZ8,WeightedRevAge19)-SUMIF(ThresholdAge19,"&lt;"&amp;AZ8,WeightedMinAge19),MAX(CapacityAge19*АбонементНовых*AZ8,MeanMinAge19)))</f>
        <v/>
      </c>
      <c r="BA65" s="4">
        <f>IF(OR(BA38=0,19&lt;=КаникулыРоялти),0,BA38*IF(РоялтиПоГруппам="Да",MeanMinAge19+BA8*SUMIF(ThresholdAge19,"&lt;"&amp;BA8,WeightedRevAge19)-SUMIF(ThresholdAge19,"&lt;"&amp;BA8,WeightedMinAge19),MAX(CapacityAge19*АбонементНовых*BA8,MeanMinAge19)))</f>
        <v/>
      </c>
      <c r="BB65" s="4">
        <f>IF(OR(BB38=0,19&lt;=КаникулыРоялти),0,BB38*IF(РоялтиПоГруппам="Да",MeanMinAge19+BB8*SUMIF(ThresholdAge19,"&lt;"&amp;BB8,WeightedRevAge19)-SUMIF(ThresholdAge19,"&lt;"&amp;BB8,WeightedMinAge19),MAX(CapacityAge19*АбонементНовых*BB8,MeanMinAge19)))</f>
        <v/>
      </c>
      <c r="BC65" s="4">
        <f>IF(OR(BC38=0,19&lt;=КаникулыРоялти),0,BC38*IF(РоялтиПоГруппам="Да",MeanMinAge19+BC8*SUMIF(ThresholdAge19,"&lt;"&amp;BC8,WeightedRevAge19)-SUMIF(ThresholdAge19,"&lt;"&amp;BC8,WeightedMinAge19),MAX(CapacityAge19*АбонементНовых*BC8,MeanMinAge19)))</f>
        <v/>
      </c>
      <c r="BD65" s="4">
        <f>IF(OR(BD38=0,19&lt;=КаникулыРоялти),0,BD38*IF(РоялтиПоГруппам="Да",MeanMinAge19+BD8*SUMIF(ThresholdAge19,"&lt;"&amp;BD8,WeightedRevAge19)-SUMIF(ThresholdAge19,"&lt;"&amp;BD8,WeightedMinAge19),MAX(CapacityAge19*АбонементНовых*BD8,MeanMinAge19)))</f>
        <v/>
      </c>
      <c r="BE65" s="4">
        <f>IF(OR(BE38=0,19&lt;=КаникулыРоялти),0,BE38*IF(РоялтиПоГруппам="Да",MeanMinAge19+BE8*SUMIF(ThresholdAge19,"&lt;"&amp;BE8,WeightedRevAge19)-SUMIF(ThresholdAge19,"&lt;"&amp;BE8,WeightedMinAge19),MAX(CapacityAge19*АбонементНовых*BE8,MeanMinAge19)))</f>
        <v/>
      </c>
      <c r="BF65" s="4">
        <f>IF(OR(BF38=0,19&lt;=КаникулыРоялти),0,BF38*IF(РоялтиПоГруппам="Да",MeanMinAge19+BF8*SUMIF(ThresholdAge19,"&lt;"&amp;BF8,WeightedRevAge19)-SUMIF(ThresholdAge19,"&lt;"&amp;BF8,WeightedMinAge19),MAX(CapacityAge19*АбонементНовых*BF8,MeanMinAge19)))</f>
        <v/>
      </c>
      <c r="BG65" s="4">
        <f>IF(OR(BG38=0,19&lt;=КаникулыРоялти),0,BG38*IF(РоялтиПоГруппам="Да",MeanMinAge19+BG8*SUMIF(ThresholdAge19,"&lt;"&amp;BG8,WeightedRevAge19)-SUMIF(ThresholdAge19,"&lt;"&amp;BG8,WeightedMinAge19),MAX(CapacityAge19*АбонементНовых*BG8,MeanMinAge19)))</f>
        <v/>
      </c>
      <c r="BH65" s="4">
        <f>IF(OR(BH38=0,19&lt;=КаникулыРоялти),0,BH38*IF(РоялтиПоГруппам="Да",MeanMinAge19+BH8*SUMIF(ThresholdAge19,"&lt;"&amp;BH8,WeightedRevAge19)-SUMIF(ThresholdAge19,"&lt;"&amp;BH8,WeightedMinAge19),MAX(CapacityAge19*АбонементНовых*BH8,MeanMinAge19)))</f>
        <v/>
      </c>
      <c r="BI65" s="4">
        <f>IF(OR(BI38=0,19&lt;=КаникулыРоялти),0,BI38*IF(РоялтиПоГруппам="Да",MeanMinAge19+BI8*SUMIF(ThresholdAge19,"&lt;"&amp;BI8,WeightedRevAge19)-SUMIF(ThresholdAge19,"&lt;"&amp;BI8,WeightedMinAge19),MAX(CapacityAge19*АбонементНовых*BI8,MeanMinAge19)))</f>
        <v/>
      </c>
      <c r="BJ65" s="4">
        <f>IF(OR(BJ38=0,19&lt;=КаникулыРоялти),0,BJ38*IF(РоялтиПоГруппам="Да",MeanMinAge19+BJ8*SUMIF(ThresholdAge19,"&lt;"&amp;BJ8,WeightedRevAge19)-SUMIF(ThresholdAge19,"&lt;"&amp;BJ8,WeightedMinAge19),MAX(CapacityAge19*АбонементНовых*BJ8,MeanMinAge19)))</f>
        <v/>
      </c>
      <c r="BK65" s="4">
        <f>IF(OR(BK38=0,19&lt;=КаникулыРоялти),0,BK38*IF(РоялтиПоГруппам="Да",MeanMinAge19+BK8*SUMIF(ThresholdAge19,"&lt;"&amp;BK8,WeightedRevAge19)-SUMIF(ThresholdAge19,"&lt;"&amp;BK8,WeightedMinAge19),MAX(CapacityAge19*АбонементНовых*BK8,MeanMinAge19)))</f>
        <v/>
      </c>
      <c r="BL65" s="4">
        <f>IF(OR(BL38=0,19&lt;=КаникулыРоялти),0,BL38*IF(РоялтиПоГруппам="Да",MeanMinAge19+BL8*SUMIF(ThresholdAge19,"&lt;"&amp;BL8,WeightedRevAge19)-SUMIF(ThresholdAge19,"&lt;"&amp;BL8,WeightedMinAge19),MAX(CapacityAge19*АбонементНовых*BL8,MeanMinAge19)))</f>
        <v/>
      </c>
      <c r="BM65" s="4">
        <f>IF(OR(BM38=0,19&lt;=КаникулыРоялти),0,BM38*IF(РоялтиПоГруппам="Да",MeanMinAge19+BM8*SUMIF(ThresholdAge19,"&lt;"&amp;BM8,WeightedRevAge19)-SUMIF(ThresholdAge19,"&lt;"&amp;BM8,WeightedMinAge19),MAX(CapacityAge19*АбонементНовых*BM8,MeanMinAge19)))</f>
        <v/>
      </c>
      <c r="BN65" s="4">
        <f>IF(OR(BN38=0,19&lt;=КаникулыРоялти),0,BN38*IF(РоялтиПоГруппам="Да",MeanMinAge19+BN8*SUMIF(ThresholdAge19,"&lt;"&amp;BN8,WeightedRevAge19)-SUMIF(ThresholdAge19,"&lt;"&amp;BN8,WeightedMinAge19),MAX(CapacityAge19*АбонементНовых*BN8,MeanMinAge19)))</f>
        <v/>
      </c>
      <c r="BO65" s="4">
        <f>IF(OR(BO38=0,19&lt;=КаникулыРоялти),0,BO38*IF(РоялтиПоГруппам="Да",MeanMinAge19+BO8*SUMIF(ThresholdAge19,"&lt;"&amp;BO8,WeightedRevAge19)-SUMIF(ThresholdAge19,"&lt;"&amp;BO8,WeightedMinAge19),MAX(CapacityAge19*АбонементНовых*BO8,MeanMinAge19)))</f>
        <v/>
      </c>
      <c r="BP65" s="4">
        <f>IF(OR(BP38=0,19&lt;=КаникулыРоялти),0,BP38*IF(РоялтиПоГруппам="Да",MeanMinAge19+BP8*SUMIF(ThresholdAge19,"&lt;"&amp;BP8,WeightedRevAge19)-SUMIF(ThresholdAge19,"&lt;"&amp;BP8,WeightedMinAge19),MAX(CapacityAge19*АбонементНовых*BP8,MeanMinAge19)))</f>
        <v/>
      </c>
      <c r="BQ65" s="4">
        <f>IF(OR(BQ38=0,19&lt;=КаникулыРоялти),0,BQ38*IF(РоялтиПоГруппам="Да",MeanMinAge19+BQ8*SUMIF(ThresholdAge19,"&lt;"&amp;BQ8,WeightedRevAge19)-SUMIF(ThresholdAge19,"&lt;"&amp;BQ8,WeightedMinAge19),MAX(CapacityAge19*АбонементНовых*BQ8,MeanMinAge19)))</f>
        <v/>
      </c>
      <c r="BR65" s="4">
        <f>IF(OR(BR38=0,19&lt;=КаникулыРоялти),0,BR38*IF(РоялтиПоГруппам="Да",MeanMinAge19+BR8*SUMIF(ThresholdAge19,"&lt;"&amp;BR8,WeightedRevAge19)-SUMIF(ThresholdAge19,"&lt;"&amp;BR8,WeightedMinAge19),MAX(CapacityAge19*АбонементНовых*BR8,MeanMinAge19)))</f>
        <v/>
      </c>
      <c r="BS65" s="4">
        <f>IF(OR(BS38=0,19&lt;=КаникулыРоялти),0,BS38*IF(РоялтиПоГруппам="Да",MeanMinAge19+BS8*SUMIF(ThresholdAge19,"&lt;"&amp;BS8,WeightedRevAge19)-SUMIF(ThresholdAge19,"&lt;"&amp;BS8,WeightedMinAge19),MAX(CapacityAge19*АбонементНовых*BS8,MeanMinAge19)))</f>
        <v/>
      </c>
      <c r="BT65" s="4">
        <f>IF(OR(BT38=0,19&lt;=КаникулыРоялти),0,BT38*IF(РоялтиПоГруппам="Да",MeanMinAge19+BT8*SUMIF(ThresholdAge19,"&lt;"&amp;BT8,WeightedRevAge19)-SUMIF(ThresholdAge19,"&lt;"&amp;BT8,WeightedMinAge19),MAX(CapacityAge19*АбонементНовых*BT8,MeanMinAge19)))</f>
        <v/>
      </c>
      <c r="BU65" s="4">
        <f>IF(OR(BU38=0,19&lt;=КаникулыРоялти),0,BU38*IF(РоялтиПоГруппам="Да",MeanMinAge19+BU8*SUMIF(ThresholdAge19,"&lt;"&amp;BU8,WeightedRevAge19)-SUMIF(ThresholdAge19,"&lt;"&amp;BU8,WeightedMinAge19),MAX(CapacityAge19*АбонементНовых*BU8,MeanMinAge19)))</f>
        <v/>
      </c>
      <c r="BV65" s="4">
        <f>IF(OR(BV38=0,19&lt;=КаникулыРоялти),0,BV38*IF(РоялтиПоГруппам="Да",MeanMinAge19+BV8*SUMIF(ThresholdAge19,"&lt;"&amp;BV8,WeightedRevAge19)-SUMIF(ThresholdAge19,"&lt;"&amp;BV8,WeightedMinAge19),MAX(CapacityAge19*АбонементНовых*BV8,MeanMinAge19)))</f>
        <v/>
      </c>
      <c r="BW65" s="4">
        <f>IF(OR(BW38=0,19&lt;=КаникулыРоялти),0,BW38*IF(РоялтиПоГруппам="Да",MeanMinAge19+BW8*SUMIF(ThresholdAge19,"&lt;"&amp;BW8,WeightedRevAge19)-SUMIF(ThresholdAge19,"&lt;"&amp;BW8,WeightedMinAge19),MAX(CapacityAge19*АбонементНовых*BW8,MeanMinAge19)))</f>
        <v/>
      </c>
      <c r="BX65" s="4">
        <f>IF(OR(BX38=0,19&lt;=КаникулыРоялти),0,BX38*IF(РоялтиПоГруппам="Да",MeanMinAge19+BX8*SUMIF(ThresholdAge19,"&lt;"&amp;BX8,WeightedRevAge19)-SUMIF(ThresholdAge19,"&lt;"&amp;BX8,WeightedMinAge19),MAX(CapacityAge19*АбонементНовых*BX8,MeanMinAge19)))</f>
        <v/>
      </c>
      <c r="BY65" s="4">
        <f>IF(OR(BY38=0,19&lt;=КаникулыРоялти),0,BY38*IF(РоялтиПоГруппам="Да",MeanMinAge19+BY8*SUMIF(ThresholdAge19,"&lt;"&amp;BY8,WeightedRevAge19)-SUMIF(ThresholdAge19,"&lt;"&amp;BY8,WeightedMinAge19),MAX(CapacityAge19*АбонементНовых*BY8,MeanMinAge19)))</f>
        <v/>
      </c>
    </row>
    <row r="66">
      <c r="B66" t="inlineStr">
        <is>
          <t>20 мес.</t>
        </is>
      </c>
      <c r="C66" t="inlineStr">
        <is>
          <t>₽</t>
        </is>
      </c>
      <c r="D66" s="117" t="inlineStr"/>
      <c r="E66" s="119">
        <f>SUM(L66:W66)</f>
        <v/>
      </c>
      <c r="F66" s="119">
        <f>SUM(X66:AI66)</f>
        <v/>
      </c>
      <c r="G66" s="119">
        <f>SUM(AJ66:AU66)</f>
        <v/>
      </c>
      <c r="H66" s="119">
        <f>SUM(AV66:BG66)</f>
        <v/>
      </c>
      <c r="I66" s="119">
        <f>SUM(BH66:BS66)</f>
        <v/>
      </c>
      <c r="J66" s="5">
        <f>SUM(L66:BS66)</f>
        <v/>
      </c>
      <c r="L66" s="4">
        <f>IF(OR(L39=0,20&lt;=КаникулыРоялти),0,L39*IF(РоялтиПоГруппам="Да",MeanMinAge20+L8*SUMIF(ThresholdAge20,"&lt;"&amp;L8,WeightedRevAge20)-SUMIF(ThresholdAge20,"&lt;"&amp;L8,WeightedMinAge20),MAX(CapacityAge20*АбонементНовых*L8,MeanMinAge20)))</f>
        <v/>
      </c>
      <c r="M66" s="4">
        <f>IF(OR(M39=0,20&lt;=КаникулыРоялти),0,M39*IF(РоялтиПоГруппам="Да",MeanMinAge20+M8*SUMIF(ThresholdAge20,"&lt;"&amp;M8,WeightedRevAge20)-SUMIF(ThresholdAge20,"&lt;"&amp;M8,WeightedMinAge20),MAX(CapacityAge20*АбонементНовых*M8,MeanMinAge20)))</f>
        <v/>
      </c>
      <c r="N66" s="4">
        <f>IF(OR(N39=0,20&lt;=КаникулыРоялти),0,N39*IF(РоялтиПоГруппам="Да",MeanMinAge20+N8*SUMIF(ThresholdAge20,"&lt;"&amp;N8,WeightedRevAge20)-SUMIF(ThresholdAge20,"&lt;"&amp;N8,WeightedMinAge20),MAX(CapacityAge20*АбонементНовых*N8,MeanMinAge20)))</f>
        <v/>
      </c>
      <c r="O66" s="4">
        <f>IF(OR(O39=0,20&lt;=КаникулыРоялти),0,O39*IF(РоялтиПоГруппам="Да",MeanMinAge20+O8*SUMIF(ThresholdAge20,"&lt;"&amp;O8,WeightedRevAge20)-SUMIF(ThresholdAge20,"&lt;"&amp;O8,WeightedMinAge20),MAX(CapacityAge20*АбонементНовых*O8,MeanMinAge20)))</f>
        <v/>
      </c>
      <c r="P66" s="4">
        <f>IF(OR(P39=0,20&lt;=КаникулыРоялти),0,P39*IF(РоялтиПоГруппам="Да",MeanMinAge20+P8*SUMIF(ThresholdAge20,"&lt;"&amp;P8,WeightedRevAge20)-SUMIF(ThresholdAge20,"&lt;"&amp;P8,WeightedMinAge20),MAX(CapacityAge20*АбонементНовых*P8,MeanMinAge20)))</f>
        <v/>
      </c>
      <c r="Q66" s="4">
        <f>IF(OR(Q39=0,20&lt;=КаникулыРоялти),0,Q39*IF(РоялтиПоГруппам="Да",MeanMinAge20+Q8*SUMIF(ThresholdAge20,"&lt;"&amp;Q8,WeightedRevAge20)-SUMIF(ThresholdAge20,"&lt;"&amp;Q8,WeightedMinAge20),MAX(CapacityAge20*АбонементНовых*Q8,MeanMinAge20)))</f>
        <v/>
      </c>
      <c r="R66" s="4">
        <f>IF(OR(R39=0,20&lt;=КаникулыРоялти),0,R39*IF(РоялтиПоГруппам="Да",MeanMinAge20+R8*SUMIF(ThresholdAge20,"&lt;"&amp;R8,WeightedRevAge20)-SUMIF(ThresholdAge20,"&lt;"&amp;R8,WeightedMinAge20),MAX(CapacityAge20*АбонементНовых*R8,MeanMinAge20)))</f>
        <v/>
      </c>
      <c r="S66" s="4">
        <f>IF(OR(S39=0,20&lt;=КаникулыРоялти),0,S39*IF(РоялтиПоГруппам="Да",MeanMinAge20+S8*SUMIF(ThresholdAge20,"&lt;"&amp;S8,WeightedRevAge20)-SUMIF(ThresholdAge20,"&lt;"&amp;S8,WeightedMinAge20),MAX(CapacityAge20*АбонементНовых*S8,MeanMinAge20)))</f>
        <v/>
      </c>
      <c r="T66" s="4">
        <f>IF(OR(T39=0,20&lt;=КаникулыРоялти),0,T39*IF(РоялтиПоГруппам="Да",MeanMinAge20+T8*SUMIF(ThresholdAge20,"&lt;"&amp;T8,WeightedRevAge20)-SUMIF(ThresholdAge20,"&lt;"&amp;T8,WeightedMinAge20),MAX(CapacityAge20*АбонементНовых*T8,MeanMinAge20)))</f>
        <v/>
      </c>
      <c r="U66" s="4">
        <f>IF(OR(U39=0,20&lt;=КаникулыРоялти),0,U39*IF(РоялтиПоГруппам="Да",MeanMinAge20+U8*SUMIF(ThresholdAge20,"&lt;"&amp;U8,WeightedRevAge20)-SUMIF(ThresholdAge20,"&lt;"&amp;U8,WeightedMinAge20),MAX(CapacityAge20*АбонементНовых*U8,MeanMinAge20)))</f>
        <v/>
      </c>
      <c r="V66" s="4">
        <f>IF(OR(V39=0,20&lt;=КаникулыРоялти),0,V39*IF(РоялтиПоГруппам="Да",MeanMinAge20+V8*SUMIF(ThresholdAge20,"&lt;"&amp;V8,WeightedRevAge20)-SUMIF(ThresholdAge20,"&lt;"&amp;V8,WeightedMinAge20),MAX(CapacityAge20*АбонементНовых*V8,MeanMinAge20)))</f>
        <v/>
      </c>
      <c r="W66" s="4">
        <f>IF(OR(W39=0,20&lt;=КаникулыРоялти),0,W39*IF(РоялтиПоГруппам="Да",MeanMinAge20+W8*SUMIF(ThresholdAge20,"&lt;"&amp;W8,WeightedRevAge20)-SUMIF(ThresholdAge20,"&lt;"&amp;W8,WeightedMinAge20),MAX(CapacityAge20*АбонементНовых*W8,MeanMinAge20)))</f>
        <v/>
      </c>
      <c r="X66" s="4">
        <f>IF(OR(X39=0,20&lt;=КаникулыРоялти),0,X39*IF(РоялтиПоГруппам="Да",MeanMinAge20+X8*SUMIF(ThresholdAge20,"&lt;"&amp;X8,WeightedRevAge20)-SUMIF(ThresholdAge20,"&lt;"&amp;X8,WeightedMinAge20),MAX(CapacityAge20*АбонементНовых*X8,MeanMinAge20)))</f>
        <v/>
      </c>
      <c r="Y66" s="4">
        <f>IF(OR(Y39=0,20&lt;=КаникулыРоялти),0,Y39*IF(РоялтиПоГруппам="Да",MeanMinAge20+Y8*SUMIF(ThresholdAge20,"&lt;"&amp;Y8,WeightedRevAge20)-SUMIF(ThresholdAge20,"&lt;"&amp;Y8,WeightedMinAge20),MAX(CapacityAge20*АбонементНовых*Y8,MeanMinAge20)))</f>
        <v/>
      </c>
      <c r="Z66" s="4">
        <f>IF(OR(Z39=0,20&lt;=КаникулыРоялти),0,Z39*IF(РоялтиПоГруппам="Да",MeanMinAge20+Z8*SUMIF(ThresholdAge20,"&lt;"&amp;Z8,WeightedRevAge20)-SUMIF(ThresholdAge20,"&lt;"&amp;Z8,WeightedMinAge20),MAX(CapacityAge20*АбонементНовых*Z8,MeanMinAge20)))</f>
        <v/>
      </c>
      <c r="AA66" s="4">
        <f>IF(OR(AA39=0,20&lt;=КаникулыРоялти),0,AA39*IF(РоялтиПоГруппам="Да",MeanMinAge20+AA8*SUMIF(ThresholdAge20,"&lt;"&amp;AA8,WeightedRevAge20)-SUMIF(ThresholdAge20,"&lt;"&amp;AA8,WeightedMinAge20),MAX(CapacityAge20*АбонементНовых*AA8,MeanMinAge20)))</f>
        <v/>
      </c>
      <c r="AB66" s="4">
        <f>IF(OR(AB39=0,20&lt;=КаникулыРоялти),0,AB39*IF(РоялтиПоГруппам="Да",MeanMinAge20+AB8*SUMIF(ThresholdAge20,"&lt;"&amp;AB8,WeightedRevAge20)-SUMIF(ThresholdAge20,"&lt;"&amp;AB8,WeightedMinAge20),MAX(CapacityAge20*АбонементНовых*AB8,MeanMinAge20)))</f>
        <v/>
      </c>
      <c r="AC66" s="4">
        <f>IF(OR(AC39=0,20&lt;=КаникулыРоялти),0,AC39*IF(РоялтиПоГруппам="Да",MeanMinAge20+AC8*SUMIF(ThresholdAge20,"&lt;"&amp;AC8,WeightedRevAge20)-SUMIF(ThresholdAge20,"&lt;"&amp;AC8,WeightedMinAge20),MAX(CapacityAge20*АбонементНовых*AC8,MeanMinAge20)))</f>
        <v/>
      </c>
      <c r="AD66" s="4">
        <f>IF(OR(AD39=0,20&lt;=КаникулыРоялти),0,AD39*IF(РоялтиПоГруппам="Да",MeanMinAge20+AD8*SUMIF(ThresholdAge20,"&lt;"&amp;AD8,WeightedRevAge20)-SUMIF(ThresholdAge20,"&lt;"&amp;AD8,WeightedMinAge20),MAX(CapacityAge20*АбонементНовых*AD8,MeanMinAge20)))</f>
        <v/>
      </c>
      <c r="AE66" s="4">
        <f>IF(OR(AE39=0,20&lt;=КаникулыРоялти),0,AE39*IF(РоялтиПоГруппам="Да",MeanMinAge20+AE8*SUMIF(ThresholdAge20,"&lt;"&amp;AE8,WeightedRevAge20)-SUMIF(ThresholdAge20,"&lt;"&amp;AE8,WeightedMinAge20),MAX(CapacityAge20*АбонементНовых*AE8,MeanMinAge20)))</f>
        <v/>
      </c>
      <c r="AF66" s="4">
        <f>IF(OR(AF39=0,20&lt;=КаникулыРоялти),0,AF39*IF(РоялтиПоГруппам="Да",MeanMinAge20+AF8*SUMIF(ThresholdAge20,"&lt;"&amp;AF8,WeightedRevAge20)-SUMIF(ThresholdAge20,"&lt;"&amp;AF8,WeightedMinAge20),MAX(CapacityAge20*АбонементНовых*AF8,MeanMinAge20)))</f>
        <v/>
      </c>
      <c r="AG66" s="4">
        <f>IF(OR(AG39=0,20&lt;=КаникулыРоялти),0,AG39*IF(РоялтиПоГруппам="Да",MeanMinAge20+AG8*SUMIF(ThresholdAge20,"&lt;"&amp;AG8,WeightedRevAge20)-SUMIF(ThresholdAge20,"&lt;"&amp;AG8,WeightedMinAge20),MAX(CapacityAge20*АбонементНовых*AG8,MeanMinAge20)))</f>
        <v/>
      </c>
      <c r="AH66" s="4">
        <f>IF(OR(AH39=0,20&lt;=КаникулыРоялти),0,AH39*IF(РоялтиПоГруппам="Да",MeanMinAge20+AH8*SUMIF(ThresholdAge20,"&lt;"&amp;AH8,WeightedRevAge20)-SUMIF(ThresholdAge20,"&lt;"&amp;AH8,WeightedMinAge20),MAX(CapacityAge20*АбонементНовых*AH8,MeanMinAge20)))</f>
        <v/>
      </c>
      <c r="AI66" s="4">
        <f>IF(OR(AI39=0,20&lt;=КаникулыРоялти),0,AI39*IF(РоялтиПоГруппам="Да",MeanMinAge20+AI8*SUMIF(ThresholdAge20,"&lt;"&amp;AI8,WeightedRevAge20)-SUMIF(ThresholdAge20,"&lt;"&amp;AI8,WeightedMinAge20),MAX(CapacityAge20*АбонементНовых*AI8,MeanMinAge20)))</f>
        <v/>
      </c>
      <c r="AJ66" s="4">
        <f>IF(OR(AJ39=0,20&lt;=КаникулыРоялти),0,AJ39*IF(РоялтиПоГруппам="Да",MeanMinAge20+AJ8*SUMIF(ThresholdAge20,"&lt;"&amp;AJ8,WeightedRevAge20)-SUMIF(ThresholdAge20,"&lt;"&amp;AJ8,WeightedMinAge20),MAX(CapacityAge20*АбонементНовых*AJ8,MeanMinAge20)))</f>
        <v/>
      </c>
      <c r="AK66" s="4">
        <f>IF(OR(AK39=0,20&lt;=КаникулыРоялти),0,AK39*IF(РоялтиПоГруппам="Да",MeanMinAge20+AK8*SUMIF(ThresholdAge20,"&lt;"&amp;AK8,WeightedRevAge20)-SUMIF(ThresholdAge20,"&lt;"&amp;AK8,WeightedMinAge20),MAX(CapacityAge20*АбонементНовых*AK8,MeanMinAge20)))</f>
        <v/>
      </c>
      <c r="AL66" s="4">
        <f>IF(OR(AL39=0,20&lt;=КаникулыРоялти),0,AL39*IF(РоялтиПоГруппам="Да",MeanMinAge20+AL8*SUMIF(ThresholdAge20,"&lt;"&amp;AL8,WeightedRevAge20)-SUMIF(ThresholdAge20,"&lt;"&amp;AL8,WeightedMinAge20),MAX(CapacityAge20*АбонементНовых*AL8,MeanMinAge20)))</f>
        <v/>
      </c>
      <c r="AM66" s="4">
        <f>IF(OR(AM39=0,20&lt;=КаникулыРоялти),0,AM39*IF(РоялтиПоГруппам="Да",MeanMinAge20+AM8*SUMIF(ThresholdAge20,"&lt;"&amp;AM8,WeightedRevAge20)-SUMIF(ThresholdAge20,"&lt;"&amp;AM8,WeightedMinAge20),MAX(CapacityAge20*АбонементНовых*AM8,MeanMinAge20)))</f>
        <v/>
      </c>
      <c r="AN66" s="4">
        <f>IF(OR(AN39=0,20&lt;=КаникулыРоялти),0,AN39*IF(РоялтиПоГруппам="Да",MeanMinAge20+AN8*SUMIF(ThresholdAge20,"&lt;"&amp;AN8,WeightedRevAge20)-SUMIF(ThresholdAge20,"&lt;"&amp;AN8,WeightedMinAge20),MAX(CapacityAge20*АбонементНовых*AN8,MeanMinAge20)))</f>
        <v/>
      </c>
      <c r="AO66" s="4">
        <f>IF(OR(AO39=0,20&lt;=КаникулыРоялти),0,AO39*IF(РоялтиПоГруппам="Да",MeanMinAge20+AO8*SUMIF(ThresholdAge20,"&lt;"&amp;AO8,WeightedRevAge20)-SUMIF(ThresholdAge20,"&lt;"&amp;AO8,WeightedMinAge20),MAX(CapacityAge20*АбонементНовых*AO8,MeanMinAge20)))</f>
        <v/>
      </c>
      <c r="AP66" s="4">
        <f>IF(OR(AP39=0,20&lt;=КаникулыРоялти),0,AP39*IF(РоялтиПоГруппам="Да",MeanMinAge20+AP8*SUMIF(ThresholdAge20,"&lt;"&amp;AP8,WeightedRevAge20)-SUMIF(ThresholdAge20,"&lt;"&amp;AP8,WeightedMinAge20),MAX(CapacityAge20*АбонементНовых*AP8,MeanMinAge20)))</f>
        <v/>
      </c>
      <c r="AQ66" s="4">
        <f>IF(OR(AQ39=0,20&lt;=КаникулыРоялти),0,AQ39*IF(РоялтиПоГруппам="Да",MeanMinAge20+AQ8*SUMIF(ThresholdAge20,"&lt;"&amp;AQ8,WeightedRevAge20)-SUMIF(ThresholdAge20,"&lt;"&amp;AQ8,WeightedMinAge20),MAX(CapacityAge20*АбонементНовых*AQ8,MeanMinAge20)))</f>
        <v/>
      </c>
      <c r="AR66" s="4">
        <f>IF(OR(AR39=0,20&lt;=КаникулыРоялти),0,AR39*IF(РоялтиПоГруппам="Да",MeanMinAge20+AR8*SUMIF(ThresholdAge20,"&lt;"&amp;AR8,WeightedRevAge20)-SUMIF(ThresholdAge20,"&lt;"&amp;AR8,WeightedMinAge20),MAX(CapacityAge20*АбонементНовых*AR8,MeanMinAge20)))</f>
        <v/>
      </c>
      <c r="AS66" s="4">
        <f>IF(OR(AS39=0,20&lt;=КаникулыРоялти),0,AS39*IF(РоялтиПоГруппам="Да",MeanMinAge20+AS8*SUMIF(ThresholdAge20,"&lt;"&amp;AS8,WeightedRevAge20)-SUMIF(ThresholdAge20,"&lt;"&amp;AS8,WeightedMinAge20),MAX(CapacityAge20*АбонементНовых*AS8,MeanMinAge20)))</f>
        <v/>
      </c>
      <c r="AT66" s="4">
        <f>IF(OR(AT39=0,20&lt;=КаникулыРоялти),0,AT39*IF(РоялтиПоГруппам="Да",MeanMinAge20+AT8*SUMIF(ThresholdAge20,"&lt;"&amp;AT8,WeightedRevAge20)-SUMIF(ThresholdAge20,"&lt;"&amp;AT8,WeightedMinAge20),MAX(CapacityAge20*АбонементНовых*AT8,MeanMinAge20)))</f>
        <v/>
      </c>
      <c r="AU66" s="4">
        <f>IF(OR(AU39=0,20&lt;=КаникулыРоялти),0,AU39*IF(РоялтиПоГруппам="Да",MeanMinAge20+AU8*SUMIF(ThresholdAge20,"&lt;"&amp;AU8,WeightedRevAge20)-SUMIF(ThresholdAge20,"&lt;"&amp;AU8,WeightedMinAge20),MAX(CapacityAge20*АбонементНовых*AU8,MeanMinAge20)))</f>
        <v/>
      </c>
      <c r="AV66" s="4">
        <f>IF(OR(AV39=0,20&lt;=КаникулыРоялти),0,AV39*IF(РоялтиПоГруппам="Да",MeanMinAge20+AV8*SUMIF(ThresholdAge20,"&lt;"&amp;AV8,WeightedRevAge20)-SUMIF(ThresholdAge20,"&lt;"&amp;AV8,WeightedMinAge20),MAX(CapacityAge20*АбонементНовых*AV8,MeanMinAge20)))</f>
        <v/>
      </c>
      <c r="AW66" s="4">
        <f>IF(OR(AW39=0,20&lt;=КаникулыРоялти),0,AW39*IF(РоялтиПоГруппам="Да",MeanMinAge20+AW8*SUMIF(ThresholdAge20,"&lt;"&amp;AW8,WeightedRevAge20)-SUMIF(ThresholdAge20,"&lt;"&amp;AW8,WeightedMinAge20),MAX(CapacityAge20*АбонементНовых*AW8,MeanMinAge20)))</f>
        <v/>
      </c>
      <c r="AX66" s="4">
        <f>IF(OR(AX39=0,20&lt;=КаникулыРоялти),0,AX39*IF(РоялтиПоГруппам="Да",MeanMinAge20+AX8*SUMIF(ThresholdAge20,"&lt;"&amp;AX8,WeightedRevAge20)-SUMIF(ThresholdAge20,"&lt;"&amp;AX8,WeightedMinAge20),MAX(CapacityAge20*АбонементНовых*AX8,MeanMinAge20)))</f>
        <v/>
      </c>
      <c r="AY66" s="4">
        <f>IF(OR(AY39=0,20&lt;=КаникулыРоялти),0,AY39*IF(РоялтиПоГруппам="Да",MeanMinAge20+AY8*SUMIF(ThresholdAge20,"&lt;"&amp;AY8,WeightedRevAge20)-SUMIF(ThresholdAge20,"&lt;"&amp;AY8,WeightedMinAge20),MAX(CapacityAge20*АбонементНовых*AY8,MeanMinAge20)))</f>
        <v/>
      </c>
      <c r="AZ66" s="4">
        <f>IF(OR(AZ39=0,20&lt;=КаникулыРоялти),0,AZ39*IF(РоялтиПоГруппам="Да",MeanMinAge20+AZ8*SUMIF(ThresholdAge20,"&lt;"&amp;AZ8,WeightedRevAge20)-SUMIF(ThresholdAge20,"&lt;"&amp;AZ8,WeightedMinAge20),MAX(CapacityAge20*АбонементНовых*AZ8,MeanMinAge20)))</f>
        <v/>
      </c>
      <c r="BA66" s="4">
        <f>IF(OR(BA39=0,20&lt;=КаникулыРоялти),0,BA39*IF(РоялтиПоГруппам="Да",MeanMinAge20+BA8*SUMIF(ThresholdAge20,"&lt;"&amp;BA8,WeightedRevAge20)-SUMIF(ThresholdAge20,"&lt;"&amp;BA8,WeightedMinAge20),MAX(CapacityAge20*АбонементНовых*BA8,MeanMinAge20)))</f>
        <v/>
      </c>
      <c r="BB66" s="4">
        <f>IF(OR(BB39=0,20&lt;=КаникулыРоялти),0,BB39*IF(РоялтиПоГруппам="Да",MeanMinAge20+BB8*SUMIF(ThresholdAge20,"&lt;"&amp;BB8,WeightedRevAge20)-SUMIF(ThresholdAge20,"&lt;"&amp;BB8,WeightedMinAge20),MAX(CapacityAge20*АбонементНовых*BB8,MeanMinAge20)))</f>
        <v/>
      </c>
      <c r="BC66" s="4">
        <f>IF(OR(BC39=0,20&lt;=КаникулыРоялти),0,BC39*IF(РоялтиПоГруппам="Да",MeanMinAge20+BC8*SUMIF(ThresholdAge20,"&lt;"&amp;BC8,WeightedRevAge20)-SUMIF(ThresholdAge20,"&lt;"&amp;BC8,WeightedMinAge20),MAX(CapacityAge20*АбонементНовых*BC8,MeanMinAge20)))</f>
        <v/>
      </c>
      <c r="BD66" s="4">
        <f>IF(OR(BD39=0,20&lt;=КаникулыРоялти),0,BD39*IF(РоялтиПоГруппам="Да",MeanMinAge20+BD8*SUMIF(ThresholdAge20,"&lt;"&amp;BD8,WeightedRevAge20)-SUMIF(ThresholdAge20,"&lt;"&amp;BD8,WeightedMinAge20),MAX(CapacityAge20*АбонементНовых*BD8,MeanMinAge20)))</f>
        <v/>
      </c>
      <c r="BE66" s="4">
        <f>IF(OR(BE39=0,20&lt;=КаникулыРоялти),0,BE39*IF(РоялтиПоГруппам="Да",MeanMinAge20+BE8*SUMIF(ThresholdAge20,"&lt;"&amp;BE8,WeightedRevAge20)-SUMIF(ThresholdAge20,"&lt;"&amp;BE8,WeightedMinAge20),MAX(CapacityAge20*АбонементНовых*BE8,MeanMinAge20)))</f>
        <v/>
      </c>
      <c r="BF66" s="4">
        <f>IF(OR(BF39=0,20&lt;=КаникулыРоялти),0,BF39*IF(РоялтиПоГруппам="Да",MeanMinAge20+BF8*SUMIF(ThresholdAge20,"&lt;"&amp;BF8,WeightedRevAge20)-SUMIF(ThresholdAge20,"&lt;"&amp;BF8,WeightedMinAge20),MAX(CapacityAge20*АбонементНовых*BF8,MeanMinAge20)))</f>
        <v/>
      </c>
      <c r="BG66" s="4">
        <f>IF(OR(BG39=0,20&lt;=КаникулыРоялти),0,BG39*IF(РоялтиПоГруппам="Да",MeanMinAge20+BG8*SUMIF(ThresholdAge20,"&lt;"&amp;BG8,WeightedRevAge20)-SUMIF(ThresholdAge20,"&lt;"&amp;BG8,WeightedMinAge20),MAX(CapacityAge20*АбонементНовых*BG8,MeanMinAge20)))</f>
        <v/>
      </c>
      <c r="BH66" s="4">
        <f>IF(OR(BH39=0,20&lt;=КаникулыРоялти),0,BH39*IF(РоялтиПоГруппам="Да",MeanMinAge20+BH8*SUMIF(ThresholdAge20,"&lt;"&amp;BH8,WeightedRevAge20)-SUMIF(ThresholdAge20,"&lt;"&amp;BH8,WeightedMinAge20),MAX(CapacityAge20*АбонементНовых*BH8,MeanMinAge20)))</f>
        <v/>
      </c>
      <c r="BI66" s="4">
        <f>IF(OR(BI39=0,20&lt;=КаникулыРоялти),0,BI39*IF(РоялтиПоГруппам="Да",MeanMinAge20+BI8*SUMIF(ThresholdAge20,"&lt;"&amp;BI8,WeightedRevAge20)-SUMIF(ThresholdAge20,"&lt;"&amp;BI8,WeightedMinAge20),MAX(CapacityAge20*АбонементНовых*BI8,MeanMinAge20)))</f>
        <v/>
      </c>
      <c r="BJ66" s="4">
        <f>IF(OR(BJ39=0,20&lt;=КаникулыРоялти),0,BJ39*IF(РоялтиПоГруппам="Да",MeanMinAge20+BJ8*SUMIF(ThresholdAge20,"&lt;"&amp;BJ8,WeightedRevAge20)-SUMIF(ThresholdAge20,"&lt;"&amp;BJ8,WeightedMinAge20),MAX(CapacityAge20*АбонементНовых*BJ8,MeanMinAge20)))</f>
        <v/>
      </c>
      <c r="BK66" s="4">
        <f>IF(OR(BK39=0,20&lt;=КаникулыРоялти),0,BK39*IF(РоялтиПоГруппам="Да",MeanMinAge20+BK8*SUMIF(ThresholdAge20,"&lt;"&amp;BK8,WeightedRevAge20)-SUMIF(ThresholdAge20,"&lt;"&amp;BK8,WeightedMinAge20),MAX(CapacityAge20*АбонементНовых*BK8,MeanMinAge20)))</f>
        <v/>
      </c>
      <c r="BL66" s="4">
        <f>IF(OR(BL39=0,20&lt;=КаникулыРоялти),0,BL39*IF(РоялтиПоГруппам="Да",MeanMinAge20+BL8*SUMIF(ThresholdAge20,"&lt;"&amp;BL8,WeightedRevAge20)-SUMIF(ThresholdAge20,"&lt;"&amp;BL8,WeightedMinAge20),MAX(CapacityAge20*АбонементНовых*BL8,MeanMinAge20)))</f>
        <v/>
      </c>
      <c r="BM66" s="4">
        <f>IF(OR(BM39=0,20&lt;=КаникулыРоялти),0,BM39*IF(РоялтиПоГруппам="Да",MeanMinAge20+BM8*SUMIF(ThresholdAge20,"&lt;"&amp;BM8,WeightedRevAge20)-SUMIF(ThresholdAge20,"&lt;"&amp;BM8,WeightedMinAge20),MAX(CapacityAge20*АбонементНовых*BM8,MeanMinAge20)))</f>
        <v/>
      </c>
      <c r="BN66" s="4">
        <f>IF(OR(BN39=0,20&lt;=КаникулыРоялти),0,BN39*IF(РоялтиПоГруппам="Да",MeanMinAge20+BN8*SUMIF(ThresholdAge20,"&lt;"&amp;BN8,WeightedRevAge20)-SUMIF(ThresholdAge20,"&lt;"&amp;BN8,WeightedMinAge20),MAX(CapacityAge20*АбонементНовых*BN8,MeanMinAge20)))</f>
        <v/>
      </c>
      <c r="BO66" s="4">
        <f>IF(OR(BO39=0,20&lt;=КаникулыРоялти),0,BO39*IF(РоялтиПоГруппам="Да",MeanMinAge20+BO8*SUMIF(ThresholdAge20,"&lt;"&amp;BO8,WeightedRevAge20)-SUMIF(ThresholdAge20,"&lt;"&amp;BO8,WeightedMinAge20),MAX(CapacityAge20*АбонементНовых*BO8,MeanMinAge20)))</f>
        <v/>
      </c>
      <c r="BP66" s="4">
        <f>IF(OR(BP39=0,20&lt;=КаникулыРоялти),0,BP39*IF(РоялтиПоГруппам="Да",MeanMinAge20+BP8*SUMIF(ThresholdAge20,"&lt;"&amp;BP8,WeightedRevAge20)-SUMIF(ThresholdAge20,"&lt;"&amp;BP8,WeightedMinAge20),MAX(CapacityAge20*АбонементНовых*BP8,MeanMinAge20)))</f>
        <v/>
      </c>
      <c r="BQ66" s="4">
        <f>IF(OR(BQ39=0,20&lt;=КаникулыРоялти),0,BQ39*IF(РоялтиПоГруппам="Да",MeanMinAge20+BQ8*SUMIF(ThresholdAge20,"&lt;"&amp;BQ8,WeightedRevAge20)-SUMIF(ThresholdAge20,"&lt;"&amp;BQ8,WeightedMinAge20),MAX(CapacityAge20*АбонементНовых*BQ8,MeanMinAge20)))</f>
        <v/>
      </c>
      <c r="BR66" s="4">
        <f>IF(OR(BR39=0,20&lt;=КаникулыРоялти),0,BR39*IF(РоялтиПоГруппам="Да",MeanMinAge20+BR8*SUMIF(ThresholdAge20,"&lt;"&amp;BR8,WeightedRevAge20)-SUMIF(ThresholdAge20,"&lt;"&amp;BR8,WeightedMinAge20),MAX(CapacityAge20*АбонементНовых*BR8,MeanMinAge20)))</f>
        <v/>
      </c>
      <c r="BS66" s="4">
        <f>IF(OR(BS39=0,20&lt;=КаникулыРоялти),0,BS39*IF(РоялтиПоГруппам="Да",MeanMinAge20+BS8*SUMIF(ThresholdAge20,"&lt;"&amp;BS8,WeightedRevAge20)-SUMIF(ThresholdAge20,"&lt;"&amp;BS8,WeightedMinAge20),MAX(CapacityAge20*АбонементНовых*BS8,MeanMinAge20)))</f>
        <v/>
      </c>
      <c r="BT66" s="4">
        <f>IF(OR(BT39=0,20&lt;=КаникулыРоялти),0,BT39*IF(РоялтиПоГруппам="Да",MeanMinAge20+BT8*SUMIF(ThresholdAge20,"&lt;"&amp;BT8,WeightedRevAge20)-SUMIF(ThresholdAge20,"&lt;"&amp;BT8,WeightedMinAge20),MAX(CapacityAge20*АбонементНовых*BT8,MeanMinAge20)))</f>
        <v/>
      </c>
      <c r="BU66" s="4">
        <f>IF(OR(BU39=0,20&lt;=КаникулыРоялти),0,BU39*IF(РоялтиПоГруппам="Да",MeanMinAge20+BU8*SUMIF(ThresholdAge20,"&lt;"&amp;BU8,WeightedRevAge20)-SUMIF(ThresholdAge20,"&lt;"&amp;BU8,WeightedMinAge20),MAX(CapacityAge20*АбонементНовых*BU8,MeanMinAge20)))</f>
        <v/>
      </c>
      <c r="BV66" s="4">
        <f>IF(OR(BV39=0,20&lt;=КаникулыРоялти),0,BV39*IF(РоялтиПоГруппам="Да",MeanMinAge20+BV8*SUMIF(ThresholdAge20,"&lt;"&amp;BV8,WeightedRevAge20)-SUMIF(ThresholdAge20,"&lt;"&amp;BV8,WeightedMinAge20),MAX(CapacityAge20*АбонементНовых*BV8,MeanMinAge20)))</f>
        <v/>
      </c>
      <c r="BW66" s="4">
        <f>IF(OR(BW39=0,20&lt;=КаникулыРоялти),0,BW39*IF(РоялтиПоГруппам="Да",MeanMinAge20+BW8*SUMIF(ThresholdAge20,"&lt;"&amp;BW8,WeightedRevAge20)-SUMIF(ThresholdAge20,"&lt;"&amp;BW8,WeightedMinAge20),MAX(CapacityAge20*АбонементНовых*BW8,MeanMinAge20)))</f>
        <v/>
      </c>
      <c r="BX66" s="4">
        <f>IF(OR(BX39=0,20&lt;=КаникулыРоялти),0,BX39*IF(РоялтиПоГруппам="Да",MeanMinAge20+BX8*SUMIF(ThresholdAge20,"&lt;"&amp;BX8,WeightedRevAge20)-SUMIF(ThresholdAge20,"&lt;"&amp;BX8,WeightedMinAge20),MAX(CapacityAge20*АбонементНовых*BX8,MeanMinAge20)))</f>
        <v/>
      </c>
      <c r="BY66" s="4">
        <f>IF(OR(BY39=0,20&lt;=КаникулыРоялти),0,BY39*IF(РоялтиПоГруппам="Да",MeanMinAge20+BY8*SUMIF(ThresholdAge20,"&lt;"&amp;BY8,WeightedRevAge20)-SUMIF(ThresholdAge20,"&lt;"&amp;BY8,WeightedMinAge20),MAX(CapacityAge20*АбонементНовых*BY8,MeanMinAge20)))</f>
        <v/>
      </c>
    </row>
    <row r="67">
      <c r="B67" t="inlineStr">
        <is>
          <t>21 мес.</t>
        </is>
      </c>
      <c r="C67" t="inlineStr">
        <is>
          <t>₽</t>
        </is>
      </c>
      <c r="D67" s="117" t="inlineStr"/>
      <c r="E67" s="119">
        <f>SUM(L67:W67)</f>
        <v/>
      </c>
      <c r="F67" s="119">
        <f>SUM(X67:AI67)</f>
        <v/>
      </c>
      <c r="G67" s="119">
        <f>SUM(AJ67:AU67)</f>
        <v/>
      </c>
      <c r="H67" s="119">
        <f>SUM(AV67:BG67)</f>
        <v/>
      </c>
      <c r="I67" s="119">
        <f>SUM(BH67:BS67)</f>
        <v/>
      </c>
      <c r="J67" s="5">
        <f>SUM(L67:BS67)</f>
        <v/>
      </c>
      <c r="L67" s="4">
        <f>IF(OR(L40=0,21&lt;=КаникулыРоялти),0,L40*IF(РоялтиПоГруппам="Да",MeanMinAge21+L8*SUMIF(ThresholdAge21,"&lt;"&amp;L8,WeightedRevAge21)-SUMIF(ThresholdAge21,"&lt;"&amp;L8,WeightedMinAge21),MAX(CapacityAge21*АбонементНовых*L8,MeanMinAge21)))</f>
        <v/>
      </c>
      <c r="M67" s="4">
        <f>IF(OR(M40=0,21&lt;=КаникулыРоялти),0,M40*IF(РоялтиПоГруппам="Да",MeanMinAge21+M8*SUMIF(ThresholdAge21,"&lt;"&amp;M8,WeightedRevAge21)-SUMIF(ThresholdAge21,"&lt;"&amp;M8,WeightedMinAge21),MAX(CapacityAge21*АбонементНовых*M8,MeanMinAge21)))</f>
        <v/>
      </c>
      <c r="N67" s="4">
        <f>IF(OR(N40=0,21&lt;=КаникулыРоялти),0,N40*IF(РоялтиПоГруппам="Да",MeanMinAge21+N8*SUMIF(ThresholdAge21,"&lt;"&amp;N8,WeightedRevAge21)-SUMIF(ThresholdAge21,"&lt;"&amp;N8,WeightedMinAge21),MAX(CapacityAge21*АбонементНовых*N8,MeanMinAge21)))</f>
        <v/>
      </c>
      <c r="O67" s="4">
        <f>IF(OR(O40=0,21&lt;=КаникулыРоялти),0,O40*IF(РоялтиПоГруппам="Да",MeanMinAge21+O8*SUMIF(ThresholdAge21,"&lt;"&amp;O8,WeightedRevAge21)-SUMIF(ThresholdAge21,"&lt;"&amp;O8,WeightedMinAge21),MAX(CapacityAge21*АбонементНовых*O8,MeanMinAge21)))</f>
        <v/>
      </c>
      <c r="P67" s="4">
        <f>IF(OR(P40=0,21&lt;=КаникулыРоялти),0,P40*IF(РоялтиПоГруппам="Да",MeanMinAge21+P8*SUMIF(ThresholdAge21,"&lt;"&amp;P8,WeightedRevAge21)-SUMIF(ThresholdAge21,"&lt;"&amp;P8,WeightedMinAge21),MAX(CapacityAge21*АбонементНовых*P8,MeanMinAge21)))</f>
        <v/>
      </c>
      <c r="Q67" s="4">
        <f>IF(OR(Q40=0,21&lt;=КаникулыРоялти),0,Q40*IF(РоялтиПоГруппам="Да",MeanMinAge21+Q8*SUMIF(ThresholdAge21,"&lt;"&amp;Q8,WeightedRevAge21)-SUMIF(ThresholdAge21,"&lt;"&amp;Q8,WeightedMinAge21),MAX(CapacityAge21*АбонементНовых*Q8,MeanMinAge21)))</f>
        <v/>
      </c>
      <c r="R67" s="4">
        <f>IF(OR(R40=0,21&lt;=КаникулыРоялти),0,R40*IF(РоялтиПоГруппам="Да",MeanMinAge21+R8*SUMIF(ThresholdAge21,"&lt;"&amp;R8,WeightedRevAge21)-SUMIF(ThresholdAge21,"&lt;"&amp;R8,WeightedMinAge21),MAX(CapacityAge21*АбонементНовых*R8,MeanMinAge21)))</f>
        <v/>
      </c>
      <c r="S67" s="4">
        <f>IF(OR(S40=0,21&lt;=КаникулыРоялти),0,S40*IF(РоялтиПоГруппам="Да",MeanMinAge21+S8*SUMIF(ThresholdAge21,"&lt;"&amp;S8,WeightedRevAge21)-SUMIF(ThresholdAge21,"&lt;"&amp;S8,WeightedMinAge21),MAX(CapacityAge21*АбонементНовых*S8,MeanMinAge21)))</f>
        <v/>
      </c>
      <c r="T67" s="4">
        <f>IF(OR(T40=0,21&lt;=КаникулыРоялти),0,T40*IF(РоялтиПоГруппам="Да",MeanMinAge21+T8*SUMIF(ThresholdAge21,"&lt;"&amp;T8,WeightedRevAge21)-SUMIF(ThresholdAge21,"&lt;"&amp;T8,WeightedMinAge21),MAX(CapacityAge21*АбонементНовых*T8,MeanMinAge21)))</f>
        <v/>
      </c>
      <c r="U67" s="4">
        <f>IF(OR(U40=0,21&lt;=КаникулыРоялти),0,U40*IF(РоялтиПоГруппам="Да",MeanMinAge21+U8*SUMIF(ThresholdAge21,"&lt;"&amp;U8,WeightedRevAge21)-SUMIF(ThresholdAge21,"&lt;"&amp;U8,WeightedMinAge21),MAX(CapacityAge21*АбонементНовых*U8,MeanMinAge21)))</f>
        <v/>
      </c>
      <c r="V67" s="4">
        <f>IF(OR(V40=0,21&lt;=КаникулыРоялти),0,V40*IF(РоялтиПоГруппам="Да",MeanMinAge21+V8*SUMIF(ThresholdAge21,"&lt;"&amp;V8,WeightedRevAge21)-SUMIF(ThresholdAge21,"&lt;"&amp;V8,WeightedMinAge21),MAX(CapacityAge21*АбонементНовых*V8,MeanMinAge21)))</f>
        <v/>
      </c>
      <c r="W67" s="4">
        <f>IF(OR(W40=0,21&lt;=КаникулыРоялти),0,W40*IF(РоялтиПоГруппам="Да",MeanMinAge21+W8*SUMIF(ThresholdAge21,"&lt;"&amp;W8,WeightedRevAge21)-SUMIF(ThresholdAge21,"&lt;"&amp;W8,WeightedMinAge21),MAX(CapacityAge21*АбонементНовых*W8,MeanMinAge21)))</f>
        <v/>
      </c>
      <c r="X67" s="4">
        <f>IF(OR(X40=0,21&lt;=КаникулыРоялти),0,X40*IF(РоялтиПоГруппам="Да",MeanMinAge21+X8*SUMIF(ThresholdAge21,"&lt;"&amp;X8,WeightedRevAge21)-SUMIF(ThresholdAge21,"&lt;"&amp;X8,WeightedMinAge21),MAX(CapacityAge21*АбонементНовых*X8,MeanMinAge21)))</f>
        <v/>
      </c>
      <c r="Y67" s="4">
        <f>IF(OR(Y40=0,21&lt;=КаникулыРоялти),0,Y40*IF(РоялтиПоГруппам="Да",MeanMinAge21+Y8*SUMIF(ThresholdAge21,"&lt;"&amp;Y8,WeightedRevAge21)-SUMIF(ThresholdAge21,"&lt;"&amp;Y8,WeightedMinAge21),MAX(CapacityAge21*АбонементНовых*Y8,MeanMinAge21)))</f>
        <v/>
      </c>
      <c r="Z67" s="4">
        <f>IF(OR(Z40=0,21&lt;=КаникулыРоялти),0,Z40*IF(РоялтиПоГруппам="Да",MeanMinAge21+Z8*SUMIF(ThresholdAge21,"&lt;"&amp;Z8,WeightedRevAge21)-SUMIF(ThresholdAge21,"&lt;"&amp;Z8,WeightedMinAge21),MAX(CapacityAge21*АбонементНовых*Z8,MeanMinAge21)))</f>
        <v/>
      </c>
      <c r="AA67" s="4">
        <f>IF(OR(AA40=0,21&lt;=КаникулыРоялти),0,AA40*IF(РоялтиПоГруппам="Да",MeanMinAge21+AA8*SUMIF(ThresholdAge21,"&lt;"&amp;AA8,WeightedRevAge21)-SUMIF(ThresholdAge21,"&lt;"&amp;AA8,WeightedMinAge21),MAX(CapacityAge21*АбонементНовых*AA8,MeanMinAge21)))</f>
        <v/>
      </c>
      <c r="AB67" s="4">
        <f>IF(OR(AB40=0,21&lt;=КаникулыРоялти),0,AB40*IF(РоялтиПоГруппам="Да",MeanMinAge21+AB8*SUMIF(ThresholdAge21,"&lt;"&amp;AB8,WeightedRevAge21)-SUMIF(ThresholdAge21,"&lt;"&amp;AB8,WeightedMinAge21),MAX(CapacityAge21*АбонементНовых*AB8,MeanMinAge21)))</f>
        <v/>
      </c>
      <c r="AC67" s="4">
        <f>IF(OR(AC40=0,21&lt;=КаникулыРоялти),0,AC40*IF(РоялтиПоГруппам="Да",MeanMinAge21+AC8*SUMIF(ThresholdAge21,"&lt;"&amp;AC8,WeightedRevAge21)-SUMIF(ThresholdAge21,"&lt;"&amp;AC8,WeightedMinAge21),MAX(CapacityAge21*АбонементНовых*AC8,MeanMinAge21)))</f>
        <v/>
      </c>
      <c r="AD67" s="4">
        <f>IF(OR(AD40=0,21&lt;=КаникулыРоялти),0,AD40*IF(РоялтиПоГруппам="Да",MeanMinAge21+AD8*SUMIF(ThresholdAge21,"&lt;"&amp;AD8,WeightedRevAge21)-SUMIF(ThresholdAge21,"&lt;"&amp;AD8,WeightedMinAge21),MAX(CapacityAge21*АбонементНовых*AD8,MeanMinAge21)))</f>
        <v/>
      </c>
      <c r="AE67" s="4">
        <f>IF(OR(AE40=0,21&lt;=КаникулыРоялти),0,AE40*IF(РоялтиПоГруппам="Да",MeanMinAge21+AE8*SUMIF(ThresholdAge21,"&lt;"&amp;AE8,WeightedRevAge21)-SUMIF(ThresholdAge21,"&lt;"&amp;AE8,WeightedMinAge21),MAX(CapacityAge21*АбонементНовых*AE8,MeanMinAge21)))</f>
        <v/>
      </c>
      <c r="AF67" s="4">
        <f>IF(OR(AF40=0,21&lt;=КаникулыРоялти),0,AF40*IF(РоялтиПоГруппам="Да",MeanMinAge21+AF8*SUMIF(ThresholdAge21,"&lt;"&amp;AF8,WeightedRevAge21)-SUMIF(ThresholdAge21,"&lt;"&amp;AF8,WeightedMinAge21),MAX(CapacityAge21*АбонементНовых*AF8,MeanMinAge21)))</f>
        <v/>
      </c>
      <c r="AG67" s="4">
        <f>IF(OR(AG40=0,21&lt;=КаникулыРоялти),0,AG40*IF(РоялтиПоГруппам="Да",MeanMinAge21+AG8*SUMIF(ThresholdAge21,"&lt;"&amp;AG8,WeightedRevAge21)-SUMIF(ThresholdAge21,"&lt;"&amp;AG8,WeightedMinAge21),MAX(CapacityAge21*АбонементНовых*AG8,MeanMinAge21)))</f>
        <v/>
      </c>
      <c r="AH67" s="4">
        <f>IF(OR(AH40=0,21&lt;=КаникулыРоялти),0,AH40*IF(РоялтиПоГруппам="Да",MeanMinAge21+AH8*SUMIF(ThresholdAge21,"&lt;"&amp;AH8,WeightedRevAge21)-SUMIF(ThresholdAge21,"&lt;"&amp;AH8,WeightedMinAge21),MAX(CapacityAge21*АбонементНовых*AH8,MeanMinAge21)))</f>
        <v/>
      </c>
      <c r="AI67" s="4">
        <f>IF(OR(AI40=0,21&lt;=КаникулыРоялти),0,AI40*IF(РоялтиПоГруппам="Да",MeanMinAge21+AI8*SUMIF(ThresholdAge21,"&lt;"&amp;AI8,WeightedRevAge21)-SUMIF(ThresholdAge21,"&lt;"&amp;AI8,WeightedMinAge21),MAX(CapacityAge21*АбонементНовых*AI8,MeanMinAge21)))</f>
        <v/>
      </c>
      <c r="AJ67" s="4">
        <f>IF(OR(AJ40=0,21&lt;=КаникулыРоялти),0,AJ40*IF(РоялтиПоГруппам="Да",MeanMinAge21+AJ8*SUMIF(ThresholdAge21,"&lt;"&amp;AJ8,WeightedRevAge21)-SUMIF(ThresholdAge21,"&lt;"&amp;AJ8,WeightedMinAge21),MAX(CapacityAge21*АбонементНовых*AJ8,MeanMinAge21)))</f>
        <v/>
      </c>
      <c r="AK67" s="4">
        <f>IF(OR(AK40=0,21&lt;=КаникулыРоялти),0,AK40*IF(РоялтиПоГруппам="Да",MeanMinAge21+AK8*SUMIF(ThresholdAge21,"&lt;"&amp;AK8,WeightedRevAge21)-SUMIF(ThresholdAge21,"&lt;"&amp;AK8,WeightedMinAge21),MAX(CapacityAge21*АбонементНовых*AK8,MeanMinAge21)))</f>
        <v/>
      </c>
      <c r="AL67" s="4">
        <f>IF(OR(AL40=0,21&lt;=КаникулыРоялти),0,AL40*IF(РоялтиПоГруппам="Да",MeanMinAge21+AL8*SUMIF(ThresholdAge21,"&lt;"&amp;AL8,WeightedRevAge21)-SUMIF(ThresholdAge21,"&lt;"&amp;AL8,WeightedMinAge21),MAX(CapacityAge21*АбонементНовых*AL8,MeanMinAge21)))</f>
        <v/>
      </c>
      <c r="AM67" s="4">
        <f>IF(OR(AM40=0,21&lt;=КаникулыРоялти),0,AM40*IF(РоялтиПоГруппам="Да",MeanMinAge21+AM8*SUMIF(ThresholdAge21,"&lt;"&amp;AM8,WeightedRevAge21)-SUMIF(ThresholdAge21,"&lt;"&amp;AM8,WeightedMinAge21),MAX(CapacityAge21*АбонементНовых*AM8,MeanMinAge21)))</f>
        <v/>
      </c>
      <c r="AN67" s="4">
        <f>IF(OR(AN40=0,21&lt;=КаникулыРоялти),0,AN40*IF(РоялтиПоГруппам="Да",MeanMinAge21+AN8*SUMIF(ThresholdAge21,"&lt;"&amp;AN8,WeightedRevAge21)-SUMIF(ThresholdAge21,"&lt;"&amp;AN8,WeightedMinAge21),MAX(CapacityAge21*АбонементНовых*AN8,MeanMinAge21)))</f>
        <v/>
      </c>
      <c r="AO67" s="4">
        <f>IF(OR(AO40=0,21&lt;=КаникулыРоялти),0,AO40*IF(РоялтиПоГруппам="Да",MeanMinAge21+AO8*SUMIF(ThresholdAge21,"&lt;"&amp;AO8,WeightedRevAge21)-SUMIF(ThresholdAge21,"&lt;"&amp;AO8,WeightedMinAge21),MAX(CapacityAge21*АбонементНовых*AO8,MeanMinAge21)))</f>
        <v/>
      </c>
      <c r="AP67" s="4">
        <f>IF(OR(AP40=0,21&lt;=КаникулыРоялти),0,AP40*IF(РоялтиПоГруппам="Да",MeanMinAge21+AP8*SUMIF(ThresholdAge21,"&lt;"&amp;AP8,WeightedRevAge21)-SUMIF(ThresholdAge21,"&lt;"&amp;AP8,WeightedMinAge21),MAX(CapacityAge21*АбонементНовых*AP8,MeanMinAge21)))</f>
        <v/>
      </c>
      <c r="AQ67" s="4">
        <f>IF(OR(AQ40=0,21&lt;=КаникулыРоялти),0,AQ40*IF(РоялтиПоГруппам="Да",MeanMinAge21+AQ8*SUMIF(ThresholdAge21,"&lt;"&amp;AQ8,WeightedRevAge21)-SUMIF(ThresholdAge21,"&lt;"&amp;AQ8,WeightedMinAge21),MAX(CapacityAge21*АбонементНовых*AQ8,MeanMinAge21)))</f>
        <v/>
      </c>
      <c r="AR67" s="4">
        <f>IF(OR(AR40=0,21&lt;=КаникулыРоялти),0,AR40*IF(РоялтиПоГруппам="Да",MeanMinAge21+AR8*SUMIF(ThresholdAge21,"&lt;"&amp;AR8,WeightedRevAge21)-SUMIF(ThresholdAge21,"&lt;"&amp;AR8,WeightedMinAge21),MAX(CapacityAge21*АбонементНовых*AR8,MeanMinAge21)))</f>
        <v/>
      </c>
      <c r="AS67" s="4">
        <f>IF(OR(AS40=0,21&lt;=КаникулыРоялти),0,AS40*IF(РоялтиПоГруппам="Да",MeanMinAge21+AS8*SUMIF(ThresholdAge21,"&lt;"&amp;AS8,WeightedRevAge21)-SUMIF(ThresholdAge21,"&lt;"&amp;AS8,WeightedMinAge21),MAX(CapacityAge21*АбонементНовых*AS8,MeanMinAge21)))</f>
        <v/>
      </c>
      <c r="AT67" s="4">
        <f>IF(OR(AT40=0,21&lt;=КаникулыРоялти),0,AT40*IF(РоялтиПоГруппам="Да",MeanMinAge21+AT8*SUMIF(ThresholdAge21,"&lt;"&amp;AT8,WeightedRevAge21)-SUMIF(ThresholdAge21,"&lt;"&amp;AT8,WeightedMinAge21),MAX(CapacityAge21*АбонементНовых*AT8,MeanMinAge21)))</f>
        <v/>
      </c>
      <c r="AU67" s="4">
        <f>IF(OR(AU40=0,21&lt;=КаникулыРоялти),0,AU40*IF(РоялтиПоГруппам="Да",MeanMinAge21+AU8*SUMIF(ThresholdAge21,"&lt;"&amp;AU8,WeightedRevAge21)-SUMIF(ThresholdAge21,"&lt;"&amp;AU8,WeightedMinAge21),MAX(CapacityAge21*АбонементНовых*AU8,MeanMinAge21)))</f>
        <v/>
      </c>
      <c r="AV67" s="4">
        <f>IF(OR(AV40=0,21&lt;=КаникулыРоялти),0,AV40*IF(РоялтиПоГруппам="Да",MeanMinAge21+AV8*SUMIF(ThresholdAge21,"&lt;"&amp;AV8,WeightedRevAge21)-SUMIF(ThresholdAge21,"&lt;"&amp;AV8,WeightedMinAge21),MAX(CapacityAge21*АбонементНовых*AV8,MeanMinAge21)))</f>
        <v/>
      </c>
      <c r="AW67" s="4">
        <f>IF(OR(AW40=0,21&lt;=КаникулыРоялти),0,AW40*IF(РоялтиПоГруппам="Да",MeanMinAge21+AW8*SUMIF(ThresholdAge21,"&lt;"&amp;AW8,WeightedRevAge21)-SUMIF(ThresholdAge21,"&lt;"&amp;AW8,WeightedMinAge21),MAX(CapacityAge21*АбонементНовых*AW8,MeanMinAge21)))</f>
        <v/>
      </c>
      <c r="AX67" s="4">
        <f>IF(OR(AX40=0,21&lt;=КаникулыРоялти),0,AX40*IF(РоялтиПоГруппам="Да",MeanMinAge21+AX8*SUMIF(ThresholdAge21,"&lt;"&amp;AX8,WeightedRevAge21)-SUMIF(ThresholdAge21,"&lt;"&amp;AX8,WeightedMinAge21),MAX(CapacityAge21*АбонементНовых*AX8,MeanMinAge21)))</f>
        <v/>
      </c>
      <c r="AY67" s="4">
        <f>IF(OR(AY40=0,21&lt;=КаникулыРоялти),0,AY40*IF(РоялтиПоГруппам="Да",MeanMinAge21+AY8*SUMIF(ThresholdAge21,"&lt;"&amp;AY8,WeightedRevAge21)-SUMIF(ThresholdAge21,"&lt;"&amp;AY8,WeightedMinAge21),MAX(CapacityAge21*АбонементНовых*AY8,MeanMinAge21)))</f>
        <v/>
      </c>
      <c r="AZ67" s="4">
        <f>IF(OR(AZ40=0,21&lt;=КаникулыРоялти),0,AZ40*IF(РоялтиПоГруппам="Да",MeanMinAge21+AZ8*SUMIF(ThresholdAge21,"&lt;"&amp;AZ8,WeightedRevAge21)-SUMIF(ThresholdAge21,"&lt;"&amp;AZ8,WeightedMinAge21),MAX(CapacityAge21*АбонементНовых*AZ8,MeanMinAge21)))</f>
        <v/>
      </c>
      <c r="BA67" s="4">
        <f>IF(OR(BA40=0,21&lt;=КаникулыРоялти),0,BA40*IF(РоялтиПоГруппам="Да",MeanMinAge21+BA8*SUMIF(ThresholdAge21,"&lt;"&amp;BA8,WeightedRevAge21)-SUMIF(ThresholdAge21,"&lt;"&amp;BA8,WeightedMinAge21),MAX(CapacityAge21*АбонементНовых*BA8,MeanMinAge21)))</f>
        <v/>
      </c>
      <c r="BB67" s="4">
        <f>IF(OR(BB40=0,21&lt;=КаникулыРоялти),0,BB40*IF(РоялтиПоГруппам="Да",MeanMinAge21+BB8*SUMIF(ThresholdAge21,"&lt;"&amp;BB8,WeightedRevAge21)-SUMIF(ThresholdAge21,"&lt;"&amp;BB8,WeightedMinAge21),MAX(CapacityAge21*АбонементНовых*BB8,MeanMinAge21)))</f>
        <v/>
      </c>
      <c r="BC67" s="4">
        <f>IF(OR(BC40=0,21&lt;=КаникулыРоялти),0,BC40*IF(РоялтиПоГруппам="Да",MeanMinAge21+BC8*SUMIF(ThresholdAge21,"&lt;"&amp;BC8,WeightedRevAge21)-SUMIF(ThresholdAge21,"&lt;"&amp;BC8,WeightedMinAge21),MAX(CapacityAge21*АбонементНовых*BC8,MeanMinAge21)))</f>
        <v/>
      </c>
      <c r="BD67" s="4">
        <f>IF(OR(BD40=0,21&lt;=КаникулыРоялти),0,BD40*IF(РоялтиПоГруппам="Да",MeanMinAge21+BD8*SUMIF(ThresholdAge21,"&lt;"&amp;BD8,WeightedRevAge21)-SUMIF(ThresholdAge21,"&lt;"&amp;BD8,WeightedMinAge21),MAX(CapacityAge21*АбонементНовых*BD8,MeanMinAge21)))</f>
        <v/>
      </c>
      <c r="BE67" s="4">
        <f>IF(OR(BE40=0,21&lt;=КаникулыРоялти),0,BE40*IF(РоялтиПоГруппам="Да",MeanMinAge21+BE8*SUMIF(ThresholdAge21,"&lt;"&amp;BE8,WeightedRevAge21)-SUMIF(ThresholdAge21,"&lt;"&amp;BE8,WeightedMinAge21),MAX(CapacityAge21*АбонементНовых*BE8,MeanMinAge21)))</f>
        <v/>
      </c>
      <c r="BF67" s="4">
        <f>IF(OR(BF40=0,21&lt;=КаникулыРоялти),0,BF40*IF(РоялтиПоГруппам="Да",MeanMinAge21+BF8*SUMIF(ThresholdAge21,"&lt;"&amp;BF8,WeightedRevAge21)-SUMIF(ThresholdAge21,"&lt;"&amp;BF8,WeightedMinAge21),MAX(CapacityAge21*АбонементНовых*BF8,MeanMinAge21)))</f>
        <v/>
      </c>
      <c r="BG67" s="4">
        <f>IF(OR(BG40=0,21&lt;=КаникулыРоялти),0,BG40*IF(РоялтиПоГруппам="Да",MeanMinAge21+BG8*SUMIF(ThresholdAge21,"&lt;"&amp;BG8,WeightedRevAge21)-SUMIF(ThresholdAge21,"&lt;"&amp;BG8,WeightedMinAge21),MAX(CapacityAge21*АбонементНовых*BG8,MeanMinAge21)))</f>
        <v/>
      </c>
      <c r="BH67" s="4">
        <f>IF(OR(BH40=0,21&lt;=КаникулыРоялти),0,BH40*IF(РоялтиПоГруппам="Да",MeanMinAge21+BH8*SUMIF(ThresholdAge21,"&lt;"&amp;BH8,WeightedRevAge21)-SUMIF(ThresholdAge21,"&lt;"&amp;BH8,WeightedMinAge21),MAX(CapacityAge21*АбонементНовых*BH8,MeanMinAge21)))</f>
        <v/>
      </c>
      <c r="BI67" s="4">
        <f>IF(OR(BI40=0,21&lt;=КаникулыРоялти),0,BI40*IF(РоялтиПоГруппам="Да",MeanMinAge21+BI8*SUMIF(ThresholdAge21,"&lt;"&amp;BI8,WeightedRevAge21)-SUMIF(ThresholdAge21,"&lt;"&amp;BI8,WeightedMinAge21),MAX(CapacityAge21*АбонементНовых*BI8,MeanMinAge21)))</f>
        <v/>
      </c>
      <c r="BJ67" s="4">
        <f>IF(OR(BJ40=0,21&lt;=КаникулыРоялти),0,BJ40*IF(РоялтиПоГруппам="Да",MeanMinAge21+BJ8*SUMIF(ThresholdAge21,"&lt;"&amp;BJ8,WeightedRevAge21)-SUMIF(ThresholdAge21,"&lt;"&amp;BJ8,WeightedMinAge21),MAX(CapacityAge21*АбонементНовых*BJ8,MeanMinAge21)))</f>
        <v/>
      </c>
      <c r="BK67" s="4">
        <f>IF(OR(BK40=0,21&lt;=КаникулыРоялти),0,BK40*IF(РоялтиПоГруппам="Да",MeanMinAge21+BK8*SUMIF(ThresholdAge21,"&lt;"&amp;BK8,WeightedRevAge21)-SUMIF(ThresholdAge21,"&lt;"&amp;BK8,WeightedMinAge21),MAX(CapacityAge21*АбонементНовых*BK8,MeanMinAge21)))</f>
        <v/>
      </c>
      <c r="BL67" s="4">
        <f>IF(OR(BL40=0,21&lt;=КаникулыРоялти),0,BL40*IF(РоялтиПоГруппам="Да",MeanMinAge21+BL8*SUMIF(ThresholdAge21,"&lt;"&amp;BL8,WeightedRevAge21)-SUMIF(ThresholdAge21,"&lt;"&amp;BL8,WeightedMinAge21),MAX(CapacityAge21*АбонементНовых*BL8,MeanMinAge21)))</f>
        <v/>
      </c>
      <c r="BM67" s="4">
        <f>IF(OR(BM40=0,21&lt;=КаникулыРоялти),0,BM40*IF(РоялтиПоГруппам="Да",MeanMinAge21+BM8*SUMIF(ThresholdAge21,"&lt;"&amp;BM8,WeightedRevAge21)-SUMIF(ThresholdAge21,"&lt;"&amp;BM8,WeightedMinAge21),MAX(CapacityAge21*АбонементНовых*BM8,MeanMinAge21)))</f>
        <v/>
      </c>
      <c r="BN67" s="4">
        <f>IF(OR(BN40=0,21&lt;=КаникулыРоялти),0,BN40*IF(РоялтиПоГруппам="Да",MeanMinAge21+BN8*SUMIF(ThresholdAge21,"&lt;"&amp;BN8,WeightedRevAge21)-SUMIF(ThresholdAge21,"&lt;"&amp;BN8,WeightedMinAge21),MAX(CapacityAge21*АбонементНовых*BN8,MeanMinAge21)))</f>
        <v/>
      </c>
      <c r="BO67" s="4">
        <f>IF(OR(BO40=0,21&lt;=КаникулыРоялти),0,BO40*IF(РоялтиПоГруппам="Да",MeanMinAge21+BO8*SUMIF(ThresholdAge21,"&lt;"&amp;BO8,WeightedRevAge21)-SUMIF(ThresholdAge21,"&lt;"&amp;BO8,WeightedMinAge21),MAX(CapacityAge21*АбонементНовых*BO8,MeanMinAge21)))</f>
        <v/>
      </c>
      <c r="BP67" s="4">
        <f>IF(OR(BP40=0,21&lt;=КаникулыРоялти),0,BP40*IF(РоялтиПоГруппам="Да",MeanMinAge21+BP8*SUMIF(ThresholdAge21,"&lt;"&amp;BP8,WeightedRevAge21)-SUMIF(ThresholdAge21,"&lt;"&amp;BP8,WeightedMinAge21),MAX(CapacityAge21*АбонементНовых*BP8,MeanMinAge21)))</f>
        <v/>
      </c>
      <c r="BQ67" s="4">
        <f>IF(OR(BQ40=0,21&lt;=КаникулыРоялти),0,BQ40*IF(РоялтиПоГруппам="Да",MeanMinAge21+BQ8*SUMIF(ThresholdAge21,"&lt;"&amp;BQ8,WeightedRevAge21)-SUMIF(ThresholdAge21,"&lt;"&amp;BQ8,WeightedMinAge21),MAX(CapacityAge21*АбонементНовых*BQ8,MeanMinAge21)))</f>
        <v/>
      </c>
      <c r="BR67" s="4">
        <f>IF(OR(BR40=0,21&lt;=КаникулыРоялти),0,BR40*IF(РоялтиПоГруппам="Да",MeanMinAge21+BR8*SUMIF(ThresholdAge21,"&lt;"&amp;BR8,WeightedRevAge21)-SUMIF(ThresholdAge21,"&lt;"&amp;BR8,WeightedMinAge21),MAX(CapacityAge21*АбонементНовых*BR8,MeanMinAge21)))</f>
        <v/>
      </c>
      <c r="BS67" s="4">
        <f>IF(OR(BS40=0,21&lt;=КаникулыРоялти),0,BS40*IF(РоялтиПоГруппам="Да",MeanMinAge21+BS8*SUMIF(ThresholdAge21,"&lt;"&amp;BS8,WeightedRevAge21)-SUMIF(ThresholdAge21,"&lt;"&amp;BS8,WeightedMinAge21),MAX(CapacityAge21*АбонементНовых*BS8,MeanMinAge21)))</f>
        <v/>
      </c>
      <c r="BT67" s="4">
        <f>IF(OR(BT40=0,21&lt;=КаникулыРоялти),0,BT40*IF(РоялтиПоГруппам="Да",MeanMinAge21+BT8*SUMIF(ThresholdAge21,"&lt;"&amp;BT8,WeightedRevAge21)-SUMIF(ThresholdAge21,"&lt;"&amp;BT8,WeightedMinAge21),MAX(CapacityAge21*АбонементНовых*BT8,MeanMinAge21)))</f>
        <v/>
      </c>
      <c r="BU67" s="4">
        <f>IF(OR(BU40=0,21&lt;=КаникулыРоялти),0,BU40*IF(РоялтиПоГруппам="Да",MeanMinAge21+BU8*SUMIF(ThresholdAge21,"&lt;"&amp;BU8,WeightedRevAge21)-SUMIF(ThresholdAge21,"&lt;"&amp;BU8,WeightedMinAge21),MAX(CapacityAge21*АбонементНовых*BU8,MeanMinAge21)))</f>
        <v/>
      </c>
      <c r="BV67" s="4">
        <f>IF(OR(BV40=0,21&lt;=КаникулыРоялти),0,BV40*IF(РоялтиПоГруппам="Да",MeanMinAge21+BV8*SUMIF(ThresholdAge21,"&lt;"&amp;BV8,WeightedRevAge21)-SUMIF(ThresholdAge21,"&lt;"&amp;BV8,WeightedMinAge21),MAX(CapacityAge21*АбонементНовых*BV8,MeanMinAge21)))</f>
        <v/>
      </c>
      <c r="BW67" s="4">
        <f>IF(OR(BW40=0,21&lt;=КаникулыРоялти),0,BW40*IF(РоялтиПоГруппам="Да",MeanMinAge21+BW8*SUMIF(ThresholdAge21,"&lt;"&amp;BW8,WeightedRevAge21)-SUMIF(ThresholdAge21,"&lt;"&amp;BW8,WeightedMinAge21),MAX(CapacityAge21*АбонементНовых*BW8,MeanMinAge21)))</f>
        <v/>
      </c>
      <c r="BX67" s="4">
        <f>IF(OR(BX40=0,21&lt;=КаникулыРоялти),0,BX40*IF(РоялтиПоГруппам="Да",MeanMinAge21+BX8*SUMIF(ThresholdAge21,"&lt;"&amp;BX8,WeightedRevAge21)-SUMIF(ThresholdAge21,"&lt;"&amp;BX8,WeightedMinAge21),MAX(CapacityAge21*АбонементНовых*BX8,MeanMinAge21)))</f>
        <v/>
      </c>
      <c r="BY67" s="4">
        <f>IF(OR(BY40=0,21&lt;=КаникулыРоялти),0,BY40*IF(РоялтиПоГруппам="Да",MeanMinAge21+BY8*SUMIF(ThresholdAge21,"&lt;"&amp;BY8,WeightedRevAge21)-SUMIF(ThresholdAge21,"&lt;"&amp;BY8,WeightedMinAge21),MAX(CapacityAge21*АбонементНовых*BY8,MeanMinAge21)))</f>
        <v/>
      </c>
    </row>
    <row r="68">
      <c r="B68" t="inlineStr">
        <is>
          <t>22 мес.</t>
        </is>
      </c>
      <c r="C68" t="inlineStr">
        <is>
          <t>₽</t>
        </is>
      </c>
      <c r="D68" s="117" t="inlineStr"/>
      <c r="E68" s="119">
        <f>SUM(L68:W68)</f>
        <v/>
      </c>
      <c r="F68" s="119">
        <f>SUM(X68:AI68)</f>
        <v/>
      </c>
      <c r="G68" s="119">
        <f>SUM(AJ68:AU68)</f>
        <v/>
      </c>
      <c r="H68" s="119">
        <f>SUM(AV68:BG68)</f>
        <v/>
      </c>
      <c r="I68" s="119">
        <f>SUM(BH68:BS68)</f>
        <v/>
      </c>
      <c r="J68" s="5">
        <f>SUM(L68:BS68)</f>
        <v/>
      </c>
      <c r="L68" s="4">
        <f>IF(OR(L41=0,22&lt;=КаникулыРоялти),0,L41*IF(РоялтиПоГруппам="Да",MeanMinAge22+L8*SUMIF(ThresholdAge22,"&lt;"&amp;L8,WeightedRevAge22)-SUMIF(ThresholdAge22,"&lt;"&amp;L8,WeightedMinAge22),MAX(CapacityAge22*АбонементНовых*L8,MeanMinAge22)))</f>
        <v/>
      </c>
      <c r="M68" s="4">
        <f>IF(OR(M41=0,22&lt;=КаникулыРоялти),0,M41*IF(РоялтиПоГруппам="Да",MeanMinAge22+M8*SUMIF(ThresholdAge22,"&lt;"&amp;M8,WeightedRevAge22)-SUMIF(ThresholdAge22,"&lt;"&amp;M8,WeightedMinAge22),MAX(CapacityAge22*АбонементНовых*M8,MeanMinAge22)))</f>
        <v/>
      </c>
      <c r="N68" s="4">
        <f>IF(OR(N41=0,22&lt;=КаникулыРоялти),0,N41*IF(РоялтиПоГруппам="Да",MeanMinAge22+N8*SUMIF(ThresholdAge22,"&lt;"&amp;N8,WeightedRevAge22)-SUMIF(ThresholdAge22,"&lt;"&amp;N8,WeightedMinAge22),MAX(CapacityAge22*АбонементНовых*N8,MeanMinAge22)))</f>
        <v/>
      </c>
      <c r="O68" s="4">
        <f>IF(OR(O41=0,22&lt;=КаникулыРоялти),0,O41*IF(РоялтиПоГруппам="Да",MeanMinAge22+O8*SUMIF(ThresholdAge22,"&lt;"&amp;O8,WeightedRevAge22)-SUMIF(ThresholdAge22,"&lt;"&amp;O8,WeightedMinAge22),MAX(CapacityAge22*АбонементНовых*O8,MeanMinAge22)))</f>
        <v/>
      </c>
      <c r="P68" s="4">
        <f>IF(OR(P41=0,22&lt;=КаникулыРоялти),0,P41*IF(РоялтиПоГруппам="Да",MeanMinAge22+P8*SUMIF(ThresholdAge22,"&lt;"&amp;P8,WeightedRevAge22)-SUMIF(ThresholdAge22,"&lt;"&amp;P8,WeightedMinAge22),MAX(CapacityAge22*АбонементНовых*P8,MeanMinAge22)))</f>
        <v/>
      </c>
      <c r="Q68" s="4">
        <f>IF(OR(Q41=0,22&lt;=КаникулыРоялти),0,Q41*IF(РоялтиПоГруппам="Да",MeanMinAge22+Q8*SUMIF(ThresholdAge22,"&lt;"&amp;Q8,WeightedRevAge22)-SUMIF(ThresholdAge22,"&lt;"&amp;Q8,WeightedMinAge22),MAX(CapacityAge22*АбонементНовых*Q8,MeanMinAge22)))</f>
        <v/>
      </c>
      <c r="R68" s="4">
        <f>IF(OR(R41=0,22&lt;=КаникулыРоялти),0,R41*IF(РоялтиПоГруппам="Да",MeanMinAge22+R8*SUMIF(ThresholdAge22,"&lt;"&amp;R8,WeightedRevAge22)-SUMIF(ThresholdAge22,"&lt;"&amp;R8,WeightedMinAge22),MAX(CapacityAge22*АбонементНовых*R8,MeanMinAge22)))</f>
        <v/>
      </c>
      <c r="S68" s="4">
        <f>IF(OR(S41=0,22&lt;=КаникулыРоялти),0,S41*IF(РоялтиПоГруппам="Да",MeanMinAge22+S8*SUMIF(ThresholdAge22,"&lt;"&amp;S8,WeightedRevAge22)-SUMIF(ThresholdAge22,"&lt;"&amp;S8,WeightedMinAge22),MAX(CapacityAge22*АбонементНовых*S8,MeanMinAge22)))</f>
        <v/>
      </c>
      <c r="T68" s="4">
        <f>IF(OR(T41=0,22&lt;=КаникулыРоялти),0,T41*IF(РоялтиПоГруппам="Да",MeanMinAge22+T8*SUMIF(ThresholdAge22,"&lt;"&amp;T8,WeightedRevAge22)-SUMIF(ThresholdAge22,"&lt;"&amp;T8,WeightedMinAge22),MAX(CapacityAge22*АбонементНовых*T8,MeanMinAge22)))</f>
        <v/>
      </c>
      <c r="U68" s="4">
        <f>IF(OR(U41=0,22&lt;=КаникулыРоялти),0,U41*IF(РоялтиПоГруппам="Да",MeanMinAge22+U8*SUMIF(ThresholdAge22,"&lt;"&amp;U8,WeightedRevAge22)-SUMIF(ThresholdAge22,"&lt;"&amp;U8,WeightedMinAge22),MAX(CapacityAge22*АбонементНовых*U8,MeanMinAge22)))</f>
        <v/>
      </c>
      <c r="V68" s="4">
        <f>IF(OR(V41=0,22&lt;=КаникулыРоялти),0,V41*IF(РоялтиПоГруппам="Да",MeanMinAge22+V8*SUMIF(ThresholdAge22,"&lt;"&amp;V8,WeightedRevAge22)-SUMIF(ThresholdAge22,"&lt;"&amp;V8,WeightedMinAge22),MAX(CapacityAge22*АбонементНовых*V8,MeanMinAge22)))</f>
        <v/>
      </c>
      <c r="W68" s="4">
        <f>IF(OR(W41=0,22&lt;=КаникулыРоялти),0,W41*IF(РоялтиПоГруппам="Да",MeanMinAge22+W8*SUMIF(ThresholdAge22,"&lt;"&amp;W8,WeightedRevAge22)-SUMIF(ThresholdAge22,"&lt;"&amp;W8,WeightedMinAge22),MAX(CapacityAge22*АбонементНовых*W8,MeanMinAge22)))</f>
        <v/>
      </c>
      <c r="X68" s="4">
        <f>IF(OR(X41=0,22&lt;=КаникулыРоялти),0,X41*IF(РоялтиПоГруппам="Да",MeanMinAge22+X8*SUMIF(ThresholdAge22,"&lt;"&amp;X8,WeightedRevAge22)-SUMIF(ThresholdAge22,"&lt;"&amp;X8,WeightedMinAge22),MAX(CapacityAge22*АбонементНовых*X8,MeanMinAge22)))</f>
        <v/>
      </c>
      <c r="Y68" s="4">
        <f>IF(OR(Y41=0,22&lt;=КаникулыРоялти),0,Y41*IF(РоялтиПоГруппам="Да",MeanMinAge22+Y8*SUMIF(ThresholdAge22,"&lt;"&amp;Y8,WeightedRevAge22)-SUMIF(ThresholdAge22,"&lt;"&amp;Y8,WeightedMinAge22),MAX(CapacityAge22*АбонементНовых*Y8,MeanMinAge22)))</f>
        <v/>
      </c>
      <c r="Z68" s="4">
        <f>IF(OR(Z41=0,22&lt;=КаникулыРоялти),0,Z41*IF(РоялтиПоГруппам="Да",MeanMinAge22+Z8*SUMIF(ThresholdAge22,"&lt;"&amp;Z8,WeightedRevAge22)-SUMIF(ThresholdAge22,"&lt;"&amp;Z8,WeightedMinAge22),MAX(CapacityAge22*АбонементНовых*Z8,MeanMinAge22)))</f>
        <v/>
      </c>
      <c r="AA68" s="4">
        <f>IF(OR(AA41=0,22&lt;=КаникулыРоялти),0,AA41*IF(РоялтиПоГруппам="Да",MeanMinAge22+AA8*SUMIF(ThresholdAge22,"&lt;"&amp;AA8,WeightedRevAge22)-SUMIF(ThresholdAge22,"&lt;"&amp;AA8,WeightedMinAge22),MAX(CapacityAge22*АбонементНовых*AA8,MeanMinAge22)))</f>
        <v/>
      </c>
      <c r="AB68" s="4">
        <f>IF(OR(AB41=0,22&lt;=КаникулыРоялти),0,AB41*IF(РоялтиПоГруппам="Да",MeanMinAge22+AB8*SUMIF(ThresholdAge22,"&lt;"&amp;AB8,WeightedRevAge22)-SUMIF(ThresholdAge22,"&lt;"&amp;AB8,WeightedMinAge22),MAX(CapacityAge22*АбонементНовых*AB8,MeanMinAge22)))</f>
        <v/>
      </c>
      <c r="AC68" s="4">
        <f>IF(OR(AC41=0,22&lt;=КаникулыРоялти),0,AC41*IF(РоялтиПоГруппам="Да",MeanMinAge22+AC8*SUMIF(ThresholdAge22,"&lt;"&amp;AC8,WeightedRevAge22)-SUMIF(ThresholdAge22,"&lt;"&amp;AC8,WeightedMinAge22),MAX(CapacityAge22*АбонементНовых*AC8,MeanMinAge22)))</f>
        <v/>
      </c>
      <c r="AD68" s="4">
        <f>IF(OR(AD41=0,22&lt;=КаникулыРоялти),0,AD41*IF(РоялтиПоГруппам="Да",MeanMinAge22+AD8*SUMIF(ThresholdAge22,"&lt;"&amp;AD8,WeightedRevAge22)-SUMIF(ThresholdAge22,"&lt;"&amp;AD8,WeightedMinAge22),MAX(CapacityAge22*АбонементНовых*AD8,MeanMinAge22)))</f>
        <v/>
      </c>
      <c r="AE68" s="4">
        <f>IF(OR(AE41=0,22&lt;=КаникулыРоялти),0,AE41*IF(РоялтиПоГруппам="Да",MeanMinAge22+AE8*SUMIF(ThresholdAge22,"&lt;"&amp;AE8,WeightedRevAge22)-SUMIF(ThresholdAge22,"&lt;"&amp;AE8,WeightedMinAge22),MAX(CapacityAge22*АбонементНовых*AE8,MeanMinAge22)))</f>
        <v/>
      </c>
      <c r="AF68" s="4">
        <f>IF(OR(AF41=0,22&lt;=КаникулыРоялти),0,AF41*IF(РоялтиПоГруппам="Да",MeanMinAge22+AF8*SUMIF(ThresholdAge22,"&lt;"&amp;AF8,WeightedRevAge22)-SUMIF(ThresholdAge22,"&lt;"&amp;AF8,WeightedMinAge22),MAX(CapacityAge22*АбонементНовых*AF8,MeanMinAge22)))</f>
        <v/>
      </c>
      <c r="AG68" s="4">
        <f>IF(OR(AG41=0,22&lt;=КаникулыРоялти),0,AG41*IF(РоялтиПоГруппам="Да",MeanMinAge22+AG8*SUMIF(ThresholdAge22,"&lt;"&amp;AG8,WeightedRevAge22)-SUMIF(ThresholdAge22,"&lt;"&amp;AG8,WeightedMinAge22),MAX(CapacityAge22*АбонементНовых*AG8,MeanMinAge22)))</f>
        <v/>
      </c>
      <c r="AH68" s="4">
        <f>IF(OR(AH41=0,22&lt;=КаникулыРоялти),0,AH41*IF(РоялтиПоГруппам="Да",MeanMinAge22+AH8*SUMIF(ThresholdAge22,"&lt;"&amp;AH8,WeightedRevAge22)-SUMIF(ThresholdAge22,"&lt;"&amp;AH8,WeightedMinAge22),MAX(CapacityAge22*АбонементНовых*AH8,MeanMinAge22)))</f>
        <v/>
      </c>
      <c r="AI68" s="4">
        <f>IF(OR(AI41=0,22&lt;=КаникулыРоялти),0,AI41*IF(РоялтиПоГруппам="Да",MeanMinAge22+AI8*SUMIF(ThresholdAge22,"&lt;"&amp;AI8,WeightedRevAge22)-SUMIF(ThresholdAge22,"&lt;"&amp;AI8,WeightedMinAge22),MAX(CapacityAge22*АбонементНовых*AI8,MeanMinAge22)))</f>
        <v/>
      </c>
      <c r="AJ68" s="4">
        <f>IF(OR(AJ41=0,22&lt;=КаникулыРоялти),0,AJ41*IF(РоялтиПоГруппам="Да",MeanMinAge22+AJ8*SUMIF(ThresholdAge22,"&lt;"&amp;AJ8,WeightedRevAge22)-SUMIF(ThresholdAge22,"&lt;"&amp;AJ8,WeightedMinAge22),MAX(CapacityAge22*АбонементНовых*AJ8,MeanMinAge22)))</f>
        <v/>
      </c>
      <c r="AK68" s="4">
        <f>IF(OR(AK41=0,22&lt;=КаникулыРоялти),0,AK41*IF(РоялтиПоГруппам="Да",MeanMinAge22+AK8*SUMIF(ThresholdAge22,"&lt;"&amp;AK8,WeightedRevAge22)-SUMIF(ThresholdAge22,"&lt;"&amp;AK8,WeightedMinAge22),MAX(CapacityAge22*АбонементНовых*AK8,MeanMinAge22)))</f>
        <v/>
      </c>
      <c r="AL68" s="4">
        <f>IF(OR(AL41=0,22&lt;=КаникулыРоялти),0,AL41*IF(РоялтиПоГруппам="Да",MeanMinAge22+AL8*SUMIF(ThresholdAge22,"&lt;"&amp;AL8,WeightedRevAge22)-SUMIF(ThresholdAge22,"&lt;"&amp;AL8,WeightedMinAge22),MAX(CapacityAge22*АбонементНовых*AL8,MeanMinAge22)))</f>
        <v/>
      </c>
      <c r="AM68" s="4">
        <f>IF(OR(AM41=0,22&lt;=КаникулыРоялти),0,AM41*IF(РоялтиПоГруппам="Да",MeanMinAge22+AM8*SUMIF(ThresholdAge22,"&lt;"&amp;AM8,WeightedRevAge22)-SUMIF(ThresholdAge22,"&lt;"&amp;AM8,WeightedMinAge22),MAX(CapacityAge22*АбонементНовых*AM8,MeanMinAge22)))</f>
        <v/>
      </c>
      <c r="AN68" s="4">
        <f>IF(OR(AN41=0,22&lt;=КаникулыРоялти),0,AN41*IF(РоялтиПоГруппам="Да",MeanMinAge22+AN8*SUMIF(ThresholdAge22,"&lt;"&amp;AN8,WeightedRevAge22)-SUMIF(ThresholdAge22,"&lt;"&amp;AN8,WeightedMinAge22),MAX(CapacityAge22*АбонементНовых*AN8,MeanMinAge22)))</f>
        <v/>
      </c>
      <c r="AO68" s="4">
        <f>IF(OR(AO41=0,22&lt;=КаникулыРоялти),0,AO41*IF(РоялтиПоГруппам="Да",MeanMinAge22+AO8*SUMIF(ThresholdAge22,"&lt;"&amp;AO8,WeightedRevAge22)-SUMIF(ThresholdAge22,"&lt;"&amp;AO8,WeightedMinAge22),MAX(CapacityAge22*АбонементНовых*AO8,MeanMinAge22)))</f>
        <v/>
      </c>
      <c r="AP68" s="4">
        <f>IF(OR(AP41=0,22&lt;=КаникулыРоялти),0,AP41*IF(РоялтиПоГруппам="Да",MeanMinAge22+AP8*SUMIF(ThresholdAge22,"&lt;"&amp;AP8,WeightedRevAge22)-SUMIF(ThresholdAge22,"&lt;"&amp;AP8,WeightedMinAge22),MAX(CapacityAge22*АбонементНовых*AP8,MeanMinAge22)))</f>
        <v/>
      </c>
      <c r="AQ68" s="4">
        <f>IF(OR(AQ41=0,22&lt;=КаникулыРоялти),0,AQ41*IF(РоялтиПоГруппам="Да",MeanMinAge22+AQ8*SUMIF(ThresholdAge22,"&lt;"&amp;AQ8,WeightedRevAge22)-SUMIF(ThresholdAge22,"&lt;"&amp;AQ8,WeightedMinAge22),MAX(CapacityAge22*АбонементНовых*AQ8,MeanMinAge22)))</f>
        <v/>
      </c>
      <c r="AR68" s="4">
        <f>IF(OR(AR41=0,22&lt;=КаникулыРоялти),0,AR41*IF(РоялтиПоГруппам="Да",MeanMinAge22+AR8*SUMIF(ThresholdAge22,"&lt;"&amp;AR8,WeightedRevAge22)-SUMIF(ThresholdAge22,"&lt;"&amp;AR8,WeightedMinAge22),MAX(CapacityAge22*АбонементНовых*AR8,MeanMinAge22)))</f>
        <v/>
      </c>
      <c r="AS68" s="4">
        <f>IF(OR(AS41=0,22&lt;=КаникулыРоялти),0,AS41*IF(РоялтиПоГруппам="Да",MeanMinAge22+AS8*SUMIF(ThresholdAge22,"&lt;"&amp;AS8,WeightedRevAge22)-SUMIF(ThresholdAge22,"&lt;"&amp;AS8,WeightedMinAge22),MAX(CapacityAge22*АбонементНовых*AS8,MeanMinAge22)))</f>
        <v/>
      </c>
      <c r="AT68" s="4">
        <f>IF(OR(AT41=0,22&lt;=КаникулыРоялти),0,AT41*IF(РоялтиПоГруппам="Да",MeanMinAge22+AT8*SUMIF(ThresholdAge22,"&lt;"&amp;AT8,WeightedRevAge22)-SUMIF(ThresholdAge22,"&lt;"&amp;AT8,WeightedMinAge22),MAX(CapacityAge22*АбонементНовых*AT8,MeanMinAge22)))</f>
        <v/>
      </c>
      <c r="AU68" s="4">
        <f>IF(OR(AU41=0,22&lt;=КаникулыРоялти),0,AU41*IF(РоялтиПоГруппам="Да",MeanMinAge22+AU8*SUMIF(ThresholdAge22,"&lt;"&amp;AU8,WeightedRevAge22)-SUMIF(ThresholdAge22,"&lt;"&amp;AU8,WeightedMinAge22),MAX(CapacityAge22*АбонементНовых*AU8,MeanMinAge22)))</f>
        <v/>
      </c>
      <c r="AV68" s="4">
        <f>IF(OR(AV41=0,22&lt;=КаникулыРоялти),0,AV41*IF(РоялтиПоГруппам="Да",MeanMinAge22+AV8*SUMIF(ThresholdAge22,"&lt;"&amp;AV8,WeightedRevAge22)-SUMIF(ThresholdAge22,"&lt;"&amp;AV8,WeightedMinAge22),MAX(CapacityAge22*АбонементНовых*AV8,MeanMinAge22)))</f>
        <v/>
      </c>
      <c r="AW68" s="4">
        <f>IF(OR(AW41=0,22&lt;=КаникулыРоялти),0,AW41*IF(РоялтиПоГруппам="Да",MeanMinAge22+AW8*SUMIF(ThresholdAge22,"&lt;"&amp;AW8,WeightedRevAge22)-SUMIF(ThresholdAge22,"&lt;"&amp;AW8,WeightedMinAge22),MAX(CapacityAge22*АбонементНовых*AW8,MeanMinAge22)))</f>
        <v/>
      </c>
      <c r="AX68" s="4">
        <f>IF(OR(AX41=0,22&lt;=КаникулыРоялти),0,AX41*IF(РоялтиПоГруппам="Да",MeanMinAge22+AX8*SUMIF(ThresholdAge22,"&lt;"&amp;AX8,WeightedRevAge22)-SUMIF(ThresholdAge22,"&lt;"&amp;AX8,WeightedMinAge22),MAX(CapacityAge22*АбонементНовых*AX8,MeanMinAge22)))</f>
        <v/>
      </c>
      <c r="AY68" s="4">
        <f>IF(OR(AY41=0,22&lt;=КаникулыРоялти),0,AY41*IF(РоялтиПоГруппам="Да",MeanMinAge22+AY8*SUMIF(ThresholdAge22,"&lt;"&amp;AY8,WeightedRevAge22)-SUMIF(ThresholdAge22,"&lt;"&amp;AY8,WeightedMinAge22),MAX(CapacityAge22*АбонементНовых*AY8,MeanMinAge22)))</f>
        <v/>
      </c>
      <c r="AZ68" s="4">
        <f>IF(OR(AZ41=0,22&lt;=КаникулыРоялти),0,AZ41*IF(РоялтиПоГруппам="Да",MeanMinAge22+AZ8*SUMIF(ThresholdAge22,"&lt;"&amp;AZ8,WeightedRevAge22)-SUMIF(ThresholdAge22,"&lt;"&amp;AZ8,WeightedMinAge22),MAX(CapacityAge22*АбонементНовых*AZ8,MeanMinAge22)))</f>
        <v/>
      </c>
      <c r="BA68" s="4">
        <f>IF(OR(BA41=0,22&lt;=КаникулыРоялти),0,BA41*IF(РоялтиПоГруппам="Да",MeanMinAge22+BA8*SUMIF(ThresholdAge22,"&lt;"&amp;BA8,WeightedRevAge22)-SUMIF(ThresholdAge22,"&lt;"&amp;BA8,WeightedMinAge22),MAX(CapacityAge22*АбонементНовых*BA8,MeanMinAge22)))</f>
        <v/>
      </c>
      <c r="BB68" s="4">
        <f>IF(OR(BB41=0,22&lt;=КаникулыРоялти),0,BB41*IF(РоялтиПоГруппам="Да",MeanMinAge22+BB8*SUMIF(ThresholdAge22,"&lt;"&amp;BB8,WeightedRevAge22)-SUMIF(ThresholdAge22,"&lt;"&amp;BB8,WeightedMinAge22),MAX(CapacityAge22*АбонементНовых*BB8,MeanMinAge22)))</f>
        <v/>
      </c>
      <c r="BC68" s="4">
        <f>IF(OR(BC41=0,22&lt;=КаникулыРоялти),0,BC41*IF(РоялтиПоГруппам="Да",MeanMinAge22+BC8*SUMIF(ThresholdAge22,"&lt;"&amp;BC8,WeightedRevAge22)-SUMIF(ThresholdAge22,"&lt;"&amp;BC8,WeightedMinAge22),MAX(CapacityAge22*АбонементНовых*BC8,MeanMinAge22)))</f>
        <v/>
      </c>
      <c r="BD68" s="4">
        <f>IF(OR(BD41=0,22&lt;=КаникулыРоялти),0,BD41*IF(РоялтиПоГруппам="Да",MeanMinAge22+BD8*SUMIF(ThresholdAge22,"&lt;"&amp;BD8,WeightedRevAge22)-SUMIF(ThresholdAge22,"&lt;"&amp;BD8,WeightedMinAge22),MAX(CapacityAge22*АбонементНовых*BD8,MeanMinAge22)))</f>
        <v/>
      </c>
      <c r="BE68" s="4">
        <f>IF(OR(BE41=0,22&lt;=КаникулыРоялти),0,BE41*IF(РоялтиПоГруппам="Да",MeanMinAge22+BE8*SUMIF(ThresholdAge22,"&lt;"&amp;BE8,WeightedRevAge22)-SUMIF(ThresholdAge22,"&lt;"&amp;BE8,WeightedMinAge22),MAX(CapacityAge22*АбонементНовых*BE8,MeanMinAge22)))</f>
        <v/>
      </c>
      <c r="BF68" s="4">
        <f>IF(OR(BF41=0,22&lt;=КаникулыРоялти),0,BF41*IF(РоялтиПоГруппам="Да",MeanMinAge22+BF8*SUMIF(ThresholdAge22,"&lt;"&amp;BF8,WeightedRevAge22)-SUMIF(ThresholdAge22,"&lt;"&amp;BF8,WeightedMinAge22),MAX(CapacityAge22*АбонементНовых*BF8,MeanMinAge22)))</f>
        <v/>
      </c>
      <c r="BG68" s="4">
        <f>IF(OR(BG41=0,22&lt;=КаникулыРоялти),0,BG41*IF(РоялтиПоГруппам="Да",MeanMinAge22+BG8*SUMIF(ThresholdAge22,"&lt;"&amp;BG8,WeightedRevAge22)-SUMIF(ThresholdAge22,"&lt;"&amp;BG8,WeightedMinAge22),MAX(CapacityAge22*АбонементНовых*BG8,MeanMinAge22)))</f>
        <v/>
      </c>
      <c r="BH68" s="4">
        <f>IF(OR(BH41=0,22&lt;=КаникулыРоялти),0,BH41*IF(РоялтиПоГруппам="Да",MeanMinAge22+BH8*SUMIF(ThresholdAge22,"&lt;"&amp;BH8,WeightedRevAge22)-SUMIF(ThresholdAge22,"&lt;"&amp;BH8,WeightedMinAge22),MAX(CapacityAge22*АбонементНовых*BH8,MeanMinAge22)))</f>
        <v/>
      </c>
      <c r="BI68" s="4">
        <f>IF(OR(BI41=0,22&lt;=КаникулыРоялти),0,BI41*IF(РоялтиПоГруппам="Да",MeanMinAge22+BI8*SUMIF(ThresholdAge22,"&lt;"&amp;BI8,WeightedRevAge22)-SUMIF(ThresholdAge22,"&lt;"&amp;BI8,WeightedMinAge22),MAX(CapacityAge22*АбонементНовых*BI8,MeanMinAge22)))</f>
        <v/>
      </c>
      <c r="BJ68" s="4">
        <f>IF(OR(BJ41=0,22&lt;=КаникулыРоялти),0,BJ41*IF(РоялтиПоГруппам="Да",MeanMinAge22+BJ8*SUMIF(ThresholdAge22,"&lt;"&amp;BJ8,WeightedRevAge22)-SUMIF(ThresholdAge22,"&lt;"&amp;BJ8,WeightedMinAge22),MAX(CapacityAge22*АбонементНовых*BJ8,MeanMinAge22)))</f>
        <v/>
      </c>
      <c r="BK68" s="4">
        <f>IF(OR(BK41=0,22&lt;=КаникулыРоялти),0,BK41*IF(РоялтиПоГруппам="Да",MeanMinAge22+BK8*SUMIF(ThresholdAge22,"&lt;"&amp;BK8,WeightedRevAge22)-SUMIF(ThresholdAge22,"&lt;"&amp;BK8,WeightedMinAge22),MAX(CapacityAge22*АбонементНовых*BK8,MeanMinAge22)))</f>
        <v/>
      </c>
      <c r="BL68" s="4">
        <f>IF(OR(BL41=0,22&lt;=КаникулыРоялти),0,BL41*IF(РоялтиПоГруппам="Да",MeanMinAge22+BL8*SUMIF(ThresholdAge22,"&lt;"&amp;BL8,WeightedRevAge22)-SUMIF(ThresholdAge22,"&lt;"&amp;BL8,WeightedMinAge22),MAX(CapacityAge22*АбонементНовых*BL8,MeanMinAge22)))</f>
        <v/>
      </c>
      <c r="BM68" s="4">
        <f>IF(OR(BM41=0,22&lt;=КаникулыРоялти),0,BM41*IF(РоялтиПоГруппам="Да",MeanMinAge22+BM8*SUMIF(ThresholdAge22,"&lt;"&amp;BM8,WeightedRevAge22)-SUMIF(ThresholdAge22,"&lt;"&amp;BM8,WeightedMinAge22),MAX(CapacityAge22*АбонементНовых*BM8,MeanMinAge22)))</f>
        <v/>
      </c>
      <c r="BN68" s="4">
        <f>IF(OR(BN41=0,22&lt;=КаникулыРоялти),0,BN41*IF(РоялтиПоГруппам="Да",MeanMinAge22+BN8*SUMIF(ThresholdAge22,"&lt;"&amp;BN8,WeightedRevAge22)-SUMIF(ThresholdAge22,"&lt;"&amp;BN8,WeightedMinAge22),MAX(CapacityAge22*АбонементНовых*BN8,MeanMinAge22)))</f>
        <v/>
      </c>
      <c r="BO68" s="4">
        <f>IF(OR(BO41=0,22&lt;=КаникулыРоялти),0,BO41*IF(РоялтиПоГруппам="Да",MeanMinAge22+BO8*SUMIF(ThresholdAge22,"&lt;"&amp;BO8,WeightedRevAge22)-SUMIF(ThresholdAge22,"&lt;"&amp;BO8,WeightedMinAge22),MAX(CapacityAge22*АбонементНовых*BO8,MeanMinAge22)))</f>
        <v/>
      </c>
      <c r="BP68" s="4">
        <f>IF(OR(BP41=0,22&lt;=КаникулыРоялти),0,BP41*IF(РоялтиПоГруппам="Да",MeanMinAge22+BP8*SUMIF(ThresholdAge22,"&lt;"&amp;BP8,WeightedRevAge22)-SUMIF(ThresholdAge22,"&lt;"&amp;BP8,WeightedMinAge22),MAX(CapacityAge22*АбонементНовых*BP8,MeanMinAge22)))</f>
        <v/>
      </c>
      <c r="BQ68" s="4">
        <f>IF(OR(BQ41=0,22&lt;=КаникулыРоялти),0,BQ41*IF(РоялтиПоГруппам="Да",MeanMinAge22+BQ8*SUMIF(ThresholdAge22,"&lt;"&amp;BQ8,WeightedRevAge22)-SUMIF(ThresholdAge22,"&lt;"&amp;BQ8,WeightedMinAge22),MAX(CapacityAge22*АбонементНовых*BQ8,MeanMinAge22)))</f>
        <v/>
      </c>
      <c r="BR68" s="4">
        <f>IF(OR(BR41=0,22&lt;=КаникулыРоялти),0,BR41*IF(РоялтиПоГруппам="Да",MeanMinAge22+BR8*SUMIF(ThresholdAge22,"&lt;"&amp;BR8,WeightedRevAge22)-SUMIF(ThresholdAge22,"&lt;"&amp;BR8,WeightedMinAge22),MAX(CapacityAge22*АбонементНовых*BR8,MeanMinAge22)))</f>
        <v/>
      </c>
      <c r="BS68" s="4">
        <f>IF(OR(BS41=0,22&lt;=КаникулыРоялти),0,BS41*IF(РоялтиПоГруппам="Да",MeanMinAge22+BS8*SUMIF(ThresholdAge22,"&lt;"&amp;BS8,WeightedRevAge22)-SUMIF(ThresholdAge22,"&lt;"&amp;BS8,WeightedMinAge22),MAX(CapacityAge22*АбонементНовых*BS8,MeanMinAge22)))</f>
        <v/>
      </c>
      <c r="BT68" s="4">
        <f>IF(OR(BT41=0,22&lt;=КаникулыРоялти),0,BT41*IF(РоялтиПоГруппам="Да",MeanMinAge22+BT8*SUMIF(ThresholdAge22,"&lt;"&amp;BT8,WeightedRevAge22)-SUMIF(ThresholdAge22,"&lt;"&amp;BT8,WeightedMinAge22),MAX(CapacityAge22*АбонементНовых*BT8,MeanMinAge22)))</f>
        <v/>
      </c>
      <c r="BU68" s="4">
        <f>IF(OR(BU41=0,22&lt;=КаникулыРоялти),0,BU41*IF(РоялтиПоГруппам="Да",MeanMinAge22+BU8*SUMIF(ThresholdAge22,"&lt;"&amp;BU8,WeightedRevAge22)-SUMIF(ThresholdAge22,"&lt;"&amp;BU8,WeightedMinAge22),MAX(CapacityAge22*АбонементНовых*BU8,MeanMinAge22)))</f>
        <v/>
      </c>
      <c r="BV68" s="4">
        <f>IF(OR(BV41=0,22&lt;=КаникулыРоялти),0,BV41*IF(РоялтиПоГруппам="Да",MeanMinAge22+BV8*SUMIF(ThresholdAge22,"&lt;"&amp;BV8,WeightedRevAge22)-SUMIF(ThresholdAge22,"&lt;"&amp;BV8,WeightedMinAge22),MAX(CapacityAge22*АбонементНовых*BV8,MeanMinAge22)))</f>
        <v/>
      </c>
      <c r="BW68" s="4">
        <f>IF(OR(BW41=0,22&lt;=КаникулыРоялти),0,BW41*IF(РоялтиПоГруппам="Да",MeanMinAge22+BW8*SUMIF(ThresholdAge22,"&lt;"&amp;BW8,WeightedRevAge22)-SUMIF(ThresholdAge22,"&lt;"&amp;BW8,WeightedMinAge22),MAX(CapacityAge22*АбонементНовых*BW8,MeanMinAge22)))</f>
        <v/>
      </c>
      <c r="BX68" s="4">
        <f>IF(OR(BX41=0,22&lt;=КаникулыРоялти),0,BX41*IF(РоялтиПоГруппам="Да",MeanMinAge22+BX8*SUMIF(ThresholdAge22,"&lt;"&amp;BX8,WeightedRevAge22)-SUMIF(ThresholdAge22,"&lt;"&amp;BX8,WeightedMinAge22),MAX(CapacityAge22*АбонементНовых*BX8,MeanMinAge22)))</f>
        <v/>
      </c>
      <c r="BY68" s="4">
        <f>IF(OR(BY41=0,22&lt;=КаникулыРоялти),0,BY41*IF(РоялтиПоГруппам="Да",MeanMinAge22+BY8*SUMIF(ThresholdAge22,"&lt;"&amp;BY8,WeightedRevAge22)-SUMIF(ThresholdAge22,"&lt;"&amp;BY8,WeightedMinAge22),MAX(CapacityAge22*АбонементНовых*BY8,MeanMinAge22)))</f>
        <v/>
      </c>
    </row>
    <row r="69">
      <c r="B69" t="inlineStr">
        <is>
          <t>23 мес.</t>
        </is>
      </c>
      <c r="C69" t="inlineStr">
        <is>
          <t>₽</t>
        </is>
      </c>
      <c r="D69" s="117" t="inlineStr"/>
      <c r="E69" s="119">
        <f>SUM(L69:W69)</f>
        <v/>
      </c>
      <c r="F69" s="119">
        <f>SUM(X69:AI69)</f>
        <v/>
      </c>
      <c r="G69" s="119">
        <f>SUM(AJ69:AU69)</f>
        <v/>
      </c>
      <c r="H69" s="119">
        <f>SUM(AV69:BG69)</f>
        <v/>
      </c>
      <c r="I69" s="119">
        <f>SUM(BH69:BS69)</f>
        <v/>
      </c>
      <c r="J69" s="5">
        <f>SUM(L69:BS69)</f>
        <v/>
      </c>
      <c r="L69" s="4">
        <f>IF(OR(L42=0,23&lt;=КаникулыРоялти),0,L42*IF(РоялтиПоГруппам="Да",MeanMinAge23+L8*SUMIF(ThresholdAge23,"&lt;"&amp;L8,WeightedRevAge23)-SUMIF(ThresholdAge23,"&lt;"&amp;L8,WeightedMinAge23),MAX(CapacityAge23*АбонементНовых*L8,MeanMinAge23)))</f>
        <v/>
      </c>
      <c r="M69" s="4">
        <f>IF(OR(M42=0,23&lt;=КаникулыРоялти),0,M42*IF(РоялтиПоГруппам="Да",MeanMinAge23+M8*SUMIF(ThresholdAge23,"&lt;"&amp;M8,WeightedRevAge23)-SUMIF(ThresholdAge23,"&lt;"&amp;M8,WeightedMinAge23),MAX(CapacityAge23*АбонементНовых*M8,MeanMinAge23)))</f>
        <v/>
      </c>
      <c r="N69" s="4">
        <f>IF(OR(N42=0,23&lt;=КаникулыРоялти),0,N42*IF(РоялтиПоГруппам="Да",MeanMinAge23+N8*SUMIF(ThresholdAge23,"&lt;"&amp;N8,WeightedRevAge23)-SUMIF(ThresholdAge23,"&lt;"&amp;N8,WeightedMinAge23),MAX(CapacityAge23*АбонементНовых*N8,MeanMinAge23)))</f>
        <v/>
      </c>
      <c r="O69" s="4">
        <f>IF(OR(O42=0,23&lt;=КаникулыРоялти),0,O42*IF(РоялтиПоГруппам="Да",MeanMinAge23+O8*SUMIF(ThresholdAge23,"&lt;"&amp;O8,WeightedRevAge23)-SUMIF(ThresholdAge23,"&lt;"&amp;O8,WeightedMinAge23),MAX(CapacityAge23*АбонементНовых*O8,MeanMinAge23)))</f>
        <v/>
      </c>
      <c r="P69" s="4">
        <f>IF(OR(P42=0,23&lt;=КаникулыРоялти),0,P42*IF(РоялтиПоГруппам="Да",MeanMinAge23+P8*SUMIF(ThresholdAge23,"&lt;"&amp;P8,WeightedRevAge23)-SUMIF(ThresholdAge23,"&lt;"&amp;P8,WeightedMinAge23),MAX(CapacityAge23*АбонементНовых*P8,MeanMinAge23)))</f>
        <v/>
      </c>
      <c r="Q69" s="4">
        <f>IF(OR(Q42=0,23&lt;=КаникулыРоялти),0,Q42*IF(РоялтиПоГруппам="Да",MeanMinAge23+Q8*SUMIF(ThresholdAge23,"&lt;"&amp;Q8,WeightedRevAge23)-SUMIF(ThresholdAge23,"&lt;"&amp;Q8,WeightedMinAge23),MAX(CapacityAge23*АбонементНовых*Q8,MeanMinAge23)))</f>
        <v/>
      </c>
      <c r="R69" s="4">
        <f>IF(OR(R42=0,23&lt;=КаникулыРоялти),0,R42*IF(РоялтиПоГруппам="Да",MeanMinAge23+R8*SUMIF(ThresholdAge23,"&lt;"&amp;R8,WeightedRevAge23)-SUMIF(ThresholdAge23,"&lt;"&amp;R8,WeightedMinAge23),MAX(CapacityAge23*АбонементНовых*R8,MeanMinAge23)))</f>
        <v/>
      </c>
      <c r="S69" s="4">
        <f>IF(OR(S42=0,23&lt;=КаникулыРоялти),0,S42*IF(РоялтиПоГруппам="Да",MeanMinAge23+S8*SUMIF(ThresholdAge23,"&lt;"&amp;S8,WeightedRevAge23)-SUMIF(ThresholdAge23,"&lt;"&amp;S8,WeightedMinAge23),MAX(CapacityAge23*АбонементНовых*S8,MeanMinAge23)))</f>
        <v/>
      </c>
      <c r="T69" s="4">
        <f>IF(OR(T42=0,23&lt;=КаникулыРоялти),0,T42*IF(РоялтиПоГруппам="Да",MeanMinAge23+T8*SUMIF(ThresholdAge23,"&lt;"&amp;T8,WeightedRevAge23)-SUMIF(ThresholdAge23,"&lt;"&amp;T8,WeightedMinAge23),MAX(CapacityAge23*АбонементНовых*T8,MeanMinAge23)))</f>
        <v/>
      </c>
      <c r="U69" s="4">
        <f>IF(OR(U42=0,23&lt;=КаникулыРоялти),0,U42*IF(РоялтиПоГруппам="Да",MeanMinAge23+U8*SUMIF(ThresholdAge23,"&lt;"&amp;U8,WeightedRevAge23)-SUMIF(ThresholdAge23,"&lt;"&amp;U8,WeightedMinAge23),MAX(CapacityAge23*АбонементНовых*U8,MeanMinAge23)))</f>
        <v/>
      </c>
      <c r="V69" s="4">
        <f>IF(OR(V42=0,23&lt;=КаникулыРоялти),0,V42*IF(РоялтиПоГруппам="Да",MeanMinAge23+V8*SUMIF(ThresholdAge23,"&lt;"&amp;V8,WeightedRevAge23)-SUMIF(ThresholdAge23,"&lt;"&amp;V8,WeightedMinAge23),MAX(CapacityAge23*АбонементНовых*V8,MeanMinAge23)))</f>
        <v/>
      </c>
      <c r="W69" s="4">
        <f>IF(OR(W42=0,23&lt;=КаникулыРоялти),0,W42*IF(РоялтиПоГруппам="Да",MeanMinAge23+W8*SUMIF(ThresholdAge23,"&lt;"&amp;W8,WeightedRevAge23)-SUMIF(ThresholdAge23,"&lt;"&amp;W8,WeightedMinAge23),MAX(CapacityAge23*АбонементНовых*W8,MeanMinAge23)))</f>
        <v/>
      </c>
      <c r="X69" s="4">
        <f>IF(OR(X42=0,23&lt;=КаникулыРоялти),0,X42*IF(РоялтиПоГруппам="Да",MeanMinAge23+X8*SUMIF(ThresholdAge23,"&lt;"&amp;X8,WeightedRevAge23)-SUMIF(ThresholdAge23,"&lt;"&amp;X8,WeightedMinAge23),MAX(CapacityAge23*АбонементНовых*X8,MeanMinAge23)))</f>
        <v/>
      </c>
      <c r="Y69" s="4">
        <f>IF(OR(Y42=0,23&lt;=КаникулыРоялти),0,Y42*IF(РоялтиПоГруппам="Да",MeanMinAge23+Y8*SUMIF(ThresholdAge23,"&lt;"&amp;Y8,WeightedRevAge23)-SUMIF(ThresholdAge23,"&lt;"&amp;Y8,WeightedMinAge23),MAX(CapacityAge23*АбонементНовых*Y8,MeanMinAge23)))</f>
        <v/>
      </c>
      <c r="Z69" s="4">
        <f>IF(OR(Z42=0,23&lt;=КаникулыРоялти),0,Z42*IF(РоялтиПоГруппам="Да",MeanMinAge23+Z8*SUMIF(ThresholdAge23,"&lt;"&amp;Z8,WeightedRevAge23)-SUMIF(ThresholdAge23,"&lt;"&amp;Z8,WeightedMinAge23),MAX(CapacityAge23*АбонементНовых*Z8,MeanMinAge23)))</f>
        <v/>
      </c>
      <c r="AA69" s="4">
        <f>IF(OR(AA42=0,23&lt;=КаникулыРоялти),0,AA42*IF(РоялтиПоГруппам="Да",MeanMinAge23+AA8*SUMIF(ThresholdAge23,"&lt;"&amp;AA8,WeightedRevAge23)-SUMIF(ThresholdAge23,"&lt;"&amp;AA8,WeightedMinAge23),MAX(CapacityAge23*АбонементНовых*AA8,MeanMinAge23)))</f>
        <v/>
      </c>
      <c r="AB69" s="4">
        <f>IF(OR(AB42=0,23&lt;=КаникулыРоялти),0,AB42*IF(РоялтиПоГруппам="Да",MeanMinAge23+AB8*SUMIF(ThresholdAge23,"&lt;"&amp;AB8,WeightedRevAge23)-SUMIF(ThresholdAge23,"&lt;"&amp;AB8,WeightedMinAge23),MAX(CapacityAge23*АбонементНовых*AB8,MeanMinAge23)))</f>
        <v/>
      </c>
      <c r="AC69" s="4">
        <f>IF(OR(AC42=0,23&lt;=КаникулыРоялти),0,AC42*IF(РоялтиПоГруппам="Да",MeanMinAge23+AC8*SUMIF(ThresholdAge23,"&lt;"&amp;AC8,WeightedRevAge23)-SUMIF(ThresholdAge23,"&lt;"&amp;AC8,WeightedMinAge23),MAX(CapacityAge23*АбонементНовых*AC8,MeanMinAge23)))</f>
        <v/>
      </c>
      <c r="AD69" s="4">
        <f>IF(OR(AD42=0,23&lt;=КаникулыРоялти),0,AD42*IF(РоялтиПоГруппам="Да",MeanMinAge23+AD8*SUMIF(ThresholdAge23,"&lt;"&amp;AD8,WeightedRevAge23)-SUMIF(ThresholdAge23,"&lt;"&amp;AD8,WeightedMinAge23),MAX(CapacityAge23*АбонементНовых*AD8,MeanMinAge23)))</f>
        <v/>
      </c>
      <c r="AE69" s="4">
        <f>IF(OR(AE42=0,23&lt;=КаникулыРоялти),0,AE42*IF(РоялтиПоГруппам="Да",MeanMinAge23+AE8*SUMIF(ThresholdAge23,"&lt;"&amp;AE8,WeightedRevAge23)-SUMIF(ThresholdAge23,"&lt;"&amp;AE8,WeightedMinAge23),MAX(CapacityAge23*АбонементНовых*AE8,MeanMinAge23)))</f>
        <v/>
      </c>
      <c r="AF69" s="4">
        <f>IF(OR(AF42=0,23&lt;=КаникулыРоялти),0,AF42*IF(РоялтиПоГруппам="Да",MeanMinAge23+AF8*SUMIF(ThresholdAge23,"&lt;"&amp;AF8,WeightedRevAge23)-SUMIF(ThresholdAge23,"&lt;"&amp;AF8,WeightedMinAge23),MAX(CapacityAge23*АбонементНовых*AF8,MeanMinAge23)))</f>
        <v/>
      </c>
      <c r="AG69" s="4">
        <f>IF(OR(AG42=0,23&lt;=КаникулыРоялти),0,AG42*IF(РоялтиПоГруппам="Да",MeanMinAge23+AG8*SUMIF(ThresholdAge23,"&lt;"&amp;AG8,WeightedRevAge23)-SUMIF(ThresholdAge23,"&lt;"&amp;AG8,WeightedMinAge23),MAX(CapacityAge23*АбонементНовых*AG8,MeanMinAge23)))</f>
        <v/>
      </c>
      <c r="AH69" s="4">
        <f>IF(OR(AH42=0,23&lt;=КаникулыРоялти),0,AH42*IF(РоялтиПоГруппам="Да",MeanMinAge23+AH8*SUMIF(ThresholdAge23,"&lt;"&amp;AH8,WeightedRevAge23)-SUMIF(ThresholdAge23,"&lt;"&amp;AH8,WeightedMinAge23),MAX(CapacityAge23*АбонементНовых*AH8,MeanMinAge23)))</f>
        <v/>
      </c>
      <c r="AI69" s="4">
        <f>IF(OR(AI42=0,23&lt;=КаникулыРоялти),0,AI42*IF(РоялтиПоГруппам="Да",MeanMinAge23+AI8*SUMIF(ThresholdAge23,"&lt;"&amp;AI8,WeightedRevAge23)-SUMIF(ThresholdAge23,"&lt;"&amp;AI8,WeightedMinAge23),MAX(CapacityAge23*АбонементНовых*AI8,MeanMinAge23)))</f>
        <v/>
      </c>
      <c r="AJ69" s="4">
        <f>IF(OR(AJ42=0,23&lt;=КаникулыРоялти),0,AJ42*IF(РоялтиПоГруппам="Да",MeanMinAge23+AJ8*SUMIF(ThresholdAge23,"&lt;"&amp;AJ8,WeightedRevAge23)-SUMIF(ThresholdAge23,"&lt;"&amp;AJ8,WeightedMinAge23),MAX(CapacityAge23*АбонементНовых*AJ8,MeanMinAge23)))</f>
        <v/>
      </c>
      <c r="AK69" s="4">
        <f>IF(OR(AK42=0,23&lt;=КаникулыРоялти),0,AK42*IF(РоялтиПоГруппам="Да",MeanMinAge23+AK8*SUMIF(ThresholdAge23,"&lt;"&amp;AK8,WeightedRevAge23)-SUMIF(ThresholdAge23,"&lt;"&amp;AK8,WeightedMinAge23),MAX(CapacityAge23*АбонементНовых*AK8,MeanMinAge23)))</f>
        <v/>
      </c>
      <c r="AL69" s="4">
        <f>IF(OR(AL42=0,23&lt;=КаникулыРоялти),0,AL42*IF(РоялтиПоГруппам="Да",MeanMinAge23+AL8*SUMIF(ThresholdAge23,"&lt;"&amp;AL8,WeightedRevAge23)-SUMIF(ThresholdAge23,"&lt;"&amp;AL8,WeightedMinAge23),MAX(CapacityAge23*АбонементНовых*AL8,MeanMinAge23)))</f>
        <v/>
      </c>
      <c r="AM69" s="4">
        <f>IF(OR(AM42=0,23&lt;=КаникулыРоялти),0,AM42*IF(РоялтиПоГруппам="Да",MeanMinAge23+AM8*SUMIF(ThresholdAge23,"&lt;"&amp;AM8,WeightedRevAge23)-SUMIF(ThresholdAge23,"&lt;"&amp;AM8,WeightedMinAge23),MAX(CapacityAge23*АбонементНовых*AM8,MeanMinAge23)))</f>
        <v/>
      </c>
      <c r="AN69" s="4">
        <f>IF(OR(AN42=0,23&lt;=КаникулыРоялти),0,AN42*IF(РоялтиПоГруппам="Да",MeanMinAge23+AN8*SUMIF(ThresholdAge23,"&lt;"&amp;AN8,WeightedRevAge23)-SUMIF(ThresholdAge23,"&lt;"&amp;AN8,WeightedMinAge23),MAX(CapacityAge23*АбонементНовых*AN8,MeanMinAge23)))</f>
        <v/>
      </c>
      <c r="AO69" s="4">
        <f>IF(OR(AO42=0,23&lt;=КаникулыРоялти),0,AO42*IF(РоялтиПоГруппам="Да",MeanMinAge23+AO8*SUMIF(ThresholdAge23,"&lt;"&amp;AO8,WeightedRevAge23)-SUMIF(ThresholdAge23,"&lt;"&amp;AO8,WeightedMinAge23),MAX(CapacityAge23*АбонементНовых*AO8,MeanMinAge23)))</f>
        <v/>
      </c>
      <c r="AP69" s="4">
        <f>IF(OR(AP42=0,23&lt;=КаникулыРоялти),0,AP42*IF(РоялтиПоГруппам="Да",MeanMinAge23+AP8*SUMIF(ThresholdAge23,"&lt;"&amp;AP8,WeightedRevAge23)-SUMIF(ThresholdAge23,"&lt;"&amp;AP8,WeightedMinAge23),MAX(CapacityAge23*АбонементНовых*AP8,MeanMinAge23)))</f>
        <v/>
      </c>
      <c r="AQ69" s="4">
        <f>IF(OR(AQ42=0,23&lt;=КаникулыРоялти),0,AQ42*IF(РоялтиПоГруппам="Да",MeanMinAge23+AQ8*SUMIF(ThresholdAge23,"&lt;"&amp;AQ8,WeightedRevAge23)-SUMIF(ThresholdAge23,"&lt;"&amp;AQ8,WeightedMinAge23),MAX(CapacityAge23*АбонементНовых*AQ8,MeanMinAge23)))</f>
        <v/>
      </c>
      <c r="AR69" s="4">
        <f>IF(OR(AR42=0,23&lt;=КаникулыРоялти),0,AR42*IF(РоялтиПоГруппам="Да",MeanMinAge23+AR8*SUMIF(ThresholdAge23,"&lt;"&amp;AR8,WeightedRevAge23)-SUMIF(ThresholdAge23,"&lt;"&amp;AR8,WeightedMinAge23),MAX(CapacityAge23*АбонементНовых*AR8,MeanMinAge23)))</f>
        <v/>
      </c>
      <c r="AS69" s="4">
        <f>IF(OR(AS42=0,23&lt;=КаникулыРоялти),0,AS42*IF(РоялтиПоГруппам="Да",MeanMinAge23+AS8*SUMIF(ThresholdAge23,"&lt;"&amp;AS8,WeightedRevAge23)-SUMIF(ThresholdAge23,"&lt;"&amp;AS8,WeightedMinAge23),MAX(CapacityAge23*АбонементНовых*AS8,MeanMinAge23)))</f>
        <v/>
      </c>
      <c r="AT69" s="4">
        <f>IF(OR(AT42=0,23&lt;=КаникулыРоялти),0,AT42*IF(РоялтиПоГруппам="Да",MeanMinAge23+AT8*SUMIF(ThresholdAge23,"&lt;"&amp;AT8,WeightedRevAge23)-SUMIF(ThresholdAge23,"&lt;"&amp;AT8,WeightedMinAge23),MAX(CapacityAge23*АбонементНовых*AT8,MeanMinAge23)))</f>
        <v/>
      </c>
      <c r="AU69" s="4">
        <f>IF(OR(AU42=0,23&lt;=КаникулыРоялти),0,AU42*IF(РоялтиПоГруппам="Да",MeanMinAge23+AU8*SUMIF(ThresholdAge23,"&lt;"&amp;AU8,WeightedRevAge23)-SUMIF(ThresholdAge23,"&lt;"&amp;AU8,WeightedMinAge23),MAX(CapacityAge23*АбонементНовых*AU8,MeanMinAge23)))</f>
        <v/>
      </c>
      <c r="AV69" s="4">
        <f>IF(OR(AV42=0,23&lt;=КаникулыРоялти),0,AV42*IF(РоялтиПоГруппам="Да",MeanMinAge23+AV8*SUMIF(ThresholdAge23,"&lt;"&amp;AV8,WeightedRevAge23)-SUMIF(ThresholdAge23,"&lt;"&amp;AV8,WeightedMinAge23),MAX(CapacityAge23*АбонементНовых*AV8,MeanMinAge23)))</f>
        <v/>
      </c>
      <c r="AW69" s="4">
        <f>IF(OR(AW42=0,23&lt;=КаникулыРоялти),0,AW42*IF(РоялтиПоГруппам="Да",MeanMinAge23+AW8*SUMIF(ThresholdAge23,"&lt;"&amp;AW8,WeightedRevAge23)-SUMIF(ThresholdAge23,"&lt;"&amp;AW8,WeightedMinAge23),MAX(CapacityAge23*АбонементНовых*AW8,MeanMinAge23)))</f>
        <v/>
      </c>
      <c r="AX69" s="4">
        <f>IF(OR(AX42=0,23&lt;=КаникулыРоялти),0,AX42*IF(РоялтиПоГруппам="Да",MeanMinAge23+AX8*SUMIF(ThresholdAge23,"&lt;"&amp;AX8,WeightedRevAge23)-SUMIF(ThresholdAge23,"&lt;"&amp;AX8,WeightedMinAge23),MAX(CapacityAge23*АбонементНовых*AX8,MeanMinAge23)))</f>
        <v/>
      </c>
      <c r="AY69" s="4">
        <f>IF(OR(AY42=0,23&lt;=КаникулыРоялти),0,AY42*IF(РоялтиПоГруппам="Да",MeanMinAge23+AY8*SUMIF(ThresholdAge23,"&lt;"&amp;AY8,WeightedRevAge23)-SUMIF(ThresholdAge23,"&lt;"&amp;AY8,WeightedMinAge23),MAX(CapacityAge23*АбонементНовых*AY8,MeanMinAge23)))</f>
        <v/>
      </c>
      <c r="AZ69" s="4">
        <f>IF(OR(AZ42=0,23&lt;=КаникулыРоялти),0,AZ42*IF(РоялтиПоГруппам="Да",MeanMinAge23+AZ8*SUMIF(ThresholdAge23,"&lt;"&amp;AZ8,WeightedRevAge23)-SUMIF(ThresholdAge23,"&lt;"&amp;AZ8,WeightedMinAge23),MAX(CapacityAge23*АбонементНовых*AZ8,MeanMinAge23)))</f>
        <v/>
      </c>
      <c r="BA69" s="4">
        <f>IF(OR(BA42=0,23&lt;=КаникулыРоялти),0,BA42*IF(РоялтиПоГруппам="Да",MeanMinAge23+BA8*SUMIF(ThresholdAge23,"&lt;"&amp;BA8,WeightedRevAge23)-SUMIF(ThresholdAge23,"&lt;"&amp;BA8,WeightedMinAge23),MAX(CapacityAge23*АбонементНовых*BA8,MeanMinAge23)))</f>
        <v/>
      </c>
      <c r="BB69" s="4">
        <f>IF(OR(BB42=0,23&lt;=КаникулыРоялти),0,BB42*IF(РоялтиПоГруппам="Да",MeanMinAge23+BB8*SUMIF(ThresholdAge23,"&lt;"&amp;BB8,WeightedRevAge23)-SUMIF(ThresholdAge23,"&lt;"&amp;BB8,WeightedMinAge23),MAX(CapacityAge23*АбонементНовых*BB8,MeanMinAge23)))</f>
        <v/>
      </c>
      <c r="BC69" s="4">
        <f>IF(OR(BC42=0,23&lt;=КаникулыРоялти),0,BC42*IF(РоялтиПоГруппам="Да",MeanMinAge23+BC8*SUMIF(ThresholdAge23,"&lt;"&amp;BC8,WeightedRevAge23)-SUMIF(ThresholdAge23,"&lt;"&amp;BC8,WeightedMinAge23),MAX(CapacityAge23*АбонементНовых*BC8,MeanMinAge23)))</f>
        <v/>
      </c>
      <c r="BD69" s="4">
        <f>IF(OR(BD42=0,23&lt;=КаникулыРоялти),0,BD42*IF(РоялтиПоГруппам="Да",MeanMinAge23+BD8*SUMIF(ThresholdAge23,"&lt;"&amp;BD8,WeightedRevAge23)-SUMIF(ThresholdAge23,"&lt;"&amp;BD8,WeightedMinAge23),MAX(CapacityAge23*АбонементНовых*BD8,MeanMinAge23)))</f>
        <v/>
      </c>
      <c r="BE69" s="4">
        <f>IF(OR(BE42=0,23&lt;=КаникулыРоялти),0,BE42*IF(РоялтиПоГруппам="Да",MeanMinAge23+BE8*SUMIF(ThresholdAge23,"&lt;"&amp;BE8,WeightedRevAge23)-SUMIF(ThresholdAge23,"&lt;"&amp;BE8,WeightedMinAge23),MAX(CapacityAge23*АбонементНовых*BE8,MeanMinAge23)))</f>
        <v/>
      </c>
      <c r="BF69" s="4">
        <f>IF(OR(BF42=0,23&lt;=КаникулыРоялти),0,BF42*IF(РоялтиПоГруппам="Да",MeanMinAge23+BF8*SUMIF(ThresholdAge23,"&lt;"&amp;BF8,WeightedRevAge23)-SUMIF(ThresholdAge23,"&lt;"&amp;BF8,WeightedMinAge23),MAX(CapacityAge23*АбонементНовых*BF8,MeanMinAge23)))</f>
        <v/>
      </c>
      <c r="BG69" s="4">
        <f>IF(OR(BG42=0,23&lt;=КаникулыРоялти),0,BG42*IF(РоялтиПоГруппам="Да",MeanMinAge23+BG8*SUMIF(ThresholdAge23,"&lt;"&amp;BG8,WeightedRevAge23)-SUMIF(ThresholdAge23,"&lt;"&amp;BG8,WeightedMinAge23),MAX(CapacityAge23*АбонементНовых*BG8,MeanMinAge23)))</f>
        <v/>
      </c>
      <c r="BH69" s="4">
        <f>IF(OR(BH42=0,23&lt;=КаникулыРоялти),0,BH42*IF(РоялтиПоГруппам="Да",MeanMinAge23+BH8*SUMIF(ThresholdAge23,"&lt;"&amp;BH8,WeightedRevAge23)-SUMIF(ThresholdAge23,"&lt;"&amp;BH8,WeightedMinAge23),MAX(CapacityAge23*АбонементНовых*BH8,MeanMinAge23)))</f>
        <v/>
      </c>
      <c r="BI69" s="4">
        <f>IF(OR(BI42=0,23&lt;=КаникулыРоялти),0,BI42*IF(РоялтиПоГруппам="Да",MeanMinAge23+BI8*SUMIF(ThresholdAge23,"&lt;"&amp;BI8,WeightedRevAge23)-SUMIF(ThresholdAge23,"&lt;"&amp;BI8,WeightedMinAge23),MAX(CapacityAge23*АбонементНовых*BI8,MeanMinAge23)))</f>
        <v/>
      </c>
      <c r="BJ69" s="4">
        <f>IF(OR(BJ42=0,23&lt;=КаникулыРоялти),0,BJ42*IF(РоялтиПоГруппам="Да",MeanMinAge23+BJ8*SUMIF(ThresholdAge23,"&lt;"&amp;BJ8,WeightedRevAge23)-SUMIF(ThresholdAge23,"&lt;"&amp;BJ8,WeightedMinAge23),MAX(CapacityAge23*АбонементНовых*BJ8,MeanMinAge23)))</f>
        <v/>
      </c>
      <c r="BK69" s="4">
        <f>IF(OR(BK42=0,23&lt;=КаникулыРоялти),0,BK42*IF(РоялтиПоГруппам="Да",MeanMinAge23+BK8*SUMIF(ThresholdAge23,"&lt;"&amp;BK8,WeightedRevAge23)-SUMIF(ThresholdAge23,"&lt;"&amp;BK8,WeightedMinAge23),MAX(CapacityAge23*АбонементНовых*BK8,MeanMinAge23)))</f>
        <v/>
      </c>
      <c r="BL69" s="4">
        <f>IF(OR(BL42=0,23&lt;=КаникулыРоялти),0,BL42*IF(РоялтиПоГруппам="Да",MeanMinAge23+BL8*SUMIF(ThresholdAge23,"&lt;"&amp;BL8,WeightedRevAge23)-SUMIF(ThresholdAge23,"&lt;"&amp;BL8,WeightedMinAge23),MAX(CapacityAge23*АбонементНовых*BL8,MeanMinAge23)))</f>
        <v/>
      </c>
      <c r="BM69" s="4">
        <f>IF(OR(BM42=0,23&lt;=КаникулыРоялти),0,BM42*IF(РоялтиПоГруппам="Да",MeanMinAge23+BM8*SUMIF(ThresholdAge23,"&lt;"&amp;BM8,WeightedRevAge23)-SUMIF(ThresholdAge23,"&lt;"&amp;BM8,WeightedMinAge23),MAX(CapacityAge23*АбонементНовых*BM8,MeanMinAge23)))</f>
        <v/>
      </c>
      <c r="BN69" s="4">
        <f>IF(OR(BN42=0,23&lt;=КаникулыРоялти),0,BN42*IF(РоялтиПоГруппам="Да",MeanMinAge23+BN8*SUMIF(ThresholdAge23,"&lt;"&amp;BN8,WeightedRevAge23)-SUMIF(ThresholdAge23,"&lt;"&amp;BN8,WeightedMinAge23),MAX(CapacityAge23*АбонементНовых*BN8,MeanMinAge23)))</f>
        <v/>
      </c>
      <c r="BO69" s="4">
        <f>IF(OR(BO42=0,23&lt;=КаникулыРоялти),0,BO42*IF(РоялтиПоГруппам="Да",MeanMinAge23+BO8*SUMIF(ThresholdAge23,"&lt;"&amp;BO8,WeightedRevAge23)-SUMIF(ThresholdAge23,"&lt;"&amp;BO8,WeightedMinAge23),MAX(CapacityAge23*АбонементНовых*BO8,MeanMinAge23)))</f>
        <v/>
      </c>
      <c r="BP69" s="4">
        <f>IF(OR(BP42=0,23&lt;=КаникулыРоялти),0,BP42*IF(РоялтиПоГруппам="Да",MeanMinAge23+BP8*SUMIF(ThresholdAge23,"&lt;"&amp;BP8,WeightedRevAge23)-SUMIF(ThresholdAge23,"&lt;"&amp;BP8,WeightedMinAge23),MAX(CapacityAge23*АбонементНовых*BP8,MeanMinAge23)))</f>
        <v/>
      </c>
      <c r="BQ69" s="4">
        <f>IF(OR(BQ42=0,23&lt;=КаникулыРоялти),0,BQ42*IF(РоялтиПоГруппам="Да",MeanMinAge23+BQ8*SUMIF(ThresholdAge23,"&lt;"&amp;BQ8,WeightedRevAge23)-SUMIF(ThresholdAge23,"&lt;"&amp;BQ8,WeightedMinAge23),MAX(CapacityAge23*АбонементНовых*BQ8,MeanMinAge23)))</f>
        <v/>
      </c>
      <c r="BR69" s="4">
        <f>IF(OR(BR42=0,23&lt;=КаникулыРоялти),0,BR42*IF(РоялтиПоГруппам="Да",MeanMinAge23+BR8*SUMIF(ThresholdAge23,"&lt;"&amp;BR8,WeightedRevAge23)-SUMIF(ThresholdAge23,"&lt;"&amp;BR8,WeightedMinAge23),MAX(CapacityAge23*АбонементНовых*BR8,MeanMinAge23)))</f>
        <v/>
      </c>
      <c r="BS69" s="4">
        <f>IF(OR(BS42=0,23&lt;=КаникулыРоялти),0,BS42*IF(РоялтиПоГруппам="Да",MeanMinAge23+BS8*SUMIF(ThresholdAge23,"&lt;"&amp;BS8,WeightedRevAge23)-SUMIF(ThresholdAge23,"&lt;"&amp;BS8,WeightedMinAge23),MAX(CapacityAge23*АбонементНовых*BS8,MeanMinAge23)))</f>
        <v/>
      </c>
      <c r="BT69" s="4">
        <f>IF(OR(BT42=0,23&lt;=КаникулыРоялти),0,BT42*IF(РоялтиПоГруппам="Да",MeanMinAge23+BT8*SUMIF(ThresholdAge23,"&lt;"&amp;BT8,WeightedRevAge23)-SUMIF(ThresholdAge23,"&lt;"&amp;BT8,WeightedMinAge23),MAX(CapacityAge23*АбонементНовых*BT8,MeanMinAge23)))</f>
        <v/>
      </c>
      <c r="BU69" s="4">
        <f>IF(OR(BU42=0,23&lt;=КаникулыРоялти),0,BU42*IF(РоялтиПоГруппам="Да",MeanMinAge23+BU8*SUMIF(ThresholdAge23,"&lt;"&amp;BU8,WeightedRevAge23)-SUMIF(ThresholdAge23,"&lt;"&amp;BU8,WeightedMinAge23),MAX(CapacityAge23*АбонементНовых*BU8,MeanMinAge23)))</f>
        <v/>
      </c>
      <c r="BV69" s="4">
        <f>IF(OR(BV42=0,23&lt;=КаникулыРоялти),0,BV42*IF(РоялтиПоГруппам="Да",MeanMinAge23+BV8*SUMIF(ThresholdAge23,"&lt;"&amp;BV8,WeightedRevAge23)-SUMIF(ThresholdAge23,"&lt;"&amp;BV8,WeightedMinAge23),MAX(CapacityAge23*АбонементНовых*BV8,MeanMinAge23)))</f>
        <v/>
      </c>
      <c r="BW69" s="4">
        <f>IF(OR(BW42=0,23&lt;=КаникулыРоялти),0,BW42*IF(РоялтиПоГруппам="Да",MeanMinAge23+BW8*SUMIF(ThresholdAge23,"&lt;"&amp;BW8,WeightedRevAge23)-SUMIF(ThresholdAge23,"&lt;"&amp;BW8,WeightedMinAge23),MAX(CapacityAge23*АбонементНовых*BW8,MeanMinAge23)))</f>
        <v/>
      </c>
      <c r="BX69" s="4">
        <f>IF(OR(BX42=0,23&lt;=КаникулыРоялти),0,BX42*IF(РоялтиПоГруппам="Да",MeanMinAge23+BX8*SUMIF(ThresholdAge23,"&lt;"&amp;BX8,WeightedRevAge23)-SUMIF(ThresholdAge23,"&lt;"&amp;BX8,WeightedMinAge23),MAX(CapacityAge23*АбонементНовых*BX8,MeanMinAge23)))</f>
        <v/>
      </c>
      <c r="BY69" s="4">
        <f>IF(OR(BY42=0,23&lt;=КаникулыРоялти),0,BY42*IF(РоялтиПоГруппам="Да",MeanMinAge23+BY8*SUMIF(ThresholdAge23,"&lt;"&amp;BY8,WeightedRevAge23)-SUMIF(ThresholdAge23,"&lt;"&amp;BY8,WeightedMinAge23),MAX(CapacityAge23*АбонементНовых*BY8,MeanMinAge23)))</f>
        <v/>
      </c>
    </row>
    <row r="70">
      <c r="B70" t="inlineStr">
        <is>
          <t>24 мес.</t>
        </is>
      </c>
      <c r="C70" t="inlineStr">
        <is>
          <t>₽</t>
        </is>
      </c>
      <c r="D70" s="117" t="inlineStr"/>
      <c r="E70" s="119">
        <f>SUM(L70:W70)</f>
        <v/>
      </c>
      <c r="F70" s="119">
        <f>SUM(X70:AI70)</f>
        <v/>
      </c>
      <c r="G70" s="119">
        <f>SUM(AJ70:AU70)</f>
        <v/>
      </c>
      <c r="H70" s="119">
        <f>SUM(AV70:BG70)</f>
        <v/>
      </c>
      <c r="I70" s="119">
        <f>SUM(BH70:BS70)</f>
        <v/>
      </c>
      <c r="J70" s="5">
        <f>SUM(L70:BS70)</f>
        <v/>
      </c>
      <c r="L70" s="4">
        <f>IF(OR(L43=0,24&lt;=КаникулыРоялти),0,L43*IF(РоялтиПоГруппам="Да",MeanMinAge24+L8*SUMIF(ThresholdAge24,"&lt;"&amp;L8,WeightedRevAge24)-SUMIF(ThresholdAge24,"&lt;"&amp;L8,WeightedMinAge24),MAX(CapacityAge24*АбонементНовых*L8,MeanMinAge24)))</f>
        <v/>
      </c>
      <c r="M70" s="4">
        <f>IF(OR(M43=0,24&lt;=КаникулыРоялти),0,M43*IF(РоялтиПоГруппам="Да",MeanMinAge24+M8*SUMIF(ThresholdAge24,"&lt;"&amp;M8,WeightedRevAge24)-SUMIF(ThresholdAge24,"&lt;"&amp;M8,WeightedMinAge24),MAX(CapacityAge24*АбонементНовых*M8,MeanMinAge24)))</f>
        <v/>
      </c>
      <c r="N70" s="4">
        <f>IF(OR(N43=0,24&lt;=КаникулыРоялти),0,N43*IF(РоялтиПоГруппам="Да",MeanMinAge24+N8*SUMIF(ThresholdAge24,"&lt;"&amp;N8,WeightedRevAge24)-SUMIF(ThresholdAge24,"&lt;"&amp;N8,WeightedMinAge24),MAX(CapacityAge24*АбонементНовых*N8,MeanMinAge24)))</f>
        <v/>
      </c>
      <c r="O70" s="4">
        <f>IF(OR(O43=0,24&lt;=КаникулыРоялти),0,O43*IF(РоялтиПоГруппам="Да",MeanMinAge24+O8*SUMIF(ThresholdAge24,"&lt;"&amp;O8,WeightedRevAge24)-SUMIF(ThresholdAge24,"&lt;"&amp;O8,WeightedMinAge24),MAX(CapacityAge24*АбонементНовых*O8,MeanMinAge24)))</f>
        <v/>
      </c>
      <c r="P70" s="4">
        <f>IF(OR(P43=0,24&lt;=КаникулыРоялти),0,P43*IF(РоялтиПоГруппам="Да",MeanMinAge24+P8*SUMIF(ThresholdAge24,"&lt;"&amp;P8,WeightedRevAge24)-SUMIF(ThresholdAge24,"&lt;"&amp;P8,WeightedMinAge24),MAX(CapacityAge24*АбонементНовых*P8,MeanMinAge24)))</f>
        <v/>
      </c>
      <c r="Q70" s="4">
        <f>IF(OR(Q43=0,24&lt;=КаникулыРоялти),0,Q43*IF(РоялтиПоГруппам="Да",MeanMinAge24+Q8*SUMIF(ThresholdAge24,"&lt;"&amp;Q8,WeightedRevAge24)-SUMIF(ThresholdAge24,"&lt;"&amp;Q8,WeightedMinAge24),MAX(CapacityAge24*АбонементНовых*Q8,MeanMinAge24)))</f>
        <v/>
      </c>
      <c r="R70" s="4">
        <f>IF(OR(R43=0,24&lt;=КаникулыРоялти),0,R43*IF(РоялтиПоГруппам="Да",MeanMinAge24+R8*SUMIF(ThresholdAge24,"&lt;"&amp;R8,WeightedRevAge24)-SUMIF(ThresholdAge24,"&lt;"&amp;R8,WeightedMinAge24),MAX(CapacityAge24*АбонементНовых*R8,MeanMinAge24)))</f>
        <v/>
      </c>
      <c r="S70" s="4">
        <f>IF(OR(S43=0,24&lt;=КаникулыРоялти),0,S43*IF(РоялтиПоГруппам="Да",MeanMinAge24+S8*SUMIF(ThresholdAge24,"&lt;"&amp;S8,WeightedRevAge24)-SUMIF(ThresholdAge24,"&lt;"&amp;S8,WeightedMinAge24),MAX(CapacityAge24*АбонементНовых*S8,MeanMinAge24)))</f>
        <v/>
      </c>
      <c r="T70" s="4">
        <f>IF(OR(T43=0,24&lt;=КаникулыРоялти),0,T43*IF(РоялтиПоГруппам="Да",MeanMinAge24+T8*SUMIF(ThresholdAge24,"&lt;"&amp;T8,WeightedRevAge24)-SUMIF(ThresholdAge24,"&lt;"&amp;T8,WeightedMinAge24),MAX(CapacityAge24*АбонементНовых*T8,MeanMinAge24)))</f>
        <v/>
      </c>
      <c r="U70" s="4">
        <f>IF(OR(U43=0,24&lt;=КаникулыРоялти),0,U43*IF(РоялтиПоГруппам="Да",MeanMinAge24+U8*SUMIF(ThresholdAge24,"&lt;"&amp;U8,WeightedRevAge24)-SUMIF(ThresholdAge24,"&lt;"&amp;U8,WeightedMinAge24),MAX(CapacityAge24*АбонементНовых*U8,MeanMinAge24)))</f>
        <v/>
      </c>
      <c r="V70" s="4">
        <f>IF(OR(V43=0,24&lt;=КаникулыРоялти),0,V43*IF(РоялтиПоГруппам="Да",MeanMinAge24+V8*SUMIF(ThresholdAge24,"&lt;"&amp;V8,WeightedRevAge24)-SUMIF(ThresholdAge24,"&lt;"&amp;V8,WeightedMinAge24),MAX(CapacityAge24*АбонементНовых*V8,MeanMinAge24)))</f>
        <v/>
      </c>
      <c r="W70" s="4">
        <f>IF(OR(W43=0,24&lt;=КаникулыРоялти),0,W43*IF(РоялтиПоГруппам="Да",MeanMinAge24+W8*SUMIF(ThresholdAge24,"&lt;"&amp;W8,WeightedRevAge24)-SUMIF(ThresholdAge24,"&lt;"&amp;W8,WeightedMinAge24),MAX(CapacityAge24*АбонементНовых*W8,MeanMinAge24)))</f>
        <v/>
      </c>
      <c r="X70" s="4">
        <f>IF(OR(X43=0,24&lt;=КаникулыРоялти),0,X43*IF(РоялтиПоГруппам="Да",MeanMinAge24+X8*SUMIF(ThresholdAge24,"&lt;"&amp;X8,WeightedRevAge24)-SUMIF(ThresholdAge24,"&lt;"&amp;X8,WeightedMinAge24),MAX(CapacityAge24*АбонементНовых*X8,MeanMinAge24)))</f>
        <v/>
      </c>
      <c r="Y70" s="4">
        <f>IF(OR(Y43=0,24&lt;=КаникулыРоялти),0,Y43*IF(РоялтиПоГруппам="Да",MeanMinAge24+Y8*SUMIF(ThresholdAge24,"&lt;"&amp;Y8,WeightedRevAge24)-SUMIF(ThresholdAge24,"&lt;"&amp;Y8,WeightedMinAge24),MAX(CapacityAge24*АбонементНовых*Y8,MeanMinAge24)))</f>
        <v/>
      </c>
      <c r="Z70" s="4">
        <f>IF(OR(Z43=0,24&lt;=КаникулыРоялти),0,Z43*IF(РоялтиПоГруппам="Да",MeanMinAge24+Z8*SUMIF(ThresholdAge24,"&lt;"&amp;Z8,WeightedRevAge24)-SUMIF(ThresholdAge24,"&lt;"&amp;Z8,WeightedMinAge24),MAX(CapacityAge24*АбонементНовых*Z8,MeanMinAge24)))</f>
        <v/>
      </c>
      <c r="AA70" s="4">
        <f>IF(OR(AA43=0,24&lt;=КаникулыРоялти),0,AA43*IF(РоялтиПоГруппам="Да",MeanMinAge24+AA8*SUMIF(ThresholdAge24,"&lt;"&amp;AA8,WeightedRevAge24)-SUMIF(ThresholdAge24,"&lt;"&amp;AA8,WeightedMinAge24),MAX(CapacityAge24*АбонементНовых*AA8,MeanMinAge24)))</f>
        <v/>
      </c>
      <c r="AB70" s="4">
        <f>IF(OR(AB43=0,24&lt;=КаникулыРоялти),0,AB43*IF(РоялтиПоГруппам="Да",MeanMinAge24+AB8*SUMIF(ThresholdAge24,"&lt;"&amp;AB8,WeightedRevAge24)-SUMIF(ThresholdAge24,"&lt;"&amp;AB8,WeightedMinAge24),MAX(CapacityAge24*АбонементНовых*AB8,MeanMinAge24)))</f>
        <v/>
      </c>
      <c r="AC70" s="4">
        <f>IF(OR(AC43=0,24&lt;=КаникулыРоялти),0,AC43*IF(РоялтиПоГруппам="Да",MeanMinAge24+AC8*SUMIF(ThresholdAge24,"&lt;"&amp;AC8,WeightedRevAge24)-SUMIF(ThresholdAge24,"&lt;"&amp;AC8,WeightedMinAge24),MAX(CapacityAge24*АбонементНовых*AC8,MeanMinAge24)))</f>
        <v/>
      </c>
      <c r="AD70" s="4">
        <f>IF(OR(AD43=0,24&lt;=КаникулыРоялти),0,AD43*IF(РоялтиПоГруппам="Да",MeanMinAge24+AD8*SUMIF(ThresholdAge24,"&lt;"&amp;AD8,WeightedRevAge24)-SUMIF(ThresholdAge24,"&lt;"&amp;AD8,WeightedMinAge24),MAX(CapacityAge24*АбонементНовых*AD8,MeanMinAge24)))</f>
        <v/>
      </c>
      <c r="AE70" s="4">
        <f>IF(OR(AE43=0,24&lt;=КаникулыРоялти),0,AE43*IF(РоялтиПоГруппам="Да",MeanMinAge24+AE8*SUMIF(ThresholdAge24,"&lt;"&amp;AE8,WeightedRevAge24)-SUMIF(ThresholdAge24,"&lt;"&amp;AE8,WeightedMinAge24),MAX(CapacityAge24*АбонементНовых*AE8,MeanMinAge24)))</f>
        <v/>
      </c>
      <c r="AF70" s="4">
        <f>IF(OR(AF43=0,24&lt;=КаникулыРоялти),0,AF43*IF(РоялтиПоГруппам="Да",MeanMinAge24+AF8*SUMIF(ThresholdAge24,"&lt;"&amp;AF8,WeightedRevAge24)-SUMIF(ThresholdAge24,"&lt;"&amp;AF8,WeightedMinAge24),MAX(CapacityAge24*АбонементНовых*AF8,MeanMinAge24)))</f>
        <v/>
      </c>
      <c r="AG70" s="4">
        <f>IF(OR(AG43=0,24&lt;=КаникулыРоялти),0,AG43*IF(РоялтиПоГруппам="Да",MeanMinAge24+AG8*SUMIF(ThresholdAge24,"&lt;"&amp;AG8,WeightedRevAge24)-SUMIF(ThresholdAge24,"&lt;"&amp;AG8,WeightedMinAge24),MAX(CapacityAge24*АбонементНовых*AG8,MeanMinAge24)))</f>
        <v/>
      </c>
      <c r="AH70" s="4">
        <f>IF(OR(AH43=0,24&lt;=КаникулыРоялти),0,AH43*IF(РоялтиПоГруппам="Да",MeanMinAge24+AH8*SUMIF(ThresholdAge24,"&lt;"&amp;AH8,WeightedRevAge24)-SUMIF(ThresholdAge24,"&lt;"&amp;AH8,WeightedMinAge24),MAX(CapacityAge24*АбонементНовых*AH8,MeanMinAge24)))</f>
        <v/>
      </c>
      <c r="AI70" s="4">
        <f>IF(OR(AI43=0,24&lt;=КаникулыРоялти),0,AI43*IF(РоялтиПоГруппам="Да",MeanMinAge24+AI8*SUMIF(ThresholdAge24,"&lt;"&amp;AI8,WeightedRevAge24)-SUMIF(ThresholdAge24,"&lt;"&amp;AI8,WeightedMinAge24),MAX(CapacityAge24*АбонементНовых*AI8,MeanMinAge24)))</f>
        <v/>
      </c>
      <c r="AJ70" s="4">
        <f>IF(OR(AJ43=0,24&lt;=КаникулыРоялти),0,AJ43*IF(РоялтиПоГруппам="Да",MeanMinAge24+AJ8*SUMIF(ThresholdAge24,"&lt;"&amp;AJ8,WeightedRevAge24)-SUMIF(ThresholdAge24,"&lt;"&amp;AJ8,WeightedMinAge24),MAX(CapacityAge24*АбонементНовых*AJ8,MeanMinAge24)))</f>
        <v/>
      </c>
      <c r="AK70" s="4">
        <f>IF(OR(AK43=0,24&lt;=КаникулыРоялти),0,AK43*IF(РоялтиПоГруппам="Да",MeanMinAge24+AK8*SUMIF(ThresholdAge24,"&lt;"&amp;AK8,WeightedRevAge24)-SUMIF(ThresholdAge24,"&lt;"&amp;AK8,WeightedMinAge24),MAX(CapacityAge24*АбонементНовых*AK8,MeanMinAge24)))</f>
        <v/>
      </c>
      <c r="AL70" s="4">
        <f>IF(OR(AL43=0,24&lt;=КаникулыРоялти),0,AL43*IF(РоялтиПоГруппам="Да",MeanMinAge24+AL8*SUMIF(ThresholdAge24,"&lt;"&amp;AL8,WeightedRevAge24)-SUMIF(ThresholdAge24,"&lt;"&amp;AL8,WeightedMinAge24),MAX(CapacityAge24*АбонементНовых*AL8,MeanMinAge24)))</f>
        <v/>
      </c>
      <c r="AM70" s="4">
        <f>IF(OR(AM43=0,24&lt;=КаникулыРоялти),0,AM43*IF(РоялтиПоГруппам="Да",MeanMinAge24+AM8*SUMIF(ThresholdAge24,"&lt;"&amp;AM8,WeightedRevAge24)-SUMIF(ThresholdAge24,"&lt;"&amp;AM8,WeightedMinAge24),MAX(CapacityAge24*АбонементНовых*AM8,MeanMinAge24)))</f>
        <v/>
      </c>
      <c r="AN70" s="4">
        <f>IF(OR(AN43=0,24&lt;=КаникулыРоялти),0,AN43*IF(РоялтиПоГруппам="Да",MeanMinAge24+AN8*SUMIF(ThresholdAge24,"&lt;"&amp;AN8,WeightedRevAge24)-SUMIF(ThresholdAge24,"&lt;"&amp;AN8,WeightedMinAge24),MAX(CapacityAge24*АбонементНовых*AN8,MeanMinAge24)))</f>
        <v/>
      </c>
      <c r="AO70" s="4">
        <f>IF(OR(AO43=0,24&lt;=КаникулыРоялти),0,AO43*IF(РоялтиПоГруппам="Да",MeanMinAge24+AO8*SUMIF(ThresholdAge24,"&lt;"&amp;AO8,WeightedRevAge24)-SUMIF(ThresholdAge24,"&lt;"&amp;AO8,WeightedMinAge24),MAX(CapacityAge24*АбонементНовых*AO8,MeanMinAge24)))</f>
        <v/>
      </c>
      <c r="AP70" s="4">
        <f>IF(OR(AP43=0,24&lt;=КаникулыРоялти),0,AP43*IF(РоялтиПоГруппам="Да",MeanMinAge24+AP8*SUMIF(ThresholdAge24,"&lt;"&amp;AP8,WeightedRevAge24)-SUMIF(ThresholdAge24,"&lt;"&amp;AP8,WeightedMinAge24),MAX(CapacityAge24*АбонементНовых*AP8,MeanMinAge24)))</f>
        <v/>
      </c>
      <c r="AQ70" s="4">
        <f>IF(OR(AQ43=0,24&lt;=КаникулыРоялти),0,AQ43*IF(РоялтиПоГруппам="Да",MeanMinAge24+AQ8*SUMIF(ThresholdAge24,"&lt;"&amp;AQ8,WeightedRevAge24)-SUMIF(ThresholdAge24,"&lt;"&amp;AQ8,WeightedMinAge24),MAX(CapacityAge24*АбонементНовых*AQ8,MeanMinAge24)))</f>
        <v/>
      </c>
      <c r="AR70" s="4">
        <f>IF(OR(AR43=0,24&lt;=КаникулыРоялти),0,AR43*IF(РоялтиПоГруппам="Да",MeanMinAge24+AR8*SUMIF(ThresholdAge24,"&lt;"&amp;AR8,WeightedRevAge24)-SUMIF(ThresholdAge24,"&lt;"&amp;AR8,WeightedMinAge24),MAX(CapacityAge24*АбонементНовых*AR8,MeanMinAge24)))</f>
        <v/>
      </c>
      <c r="AS70" s="4">
        <f>IF(OR(AS43=0,24&lt;=КаникулыРоялти),0,AS43*IF(РоялтиПоГруппам="Да",MeanMinAge24+AS8*SUMIF(ThresholdAge24,"&lt;"&amp;AS8,WeightedRevAge24)-SUMIF(ThresholdAge24,"&lt;"&amp;AS8,WeightedMinAge24),MAX(CapacityAge24*АбонементНовых*AS8,MeanMinAge24)))</f>
        <v/>
      </c>
      <c r="AT70" s="4">
        <f>IF(OR(AT43=0,24&lt;=КаникулыРоялти),0,AT43*IF(РоялтиПоГруппам="Да",MeanMinAge24+AT8*SUMIF(ThresholdAge24,"&lt;"&amp;AT8,WeightedRevAge24)-SUMIF(ThresholdAge24,"&lt;"&amp;AT8,WeightedMinAge24),MAX(CapacityAge24*АбонементНовых*AT8,MeanMinAge24)))</f>
        <v/>
      </c>
      <c r="AU70" s="4">
        <f>IF(OR(AU43=0,24&lt;=КаникулыРоялти),0,AU43*IF(РоялтиПоГруппам="Да",MeanMinAge24+AU8*SUMIF(ThresholdAge24,"&lt;"&amp;AU8,WeightedRevAge24)-SUMIF(ThresholdAge24,"&lt;"&amp;AU8,WeightedMinAge24),MAX(CapacityAge24*АбонементНовых*AU8,MeanMinAge24)))</f>
        <v/>
      </c>
      <c r="AV70" s="4">
        <f>IF(OR(AV43=0,24&lt;=КаникулыРоялти),0,AV43*IF(РоялтиПоГруппам="Да",MeanMinAge24+AV8*SUMIF(ThresholdAge24,"&lt;"&amp;AV8,WeightedRevAge24)-SUMIF(ThresholdAge24,"&lt;"&amp;AV8,WeightedMinAge24),MAX(CapacityAge24*АбонементНовых*AV8,MeanMinAge24)))</f>
        <v/>
      </c>
      <c r="AW70" s="4">
        <f>IF(OR(AW43=0,24&lt;=КаникулыРоялти),0,AW43*IF(РоялтиПоГруппам="Да",MeanMinAge24+AW8*SUMIF(ThresholdAge24,"&lt;"&amp;AW8,WeightedRevAge24)-SUMIF(ThresholdAge24,"&lt;"&amp;AW8,WeightedMinAge24),MAX(CapacityAge24*АбонементНовых*AW8,MeanMinAge24)))</f>
        <v/>
      </c>
      <c r="AX70" s="4">
        <f>IF(OR(AX43=0,24&lt;=КаникулыРоялти),0,AX43*IF(РоялтиПоГруппам="Да",MeanMinAge24+AX8*SUMIF(ThresholdAge24,"&lt;"&amp;AX8,WeightedRevAge24)-SUMIF(ThresholdAge24,"&lt;"&amp;AX8,WeightedMinAge24),MAX(CapacityAge24*АбонементНовых*AX8,MeanMinAge24)))</f>
        <v/>
      </c>
      <c r="AY70" s="4">
        <f>IF(OR(AY43=0,24&lt;=КаникулыРоялти),0,AY43*IF(РоялтиПоГруппам="Да",MeanMinAge24+AY8*SUMIF(ThresholdAge24,"&lt;"&amp;AY8,WeightedRevAge24)-SUMIF(ThresholdAge24,"&lt;"&amp;AY8,WeightedMinAge24),MAX(CapacityAge24*АбонементНовых*AY8,MeanMinAge24)))</f>
        <v/>
      </c>
      <c r="AZ70" s="4">
        <f>IF(OR(AZ43=0,24&lt;=КаникулыРоялти),0,AZ43*IF(РоялтиПоГруппам="Да",MeanMinAge24+AZ8*SUMIF(ThresholdAge24,"&lt;"&amp;AZ8,WeightedRevAge24)-SUMIF(ThresholdAge24,"&lt;"&amp;AZ8,WeightedMinAge24),MAX(CapacityAge24*АбонементНовых*AZ8,MeanMinAge24)))</f>
        <v/>
      </c>
      <c r="BA70" s="4">
        <f>IF(OR(BA43=0,24&lt;=КаникулыРоялти),0,BA43*IF(РоялтиПоГруппам="Да",MeanMinAge24+BA8*SUMIF(ThresholdAge24,"&lt;"&amp;BA8,WeightedRevAge24)-SUMIF(ThresholdAge24,"&lt;"&amp;BA8,WeightedMinAge24),MAX(CapacityAge24*АбонементНовых*BA8,MeanMinAge24)))</f>
        <v/>
      </c>
      <c r="BB70" s="4">
        <f>IF(OR(BB43=0,24&lt;=КаникулыРоялти),0,BB43*IF(РоялтиПоГруппам="Да",MeanMinAge24+BB8*SUMIF(ThresholdAge24,"&lt;"&amp;BB8,WeightedRevAge24)-SUMIF(ThresholdAge24,"&lt;"&amp;BB8,WeightedMinAge24),MAX(CapacityAge24*АбонементНовых*BB8,MeanMinAge24)))</f>
        <v/>
      </c>
      <c r="BC70" s="4">
        <f>IF(OR(BC43=0,24&lt;=КаникулыРоялти),0,BC43*IF(РоялтиПоГруппам="Да",MeanMinAge24+BC8*SUMIF(ThresholdAge24,"&lt;"&amp;BC8,WeightedRevAge24)-SUMIF(ThresholdAge24,"&lt;"&amp;BC8,WeightedMinAge24),MAX(CapacityAge24*АбонементНовых*BC8,MeanMinAge24)))</f>
        <v/>
      </c>
      <c r="BD70" s="4">
        <f>IF(OR(BD43=0,24&lt;=КаникулыРоялти),0,BD43*IF(РоялтиПоГруппам="Да",MeanMinAge24+BD8*SUMIF(ThresholdAge24,"&lt;"&amp;BD8,WeightedRevAge24)-SUMIF(ThresholdAge24,"&lt;"&amp;BD8,WeightedMinAge24),MAX(CapacityAge24*АбонементНовых*BD8,MeanMinAge24)))</f>
        <v/>
      </c>
      <c r="BE70" s="4">
        <f>IF(OR(BE43=0,24&lt;=КаникулыРоялти),0,BE43*IF(РоялтиПоГруппам="Да",MeanMinAge24+BE8*SUMIF(ThresholdAge24,"&lt;"&amp;BE8,WeightedRevAge24)-SUMIF(ThresholdAge24,"&lt;"&amp;BE8,WeightedMinAge24),MAX(CapacityAge24*АбонементНовых*BE8,MeanMinAge24)))</f>
        <v/>
      </c>
      <c r="BF70" s="4">
        <f>IF(OR(BF43=0,24&lt;=КаникулыРоялти),0,BF43*IF(РоялтиПоГруппам="Да",MeanMinAge24+BF8*SUMIF(ThresholdAge24,"&lt;"&amp;BF8,WeightedRevAge24)-SUMIF(ThresholdAge24,"&lt;"&amp;BF8,WeightedMinAge24),MAX(CapacityAge24*АбонементНовых*BF8,MeanMinAge24)))</f>
        <v/>
      </c>
      <c r="BG70" s="4">
        <f>IF(OR(BG43=0,24&lt;=КаникулыРоялти),0,BG43*IF(РоялтиПоГруппам="Да",MeanMinAge24+BG8*SUMIF(ThresholdAge24,"&lt;"&amp;BG8,WeightedRevAge24)-SUMIF(ThresholdAge24,"&lt;"&amp;BG8,WeightedMinAge24),MAX(CapacityAge24*АбонементНовых*BG8,MeanMinAge24)))</f>
        <v/>
      </c>
      <c r="BH70" s="4">
        <f>IF(OR(BH43=0,24&lt;=КаникулыРоялти),0,BH43*IF(РоялтиПоГруппам="Да",MeanMinAge24+BH8*SUMIF(ThresholdAge24,"&lt;"&amp;BH8,WeightedRevAge24)-SUMIF(ThresholdAge24,"&lt;"&amp;BH8,WeightedMinAge24),MAX(CapacityAge24*АбонементНовых*BH8,MeanMinAge24)))</f>
        <v/>
      </c>
      <c r="BI70" s="4">
        <f>IF(OR(BI43=0,24&lt;=КаникулыРоялти),0,BI43*IF(РоялтиПоГруппам="Да",MeanMinAge24+BI8*SUMIF(ThresholdAge24,"&lt;"&amp;BI8,WeightedRevAge24)-SUMIF(ThresholdAge24,"&lt;"&amp;BI8,WeightedMinAge24),MAX(CapacityAge24*АбонементНовых*BI8,MeanMinAge24)))</f>
        <v/>
      </c>
      <c r="BJ70" s="4">
        <f>IF(OR(BJ43=0,24&lt;=КаникулыРоялти),0,BJ43*IF(РоялтиПоГруппам="Да",MeanMinAge24+BJ8*SUMIF(ThresholdAge24,"&lt;"&amp;BJ8,WeightedRevAge24)-SUMIF(ThresholdAge24,"&lt;"&amp;BJ8,WeightedMinAge24),MAX(CapacityAge24*АбонементНовых*BJ8,MeanMinAge24)))</f>
        <v/>
      </c>
      <c r="BK70" s="4">
        <f>IF(OR(BK43=0,24&lt;=КаникулыРоялти),0,BK43*IF(РоялтиПоГруппам="Да",MeanMinAge24+BK8*SUMIF(ThresholdAge24,"&lt;"&amp;BK8,WeightedRevAge24)-SUMIF(ThresholdAge24,"&lt;"&amp;BK8,WeightedMinAge24),MAX(CapacityAge24*АбонементНовых*BK8,MeanMinAge24)))</f>
        <v/>
      </c>
      <c r="BL70" s="4">
        <f>IF(OR(BL43=0,24&lt;=КаникулыРоялти),0,BL43*IF(РоялтиПоГруппам="Да",MeanMinAge24+BL8*SUMIF(ThresholdAge24,"&lt;"&amp;BL8,WeightedRevAge24)-SUMIF(ThresholdAge24,"&lt;"&amp;BL8,WeightedMinAge24),MAX(CapacityAge24*АбонементНовых*BL8,MeanMinAge24)))</f>
        <v/>
      </c>
      <c r="BM70" s="4">
        <f>IF(OR(BM43=0,24&lt;=КаникулыРоялти),0,BM43*IF(РоялтиПоГруппам="Да",MeanMinAge24+BM8*SUMIF(ThresholdAge24,"&lt;"&amp;BM8,WeightedRevAge24)-SUMIF(ThresholdAge24,"&lt;"&amp;BM8,WeightedMinAge24),MAX(CapacityAge24*АбонементНовых*BM8,MeanMinAge24)))</f>
        <v/>
      </c>
      <c r="BN70" s="4">
        <f>IF(OR(BN43=0,24&lt;=КаникулыРоялти),0,BN43*IF(РоялтиПоГруппам="Да",MeanMinAge24+BN8*SUMIF(ThresholdAge24,"&lt;"&amp;BN8,WeightedRevAge24)-SUMIF(ThresholdAge24,"&lt;"&amp;BN8,WeightedMinAge24),MAX(CapacityAge24*АбонементНовых*BN8,MeanMinAge24)))</f>
        <v/>
      </c>
      <c r="BO70" s="4">
        <f>IF(OR(BO43=0,24&lt;=КаникулыРоялти),0,BO43*IF(РоялтиПоГруппам="Да",MeanMinAge24+BO8*SUMIF(ThresholdAge24,"&lt;"&amp;BO8,WeightedRevAge24)-SUMIF(ThresholdAge24,"&lt;"&amp;BO8,WeightedMinAge24),MAX(CapacityAge24*АбонементНовых*BO8,MeanMinAge24)))</f>
        <v/>
      </c>
      <c r="BP70" s="4">
        <f>IF(OR(BP43=0,24&lt;=КаникулыРоялти),0,BP43*IF(РоялтиПоГруппам="Да",MeanMinAge24+BP8*SUMIF(ThresholdAge24,"&lt;"&amp;BP8,WeightedRevAge24)-SUMIF(ThresholdAge24,"&lt;"&amp;BP8,WeightedMinAge24),MAX(CapacityAge24*АбонементНовых*BP8,MeanMinAge24)))</f>
        <v/>
      </c>
      <c r="BQ70" s="4">
        <f>IF(OR(BQ43=0,24&lt;=КаникулыРоялти),0,BQ43*IF(РоялтиПоГруппам="Да",MeanMinAge24+BQ8*SUMIF(ThresholdAge24,"&lt;"&amp;BQ8,WeightedRevAge24)-SUMIF(ThresholdAge24,"&lt;"&amp;BQ8,WeightedMinAge24),MAX(CapacityAge24*АбонементНовых*BQ8,MeanMinAge24)))</f>
        <v/>
      </c>
      <c r="BR70" s="4">
        <f>IF(OR(BR43=0,24&lt;=КаникулыРоялти),0,BR43*IF(РоялтиПоГруппам="Да",MeanMinAge24+BR8*SUMIF(ThresholdAge24,"&lt;"&amp;BR8,WeightedRevAge24)-SUMIF(ThresholdAge24,"&lt;"&amp;BR8,WeightedMinAge24),MAX(CapacityAge24*АбонементНовых*BR8,MeanMinAge24)))</f>
        <v/>
      </c>
      <c r="BS70" s="4">
        <f>IF(OR(BS43=0,24&lt;=КаникулыРоялти),0,BS43*IF(РоялтиПоГруппам="Да",MeanMinAge24+BS8*SUMIF(ThresholdAge24,"&lt;"&amp;BS8,WeightedRevAge24)-SUMIF(ThresholdAge24,"&lt;"&amp;BS8,WeightedMinAge24),MAX(CapacityAge24*АбонементНовых*BS8,MeanMinAge24)))</f>
        <v/>
      </c>
      <c r="BT70" s="4">
        <f>IF(OR(BT43=0,24&lt;=КаникулыРоялти),0,BT43*IF(РоялтиПоГруппам="Да",MeanMinAge24+BT8*SUMIF(ThresholdAge24,"&lt;"&amp;BT8,WeightedRevAge24)-SUMIF(ThresholdAge24,"&lt;"&amp;BT8,WeightedMinAge24),MAX(CapacityAge24*АбонементНовых*BT8,MeanMinAge24)))</f>
        <v/>
      </c>
      <c r="BU70" s="4">
        <f>IF(OR(BU43=0,24&lt;=КаникулыРоялти),0,BU43*IF(РоялтиПоГруппам="Да",MeanMinAge24+BU8*SUMIF(ThresholdAge24,"&lt;"&amp;BU8,WeightedRevAge24)-SUMIF(ThresholdAge24,"&lt;"&amp;BU8,WeightedMinAge24),MAX(CapacityAge24*АбонементНовых*BU8,MeanMinAge24)))</f>
        <v/>
      </c>
      <c r="BV70" s="4">
        <f>IF(OR(BV43=0,24&lt;=КаникулыРоялти),0,BV43*IF(РоялтиПоГруппам="Да",MeanMinAge24+BV8*SUMIF(ThresholdAge24,"&lt;"&amp;BV8,WeightedRevAge24)-SUMIF(ThresholdAge24,"&lt;"&amp;BV8,WeightedMinAge24),MAX(CapacityAge24*АбонементНовых*BV8,MeanMinAge24)))</f>
        <v/>
      </c>
      <c r="BW70" s="4">
        <f>IF(OR(BW43=0,24&lt;=КаникулыРоялти),0,BW43*IF(РоялтиПоГруппам="Да",MeanMinAge24+BW8*SUMIF(ThresholdAge24,"&lt;"&amp;BW8,WeightedRevAge24)-SUMIF(ThresholdAge24,"&lt;"&amp;BW8,WeightedMinAge24),MAX(CapacityAge24*АбонементНовых*BW8,MeanMinAge24)))</f>
        <v/>
      </c>
      <c r="BX70" s="4">
        <f>IF(OR(BX43=0,24&lt;=КаникулыРоялти),0,BX43*IF(РоялтиПоГруппам="Да",MeanMinAge24+BX8*SUMIF(ThresholdAge24,"&lt;"&amp;BX8,WeightedRevAge24)-SUMIF(ThresholdAge24,"&lt;"&amp;BX8,WeightedMinAge24),MAX(CapacityAge24*АбонементНовых*BX8,MeanMinAge24)))</f>
        <v/>
      </c>
      <c r="BY70" s="4">
        <f>IF(OR(BY43=0,24&lt;=КаникулыРоялти),0,BY43*IF(РоялтиПоГруппам="Да",MeanMinAge24+BY8*SUMIF(ThresholdAge24,"&lt;"&amp;BY8,WeightedRevAge24)-SUMIF(ThresholdAge24,"&lt;"&amp;BY8,WeightedMinAge24),MAX(CapacityAge24*АбонементНовых*BY8,MeanMinAge24)))</f>
        <v/>
      </c>
    </row>
    <row r="71">
      <c r="B71" t="inlineStr">
        <is>
          <t>25+ мес.</t>
        </is>
      </c>
      <c r="C71" t="inlineStr">
        <is>
          <t>₽</t>
        </is>
      </c>
      <c r="D71" s="117" t="inlineStr"/>
      <c r="E71" s="119">
        <f>SUM(L71:W71)</f>
        <v/>
      </c>
      <c r="F71" s="119">
        <f>SUM(X71:AI71)</f>
        <v/>
      </c>
      <c r="G71" s="119">
        <f>SUM(AJ71:AU71)</f>
        <v/>
      </c>
      <c r="H71" s="119">
        <f>SUM(AV71:BG71)</f>
        <v/>
      </c>
      <c r="I71" s="119">
        <f>SUM(BH71:BS71)</f>
        <v/>
      </c>
      <c r="J71" s="5">
        <f>SUM(L71:BS71)</f>
        <v/>
      </c>
      <c r="L71" s="4">
        <f>IF(OR(L44=0,25&lt;=КаникулыРоялти),0,L44*IF(РоялтиПоГруппам="Да",MeanMinAge25+L8*SUMIF(ThresholdAge25,"&lt;"&amp;L8,WeightedRevAge25)-SUMIF(ThresholdAge25,"&lt;"&amp;L8,WeightedMinAge25),MAX(CapacityAge25*АбонементНовых*L8,MeanMinAge25)))</f>
        <v/>
      </c>
      <c r="M71" s="4">
        <f>IF(OR(M44=0,25&lt;=КаникулыРоялти),0,M44*IF(РоялтиПоГруппам="Да",MeanMinAge25+M8*SUMIF(ThresholdAge25,"&lt;"&amp;M8,WeightedRevAge25)-SUMIF(ThresholdAge25,"&lt;"&amp;M8,WeightedMinAge25),MAX(CapacityAge25*АбонементНовых*M8,MeanMinAge25)))</f>
        <v/>
      </c>
      <c r="N71" s="4">
        <f>IF(OR(N44=0,25&lt;=КаникулыРоялти),0,N44*IF(РоялтиПоГруппам="Да",MeanMinAge25+N8*SUMIF(ThresholdAge25,"&lt;"&amp;N8,WeightedRevAge25)-SUMIF(ThresholdAge25,"&lt;"&amp;N8,WeightedMinAge25),MAX(CapacityAge25*АбонементНовых*N8,MeanMinAge25)))</f>
        <v/>
      </c>
      <c r="O71" s="4">
        <f>IF(OR(O44=0,25&lt;=КаникулыРоялти),0,O44*IF(РоялтиПоГруппам="Да",MeanMinAge25+O8*SUMIF(ThresholdAge25,"&lt;"&amp;O8,WeightedRevAge25)-SUMIF(ThresholdAge25,"&lt;"&amp;O8,WeightedMinAge25),MAX(CapacityAge25*АбонементНовых*O8,MeanMinAge25)))</f>
        <v/>
      </c>
      <c r="P71" s="4">
        <f>IF(OR(P44=0,25&lt;=КаникулыРоялти),0,P44*IF(РоялтиПоГруппам="Да",MeanMinAge25+P8*SUMIF(ThresholdAge25,"&lt;"&amp;P8,WeightedRevAge25)-SUMIF(ThresholdAge25,"&lt;"&amp;P8,WeightedMinAge25),MAX(CapacityAge25*АбонементНовых*P8,MeanMinAge25)))</f>
        <v/>
      </c>
      <c r="Q71" s="4">
        <f>IF(OR(Q44=0,25&lt;=КаникулыРоялти),0,Q44*IF(РоялтиПоГруппам="Да",MeanMinAge25+Q8*SUMIF(ThresholdAge25,"&lt;"&amp;Q8,WeightedRevAge25)-SUMIF(ThresholdAge25,"&lt;"&amp;Q8,WeightedMinAge25),MAX(CapacityAge25*АбонементНовых*Q8,MeanMinAge25)))</f>
        <v/>
      </c>
      <c r="R71" s="4">
        <f>IF(OR(R44=0,25&lt;=КаникулыРоялти),0,R44*IF(РоялтиПоГруппам="Да",MeanMinAge25+R8*SUMIF(ThresholdAge25,"&lt;"&amp;R8,WeightedRevAge25)-SUMIF(ThresholdAge25,"&lt;"&amp;R8,WeightedMinAge25),MAX(CapacityAge25*АбонементНовых*R8,MeanMinAge25)))</f>
        <v/>
      </c>
      <c r="S71" s="4">
        <f>IF(OR(S44=0,25&lt;=КаникулыРоялти),0,S44*IF(РоялтиПоГруппам="Да",MeanMinAge25+S8*SUMIF(ThresholdAge25,"&lt;"&amp;S8,WeightedRevAge25)-SUMIF(ThresholdAge25,"&lt;"&amp;S8,WeightedMinAge25),MAX(CapacityAge25*АбонементНовых*S8,MeanMinAge25)))</f>
        <v/>
      </c>
      <c r="T71" s="4">
        <f>IF(OR(T44=0,25&lt;=КаникулыРоялти),0,T44*IF(РоялтиПоГруппам="Да",MeanMinAge25+T8*SUMIF(ThresholdAge25,"&lt;"&amp;T8,WeightedRevAge25)-SUMIF(ThresholdAge25,"&lt;"&amp;T8,WeightedMinAge25),MAX(CapacityAge25*АбонементНовых*T8,MeanMinAge25)))</f>
        <v/>
      </c>
      <c r="U71" s="4">
        <f>IF(OR(U44=0,25&lt;=КаникулыРоялти),0,U44*IF(РоялтиПоГруппам="Да",MeanMinAge25+U8*SUMIF(ThresholdAge25,"&lt;"&amp;U8,WeightedRevAge25)-SUMIF(ThresholdAge25,"&lt;"&amp;U8,WeightedMinAge25),MAX(CapacityAge25*АбонементНовых*U8,MeanMinAge25)))</f>
        <v/>
      </c>
      <c r="V71" s="4">
        <f>IF(OR(V44=0,25&lt;=КаникулыРоялти),0,V44*IF(РоялтиПоГруппам="Да",MeanMinAge25+V8*SUMIF(ThresholdAge25,"&lt;"&amp;V8,WeightedRevAge25)-SUMIF(ThresholdAge25,"&lt;"&amp;V8,WeightedMinAge25),MAX(CapacityAge25*АбонементНовых*V8,MeanMinAge25)))</f>
        <v/>
      </c>
      <c r="W71" s="4">
        <f>IF(OR(W44=0,25&lt;=КаникулыРоялти),0,W44*IF(РоялтиПоГруппам="Да",MeanMinAge25+W8*SUMIF(ThresholdAge25,"&lt;"&amp;W8,WeightedRevAge25)-SUMIF(ThresholdAge25,"&lt;"&amp;W8,WeightedMinAge25),MAX(CapacityAge25*АбонементНовых*W8,MeanMinAge25)))</f>
        <v/>
      </c>
      <c r="X71" s="4">
        <f>IF(OR(X44=0,25&lt;=КаникулыРоялти),0,X44*IF(РоялтиПоГруппам="Да",MeanMinAge25+X8*SUMIF(ThresholdAge25,"&lt;"&amp;X8,WeightedRevAge25)-SUMIF(ThresholdAge25,"&lt;"&amp;X8,WeightedMinAge25),MAX(CapacityAge25*АбонементНовых*X8,MeanMinAge25)))</f>
        <v/>
      </c>
      <c r="Y71" s="4">
        <f>IF(OR(Y44=0,25&lt;=КаникулыРоялти),0,Y44*IF(РоялтиПоГруппам="Да",MeanMinAge25+Y8*SUMIF(ThresholdAge25,"&lt;"&amp;Y8,WeightedRevAge25)-SUMIF(ThresholdAge25,"&lt;"&amp;Y8,WeightedMinAge25),MAX(CapacityAge25*АбонементНовых*Y8,MeanMinAge25)))</f>
        <v/>
      </c>
      <c r="Z71" s="4">
        <f>IF(OR(Z44=0,25&lt;=КаникулыРоялти),0,Z44*IF(РоялтиПоГруппам="Да",MeanMinAge25+Z8*SUMIF(ThresholdAge25,"&lt;"&amp;Z8,WeightedRevAge25)-SUMIF(ThresholdAge25,"&lt;"&amp;Z8,WeightedMinAge25),MAX(CapacityAge25*АбонементНовых*Z8,MeanMinAge25)))</f>
        <v/>
      </c>
      <c r="AA71" s="4">
        <f>IF(OR(AA44=0,25&lt;=КаникулыРоялти),0,AA44*IF(РоялтиПоГруппам="Да",MeanMinAge25+AA8*SUMIF(ThresholdAge25,"&lt;"&amp;AA8,WeightedRevAge25)-SUMIF(ThresholdAge25,"&lt;"&amp;AA8,WeightedMinAge25),MAX(CapacityAge25*АбонементНовых*AA8,MeanMinAge25)))</f>
        <v/>
      </c>
      <c r="AB71" s="4">
        <f>IF(OR(AB44=0,25&lt;=КаникулыРоялти),0,AB44*IF(РоялтиПоГруппам="Да",MeanMinAge25+AB8*SUMIF(ThresholdAge25,"&lt;"&amp;AB8,WeightedRevAge25)-SUMIF(ThresholdAge25,"&lt;"&amp;AB8,WeightedMinAge25),MAX(CapacityAge25*АбонементНовых*AB8,MeanMinAge25)))</f>
        <v/>
      </c>
      <c r="AC71" s="4">
        <f>IF(OR(AC44=0,25&lt;=КаникулыРоялти),0,AC44*IF(РоялтиПоГруппам="Да",MeanMinAge25+AC8*SUMIF(ThresholdAge25,"&lt;"&amp;AC8,WeightedRevAge25)-SUMIF(ThresholdAge25,"&lt;"&amp;AC8,WeightedMinAge25),MAX(CapacityAge25*АбонементНовых*AC8,MeanMinAge25)))</f>
        <v/>
      </c>
      <c r="AD71" s="4">
        <f>IF(OR(AD44=0,25&lt;=КаникулыРоялти),0,AD44*IF(РоялтиПоГруппам="Да",MeanMinAge25+AD8*SUMIF(ThresholdAge25,"&lt;"&amp;AD8,WeightedRevAge25)-SUMIF(ThresholdAge25,"&lt;"&amp;AD8,WeightedMinAge25),MAX(CapacityAge25*АбонементНовых*AD8,MeanMinAge25)))</f>
        <v/>
      </c>
      <c r="AE71" s="4">
        <f>IF(OR(AE44=0,25&lt;=КаникулыРоялти),0,AE44*IF(РоялтиПоГруппам="Да",MeanMinAge25+AE8*SUMIF(ThresholdAge25,"&lt;"&amp;AE8,WeightedRevAge25)-SUMIF(ThresholdAge25,"&lt;"&amp;AE8,WeightedMinAge25),MAX(CapacityAge25*АбонементНовых*AE8,MeanMinAge25)))</f>
        <v/>
      </c>
      <c r="AF71" s="4">
        <f>IF(OR(AF44=0,25&lt;=КаникулыРоялти),0,AF44*IF(РоялтиПоГруппам="Да",MeanMinAge25+AF8*SUMIF(ThresholdAge25,"&lt;"&amp;AF8,WeightedRevAge25)-SUMIF(ThresholdAge25,"&lt;"&amp;AF8,WeightedMinAge25),MAX(CapacityAge25*АбонементНовых*AF8,MeanMinAge25)))</f>
        <v/>
      </c>
      <c r="AG71" s="4">
        <f>IF(OR(AG44=0,25&lt;=КаникулыРоялти),0,AG44*IF(РоялтиПоГруппам="Да",MeanMinAge25+AG8*SUMIF(ThresholdAge25,"&lt;"&amp;AG8,WeightedRevAge25)-SUMIF(ThresholdAge25,"&lt;"&amp;AG8,WeightedMinAge25),MAX(CapacityAge25*АбонементНовых*AG8,MeanMinAge25)))</f>
        <v/>
      </c>
      <c r="AH71" s="4">
        <f>IF(OR(AH44=0,25&lt;=КаникулыРоялти),0,AH44*IF(РоялтиПоГруппам="Да",MeanMinAge25+AH8*SUMIF(ThresholdAge25,"&lt;"&amp;AH8,WeightedRevAge25)-SUMIF(ThresholdAge25,"&lt;"&amp;AH8,WeightedMinAge25),MAX(CapacityAge25*АбонементНовых*AH8,MeanMinAge25)))</f>
        <v/>
      </c>
      <c r="AI71" s="4">
        <f>IF(OR(AI44=0,25&lt;=КаникулыРоялти),0,AI44*IF(РоялтиПоГруппам="Да",MeanMinAge25+AI8*SUMIF(ThresholdAge25,"&lt;"&amp;AI8,WeightedRevAge25)-SUMIF(ThresholdAge25,"&lt;"&amp;AI8,WeightedMinAge25),MAX(CapacityAge25*АбонементНовых*AI8,MeanMinAge25)))</f>
        <v/>
      </c>
      <c r="AJ71" s="4">
        <f>IF(OR(AJ44=0,25&lt;=КаникулыРоялти),0,AJ44*IF(РоялтиПоГруппам="Да",MeanMinAge25+AJ8*SUMIF(ThresholdAge25,"&lt;"&amp;AJ8,WeightedRevAge25)-SUMIF(ThresholdAge25,"&lt;"&amp;AJ8,WeightedMinAge25),MAX(CapacityAge25*АбонементНовых*AJ8,MeanMinAge25)))</f>
        <v/>
      </c>
      <c r="AK71" s="4">
        <f>IF(OR(AK44=0,25&lt;=КаникулыРоялти),0,AK44*IF(РоялтиПоГруппам="Да",MeanMinAge25+AK8*SUMIF(ThresholdAge25,"&lt;"&amp;AK8,WeightedRevAge25)-SUMIF(ThresholdAge25,"&lt;"&amp;AK8,WeightedMinAge25),MAX(CapacityAge25*АбонементНовых*AK8,MeanMinAge25)))</f>
        <v/>
      </c>
      <c r="AL71" s="4">
        <f>IF(OR(AL44=0,25&lt;=КаникулыРоялти),0,AL44*IF(РоялтиПоГруппам="Да",MeanMinAge25+AL8*SUMIF(ThresholdAge25,"&lt;"&amp;AL8,WeightedRevAge25)-SUMIF(ThresholdAge25,"&lt;"&amp;AL8,WeightedMinAge25),MAX(CapacityAge25*АбонементНовых*AL8,MeanMinAge25)))</f>
        <v/>
      </c>
      <c r="AM71" s="4">
        <f>IF(OR(AM44=0,25&lt;=КаникулыРоялти),0,AM44*IF(РоялтиПоГруппам="Да",MeanMinAge25+AM8*SUMIF(ThresholdAge25,"&lt;"&amp;AM8,WeightedRevAge25)-SUMIF(ThresholdAge25,"&lt;"&amp;AM8,WeightedMinAge25),MAX(CapacityAge25*АбонементНовых*AM8,MeanMinAge25)))</f>
        <v/>
      </c>
      <c r="AN71" s="4">
        <f>IF(OR(AN44=0,25&lt;=КаникулыРоялти),0,AN44*IF(РоялтиПоГруппам="Да",MeanMinAge25+AN8*SUMIF(ThresholdAge25,"&lt;"&amp;AN8,WeightedRevAge25)-SUMIF(ThresholdAge25,"&lt;"&amp;AN8,WeightedMinAge25),MAX(CapacityAge25*АбонементНовых*AN8,MeanMinAge25)))</f>
        <v/>
      </c>
      <c r="AO71" s="4">
        <f>IF(OR(AO44=0,25&lt;=КаникулыРоялти),0,AO44*IF(РоялтиПоГруппам="Да",MeanMinAge25+AO8*SUMIF(ThresholdAge25,"&lt;"&amp;AO8,WeightedRevAge25)-SUMIF(ThresholdAge25,"&lt;"&amp;AO8,WeightedMinAge25),MAX(CapacityAge25*АбонементНовых*AO8,MeanMinAge25)))</f>
        <v/>
      </c>
      <c r="AP71" s="4">
        <f>IF(OR(AP44=0,25&lt;=КаникулыРоялти),0,AP44*IF(РоялтиПоГруппам="Да",MeanMinAge25+AP8*SUMIF(ThresholdAge25,"&lt;"&amp;AP8,WeightedRevAge25)-SUMIF(ThresholdAge25,"&lt;"&amp;AP8,WeightedMinAge25),MAX(CapacityAge25*АбонементНовых*AP8,MeanMinAge25)))</f>
        <v/>
      </c>
      <c r="AQ71" s="4">
        <f>IF(OR(AQ44=0,25&lt;=КаникулыРоялти),0,AQ44*IF(РоялтиПоГруппам="Да",MeanMinAge25+AQ8*SUMIF(ThresholdAge25,"&lt;"&amp;AQ8,WeightedRevAge25)-SUMIF(ThresholdAge25,"&lt;"&amp;AQ8,WeightedMinAge25),MAX(CapacityAge25*АбонементНовых*AQ8,MeanMinAge25)))</f>
        <v/>
      </c>
      <c r="AR71" s="4">
        <f>IF(OR(AR44=0,25&lt;=КаникулыРоялти),0,AR44*IF(РоялтиПоГруппам="Да",MeanMinAge25+AR8*SUMIF(ThresholdAge25,"&lt;"&amp;AR8,WeightedRevAge25)-SUMIF(ThresholdAge25,"&lt;"&amp;AR8,WeightedMinAge25),MAX(CapacityAge25*АбонементНовых*AR8,MeanMinAge25)))</f>
        <v/>
      </c>
      <c r="AS71" s="4">
        <f>IF(OR(AS44=0,25&lt;=КаникулыРоялти),0,AS44*IF(РоялтиПоГруппам="Да",MeanMinAge25+AS8*SUMIF(ThresholdAge25,"&lt;"&amp;AS8,WeightedRevAge25)-SUMIF(ThresholdAge25,"&lt;"&amp;AS8,WeightedMinAge25),MAX(CapacityAge25*АбонементНовых*AS8,MeanMinAge25)))</f>
        <v/>
      </c>
      <c r="AT71" s="4">
        <f>IF(OR(AT44=0,25&lt;=КаникулыРоялти),0,AT44*IF(РоялтиПоГруппам="Да",MeanMinAge25+AT8*SUMIF(ThresholdAge25,"&lt;"&amp;AT8,WeightedRevAge25)-SUMIF(ThresholdAge25,"&lt;"&amp;AT8,WeightedMinAge25),MAX(CapacityAge25*АбонементНовых*AT8,MeanMinAge25)))</f>
        <v/>
      </c>
      <c r="AU71" s="4">
        <f>IF(OR(AU44=0,25&lt;=КаникулыРоялти),0,AU44*IF(РоялтиПоГруппам="Да",MeanMinAge25+AU8*SUMIF(ThresholdAge25,"&lt;"&amp;AU8,WeightedRevAge25)-SUMIF(ThresholdAge25,"&lt;"&amp;AU8,WeightedMinAge25),MAX(CapacityAge25*АбонементНовых*AU8,MeanMinAge25)))</f>
        <v/>
      </c>
      <c r="AV71" s="4">
        <f>IF(OR(AV44=0,25&lt;=КаникулыРоялти),0,AV44*IF(РоялтиПоГруппам="Да",MeanMinAge25+AV8*SUMIF(ThresholdAge25,"&lt;"&amp;AV8,WeightedRevAge25)-SUMIF(ThresholdAge25,"&lt;"&amp;AV8,WeightedMinAge25),MAX(CapacityAge25*АбонементНовых*AV8,MeanMinAge25)))</f>
        <v/>
      </c>
      <c r="AW71" s="4">
        <f>IF(OR(AW44=0,25&lt;=КаникулыРоялти),0,AW44*IF(РоялтиПоГруппам="Да",MeanMinAge25+AW8*SUMIF(ThresholdAge25,"&lt;"&amp;AW8,WeightedRevAge25)-SUMIF(ThresholdAge25,"&lt;"&amp;AW8,WeightedMinAge25),MAX(CapacityAge25*АбонементНовых*AW8,MeanMinAge25)))</f>
        <v/>
      </c>
      <c r="AX71" s="4">
        <f>IF(OR(AX44=0,25&lt;=КаникулыРоялти),0,AX44*IF(РоялтиПоГруппам="Да",MeanMinAge25+AX8*SUMIF(ThresholdAge25,"&lt;"&amp;AX8,WeightedRevAge25)-SUMIF(ThresholdAge25,"&lt;"&amp;AX8,WeightedMinAge25),MAX(CapacityAge25*АбонементНовых*AX8,MeanMinAge25)))</f>
        <v/>
      </c>
      <c r="AY71" s="4">
        <f>IF(OR(AY44=0,25&lt;=КаникулыРоялти),0,AY44*IF(РоялтиПоГруппам="Да",MeanMinAge25+AY8*SUMIF(ThresholdAge25,"&lt;"&amp;AY8,WeightedRevAge25)-SUMIF(ThresholdAge25,"&lt;"&amp;AY8,WeightedMinAge25),MAX(CapacityAge25*АбонементНовых*AY8,MeanMinAge25)))</f>
        <v/>
      </c>
      <c r="AZ71" s="4">
        <f>IF(OR(AZ44=0,25&lt;=КаникулыРоялти),0,AZ44*IF(РоялтиПоГруппам="Да",MeanMinAge25+AZ8*SUMIF(ThresholdAge25,"&lt;"&amp;AZ8,WeightedRevAge25)-SUMIF(ThresholdAge25,"&lt;"&amp;AZ8,WeightedMinAge25),MAX(CapacityAge25*АбонементНовых*AZ8,MeanMinAge25)))</f>
        <v/>
      </c>
      <c r="BA71" s="4">
        <f>IF(OR(BA44=0,25&lt;=КаникулыРоялти),0,BA44*IF(РоялтиПоГруппам="Да",MeanMinAge25+BA8*SUMIF(ThresholdAge25,"&lt;"&amp;BA8,WeightedRevAge25)-SUMIF(ThresholdAge25,"&lt;"&amp;BA8,WeightedMinAge25),MAX(CapacityAge25*АбонементНовых*BA8,MeanMinAge25)))</f>
        <v/>
      </c>
      <c r="BB71" s="4">
        <f>IF(OR(BB44=0,25&lt;=КаникулыРоялти),0,BB44*IF(РоялтиПоГруппам="Да",MeanMinAge25+BB8*SUMIF(ThresholdAge25,"&lt;"&amp;BB8,WeightedRevAge25)-SUMIF(ThresholdAge25,"&lt;"&amp;BB8,WeightedMinAge25),MAX(CapacityAge25*АбонементНовых*BB8,MeanMinAge25)))</f>
        <v/>
      </c>
      <c r="BC71" s="4">
        <f>IF(OR(BC44=0,25&lt;=КаникулыРоялти),0,BC44*IF(РоялтиПоГруппам="Да",MeanMinAge25+BC8*SUMIF(ThresholdAge25,"&lt;"&amp;BC8,WeightedRevAge25)-SUMIF(ThresholdAge25,"&lt;"&amp;BC8,WeightedMinAge25),MAX(CapacityAge25*АбонементНовых*BC8,MeanMinAge25)))</f>
        <v/>
      </c>
      <c r="BD71" s="4">
        <f>IF(OR(BD44=0,25&lt;=КаникулыРоялти),0,BD44*IF(РоялтиПоГруппам="Да",MeanMinAge25+BD8*SUMIF(ThresholdAge25,"&lt;"&amp;BD8,WeightedRevAge25)-SUMIF(ThresholdAge25,"&lt;"&amp;BD8,WeightedMinAge25),MAX(CapacityAge25*АбонементНовых*BD8,MeanMinAge25)))</f>
        <v/>
      </c>
      <c r="BE71" s="4">
        <f>IF(OR(BE44=0,25&lt;=КаникулыРоялти),0,BE44*IF(РоялтиПоГруппам="Да",MeanMinAge25+BE8*SUMIF(ThresholdAge25,"&lt;"&amp;BE8,WeightedRevAge25)-SUMIF(ThresholdAge25,"&lt;"&amp;BE8,WeightedMinAge25),MAX(CapacityAge25*АбонементНовых*BE8,MeanMinAge25)))</f>
        <v/>
      </c>
      <c r="BF71" s="4">
        <f>IF(OR(BF44=0,25&lt;=КаникулыРоялти),0,BF44*IF(РоялтиПоГруппам="Да",MeanMinAge25+BF8*SUMIF(ThresholdAge25,"&lt;"&amp;BF8,WeightedRevAge25)-SUMIF(ThresholdAge25,"&lt;"&amp;BF8,WeightedMinAge25),MAX(CapacityAge25*АбонементНовых*BF8,MeanMinAge25)))</f>
        <v/>
      </c>
      <c r="BG71" s="4">
        <f>IF(OR(BG44=0,25&lt;=КаникулыРоялти),0,BG44*IF(РоялтиПоГруппам="Да",MeanMinAge25+BG8*SUMIF(ThresholdAge25,"&lt;"&amp;BG8,WeightedRevAge25)-SUMIF(ThresholdAge25,"&lt;"&amp;BG8,WeightedMinAge25),MAX(CapacityAge25*АбонементНовых*BG8,MeanMinAge25)))</f>
        <v/>
      </c>
      <c r="BH71" s="4">
        <f>IF(OR(BH44=0,25&lt;=КаникулыРоялти),0,BH44*IF(РоялтиПоГруппам="Да",MeanMinAge25+BH8*SUMIF(ThresholdAge25,"&lt;"&amp;BH8,WeightedRevAge25)-SUMIF(ThresholdAge25,"&lt;"&amp;BH8,WeightedMinAge25),MAX(CapacityAge25*АбонементНовых*BH8,MeanMinAge25)))</f>
        <v/>
      </c>
      <c r="BI71" s="4">
        <f>IF(OR(BI44=0,25&lt;=КаникулыРоялти),0,BI44*IF(РоялтиПоГруппам="Да",MeanMinAge25+BI8*SUMIF(ThresholdAge25,"&lt;"&amp;BI8,WeightedRevAge25)-SUMIF(ThresholdAge25,"&lt;"&amp;BI8,WeightedMinAge25),MAX(CapacityAge25*АбонементНовых*BI8,MeanMinAge25)))</f>
        <v/>
      </c>
      <c r="BJ71" s="4">
        <f>IF(OR(BJ44=0,25&lt;=КаникулыРоялти),0,BJ44*IF(РоялтиПоГруппам="Да",MeanMinAge25+BJ8*SUMIF(ThresholdAge25,"&lt;"&amp;BJ8,WeightedRevAge25)-SUMIF(ThresholdAge25,"&lt;"&amp;BJ8,WeightedMinAge25),MAX(CapacityAge25*АбонементНовых*BJ8,MeanMinAge25)))</f>
        <v/>
      </c>
      <c r="BK71" s="4">
        <f>IF(OR(BK44=0,25&lt;=КаникулыРоялти),0,BK44*IF(РоялтиПоГруппам="Да",MeanMinAge25+BK8*SUMIF(ThresholdAge25,"&lt;"&amp;BK8,WeightedRevAge25)-SUMIF(ThresholdAge25,"&lt;"&amp;BK8,WeightedMinAge25),MAX(CapacityAge25*АбонементНовых*BK8,MeanMinAge25)))</f>
        <v/>
      </c>
      <c r="BL71" s="4">
        <f>IF(OR(BL44=0,25&lt;=КаникулыРоялти),0,BL44*IF(РоялтиПоГруппам="Да",MeanMinAge25+BL8*SUMIF(ThresholdAge25,"&lt;"&amp;BL8,WeightedRevAge25)-SUMIF(ThresholdAge25,"&lt;"&amp;BL8,WeightedMinAge25),MAX(CapacityAge25*АбонементНовых*BL8,MeanMinAge25)))</f>
        <v/>
      </c>
      <c r="BM71" s="4">
        <f>IF(OR(BM44=0,25&lt;=КаникулыРоялти),0,BM44*IF(РоялтиПоГруппам="Да",MeanMinAge25+BM8*SUMIF(ThresholdAge25,"&lt;"&amp;BM8,WeightedRevAge25)-SUMIF(ThresholdAge25,"&lt;"&amp;BM8,WeightedMinAge25),MAX(CapacityAge25*АбонементНовых*BM8,MeanMinAge25)))</f>
        <v/>
      </c>
      <c r="BN71" s="4">
        <f>IF(OR(BN44=0,25&lt;=КаникулыРоялти),0,BN44*IF(РоялтиПоГруппам="Да",MeanMinAge25+BN8*SUMIF(ThresholdAge25,"&lt;"&amp;BN8,WeightedRevAge25)-SUMIF(ThresholdAge25,"&lt;"&amp;BN8,WeightedMinAge25),MAX(CapacityAge25*АбонементНовых*BN8,MeanMinAge25)))</f>
        <v/>
      </c>
      <c r="BO71" s="4">
        <f>IF(OR(BO44=0,25&lt;=КаникулыРоялти),0,BO44*IF(РоялтиПоГруппам="Да",MeanMinAge25+BO8*SUMIF(ThresholdAge25,"&lt;"&amp;BO8,WeightedRevAge25)-SUMIF(ThresholdAge25,"&lt;"&amp;BO8,WeightedMinAge25),MAX(CapacityAge25*АбонементНовых*BO8,MeanMinAge25)))</f>
        <v/>
      </c>
      <c r="BP71" s="4">
        <f>IF(OR(BP44=0,25&lt;=КаникулыРоялти),0,BP44*IF(РоялтиПоГруппам="Да",MeanMinAge25+BP8*SUMIF(ThresholdAge25,"&lt;"&amp;BP8,WeightedRevAge25)-SUMIF(ThresholdAge25,"&lt;"&amp;BP8,WeightedMinAge25),MAX(CapacityAge25*АбонементНовых*BP8,MeanMinAge25)))</f>
        <v/>
      </c>
      <c r="BQ71" s="4">
        <f>IF(OR(BQ44=0,25&lt;=КаникулыРоялти),0,BQ44*IF(РоялтиПоГруппам="Да",MeanMinAge25+BQ8*SUMIF(ThresholdAge25,"&lt;"&amp;BQ8,WeightedRevAge25)-SUMIF(ThresholdAge25,"&lt;"&amp;BQ8,WeightedMinAge25),MAX(CapacityAge25*АбонементНовых*BQ8,MeanMinAge25)))</f>
        <v/>
      </c>
      <c r="BR71" s="4">
        <f>IF(OR(BR44=0,25&lt;=КаникулыРоялти),0,BR44*IF(РоялтиПоГруппам="Да",MeanMinAge25+BR8*SUMIF(ThresholdAge25,"&lt;"&amp;BR8,WeightedRevAge25)-SUMIF(ThresholdAge25,"&lt;"&amp;BR8,WeightedMinAge25),MAX(CapacityAge25*АбонементНовых*BR8,MeanMinAge25)))</f>
        <v/>
      </c>
      <c r="BS71" s="4">
        <f>IF(OR(BS44=0,25&lt;=КаникулыРоялти),0,BS44*IF(РоялтиПоГруппам="Да",MeanMinAge25+BS8*SUMIF(ThresholdAge25,"&lt;"&amp;BS8,WeightedRevAge25)-SUMIF(ThresholdAge25,"&lt;"&amp;BS8,WeightedMinAge25),MAX(CapacityAge25*АбонементНовых*BS8,MeanMinAge25)))</f>
        <v/>
      </c>
      <c r="BT71" s="4">
        <f>IF(OR(BT44=0,25&lt;=КаникулыРоялти),0,BT44*IF(РоялтиПоГруппам="Да",MeanMinAge25+BT8*SUMIF(ThresholdAge25,"&lt;"&amp;BT8,WeightedRevAge25)-SUMIF(ThresholdAge25,"&lt;"&amp;BT8,WeightedMinAge25),MAX(CapacityAge25*АбонементНовых*BT8,MeanMinAge25)))</f>
        <v/>
      </c>
      <c r="BU71" s="4">
        <f>IF(OR(BU44=0,25&lt;=КаникулыРоялти),0,BU44*IF(РоялтиПоГруппам="Да",MeanMinAge25+BU8*SUMIF(ThresholdAge25,"&lt;"&amp;BU8,WeightedRevAge25)-SUMIF(ThresholdAge25,"&lt;"&amp;BU8,WeightedMinAge25),MAX(CapacityAge25*АбонементНовых*BU8,MeanMinAge25)))</f>
        <v/>
      </c>
      <c r="BV71" s="4">
        <f>IF(OR(BV44=0,25&lt;=КаникулыРоялти),0,BV44*IF(РоялтиПоГруппам="Да",MeanMinAge25+BV8*SUMIF(ThresholdAge25,"&lt;"&amp;BV8,WeightedRevAge25)-SUMIF(ThresholdAge25,"&lt;"&amp;BV8,WeightedMinAge25),MAX(CapacityAge25*АбонементНовых*BV8,MeanMinAge25)))</f>
        <v/>
      </c>
      <c r="BW71" s="4">
        <f>IF(OR(BW44=0,25&lt;=КаникулыРоялти),0,BW44*IF(РоялтиПоГруппам="Да",MeanMinAge25+BW8*SUMIF(ThresholdAge25,"&lt;"&amp;BW8,WeightedRevAge25)-SUMIF(ThresholdAge25,"&lt;"&amp;BW8,WeightedMinAge25),MAX(CapacityAge25*АбонементНовых*BW8,MeanMinAge25)))</f>
        <v/>
      </c>
      <c r="BX71" s="4">
        <f>IF(OR(BX44=0,25&lt;=КаникулыРоялти),0,BX44*IF(РоялтиПоГруппам="Да",MeanMinAge25+BX8*SUMIF(ThresholdAge25,"&lt;"&amp;BX8,WeightedRevAge25)-SUMIF(ThresholdAge25,"&lt;"&amp;BX8,WeightedMinAge25),MAX(CapacityAge25*АбонементНовых*BX8,MeanMinAge25)))</f>
        <v/>
      </c>
      <c r="BY71" s="4">
        <f>IF(OR(BY44=0,25&lt;=КаникулыРоялти),0,BY44*IF(РоялтиПоГруппам="Да",MeanMinAge25+BY8*SUMIF(ThresholdAge25,"&lt;"&amp;BY8,WeightedRevAge25)-SUMIF(ThresholdAge25,"&lt;"&amp;BY8,WeightedMinAge25),MAX(CapacityAge25*АбонементНовых*BY8,MeanMinAge25)))</f>
        <v/>
      </c>
    </row>
    <row r="73">
      <c r="B73" s="115" t="inlineStr">
        <is>
          <t>Роялти новых школ по возрасту — новая ставка</t>
        </is>
      </c>
      <c r="C73" s="116" t="n"/>
      <c r="D73" s="116" t="n"/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/>
      <c r="Q73" s="116" t="n"/>
      <c r="R73" s="116" t="n"/>
      <c r="S73" s="116" t="n"/>
      <c r="T73" s="116" t="n"/>
      <c r="U73" s="116" t="n"/>
      <c r="V73" s="116" t="n"/>
      <c r="W73" s="116" t="n"/>
      <c r="X73" s="116" t="n"/>
      <c r="Y73" s="116" t="n"/>
      <c r="Z73" s="116" t="n"/>
      <c r="AA73" s="116" t="n"/>
      <c r="AB73" s="116" t="n"/>
      <c r="AC73" s="116" t="n"/>
      <c r="AD73" s="116" t="n"/>
      <c r="AE73" s="116" t="n"/>
      <c r="AF73" s="116" t="n"/>
      <c r="AG73" s="116" t="n"/>
      <c r="AH73" s="116" t="n"/>
      <c r="AI73" s="116" t="n"/>
      <c r="AJ73" s="116" t="n"/>
      <c r="AK73" s="116" t="n"/>
      <c r="AL73" s="116" t="n"/>
      <c r="AM73" s="116" t="n"/>
      <c r="AN73" s="116" t="n"/>
      <c r="AO73" s="116" t="n"/>
      <c r="AP73" s="116" t="n"/>
      <c r="AQ73" s="116" t="n"/>
      <c r="AR73" s="116" t="n"/>
      <c r="AS73" s="116" t="n"/>
      <c r="AT73" s="116" t="n"/>
      <c r="AU73" s="116" t="n"/>
      <c r="AV73" s="116" t="n"/>
      <c r="AW73" s="116" t="n"/>
      <c r="AX73" s="116" t="n"/>
      <c r="AY73" s="116" t="n"/>
      <c r="AZ73" s="116" t="n"/>
      <c r="BA73" s="116" t="n"/>
      <c r="BB73" s="116" t="n"/>
      <c r="BC73" s="116" t="n"/>
      <c r="BD73" s="116" t="n"/>
      <c r="BE73" s="116" t="n"/>
      <c r="BF73" s="116" t="n"/>
      <c r="BG73" s="116" t="n"/>
      <c r="BH73" s="116" t="n"/>
      <c r="BI73" s="116" t="n"/>
      <c r="BJ73" s="116" t="n"/>
      <c r="BK73" s="116" t="n"/>
      <c r="BL73" s="116" t="n"/>
      <c r="BM73" s="116" t="n"/>
      <c r="BN73" s="116" t="n"/>
      <c r="BO73" s="116" t="n"/>
      <c r="BP73" s="116" t="n"/>
      <c r="BQ73" s="116" t="n"/>
      <c r="BR73" s="116" t="n"/>
      <c r="BS73" s="116" t="n"/>
      <c r="BT73" s="116" t="n"/>
      <c r="BU73" s="116" t="n"/>
      <c r="BV73" s="116" t="n"/>
      <c r="BW73" s="116" t="n"/>
      <c r="BX73" s="116" t="n"/>
      <c r="BY73" s="116" t="n"/>
    </row>
    <row r="74">
      <c r="B74" t="inlineStr">
        <is>
          <t>1 мес.</t>
        </is>
      </c>
      <c r="C74" t="inlineStr">
        <is>
          <t>₽</t>
        </is>
      </c>
      <c r="D74" s="117" t="inlineStr"/>
      <c r="E74" s="119">
        <f>SUM(L74:W74)</f>
        <v/>
      </c>
      <c r="F74" s="119">
        <f>SUM(X74:AI74)</f>
        <v/>
      </c>
      <c r="G74" s="119">
        <f>SUM(AJ74:AU74)</f>
        <v/>
      </c>
      <c r="H74" s="119">
        <f>SUM(AV74:BG74)</f>
        <v/>
      </c>
      <c r="I74" s="119">
        <f>SUM(BH74:BS74)</f>
        <v/>
      </c>
      <c r="J74" s="5">
        <f>SUM(L74:BS74)</f>
        <v/>
      </c>
      <c r="L74" s="4">
        <f>IF(OR(('03_Сеть'!L22-L20)=0,1&lt;=КаникулыРоялти),0,('03_Сеть'!L22-L20)*IF(РоялтиПоГруппам="Да",MeanMinAge01+L9*SUMIF(ThresholdAge01,"&lt;"&amp;L9,WeightedRevAge01)-SUMIF(ThresholdAge01,"&lt;"&amp;L9,WeightedMinAge01),MAX(CapacityAge01*АбонементНовых*L9,MeanMinAge01)))</f>
        <v/>
      </c>
      <c r="M74" s="4">
        <f>IF(OR(('03_Сеть'!M22-M20)=0,1&lt;=КаникулыРоялти),0,('03_Сеть'!M22-M20)*IF(РоялтиПоГруппам="Да",MeanMinAge01+M9*SUMIF(ThresholdAge01,"&lt;"&amp;M9,WeightedRevAge01)-SUMIF(ThresholdAge01,"&lt;"&amp;M9,WeightedMinAge01),MAX(CapacityAge01*АбонементНовых*M9,MeanMinAge01)))</f>
        <v/>
      </c>
      <c r="N74" s="4">
        <f>IF(OR(('03_Сеть'!N22-N20)=0,1&lt;=КаникулыРоялти),0,('03_Сеть'!N22-N20)*IF(РоялтиПоГруппам="Да",MeanMinAge01+N9*SUMIF(ThresholdAge01,"&lt;"&amp;N9,WeightedRevAge01)-SUMIF(ThresholdAge01,"&lt;"&amp;N9,WeightedMinAge01),MAX(CapacityAge01*АбонементНовых*N9,MeanMinAge01)))</f>
        <v/>
      </c>
      <c r="O74" s="4">
        <f>IF(OR(('03_Сеть'!O22-O20)=0,1&lt;=КаникулыРоялти),0,('03_Сеть'!O22-O20)*IF(РоялтиПоГруппам="Да",MeanMinAge01+O9*SUMIF(ThresholdAge01,"&lt;"&amp;O9,WeightedRevAge01)-SUMIF(ThresholdAge01,"&lt;"&amp;O9,WeightedMinAge01),MAX(CapacityAge01*АбонементНовых*O9,MeanMinAge01)))</f>
        <v/>
      </c>
      <c r="P74" s="4">
        <f>IF(OR(('03_Сеть'!P22-P20)=0,1&lt;=КаникулыРоялти),0,('03_Сеть'!P22-P20)*IF(РоялтиПоГруппам="Да",MeanMinAge01+P9*SUMIF(ThresholdAge01,"&lt;"&amp;P9,WeightedRevAge01)-SUMIF(ThresholdAge01,"&lt;"&amp;P9,WeightedMinAge01),MAX(CapacityAge01*АбонементНовых*P9,MeanMinAge01)))</f>
        <v/>
      </c>
      <c r="Q74" s="4">
        <f>IF(OR(('03_Сеть'!Q22-Q20)=0,1&lt;=КаникулыРоялти),0,('03_Сеть'!Q22-Q20)*IF(РоялтиПоГруппам="Да",MeanMinAge01+Q9*SUMIF(ThresholdAge01,"&lt;"&amp;Q9,WeightedRevAge01)-SUMIF(ThresholdAge01,"&lt;"&amp;Q9,WeightedMinAge01),MAX(CapacityAge01*АбонементНовых*Q9,MeanMinAge01)))</f>
        <v/>
      </c>
      <c r="R74" s="4">
        <f>IF(OR(('03_Сеть'!R22-R20)=0,1&lt;=КаникулыРоялти),0,('03_Сеть'!R22-R20)*IF(РоялтиПоГруппам="Да",MeanMinAge01+R9*SUMIF(ThresholdAge01,"&lt;"&amp;R9,WeightedRevAge01)-SUMIF(ThresholdAge01,"&lt;"&amp;R9,WeightedMinAge01),MAX(CapacityAge01*АбонементНовых*R9,MeanMinAge01)))</f>
        <v/>
      </c>
      <c r="S74" s="4">
        <f>IF(OR(('03_Сеть'!S22-S20)=0,1&lt;=КаникулыРоялти),0,('03_Сеть'!S22-S20)*IF(РоялтиПоГруппам="Да",MeanMinAge01+S9*SUMIF(ThresholdAge01,"&lt;"&amp;S9,WeightedRevAge01)-SUMIF(ThresholdAge01,"&lt;"&amp;S9,WeightedMinAge01),MAX(CapacityAge01*АбонементНовых*S9,MeanMinAge01)))</f>
        <v/>
      </c>
      <c r="T74" s="4">
        <f>IF(OR(('03_Сеть'!T22-T20)=0,1&lt;=КаникулыРоялти),0,('03_Сеть'!T22-T20)*IF(РоялтиПоГруппам="Да",MeanMinAge01+T9*SUMIF(ThresholdAge01,"&lt;"&amp;T9,WeightedRevAge01)-SUMIF(ThresholdAge01,"&lt;"&amp;T9,WeightedMinAge01),MAX(CapacityAge01*АбонементНовых*T9,MeanMinAge01)))</f>
        <v/>
      </c>
      <c r="U74" s="4">
        <f>IF(OR(('03_Сеть'!U22-U20)=0,1&lt;=КаникулыРоялти),0,('03_Сеть'!U22-U20)*IF(РоялтиПоГруппам="Да",MeanMinAge01+U9*SUMIF(ThresholdAge01,"&lt;"&amp;U9,WeightedRevAge01)-SUMIF(ThresholdAge01,"&lt;"&amp;U9,WeightedMinAge01),MAX(CapacityAge01*АбонементНовых*U9,MeanMinAge01)))</f>
        <v/>
      </c>
      <c r="V74" s="4">
        <f>IF(OR(('03_Сеть'!V22-V20)=0,1&lt;=КаникулыРоялти),0,('03_Сеть'!V22-V20)*IF(РоялтиПоГруппам="Да",MeanMinAge01+V9*SUMIF(ThresholdAge01,"&lt;"&amp;V9,WeightedRevAge01)-SUMIF(ThresholdAge01,"&lt;"&amp;V9,WeightedMinAge01),MAX(CapacityAge01*АбонементНовых*V9,MeanMinAge01)))</f>
        <v/>
      </c>
      <c r="W74" s="4">
        <f>IF(OR(('03_Сеть'!W22-W20)=0,1&lt;=КаникулыРоялти),0,('03_Сеть'!W22-W20)*IF(РоялтиПоГруппам="Да",MeanMinAge01+W9*SUMIF(ThresholdAge01,"&lt;"&amp;W9,WeightedRevAge01)-SUMIF(ThresholdAge01,"&lt;"&amp;W9,WeightedMinAge01),MAX(CapacityAge01*АбонементНовых*W9,MeanMinAge01)))</f>
        <v/>
      </c>
      <c r="X74" s="4">
        <f>IF(OR(('03_Сеть'!X22-X20)=0,1&lt;=КаникулыРоялти),0,('03_Сеть'!X22-X20)*IF(РоялтиПоГруппам="Да",MeanMinAge01+X9*SUMIF(ThresholdAge01,"&lt;"&amp;X9,WeightedRevAge01)-SUMIF(ThresholdAge01,"&lt;"&amp;X9,WeightedMinAge01),MAX(CapacityAge01*АбонементНовых*X9,MeanMinAge01)))</f>
        <v/>
      </c>
      <c r="Y74" s="4">
        <f>IF(OR(('03_Сеть'!Y22-Y20)=0,1&lt;=КаникулыРоялти),0,('03_Сеть'!Y22-Y20)*IF(РоялтиПоГруппам="Да",MeanMinAge01+Y9*SUMIF(ThresholdAge01,"&lt;"&amp;Y9,WeightedRevAge01)-SUMIF(ThresholdAge01,"&lt;"&amp;Y9,WeightedMinAge01),MAX(CapacityAge01*АбонементНовых*Y9,MeanMinAge01)))</f>
        <v/>
      </c>
      <c r="Z74" s="4">
        <f>IF(OR(('03_Сеть'!Z22-Z20)=0,1&lt;=КаникулыРоялти),0,('03_Сеть'!Z22-Z20)*IF(РоялтиПоГруппам="Да",MeanMinAge01+Z9*SUMIF(ThresholdAge01,"&lt;"&amp;Z9,WeightedRevAge01)-SUMIF(ThresholdAge01,"&lt;"&amp;Z9,WeightedMinAge01),MAX(CapacityAge01*АбонементНовых*Z9,MeanMinAge01)))</f>
        <v/>
      </c>
      <c r="AA74" s="4">
        <f>IF(OR(('03_Сеть'!AA22-AA20)=0,1&lt;=КаникулыРоялти),0,('03_Сеть'!AA22-AA20)*IF(РоялтиПоГруппам="Да",MeanMinAge01+AA9*SUMIF(ThresholdAge01,"&lt;"&amp;AA9,WeightedRevAge01)-SUMIF(ThresholdAge01,"&lt;"&amp;AA9,WeightedMinAge01),MAX(CapacityAge01*АбонементНовых*AA9,MeanMinAge01)))</f>
        <v/>
      </c>
      <c r="AB74" s="4">
        <f>IF(OR(('03_Сеть'!AB22-AB20)=0,1&lt;=КаникулыРоялти),0,('03_Сеть'!AB22-AB20)*IF(РоялтиПоГруппам="Да",MeanMinAge01+AB9*SUMIF(ThresholdAge01,"&lt;"&amp;AB9,WeightedRevAge01)-SUMIF(ThresholdAge01,"&lt;"&amp;AB9,WeightedMinAge01),MAX(CapacityAge01*АбонементНовых*AB9,MeanMinAge01)))</f>
        <v/>
      </c>
      <c r="AC74" s="4">
        <f>IF(OR(('03_Сеть'!AC22-AC20)=0,1&lt;=КаникулыРоялти),0,('03_Сеть'!AC22-AC20)*IF(РоялтиПоГруппам="Да",MeanMinAge01+AC9*SUMIF(ThresholdAge01,"&lt;"&amp;AC9,WeightedRevAge01)-SUMIF(ThresholdAge01,"&lt;"&amp;AC9,WeightedMinAge01),MAX(CapacityAge01*АбонементНовых*AC9,MeanMinAge01)))</f>
        <v/>
      </c>
      <c r="AD74" s="4">
        <f>IF(OR(('03_Сеть'!AD22-AD20)=0,1&lt;=КаникулыРоялти),0,('03_Сеть'!AD22-AD20)*IF(РоялтиПоГруппам="Да",MeanMinAge01+AD9*SUMIF(ThresholdAge01,"&lt;"&amp;AD9,WeightedRevAge01)-SUMIF(ThresholdAge01,"&lt;"&amp;AD9,WeightedMinAge01),MAX(CapacityAge01*АбонементНовых*AD9,MeanMinAge01)))</f>
        <v/>
      </c>
      <c r="AE74" s="4">
        <f>IF(OR(('03_Сеть'!AE22-AE20)=0,1&lt;=КаникулыРоялти),0,('03_Сеть'!AE22-AE20)*IF(РоялтиПоГруппам="Да",MeanMinAge01+AE9*SUMIF(ThresholdAge01,"&lt;"&amp;AE9,WeightedRevAge01)-SUMIF(ThresholdAge01,"&lt;"&amp;AE9,WeightedMinAge01),MAX(CapacityAge01*АбонементНовых*AE9,MeanMinAge01)))</f>
        <v/>
      </c>
      <c r="AF74" s="4">
        <f>IF(OR(('03_Сеть'!AF22-AF20)=0,1&lt;=КаникулыРоялти),0,('03_Сеть'!AF22-AF20)*IF(РоялтиПоГруппам="Да",MeanMinAge01+AF9*SUMIF(ThresholdAge01,"&lt;"&amp;AF9,WeightedRevAge01)-SUMIF(ThresholdAge01,"&lt;"&amp;AF9,WeightedMinAge01),MAX(CapacityAge01*АбонементНовых*AF9,MeanMinAge01)))</f>
        <v/>
      </c>
      <c r="AG74" s="4">
        <f>IF(OR(('03_Сеть'!AG22-AG20)=0,1&lt;=КаникулыРоялти),0,('03_Сеть'!AG22-AG20)*IF(РоялтиПоГруппам="Да",MeanMinAge01+AG9*SUMIF(ThresholdAge01,"&lt;"&amp;AG9,WeightedRevAge01)-SUMIF(ThresholdAge01,"&lt;"&amp;AG9,WeightedMinAge01),MAX(CapacityAge01*АбонементНовых*AG9,MeanMinAge01)))</f>
        <v/>
      </c>
      <c r="AH74" s="4">
        <f>IF(OR(('03_Сеть'!AH22-AH20)=0,1&lt;=КаникулыРоялти),0,('03_Сеть'!AH22-AH20)*IF(РоялтиПоГруппам="Да",MeanMinAge01+AH9*SUMIF(ThresholdAge01,"&lt;"&amp;AH9,WeightedRevAge01)-SUMIF(ThresholdAge01,"&lt;"&amp;AH9,WeightedMinAge01),MAX(CapacityAge01*АбонементНовых*AH9,MeanMinAge01)))</f>
        <v/>
      </c>
      <c r="AI74" s="4">
        <f>IF(OR(('03_Сеть'!AI22-AI20)=0,1&lt;=КаникулыРоялти),0,('03_Сеть'!AI22-AI20)*IF(РоялтиПоГруппам="Да",MeanMinAge01+AI9*SUMIF(ThresholdAge01,"&lt;"&amp;AI9,WeightedRevAge01)-SUMIF(ThresholdAge01,"&lt;"&amp;AI9,WeightedMinAge01),MAX(CapacityAge01*АбонементНовых*AI9,MeanMinAge01)))</f>
        <v/>
      </c>
      <c r="AJ74" s="4">
        <f>IF(OR(('03_Сеть'!AJ22-AJ20)=0,1&lt;=КаникулыРоялти),0,('03_Сеть'!AJ22-AJ20)*IF(РоялтиПоГруппам="Да",MeanMinAge01+AJ9*SUMIF(ThresholdAge01,"&lt;"&amp;AJ9,WeightedRevAge01)-SUMIF(ThresholdAge01,"&lt;"&amp;AJ9,WeightedMinAge01),MAX(CapacityAge01*АбонементНовых*AJ9,MeanMinAge01)))</f>
        <v/>
      </c>
      <c r="AK74" s="4">
        <f>IF(OR(('03_Сеть'!AK22-AK20)=0,1&lt;=КаникулыРоялти),0,('03_Сеть'!AK22-AK20)*IF(РоялтиПоГруппам="Да",MeanMinAge01+AK9*SUMIF(ThresholdAge01,"&lt;"&amp;AK9,WeightedRevAge01)-SUMIF(ThresholdAge01,"&lt;"&amp;AK9,WeightedMinAge01),MAX(CapacityAge01*АбонементНовых*AK9,MeanMinAge01)))</f>
        <v/>
      </c>
      <c r="AL74" s="4">
        <f>IF(OR(('03_Сеть'!AL22-AL20)=0,1&lt;=КаникулыРоялти),0,('03_Сеть'!AL22-AL20)*IF(РоялтиПоГруппам="Да",MeanMinAge01+AL9*SUMIF(ThresholdAge01,"&lt;"&amp;AL9,WeightedRevAge01)-SUMIF(ThresholdAge01,"&lt;"&amp;AL9,WeightedMinAge01),MAX(CapacityAge01*АбонементНовых*AL9,MeanMinAge01)))</f>
        <v/>
      </c>
      <c r="AM74" s="4">
        <f>IF(OR(('03_Сеть'!AM22-AM20)=0,1&lt;=КаникулыРоялти),0,('03_Сеть'!AM22-AM20)*IF(РоялтиПоГруппам="Да",MeanMinAge01+AM9*SUMIF(ThresholdAge01,"&lt;"&amp;AM9,WeightedRevAge01)-SUMIF(ThresholdAge01,"&lt;"&amp;AM9,WeightedMinAge01),MAX(CapacityAge01*АбонементНовых*AM9,MeanMinAge01)))</f>
        <v/>
      </c>
      <c r="AN74" s="4">
        <f>IF(OR(('03_Сеть'!AN22-AN20)=0,1&lt;=КаникулыРоялти),0,('03_Сеть'!AN22-AN20)*IF(РоялтиПоГруппам="Да",MeanMinAge01+AN9*SUMIF(ThresholdAge01,"&lt;"&amp;AN9,WeightedRevAge01)-SUMIF(ThresholdAge01,"&lt;"&amp;AN9,WeightedMinAge01),MAX(CapacityAge01*АбонементНовых*AN9,MeanMinAge01)))</f>
        <v/>
      </c>
      <c r="AO74" s="4">
        <f>IF(OR(('03_Сеть'!AO22-AO20)=0,1&lt;=КаникулыРоялти),0,('03_Сеть'!AO22-AO20)*IF(РоялтиПоГруппам="Да",MeanMinAge01+AO9*SUMIF(ThresholdAge01,"&lt;"&amp;AO9,WeightedRevAge01)-SUMIF(ThresholdAge01,"&lt;"&amp;AO9,WeightedMinAge01),MAX(CapacityAge01*АбонементНовых*AO9,MeanMinAge01)))</f>
        <v/>
      </c>
      <c r="AP74" s="4">
        <f>IF(OR(('03_Сеть'!AP22-AP20)=0,1&lt;=КаникулыРоялти),0,('03_Сеть'!AP22-AP20)*IF(РоялтиПоГруппам="Да",MeanMinAge01+AP9*SUMIF(ThresholdAge01,"&lt;"&amp;AP9,WeightedRevAge01)-SUMIF(ThresholdAge01,"&lt;"&amp;AP9,WeightedMinAge01),MAX(CapacityAge01*АбонементНовых*AP9,MeanMinAge01)))</f>
        <v/>
      </c>
      <c r="AQ74" s="4">
        <f>IF(OR(('03_Сеть'!AQ22-AQ20)=0,1&lt;=КаникулыРоялти),0,('03_Сеть'!AQ22-AQ20)*IF(РоялтиПоГруппам="Да",MeanMinAge01+AQ9*SUMIF(ThresholdAge01,"&lt;"&amp;AQ9,WeightedRevAge01)-SUMIF(ThresholdAge01,"&lt;"&amp;AQ9,WeightedMinAge01),MAX(CapacityAge01*АбонементНовых*AQ9,MeanMinAge01)))</f>
        <v/>
      </c>
      <c r="AR74" s="4">
        <f>IF(OR(('03_Сеть'!AR22-AR20)=0,1&lt;=КаникулыРоялти),0,('03_Сеть'!AR22-AR20)*IF(РоялтиПоГруппам="Да",MeanMinAge01+AR9*SUMIF(ThresholdAge01,"&lt;"&amp;AR9,WeightedRevAge01)-SUMIF(ThresholdAge01,"&lt;"&amp;AR9,WeightedMinAge01),MAX(CapacityAge01*АбонементНовых*AR9,MeanMinAge01)))</f>
        <v/>
      </c>
      <c r="AS74" s="4">
        <f>IF(OR(('03_Сеть'!AS22-AS20)=0,1&lt;=КаникулыРоялти),0,('03_Сеть'!AS22-AS20)*IF(РоялтиПоГруппам="Да",MeanMinAge01+AS9*SUMIF(ThresholdAge01,"&lt;"&amp;AS9,WeightedRevAge01)-SUMIF(ThresholdAge01,"&lt;"&amp;AS9,WeightedMinAge01),MAX(CapacityAge01*АбонементНовых*AS9,MeanMinAge01)))</f>
        <v/>
      </c>
      <c r="AT74" s="4">
        <f>IF(OR(('03_Сеть'!AT22-AT20)=0,1&lt;=КаникулыРоялти),0,('03_Сеть'!AT22-AT20)*IF(РоялтиПоГруппам="Да",MeanMinAge01+AT9*SUMIF(ThresholdAge01,"&lt;"&amp;AT9,WeightedRevAge01)-SUMIF(ThresholdAge01,"&lt;"&amp;AT9,WeightedMinAge01),MAX(CapacityAge01*АбонементНовых*AT9,MeanMinAge01)))</f>
        <v/>
      </c>
      <c r="AU74" s="4">
        <f>IF(OR(('03_Сеть'!AU22-AU20)=0,1&lt;=КаникулыРоялти),0,('03_Сеть'!AU22-AU20)*IF(РоялтиПоГруппам="Да",MeanMinAge01+AU9*SUMIF(ThresholdAge01,"&lt;"&amp;AU9,WeightedRevAge01)-SUMIF(ThresholdAge01,"&lt;"&amp;AU9,WeightedMinAge01),MAX(CapacityAge01*АбонементНовых*AU9,MeanMinAge01)))</f>
        <v/>
      </c>
      <c r="AV74" s="4">
        <f>IF(OR(('03_Сеть'!AV22-AV20)=0,1&lt;=КаникулыРоялти),0,('03_Сеть'!AV22-AV20)*IF(РоялтиПоГруппам="Да",MeanMinAge01+AV9*SUMIF(ThresholdAge01,"&lt;"&amp;AV9,WeightedRevAge01)-SUMIF(ThresholdAge01,"&lt;"&amp;AV9,WeightedMinAge01),MAX(CapacityAge01*АбонементНовых*AV9,MeanMinAge01)))</f>
        <v/>
      </c>
      <c r="AW74" s="4">
        <f>IF(OR(('03_Сеть'!AW22-AW20)=0,1&lt;=КаникулыРоялти),0,('03_Сеть'!AW22-AW20)*IF(РоялтиПоГруппам="Да",MeanMinAge01+AW9*SUMIF(ThresholdAge01,"&lt;"&amp;AW9,WeightedRevAge01)-SUMIF(ThresholdAge01,"&lt;"&amp;AW9,WeightedMinAge01),MAX(CapacityAge01*АбонементНовых*AW9,MeanMinAge01)))</f>
        <v/>
      </c>
      <c r="AX74" s="4">
        <f>IF(OR(('03_Сеть'!AX22-AX20)=0,1&lt;=КаникулыРоялти),0,('03_Сеть'!AX22-AX20)*IF(РоялтиПоГруппам="Да",MeanMinAge01+AX9*SUMIF(ThresholdAge01,"&lt;"&amp;AX9,WeightedRevAge01)-SUMIF(ThresholdAge01,"&lt;"&amp;AX9,WeightedMinAge01),MAX(CapacityAge01*АбонементНовых*AX9,MeanMinAge01)))</f>
        <v/>
      </c>
      <c r="AY74" s="4">
        <f>IF(OR(('03_Сеть'!AY22-AY20)=0,1&lt;=КаникулыРоялти),0,('03_Сеть'!AY22-AY20)*IF(РоялтиПоГруппам="Да",MeanMinAge01+AY9*SUMIF(ThresholdAge01,"&lt;"&amp;AY9,WeightedRevAge01)-SUMIF(ThresholdAge01,"&lt;"&amp;AY9,WeightedMinAge01),MAX(CapacityAge01*АбонементНовых*AY9,MeanMinAge01)))</f>
        <v/>
      </c>
      <c r="AZ74" s="4">
        <f>IF(OR(('03_Сеть'!AZ22-AZ20)=0,1&lt;=КаникулыРоялти),0,('03_Сеть'!AZ22-AZ20)*IF(РоялтиПоГруппам="Да",MeanMinAge01+AZ9*SUMIF(ThresholdAge01,"&lt;"&amp;AZ9,WeightedRevAge01)-SUMIF(ThresholdAge01,"&lt;"&amp;AZ9,WeightedMinAge01),MAX(CapacityAge01*АбонементНовых*AZ9,MeanMinAge01)))</f>
        <v/>
      </c>
      <c r="BA74" s="4">
        <f>IF(OR(('03_Сеть'!BA22-BA20)=0,1&lt;=КаникулыРоялти),0,('03_Сеть'!BA22-BA20)*IF(РоялтиПоГруппам="Да",MeanMinAge01+BA9*SUMIF(ThresholdAge01,"&lt;"&amp;BA9,WeightedRevAge01)-SUMIF(ThresholdAge01,"&lt;"&amp;BA9,WeightedMinAge01),MAX(CapacityAge01*АбонементНовых*BA9,MeanMinAge01)))</f>
        <v/>
      </c>
      <c r="BB74" s="4">
        <f>IF(OR(('03_Сеть'!BB22-BB20)=0,1&lt;=КаникулыРоялти),0,('03_Сеть'!BB22-BB20)*IF(РоялтиПоГруппам="Да",MeanMinAge01+BB9*SUMIF(ThresholdAge01,"&lt;"&amp;BB9,WeightedRevAge01)-SUMIF(ThresholdAge01,"&lt;"&amp;BB9,WeightedMinAge01),MAX(CapacityAge01*АбонементНовых*BB9,MeanMinAge01)))</f>
        <v/>
      </c>
      <c r="BC74" s="4">
        <f>IF(OR(('03_Сеть'!BC22-BC20)=0,1&lt;=КаникулыРоялти),0,('03_Сеть'!BC22-BC20)*IF(РоялтиПоГруппам="Да",MeanMinAge01+BC9*SUMIF(ThresholdAge01,"&lt;"&amp;BC9,WeightedRevAge01)-SUMIF(ThresholdAge01,"&lt;"&amp;BC9,WeightedMinAge01),MAX(CapacityAge01*АбонементНовых*BC9,MeanMinAge01)))</f>
        <v/>
      </c>
      <c r="BD74" s="4">
        <f>IF(OR(('03_Сеть'!BD22-BD20)=0,1&lt;=КаникулыРоялти),0,('03_Сеть'!BD22-BD20)*IF(РоялтиПоГруппам="Да",MeanMinAge01+BD9*SUMIF(ThresholdAge01,"&lt;"&amp;BD9,WeightedRevAge01)-SUMIF(ThresholdAge01,"&lt;"&amp;BD9,WeightedMinAge01),MAX(CapacityAge01*АбонементНовых*BD9,MeanMinAge01)))</f>
        <v/>
      </c>
      <c r="BE74" s="4">
        <f>IF(OR(('03_Сеть'!BE22-BE20)=0,1&lt;=КаникулыРоялти),0,('03_Сеть'!BE22-BE20)*IF(РоялтиПоГруппам="Да",MeanMinAge01+BE9*SUMIF(ThresholdAge01,"&lt;"&amp;BE9,WeightedRevAge01)-SUMIF(ThresholdAge01,"&lt;"&amp;BE9,WeightedMinAge01),MAX(CapacityAge01*АбонементНовых*BE9,MeanMinAge01)))</f>
        <v/>
      </c>
      <c r="BF74" s="4">
        <f>IF(OR(('03_Сеть'!BF22-BF20)=0,1&lt;=КаникулыРоялти),0,('03_Сеть'!BF22-BF20)*IF(РоялтиПоГруппам="Да",MeanMinAge01+BF9*SUMIF(ThresholdAge01,"&lt;"&amp;BF9,WeightedRevAge01)-SUMIF(ThresholdAge01,"&lt;"&amp;BF9,WeightedMinAge01),MAX(CapacityAge01*АбонементНовых*BF9,MeanMinAge01)))</f>
        <v/>
      </c>
      <c r="BG74" s="4">
        <f>IF(OR(('03_Сеть'!BG22-BG20)=0,1&lt;=КаникулыРоялти),0,('03_Сеть'!BG22-BG20)*IF(РоялтиПоГруппам="Да",MeanMinAge01+BG9*SUMIF(ThresholdAge01,"&lt;"&amp;BG9,WeightedRevAge01)-SUMIF(ThresholdAge01,"&lt;"&amp;BG9,WeightedMinAge01),MAX(CapacityAge01*АбонементНовых*BG9,MeanMinAge01)))</f>
        <v/>
      </c>
      <c r="BH74" s="4">
        <f>IF(OR(('03_Сеть'!BH22-BH20)=0,1&lt;=КаникулыРоялти),0,('03_Сеть'!BH22-BH20)*IF(РоялтиПоГруппам="Да",MeanMinAge01+BH9*SUMIF(ThresholdAge01,"&lt;"&amp;BH9,WeightedRevAge01)-SUMIF(ThresholdAge01,"&lt;"&amp;BH9,WeightedMinAge01),MAX(CapacityAge01*АбонементНовых*BH9,MeanMinAge01)))</f>
        <v/>
      </c>
      <c r="BI74" s="4">
        <f>IF(OR(('03_Сеть'!BI22-BI20)=0,1&lt;=КаникулыРоялти),0,('03_Сеть'!BI22-BI20)*IF(РоялтиПоГруппам="Да",MeanMinAge01+BI9*SUMIF(ThresholdAge01,"&lt;"&amp;BI9,WeightedRevAge01)-SUMIF(ThresholdAge01,"&lt;"&amp;BI9,WeightedMinAge01),MAX(CapacityAge01*АбонементНовых*BI9,MeanMinAge01)))</f>
        <v/>
      </c>
      <c r="BJ74" s="4">
        <f>IF(OR(('03_Сеть'!BJ22-BJ20)=0,1&lt;=КаникулыРоялти),0,('03_Сеть'!BJ22-BJ20)*IF(РоялтиПоГруппам="Да",MeanMinAge01+BJ9*SUMIF(ThresholdAge01,"&lt;"&amp;BJ9,WeightedRevAge01)-SUMIF(ThresholdAge01,"&lt;"&amp;BJ9,WeightedMinAge01),MAX(CapacityAge01*АбонементНовых*BJ9,MeanMinAge01)))</f>
        <v/>
      </c>
      <c r="BK74" s="4">
        <f>IF(OR(('03_Сеть'!BK22-BK20)=0,1&lt;=КаникулыРоялти),0,('03_Сеть'!BK22-BK20)*IF(РоялтиПоГруппам="Да",MeanMinAge01+BK9*SUMIF(ThresholdAge01,"&lt;"&amp;BK9,WeightedRevAge01)-SUMIF(ThresholdAge01,"&lt;"&amp;BK9,WeightedMinAge01),MAX(CapacityAge01*АбонементНовых*BK9,MeanMinAge01)))</f>
        <v/>
      </c>
      <c r="BL74" s="4">
        <f>IF(OR(('03_Сеть'!BL22-BL20)=0,1&lt;=КаникулыРоялти),0,('03_Сеть'!BL22-BL20)*IF(РоялтиПоГруппам="Да",MeanMinAge01+BL9*SUMIF(ThresholdAge01,"&lt;"&amp;BL9,WeightedRevAge01)-SUMIF(ThresholdAge01,"&lt;"&amp;BL9,WeightedMinAge01),MAX(CapacityAge01*АбонементНовых*BL9,MeanMinAge01)))</f>
        <v/>
      </c>
      <c r="BM74" s="4">
        <f>IF(OR(('03_Сеть'!BM22-BM20)=0,1&lt;=КаникулыРоялти),0,('03_Сеть'!BM22-BM20)*IF(РоялтиПоГруппам="Да",MeanMinAge01+BM9*SUMIF(ThresholdAge01,"&lt;"&amp;BM9,WeightedRevAge01)-SUMIF(ThresholdAge01,"&lt;"&amp;BM9,WeightedMinAge01),MAX(CapacityAge01*АбонементНовых*BM9,MeanMinAge01)))</f>
        <v/>
      </c>
      <c r="BN74" s="4">
        <f>IF(OR(('03_Сеть'!BN22-BN20)=0,1&lt;=КаникулыРоялти),0,('03_Сеть'!BN22-BN20)*IF(РоялтиПоГруппам="Да",MeanMinAge01+BN9*SUMIF(ThresholdAge01,"&lt;"&amp;BN9,WeightedRevAge01)-SUMIF(ThresholdAge01,"&lt;"&amp;BN9,WeightedMinAge01),MAX(CapacityAge01*АбонементНовых*BN9,MeanMinAge01)))</f>
        <v/>
      </c>
      <c r="BO74" s="4">
        <f>IF(OR(('03_Сеть'!BO22-BO20)=0,1&lt;=КаникулыРоялти),0,('03_Сеть'!BO22-BO20)*IF(РоялтиПоГруппам="Да",MeanMinAge01+BO9*SUMIF(ThresholdAge01,"&lt;"&amp;BO9,WeightedRevAge01)-SUMIF(ThresholdAge01,"&lt;"&amp;BO9,WeightedMinAge01),MAX(CapacityAge01*АбонементНовых*BO9,MeanMinAge01)))</f>
        <v/>
      </c>
      <c r="BP74" s="4">
        <f>IF(OR(('03_Сеть'!BP22-BP20)=0,1&lt;=КаникулыРоялти),0,('03_Сеть'!BP22-BP20)*IF(РоялтиПоГруппам="Да",MeanMinAge01+BP9*SUMIF(ThresholdAge01,"&lt;"&amp;BP9,WeightedRevAge01)-SUMIF(ThresholdAge01,"&lt;"&amp;BP9,WeightedMinAge01),MAX(CapacityAge01*АбонементНовых*BP9,MeanMinAge01)))</f>
        <v/>
      </c>
      <c r="BQ74" s="4">
        <f>IF(OR(('03_Сеть'!BQ22-BQ20)=0,1&lt;=КаникулыРоялти),0,('03_Сеть'!BQ22-BQ20)*IF(РоялтиПоГруппам="Да",MeanMinAge01+BQ9*SUMIF(ThresholdAge01,"&lt;"&amp;BQ9,WeightedRevAge01)-SUMIF(ThresholdAge01,"&lt;"&amp;BQ9,WeightedMinAge01),MAX(CapacityAge01*АбонементНовых*BQ9,MeanMinAge01)))</f>
        <v/>
      </c>
      <c r="BR74" s="4">
        <f>IF(OR(('03_Сеть'!BR22-BR20)=0,1&lt;=КаникулыРоялти),0,('03_Сеть'!BR22-BR20)*IF(РоялтиПоГруппам="Да",MeanMinAge01+BR9*SUMIF(ThresholdAge01,"&lt;"&amp;BR9,WeightedRevAge01)-SUMIF(ThresholdAge01,"&lt;"&amp;BR9,WeightedMinAge01),MAX(CapacityAge01*АбонементНовых*BR9,MeanMinAge01)))</f>
        <v/>
      </c>
      <c r="BS74" s="4">
        <f>IF(OR(('03_Сеть'!BS22-BS20)=0,1&lt;=КаникулыРоялти),0,('03_Сеть'!BS22-BS20)*IF(РоялтиПоГруппам="Да",MeanMinAge01+BS9*SUMIF(ThresholdAge01,"&lt;"&amp;BS9,WeightedRevAge01)-SUMIF(ThresholdAge01,"&lt;"&amp;BS9,WeightedMinAge01),MAX(CapacityAge01*АбонементНовых*BS9,MeanMinAge01)))</f>
        <v/>
      </c>
      <c r="BT74" s="4">
        <f>IF(OR(('03_Сеть'!BT22-BT20)=0,1&lt;=КаникулыРоялти),0,('03_Сеть'!BT22-BT20)*IF(РоялтиПоГруппам="Да",MeanMinAge01+BT9*SUMIF(ThresholdAge01,"&lt;"&amp;BT9,WeightedRevAge01)-SUMIF(ThresholdAge01,"&lt;"&amp;BT9,WeightedMinAge01),MAX(CapacityAge01*АбонементНовых*BT9,MeanMinAge01)))</f>
        <v/>
      </c>
      <c r="BU74" s="4">
        <f>IF(OR(('03_Сеть'!BU22-BU20)=0,1&lt;=КаникулыРоялти),0,('03_Сеть'!BU22-BU20)*IF(РоялтиПоГруппам="Да",MeanMinAge01+BU9*SUMIF(ThresholdAge01,"&lt;"&amp;BU9,WeightedRevAge01)-SUMIF(ThresholdAge01,"&lt;"&amp;BU9,WeightedMinAge01),MAX(CapacityAge01*АбонементНовых*BU9,MeanMinAge01)))</f>
        <v/>
      </c>
      <c r="BV74" s="4">
        <f>IF(OR(('03_Сеть'!BV22-BV20)=0,1&lt;=КаникулыРоялти),0,('03_Сеть'!BV22-BV20)*IF(РоялтиПоГруппам="Да",MeanMinAge01+BV9*SUMIF(ThresholdAge01,"&lt;"&amp;BV9,WeightedRevAge01)-SUMIF(ThresholdAge01,"&lt;"&amp;BV9,WeightedMinAge01),MAX(CapacityAge01*АбонементНовых*BV9,MeanMinAge01)))</f>
        <v/>
      </c>
      <c r="BW74" s="4">
        <f>IF(OR(('03_Сеть'!BW22-BW20)=0,1&lt;=КаникулыРоялти),0,('03_Сеть'!BW22-BW20)*IF(РоялтиПоГруппам="Да",MeanMinAge01+BW9*SUMIF(ThresholdAge01,"&lt;"&amp;BW9,WeightedRevAge01)-SUMIF(ThresholdAge01,"&lt;"&amp;BW9,WeightedMinAge01),MAX(CapacityAge01*АбонементНовых*BW9,MeanMinAge01)))</f>
        <v/>
      </c>
      <c r="BX74" s="4">
        <f>IF(OR(('03_Сеть'!BX22-BX20)=0,1&lt;=КаникулыРоялти),0,('03_Сеть'!BX22-BX20)*IF(РоялтиПоГруппам="Да",MeanMinAge01+BX9*SUMIF(ThresholdAge01,"&lt;"&amp;BX9,WeightedRevAge01)-SUMIF(ThresholdAge01,"&lt;"&amp;BX9,WeightedMinAge01),MAX(CapacityAge01*АбонементНовых*BX9,MeanMinAge01)))</f>
        <v/>
      </c>
      <c r="BY74" s="4">
        <f>IF(OR(('03_Сеть'!BY22-BY20)=0,1&lt;=КаникулыРоялти),0,('03_Сеть'!BY22-BY20)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75">
      <c r="B75" t="inlineStr">
        <is>
          <t>2 мес.</t>
        </is>
      </c>
      <c r="C75" t="inlineStr">
        <is>
          <t>₽</t>
        </is>
      </c>
      <c r="D75" s="117" t="inlineStr"/>
      <c r="E75" s="119">
        <f>SUM(L75:W75)</f>
        <v/>
      </c>
      <c r="F75" s="119">
        <f>SUM(X75:AI75)</f>
        <v/>
      </c>
      <c r="G75" s="119">
        <f>SUM(AJ75:AU75)</f>
        <v/>
      </c>
      <c r="H75" s="119">
        <f>SUM(AV75:BG75)</f>
        <v/>
      </c>
      <c r="I75" s="119">
        <f>SUM(BH75:BS75)</f>
        <v/>
      </c>
      <c r="J75" s="5">
        <f>SUM(L75:BS75)</f>
        <v/>
      </c>
      <c r="L75" s="4">
        <f>IF(OR(('03_Сеть'!L23-L21)=0,2&lt;=КаникулыРоялти),0,('03_Сеть'!L23-L21)*IF(РоялтиПоГруппам="Да",MeanMinAge02+L9*SUMIF(ThresholdAge02,"&lt;"&amp;L9,WeightedRevAge02)-SUMIF(ThresholdAge02,"&lt;"&amp;L9,WeightedMinAge02),MAX(CapacityAge02*АбонементНовых*L9,MeanMinAge02)))</f>
        <v/>
      </c>
      <c r="M75" s="4">
        <f>IF(OR(('03_Сеть'!M23-M21)=0,2&lt;=КаникулыРоялти),0,('03_Сеть'!M23-M21)*IF(РоялтиПоГруппам="Да",MeanMinAge02+M9*SUMIF(ThresholdAge02,"&lt;"&amp;M9,WeightedRevAge02)-SUMIF(ThresholdAge02,"&lt;"&amp;M9,WeightedMinAge02),MAX(CapacityAge02*АбонементНовых*M9,MeanMinAge02)))</f>
        <v/>
      </c>
      <c r="N75" s="4">
        <f>IF(OR(('03_Сеть'!N23-N21)=0,2&lt;=КаникулыРоялти),0,('03_Сеть'!N23-N21)*IF(РоялтиПоГруппам="Да",MeanMinAge02+N9*SUMIF(ThresholdAge02,"&lt;"&amp;N9,WeightedRevAge02)-SUMIF(ThresholdAge02,"&lt;"&amp;N9,WeightedMinAge02),MAX(CapacityAge02*АбонементНовых*N9,MeanMinAge02)))</f>
        <v/>
      </c>
      <c r="O75" s="4">
        <f>IF(OR(('03_Сеть'!O23-O21)=0,2&lt;=КаникулыРоялти),0,('03_Сеть'!O23-O21)*IF(РоялтиПоГруппам="Да",MeanMinAge02+O9*SUMIF(ThresholdAge02,"&lt;"&amp;O9,WeightedRevAge02)-SUMIF(ThresholdAge02,"&lt;"&amp;O9,WeightedMinAge02),MAX(CapacityAge02*АбонементНовых*O9,MeanMinAge02)))</f>
        <v/>
      </c>
      <c r="P75" s="4">
        <f>IF(OR(('03_Сеть'!P23-P21)=0,2&lt;=КаникулыРоялти),0,('03_Сеть'!P23-P21)*IF(РоялтиПоГруппам="Да",MeanMinAge02+P9*SUMIF(ThresholdAge02,"&lt;"&amp;P9,WeightedRevAge02)-SUMIF(ThresholdAge02,"&lt;"&amp;P9,WeightedMinAge02),MAX(CapacityAge02*АбонементНовых*P9,MeanMinAge02)))</f>
        <v/>
      </c>
      <c r="Q75" s="4">
        <f>IF(OR(('03_Сеть'!Q23-Q21)=0,2&lt;=КаникулыРоялти),0,('03_Сеть'!Q23-Q21)*IF(РоялтиПоГруппам="Да",MeanMinAge02+Q9*SUMIF(ThresholdAge02,"&lt;"&amp;Q9,WeightedRevAge02)-SUMIF(ThresholdAge02,"&lt;"&amp;Q9,WeightedMinAge02),MAX(CapacityAge02*АбонементНовых*Q9,MeanMinAge02)))</f>
        <v/>
      </c>
      <c r="R75" s="4">
        <f>IF(OR(('03_Сеть'!R23-R21)=0,2&lt;=КаникулыРоялти),0,('03_Сеть'!R23-R21)*IF(РоялтиПоГруппам="Да",MeanMinAge02+R9*SUMIF(ThresholdAge02,"&lt;"&amp;R9,WeightedRevAge02)-SUMIF(ThresholdAge02,"&lt;"&amp;R9,WeightedMinAge02),MAX(CapacityAge02*АбонементНовых*R9,MeanMinAge02)))</f>
        <v/>
      </c>
      <c r="S75" s="4">
        <f>IF(OR(('03_Сеть'!S23-S21)=0,2&lt;=КаникулыРоялти),0,('03_Сеть'!S23-S21)*IF(РоялтиПоГруппам="Да",MeanMinAge02+S9*SUMIF(ThresholdAge02,"&lt;"&amp;S9,WeightedRevAge02)-SUMIF(ThresholdAge02,"&lt;"&amp;S9,WeightedMinAge02),MAX(CapacityAge02*АбонементНовых*S9,MeanMinAge02)))</f>
        <v/>
      </c>
      <c r="T75" s="4">
        <f>IF(OR(('03_Сеть'!T23-T21)=0,2&lt;=КаникулыРоялти),0,('03_Сеть'!T23-T21)*IF(РоялтиПоГруппам="Да",MeanMinAge02+T9*SUMIF(ThresholdAge02,"&lt;"&amp;T9,WeightedRevAge02)-SUMIF(ThresholdAge02,"&lt;"&amp;T9,WeightedMinAge02),MAX(CapacityAge02*АбонементНовых*T9,MeanMinAge02)))</f>
        <v/>
      </c>
      <c r="U75" s="4">
        <f>IF(OR(('03_Сеть'!U23-U21)=0,2&lt;=КаникулыРоялти),0,('03_Сеть'!U23-U21)*IF(РоялтиПоГруппам="Да",MeanMinAge02+U9*SUMIF(ThresholdAge02,"&lt;"&amp;U9,WeightedRevAge02)-SUMIF(ThresholdAge02,"&lt;"&amp;U9,WeightedMinAge02),MAX(CapacityAge02*АбонементНовых*U9,MeanMinAge02)))</f>
        <v/>
      </c>
      <c r="V75" s="4">
        <f>IF(OR(('03_Сеть'!V23-V21)=0,2&lt;=КаникулыРоялти),0,('03_Сеть'!V23-V21)*IF(РоялтиПоГруппам="Да",MeanMinAge02+V9*SUMIF(ThresholdAge02,"&lt;"&amp;V9,WeightedRevAge02)-SUMIF(ThresholdAge02,"&lt;"&amp;V9,WeightedMinAge02),MAX(CapacityAge02*АбонементНовых*V9,MeanMinAge02)))</f>
        <v/>
      </c>
      <c r="W75" s="4">
        <f>IF(OR(('03_Сеть'!W23-W21)=0,2&lt;=КаникулыРоялти),0,('03_Сеть'!W23-W21)*IF(РоялтиПоГруппам="Да",MeanMinAge02+W9*SUMIF(ThresholdAge02,"&lt;"&amp;W9,WeightedRevAge02)-SUMIF(ThresholdAge02,"&lt;"&amp;W9,WeightedMinAge02),MAX(CapacityAge02*АбонементНовых*W9,MeanMinAge02)))</f>
        <v/>
      </c>
      <c r="X75" s="4">
        <f>IF(OR(('03_Сеть'!X23-X21)=0,2&lt;=КаникулыРоялти),0,('03_Сеть'!X23-X21)*IF(РоялтиПоГруппам="Да",MeanMinAge02+X9*SUMIF(ThresholdAge02,"&lt;"&amp;X9,WeightedRevAge02)-SUMIF(ThresholdAge02,"&lt;"&amp;X9,WeightedMinAge02),MAX(CapacityAge02*АбонементНовых*X9,MeanMinAge02)))</f>
        <v/>
      </c>
      <c r="Y75" s="4">
        <f>IF(OR(('03_Сеть'!Y23-Y21)=0,2&lt;=КаникулыРоялти),0,('03_Сеть'!Y23-Y21)*IF(РоялтиПоГруппам="Да",MeanMinAge02+Y9*SUMIF(ThresholdAge02,"&lt;"&amp;Y9,WeightedRevAge02)-SUMIF(ThresholdAge02,"&lt;"&amp;Y9,WeightedMinAge02),MAX(CapacityAge02*АбонементНовых*Y9,MeanMinAge02)))</f>
        <v/>
      </c>
      <c r="Z75" s="4">
        <f>IF(OR(('03_Сеть'!Z23-Z21)=0,2&lt;=КаникулыРоялти),0,('03_Сеть'!Z23-Z21)*IF(РоялтиПоГруппам="Да",MeanMinAge02+Z9*SUMIF(ThresholdAge02,"&lt;"&amp;Z9,WeightedRevAge02)-SUMIF(ThresholdAge02,"&lt;"&amp;Z9,WeightedMinAge02),MAX(CapacityAge02*АбонементНовых*Z9,MeanMinAge02)))</f>
        <v/>
      </c>
      <c r="AA75" s="4">
        <f>IF(OR(('03_Сеть'!AA23-AA21)=0,2&lt;=КаникулыРоялти),0,('03_Сеть'!AA23-AA21)*IF(РоялтиПоГруппам="Да",MeanMinAge02+AA9*SUMIF(ThresholdAge02,"&lt;"&amp;AA9,WeightedRevAge02)-SUMIF(ThresholdAge02,"&lt;"&amp;AA9,WeightedMinAge02),MAX(CapacityAge02*АбонементНовых*AA9,MeanMinAge02)))</f>
        <v/>
      </c>
      <c r="AB75" s="4">
        <f>IF(OR(('03_Сеть'!AB23-AB21)=0,2&lt;=КаникулыРоялти),0,('03_Сеть'!AB23-AB21)*IF(РоялтиПоГруппам="Да",MeanMinAge02+AB9*SUMIF(ThresholdAge02,"&lt;"&amp;AB9,WeightedRevAge02)-SUMIF(ThresholdAge02,"&lt;"&amp;AB9,WeightedMinAge02),MAX(CapacityAge02*АбонементНовых*AB9,MeanMinAge02)))</f>
        <v/>
      </c>
      <c r="AC75" s="4">
        <f>IF(OR(('03_Сеть'!AC23-AC21)=0,2&lt;=КаникулыРоялти),0,('03_Сеть'!AC23-AC21)*IF(РоялтиПоГруппам="Да",MeanMinAge02+AC9*SUMIF(ThresholdAge02,"&lt;"&amp;AC9,WeightedRevAge02)-SUMIF(ThresholdAge02,"&lt;"&amp;AC9,WeightedMinAge02),MAX(CapacityAge02*АбонементНовых*AC9,MeanMinAge02)))</f>
        <v/>
      </c>
      <c r="AD75" s="4">
        <f>IF(OR(('03_Сеть'!AD23-AD21)=0,2&lt;=КаникулыРоялти),0,('03_Сеть'!AD23-AD21)*IF(РоялтиПоГруппам="Да",MeanMinAge02+AD9*SUMIF(ThresholdAge02,"&lt;"&amp;AD9,WeightedRevAge02)-SUMIF(ThresholdAge02,"&lt;"&amp;AD9,WeightedMinAge02),MAX(CapacityAge02*АбонементНовых*AD9,MeanMinAge02)))</f>
        <v/>
      </c>
      <c r="AE75" s="4">
        <f>IF(OR(('03_Сеть'!AE23-AE21)=0,2&lt;=КаникулыРоялти),0,('03_Сеть'!AE23-AE21)*IF(РоялтиПоГруппам="Да",MeanMinAge02+AE9*SUMIF(ThresholdAge02,"&lt;"&amp;AE9,WeightedRevAge02)-SUMIF(ThresholdAge02,"&lt;"&amp;AE9,WeightedMinAge02),MAX(CapacityAge02*АбонементНовых*AE9,MeanMinAge02)))</f>
        <v/>
      </c>
      <c r="AF75" s="4">
        <f>IF(OR(('03_Сеть'!AF23-AF21)=0,2&lt;=КаникулыРоялти),0,('03_Сеть'!AF23-AF21)*IF(РоялтиПоГруппам="Да",MeanMinAge02+AF9*SUMIF(ThresholdAge02,"&lt;"&amp;AF9,WeightedRevAge02)-SUMIF(ThresholdAge02,"&lt;"&amp;AF9,WeightedMinAge02),MAX(CapacityAge02*АбонементНовых*AF9,MeanMinAge02)))</f>
        <v/>
      </c>
      <c r="AG75" s="4">
        <f>IF(OR(('03_Сеть'!AG23-AG21)=0,2&lt;=КаникулыРоялти),0,('03_Сеть'!AG23-AG21)*IF(РоялтиПоГруппам="Да",MeanMinAge02+AG9*SUMIF(ThresholdAge02,"&lt;"&amp;AG9,WeightedRevAge02)-SUMIF(ThresholdAge02,"&lt;"&amp;AG9,WeightedMinAge02),MAX(CapacityAge02*АбонементНовых*AG9,MeanMinAge02)))</f>
        <v/>
      </c>
      <c r="AH75" s="4">
        <f>IF(OR(('03_Сеть'!AH23-AH21)=0,2&lt;=КаникулыРоялти),0,('03_Сеть'!AH23-AH21)*IF(РоялтиПоГруппам="Да",MeanMinAge02+AH9*SUMIF(ThresholdAge02,"&lt;"&amp;AH9,WeightedRevAge02)-SUMIF(ThresholdAge02,"&lt;"&amp;AH9,WeightedMinAge02),MAX(CapacityAge02*АбонементНовых*AH9,MeanMinAge02)))</f>
        <v/>
      </c>
      <c r="AI75" s="4">
        <f>IF(OR(('03_Сеть'!AI23-AI21)=0,2&lt;=КаникулыРоялти),0,('03_Сеть'!AI23-AI21)*IF(РоялтиПоГруппам="Да",MeanMinAge02+AI9*SUMIF(ThresholdAge02,"&lt;"&amp;AI9,WeightedRevAge02)-SUMIF(ThresholdAge02,"&lt;"&amp;AI9,WeightedMinAge02),MAX(CapacityAge02*АбонементНовых*AI9,MeanMinAge02)))</f>
        <v/>
      </c>
      <c r="AJ75" s="4">
        <f>IF(OR(('03_Сеть'!AJ23-AJ21)=0,2&lt;=КаникулыРоялти),0,('03_Сеть'!AJ23-AJ21)*IF(РоялтиПоГруппам="Да",MeanMinAge02+AJ9*SUMIF(ThresholdAge02,"&lt;"&amp;AJ9,WeightedRevAge02)-SUMIF(ThresholdAge02,"&lt;"&amp;AJ9,WeightedMinAge02),MAX(CapacityAge02*АбонементНовых*AJ9,MeanMinAge02)))</f>
        <v/>
      </c>
      <c r="AK75" s="4">
        <f>IF(OR(('03_Сеть'!AK23-AK21)=0,2&lt;=КаникулыРоялти),0,('03_Сеть'!AK23-AK21)*IF(РоялтиПоГруппам="Да",MeanMinAge02+AK9*SUMIF(ThresholdAge02,"&lt;"&amp;AK9,WeightedRevAge02)-SUMIF(ThresholdAge02,"&lt;"&amp;AK9,WeightedMinAge02),MAX(CapacityAge02*АбонементНовых*AK9,MeanMinAge02)))</f>
        <v/>
      </c>
      <c r="AL75" s="4">
        <f>IF(OR(('03_Сеть'!AL23-AL21)=0,2&lt;=КаникулыРоялти),0,('03_Сеть'!AL23-AL21)*IF(РоялтиПоГруппам="Да",MeanMinAge02+AL9*SUMIF(ThresholdAge02,"&lt;"&amp;AL9,WeightedRevAge02)-SUMIF(ThresholdAge02,"&lt;"&amp;AL9,WeightedMinAge02),MAX(CapacityAge02*АбонементНовых*AL9,MeanMinAge02)))</f>
        <v/>
      </c>
      <c r="AM75" s="4">
        <f>IF(OR(('03_Сеть'!AM23-AM21)=0,2&lt;=КаникулыРоялти),0,('03_Сеть'!AM23-AM21)*IF(РоялтиПоГруппам="Да",MeanMinAge02+AM9*SUMIF(ThresholdAge02,"&lt;"&amp;AM9,WeightedRevAge02)-SUMIF(ThresholdAge02,"&lt;"&amp;AM9,WeightedMinAge02),MAX(CapacityAge02*АбонементНовых*AM9,MeanMinAge02)))</f>
        <v/>
      </c>
      <c r="AN75" s="4">
        <f>IF(OR(('03_Сеть'!AN23-AN21)=0,2&lt;=КаникулыРоялти),0,('03_Сеть'!AN23-AN21)*IF(РоялтиПоГруппам="Да",MeanMinAge02+AN9*SUMIF(ThresholdAge02,"&lt;"&amp;AN9,WeightedRevAge02)-SUMIF(ThresholdAge02,"&lt;"&amp;AN9,WeightedMinAge02),MAX(CapacityAge02*АбонементНовых*AN9,MeanMinAge02)))</f>
        <v/>
      </c>
      <c r="AO75" s="4">
        <f>IF(OR(('03_Сеть'!AO23-AO21)=0,2&lt;=КаникулыРоялти),0,('03_Сеть'!AO23-AO21)*IF(РоялтиПоГруппам="Да",MeanMinAge02+AO9*SUMIF(ThresholdAge02,"&lt;"&amp;AO9,WeightedRevAge02)-SUMIF(ThresholdAge02,"&lt;"&amp;AO9,WeightedMinAge02),MAX(CapacityAge02*АбонементНовых*AO9,MeanMinAge02)))</f>
        <v/>
      </c>
      <c r="AP75" s="4">
        <f>IF(OR(('03_Сеть'!AP23-AP21)=0,2&lt;=КаникулыРоялти),0,('03_Сеть'!AP23-AP21)*IF(РоялтиПоГруппам="Да",MeanMinAge02+AP9*SUMIF(ThresholdAge02,"&lt;"&amp;AP9,WeightedRevAge02)-SUMIF(ThresholdAge02,"&lt;"&amp;AP9,WeightedMinAge02),MAX(CapacityAge02*АбонементНовых*AP9,MeanMinAge02)))</f>
        <v/>
      </c>
      <c r="AQ75" s="4">
        <f>IF(OR(('03_Сеть'!AQ23-AQ21)=0,2&lt;=КаникулыРоялти),0,('03_Сеть'!AQ23-AQ21)*IF(РоялтиПоГруппам="Да",MeanMinAge02+AQ9*SUMIF(ThresholdAge02,"&lt;"&amp;AQ9,WeightedRevAge02)-SUMIF(ThresholdAge02,"&lt;"&amp;AQ9,WeightedMinAge02),MAX(CapacityAge02*АбонементНовых*AQ9,MeanMinAge02)))</f>
        <v/>
      </c>
      <c r="AR75" s="4">
        <f>IF(OR(('03_Сеть'!AR23-AR21)=0,2&lt;=КаникулыРоялти),0,('03_Сеть'!AR23-AR21)*IF(РоялтиПоГруппам="Да",MeanMinAge02+AR9*SUMIF(ThresholdAge02,"&lt;"&amp;AR9,WeightedRevAge02)-SUMIF(ThresholdAge02,"&lt;"&amp;AR9,WeightedMinAge02),MAX(CapacityAge02*АбонементНовых*AR9,MeanMinAge02)))</f>
        <v/>
      </c>
      <c r="AS75" s="4">
        <f>IF(OR(('03_Сеть'!AS23-AS21)=0,2&lt;=КаникулыРоялти),0,('03_Сеть'!AS23-AS21)*IF(РоялтиПоГруппам="Да",MeanMinAge02+AS9*SUMIF(ThresholdAge02,"&lt;"&amp;AS9,WeightedRevAge02)-SUMIF(ThresholdAge02,"&lt;"&amp;AS9,WeightedMinAge02),MAX(CapacityAge02*АбонементНовых*AS9,MeanMinAge02)))</f>
        <v/>
      </c>
      <c r="AT75" s="4">
        <f>IF(OR(('03_Сеть'!AT23-AT21)=0,2&lt;=КаникулыРоялти),0,('03_Сеть'!AT23-AT21)*IF(РоялтиПоГруппам="Да",MeanMinAge02+AT9*SUMIF(ThresholdAge02,"&lt;"&amp;AT9,WeightedRevAge02)-SUMIF(ThresholdAge02,"&lt;"&amp;AT9,WeightedMinAge02),MAX(CapacityAge02*АбонементНовых*AT9,MeanMinAge02)))</f>
        <v/>
      </c>
      <c r="AU75" s="4">
        <f>IF(OR(('03_Сеть'!AU23-AU21)=0,2&lt;=КаникулыРоялти),0,('03_Сеть'!AU23-AU21)*IF(РоялтиПоГруппам="Да",MeanMinAge02+AU9*SUMIF(ThresholdAge02,"&lt;"&amp;AU9,WeightedRevAge02)-SUMIF(ThresholdAge02,"&lt;"&amp;AU9,WeightedMinAge02),MAX(CapacityAge02*АбонементНовых*AU9,MeanMinAge02)))</f>
        <v/>
      </c>
      <c r="AV75" s="4">
        <f>IF(OR(('03_Сеть'!AV23-AV21)=0,2&lt;=КаникулыРоялти),0,('03_Сеть'!AV23-AV21)*IF(РоялтиПоГруппам="Да",MeanMinAge02+AV9*SUMIF(ThresholdAge02,"&lt;"&amp;AV9,WeightedRevAge02)-SUMIF(ThresholdAge02,"&lt;"&amp;AV9,WeightedMinAge02),MAX(CapacityAge02*АбонементНовых*AV9,MeanMinAge02)))</f>
        <v/>
      </c>
      <c r="AW75" s="4">
        <f>IF(OR(('03_Сеть'!AW23-AW21)=0,2&lt;=КаникулыРоялти),0,('03_Сеть'!AW23-AW21)*IF(РоялтиПоГруппам="Да",MeanMinAge02+AW9*SUMIF(ThresholdAge02,"&lt;"&amp;AW9,WeightedRevAge02)-SUMIF(ThresholdAge02,"&lt;"&amp;AW9,WeightedMinAge02),MAX(CapacityAge02*АбонементНовых*AW9,MeanMinAge02)))</f>
        <v/>
      </c>
      <c r="AX75" s="4">
        <f>IF(OR(('03_Сеть'!AX23-AX21)=0,2&lt;=КаникулыРоялти),0,('03_Сеть'!AX23-AX21)*IF(РоялтиПоГруппам="Да",MeanMinAge02+AX9*SUMIF(ThresholdAge02,"&lt;"&amp;AX9,WeightedRevAge02)-SUMIF(ThresholdAge02,"&lt;"&amp;AX9,WeightedMinAge02),MAX(CapacityAge02*АбонементНовых*AX9,MeanMinAge02)))</f>
        <v/>
      </c>
      <c r="AY75" s="4">
        <f>IF(OR(('03_Сеть'!AY23-AY21)=0,2&lt;=КаникулыРоялти),0,('03_Сеть'!AY23-AY21)*IF(РоялтиПоГруппам="Да",MeanMinAge02+AY9*SUMIF(ThresholdAge02,"&lt;"&amp;AY9,WeightedRevAge02)-SUMIF(ThresholdAge02,"&lt;"&amp;AY9,WeightedMinAge02),MAX(CapacityAge02*АбонементНовых*AY9,MeanMinAge02)))</f>
        <v/>
      </c>
      <c r="AZ75" s="4">
        <f>IF(OR(('03_Сеть'!AZ23-AZ21)=0,2&lt;=КаникулыРоялти),0,('03_Сеть'!AZ23-AZ21)*IF(РоялтиПоГруппам="Да",MeanMinAge02+AZ9*SUMIF(ThresholdAge02,"&lt;"&amp;AZ9,WeightedRevAge02)-SUMIF(ThresholdAge02,"&lt;"&amp;AZ9,WeightedMinAge02),MAX(CapacityAge02*АбонементНовых*AZ9,MeanMinAge02)))</f>
        <v/>
      </c>
      <c r="BA75" s="4">
        <f>IF(OR(('03_Сеть'!BA23-BA21)=0,2&lt;=КаникулыРоялти),0,('03_Сеть'!BA23-BA21)*IF(РоялтиПоГруппам="Да",MeanMinAge02+BA9*SUMIF(ThresholdAge02,"&lt;"&amp;BA9,WeightedRevAge02)-SUMIF(ThresholdAge02,"&lt;"&amp;BA9,WeightedMinAge02),MAX(CapacityAge02*АбонементНовых*BA9,MeanMinAge02)))</f>
        <v/>
      </c>
      <c r="BB75" s="4">
        <f>IF(OR(('03_Сеть'!BB23-BB21)=0,2&lt;=КаникулыРоялти),0,('03_Сеть'!BB23-BB21)*IF(РоялтиПоГруппам="Да",MeanMinAge02+BB9*SUMIF(ThresholdAge02,"&lt;"&amp;BB9,WeightedRevAge02)-SUMIF(ThresholdAge02,"&lt;"&amp;BB9,WeightedMinAge02),MAX(CapacityAge02*АбонементНовых*BB9,MeanMinAge02)))</f>
        <v/>
      </c>
      <c r="BC75" s="4">
        <f>IF(OR(('03_Сеть'!BC23-BC21)=0,2&lt;=КаникулыРоялти),0,('03_Сеть'!BC23-BC21)*IF(РоялтиПоГруппам="Да",MeanMinAge02+BC9*SUMIF(ThresholdAge02,"&lt;"&amp;BC9,WeightedRevAge02)-SUMIF(ThresholdAge02,"&lt;"&amp;BC9,WeightedMinAge02),MAX(CapacityAge02*АбонементНовых*BC9,MeanMinAge02)))</f>
        <v/>
      </c>
      <c r="BD75" s="4">
        <f>IF(OR(('03_Сеть'!BD23-BD21)=0,2&lt;=КаникулыРоялти),0,('03_Сеть'!BD23-BD21)*IF(РоялтиПоГруппам="Да",MeanMinAge02+BD9*SUMIF(ThresholdAge02,"&lt;"&amp;BD9,WeightedRevAge02)-SUMIF(ThresholdAge02,"&lt;"&amp;BD9,WeightedMinAge02),MAX(CapacityAge02*АбонементНовых*BD9,MeanMinAge02)))</f>
        <v/>
      </c>
      <c r="BE75" s="4">
        <f>IF(OR(('03_Сеть'!BE23-BE21)=0,2&lt;=КаникулыРоялти),0,('03_Сеть'!BE23-BE21)*IF(РоялтиПоГруппам="Да",MeanMinAge02+BE9*SUMIF(ThresholdAge02,"&lt;"&amp;BE9,WeightedRevAge02)-SUMIF(ThresholdAge02,"&lt;"&amp;BE9,WeightedMinAge02),MAX(CapacityAge02*АбонементНовых*BE9,MeanMinAge02)))</f>
        <v/>
      </c>
      <c r="BF75" s="4">
        <f>IF(OR(('03_Сеть'!BF23-BF21)=0,2&lt;=КаникулыРоялти),0,('03_Сеть'!BF23-BF21)*IF(РоялтиПоГруппам="Да",MeanMinAge02+BF9*SUMIF(ThresholdAge02,"&lt;"&amp;BF9,WeightedRevAge02)-SUMIF(ThresholdAge02,"&lt;"&amp;BF9,WeightedMinAge02),MAX(CapacityAge02*АбонементНовых*BF9,MeanMinAge02)))</f>
        <v/>
      </c>
      <c r="BG75" s="4">
        <f>IF(OR(('03_Сеть'!BG23-BG21)=0,2&lt;=КаникулыРоялти),0,('03_Сеть'!BG23-BG21)*IF(РоялтиПоГруппам="Да",MeanMinAge02+BG9*SUMIF(ThresholdAge02,"&lt;"&amp;BG9,WeightedRevAge02)-SUMIF(ThresholdAge02,"&lt;"&amp;BG9,WeightedMinAge02),MAX(CapacityAge02*АбонементНовых*BG9,MeanMinAge02)))</f>
        <v/>
      </c>
      <c r="BH75" s="4">
        <f>IF(OR(('03_Сеть'!BH23-BH21)=0,2&lt;=КаникулыРоялти),0,('03_Сеть'!BH23-BH21)*IF(РоялтиПоГруппам="Да",MeanMinAge02+BH9*SUMIF(ThresholdAge02,"&lt;"&amp;BH9,WeightedRevAge02)-SUMIF(ThresholdAge02,"&lt;"&amp;BH9,WeightedMinAge02),MAX(CapacityAge02*АбонементНовых*BH9,MeanMinAge02)))</f>
        <v/>
      </c>
      <c r="BI75" s="4">
        <f>IF(OR(('03_Сеть'!BI23-BI21)=0,2&lt;=КаникулыРоялти),0,('03_Сеть'!BI23-BI21)*IF(РоялтиПоГруппам="Да",MeanMinAge02+BI9*SUMIF(ThresholdAge02,"&lt;"&amp;BI9,WeightedRevAge02)-SUMIF(ThresholdAge02,"&lt;"&amp;BI9,WeightedMinAge02),MAX(CapacityAge02*АбонементНовых*BI9,MeanMinAge02)))</f>
        <v/>
      </c>
      <c r="BJ75" s="4">
        <f>IF(OR(('03_Сеть'!BJ23-BJ21)=0,2&lt;=КаникулыРоялти),0,('03_Сеть'!BJ23-BJ21)*IF(РоялтиПоГруппам="Да",MeanMinAge02+BJ9*SUMIF(ThresholdAge02,"&lt;"&amp;BJ9,WeightedRevAge02)-SUMIF(ThresholdAge02,"&lt;"&amp;BJ9,WeightedMinAge02),MAX(CapacityAge02*АбонементНовых*BJ9,MeanMinAge02)))</f>
        <v/>
      </c>
      <c r="BK75" s="4">
        <f>IF(OR(('03_Сеть'!BK23-BK21)=0,2&lt;=КаникулыРоялти),0,('03_Сеть'!BK23-BK21)*IF(РоялтиПоГруппам="Да",MeanMinAge02+BK9*SUMIF(ThresholdAge02,"&lt;"&amp;BK9,WeightedRevAge02)-SUMIF(ThresholdAge02,"&lt;"&amp;BK9,WeightedMinAge02),MAX(CapacityAge02*АбонементНовых*BK9,MeanMinAge02)))</f>
        <v/>
      </c>
      <c r="BL75" s="4">
        <f>IF(OR(('03_Сеть'!BL23-BL21)=0,2&lt;=КаникулыРоялти),0,('03_Сеть'!BL23-BL21)*IF(РоялтиПоГруппам="Да",MeanMinAge02+BL9*SUMIF(ThresholdAge02,"&lt;"&amp;BL9,WeightedRevAge02)-SUMIF(ThresholdAge02,"&lt;"&amp;BL9,WeightedMinAge02),MAX(CapacityAge02*АбонементНовых*BL9,MeanMinAge02)))</f>
        <v/>
      </c>
      <c r="BM75" s="4">
        <f>IF(OR(('03_Сеть'!BM23-BM21)=0,2&lt;=КаникулыРоялти),0,('03_Сеть'!BM23-BM21)*IF(РоялтиПоГруппам="Да",MeanMinAge02+BM9*SUMIF(ThresholdAge02,"&lt;"&amp;BM9,WeightedRevAge02)-SUMIF(ThresholdAge02,"&lt;"&amp;BM9,WeightedMinAge02),MAX(CapacityAge02*АбонементНовых*BM9,MeanMinAge02)))</f>
        <v/>
      </c>
      <c r="BN75" s="4">
        <f>IF(OR(('03_Сеть'!BN23-BN21)=0,2&lt;=КаникулыРоялти),0,('03_Сеть'!BN23-BN21)*IF(РоялтиПоГруппам="Да",MeanMinAge02+BN9*SUMIF(ThresholdAge02,"&lt;"&amp;BN9,WeightedRevAge02)-SUMIF(ThresholdAge02,"&lt;"&amp;BN9,WeightedMinAge02),MAX(CapacityAge02*АбонементНовых*BN9,MeanMinAge02)))</f>
        <v/>
      </c>
      <c r="BO75" s="4">
        <f>IF(OR(('03_Сеть'!BO23-BO21)=0,2&lt;=КаникулыРоялти),0,('03_Сеть'!BO23-BO21)*IF(РоялтиПоГруппам="Да",MeanMinAge02+BO9*SUMIF(ThresholdAge02,"&lt;"&amp;BO9,WeightedRevAge02)-SUMIF(ThresholdAge02,"&lt;"&amp;BO9,WeightedMinAge02),MAX(CapacityAge02*АбонементНовых*BO9,MeanMinAge02)))</f>
        <v/>
      </c>
      <c r="BP75" s="4">
        <f>IF(OR(('03_Сеть'!BP23-BP21)=0,2&lt;=КаникулыРоялти),0,('03_Сеть'!BP23-BP21)*IF(РоялтиПоГруппам="Да",MeanMinAge02+BP9*SUMIF(ThresholdAge02,"&lt;"&amp;BP9,WeightedRevAge02)-SUMIF(ThresholdAge02,"&lt;"&amp;BP9,WeightedMinAge02),MAX(CapacityAge02*АбонементНовых*BP9,MeanMinAge02)))</f>
        <v/>
      </c>
      <c r="BQ75" s="4">
        <f>IF(OR(('03_Сеть'!BQ23-BQ21)=0,2&lt;=КаникулыРоялти),0,('03_Сеть'!BQ23-BQ21)*IF(РоялтиПоГруппам="Да",MeanMinAge02+BQ9*SUMIF(ThresholdAge02,"&lt;"&amp;BQ9,WeightedRevAge02)-SUMIF(ThresholdAge02,"&lt;"&amp;BQ9,WeightedMinAge02),MAX(CapacityAge02*АбонементНовых*BQ9,MeanMinAge02)))</f>
        <v/>
      </c>
      <c r="BR75" s="4">
        <f>IF(OR(('03_Сеть'!BR23-BR21)=0,2&lt;=КаникулыРоялти),0,('03_Сеть'!BR23-BR21)*IF(РоялтиПоГруппам="Да",MeanMinAge02+BR9*SUMIF(ThresholdAge02,"&lt;"&amp;BR9,WeightedRevAge02)-SUMIF(ThresholdAge02,"&lt;"&amp;BR9,WeightedMinAge02),MAX(CapacityAge02*АбонементНовых*BR9,MeanMinAge02)))</f>
        <v/>
      </c>
      <c r="BS75" s="4">
        <f>IF(OR(('03_Сеть'!BS23-BS21)=0,2&lt;=КаникулыРоялти),0,('03_Сеть'!BS23-BS21)*IF(РоялтиПоГруппам="Да",MeanMinAge02+BS9*SUMIF(ThresholdAge02,"&lt;"&amp;BS9,WeightedRevAge02)-SUMIF(ThresholdAge02,"&lt;"&amp;BS9,WeightedMinAge02),MAX(CapacityAge02*АбонементНовых*BS9,MeanMinAge02)))</f>
        <v/>
      </c>
      <c r="BT75" s="4">
        <f>IF(OR(('03_Сеть'!BT23-BT21)=0,2&lt;=КаникулыРоялти),0,('03_Сеть'!BT23-BT21)*IF(РоялтиПоГруппам="Да",MeanMinAge02+BT9*SUMIF(ThresholdAge02,"&lt;"&amp;BT9,WeightedRevAge02)-SUMIF(ThresholdAge02,"&lt;"&amp;BT9,WeightedMinAge02),MAX(CapacityAge02*АбонементНовых*BT9,MeanMinAge02)))</f>
        <v/>
      </c>
      <c r="BU75" s="4">
        <f>IF(OR(('03_Сеть'!BU23-BU21)=0,2&lt;=КаникулыРоялти),0,('03_Сеть'!BU23-BU21)*IF(РоялтиПоГруппам="Да",MeanMinAge02+BU9*SUMIF(ThresholdAge02,"&lt;"&amp;BU9,WeightedRevAge02)-SUMIF(ThresholdAge02,"&lt;"&amp;BU9,WeightedMinAge02),MAX(CapacityAge02*АбонементНовых*BU9,MeanMinAge02)))</f>
        <v/>
      </c>
      <c r="BV75" s="4">
        <f>IF(OR(('03_Сеть'!BV23-BV21)=0,2&lt;=КаникулыРоялти),0,('03_Сеть'!BV23-BV21)*IF(РоялтиПоГруппам="Да",MeanMinAge02+BV9*SUMIF(ThresholdAge02,"&lt;"&amp;BV9,WeightedRevAge02)-SUMIF(ThresholdAge02,"&lt;"&amp;BV9,WeightedMinAge02),MAX(CapacityAge02*АбонементНовых*BV9,MeanMinAge02)))</f>
        <v/>
      </c>
      <c r="BW75" s="4">
        <f>IF(OR(('03_Сеть'!BW23-BW21)=0,2&lt;=КаникулыРоялти),0,('03_Сеть'!BW23-BW21)*IF(РоялтиПоГруппам="Да",MeanMinAge02+BW9*SUMIF(ThresholdAge02,"&lt;"&amp;BW9,WeightedRevAge02)-SUMIF(ThresholdAge02,"&lt;"&amp;BW9,WeightedMinAge02),MAX(CapacityAge02*АбонементНовых*BW9,MeanMinAge02)))</f>
        <v/>
      </c>
      <c r="BX75" s="4">
        <f>IF(OR(('03_Сеть'!BX23-BX21)=0,2&lt;=КаникулыРоялти),0,('03_Сеть'!BX23-BX21)*IF(РоялтиПоГруппам="Да",MeanMinAge02+BX9*SUMIF(ThresholdAge02,"&lt;"&amp;BX9,WeightedRevAge02)-SUMIF(ThresholdAge02,"&lt;"&amp;BX9,WeightedMinAge02),MAX(CapacityAge02*АбонементНовых*BX9,MeanMinAge02)))</f>
        <v/>
      </c>
      <c r="BY75" s="4">
        <f>IF(OR(('03_Сеть'!BY23-BY21)=0,2&lt;=КаникулыРоялти),0,('03_Сеть'!BY23-BY21)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76">
      <c r="B76" t="inlineStr">
        <is>
          <t>3 мес.</t>
        </is>
      </c>
      <c r="C76" t="inlineStr">
        <is>
          <t>₽</t>
        </is>
      </c>
      <c r="D76" s="117" t="inlineStr"/>
      <c r="E76" s="119">
        <f>SUM(L76:W76)</f>
        <v/>
      </c>
      <c r="F76" s="119">
        <f>SUM(X76:AI76)</f>
        <v/>
      </c>
      <c r="G76" s="119">
        <f>SUM(AJ76:AU76)</f>
        <v/>
      </c>
      <c r="H76" s="119">
        <f>SUM(AV76:BG76)</f>
        <v/>
      </c>
      <c r="I76" s="119">
        <f>SUM(BH76:BS76)</f>
        <v/>
      </c>
      <c r="J76" s="5">
        <f>SUM(L76:BS76)</f>
        <v/>
      </c>
      <c r="L76" s="4">
        <f>IF(OR(('03_Сеть'!L24-L22)=0,3&lt;=КаникулыРоялти),0,('03_Сеть'!L24-L22)*IF(РоялтиПоГруппам="Да",MeanMinAge03+L9*SUMIF(ThresholdAge03,"&lt;"&amp;L9,WeightedRevAge03)-SUMIF(ThresholdAge03,"&lt;"&amp;L9,WeightedMinAge03),MAX(CapacityAge03*АбонементНовых*L9,MeanMinAge03)))</f>
        <v/>
      </c>
      <c r="M76" s="4">
        <f>IF(OR(('03_Сеть'!M24-M22)=0,3&lt;=КаникулыРоялти),0,('03_Сеть'!M24-M22)*IF(РоялтиПоГруппам="Да",MeanMinAge03+M9*SUMIF(ThresholdAge03,"&lt;"&amp;M9,WeightedRevAge03)-SUMIF(ThresholdAge03,"&lt;"&amp;M9,WeightedMinAge03),MAX(CapacityAge03*АбонементНовых*M9,MeanMinAge03)))</f>
        <v/>
      </c>
      <c r="N76" s="4">
        <f>IF(OR(('03_Сеть'!N24-N22)=0,3&lt;=КаникулыРоялти),0,('03_Сеть'!N24-N22)*IF(РоялтиПоГруппам="Да",MeanMinAge03+N9*SUMIF(ThresholdAge03,"&lt;"&amp;N9,WeightedRevAge03)-SUMIF(ThresholdAge03,"&lt;"&amp;N9,WeightedMinAge03),MAX(CapacityAge03*АбонементНовых*N9,MeanMinAge03)))</f>
        <v/>
      </c>
      <c r="O76" s="4">
        <f>IF(OR(('03_Сеть'!O24-O22)=0,3&lt;=КаникулыРоялти),0,('03_Сеть'!O24-O22)*IF(РоялтиПоГруппам="Да",MeanMinAge03+O9*SUMIF(ThresholdAge03,"&lt;"&amp;O9,WeightedRevAge03)-SUMIF(ThresholdAge03,"&lt;"&amp;O9,WeightedMinAge03),MAX(CapacityAge03*АбонементНовых*O9,MeanMinAge03)))</f>
        <v/>
      </c>
      <c r="P76" s="4">
        <f>IF(OR(('03_Сеть'!P24-P22)=0,3&lt;=КаникулыРоялти),0,('03_Сеть'!P24-P22)*IF(РоялтиПоГруппам="Да",MeanMinAge03+P9*SUMIF(ThresholdAge03,"&lt;"&amp;P9,WeightedRevAge03)-SUMIF(ThresholdAge03,"&lt;"&amp;P9,WeightedMinAge03),MAX(CapacityAge03*АбонементНовых*P9,MeanMinAge03)))</f>
        <v/>
      </c>
      <c r="Q76" s="4">
        <f>IF(OR(('03_Сеть'!Q24-Q22)=0,3&lt;=КаникулыРоялти),0,('03_Сеть'!Q24-Q22)*IF(РоялтиПоГруппам="Да",MeanMinAge03+Q9*SUMIF(ThresholdAge03,"&lt;"&amp;Q9,WeightedRevAge03)-SUMIF(ThresholdAge03,"&lt;"&amp;Q9,WeightedMinAge03),MAX(CapacityAge03*АбонементНовых*Q9,MeanMinAge03)))</f>
        <v/>
      </c>
      <c r="R76" s="4">
        <f>IF(OR(('03_Сеть'!R24-R22)=0,3&lt;=КаникулыРоялти),0,('03_Сеть'!R24-R22)*IF(РоялтиПоГруппам="Да",MeanMinAge03+R9*SUMIF(ThresholdAge03,"&lt;"&amp;R9,WeightedRevAge03)-SUMIF(ThresholdAge03,"&lt;"&amp;R9,WeightedMinAge03),MAX(CapacityAge03*АбонементНовых*R9,MeanMinAge03)))</f>
        <v/>
      </c>
      <c r="S76" s="4">
        <f>IF(OR(('03_Сеть'!S24-S22)=0,3&lt;=КаникулыРоялти),0,('03_Сеть'!S24-S22)*IF(РоялтиПоГруппам="Да",MeanMinAge03+S9*SUMIF(ThresholdAge03,"&lt;"&amp;S9,WeightedRevAge03)-SUMIF(ThresholdAge03,"&lt;"&amp;S9,WeightedMinAge03),MAX(CapacityAge03*АбонементНовых*S9,MeanMinAge03)))</f>
        <v/>
      </c>
      <c r="T76" s="4">
        <f>IF(OR(('03_Сеть'!T24-T22)=0,3&lt;=КаникулыРоялти),0,('03_Сеть'!T24-T22)*IF(РоялтиПоГруппам="Да",MeanMinAge03+T9*SUMIF(ThresholdAge03,"&lt;"&amp;T9,WeightedRevAge03)-SUMIF(ThresholdAge03,"&lt;"&amp;T9,WeightedMinAge03),MAX(CapacityAge03*АбонементНовых*T9,MeanMinAge03)))</f>
        <v/>
      </c>
      <c r="U76" s="4">
        <f>IF(OR(('03_Сеть'!U24-U22)=0,3&lt;=КаникулыРоялти),0,('03_Сеть'!U24-U22)*IF(РоялтиПоГруппам="Да",MeanMinAge03+U9*SUMIF(ThresholdAge03,"&lt;"&amp;U9,WeightedRevAge03)-SUMIF(ThresholdAge03,"&lt;"&amp;U9,WeightedMinAge03),MAX(CapacityAge03*АбонементНовых*U9,MeanMinAge03)))</f>
        <v/>
      </c>
      <c r="V76" s="4">
        <f>IF(OR(('03_Сеть'!V24-V22)=0,3&lt;=КаникулыРоялти),0,('03_Сеть'!V24-V22)*IF(РоялтиПоГруппам="Да",MeanMinAge03+V9*SUMIF(ThresholdAge03,"&lt;"&amp;V9,WeightedRevAge03)-SUMIF(ThresholdAge03,"&lt;"&amp;V9,WeightedMinAge03),MAX(CapacityAge03*АбонементНовых*V9,MeanMinAge03)))</f>
        <v/>
      </c>
      <c r="W76" s="4">
        <f>IF(OR(('03_Сеть'!W24-W22)=0,3&lt;=КаникулыРоялти),0,('03_Сеть'!W24-W22)*IF(РоялтиПоГруппам="Да",MeanMinAge03+W9*SUMIF(ThresholdAge03,"&lt;"&amp;W9,WeightedRevAge03)-SUMIF(ThresholdAge03,"&lt;"&amp;W9,WeightedMinAge03),MAX(CapacityAge03*АбонементНовых*W9,MeanMinAge03)))</f>
        <v/>
      </c>
      <c r="X76" s="4">
        <f>IF(OR(('03_Сеть'!X24-X22)=0,3&lt;=КаникулыРоялти),0,('03_Сеть'!X24-X22)*IF(РоялтиПоГруппам="Да",MeanMinAge03+X9*SUMIF(ThresholdAge03,"&lt;"&amp;X9,WeightedRevAge03)-SUMIF(ThresholdAge03,"&lt;"&amp;X9,WeightedMinAge03),MAX(CapacityAge03*АбонементНовых*X9,MeanMinAge03)))</f>
        <v/>
      </c>
      <c r="Y76" s="4">
        <f>IF(OR(('03_Сеть'!Y24-Y22)=0,3&lt;=КаникулыРоялти),0,('03_Сеть'!Y24-Y22)*IF(РоялтиПоГруппам="Да",MeanMinAge03+Y9*SUMIF(ThresholdAge03,"&lt;"&amp;Y9,WeightedRevAge03)-SUMIF(ThresholdAge03,"&lt;"&amp;Y9,WeightedMinAge03),MAX(CapacityAge03*АбонементНовых*Y9,MeanMinAge03)))</f>
        <v/>
      </c>
      <c r="Z76" s="4">
        <f>IF(OR(('03_Сеть'!Z24-Z22)=0,3&lt;=КаникулыРоялти),0,('03_Сеть'!Z24-Z22)*IF(РоялтиПоГруппам="Да",MeanMinAge03+Z9*SUMIF(ThresholdAge03,"&lt;"&amp;Z9,WeightedRevAge03)-SUMIF(ThresholdAge03,"&lt;"&amp;Z9,WeightedMinAge03),MAX(CapacityAge03*АбонементНовых*Z9,MeanMinAge03)))</f>
        <v/>
      </c>
      <c r="AA76" s="4">
        <f>IF(OR(('03_Сеть'!AA24-AA22)=0,3&lt;=КаникулыРоялти),0,('03_Сеть'!AA24-AA22)*IF(РоялтиПоГруппам="Да",MeanMinAge03+AA9*SUMIF(ThresholdAge03,"&lt;"&amp;AA9,WeightedRevAge03)-SUMIF(ThresholdAge03,"&lt;"&amp;AA9,WeightedMinAge03),MAX(CapacityAge03*АбонементНовых*AA9,MeanMinAge03)))</f>
        <v/>
      </c>
      <c r="AB76" s="4">
        <f>IF(OR(('03_Сеть'!AB24-AB22)=0,3&lt;=КаникулыРоялти),0,('03_Сеть'!AB24-AB22)*IF(РоялтиПоГруппам="Да",MeanMinAge03+AB9*SUMIF(ThresholdAge03,"&lt;"&amp;AB9,WeightedRevAge03)-SUMIF(ThresholdAge03,"&lt;"&amp;AB9,WeightedMinAge03),MAX(CapacityAge03*АбонементНовых*AB9,MeanMinAge03)))</f>
        <v/>
      </c>
      <c r="AC76" s="4">
        <f>IF(OR(('03_Сеть'!AC24-AC22)=0,3&lt;=КаникулыРоялти),0,('03_Сеть'!AC24-AC22)*IF(РоялтиПоГруппам="Да",MeanMinAge03+AC9*SUMIF(ThresholdAge03,"&lt;"&amp;AC9,WeightedRevAge03)-SUMIF(ThresholdAge03,"&lt;"&amp;AC9,WeightedMinAge03),MAX(CapacityAge03*АбонементНовых*AC9,MeanMinAge03)))</f>
        <v/>
      </c>
      <c r="AD76" s="4">
        <f>IF(OR(('03_Сеть'!AD24-AD22)=0,3&lt;=КаникулыРоялти),0,('03_Сеть'!AD24-AD22)*IF(РоялтиПоГруппам="Да",MeanMinAge03+AD9*SUMIF(ThresholdAge03,"&lt;"&amp;AD9,WeightedRevAge03)-SUMIF(ThresholdAge03,"&lt;"&amp;AD9,WeightedMinAge03),MAX(CapacityAge03*АбонементНовых*AD9,MeanMinAge03)))</f>
        <v/>
      </c>
      <c r="AE76" s="4">
        <f>IF(OR(('03_Сеть'!AE24-AE22)=0,3&lt;=КаникулыРоялти),0,('03_Сеть'!AE24-AE22)*IF(РоялтиПоГруппам="Да",MeanMinAge03+AE9*SUMIF(ThresholdAge03,"&lt;"&amp;AE9,WeightedRevAge03)-SUMIF(ThresholdAge03,"&lt;"&amp;AE9,WeightedMinAge03),MAX(CapacityAge03*АбонементНовых*AE9,MeanMinAge03)))</f>
        <v/>
      </c>
      <c r="AF76" s="4">
        <f>IF(OR(('03_Сеть'!AF24-AF22)=0,3&lt;=КаникулыРоялти),0,('03_Сеть'!AF24-AF22)*IF(РоялтиПоГруппам="Да",MeanMinAge03+AF9*SUMIF(ThresholdAge03,"&lt;"&amp;AF9,WeightedRevAge03)-SUMIF(ThresholdAge03,"&lt;"&amp;AF9,WeightedMinAge03),MAX(CapacityAge03*АбонементНовых*AF9,MeanMinAge03)))</f>
        <v/>
      </c>
      <c r="AG76" s="4">
        <f>IF(OR(('03_Сеть'!AG24-AG22)=0,3&lt;=КаникулыРоялти),0,('03_Сеть'!AG24-AG22)*IF(РоялтиПоГруппам="Да",MeanMinAge03+AG9*SUMIF(ThresholdAge03,"&lt;"&amp;AG9,WeightedRevAge03)-SUMIF(ThresholdAge03,"&lt;"&amp;AG9,WeightedMinAge03),MAX(CapacityAge03*АбонементНовых*AG9,MeanMinAge03)))</f>
        <v/>
      </c>
      <c r="AH76" s="4">
        <f>IF(OR(('03_Сеть'!AH24-AH22)=0,3&lt;=КаникулыРоялти),0,('03_Сеть'!AH24-AH22)*IF(РоялтиПоГруппам="Да",MeanMinAge03+AH9*SUMIF(ThresholdAge03,"&lt;"&amp;AH9,WeightedRevAge03)-SUMIF(ThresholdAge03,"&lt;"&amp;AH9,WeightedMinAge03),MAX(CapacityAge03*АбонементНовых*AH9,MeanMinAge03)))</f>
        <v/>
      </c>
      <c r="AI76" s="4">
        <f>IF(OR(('03_Сеть'!AI24-AI22)=0,3&lt;=КаникулыРоялти),0,('03_Сеть'!AI24-AI22)*IF(РоялтиПоГруппам="Да",MeanMinAge03+AI9*SUMIF(ThresholdAge03,"&lt;"&amp;AI9,WeightedRevAge03)-SUMIF(ThresholdAge03,"&lt;"&amp;AI9,WeightedMinAge03),MAX(CapacityAge03*АбонементНовых*AI9,MeanMinAge03)))</f>
        <v/>
      </c>
      <c r="AJ76" s="4">
        <f>IF(OR(('03_Сеть'!AJ24-AJ22)=0,3&lt;=КаникулыРоялти),0,('03_Сеть'!AJ24-AJ22)*IF(РоялтиПоГруппам="Да",MeanMinAge03+AJ9*SUMIF(ThresholdAge03,"&lt;"&amp;AJ9,WeightedRevAge03)-SUMIF(ThresholdAge03,"&lt;"&amp;AJ9,WeightedMinAge03),MAX(CapacityAge03*АбонементНовых*AJ9,MeanMinAge03)))</f>
        <v/>
      </c>
      <c r="AK76" s="4">
        <f>IF(OR(('03_Сеть'!AK24-AK22)=0,3&lt;=КаникулыРоялти),0,('03_Сеть'!AK24-AK22)*IF(РоялтиПоГруппам="Да",MeanMinAge03+AK9*SUMIF(ThresholdAge03,"&lt;"&amp;AK9,WeightedRevAge03)-SUMIF(ThresholdAge03,"&lt;"&amp;AK9,WeightedMinAge03),MAX(CapacityAge03*АбонементНовых*AK9,MeanMinAge03)))</f>
        <v/>
      </c>
      <c r="AL76" s="4">
        <f>IF(OR(('03_Сеть'!AL24-AL22)=0,3&lt;=КаникулыРоялти),0,('03_Сеть'!AL24-AL22)*IF(РоялтиПоГруппам="Да",MeanMinAge03+AL9*SUMIF(ThresholdAge03,"&lt;"&amp;AL9,WeightedRevAge03)-SUMIF(ThresholdAge03,"&lt;"&amp;AL9,WeightedMinAge03),MAX(CapacityAge03*АбонементНовых*AL9,MeanMinAge03)))</f>
        <v/>
      </c>
      <c r="AM76" s="4">
        <f>IF(OR(('03_Сеть'!AM24-AM22)=0,3&lt;=КаникулыРоялти),0,('03_Сеть'!AM24-AM22)*IF(РоялтиПоГруппам="Да",MeanMinAge03+AM9*SUMIF(ThresholdAge03,"&lt;"&amp;AM9,WeightedRevAge03)-SUMIF(ThresholdAge03,"&lt;"&amp;AM9,WeightedMinAge03),MAX(CapacityAge03*АбонементНовых*AM9,MeanMinAge03)))</f>
        <v/>
      </c>
      <c r="AN76" s="4">
        <f>IF(OR(('03_Сеть'!AN24-AN22)=0,3&lt;=КаникулыРоялти),0,('03_Сеть'!AN24-AN22)*IF(РоялтиПоГруппам="Да",MeanMinAge03+AN9*SUMIF(ThresholdAge03,"&lt;"&amp;AN9,WeightedRevAge03)-SUMIF(ThresholdAge03,"&lt;"&amp;AN9,WeightedMinAge03),MAX(CapacityAge03*АбонементНовых*AN9,MeanMinAge03)))</f>
        <v/>
      </c>
      <c r="AO76" s="4">
        <f>IF(OR(('03_Сеть'!AO24-AO22)=0,3&lt;=КаникулыРоялти),0,('03_Сеть'!AO24-AO22)*IF(РоялтиПоГруппам="Да",MeanMinAge03+AO9*SUMIF(ThresholdAge03,"&lt;"&amp;AO9,WeightedRevAge03)-SUMIF(ThresholdAge03,"&lt;"&amp;AO9,WeightedMinAge03),MAX(CapacityAge03*АбонементНовых*AO9,MeanMinAge03)))</f>
        <v/>
      </c>
      <c r="AP76" s="4">
        <f>IF(OR(('03_Сеть'!AP24-AP22)=0,3&lt;=КаникулыРоялти),0,('03_Сеть'!AP24-AP22)*IF(РоялтиПоГруппам="Да",MeanMinAge03+AP9*SUMIF(ThresholdAge03,"&lt;"&amp;AP9,WeightedRevAge03)-SUMIF(ThresholdAge03,"&lt;"&amp;AP9,WeightedMinAge03),MAX(CapacityAge03*АбонементНовых*AP9,MeanMinAge03)))</f>
        <v/>
      </c>
      <c r="AQ76" s="4">
        <f>IF(OR(('03_Сеть'!AQ24-AQ22)=0,3&lt;=КаникулыРоялти),0,('03_Сеть'!AQ24-AQ22)*IF(РоялтиПоГруппам="Да",MeanMinAge03+AQ9*SUMIF(ThresholdAge03,"&lt;"&amp;AQ9,WeightedRevAge03)-SUMIF(ThresholdAge03,"&lt;"&amp;AQ9,WeightedMinAge03),MAX(CapacityAge03*АбонементНовых*AQ9,MeanMinAge03)))</f>
        <v/>
      </c>
      <c r="AR76" s="4">
        <f>IF(OR(('03_Сеть'!AR24-AR22)=0,3&lt;=КаникулыРоялти),0,('03_Сеть'!AR24-AR22)*IF(РоялтиПоГруппам="Да",MeanMinAge03+AR9*SUMIF(ThresholdAge03,"&lt;"&amp;AR9,WeightedRevAge03)-SUMIF(ThresholdAge03,"&lt;"&amp;AR9,WeightedMinAge03),MAX(CapacityAge03*АбонементНовых*AR9,MeanMinAge03)))</f>
        <v/>
      </c>
      <c r="AS76" s="4">
        <f>IF(OR(('03_Сеть'!AS24-AS22)=0,3&lt;=КаникулыРоялти),0,('03_Сеть'!AS24-AS22)*IF(РоялтиПоГруппам="Да",MeanMinAge03+AS9*SUMIF(ThresholdAge03,"&lt;"&amp;AS9,WeightedRevAge03)-SUMIF(ThresholdAge03,"&lt;"&amp;AS9,WeightedMinAge03),MAX(CapacityAge03*АбонементНовых*AS9,MeanMinAge03)))</f>
        <v/>
      </c>
      <c r="AT76" s="4">
        <f>IF(OR(('03_Сеть'!AT24-AT22)=0,3&lt;=КаникулыРоялти),0,('03_Сеть'!AT24-AT22)*IF(РоялтиПоГруппам="Да",MeanMinAge03+AT9*SUMIF(ThresholdAge03,"&lt;"&amp;AT9,WeightedRevAge03)-SUMIF(ThresholdAge03,"&lt;"&amp;AT9,WeightedMinAge03),MAX(CapacityAge03*АбонементНовых*AT9,MeanMinAge03)))</f>
        <v/>
      </c>
      <c r="AU76" s="4">
        <f>IF(OR(('03_Сеть'!AU24-AU22)=0,3&lt;=КаникулыРоялти),0,('03_Сеть'!AU24-AU22)*IF(РоялтиПоГруппам="Да",MeanMinAge03+AU9*SUMIF(ThresholdAge03,"&lt;"&amp;AU9,WeightedRevAge03)-SUMIF(ThresholdAge03,"&lt;"&amp;AU9,WeightedMinAge03),MAX(CapacityAge03*АбонементНовых*AU9,MeanMinAge03)))</f>
        <v/>
      </c>
      <c r="AV76" s="4">
        <f>IF(OR(('03_Сеть'!AV24-AV22)=0,3&lt;=КаникулыРоялти),0,('03_Сеть'!AV24-AV22)*IF(РоялтиПоГруппам="Да",MeanMinAge03+AV9*SUMIF(ThresholdAge03,"&lt;"&amp;AV9,WeightedRevAge03)-SUMIF(ThresholdAge03,"&lt;"&amp;AV9,WeightedMinAge03),MAX(CapacityAge03*АбонементНовых*AV9,MeanMinAge03)))</f>
        <v/>
      </c>
      <c r="AW76" s="4">
        <f>IF(OR(('03_Сеть'!AW24-AW22)=0,3&lt;=КаникулыРоялти),0,('03_Сеть'!AW24-AW22)*IF(РоялтиПоГруппам="Да",MeanMinAge03+AW9*SUMIF(ThresholdAge03,"&lt;"&amp;AW9,WeightedRevAge03)-SUMIF(ThresholdAge03,"&lt;"&amp;AW9,WeightedMinAge03),MAX(CapacityAge03*АбонементНовых*AW9,MeanMinAge03)))</f>
        <v/>
      </c>
      <c r="AX76" s="4">
        <f>IF(OR(('03_Сеть'!AX24-AX22)=0,3&lt;=КаникулыРоялти),0,('03_Сеть'!AX24-AX22)*IF(РоялтиПоГруппам="Да",MeanMinAge03+AX9*SUMIF(ThresholdAge03,"&lt;"&amp;AX9,WeightedRevAge03)-SUMIF(ThresholdAge03,"&lt;"&amp;AX9,WeightedMinAge03),MAX(CapacityAge03*АбонементНовых*AX9,MeanMinAge03)))</f>
        <v/>
      </c>
      <c r="AY76" s="4">
        <f>IF(OR(('03_Сеть'!AY24-AY22)=0,3&lt;=КаникулыРоялти),0,('03_Сеть'!AY24-AY22)*IF(РоялтиПоГруппам="Да",MeanMinAge03+AY9*SUMIF(ThresholdAge03,"&lt;"&amp;AY9,WeightedRevAge03)-SUMIF(ThresholdAge03,"&lt;"&amp;AY9,WeightedMinAge03),MAX(CapacityAge03*АбонементНовых*AY9,MeanMinAge03)))</f>
        <v/>
      </c>
      <c r="AZ76" s="4">
        <f>IF(OR(('03_Сеть'!AZ24-AZ22)=0,3&lt;=КаникулыРоялти),0,('03_Сеть'!AZ24-AZ22)*IF(РоялтиПоГруппам="Да",MeanMinAge03+AZ9*SUMIF(ThresholdAge03,"&lt;"&amp;AZ9,WeightedRevAge03)-SUMIF(ThresholdAge03,"&lt;"&amp;AZ9,WeightedMinAge03),MAX(CapacityAge03*АбонементНовых*AZ9,MeanMinAge03)))</f>
        <v/>
      </c>
      <c r="BA76" s="4">
        <f>IF(OR(('03_Сеть'!BA24-BA22)=0,3&lt;=КаникулыРоялти),0,('03_Сеть'!BA24-BA22)*IF(РоялтиПоГруппам="Да",MeanMinAge03+BA9*SUMIF(ThresholdAge03,"&lt;"&amp;BA9,WeightedRevAge03)-SUMIF(ThresholdAge03,"&lt;"&amp;BA9,WeightedMinAge03),MAX(CapacityAge03*АбонементНовых*BA9,MeanMinAge03)))</f>
        <v/>
      </c>
      <c r="BB76" s="4">
        <f>IF(OR(('03_Сеть'!BB24-BB22)=0,3&lt;=КаникулыРоялти),0,('03_Сеть'!BB24-BB22)*IF(РоялтиПоГруппам="Да",MeanMinAge03+BB9*SUMIF(ThresholdAge03,"&lt;"&amp;BB9,WeightedRevAge03)-SUMIF(ThresholdAge03,"&lt;"&amp;BB9,WeightedMinAge03),MAX(CapacityAge03*АбонементНовых*BB9,MeanMinAge03)))</f>
        <v/>
      </c>
      <c r="BC76" s="4">
        <f>IF(OR(('03_Сеть'!BC24-BC22)=0,3&lt;=КаникулыРоялти),0,('03_Сеть'!BC24-BC22)*IF(РоялтиПоГруппам="Да",MeanMinAge03+BC9*SUMIF(ThresholdAge03,"&lt;"&amp;BC9,WeightedRevAge03)-SUMIF(ThresholdAge03,"&lt;"&amp;BC9,WeightedMinAge03),MAX(CapacityAge03*АбонементНовых*BC9,MeanMinAge03)))</f>
        <v/>
      </c>
      <c r="BD76" s="4">
        <f>IF(OR(('03_Сеть'!BD24-BD22)=0,3&lt;=КаникулыРоялти),0,('03_Сеть'!BD24-BD22)*IF(РоялтиПоГруппам="Да",MeanMinAge03+BD9*SUMIF(ThresholdAge03,"&lt;"&amp;BD9,WeightedRevAge03)-SUMIF(ThresholdAge03,"&lt;"&amp;BD9,WeightedMinAge03),MAX(CapacityAge03*АбонементНовых*BD9,MeanMinAge03)))</f>
        <v/>
      </c>
      <c r="BE76" s="4">
        <f>IF(OR(('03_Сеть'!BE24-BE22)=0,3&lt;=КаникулыРоялти),0,('03_Сеть'!BE24-BE22)*IF(РоялтиПоГруппам="Да",MeanMinAge03+BE9*SUMIF(ThresholdAge03,"&lt;"&amp;BE9,WeightedRevAge03)-SUMIF(ThresholdAge03,"&lt;"&amp;BE9,WeightedMinAge03),MAX(CapacityAge03*АбонементНовых*BE9,MeanMinAge03)))</f>
        <v/>
      </c>
      <c r="BF76" s="4">
        <f>IF(OR(('03_Сеть'!BF24-BF22)=0,3&lt;=КаникулыРоялти),0,('03_Сеть'!BF24-BF22)*IF(РоялтиПоГруппам="Да",MeanMinAge03+BF9*SUMIF(ThresholdAge03,"&lt;"&amp;BF9,WeightedRevAge03)-SUMIF(ThresholdAge03,"&lt;"&amp;BF9,WeightedMinAge03),MAX(CapacityAge03*АбонементНовых*BF9,MeanMinAge03)))</f>
        <v/>
      </c>
      <c r="BG76" s="4">
        <f>IF(OR(('03_Сеть'!BG24-BG22)=0,3&lt;=КаникулыРоялти),0,('03_Сеть'!BG24-BG22)*IF(РоялтиПоГруппам="Да",MeanMinAge03+BG9*SUMIF(ThresholdAge03,"&lt;"&amp;BG9,WeightedRevAge03)-SUMIF(ThresholdAge03,"&lt;"&amp;BG9,WeightedMinAge03),MAX(CapacityAge03*АбонементНовых*BG9,MeanMinAge03)))</f>
        <v/>
      </c>
      <c r="BH76" s="4">
        <f>IF(OR(('03_Сеть'!BH24-BH22)=0,3&lt;=КаникулыРоялти),0,('03_Сеть'!BH24-BH22)*IF(РоялтиПоГруппам="Да",MeanMinAge03+BH9*SUMIF(ThresholdAge03,"&lt;"&amp;BH9,WeightedRevAge03)-SUMIF(ThresholdAge03,"&lt;"&amp;BH9,WeightedMinAge03),MAX(CapacityAge03*АбонементНовых*BH9,MeanMinAge03)))</f>
        <v/>
      </c>
      <c r="BI76" s="4">
        <f>IF(OR(('03_Сеть'!BI24-BI22)=0,3&lt;=КаникулыРоялти),0,('03_Сеть'!BI24-BI22)*IF(РоялтиПоГруппам="Да",MeanMinAge03+BI9*SUMIF(ThresholdAge03,"&lt;"&amp;BI9,WeightedRevAge03)-SUMIF(ThresholdAge03,"&lt;"&amp;BI9,WeightedMinAge03),MAX(CapacityAge03*АбонементНовых*BI9,MeanMinAge03)))</f>
        <v/>
      </c>
      <c r="BJ76" s="4">
        <f>IF(OR(('03_Сеть'!BJ24-BJ22)=0,3&lt;=КаникулыРоялти),0,('03_Сеть'!BJ24-BJ22)*IF(РоялтиПоГруппам="Да",MeanMinAge03+BJ9*SUMIF(ThresholdAge03,"&lt;"&amp;BJ9,WeightedRevAge03)-SUMIF(ThresholdAge03,"&lt;"&amp;BJ9,WeightedMinAge03),MAX(CapacityAge03*АбонементНовых*BJ9,MeanMinAge03)))</f>
        <v/>
      </c>
      <c r="BK76" s="4">
        <f>IF(OR(('03_Сеть'!BK24-BK22)=0,3&lt;=КаникулыРоялти),0,('03_Сеть'!BK24-BK22)*IF(РоялтиПоГруппам="Да",MeanMinAge03+BK9*SUMIF(ThresholdAge03,"&lt;"&amp;BK9,WeightedRevAge03)-SUMIF(ThresholdAge03,"&lt;"&amp;BK9,WeightedMinAge03),MAX(CapacityAge03*АбонементНовых*BK9,MeanMinAge03)))</f>
        <v/>
      </c>
      <c r="BL76" s="4">
        <f>IF(OR(('03_Сеть'!BL24-BL22)=0,3&lt;=КаникулыРоялти),0,('03_Сеть'!BL24-BL22)*IF(РоялтиПоГруппам="Да",MeanMinAge03+BL9*SUMIF(ThresholdAge03,"&lt;"&amp;BL9,WeightedRevAge03)-SUMIF(ThresholdAge03,"&lt;"&amp;BL9,WeightedMinAge03),MAX(CapacityAge03*АбонементНовых*BL9,MeanMinAge03)))</f>
        <v/>
      </c>
      <c r="BM76" s="4">
        <f>IF(OR(('03_Сеть'!BM24-BM22)=0,3&lt;=КаникулыРоялти),0,('03_Сеть'!BM24-BM22)*IF(РоялтиПоГруппам="Да",MeanMinAge03+BM9*SUMIF(ThresholdAge03,"&lt;"&amp;BM9,WeightedRevAge03)-SUMIF(ThresholdAge03,"&lt;"&amp;BM9,WeightedMinAge03),MAX(CapacityAge03*АбонементНовых*BM9,MeanMinAge03)))</f>
        <v/>
      </c>
      <c r="BN76" s="4">
        <f>IF(OR(('03_Сеть'!BN24-BN22)=0,3&lt;=КаникулыРоялти),0,('03_Сеть'!BN24-BN22)*IF(РоялтиПоГруппам="Да",MeanMinAge03+BN9*SUMIF(ThresholdAge03,"&lt;"&amp;BN9,WeightedRevAge03)-SUMIF(ThresholdAge03,"&lt;"&amp;BN9,WeightedMinAge03),MAX(CapacityAge03*АбонементНовых*BN9,MeanMinAge03)))</f>
        <v/>
      </c>
      <c r="BO76" s="4">
        <f>IF(OR(('03_Сеть'!BO24-BO22)=0,3&lt;=КаникулыРоялти),0,('03_Сеть'!BO24-BO22)*IF(РоялтиПоГруппам="Да",MeanMinAge03+BO9*SUMIF(ThresholdAge03,"&lt;"&amp;BO9,WeightedRevAge03)-SUMIF(ThresholdAge03,"&lt;"&amp;BO9,WeightedMinAge03),MAX(CapacityAge03*АбонементНовых*BO9,MeanMinAge03)))</f>
        <v/>
      </c>
      <c r="BP76" s="4">
        <f>IF(OR(('03_Сеть'!BP24-BP22)=0,3&lt;=КаникулыРоялти),0,('03_Сеть'!BP24-BP22)*IF(РоялтиПоГруппам="Да",MeanMinAge03+BP9*SUMIF(ThresholdAge03,"&lt;"&amp;BP9,WeightedRevAge03)-SUMIF(ThresholdAge03,"&lt;"&amp;BP9,WeightedMinAge03),MAX(CapacityAge03*АбонементНовых*BP9,MeanMinAge03)))</f>
        <v/>
      </c>
      <c r="BQ76" s="4">
        <f>IF(OR(('03_Сеть'!BQ24-BQ22)=0,3&lt;=КаникулыРоялти),0,('03_Сеть'!BQ24-BQ22)*IF(РоялтиПоГруппам="Да",MeanMinAge03+BQ9*SUMIF(ThresholdAge03,"&lt;"&amp;BQ9,WeightedRevAge03)-SUMIF(ThresholdAge03,"&lt;"&amp;BQ9,WeightedMinAge03),MAX(CapacityAge03*АбонементНовых*BQ9,MeanMinAge03)))</f>
        <v/>
      </c>
      <c r="BR76" s="4">
        <f>IF(OR(('03_Сеть'!BR24-BR22)=0,3&lt;=КаникулыРоялти),0,('03_Сеть'!BR24-BR22)*IF(РоялтиПоГруппам="Да",MeanMinAge03+BR9*SUMIF(ThresholdAge03,"&lt;"&amp;BR9,WeightedRevAge03)-SUMIF(ThresholdAge03,"&lt;"&amp;BR9,WeightedMinAge03),MAX(CapacityAge03*АбонементНовых*BR9,MeanMinAge03)))</f>
        <v/>
      </c>
      <c r="BS76" s="4">
        <f>IF(OR(('03_Сеть'!BS24-BS22)=0,3&lt;=КаникулыРоялти),0,('03_Сеть'!BS24-BS22)*IF(РоялтиПоГруппам="Да",MeanMinAge03+BS9*SUMIF(ThresholdAge03,"&lt;"&amp;BS9,WeightedRevAge03)-SUMIF(ThresholdAge03,"&lt;"&amp;BS9,WeightedMinAge03),MAX(CapacityAge03*АбонементНовых*BS9,MeanMinAge03)))</f>
        <v/>
      </c>
      <c r="BT76" s="4">
        <f>IF(OR(('03_Сеть'!BT24-BT22)=0,3&lt;=КаникулыРоялти),0,('03_Сеть'!BT24-BT22)*IF(РоялтиПоГруппам="Да",MeanMinAge03+BT9*SUMIF(ThresholdAge03,"&lt;"&amp;BT9,WeightedRevAge03)-SUMIF(ThresholdAge03,"&lt;"&amp;BT9,WeightedMinAge03),MAX(CapacityAge03*АбонементНовых*BT9,MeanMinAge03)))</f>
        <v/>
      </c>
      <c r="BU76" s="4">
        <f>IF(OR(('03_Сеть'!BU24-BU22)=0,3&lt;=КаникулыРоялти),0,('03_Сеть'!BU24-BU22)*IF(РоялтиПоГруппам="Да",MeanMinAge03+BU9*SUMIF(ThresholdAge03,"&lt;"&amp;BU9,WeightedRevAge03)-SUMIF(ThresholdAge03,"&lt;"&amp;BU9,WeightedMinAge03),MAX(CapacityAge03*АбонементНовых*BU9,MeanMinAge03)))</f>
        <v/>
      </c>
      <c r="BV76" s="4">
        <f>IF(OR(('03_Сеть'!BV24-BV22)=0,3&lt;=КаникулыРоялти),0,('03_Сеть'!BV24-BV22)*IF(РоялтиПоГруппам="Да",MeanMinAge03+BV9*SUMIF(ThresholdAge03,"&lt;"&amp;BV9,WeightedRevAge03)-SUMIF(ThresholdAge03,"&lt;"&amp;BV9,WeightedMinAge03),MAX(CapacityAge03*АбонементНовых*BV9,MeanMinAge03)))</f>
        <v/>
      </c>
      <c r="BW76" s="4">
        <f>IF(OR(('03_Сеть'!BW24-BW22)=0,3&lt;=КаникулыРоялти),0,('03_Сеть'!BW24-BW22)*IF(РоялтиПоГруппам="Да",MeanMinAge03+BW9*SUMIF(ThresholdAge03,"&lt;"&amp;BW9,WeightedRevAge03)-SUMIF(ThresholdAge03,"&lt;"&amp;BW9,WeightedMinAge03),MAX(CapacityAge03*АбонементНовых*BW9,MeanMinAge03)))</f>
        <v/>
      </c>
      <c r="BX76" s="4">
        <f>IF(OR(('03_Сеть'!BX24-BX22)=0,3&lt;=КаникулыРоялти),0,('03_Сеть'!BX24-BX22)*IF(РоялтиПоГруппам="Да",MeanMinAge03+BX9*SUMIF(ThresholdAge03,"&lt;"&amp;BX9,WeightedRevAge03)-SUMIF(ThresholdAge03,"&lt;"&amp;BX9,WeightedMinAge03),MAX(CapacityAge03*АбонементНовых*BX9,MeanMinAge03)))</f>
        <v/>
      </c>
      <c r="BY76" s="4">
        <f>IF(OR(('03_Сеть'!BY24-BY22)=0,3&lt;=КаникулыРоялти),0,('03_Сеть'!BY24-BY22)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77">
      <c r="B77" t="inlineStr">
        <is>
          <t>4 мес.</t>
        </is>
      </c>
      <c r="C77" t="inlineStr">
        <is>
          <t>₽</t>
        </is>
      </c>
      <c r="D77" s="117" t="inlineStr"/>
      <c r="E77" s="119">
        <f>SUM(L77:W77)</f>
        <v/>
      </c>
      <c r="F77" s="119">
        <f>SUM(X77:AI77)</f>
        <v/>
      </c>
      <c r="G77" s="119">
        <f>SUM(AJ77:AU77)</f>
        <v/>
      </c>
      <c r="H77" s="119">
        <f>SUM(AV77:BG77)</f>
        <v/>
      </c>
      <c r="I77" s="119">
        <f>SUM(BH77:BS77)</f>
        <v/>
      </c>
      <c r="J77" s="5">
        <f>SUM(L77:BS77)</f>
        <v/>
      </c>
      <c r="L77" s="4">
        <f>IF(OR(('03_Сеть'!L25-L23)=0,4&lt;=КаникулыРоялти),0,('03_Сеть'!L25-L23)*IF(РоялтиПоГруппам="Да",MeanMinAge04+L9*SUMIF(ThresholdAge04,"&lt;"&amp;L9,WeightedRevAge04)-SUMIF(ThresholdAge04,"&lt;"&amp;L9,WeightedMinAge04),MAX(CapacityAge04*АбонементНовых*L9,MeanMinAge04)))</f>
        <v/>
      </c>
      <c r="M77" s="4">
        <f>IF(OR(('03_Сеть'!M25-M23)=0,4&lt;=КаникулыРоялти),0,('03_Сеть'!M25-M23)*IF(РоялтиПоГруппам="Да",MeanMinAge04+M9*SUMIF(ThresholdAge04,"&lt;"&amp;M9,WeightedRevAge04)-SUMIF(ThresholdAge04,"&lt;"&amp;M9,WeightedMinAge04),MAX(CapacityAge04*АбонементНовых*M9,MeanMinAge04)))</f>
        <v/>
      </c>
      <c r="N77" s="4">
        <f>IF(OR(('03_Сеть'!N25-N23)=0,4&lt;=КаникулыРоялти),0,('03_Сеть'!N25-N23)*IF(РоялтиПоГруппам="Да",MeanMinAge04+N9*SUMIF(ThresholdAge04,"&lt;"&amp;N9,WeightedRevAge04)-SUMIF(ThresholdAge04,"&lt;"&amp;N9,WeightedMinAge04),MAX(CapacityAge04*АбонементНовых*N9,MeanMinAge04)))</f>
        <v/>
      </c>
      <c r="O77" s="4">
        <f>IF(OR(('03_Сеть'!O25-O23)=0,4&lt;=КаникулыРоялти),0,('03_Сеть'!O25-O23)*IF(РоялтиПоГруппам="Да",MeanMinAge04+O9*SUMIF(ThresholdAge04,"&lt;"&amp;O9,WeightedRevAge04)-SUMIF(ThresholdAge04,"&lt;"&amp;O9,WeightedMinAge04),MAX(CapacityAge04*АбонементНовых*O9,MeanMinAge04)))</f>
        <v/>
      </c>
      <c r="P77" s="4">
        <f>IF(OR(('03_Сеть'!P25-P23)=0,4&lt;=КаникулыРоялти),0,('03_Сеть'!P25-P23)*IF(РоялтиПоГруппам="Да",MeanMinAge04+P9*SUMIF(ThresholdAge04,"&lt;"&amp;P9,WeightedRevAge04)-SUMIF(ThresholdAge04,"&lt;"&amp;P9,WeightedMinAge04),MAX(CapacityAge04*АбонементНовых*P9,MeanMinAge04)))</f>
        <v/>
      </c>
      <c r="Q77" s="4">
        <f>IF(OR(('03_Сеть'!Q25-Q23)=0,4&lt;=КаникулыРоялти),0,('03_Сеть'!Q25-Q23)*IF(РоялтиПоГруппам="Да",MeanMinAge04+Q9*SUMIF(ThresholdAge04,"&lt;"&amp;Q9,WeightedRevAge04)-SUMIF(ThresholdAge04,"&lt;"&amp;Q9,WeightedMinAge04),MAX(CapacityAge04*АбонементНовых*Q9,MeanMinAge04)))</f>
        <v/>
      </c>
      <c r="R77" s="4">
        <f>IF(OR(('03_Сеть'!R25-R23)=0,4&lt;=КаникулыРоялти),0,('03_Сеть'!R25-R23)*IF(РоялтиПоГруппам="Да",MeanMinAge04+R9*SUMIF(ThresholdAge04,"&lt;"&amp;R9,WeightedRevAge04)-SUMIF(ThresholdAge04,"&lt;"&amp;R9,WeightedMinAge04),MAX(CapacityAge04*АбонементНовых*R9,MeanMinAge04)))</f>
        <v/>
      </c>
      <c r="S77" s="4">
        <f>IF(OR(('03_Сеть'!S25-S23)=0,4&lt;=КаникулыРоялти),0,('03_Сеть'!S25-S23)*IF(РоялтиПоГруппам="Да",MeanMinAge04+S9*SUMIF(ThresholdAge04,"&lt;"&amp;S9,WeightedRevAge04)-SUMIF(ThresholdAge04,"&lt;"&amp;S9,WeightedMinAge04),MAX(CapacityAge04*АбонементНовых*S9,MeanMinAge04)))</f>
        <v/>
      </c>
      <c r="T77" s="4">
        <f>IF(OR(('03_Сеть'!T25-T23)=0,4&lt;=КаникулыРоялти),0,('03_Сеть'!T25-T23)*IF(РоялтиПоГруппам="Да",MeanMinAge04+T9*SUMIF(ThresholdAge04,"&lt;"&amp;T9,WeightedRevAge04)-SUMIF(ThresholdAge04,"&lt;"&amp;T9,WeightedMinAge04),MAX(CapacityAge04*АбонементНовых*T9,MeanMinAge04)))</f>
        <v/>
      </c>
      <c r="U77" s="4">
        <f>IF(OR(('03_Сеть'!U25-U23)=0,4&lt;=КаникулыРоялти),0,('03_Сеть'!U25-U23)*IF(РоялтиПоГруппам="Да",MeanMinAge04+U9*SUMIF(ThresholdAge04,"&lt;"&amp;U9,WeightedRevAge04)-SUMIF(ThresholdAge04,"&lt;"&amp;U9,WeightedMinAge04),MAX(CapacityAge04*АбонементНовых*U9,MeanMinAge04)))</f>
        <v/>
      </c>
      <c r="V77" s="4">
        <f>IF(OR(('03_Сеть'!V25-V23)=0,4&lt;=КаникулыРоялти),0,('03_Сеть'!V25-V23)*IF(РоялтиПоГруппам="Да",MeanMinAge04+V9*SUMIF(ThresholdAge04,"&lt;"&amp;V9,WeightedRevAge04)-SUMIF(ThresholdAge04,"&lt;"&amp;V9,WeightedMinAge04),MAX(CapacityAge04*АбонементНовых*V9,MeanMinAge04)))</f>
        <v/>
      </c>
      <c r="W77" s="4">
        <f>IF(OR(('03_Сеть'!W25-W23)=0,4&lt;=КаникулыРоялти),0,('03_Сеть'!W25-W23)*IF(РоялтиПоГруппам="Да",MeanMinAge04+W9*SUMIF(ThresholdAge04,"&lt;"&amp;W9,WeightedRevAge04)-SUMIF(ThresholdAge04,"&lt;"&amp;W9,WeightedMinAge04),MAX(CapacityAge04*АбонементНовых*W9,MeanMinAge04)))</f>
        <v/>
      </c>
      <c r="X77" s="4">
        <f>IF(OR(('03_Сеть'!X25-X23)=0,4&lt;=КаникулыРоялти),0,('03_Сеть'!X25-X23)*IF(РоялтиПоГруппам="Да",MeanMinAge04+X9*SUMIF(ThresholdAge04,"&lt;"&amp;X9,WeightedRevAge04)-SUMIF(ThresholdAge04,"&lt;"&amp;X9,WeightedMinAge04),MAX(CapacityAge04*АбонементНовых*X9,MeanMinAge04)))</f>
        <v/>
      </c>
      <c r="Y77" s="4">
        <f>IF(OR(('03_Сеть'!Y25-Y23)=0,4&lt;=КаникулыРоялти),0,('03_Сеть'!Y25-Y23)*IF(РоялтиПоГруппам="Да",MeanMinAge04+Y9*SUMIF(ThresholdAge04,"&lt;"&amp;Y9,WeightedRevAge04)-SUMIF(ThresholdAge04,"&lt;"&amp;Y9,WeightedMinAge04),MAX(CapacityAge04*АбонементНовых*Y9,MeanMinAge04)))</f>
        <v/>
      </c>
      <c r="Z77" s="4">
        <f>IF(OR(('03_Сеть'!Z25-Z23)=0,4&lt;=КаникулыРоялти),0,('03_Сеть'!Z25-Z23)*IF(РоялтиПоГруппам="Да",MeanMinAge04+Z9*SUMIF(ThresholdAge04,"&lt;"&amp;Z9,WeightedRevAge04)-SUMIF(ThresholdAge04,"&lt;"&amp;Z9,WeightedMinAge04),MAX(CapacityAge04*АбонементНовых*Z9,MeanMinAge04)))</f>
        <v/>
      </c>
      <c r="AA77" s="4">
        <f>IF(OR(('03_Сеть'!AA25-AA23)=0,4&lt;=КаникулыРоялти),0,('03_Сеть'!AA25-AA23)*IF(РоялтиПоГруппам="Да",MeanMinAge04+AA9*SUMIF(ThresholdAge04,"&lt;"&amp;AA9,WeightedRevAge04)-SUMIF(ThresholdAge04,"&lt;"&amp;AA9,WeightedMinAge04),MAX(CapacityAge04*АбонементНовых*AA9,MeanMinAge04)))</f>
        <v/>
      </c>
      <c r="AB77" s="4">
        <f>IF(OR(('03_Сеть'!AB25-AB23)=0,4&lt;=КаникулыРоялти),0,('03_Сеть'!AB25-AB23)*IF(РоялтиПоГруппам="Да",MeanMinAge04+AB9*SUMIF(ThresholdAge04,"&lt;"&amp;AB9,WeightedRevAge04)-SUMIF(ThresholdAge04,"&lt;"&amp;AB9,WeightedMinAge04),MAX(CapacityAge04*АбонементНовых*AB9,MeanMinAge04)))</f>
        <v/>
      </c>
      <c r="AC77" s="4">
        <f>IF(OR(('03_Сеть'!AC25-AC23)=0,4&lt;=КаникулыРоялти),0,('03_Сеть'!AC25-AC23)*IF(РоялтиПоГруппам="Да",MeanMinAge04+AC9*SUMIF(ThresholdAge04,"&lt;"&amp;AC9,WeightedRevAge04)-SUMIF(ThresholdAge04,"&lt;"&amp;AC9,WeightedMinAge04),MAX(CapacityAge04*АбонементНовых*AC9,MeanMinAge04)))</f>
        <v/>
      </c>
      <c r="AD77" s="4">
        <f>IF(OR(('03_Сеть'!AD25-AD23)=0,4&lt;=КаникулыРоялти),0,('03_Сеть'!AD25-AD23)*IF(РоялтиПоГруппам="Да",MeanMinAge04+AD9*SUMIF(ThresholdAge04,"&lt;"&amp;AD9,WeightedRevAge04)-SUMIF(ThresholdAge04,"&lt;"&amp;AD9,WeightedMinAge04),MAX(CapacityAge04*АбонементНовых*AD9,MeanMinAge04)))</f>
        <v/>
      </c>
      <c r="AE77" s="4">
        <f>IF(OR(('03_Сеть'!AE25-AE23)=0,4&lt;=КаникулыРоялти),0,('03_Сеть'!AE25-AE23)*IF(РоялтиПоГруппам="Да",MeanMinAge04+AE9*SUMIF(ThresholdAge04,"&lt;"&amp;AE9,WeightedRevAge04)-SUMIF(ThresholdAge04,"&lt;"&amp;AE9,WeightedMinAge04),MAX(CapacityAge04*АбонементНовых*AE9,MeanMinAge04)))</f>
        <v/>
      </c>
      <c r="AF77" s="4">
        <f>IF(OR(('03_Сеть'!AF25-AF23)=0,4&lt;=КаникулыРоялти),0,('03_Сеть'!AF25-AF23)*IF(РоялтиПоГруппам="Да",MeanMinAge04+AF9*SUMIF(ThresholdAge04,"&lt;"&amp;AF9,WeightedRevAge04)-SUMIF(ThresholdAge04,"&lt;"&amp;AF9,WeightedMinAge04),MAX(CapacityAge04*АбонементНовых*AF9,MeanMinAge04)))</f>
        <v/>
      </c>
      <c r="AG77" s="4">
        <f>IF(OR(('03_Сеть'!AG25-AG23)=0,4&lt;=КаникулыРоялти),0,('03_Сеть'!AG25-AG23)*IF(РоялтиПоГруппам="Да",MeanMinAge04+AG9*SUMIF(ThresholdAge04,"&lt;"&amp;AG9,WeightedRevAge04)-SUMIF(ThresholdAge04,"&lt;"&amp;AG9,WeightedMinAge04),MAX(CapacityAge04*АбонементНовых*AG9,MeanMinAge04)))</f>
        <v/>
      </c>
      <c r="AH77" s="4">
        <f>IF(OR(('03_Сеть'!AH25-AH23)=0,4&lt;=КаникулыРоялти),0,('03_Сеть'!AH25-AH23)*IF(РоялтиПоГруппам="Да",MeanMinAge04+AH9*SUMIF(ThresholdAge04,"&lt;"&amp;AH9,WeightedRevAge04)-SUMIF(ThresholdAge04,"&lt;"&amp;AH9,WeightedMinAge04),MAX(CapacityAge04*АбонементНовых*AH9,MeanMinAge04)))</f>
        <v/>
      </c>
      <c r="AI77" s="4">
        <f>IF(OR(('03_Сеть'!AI25-AI23)=0,4&lt;=КаникулыРоялти),0,('03_Сеть'!AI25-AI23)*IF(РоялтиПоГруппам="Да",MeanMinAge04+AI9*SUMIF(ThresholdAge04,"&lt;"&amp;AI9,WeightedRevAge04)-SUMIF(ThresholdAge04,"&lt;"&amp;AI9,WeightedMinAge04),MAX(CapacityAge04*АбонементНовых*AI9,MeanMinAge04)))</f>
        <v/>
      </c>
      <c r="AJ77" s="4">
        <f>IF(OR(('03_Сеть'!AJ25-AJ23)=0,4&lt;=КаникулыРоялти),0,('03_Сеть'!AJ25-AJ23)*IF(РоялтиПоГруппам="Да",MeanMinAge04+AJ9*SUMIF(ThresholdAge04,"&lt;"&amp;AJ9,WeightedRevAge04)-SUMIF(ThresholdAge04,"&lt;"&amp;AJ9,WeightedMinAge04),MAX(CapacityAge04*АбонементНовых*AJ9,MeanMinAge04)))</f>
        <v/>
      </c>
      <c r="AK77" s="4">
        <f>IF(OR(('03_Сеть'!AK25-AK23)=0,4&lt;=КаникулыРоялти),0,('03_Сеть'!AK25-AK23)*IF(РоялтиПоГруппам="Да",MeanMinAge04+AK9*SUMIF(ThresholdAge04,"&lt;"&amp;AK9,WeightedRevAge04)-SUMIF(ThresholdAge04,"&lt;"&amp;AK9,WeightedMinAge04),MAX(CapacityAge04*АбонементНовых*AK9,MeanMinAge04)))</f>
        <v/>
      </c>
      <c r="AL77" s="4">
        <f>IF(OR(('03_Сеть'!AL25-AL23)=0,4&lt;=КаникулыРоялти),0,('03_Сеть'!AL25-AL23)*IF(РоялтиПоГруппам="Да",MeanMinAge04+AL9*SUMIF(ThresholdAge04,"&lt;"&amp;AL9,WeightedRevAge04)-SUMIF(ThresholdAge04,"&lt;"&amp;AL9,WeightedMinAge04),MAX(CapacityAge04*АбонементНовых*AL9,MeanMinAge04)))</f>
        <v/>
      </c>
      <c r="AM77" s="4">
        <f>IF(OR(('03_Сеть'!AM25-AM23)=0,4&lt;=КаникулыРоялти),0,('03_Сеть'!AM25-AM23)*IF(РоялтиПоГруппам="Да",MeanMinAge04+AM9*SUMIF(ThresholdAge04,"&lt;"&amp;AM9,WeightedRevAge04)-SUMIF(ThresholdAge04,"&lt;"&amp;AM9,WeightedMinAge04),MAX(CapacityAge04*АбонементНовых*AM9,MeanMinAge04)))</f>
        <v/>
      </c>
      <c r="AN77" s="4">
        <f>IF(OR(('03_Сеть'!AN25-AN23)=0,4&lt;=КаникулыРоялти),0,('03_Сеть'!AN25-AN23)*IF(РоялтиПоГруппам="Да",MeanMinAge04+AN9*SUMIF(ThresholdAge04,"&lt;"&amp;AN9,WeightedRevAge04)-SUMIF(ThresholdAge04,"&lt;"&amp;AN9,WeightedMinAge04),MAX(CapacityAge04*АбонементНовых*AN9,MeanMinAge04)))</f>
        <v/>
      </c>
      <c r="AO77" s="4">
        <f>IF(OR(('03_Сеть'!AO25-AO23)=0,4&lt;=КаникулыРоялти),0,('03_Сеть'!AO25-AO23)*IF(РоялтиПоГруппам="Да",MeanMinAge04+AO9*SUMIF(ThresholdAge04,"&lt;"&amp;AO9,WeightedRevAge04)-SUMIF(ThresholdAge04,"&lt;"&amp;AO9,WeightedMinAge04),MAX(CapacityAge04*АбонементНовых*AO9,MeanMinAge04)))</f>
        <v/>
      </c>
      <c r="AP77" s="4">
        <f>IF(OR(('03_Сеть'!AP25-AP23)=0,4&lt;=КаникулыРоялти),0,('03_Сеть'!AP25-AP23)*IF(РоялтиПоГруппам="Да",MeanMinAge04+AP9*SUMIF(ThresholdAge04,"&lt;"&amp;AP9,WeightedRevAge04)-SUMIF(ThresholdAge04,"&lt;"&amp;AP9,WeightedMinAge04),MAX(CapacityAge04*АбонементНовых*AP9,MeanMinAge04)))</f>
        <v/>
      </c>
      <c r="AQ77" s="4">
        <f>IF(OR(('03_Сеть'!AQ25-AQ23)=0,4&lt;=КаникулыРоялти),0,('03_Сеть'!AQ25-AQ23)*IF(РоялтиПоГруппам="Да",MeanMinAge04+AQ9*SUMIF(ThresholdAge04,"&lt;"&amp;AQ9,WeightedRevAge04)-SUMIF(ThresholdAge04,"&lt;"&amp;AQ9,WeightedMinAge04),MAX(CapacityAge04*АбонементНовых*AQ9,MeanMinAge04)))</f>
        <v/>
      </c>
      <c r="AR77" s="4">
        <f>IF(OR(('03_Сеть'!AR25-AR23)=0,4&lt;=КаникулыРоялти),0,('03_Сеть'!AR25-AR23)*IF(РоялтиПоГруппам="Да",MeanMinAge04+AR9*SUMIF(ThresholdAge04,"&lt;"&amp;AR9,WeightedRevAge04)-SUMIF(ThresholdAge04,"&lt;"&amp;AR9,WeightedMinAge04),MAX(CapacityAge04*АбонементНовых*AR9,MeanMinAge04)))</f>
        <v/>
      </c>
      <c r="AS77" s="4">
        <f>IF(OR(('03_Сеть'!AS25-AS23)=0,4&lt;=КаникулыРоялти),0,('03_Сеть'!AS25-AS23)*IF(РоялтиПоГруппам="Да",MeanMinAge04+AS9*SUMIF(ThresholdAge04,"&lt;"&amp;AS9,WeightedRevAge04)-SUMIF(ThresholdAge04,"&lt;"&amp;AS9,WeightedMinAge04),MAX(CapacityAge04*АбонементНовых*AS9,MeanMinAge04)))</f>
        <v/>
      </c>
      <c r="AT77" s="4">
        <f>IF(OR(('03_Сеть'!AT25-AT23)=0,4&lt;=КаникулыРоялти),0,('03_Сеть'!AT25-AT23)*IF(РоялтиПоГруппам="Да",MeanMinAge04+AT9*SUMIF(ThresholdAge04,"&lt;"&amp;AT9,WeightedRevAge04)-SUMIF(ThresholdAge04,"&lt;"&amp;AT9,WeightedMinAge04),MAX(CapacityAge04*АбонементНовых*AT9,MeanMinAge04)))</f>
        <v/>
      </c>
      <c r="AU77" s="4">
        <f>IF(OR(('03_Сеть'!AU25-AU23)=0,4&lt;=КаникулыРоялти),0,('03_Сеть'!AU25-AU23)*IF(РоялтиПоГруппам="Да",MeanMinAge04+AU9*SUMIF(ThresholdAge04,"&lt;"&amp;AU9,WeightedRevAge04)-SUMIF(ThresholdAge04,"&lt;"&amp;AU9,WeightedMinAge04),MAX(CapacityAge04*АбонементНовых*AU9,MeanMinAge04)))</f>
        <v/>
      </c>
      <c r="AV77" s="4">
        <f>IF(OR(('03_Сеть'!AV25-AV23)=0,4&lt;=КаникулыРоялти),0,('03_Сеть'!AV25-AV23)*IF(РоялтиПоГруппам="Да",MeanMinAge04+AV9*SUMIF(ThresholdAge04,"&lt;"&amp;AV9,WeightedRevAge04)-SUMIF(ThresholdAge04,"&lt;"&amp;AV9,WeightedMinAge04),MAX(CapacityAge04*АбонементНовых*AV9,MeanMinAge04)))</f>
        <v/>
      </c>
      <c r="AW77" s="4">
        <f>IF(OR(('03_Сеть'!AW25-AW23)=0,4&lt;=КаникулыРоялти),0,('03_Сеть'!AW25-AW23)*IF(РоялтиПоГруппам="Да",MeanMinAge04+AW9*SUMIF(ThresholdAge04,"&lt;"&amp;AW9,WeightedRevAge04)-SUMIF(ThresholdAge04,"&lt;"&amp;AW9,WeightedMinAge04),MAX(CapacityAge04*АбонементНовых*AW9,MeanMinAge04)))</f>
        <v/>
      </c>
      <c r="AX77" s="4">
        <f>IF(OR(('03_Сеть'!AX25-AX23)=0,4&lt;=КаникулыРоялти),0,('03_Сеть'!AX25-AX23)*IF(РоялтиПоГруппам="Да",MeanMinAge04+AX9*SUMIF(ThresholdAge04,"&lt;"&amp;AX9,WeightedRevAge04)-SUMIF(ThresholdAge04,"&lt;"&amp;AX9,WeightedMinAge04),MAX(CapacityAge04*АбонементНовых*AX9,MeanMinAge04)))</f>
        <v/>
      </c>
      <c r="AY77" s="4">
        <f>IF(OR(('03_Сеть'!AY25-AY23)=0,4&lt;=КаникулыРоялти),0,('03_Сеть'!AY25-AY23)*IF(РоялтиПоГруппам="Да",MeanMinAge04+AY9*SUMIF(ThresholdAge04,"&lt;"&amp;AY9,WeightedRevAge04)-SUMIF(ThresholdAge04,"&lt;"&amp;AY9,WeightedMinAge04),MAX(CapacityAge04*АбонементНовых*AY9,MeanMinAge04)))</f>
        <v/>
      </c>
      <c r="AZ77" s="4">
        <f>IF(OR(('03_Сеть'!AZ25-AZ23)=0,4&lt;=КаникулыРоялти),0,('03_Сеть'!AZ25-AZ23)*IF(РоялтиПоГруппам="Да",MeanMinAge04+AZ9*SUMIF(ThresholdAge04,"&lt;"&amp;AZ9,WeightedRevAge04)-SUMIF(ThresholdAge04,"&lt;"&amp;AZ9,WeightedMinAge04),MAX(CapacityAge04*АбонементНовых*AZ9,MeanMinAge04)))</f>
        <v/>
      </c>
      <c r="BA77" s="4">
        <f>IF(OR(('03_Сеть'!BA25-BA23)=0,4&lt;=КаникулыРоялти),0,('03_Сеть'!BA25-BA23)*IF(РоялтиПоГруппам="Да",MeanMinAge04+BA9*SUMIF(ThresholdAge04,"&lt;"&amp;BA9,WeightedRevAge04)-SUMIF(ThresholdAge04,"&lt;"&amp;BA9,WeightedMinAge04),MAX(CapacityAge04*АбонементНовых*BA9,MeanMinAge04)))</f>
        <v/>
      </c>
      <c r="BB77" s="4">
        <f>IF(OR(('03_Сеть'!BB25-BB23)=0,4&lt;=КаникулыРоялти),0,('03_Сеть'!BB25-BB23)*IF(РоялтиПоГруппам="Да",MeanMinAge04+BB9*SUMIF(ThresholdAge04,"&lt;"&amp;BB9,WeightedRevAge04)-SUMIF(ThresholdAge04,"&lt;"&amp;BB9,WeightedMinAge04),MAX(CapacityAge04*АбонементНовых*BB9,MeanMinAge04)))</f>
        <v/>
      </c>
      <c r="BC77" s="4">
        <f>IF(OR(('03_Сеть'!BC25-BC23)=0,4&lt;=КаникулыРоялти),0,('03_Сеть'!BC25-BC23)*IF(РоялтиПоГруппам="Да",MeanMinAge04+BC9*SUMIF(ThresholdAge04,"&lt;"&amp;BC9,WeightedRevAge04)-SUMIF(ThresholdAge04,"&lt;"&amp;BC9,WeightedMinAge04),MAX(CapacityAge04*АбонементНовых*BC9,MeanMinAge04)))</f>
        <v/>
      </c>
      <c r="BD77" s="4">
        <f>IF(OR(('03_Сеть'!BD25-BD23)=0,4&lt;=КаникулыРоялти),0,('03_Сеть'!BD25-BD23)*IF(РоялтиПоГруппам="Да",MeanMinAge04+BD9*SUMIF(ThresholdAge04,"&lt;"&amp;BD9,WeightedRevAge04)-SUMIF(ThresholdAge04,"&lt;"&amp;BD9,WeightedMinAge04),MAX(CapacityAge04*АбонементНовых*BD9,MeanMinAge04)))</f>
        <v/>
      </c>
      <c r="BE77" s="4">
        <f>IF(OR(('03_Сеть'!BE25-BE23)=0,4&lt;=КаникулыРоялти),0,('03_Сеть'!BE25-BE23)*IF(РоялтиПоГруппам="Да",MeanMinAge04+BE9*SUMIF(ThresholdAge04,"&lt;"&amp;BE9,WeightedRevAge04)-SUMIF(ThresholdAge04,"&lt;"&amp;BE9,WeightedMinAge04),MAX(CapacityAge04*АбонементНовых*BE9,MeanMinAge04)))</f>
        <v/>
      </c>
      <c r="BF77" s="4">
        <f>IF(OR(('03_Сеть'!BF25-BF23)=0,4&lt;=КаникулыРоялти),0,('03_Сеть'!BF25-BF23)*IF(РоялтиПоГруппам="Да",MeanMinAge04+BF9*SUMIF(ThresholdAge04,"&lt;"&amp;BF9,WeightedRevAge04)-SUMIF(ThresholdAge04,"&lt;"&amp;BF9,WeightedMinAge04),MAX(CapacityAge04*АбонементНовых*BF9,MeanMinAge04)))</f>
        <v/>
      </c>
      <c r="BG77" s="4">
        <f>IF(OR(('03_Сеть'!BG25-BG23)=0,4&lt;=КаникулыРоялти),0,('03_Сеть'!BG25-BG23)*IF(РоялтиПоГруппам="Да",MeanMinAge04+BG9*SUMIF(ThresholdAge04,"&lt;"&amp;BG9,WeightedRevAge04)-SUMIF(ThresholdAge04,"&lt;"&amp;BG9,WeightedMinAge04),MAX(CapacityAge04*АбонементНовых*BG9,MeanMinAge04)))</f>
        <v/>
      </c>
      <c r="BH77" s="4">
        <f>IF(OR(('03_Сеть'!BH25-BH23)=0,4&lt;=КаникулыРоялти),0,('03_Сеть'!BH25-BH23)*IF(РоялтиПоГруппам="Да",MeanMinAge04+BH9*SUMIF(ThresholdAge04,"&lt;"&amp;BH9,WeightedRevAge04)-SUMIF(ThresholdAge04,"&lt;"&amp;BH9,WeightedMinAge04),MAX(CapacityAge04*АбонементНовых*BH9,MeanMinAge04)))</f>
        <v/>
      </c>
      <c r="BI77" s="4">
        <f>IF(OR(('03_Сеть'!BI25-BI23)=0,4&lt;=КаникулыРоялти),0,('03_Сеть'!BI25-BI23)*IF(РоялтиПоГруппам="Да",MeanMinAge04+BI9*SUMIF(ThresholdAge04,"&lt;"&amp;BI9,WeightedRevAge04)-SUMIF(ThresholdAge04,"&lt;"&amp;BI9,WeightedMinAge04),MAX(CapacityAge04*АбонементНовых*BI9,MeanMinAge04)))</f>
        <v/>
      </c>
      <c r="BJ77" s="4">
        <f>IF(OR(('03_Сеть'!BJ25-BJ23)=0,4&lt;=КаникулыРоялти),0,('03_Сеть'!BJ25-BJ23)*IF(РоялтиПоГруппам="Да",MeanMinAge04+BJ9*SUMIF(ThresholdAge04,"&lt;"&amp;BJ9,WeightedRevAge04)-SUMIF(ThresholdAge04,"&lt;"&amp;BJ9,WeightedMinAge04),MAX(CapacityAge04*АбонементНовых*BJ9,MeanMinAge04)))</f>
        <v/>
      </c>
      <c r="BK77" s="4">
        <f>IF(OR(('03_Сеть'!BK25-BK23)=0,4&lt;=КаникулыРоялти),0,('03_Сеть'!BK25-BK23)*IF(РоялтиПоГруппам="Да",MeanMinAge04+BK9*SUMIF(ThresholdAge04,"&lt;"&amp;BK9,WeightedRevAge04)-SUMIF(ThresholdAge04,"&lt;"&amp;BK9,WeightedMinAge04),MAX(CapacityAge04*АбонементНовых*BK9,MeanMinAge04)))</f>
        <v/>
      </c>
      <c r="BL77" s="4">
        <f>IF(OR(('03_Сеть'!BL25-BL23)=0,4&lt;=КаникулыРоялти),0,('03_Сеть'!BL25-BL23)*IF(РоялтиПоГруппам="Да",MeanMinAge04+BL9*SUMIF(ThresholdAge04,"&lt;"&amp;BL9,WeightedRevAge04)-SUMIF(ThresholdAge04,"&lt;"&amp;BL9,WeightedMinAge04),MAX(CapacityAge04*АбонементНовых*BL9,MeanMinAge04)))</f>
        <v/>
      </c>
      <c r="BM77" s="4">
        <f>IF(OR(('03_Сеть'!BM25-BM23)=0,4&lt;=КаникулыРоялти),0,('03_Сеть'!BM25-BM23)*IF(РоялтиПоГруппам="Да",MeanMinAge04+BM9*SUMIF(ThresholdAge04,"&lt;"&amp;BM9,WeightedRevAge04)-SUMIF(ThresholdAge04,"&lt;"&amp;BM9,WeightedMinAge04),MAX(CapacityAge04*АбонементНовых*BM9,MeanMinAge04)))</f>
        <v/>
      </c>
      <c r="BN77" s="4">
        <f>IF(OR(('03_Сеть'!BN25-BN23)=0,4&lt;=КаникулыРоялти),0,('03_Сеть'!BN25-BN23)*IF(РоялтиПоГруппам="Да",MeanMinAge04+BN9*SUMIF(ThresholdAge04,"&lt;"&amp;BN9,WeightedRevAge04)-SUMIF(ThresholdAge04,"&lt;"&amp;BN9,WeightedMinAge04),MAX(CapacityAge04*АбонементНовых*BN9,MeanMinAge04)))</f>
        <v/>
      </c>
      <c r="BO77" s="4">
        <f>IF(OR(('03_Сеть'!BO25-BO23)=0,4&lt;=КаникулыРоялти),0,('03_Сеть'!BO25-BO23)*IF(РоялтиПоГруппам="Да",MeanMinAge04+BO9*SUMIF(ThresholdAge04,"&lt;"&amp;BO9,WeightedRevAge04)-SUMIF(ThresholdAge04,"&lt;"&amp;BO9,WeightedMinAge04),MAX(CapacityAge04*АбонементНовых*BO9,MeanMinAge04)))</f>
        <v/>
      </c>
      <c r="BP77" s="4">
        <f>IF(OR(('03_Сеть'!BP25-BP23)=0,4&lt;=КаникулыРоялти),0,('03_Сеть'!BP25-BP23)*IF(РоялтиПоГруппам="Да",MeanMinAge04+BP9*SUMIF(ThresholdAge04,"&lt;"&amp;BP9,WeightedRevAge04)-SUMIF(ThresholdAge04,"&lt;"&amp;BP9,WeightedMinAge04),MAX(CapacityAge04*АбонементНовых*BP9,MeanMinAge04)))</f>
        <v/>
      </c>
      <c r="BQ77" s="4">
        <f>IF(OR(('03_Сеть'!BQ25-BQ23)=0,4&lt;=КаникулыРоялти),0,('03_Сеть'!BQ25-BQ23)*IF(РоялтиПоГруппам="Да",MeanMinAge04+BQ9*SUMIF(ThresholdAge04,"&lt;"&amp;BQ9,WeightedRevAge04)-SUMIF(ThresholdAge04,"&lt;"&amp;BQ9,WeightedMinAge04),MAX(CapacityAge04*АбонементНовых*BQ9,MeanMinAge04)))</f>
        <v/>
      </c>
      <c r="BR77" s="4">
        <f>IF(OR(('03_Сеть'!BR25-BR23)=0,4&lt;=КаникулыРоялти),0,('03_Сеть'!BR25-BR23)*IF(РоялтиПоГруппам="Да",MeanMinAge04+BR9*SUMIF(ThresholdAge04,"&lt;"&amp;BR9,WeightedRevAge04)-SUMIF(ThresholdAge04,"&lt;"&amp;BR9,WeightedMinAge04),MAX(CapacityAge04*АбонементНовых*BR9,MeanMinAge04)))</f>
        <v/>
      </c>
      <c r="BS77" s="4">
        <f>IF(OR(('03_Сеть'!BS25-BS23)=0,4&lt;=КаникулыРоялти),0,('03_Сеть'!BS25-BS23)*IF(РоялтиПоГруппам="Да",MeanMinAge04+BS9*SUMIF(ThresholdAge04,"&lt;"&amp;BS9,WeightedRevAge04)-SUMIF(ThresholdAge04,"&lt;"&amp;BS9,WeightedMinAge04),MAX(CapacityAge04*АбонементНовых*BS9,MeanMinAge04)))</f>
        <v/>
      </c>
      <c r="BT77" s="4">
        <f>IF(OR(('03_Сеть'!BT25-BT23)=0,4&lt;=КаникулыРоялти),0,('03_Сеть'!BT25-BT23)*IF(РоялтиПоГруппам="Да",MeanMinAge04+BT9*SUMIF(ThresholdAge04,"&lt;"&amp;BT9,WeightedRevAge04)-SUMIF(ThresholdAge04,"&lt;"&amp;BT9,WeightedMinAge04),MAX(CapacityAge04*АбонементНовых*BT9,MeanMinAge04)))</f>
        <v/>
      </c>
      <c r="BU77" s="4">
        <f>IF(OR(('03_Сеть'!BU25-BU23)=0,4&lt;=КаникулыРоялти),0,('03_Сеть'!BU25-BU23)*IF(РоялтиПоГруппам="Да",MeanMinAge04+BU9*SUMIF(ThresholdAge04,"&lt;"&amp;BU9,WeightedRevAge04)-SUMIF(ThresholdAge04,"&lt;"&amp;BU9,WeightedMinAge04),MAX(CapacityAge04*АбонементНовых*BU9,MeanMinAge04)))</f>
        <v/>
      </c>
      <c r="BV77" s="4">
        <f>IF(OR(('03_Сеть'!BV25-BV23)=0,4&lt;=КаникулыРоялти),0,('03_Сеть'!BV25-BV23)*IF(РоялтиПоГруппам="Да",MeanMinAge04+BV9*SUMIF(ThresholdAge04,"&lt;"&amp;BV9,WeightedRevAge04)-SUMIF(ThresholdAge04,"&lt;"&amp;BV9,WeightedMinAge04),MAX(CapacityAge04*АбонементНовых*BV9,MeanMinAge04)))</f>
        <v/>
      </c>
      <c r="BW77" s="4">
        <f>IF(OR(('03_Сеть'!BW25-BW23)=0,4&lt;=КаникулыРоялти),0,('03_Сеть'!BW25-BW23)*IF(РоялтиПоГруппам="Да",MeanMinAge04+BW9*SUMIF(ThresholdAge04,"&lt;"&amp;BW9,WeightedRevAge04)-SUMIF(ThresholdAge04,"&lt;"&amp;BW9,WeightedMinAge04),MAX(CapacityAge04*АбонементНовых*BW9,MeanMinAge04)))</f>
        <v/>
      </c>
      <c r="BX77" s="4">
        <f>IF(OR(('03_Сеть'!BX25-BX23)=0,4&lt;=КаникулыРоялти),0,('03_Сеть'!BX25-BX23)*IF(РоялтиПоГруппам="Да",MeanMinAge04+BX9*SUMIF(ThresholdAge04,"&lt;"&amp;BX9,WeightedRevAge04)-SUMIF(ThresholdAge04,"&lt;"&amp;BX9,WeightedMinAge04),MAX(CapacityAge04*АбонементНовых*BX9,MeanMinAge04)))</f>
        <v/>
      </c>
      <c r="BY77" s="4">
        <f>IF(OR(('03_Сеть'!BY25-BY23)=0,4&lt;=КаникулыРоялти),0,('03_Сеть'!BY25-BY23)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78">
      <c r="B78" t="inlineStr">
        <is>
          <t>5 мес.</t>
        </is>
      </c>
      <c r="C78" t="inlineStr">
        <is>
          <t>₽</t>
        </is>
      </c>
      <c r="D78" s="117" t="inlineStr"/>
      <c r="E78" s="119">
        <f>SUM(L78:W78)</f>
        <v/>
      </c>
      <c r="F78" s="119">
        <f>SUM(X78:AI78)</f>
        <v/>
      </c>
      <c r="G78" s="119">
        <f>SUM(AJ78:AU78)</f>
        <v/>
      </c>
      <c r="H78" s="119">
        <f>SUM(AV78:BG78)</f>
        <v/>
      </c>
      <c r="I78" s="119">
        <f>SUM(BH78:BS78)</f>
        <v/>
      </c>
      <c r="J78" s="5">
        <f>SUM(L78:BS78)</f>
        <v/>
      </c>
      <c r="L78" s="4">
        <f>IF(OR(('03_Сеть'!L26-L24)=0,5&lt;=КаникулыРоялти),0,('03_Сеть'!L26-L24)*IF(РоялтиПоГруппам="Да",MeanMinAge05+L9*SUMIF(ThresholdAge05,"&lt;"&amp;L9,WeightedRevAge05)-SUMIF(ThresholdAge05,"&lt;"&amp;L9,WeightedMinAge05),MAX(CapacityAge05*АбонементНовых*L9,MeanMinAge05)))</f>
        <v/>
      </c>
      <c r="M78" s="4">
        <f>IF(OR(('03_Сеть'!M26-M24)=0,5&lt;=КаникулыРоялти),0,('03_Сеть'!M26-M24)*IF(РоялтиПоГруппам="Да",MeanMinAge05+M9*SUMIF(ThresholdAge05,"&lt;"&amp;M9,WeightedRevAge05)-SUMIF(ThresholdAge05,"&lt;"&amp;M9,WeightedMinAge05),MAX(CapacityAge05*АбонементНовых*M9,MeanMinAge05)))</f>
        <v/>
      </c>
      <c r="N78" s="4">
        <f>IF(OR(('03_Сеть'!N26-N24)=0,5&lt;=КаникулыРоялти),0,('03_Сеть'!N26-N24)*IF(РоялтиПоГруппам="Да",MeanMinAge05+N9*SUMIF(ThresholdAge05,"&lt;"&amp;N9,WeightedRevAge05)-SUMIF(ThresholdAge05,"&lt;"&amp;N9,WeightedMinAge05),MAX(CapacityAge05*АбонементНовых*N9,MeanMinAge05)))</f>
        <v/>
      </c>
      <c r="O78" s="4">
        <f>IF(OR(('03_Сеть'!O26-O24)=0,5&lt;=КаникулыРоялти),0,('03_Сеть'!O26-O24)*IF(РоялтиПоГруппам="Да",MeanMinAge05+O9*SUMIF(ThresholdAge05,"&lt;"&amp;O9,WeightedRevAge05)-SUMIF(ThresholdAge05,"&lt;"&amp;O9,WeightedMinAge05),MAX(CapacityAge05*АбонементНовых*O9,MeanMinAge05)))</f>
        <v/>
      </c>
      <c r="P78" s="4">
        <f>IF(OR(('03_Сеть'!P26-P24)=0,5&lt;=КаникулыРоялти),0,('03_Сеть'!P26-P24)*IF(РоялтиПоГруппам="Да",MeanMinAge05+P9*SUMIF(ThresholdAge05,"&lt;"&amp;P9,WeightedRevAge05)-SUMIF(ThresholdAge05,"&lt;"&amp;P9,WeightedMinAge05),MAX(CapacityAge05*АбонементНовых*P9,MeanMinAge05)))</f>
        <v/>
      </c>
      <c r="Q78" s="4">
        <f>IF(OR(('03_Сеть'!Q26-Q24)=0,5&lt;=КаникулыРоялти),0,('03_Сеть'!Q26-Q24)*IF(РоялтиПоГруппам="Да",MeanMinAge05+Q9*SUMIF(ThresholdAge05,"&lt;"&amp;Q9,WeightedRevAge05)-SUMIF(ThresholdAge05,"&lt;"&amp;Q9,WeightedMinAge05),MAX(CapacityAge05*АбонементНовых*Q9,MeanMinAge05)))</f>
        <v/>
      </c>
      <c r="R78" s="4">
        <f>IF(OR(('03_Сеть'!R26-R24)=0,5&lt;=КаникулыРоялти),0,('03_Сеть'!R26-R24)*IF(РоялтиПоГруппам="Да",MeanMinAge05+R9*SUMIF(ThresholdAge05,"&lt;"&amp;R9,WeightedRevAge05)-SUMIF(ThresholdAge05,"&lt;"&amp;R9,WeightedMinAge05),MAX(CapacityAge05*АбонементНовых*R9,MeanMinAge05)))</f>
        <v/>
      </c>
      <c r="S78" s="4">
        <f>IF(OR(('03_Сеть'!S26-S24)=0,5&lt;=КаникулыРоялти),0,('03_Сеть'!S26-S24)*IF(РоялтиПоГруппам="Да",MeanMinAge05+S9*SUMIF(ThresholdAge05,"&lt;"&amp;S9,WeightedRevAge05)-SUMIF(ThresholdAge05,"&lt;"&amp;S9,WeightedMinAge05),MAX(CapacityAge05*АбонементНовых*S9,MeanMinAge05)))</f>
        <v/>
      </c>
      <c r="T78" s="4">
        <f>IF(OR(('03_Сеть'!T26-T24)=0,5&lt;=КаникулыРоялти),0,('03_Сеть'!T26-T24)*IF(РоялтиПоГруппам="Да",MeanMinAge05+T9*SUMIF(ThresholdAge05,"&lt;"&amp;T9,WeightedRevAge05)-SUMIF(ThresholdAge05,"&lt;"&amp;T9,WeightedMinAge05),MAX(CapacityAge05*АбонементНовых*T9,MeanMinAge05)))</f>
        <v/>
      </c>
      <c r="U78" s="4">
        <f>IF(OR(('03_Сеть'!U26-U24)=0,5&lt;=КаникулыРоялти),0,('03_Сеть'!U26-U24)*IF(РоялтиПоГруппам="Да",MeanMinAge05+U9*SUMIF(ThresholdAge05,"&lt;"&amp;U9,WeightedRevAge05)-SUMIF(ThresholdAge05,"&lt;"&amp;U9,WeightedMinAge05),MAX(CapacityAge05*АбонементНовых*U9,MeanMinAge05)))</f>
        <v/>
      </c>
      <c r="V78" s="4">
        <f>IF(OR(('03_Сеть'!V26-V24)=0,5&lt;=КаникулыРоялти),0,('03_Сеть'!V26-V24)*IF(РоялтиПоГруппам="Да",MeanMinAge05+V9*SUMIF(ThresholdAge05,"&lt;"&amp;V9,WeightedRevAge05)-SUMIF(ThresholdAge05,"&lt;"&amp;V9,WeightedMinAge05),MAX(CapacityAge05*АбонементНовых*V9,MeanMinAge05)))</f>
        <v/>
      </c>
      <c r="W78" s="4">
        <f>IF(OR(('03_Сеть'!W26-W24)=0,5&lt;=КаникулыРоялти),0,('03_Сеть'!W26-W24)*IF(РоялтиПоГруппам="Да",MeanMinAge05+W9*SUMIF(ThresholdAge05,"&lt;"&amp;W9,WeightedRevAge05)-SUMIF(ThresholdAge05,"&lt;"&amp;W9,WeightedMinAge05),MAX(CapacityAge05*АбонементНовых*W9,MeanMinAge05)))</f>
        <v/>
      </c>
      <c r="X78" s="4">
        <f>IF(OR(('03_Сеть'!X26-X24)=0,5&lt;=КаникулыРоялти),0,('03_Сеть'!X26-X24)*IF(РоялтиПоГруппам="Да",MeanMinAge05+X9*SUMIF(ThresholdAge05,"&lt;"&amp;X9,WeightedRevAge05)-SUMIF(ThresholdAge05,"&lt;"&amp;X9,WeightedMinAge05),MAX(CapacityAge05*АбонементНовых*X9,MeanMinAge05)))</f>
        <v/>
      </c>
      <c r="Y78" s="4">
        <f>IF(OR(('03_Сеть'!Y26-Y24)=0,5&lt;=КаникулыРоялти),0,('03_Сеть'!Y26-Y24)*IF(РоялтиПоГруппам="Да",MeanMinAge05+Y9*SUMIF(ThresholdAge05,"&lt;"&amp;Y9,WeightedRevAge05)-SUMIF(ThresholdAge05,"&lt;"&amp;Y9,WeightedMinAge05),MAX(CapacityAge05*АбонементНовых*Y9,MeanMinAge05)))</f>
        <v/>
      </c>
      <c r="Z78" s="4">
        <f>IF(OR(('03_Сеть'!Z26-Z24)=0,5&lt;=КаникулыРоялти),0,('03_Сеть'!Z26-Z24)*IF(РоялтиПоГруппам="Да",MeanMinAge05+Z9*SUMIF(ThresholdAge05,"&lt;"&amp;Z9,WeightedRevAge05)-SUMIF(ThresholdAge05,"&lt;"&amp;Z9,WeightedMinAge05),MAX(CapacityAge05*АбонементНовых*Z9,MeanMinAge05)))</f>
        <v/>
      </c>
      <c r="AA78" s="4">
        <f>IF(OR(('03_Сеть'!AA26-AA24)=0,5&lt;=КаникулыРоялти),0,('03_Сеть'!AA26-AA24)*IF(РоялтиПоГруппам="Да",MeanMinAge05+AA9*SUMIF(ThresholdAge05,"&lt;"&amp;AA9,WeightedRevAge05)-SUMIF(ThresholdAge05,"&lt;"&amp;AA9,WeightedMinAge05),MAX(CapacityAge05*АбонементНовых*AA9,MeanMinAge05)))</f>
        <v/>
      </c>
      <c r="AB78" s="4">
        <f>IF(OR(('03_Сеть'!AB26-AB24)=0,5&lt;=КаникулыРоялти),0,('03_Сеть'!AB26-AB24)*IF(РоялтиПоГруппам="Да",MeanMinAge05+AB9*SUMIF(ThresholdAge05,"&lt;"&amp;AB9,WeightedRevAge05)-SUMIF(ThresholdAge05,"&lt;"&amp;AB9,WeightedMinAge05),MAX(CapacityAge05*АбонементНовых*AB9,MeanMinAge05)))</f>
        <v/>
      </c>
      <c r="AC78" s="4">
        <f>IF(OR(('03_Сеть'!AC26-AC24)=0,5&lt;=КаникулыРоялти),0,('03_Сеть'!AC26-AC24)*IF(РоялтиПоГруппам="Да",MeanMinAge05+AC9*SUMIF(ThresholdAge05,"&lt;"&amp;AC9,WeightedRevAge05)-SUMIF(ThresholdAge05,"&lt;"&amp;AC9,WeightedMinAge05),MAX(CapacityAge05*АбонементНовых*AC9,MeanMinAge05)))</f>
        <v/>
      </c>
      <c r="AD78" s="4">
        <f>IF(OR(('03_Сеть'!AD26-AD24)=0,5&lt;=КаникулыРоялти),0,('03_Сеть'!AD26-AD24)*IF(РоялтиПоГруппам="Да",MeanMinAge05+AD9*SUMIF(ThresholdAge05,"&lt;"&amp;AD9,WeightedRevAge05)-SUMIF(ThresholdAge05,"&lt;"&amp;AD9,WeightedMinAge05),MAX(CapacityAge05*АбонементНовых*AD9,MeanMinAge05)))</f>
        <v/>
      </c>
      <c r="AE78" s="4">
        <f>IF(OR(('03_Сеть'!AE26-AE24)=0,5&lt;=КаникулыРоялти),0,('03_Сеть'!AE26-AE24)*IF(РоялтиПоГруппам="Да",MeanMinAge05+AE9*SUMIF(ThresholdAge05,"&lt;"&amp;AE9,WeightedRevAge05)-SUMIF(ThresholdAge05,"&lt;"&amp;AE9,WeightedMinAge05),MAX(CapacityAge05*АбонементНовых*AE9,MeanMinAge05)))</f>
        <v/>
      </c>
      <c r="AF78" s="4">
        <f>IF(OR(('03_Сеть'!AF26-AF24)=0,5&lt;=КаникулыРоялти),0,('03_Сеть'!AF26-AF24)*IF(РоялтиПоГруппам="Да",MeanMinAge05+AF9*SUMIF(ThresholdAge05,"&lt;"&amp;AF9,WeightedRevAge05)-SUMIF(ThresholdAge05,"&lt;"&amp;AF9,WeightedMinAge05),MAX(CapacityAge05*АбонементНовых*AF9,MeanMinAge05)))</f>
        <v/>
      </c>
      <c r="AG78" s="4">
        <f>IF(OR(('03_Сеть'!AG26-AG24)=0,5&lt;=КаникулыРоялти),0,('03_Сеть'!AG26-AG24)*IF(РоялтиПоГруппам="Да",MeanMinAge05+AG9*SUMIF(ThresholdAge05,"&lt;"&amp;AG9,WeightedRevAge05)-SUMIF(ThresholdAge05,"&lt;"&amp;AG9,WeightedMinAge05),MAX(CapacityAge05*АбонементНовых*AG9,MeanMinAge05)))</f>
        <v/>
      </c>
      <c r="AH78" s="4">
        <f>IF(OR(('03_Сеть'!AH26-AH24)=0,5&lt;=КаникулыРоялти),0,('03_Сеть'!AH26-AH24)*IF(РоялтиПоГруппам="Да",MeanMinAge05+AH9*SUMIF(ThresholdAge05,"&lt;"&amp;AH9,WeightedRevAge05)-SUMIF(ThresholdAge05,"&lt;"&amp;AH9,WeightedMinAge05),MAX(CapacityAge05*АбонементНовых*AH9,MeanMinAge05)))</f>
        <v/>
      </c>
      <c r="AI78" s="4">
        <f>IF(OR(('03_Сеть'!AI26-AI24)=0,5&lt;=КаникулыРоялти),0,('03_Сеть'!AI26-AI24)*IF(РоялтиПоГруппам="Да",MeanMinAge05+AI9*SUMIF(ThresholdAge05,"&lt;"&amp;AI9,WeightedRevAge05)-SUMIF(ThresholdAge05,"&lt;"&amp;AI9,WeightedMinAge05),MAX(CapacityAge05*АбонементНовых*AI9,MeanMinAge05)))</f>
        <v/>
      </c>
      <c r="AJ78" s="4">
        <f>IF(OR(('03_Сеть'!AJ26-AJ24)=0,5&lt;=КаникулыРоялти),0,('03_Сеть'!AJ26-AJ24)*IF(РоялтиПоГруппам="Да",MeanMinAge05+AJ9*SUMIF(ThresholdAge05,"&lt;"&amp;AJ9,WeightedRevAge05)-SUMIF(ThresholdAge05,"&lt;"&amp;AJ9,WeightedMinAge05),MAX(CapacityAge05*АбонементНовых*AJ9,MeanMinAge05)))</f>
        <v/>
      </c>
      <c r="AK78" s="4">
        <f>IF(OR(('03_Сеть'!AK26-AK24)=0,5&lt;=КаникулыРоялти),0,('03_Сеть'!AK26-AK24)*IF(РоялтиПоГруппам="Да",MeanMinAge05+AK9*SUMIF(ThresholdAge05,"&lt;"&amp;AK9,WeightedRevAge05)-SUMIF(ThresholdAge05,"&lt;"&amp;AK9,WeightedMinAge05),MAX(CapacityAge05*АбонементНовых*AK9,MeanMinAge05)))</f>
        <v/>
      </c>
      <c r="AL78" s="4">
        <f>IF(OR(('03_Сеть'!AL26-AL24)=0,5&lt;=КаникулыРоялти),0,('03_Сеть'!AL26-AL24)*IF(РоялтиПоГруппам="Да",MeanMinAge05+AL9*SUMIF(ThresholdAge05,"&lt;"&amp;AL9,WeightedRevAge05)-SUMIF(ThresholdAge05,"&lt;"&amp;AL9,WeightedMinAge05),MAX(CapacityAge05*АбонементНовых*AL9,MeanMinAge05)))</f>
        <v/>
      </c>
      <c r="AM78" s="4">
        <f>IF(OR(('03_Сеть'!AM26-AM24)=0,5&lt;=КаникулыРоялти),0,('03_Сеть'!AM26-AM24)*IF(РоялтиПоГруппам="Да",MeanMinAge05+AM9*SUMIF(ThresholdAge05,"&lt;"&amp;AM9,WeightedRevAge05)-SUMIF(ThresholdAge05,"&lt;"&amp;AM9,WeightedMinAge05),MAX(CapacityAge05*АбонементНовых*AM9,MeanMinAge05)))</f>
        <v/>
      </c>
      <c r="AN78" s="4">
        <f>IF(OR(('03_Сеть'!AN26-AN24)=0,5&lt;=КаникулыРоялти),0,('03_Сеть'!AN26-AN24)*IF(РоялтиПоГруппам="Да",MeanMinAge05+AN9*SUMIF(ThresholdAge05,"&lt;"&amp;AN9,WeightedRevAge05)-SUMIF(ThresholdAge05,"&lt;"&amp;AN9,WeightedMinAge05),MAX(CapacityAge05*АбонементНовых*AN9,MeanMinAge05)))</f>
        <v/>
      </c>
      <c r="AO78" s="4">
        <f>IF(OR(('03_Сеть'!AO26-AO24)=0,5&lt;=КаникулыРоялти),0,('03_Сеть'!AO26-AO24)*IF(РоялтиПоГруппам="Да",MeanMinAge05+AO9*SUMIF(ThresholdAge05,"&lt;"&amp;AO9,WeightedRevAge05)-SUMIF(ThresholdAge05,"&lt;"&amp;AO9,WeightedMinAge05),MAX(CapacityAge05*АбонементНовых*AO9,MeanMinAge05)))</f>
        <v/>
      </c>
      <c r="AP78" s="4">
        <f>IF(OR(('03_Сеть'!AP26-AP24)=0,5&lt;=КаникулыРоялти),0,('03_Сеть'!AP26-AP24)*IF(РоялтиПоГруппам="Да",MeanMinAge05+AP9*SUMIF(ThresholdAge05,"&lt;"&amp;AP9,WeightedRevAge05)-SUMIF(ThresholdAge05,"&lt;"&amp;AP9,WeightedMinAge05),MAX(CapacityAge05*АбонементНовых*AP9,MeanMinAge05)))</f>
        <v/>
      </c>
      <c r="AQ78" s="4">
        <f>IF(OR(('03_Сеть'!AQ26-AQ24)=0,5&lt;=КаникулыРоялти),0,('03_Сеть'!AQ26-AQ24)*IF(РоялтиПоГруппам="Да",MeanMinAge05+AQ9*SUMIF(ThresholdAge05,"&lt;"&amp;AQ9,WeightedRevAge05)-SUMIF(ThresholdAge05,"&lt;"&amp;AQ9,WeightedMinAge05),MAX(CapacityAge05*АбонементНовых*AQ9,MeanMinAge05)))</f>
        <v/>
      </c>
      <c r="AR78" s="4">
        <f>IF(OR(('03_Сеть'!AR26-AR24)=0,5&lt;=КаникулыРоялти),0,('03_Сеть'!AR26-AR24)*IF(РоялтиПоГруппам="Да",MeanMinAge05+AR9*SUMIF(ThresholdAge05,"&lt;"&amp;AR9,WeightedRevAge05)-SUMIF(ThresholdAge05,"&lt;"&amp;AR9,WeightedMinAge05),MAX(CapacityAge05*АбонементНовых*AR9,MeanMinAge05)))</f>
        <v/>
      </c>
      <c r="AS78" s="4">
        <f>IF(OR(('03_Сеть'!AS26-AS24)=0,5&lt;=КаникулыРоялти),0,('03_Сеть'!AS26-AS24)*IF(РоялтиПоГруппам="Да",MeanMinAge05+AS9*SUMIF(ThresholdAge05,"&lt;"&amp;AS9,WeightedRevAge05)-SUMIF(ThresholdAge05,"&lt;"&amp;AS9,WeightedMinAge05),MAX(CapacityAge05*АбонементНовых*AS9,MeanMinAge05)))</f>
        <v/>
      </c>
      <c r="AT78" s="4">
        <f>IF(OR(('03_Сеть'!AT26-AT24)=0,5&lt;=КаникулыРоялти),0,('03_Сеть'!AT26-AT24)*IF(РоялтиПоГруппам="Да",MeanMinAge05+AT9*SUMIF(ThresholdAge05,"&lt;"&amp;AT9,WeightedRevAge05)-SUMIF(ThresholdAge05,"&lt;"&amp;AT9,WeightedMinAge05),MAX(CapacityAge05*АбонементНовых*AT9,MeanMinAge05)))</f>
        <v/>
      </c>
      <c r="AU78" s="4">
        <f>IF(OR(('03_Сеть'!AU26-AU24)=0,5&lt;=КаникулыРоялти),0,('03_Сеть'!AU26-AU24)*IF(РоялтиПоГруппам="Да",MeanMinAge05+AU9*SUMIF(ThresholdAge05,"&lt;"&amp;AU9,WeightedRevAge05)-SUMIF(ThresholdAge05,"&lt;"&amp;AU9,WeightedMinAge05),MAX(CapacityAge05*АбонементНовых*AU9,MeanMinAge05)))</f>
        <v/>
      </c>
      <c r="AV78" s="4">
        <f>IF(OR(('03_Сеть'!AV26-AV24)=0,5&lt;=КаникулыРоялти),0,('03_Сеть'!AV26-AV24)*IF(РоялтиПоГруппам="Да",MeanMinAge05+AV9*SUMIF(ThresholdAge05,"&lt;"&amp;AV9,WeightedRevAge05)-SUMIF(ThresholdAge05,"&lt;"&amp;AV9,WeightedMinAge05),MAX(CapacityAge05*АбонементНовых*AV9,MeanMinAge05)))</f>
        <v/>
      </c>
      <c r="AW78" s="4">
        <f>IF(OR(('03_Сеть'!AW26-AW24)=0,5&lt;=КаникулыРоялти),0,('03_Сеть'!AW26-AW24)*IF(РоялтиПоГруппам="Да",MeanMinAge05+AW9*SUMIF(ThresholdAge05,"&lt;"&amp;AW9,WeightedRevAge05)-SUMIF(ThresholdAge05,"&lt;"&amp;AW9,WeightedMinAge05),MAX(CapacityAge05*АбонементНовых*AW9,MeanMinAge05)))</f>
        <v/>
      </c>
      <c r="AX78" s="4">
        <f>IF(OR(('03_Сеть'!AX26-AX24)=0,5&lt;=КаникулыРоялти),0,('03_Сеть'!AX26-AX24)*IF(РоялтиПоГруппам="Да",MeanMinAge05+AX9*SUMIF(ThresholdAge05,"&lt;"&amp;AX9,WeightedRevAge05)-SUMIF(ThresholdAge05,"&lt;"&amp;AX9,WeightedMinAge05),MAX(CapacityAge05*АбонементНовых*AX9,MeanMinAge05)))</f>
        <v/>
      </c>
      <c r="AY78" s="4">
        <f>IF(OR(('03_Сеть'!AY26-AY24)=0,5&lt;=КаникулыРоялти),0,('03_Сеть'!AY26-AY24)*IF(РоялтиПоГруппам="Да",MeanMinAge05+AY9*SUMIF(ThresholdAge05,"&lt;"&amp;AY9,WeightedRevAge05)-SUMIF(ThresholdAge05,"&lt;"&amp;AY9,WeightedMinAge05),MAX(CapacityAge05*АбонементНовых*AY9,MeanMinAge05)))</f>
        <v/>
      </c>
      <c r="AZ78" s="4">
        <f>IF(OR(('03_Сеть'!AZ26-AZ24)=0,5&lt;=КаникулыРоялти),0,('03_Сеть'!AZ26-AZ24)*IF(РоялтиПоГруппам="Да",MeanMinAge05+AZ9*SUMIF(ThresholdAge05,"&lt;"&amp;AZ9,WeightedRevAge05)-SUMIF(ThresholdAge05,"&lt;"&amp;AZ9,WeightedMinAge05),MAX(CapacityAge05*АбонементНовых*AZ9,MeanMinAge05)))</f>
        <v/>
      </c>
      <c r="BA78" s="4">
        <f>IF(OR(('03_Сеть'!BA26-BA24)=0,5&lt;=КаникулыРоялти),0,('03_Сеть'!BA26-BA24)*IF(РоялтиПоГруппам="Да",MeanMinAge05+BA9*SUMIF(ThresholdAge05,"&lt;"&amp;BA9,WeightedRevAge05)-SUMIF(ThresholdAge05,"&lt;"&amp;BA9,WeightedMinAge05),MAX(CapacityAge05*АбонементНовых*BA9,MeanMinAge05)))</f>
        <v/>
      </c>
      <c r="BB78" s="4">
        <f>IF(OR(('03_Сеть'!BB26-BB24)=0,5&lt;=КаникулыРоялти),0,('03_Сеть'!BB26-BB24)*IF(РоялтиПоГруппам="Да",MeanMinAge05+BB9*SUMIF(ThresholdAge05,"&lt;"&amp;BB9,WeightedRevAge05)-SUMIF(ThresholdAge05,"&lt;"&amp;BB9,WeightedMinAge05),MAX(CapacityAge05*АбонементНовых*BB9,MeanMinAge05)))</f>
        <v/>
      </c>
      <c r="BC78" s="4">
        <f>IF(OR(('03_Сеть'!BC26-BC24)=0,5&lt;=КаникулыРоялти),0,('03_Сеть'!BC26-BC24)*IF(РоялтиПоГруппам="Да",MeanMinAge05+BC9*SUMIF(ThresholdAge05,"&lt;"&amp;BC9,WeightedRevAge05)-SUMIF(ThresholdAge05,"&lt;"&amp;BC9,WeightedMinAge05),MAX(CapacityAge05*АбонементНовых*BC9,MeanMinAge05)))</f>
        <v/>
      </c>
      <c r="BD78" s="4">
        <f>IF(OR(('03_Сеть'!BD26-BD24)=0,5&lt;=КаникулыРоялти),0,('03_Сеть'!BD26-BD24)*IF(РоялтиПоГруппам="Да",MeanMinAge05+BD9*SUMIF(ThresholdAge05,"&lt;"&amp;BD9,WeightedRevAge05)-SUMIF(ThresholdAge05,"&lt;"&amp;BD9,WeightedMinAge05),MAX(CapacityAge05*АбонементНовых*BD9,MeanMinAge05)))</f>
        <v/>
      </c>
      <c r="BE78" s="4">
        <f>IF(OR(('03_Сеть'!BE26-BE24)=0,5&lt;=КаникулыРоялти),0,('03_Сеть'!BE26-BE24)*IF(РоялтиПоГруппам="Да",MeanMinAge05+BE9*SUMIF(ThresholdAge05,"&lt;"&amp;BE9,WeightedRevAge05)-SUMIF(ThresholdAge05,"&lt;"&amp;BE9,WeightedMinAge05),MAX(CapacityAge05*АбонементНовых*BE9,MeanMinAge05)))</f>
        <v/>
      </c>
      <c r="BF78" s="4">
        <f>IF(OR(('03_Сеть'!BF26-BF24)=0,5&lt;=КаникулыРоялти),0,('03_Сеть'!BF26-BF24)*IF(РоялтиПоГруппам="Да",MeanMinAge05+BF9*SUMIF(ThresholdAge05,"&lt;"&amp;BF9,WeightedRevAge05)-SUMIF(ThresholdAge05,"&lt;"&amp;BF9,WeightedMinAge05),MAX(CapacityAge05*АбонементНовых*BF9,MeanMinAge05)))</f>
        <v/>
      </c>
      <c r="BG78" s="4">
        <f>IF(OR(('03_Сеть'!BG26-BG24)=0,5&lt;=КаникулыРоялти),0,('03_Сеть'!BG26-BG24)*IF(РоялтиПоГруппам="Да",MeanMinAge05+BG9*SUMIF(ThresholdAge05,"&lt;"&amp;BG9,WeightedRevAge05)-SUMIF(ThresholdAge05,"&lt;"&amp;BG9,WeightedMinAge05),MAX(CapacityAge05*АбонементНовых*BG9,MeanMinAge05)))</f>
        <v/>
      </c>
      <c r="BH78" s="4">
        <f>IF(OR(('03_Сеть'!BH26-BH24)=0,5&lt;=КаникулыРоялти),0,('03_Сеть'!BH26-BH24)*IF(РоялтиПоГруппам="Да",MeanMinAge05+BH9*SUMIF(ThresholdAge05,"&lt;"&amp;BH9,WeightedRevAge05)-SUMIF(ThresholdAge05,"&lt;"&amp;BH9,WeightedMinAge05),MAX(CapacityAge05*АбонементНовых*BH9,MeanMinAge05)))</f>
        <v/>
      </c>
      <c r="BI78" s="4">
        <f>IF(OR(('03_Сеть'!BI26-BI24)=0,5&lt;=КаникулыРоялти),0,('03_Сеть'!BI26-BI24)*IF(РоялтиПоГруппам="Да",MeanMinAge05+BI9*SUMIF(ThresholdAge05,"&lt;"&amp;BI9,WeightedRevAge05)-SUMIF(ThresholdAge05,"&lt;"&amp;BI9,WeightedMinAge05),MAX(CapacityAge05*АбонементНовых*BI9,MeanMinAge05)))</f>
        <v/>
      </c>
      <c r="BJ78" s="4">
        <f>IF(OR(('03_Сеть'!BJ26-BJ24)=0,5&lt;=КаникулыРоялти),0,('03_Сеть'!BJ26-BJ24)*IF(РоялтиПоГруппам="Да",MeanMinAge05+BJ9*SUMIF(ThresholdAge05,"&lt;"&amp;BJ9,WeightedRevAge05)-SUMIF(ThresholdAge05,"&lt;"&amp;BJ9,WeightedMinAge05),MAX(CapacityAge05*АбонементНовых*BJ9,MeanMinAge05)))</f>
        <v/>
      </c>
      <c r="BK78" s="4">
        <f>IF(OR(('03_Сеть'!BK26-BK24)=0,5&lt;=КаникулыРоялти),0,('03_Сеть'!BK26-BK24)*IF(РоялтиПоГруппам="Да",MeanMinAge05+BK9*SUMIF(ThresholdAge05,"&lt;"&amp;BK9,WeightedRevAge05)-SUMIF(ThresholdAge05,"&lt;"&amp;BK9,WeightedMinAge05),MAX(CapacityAge05*АбонементНовых*BK9,MeanMinAge05)))</f>
        <v/>
      </c>
      <c r="BL78" s="4">
        <f>IF(OR(('03_Сеть'!BL26-BL24)=0,5&lt;=КаникулыРоялти),0,('03_Сеть'!BL26-BL24)*IF(РоялтиПоГруппам="Да",MeanMinAge05+BL9*SUMIF(ThresholdAge05,"&lt;"&amp;BL9,WeightedRevAge05)-SUMIF(ThresholdAge05,"&lt;"&amp;BL9,WeightedMinAge05),MAX(CapacityAge05*АбонементНовых*BL9,MeanMinAge05)))</f>
        <v/>
      </c>
      <c r="BM78" s="4">
        <f>IF(OR(('03_Сеть'!BM26-BM24)=0,5&lt;=КаникулыРоялти),0,('03_Сеть'!BM26-BM24)*IF(РоялтиПоГруппам="Да",MeanMinAge05+BM9*SUMIF(ThresholdAge05,"&lt;"&amp;BM9,WeightedRevAge05)-SUMIF(ThresholdAge05,"&lt;"&amp;BM9,WeightedMinAge05),MAX(CapacityAge05*АбонементНовых*BM9,MeanMinAge05)))</f>
        <v/>
      </c>
      <c r="BN78" s="4">
        <f>IF(OR(('03_Сеть'!BN26-BN24)=0,5&lt;=КаникулыРоялти),0,('03_Сеть'!BN26-BN24)*IF(РоялтиПоГруппам="Да",MeanMinAge05+BN9*SUMIF(ThresholdAge05,"&lt;"&amp;BN9,WeightedRevAge05)-SUMIF(ThresholdAge05,"&lt;"&amp;BN9,WeightedMinAge05),MAX(CapacityAge05*АбонементНовых*BN9,MeanMinAge05)))</f>
        <v/>
      </c>
      <c r="BO78" s="4">
        <f>IF(OR(('03_Сеть'!BO26-BO24)=0,5&lt;=КаникулыРоялти),0,('03_Сеть'!BO26-BO24)*IF(РоялтиПоГруппам="Да",MeanMinAge05+BO9*SUMIF(ThresholdAge05,"&lt;"&amp;BO9,WeightedRevAge05)-SUMIF(ThresholdAge05,"&lt;"&amp;BO9,WeightedMinAge05),MAX(CapacityAge05*АбонементНовых*BO9,MeanMinAge05)))</f>
        <v/>
      </c>
      <c r="BP78" s="4">
        <f>IF(OR(('03_Сеть'!BP26-BP24)=0,5&lt;=КаникулыРоялти),0,('03_Сеть'!BP26-BP24)*IF(РоялтиПоГруппам="Да",MeanMinAge05+BP9*SUMIF(ThresholdAge05,"&lt;"&amp;BP9,WeightedRevAge05)-SUMIF(ThresholdAge05,"&lt;"&amp;BP9,WeightedMinAge05),MAX(CapacityAge05*АбонементНовых*BP9,MeanMinAge05)))</f>
        <v/>
      </c>
      <c r="BQ78" s="4">
        <f>IF(OR(('03_Сеть'!BQ26-BQ24)=0,5&lt;=КаникулыРоялти),0,('03_Сеть'!BQ26-BQ24)*IF(РоялтиПоГруппам="Да",MeanMinAge05+BQ9*SUMIF(ThresholdAge05,"&lt;"&amp;BQ9,WeightedRevAge05)-SUMIF(ThresholdAge05,"&lt;"&amp;BQ9,WeightedMinAge05),MAX(CapacityAge05*АбонементНовых*BQ9,MeanMinAge05)))</f>
        <v/>
      </c>
      <c r="BR78" s="4">
        <f>IF(OR(('03_Сеть'!BR26-BR24)=0,5&lt;=КаникулыРоялти),0,('03_Сеть'!BR26-BR24)*IF(РоялтиПоГруппам="Да",MeanMinAge05+BR9*SUMIF(ThresholdAge05,"&lt;"&amp;BR9,WeightedRevAge05)-SUMIF(ThresholdAge05,"&lt;"&amp;BR9,WeightedMinAge05),MAX(CapacityAge05*АбонементНовых*BR9,MeanMinAge05)))</f>
        <v/>
      </c>
      <c r="BS78" s="4">
        <f>IF(OR(('03_Сеть'!BS26-BS24)=0,5&lt;=КаникулыРоялти),0,('03_Сеть'!BS26-BS24)*IF(РоялтиПоГруппам="Да",MeanMinAge05+BS9*SUMIF(ThresholdAge05,"&lt;"&amp;BS9,WeightedRevAge05)-SUMIF(ThresholdAge05,"&lt;"&amp;BS9,WeightedMinAge05),MAX(CapacityAge05*АбонементНовых*BS9,MeanMinAge05)))</f>
        <v/>
      </c>
      <c r="BT78" s="4">
        <f>IF(OR(('03_Сеть'!BT26-BT24)=0,5&lt;=КаникулыРоялти),0,('03_Сеть'!BT26-BT24)*IF(РоялтиПоГруппам="Да",MeanMinAge05+BT9*SUMIF(ThresholdAge05,"&lt;"&amp;BT9,WeightedRevAge05)-SUMIF(ThresholdAge05,"&lt;"&amp;BT9,WeightedMinAge05),MAX(CapacityAge05*АбонементНовых*BT9,MeanMinAge05)))</f>
        <v/>
      </c>
      <c r="BU78" s="4">
        <f>IF(OR(('03_Сеть'!BU26-BU24)=0,5&lt;=КаникулыРоялти),0,('03_Сеть'!BU26-BU24)*IF(РоялтиПоГруппам="Да",MeanMinAge05+BU9*SUMIF(ThresholdAge05,"&lt;"&amp;BU9,WeightedRevAge05)-SUMIF(ThresholdAge05,"&lt;"&amp;BU9,WeightedMinAge05),MAX(CapacityAge05*АбонементНовых*BU9,MeanMinAge05)))</f>
        <v/>
      </c>
      <c r="BV78" s="4">
        <f>IF(OR(('03_Сеть'!BV26-BV24)=0,5&lt;=КаникулыРоялти),0,('03_Сеть'!BV26-BV24)*IF(РоялтиПоГруппам="Да",MeanMinAge05+BV9*SUMIF(ThresholdAge05,"&lt;"&amp;BV9,WeightedRevAge05)-SUMIF(ThresholdAge05,"&lt;"&amp;BV9,WeightedMinAge05),MAX(CapacityAge05*АбонементНовых*BV9,MeanMinAge05)))</f>
        <v/>
      </c>
      <c r="BW78" s="4">
        <f>IF(OR(('03_Сеть'!BW26-BW24)=0,5&lt;=КаникулыРоялти),0,('03_Сеть'!BW26-BW24)*IF(РоялтиПоГруппам="Да",MeanMinAge05+BW9*SUMIF(ThresholdAge05,"&lt;"&amp;BW9,WeightedRevAge05)-SUMIF(ThresholdAge05,"&lt;"&amp;BW9,WeightedMinAge05),MAX(CapacityAge05*АбонементНовых*BW9,MeanMinAge05)))</f>
        <v/>
      </c>
      <c r="BX78" s="4">
        <f>IF(OR(('03_Сеть'!BX26-BX24)=0,5&lt;=КаникулыРоялти),0,('03_Сеть'!BX26-BX24)*IF(РоялтиПоГруппам="Да",MeanMinAge05+BX9*SUMIF(ThresholdAge05,"&lt;"&amp;BX9,WeightedRevAge05)-SUMIF(ThresholdAge05,"&lt;"&amp;BX9,WeightedMinAge05),MAX(CapacityAge05*АбонементНовых*BX9,MeanMinAge05)))</f>
        <v/>
      </c>
      <c r="BY78" s="4">
        <f>IF(OR(('03_Сеть'!BY26-BY24)=0,5&lt;=КаникулыРоялти),0,('03_Сеть'!BY26-BY24)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79">
      <c r="B79" t="inlineStr">
        <is>
          <t>6 мес.</t>
        </is>
      </c>
      <c r="C79" t="inlineStr">
        <is>
          <t>₽</t>
        </is>
      </c>
      <c r="D79" s="117" t="inlineStr"/>
      <c r="E79" s="119">
        <f>SUM(L79:W79)</f>
        <v/>
      </c>
      <c r="F79" s="119">
        <f>SUM(X79:AI79)</f>
        <v/>
      </c>
      <c r="G79" s="119">
        <f>SUM(AJ79:AU79)</f>
        <v/>
      </c>
      <c r="H79" s="119">
        <f>SUM(AV79:BG79)</f>
        <v/>
      </c>
      <c r="I79" s="119">
        <f>SUM(BH79:BS79)</f>
        <v/>
      </c>
      <c r="J79" s="5">
        <f>SUM(L79:BS79)</f>
        <v/>
      </c>
      <c r="L79" s="4">
        <f>IF(OR(('03_Сеть'!L27-L25)=0,6&lt;=КаникулыРоялти),0,('03_Сеть'!L27-L25)*IF(РоялтиПоГруппам="Да",MeanMinAge06+L9*SUMIF(ThresholdAge06,"&lt;"&amp;L9,WeightedRevAge06)-SUMIF(ThresholdAge06,"&lt;"&amp;L9,WeightedMinAge06),MAX(CapacityAge06*АбонементНовых*L9,MeanMinAge06)))</f>
        <v/>
      </c>
      <c r="M79" s="4">
        <f>IF(OR(('03_Сеть'!M27-M25)=0,6&lt;=КаникулыРоялти),0,('03_Сеть'!M27-M25)*IF(РоялтиПоГруппам="Да",MeanMinAge06+M9*SUMIF(ThresholdAge06,"&lt;"&amp;M9,WeightedRevAge06)-SUMIF(ThresholdAge06,"&lt;"&amp;M9,WeightedMinAge06),MAX(CapacityAge06*АбонементНовых*M9,MeanMinAge06)))</f>
        <v/>
      </c>
      <c r="N79" s="4">
        <f>IF(OR(('03_Сеть'!N27-N25)=0,6&lt;=КаникулыРоялти),0,('03_Сеть'!N27-N25)*IF(РоялтиПоГруппам="Да",MeanMinAge06+N9*SUMIF(ThresholdAge06,"&lt;"&amp;N9,WeightedRevAge06)-SUMIF(ThresholdAge06,"&lt;"&amp;N9,WeightedMinAge06),MAX(CapacityAge06*АбонементНовых*N9,MeanMinAge06)))</f>
        <v/>
      </c>
      <c r="O79" s="4">
        <f>IF(OR(('03_Сеть'!O27-O25)=0,6&lt;=КаникулыРоялти),0,('03_Сеть'!O27-O25)*IF(РоялтиПоГруппам="Да",MeanMinAge06+O9*SUMIF(ThresholdAge06,"&lt;"&amp;O9,WeightedRevAge06)-SUMIF(ThresholdAge06,"&lt;"&amp;O9,WeightedMinAge06),MAX(CapacityAge06*АбонементНовых*O9,MeanMinAge06)))</f>
        <v/>
      </c>
      <c r="P79" s="4">
        <f>IF(OR(('03_Сеть'!P27-P25)=0,6&lt;=КаникулыРоялти),0,('03_Сеть'!P27-P25)*IF(РоялтиПоГруппам="Да",MeanMinAge06+P9*SUMIF(ThresholdAge06,"&lt;"&amp;P9,WeightedRevAge06)-SUMIF(ThresholdAge06,"&lt;"&amp;P9,WeightedMinAge06),MAX(CapacityAge06*АбонементНовых*P9,MeanMinAge06)))</f>
        <v/>
      </c>
      <c r="Q79" s="4">
        <f>IF(OR(('03_Сеть'!Q27-Q25)=0,6&lt;=КаникулыРоялти),0,('03_Сеть'!Q27-Q25)*IF(РоялтиПоГруппам="Да",MeanMinAge06+Q9*SUMIF(ThresholdAge06,"&lt;"&amp;Q9,WeightedRevAge06)-SUMIF(ThresholdAge06,"&lt;"&amp;Q9,WeightedMinAge06),MAX(CapacityAge06*АбонементНовых*Q9,MeanMinAge06)))</f>
        <v/>
      </c>
      <c r="R79" s="4">
        <f>IF(OR(('03_Сеть'!R27-R25)=0,6&lt;=КаникулыРоялти),0,('03_Сеть'!R27-R25)*IF(РоялтиПоГруппам="Да",MeanMinAge06+R9*SUMIF(ThresholdAge06,"&lt;"&amp;R9,WeightedRevAge06)-SUMIF(ThresholdAge06,"&lt;"&amp;R9,WeightedMinAge06),MAX(CapacityAge06*АбонементНовых*R9,MeanMinAge06)))</f>
        <v/>
      </c>
      <c r="S79" s="4">
        <f>IF(OR(('03_Сеть'!S27-S25)=0,6&lt;=КаникулыРоялти),0,('03_Сеть'!S27-S25)*IF(РоялтиПоГруппам="Да",MeanMinAge06+S9*SUMIF(ThresholdAge06,"&lt;"&amp;S9,WeightedRevAge06)-SUMIF(ThresholdAge06,"&lt;"&amp;S9,WeightedMinAge06),MAX(CapacityAge06*АбонементНовых*S9,MeanMinAge06)))</f>
        <v/>
      </c>
      <c r="T79" s="4">
        <f>IF(OR(('03_Сеть'!T27-T25)=0,6&lt;=КаникулыРоялти),0,('03_Сеть'!T27-T25)*IF(РоялтиПоГруппам="Да",MeanMinAge06+T9*SUMIF(ThresholdAge06,"&lt;"&amp;T9,WeightedRevAge06)-SUMIF(ThresholdAge06,"&lt;"&amp;T9,WeightedMinAge06),MAX(CapacityAge06*АбонементНовых*T9,MeanMinAge06)))</f>
        <v/>
      </c>
      <c r="U79" s="4">
        <f>IF(OR(('03_Сеть'!U27-U25)=0,6&lt;=КаникулыРоялти),0,('03_Сеть'!U27-U25)*IF(РоялтиПоГруппам="Да",MeanMinAge06+U9*SUMIF(ThresholdAge06,"&lt;"&amp;U9,WeightedRevAge06)-SUMIF(ThresholdAge06,"&lt;"&amp;U9,WeightedMinAge06),MAX(CapacityAge06*АбонементНовых*U9,MeanMinAge06)))</f>
        <v/>
      </c>
      <c r="V79" s="4">
        <f>IF(OR(('03_Сеть'!V27-V25)=0,6&lt;=КаникулыРоялти),0,('03_Сеть'!V27-V25)*IF(РоялтиПоГруппам="Да",MeanMinAge06+V9*SUMIF(ThresholdAge06,"&lt;"&amp;V9,WeightedRevAge06)-SUMIF(ThresholdAge06,"&lt;"&amp;V9,WeightedMinAge06),MAX(CapacityAge06*АбонементНовых*V9,MeanMinAge06)))</f>
        <v/>
      </c>
      <c r="W79" s="4">
        <f>IF(OR(('03_Сеть'!W27-W25)=0,6&lt;=КаникулыРоялти),0,('03_Сеть'!W27-W25)*IF(РоялтиПоГруппам="Да",MeanMinAge06+W9*SUMIF(ThresholdAge06,"&lt;"&amp;W9,WeightedRevAge06)-SUMIF(ThresholdAge06,"&lt;"&amp;W9,WeightedMinAge06),MAX(CapacityAge06*АбонементНовых*W9,MeanMinAge06)))</f>
        <v/>
      </c>
      <c r="X79" s="4">
        <f>IF(OR(('03_Сеть'!X27-X25)=0,6&lt;=КаникулыРоялти),0,('03_Сеть'!X27-X25)*IF(РоялтиПоГруппам="Да",MeanMinAge06+X9*SUMIF(ThresholdAge06,"&lt;"&amp;X9,WeightedRevAge06)-SUMIF(ThresholdAge06,"&lt;"&amp;X9,WeightedMinAge06),MAX(CapacityAge06*АбонементНовых*X9,MeanMinAge06)))</f>
        <v/>
      </c>
      <c r="Y79" s="4">
        <f>IF(OR(('03_Сеть'!Y27-Y25)=0,6&lt;=КаникулыРоялти),0,('03_Сеть'!Y27-Y25)*IF(РоялтиПоГруппам="Да",MeanMinAge06+Y9*SUMIF(ThresholdAge06,"&lt;"&amp;Y9,WeightedRevAge06)-SUMIF(ThresholdAge06,"&lt;"&amp;Y9,WeightedMinAge06),MAX(CapacityAge06*АбонементНовых*Y9,MeanMinAge06)))</f>
        <v/>
      </c>
      <c r="Z79" s="4">
        <f>IF(OR(('03_Сеть'!Z27-Z25)=0,6&lt;=КаникулыРоялти),0,('03_Сеть'!Z27-Z25)*IF(РоялтиПоГруппам="Да",MeanMinAge06+Z9*SUMIF(ThresholdAge06,"&lt;"&amp;Z9,WeightedRevAge06)-SUMIF(ThresholdAge06,"&lt;"&amp;Z9,WeightedMinAge06),MAX(CapacityAge06*АбонементНовых*Z9,MeanMinAge06)))</f>
        <v/>
      </c>
      <c r="AA79" s="4">
        <f>IF(OR(('03_Сеть'!AA27-AA25)=0,6&lt;=КаникулыРоялти),0,('03_Сеть'!AA27-AA25)*IF(РоялтиПоГруппам="Да",MeanMinAge06+AA9*SUMIF(ThresholdAge06,"&lt;"&amp;AA9,WeightedRevAge06)-SUMIF(ThresholdAge06,"&lt;"&amp;AA9,WeightedMinAge06),MAX(CapacityAge06*АбонементНовых*AA9,MeanMinAge06)))</f>
        <v/>
      </c>
      <c r="AB79" s="4">
        <f>IF(OR(('03_Сеть'!AB27-AB25)=0,6&lt;=КаникулыРоялти),0,('03_Сеть'!AB27-AB25)*IF(РоялтиПоГруппам="Да",MeanMinAge06+AB9*SUMIF(ThresholdAge06,"&lt;"&amp;AB9,WeightedRevAge06)-SUMIF(ThresholdAge06,"&lt;"&amp;AB9,WeightedMinAge06),MAX(CapacityAge06*АбонементНовых*AB9,MeanMinAge06)))</f>
        <v/>
      </c>
      <c r="AC79" s="4">
        <f>IF(OR(('03_Сеть'!AC27-AC25)=0,6&lt;=КаникулыРоялти),0,('03_Сеть'!AC27-AC25)*IF(РоялтиПоГруппам="Да",MeanMinAge06+AC9*SUMIF(ThresholdAge06,"&lt;"&amp;AC9,WeightedRevAge06)-SUMIF(ThresholdAge06,"&lt;"&amp;AC9,WeightedMinAge06),MAX(CapacityAge06*АбонементНовых*AC9,MeanMinAge06)))</f>
        <v/>
      </c>
      <c r="AD79" s="4">
        <f>IF(OR(('03_Сеть'!AD27-AD25)=0,6&lt;=КаникулыРоялти),0,('03_Сеть'!AD27-AD25)*IF(РоялтиПоГруппам="Да",MeanMinAge06+AD9*SUMIF(ThresholdAge06,"&lt;"&amp;AD9,WeightedRevAge06)-SUMIF(ThresholdAge06,"&lt;"&amp;AD9,WeightedMinAge06),MAX(CapacityAge06*АбонементНовых*AD9,MeanMinAge06)))</f>
        <v/>
      </c>
      <c r="AE79" s="4">
        <f>IF(OR(('03_Сеть'!AE27-AE25)=0,6&lt;=КаникулыРоялти),0,('03_Сеть'!AE27-AE25)*IF(РоялтиПоГруппам="Да",MeanMinAge06+AE9*SUMIF(ThresholdAge06,"&lt;"&amp;AE9,WeightedRevAge06)-SUMIF(ThresholdAge06,"&lt;"&amp;AE9,WeightedMinAge06),MAX(CapacityAge06*АбонементНовых*AE9,MeanMinAge06)))</f>
        <v/>
      </c>
      <c r="AF79" s="4">
        <f>IF(OR(('03_Сеть'!AF27-AF25)=0,6&lt;=КаникулыРоялти),0,('03_Сеть'!AF27-AF25)*IF(РоялтиПоГруппам="Да",MeanMinAge06+AF9*SUMIF(ThresholdAge06,"&lt;"&amp;AF9,WeightedRevAge06)-SUMIF(ThresholdAge06,"&lt;"&amp;AF9,WeightedMinAge06),MAX(CapacityAge06*АбонементНовых*AF9,MeanMinAge06)))</f>
        <v/>
      </c>
      <c r="AG79" s="4">
        <f>IF(OR(('03_Сеть'!AG27-AG25)=0,6&lt;=КаникулыРоялти),0,('03_Сеть'!AG27-AG25)*IF(РоялтиПоГруппам="Да",MeanMinAge06+AG9*SUMIF(ThresholdAge06,"&lt;"&amp;AG9,WeightedRevAge06)-SUMIF(ThresholdAge06,"&lt;"&amp;AG9,WeightedMinAge06),MAX(CapacityAge06*АбонементНовых*AG9,MeanMinAge06)))</f>
        <v/>
      </c>
      <c r="AH79" s="4">
        <f>IF(OR(('03_Сеть'!AH27-AH25)=0,6&lt;=КаникулыРоялти),0,('03_Сеть'!AH27-AH25)*IF(РоялтиПоГруппам="Да",MeanMinAge06+AH9*SUMIF(ThresholdAge06,"&lt;"&amp;AH9,WeightedRevAge06)-SUMIF(ThresholdAge06,"&lt;"&amp;AH9,WeightedMinAge06),MAX(CapacityAge06*АбонементНовых*AH9,MeanMinAge06)))</f>
        <v/>
      </c>
      <c r="AI79" s="4">
        <f>IF(OR(('03_Сеть'!AI27-AI25)=0,6&lt;=КаникулыРоялти),0,('03_Сеть'!AI27-AI25)*IF(РоялтиПоГруппам="Да",MeanMinAge06+AI9*SUMIF(ThresholdAge06,"&lt;"&amp;AI9,WeightedRevAge06)-SUMIF(ThresholdAge06,"&lt;"&amp;AI9,WeightedMinAge06),MAX(CapacityAge06*АбонементНовых*AI9,MeanMinAge06)))</f>
        <v/>
      </c>
      <c r="AJ79" s="4">
        <f>IF(OR(('03_Сеть'!AJ27-AJ25)=0,6&lt;=КаникулыРоялти),0,('03_Сеть'!AJ27-AJ25)*IF(РоялтиПоГруппам="Да",MeanMinAge06+AJ9*SUMIF(ThresholdAge06,"&lt;"&amp;AJ9,WeightedRevAge06)-SUMIF(ThresholdAge06,"&lt;"&amp;AJ9,WeightedMinAge06),MAX(CapacityAge06*АбонементНовых*AJ9,MeanMinAge06)))</f>
        <v/>
      </c>
      <c r="AK79" s="4">
        <f>IF(OR(('03_Сеть'!AK27-AK25)=0,6&lt;=КаникулыРоялти),0,('03_Сеть'!AK27-AK25)*IF(РоялтиПоГруппам="Да",MeanMinAge06+AK9*SUMIF(ThresholdAge06,"&lt;"&amp;AK9,WeightedRevAge06)-SUMIF(ThresholdAge06,"&lt;"&amp;AK9,WeightedMinAge06),MAX(CapacityAge06*АбонементНовых*AK9,MeanMinAge06)))</f>
        <v/>
      </c>
      <c r="AL79" s="4">
        <f>IF(OR(('03_Сеть'!AL27-AL25)=0,6&lt;=КаникулыРоялти),0,('03_Сеть'!AL27-AL25)*IF(РоялтиПоГруппам="Да",MeanMinAge06+AL9*SUMIF(ThresholdAge06,"&lt;"&amp;AL9,WeightedRevAge06)-SUMIF(ThresholdAge06,"&lt;"&amp;AL9,WeightedMinAge06),MAX(CapacityAge06*АбонементНовых*AL9,MeanMinAge06)))</f>
        <v/>
      </c>
      <c r="AM79" s="4">
        <f>IF(OR(('03_Сеть'!AM27-AM25)=0,6&lt;=КаникулыРоялти),0,('03_Сеть'!AM27-AM25)*IF(РоялтиПоГруппам="Да",MeanMinAge06+AM9*SUMIF(ThresholdAge06,"&lt;"&amp;AM9,WeightedRevAge06)-SUMIF(ThresholdAge06,"&lt;"&amp;AM9,WeightedMinAge06),MAX(CapacityAge06*АбонементНовых*AM9,MeanMinAge06)))</f>
        <v/>
      </c>
      <c r="AN79" s="4">
        <f>IF(OR(('03_Сеть'!AN27-AN25)=0,6&lt;=КаникулыРоялти),0,('03_Сеть'!AN27-AN25)*IF(РоялтиПоГруппам="Да",MeanMinAge06+AN9*SUMIF(ThresholdAge06,"&lt;"&amp;AN9,WeightedRevAge06)-SUMIF(ThresholdAge06,"&lt;"&amp;AN9,WeightedMinAge06),MAX(CapacityAge06*АбонементНовых*AN9,MeanMinAge06)))</f>
        <v/>
      </c>
      <c r="AO79" s="4">
        <f>IF(OR(('03_Сеть'!AO27-AO25)=0,6&lt;=КаникулыРоялти),0,('03_Сеть'!AO27-AO25)*IF(РоялтиПоГруппам="Да",MeanMinAge06+AO9*SUMIF(ThresholdAge06,"&lt;"&amp;AO9,WeightedRevAge06)-SUMIF(ThresholdAge06,"&lt;"&amp;AO9,WeightedMinAge06),MAX(CapacityAge06*АбонементНовых*AO9,MeanMinAge06)))</f>
        <v/>
      </c>
      <c r="AP79" s="4">
        <f>IF(OR(('03_Сеть'!AP27-AP25)=0,6&lt;=КаникулыРоялти),0,('03_Сеть'!AP27-AP25)*IF(РоялтиПоГруппам="Да",MeanMinAge06+AP9*SUMIF(ThresholdAge06,"&lt;"&amp;AP9,WeightedRevAge06)-SUMIF(ThresholdAge06,"&lt;"&amp;AP9,WeightedMinAge06),MAX(CapacityAge06*АбонементНовых*AP9,MeanMinAge06)))</f>
        <v/>
      </c>
      <c r="AQ79" s="4">
        <f>IF(OR(('03_Сеть'!AQ27-AQ25)=0,6&lt;=КаникулыРоялти),0,('03_Сеть'!AQ27-AQ25)*IF(РоялтиПоГруппам="Да",MeanMinAge06+AQ9*SUMIF(ThresholdAge06,"&lt;"&amp;AQ9,WeightedRevAge06)-SUMIF(ThresholdAge06,"&lt;"&amp;AQ9,WeightedMinAge06),MAX(CapacityAge06*АбонементНовых*AQ9,MeanMinAge06)))</f>
        <v/>
      </c>
      <c r="AR79" s="4">
        <f>IF(OR(('03_Сеть'!AR27-AR25)=0,6&lt;=КаникулыРоялти),0,('03_Сеть'!AR27-AR25)*IF(РоялтиПоГруппам="Да",MeanMinAge06+AR9*SUMIF(ThresholdAge06,"&lt;"&amp;AR9,WeightedRevAge06)-SUMIF(ThresholdAge06,"&lt;"&amp;AR9,WeightedMinAge06),MAX(CapacityAge06*АбонементНовых*AR9,MeanMinAge06)))</f>
        <v/>
      </c>
      <c r="AS79" s="4">
        <f>IF(OR(('03_Сеть'!AS27-AS25)=0,6&lt;=КаникулыРоялти),0,('03_Сеть'!AS27-AS25)*IF(РоялтиПоГруппам="Да",MeanMinAge06+AS9*SUMIF(ThresholdAge06,"&lt;"&amp;AS9,WeightedRevAge06)-SUMIF(ThresholdAge06,"&lt;"&amp;AS9,WeightedMinAge06),MAX(CapacityAge06*АбонементНовых*AS9,MeanMinAge06)))</f>
        <v/>
      </c>
      <c r="AT79" s="4">
        <f>IF(OR(('03_Сеть'!AT27-AT25)=0,6&lt;=КаникулыРоялти),0,('03_Сеть'!AT27-AT25)*IF(РоялтиПоГруппам="Да",MeanMinAge06+AT9*SUMIF(ThresholdAge06,"&lt;"&amp;AT9,WeightedRevAge06)-SUMIF(ThresholdAge06,"&lt;"&amp;AT9,WeightedMinAge06),MAX(CapacityAge06*АбонементНовых*AT9,MeanMinAge06)))</f>
        <v/>
      </c>
      <c r="AU79" s="4">
        <f>IF(OR(('03_Сеть'!AU27-AU25)=0,6&lt;=КаникулыРоялти),0,('03_Сеть'!AU27-AU25)*IF(РоялтиПоГруппам="Да",MeanMinAge06+AU9*SUMIF(ThresholdAge06,"&lt;"&amp;AU9,WeightedRevAge06)-SUMIF(ThresholdAge06,"&lt;"&amp;AU9,WeightedMinAge06),MAX(CapacityAge06*АбонементНовых*AU9,MeanMinAge06)))</f>
        <v/>
      </c>
      <c r="AV79" s="4">
        <f>IF(OR(('03_Сеть'!AV27-AV25)=0,6&lt;=КаникулыРоялти),0,('03_Сеть'!AV27-AV25)*IF(РоялтиПоГруппам="Да",MeanMinAge06+AV9*SUMIF(ThresholdAge06,"&lt;"&amp;AV9,WeightedRevAge06)-SUMIF(ThresholdAge06,"&lt;"&amp;AV9,WeightedMinAge06),MAX(CapacityAge06*АбонементНовых*AV9,MeanMinAge06)))</f>
        <v/>
      </c>
      <c r="AW79" s="4">
        <f>IF(OR(('03_Сеть'!AW27-AW25)=0,6&lt;=КаникулыРоялти),0,('03_Сеть'!AW27-AW25)*IF(РоялтиПоГруппам="Да",MeanMinAge06+AW9*SUMIF(ThresholdAge06,"&lt;"&amp;AW9,WeightedRevAge06)-SUMIF(ThresholdAge06,"&lt;"&amp;AW9,WeightedMinAge06),MAX(CapacityAge06*АбонементНовых*AW9,MeanMinAge06)))</f>
        <v/>
      </c>
      <c r="AX79" s="4">
        <f>IF(OR(('03_Сеть'!AX27-AX25)=0,6&lt;=КаникулыРоялти),0,('03_Сеть'!AX27-AX25)*IF(РоялтиПоГруппам="Да",MeanMinAge06+AX9*SUMIF(ThresholdAge06,"&lt;"&amp;AX9,WeightedRevAge06)-SUMIF(ThresholdAge06,"&lt;"&amp;AX9,WeightedMinAge06),MAX(CapacityAge06*АбонементНовых*AX9,MeanMinAge06)))</f>
        <v/>
      </c>
      <c r="AY79" s="4">
        <f>IF(OR(('03_Сеть'!AY27-AY25)=0,6&lt;=КаникулыРоялти),0,('03_Сеть'!AY27-AY25)*IF(РоялтиПоГруппам="Да",MeanMinAge06+AY9*SUMIF(ThresholdAge06,"&lt;"&amp;AY9,WeightedRevAge06)-SUMIF(ThresholdAge06,"&lt;"&amp;AY9,WeightedMinAge06),MAX(CapacityAge06*АбонементНовых*AY9,MeanMinAge06)))</f>
        <v/>
      </c>
      <c r="AZ79" s="4">
        <f>IF(OR(('03_Сеть'!AZ27-AZ25)=0,6&lt;=КаникулыРоялти),0,('03_Сеть'!AZ27-AZ25)*IF(РоялтиПоГруппам="Да",MeanMinAge06+AZ9*SUMIF(ThresholdAge06,"&lt;"&amp;AZ9,WeightedRevAge06)-SUMIF(ThresholdAge06,"&lt;"&amp;AZ9,WeightedMinAge06),MAX(CapacityAge06*АбонементНовых*AZ9,MeanMinAge06)))</f>
        <v/>
      </c>
      <c r="BA79" s="4">
        <f>IF(OR(('03_Сеть'!BA27-BA25)=0,6&lt;=КаникулыРоялти),0,('03_Сеть'!BA27-BA25)*IF(РоялтиПоГруппам="Да",MeanMinAge06+BA9*SUMIF(ThresholdAge06,"&lt;"&amp;BA9,WeightedRevAge06)-SUMIF(ThresholdAge06,"&lt;"&amp;BA9,WeightedMinAge06),MAX(CapacityAge06*АбонементНовых*BA9,MeanMinAge06)))</f>
        <v/>
      </c>
      <c r="BB79" s="4">
        <f>IF(OR(('03_Сеть'!BB27-BB25)=0,6&lt;=КаникулыРоялти),0,('03_Сеть'!BB27-BB25)*IF(РоялтиПоГруппам="Да",MeanMinAge06+BB9*SUMIF(ThresholdAge06,"&lt;"&amp;BB9,WeightedRevAge06)-SUMIF(ThresholdAge06,"&lt;"&amp;BB9,WeightedMinAge06),MAX(CapacityAge06*АбонементНовых*BB9,MeanMinAge06)))</f>
        <v/>
      </c>
      <c r="BC79" s="4">
        <f>IF(OR(('03_Сеть'!BC27-BC25)=0,6&lt;=КаникулыРоялти),0,('03_Сеть'!BC27-BC25)*IF(РоялтиПоГруппам="Да",MeanMinAge06+BC9*SUMIF(ThresholdAge06,"&lt;"&amp;BC9,WeightedRevAge06)-SUMIF(ThresholdAge06,"&lt;"&amp;BC9,WeightedMinAge06),MAX(CapacityAge06*АбонементНовых*BC9,MeanMinAge06)))</f>
        <v/>
      </c>
      <c r="BD79" s="4">
        <f>IF(OR(('03_Сеть'!BD27-BD25)=0,6&lt;=КаникулыРоялти),0,('03_Сеть'!BD27-BD25)*IF(РоялтиПоГруппам="Да",MeanMinAge06+BD9*SUMIF(ThresholdAge06,"&lt;"&amp;BD9,WeightedRevAge06)-SUMIF(ThresholdAge06,"&lt;"&amp;BD9,WeightedMinAge06),MAX(CapacityAge06*АбонементНовых*BD9,MeanMinAge06)))</f>
        <v/>
      </c>
      <c r="BE79" s="4">
        <f>IF(OR(('03_Сеть'!BE27-BE25)=0,6&lt;=КаникулыРоялти),0,('03_Сеть'!BE27-BE25)*IF(РоялтиПоГруппам="Да",MeanMinAge06+BE9*SUMIF(ThresholdAge06,"&lt;"&amp;BE9,WeightedRevAge06)-SUMIF(ThresholdAge06,"&lt;"&amp;BE9,WeightedMinAge06),MAX(CapacityAge06*АбонементНовых*BE9,MeanMinAge06)))</f>
        <v/>
      </c>
      <c r="BF79" s="4">
        <f>IF(OR(('03_Сеть'!BF27-BF25)=0,6&lt;=КаникулыРоялти),0,('03_Сеть'!BF27-BF25)*IF(РоялтиПоГруппам="Да",MeanMinAge06+BF9*SUMIF(ThresholdAge06,"&lt;"&amp;BF9,WeightedRevAge06)-SUMIF(ThresholdAge06,"&lt;"&amp;BF9,WeightedMinAge06),MAX(CapacityAge06*АбонементНовых*BF9,MeanMinAge06)))</f>
        <v/>
      </c>
      <c r="BG79" s="4">
        <f>IF(OR(('03_Сеть'!BG27-BG25)=0,6&lt;=КаникулыРоялти),0,('03_Сеть'!BG27-BG25)*IF(РоялтиПоГруппам="Да",MeanMinAge06+BG9*SUMIF(ThresholdAge06,"&lt;"&amp;BG9,WeightedRevAge06)-SUMIF(ThresholdAge06,"&lt;"&amp;BG9,WeightedMinAge06),MAX(CapacityAge06*АбонементНовых*BG9,MeanMinAge06)))</f>
        <v/>
      </c>
      <c r="BH79" s="4">
        <f>IF(OR(('03_Сеть'!BH27-BH25)=0,6&lt;=КаникулыРоялти),0,('03_Сеть'!BH27-BH25)*IF(РоялтиПоГруппам="Да",MeanMinAge06+BH9*SUMIF(ThresholdAge06,"&lt;"&amp;BH9,WeightedRevAge06)-SUMIF(ThresholdAge06,"&lt;"&amp;BH9,WeightedMinAge06),MAX(CapacityAge06*АбонементНовых*BH9,MeanMinAge06)))</f>
        <v/>
      </c>
      <c r="BI79" s="4">
        <f>IF(OR(('03_Сеть'!BI27-BI25)=0,6&lt;=КаникулыРоялти),0,('03_Сеть'!BI27-BI25)*IF(РоялтиПоГруппам="Да",MeanMinAge06+BI9*SUMIF(ThresholdAge06,"&lt;"&amp;BI9,WeightedRevAge06)-SUMIF(ThresholdAge06,"&lt;"&amp;BI9,WeightedMinAge06),MAX(CapacityAge06*АбонементНовых*BI9,MeanMinAge06)))</f>
        <v/>
      </c>
      <c r="BJ79" s="4">
        <f>IF(OR(('03_Сеть'!BJ27-BJ25)=0,6&lt;=КаникулыРоялти),0,('03_Сеть'!BJ27-BJ25)*IF(РоялтиПоГруппам="Да",MeanMinAge06+BJ9*SUMIF(ThresholdAge06,"&lt;"&amp;BJ9,WeightedRevAge06)-SUMIF(ThresholdAge06,"&lt;"&amp;BJ9,WeightedMinAge06),MAX(CapacityAge06*АбонементНовых*BJ9,MeanMinAge06)))</f>
        <v/>
      </c>
      <c r="BK79" s="4">
        <f>IF(OR(('03_Сеть'!BK27-BK25)=0,6&lt;=КаникулыРоялти),0,('03_Сеть'!BK27-BK25)*IF(РоялтиПоГруппам="Да",MeanMinAge06+BK9*SUMIF(ThresholdAge06,"&lt;"&amp;BK9,WeightedRevAge06)-SUMIF(ThresholdAge06,"&lt;"&amp;BK9,WeightedMinAge06),MAX(CapacityAge06*АбонементНовых*BK9,MeanMinAge06)))</f>
        <v/>
      </c>
      <c r="BL79" s="4">
        <f>IF(OR(('03_Сеть'!BL27-BL25)=0,6&lt;=КаникулыРоялти),0,('03_Сеть'!BL27-BL25)*IF(РоялтиПоГруппам="Да",MeanMinAge06+BL9*SUMIF(ThresholdAge06,"&lt;"&amp;BL9,WeightedRevAge06)-SUMIF(ThresholdAge06,"&lt;"&amp;BL9,WeightedMinAge06),MAX(CapacityAge06*АбонементНовых*BL9,MeanMinAge06)))</f>
        <v/>
      </c>
      <c r="BM79" s="4">
        <f>IF(OR(('03_Сеть'!BM27-BM25)=0,6&lt;=КаникулыРоялти),0,('03_Сеть'!BM27-BM25)*IF(РоялтиПоГруппам="Да",MeanMinAge06+BM9*SUMIF(ThresholdAge06,"&lt;"&amp;BM9,WeightedRevAge06)-SUMIF(ThresholdAge06,"&lt;"&amp;BM9,WeightedMinAge06),MAX(CapacityAge06*АбонементНовых*BM9,MeanMinAge06)))</f>
        <v/>
      </c>
      <c r="BN79" s="4">
        <f>IF(OR(('03_Сеть'!BN27-BN25)=0,6&lt;=КаникулыРоялти),0,('03_Сеть'!BN27-BN25)*IF(РоялтиПоГруппам="Да",MeanMinAge06+BN9*SUMIF(ThresholdAge06,"&lt;"&amp;BN9,WeightedRevAge06)-SUMIF(ThresholdAge06,"&lt;"&amp;BN9,WeightedMinAge06),MAX(CapacityAge06*АбонементНовых*BN9,MeanMinAge06)))</f>
        <v/>
      </c>
      <c r="BO79" s="4">
        <f>IF(OR(('03_Сеть'!BO27-BO25)=0,6&lt;=КаникулыРоялти),0,('03_Сеть'!BO27-BO25)*IF(РоялтиПоГруппам="Да",MeanMinAge06+BO9*SUMIF(ThresholdAge06,"&lt;"&amp;BO9,WeightedRevAge06)-SUMIF(ThresholdAge06,"&lt;"&amp;BO9,WeightedMinAge06),MAX(CapacityAge06*АбонементНовых*BO9,MeanMinAge06)))</f>
        <v/>
      </c>
      <c r="BP79" s="4">
        <f>IF(OR(('03_Сеть'!BP27-BP25)=0,6&lt;=КаникулыРоялти),0,('03_Сеть'!BP27-BP25)*IF(РоялтиПоГруппам="Да",MeanMinAge06+BP9*SUMIF(ThresholdAge06,"&lt;"&amp;BP9,WeightedRevAge06)-SUMIF(ThresholdAge06,"&lt;"&amp;BP9,WeightedMinAge06),MAX(CapacityAge06*АбонементНовых*BP9,MeanMinAge06)))</f>
        <v/>
      </c>
      <c r="BQ79" s="4">
        <f>IF(OR(('03_Сеть'!BQ27-BQ25)=0,6&lt;=КаникулыРоялти),0,('03_Сеть'!BQ27-BQ25)*IF(РоялтиПоГруппам="Да",MeanMinAge06+BQ9*SUMIF(ThresholdAge06,"&lt;"&amp;BQ9,WeightedRevAge06)-SUMIF(ThresholdAge06,"&lt;"&amp;BQ9,WeightedMinAge06),MAX(CapacityAge06*АбонементНовых*BQ9,MeanMinAge06)))</f>
        <v/>
      </c>
      <c r="BR79" s="4">
        <f>IF(OR(('03_Сеть'!BR27-BR25)=0,6&lt;=КаникулыРоялти),0,('03_Сеть'!BR27-BR25)*IF(РоялтиПоГруппам="Да",MeanMinAge06+BR9*SUMIF(ThresholdAge06,"&lt;"&amp;BR9,WeightedRevAge06)-SUMIF(ThresholdAge06,"&lt;"&amp;BR9,WeightedMinAge06),MAX(CapacityAge06*АбонементНовых*BR9,MeanMinAge06)))</f>
        <v/>
      </c>
      <c r="BS79" s="4">
        <f>IF(OR(('03_Сеть'!BS27-BS25)=0,6&lt;=КаникулыРоялти),0,('03_Сеть'!BS27-BS25)*IF(РоялтиПоГруппам="Да",MeanMinAge06+BS9*SUMIF(ThresholdAge06,"&lt;"&amp;BS9,WeightedRevAge06)-SUMIF(ThresholdAge06,"&lt;"&amp;BS9,WeightedMinAge06),MAX(CapacityAge06*АбонементНовых*BS9,MeanMinAge06)))</f>
        <v/>
      </c>
      <c r="BT79" s="4">
        <f>IF(OR(('03_Сеть'!BT27-BT25)=0,6&lt;=КаникулыРоялти),0,('03_Сеть'!BT27-BT25)*IF(РоялтиПоГруппам="Да",MeanMinAge06+BT9*SUMIF(ThresholdAge06,"&lt;"&amp;BT9,WeightedRevAge06)-SUMIF(ThresholdAge06,"&lt;"&amp;BT9,WeightedMinAge06),MAX(CapacityAge06*АбонементНовых*BT9,MeanMinAge06)))</f>
        <v/>
      </c>
      <c r="BU79" s="4">
        <f>IF(OR(('03_Сеть'!BU27-BU25)=0,6&lt;=КаникулыРоялти),0,('03_Сеть'!BU27-BU25)*IF(РоялтиПоГруппам="Да",MeanMinAge06+BU9*SUMIF(ThresholdAge06,"&lt;"&amp;BU9,WeightedRevAge06)-SUMIF(ThresholdAge06,"&lt;"&amp;BU9,WeightedMinAge06),MAX(CapacityAge06*АбонементНовых*BU9,MeanMinAge06)))</f>
        <v/>
      </c>
      <c r="BV79" s="4">
        <f>IF(OR(('03_Сеть'!BV27-BV25)=0,6&lt;=КаникулыРоялти),0,('03_Сеть'!BV27-BV25)*IF(РоялтиПоГруппам="Да",MeanMinAge06+BV9*SUMIF(ThresholdAge06,"&lt;"&amp;BV9,WeightedRevAge06)-SUMIF(ThresholdAge06,"&lt;"&amp;BV9,WeightedMinAge06),MAX(CapacityAge06*АбонементНовых*BV9,MeanMinAge06)))</f>
        <v/>
      </c>
      <c r="BW79" s="4">
        <f>IF(OR(('03_Сеть'!BW27-BW25)=0,6&lt;=КаникулыРоялти),0,('03_Сеть'!BW27-BW25)*IF(РоялтиПоГруппам="Да",MeanMinAge06+BW9*SUMIF(ThresholdAge06,"&lt;"&amp;BW9,WeightedRevAge06)-SUMIF(ThresholdAge06,"&lt;"&amp;BW9,WeightedMinAge06),MAX(CapacityAge06*АбонементНовых*BW9,MeanMinAge06)))</f>
        <v/>
      </c>
      <c r="BX79" s="4">
        <f>IF(OR(('03_Сеть'!BX27-BX25)=0,6&lt;=КаникулыРоялти),0,('03_Сеть'!BX27-BX25)*IF(РоялтиПоГруппам="Да",MeanMinAge06+BX9*SUMIF(ThresholdAge06,"&lt;"&amp;BX9,WeightedRevAge06)-SUMIF(ThresholdAge06,"&lt;"&amp;BX9,WeightedMinAge06),MAX(CapacityAge06*АбонементНовых*BX9,MeanMinAge06)))</f>
        <v/>
      </c>
      <c r="BY79" s="4">
        <f>IF(OR(('03_Сеть'!BY27-BY25)=0,6&lt;=КаникулыРоялти),0,('03_Сеть'!BY27-BY25)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80">
      <c r="B80" t="inlineStr">
        <is>
          <t>7 мес.</t>
        </is>
      </c>
      <c r="C80" t="inlineStr">
        <is>
          <t>₽</t>
        </is>
      </c>
      <c r="D80" s="117" t="inlineStr"/>
      <c r="E80" s="119">
        <f>SUM(L80:W80)</f>
        <v/>
      </c>
      <c r="F80" s="119">
        <f>SUM(X80:AI80)</f>
        <v/>
      </c>
      <c r="G80" s="119">
        <f>SUM(AJ80:AU80)</f>
        <v/>
      </c>
      <c r="H80" s="119">
        <f>SUM(AV80:BG80)</f>
        <v/>
      </c>
      <c r="I80" s="119">
        <f>SUM(BH80:BS80)</f>
        <v/>
      </c>
      <c r="J80" s="5">
        <f>SUM(L80:BS80)</f>
        <v/>
      </c>
      <c r="L80" s="4">
        <f>IF(OR(('03_Сеть'!L28-L26)=0,7&lt;=КаникулыРоялти),0,('03_Сеть'!L28-L26)*IF(РоялтиПоГруппам="Да",MeanMinAge07+L9*SUMIF(ThresholdAge07,"&lt;"&amp;L9,WeightedRevAge07)-SUMIF(ThresholdAge07,"&lt;"&amp;L9,WeightedMinAge07),MAX(CapacityAge07*АбонементНовых*L9,MeanMinAge07)))</f>
        <v/>
      </c>
      <c r="M80" s="4">
        <f>IF(OR(('03_Сеть'!M28-M26)=0,7&lt;=КаникулыРоялти),0,('03_Сеть'!M28-M26)*IF(РоялтиПоГруппам="Да",MeanMinAge07+M9*SUMIF(ThresholdAge07,"&lt;"&amp;M9,WeightedRevAge07)-SUMIF(ThresholdAge07,"&lt;"&amp;M9,WeightedMinAge07),MAX(CapacityAge07*АбонементНовых*M9,MeanMinAge07)))</f>
        <v/>
      </c>
      <c r="N80" s="4">
        <f>IF(OR(('03_Сеть'!N28-N26)=0,7&lt;=КаникулыРоялти),0,('03_Сеть'!N28-N26)*IF(РоялтиПоГруппам="Да",MeanMinAge07+N9*SUMIF(ThresholdAge07,"&lt;"&amp;N9,WeightedRevAge07)-SUMIF(ThresholdAge07,"&lt;"&amp;N9,WeightedMinAge07),MAX(CapacityAge07*АбонементНовых*N9,MeanMinAge07)))</f>
        <v/>
      </c>
      <c r="O80" s="4">
        <f>IF(OR(('03_Сеть'!O28-O26)=0,7&lt;=КаникулыРоялти),0,('03_Сеть'!O28-O26)*IF(РоялтиПоГруппам="Да",MeanMinAge07+O9*SUMIF(ThresholdAge07,"&lt;"&amp;O9,WeightedRevAge07)-SUMIF(ThresholdAge07,"&lt;"&amp;O9,WeightedMinAge07),MAX(CapacityAge07*АбонементНовых*O9,MeanMinAge07)))</f>
        <v/>
      </c>
      <c r="P80" s="4">
        <f>IF(OR(('03_Сеть'!P28-P26)=0,7&lt;=КаникулыРоялти),0,('03_Сеть'!P28-P26)*IF(РоялтиПоГруппам="Да",MeanMinAge07+P9*SUMIF(ThresholdAge07,"&lt;"&amp;P9,WeightedRevAge07)-SUMIF(ThresholdAge07,"&lt;"&amp;P9,WeightedMinAge07),MAX(CapacityAge07*АбонементНовых*P9,MeanMinAge07)))</f>
        <v/>
      </c>
      <c r="Q80" s="4">
        <f>IF(OR(('03_Сеть'!Q28-Q26)=0,7&lt;=КаникулыРоялти),0,('03_Сеть'!Q28-Q26)*IF(РоялтиПоГруппам="Да",MeanMinAge07+Q9*SUMIF(ThresholdAge07,"&lt;"&amp;Q9,WeightedRevAge07)-SUMIF(ThresholdAge07,"&lt;"&amp;Q9,WeightedMinAge07),MAX(CapacityAge07*АбонементНовых*Q9,MeanMinAge07)))</f>
        <v/>
      </c>
      <c r="R80" s="4">
        <f>IF(OR(('03_Сеть'!R28-R26)=0,7&lt;=КаникулыРоялти),0,('03_Сеть'!R28-R26)*IF(РоялтиПоГруппам="Да",MeanMinAge07+R9*SUMIF(ThresholdAge07,"&lt;"&amp;R9,WeightedRevAge07)-SUMIF(ThresholdAge07,"&lt;"&amp;R9,WeightedMinAge07),MAX(CapacityAge07*АбонементНовых*R9,MeanMinAge07)))</f>
        <v/>
      </c>
      <c r="S80" s="4">
        <f>IF(OR(('03_Сеть'!S28-S26)=0,7&lt;=КаникулыРоялти),0,('03_Сеть'!S28-S26)*IF(РоялтиПоГруппам="Да",MeanMinAge07+S9*SUMIF(ThresholdAge07,"&lt;"&amp;S9,WeightedRevAge07)-SUMIF(ThresholdAge07,"&lt;"&amp;S9,WeightedMinAge07),MAX(CapacityAge07*АбонементНовых*S9,MeanMinAge07)))</f>
        <v/>
      </c>
      <c r="T80" s="4">
        <f>IF(OR(('03_Сеть'!T28-T26)=0,7&lt;=КаникулыРоялти),0,('03_Сеть'!T28-T26)*IF(РоялтиПоГруппам="Да",MeanMinAge07+T9*SUMIF(ThresholdAge07,"&lt;"&amp;T9,WeightedRevAge07)-SUMIF(ThresholdAge07,"&lt;"&amp;T9,WeightedMinAge07),MAX(CapacityAge07*АбонементНовых*T9,MeanMinAge07)))</f>
        <v/>
      </c>
      <c r="U80" s="4">
        <f>IF(OR(('03_Сеть'!U28-U26)=0,7&lt;=КаникулыРоялти),0,('03_Сеть'!U28-U26)*IF(РоялтиПоГруппам="Да",MeanMinAge07+U9*SUMIF(ThresholdAge07,"&lt;"&amp;U9,WeightedRevAge07)-SUMIF(ThresholdAge07,"&lt;"&amp;U9,WeightedMinAge07),MAX(CapacityAge07*АбонементНовых*U9,MeanMinAge07)))</f>
        <v/>
      </c>
      <c r="V80" s="4">
        <f>IF(OR(('03_Сеть'!V28-V26)=0,7&lt;=КаникулыРоялти),0,('03_Сеть'!V28-V26)*IF(РоялтиПоГруппам="Да",MeanMinAge07+V9*SUMIF(ThresholdAge07,"&lt;"&amp;V9,WeightedRevAge07)-SUMIF(ThresholdAge07,"&lt;"&amp;V9,WeightedMinAge07),MAX(CapacityAge07*АбонементНовых*V9,MeanMinAge07)))</f>
        <v/>
      </c>
      <c r="W80" s="4">
        <f>IF(OR(('03_Сеть'!W28-W26)=0,7&lt;=КаникулыРоялти),0,('03_Сеть'!W28-W26)*IF(РоялтиПоГруппам="Да",MeanMinAge07+W9*SUMIF(ThresholdAge07,"&lt;"&amp;W9,WeightedRevAge07)-SUMIF(ThresholdAge07,"&lt;"&amp;W9,WeightedMinAge07),MAX(CapacityAge07*АбонементНовых*W9,MeanMinAge07)))</f>
        <v/>
      </c>
      <c r="X80" s="4">
        <f>IF(OR(('03_Сеть'!X28-X26)=0,7&lt;=КаникулыРоялти),0,('03_Сеть'!X28-X26)*IF(РоялтиПоГруппам="Да",MeanMinAge07+X9*SUMIF(ThresholdAge07,"&lt;"&amp;X9,WeightedRevAge07)-SUMIF(ThresholdAge07,"&lt;"&amp;X9,WeightedMinAge07),MAX(CapacityAge07*АбонементНовых*X9,MeanMinAge07)))</f>
        <v/>
      </c>
      <c r="Y80" s="4">
        <f>IF(OR(('03_Сеть'!Y28-Y26)=0,7&lt;=КаникулыРоялти),0,('03_Сеть'!Y28-Y26)*IF(РоялтиПоГруппам="Да",MeanMinAge07+Y9*SUMIF(ThresholdAge07,"&lt;"&amp;Y9,WeightedRevAge07)-SUMIF(ThresholdAge07,"&lt;"&amp;Y9,WeightedMinAge07),MAX(CapacityAge07*АбонементНовых*Y9,MeanMinAge07)))</f>
        <v/>
      </c>
      <c r="Z80" s="4">
        <f>IF(OR(('03_Сеть'!Z28-Z26)=0,7&lt;=КаникулыРоялти),0,('03_Сеть'!Z28-Z26)*IF(РоялтиПоГруппам="Да",MeanMinAge07+Z9*SUMIF(ThresholdAge07,"&lt;"&amp;Z9,WeightedRevAge07)-SUMIF(ThresholdAge07,"&lt;"&amp;Z9,WeightedMinAge07),MAX(CapacityAge07*АбонементНовых*Z9,MeanMinAge07)))</f>
        <v/>
      </c>
      <c r="AA80" s="4">
        <f>IF(OR(('03_Сеть'!AA28-AA26)=0,7&lt;=КаникулыРоялти),0,('03_Сеть'!AA28-AA26)*IF(РоялтиПоГруппам="Да",MeanMinAge07+AA9*SUMIF(ThresholdAge07,"&lt;"&amp;AA9,WeightedRevAge07)-SUMIF(ThresholdAge07,"&lt;"&amp;AA9,WeightedMinAge07),MAX(CapacityAge07*АбонементНовых*AA9,MeanMinAge07)))</f>
        <v/>
      </c>
      <c r="AB80" s="4">
        <f>IF(OR(('03_Сеть'!AB28-AB26)=0,7&lt;=КаникулыРоялти),0,('03_Сеть'!AB28-AB26)*IF(РоялтиПоГруппам="Да",MeanMinAge07+AB9*SUMIF(ThresholdAge07,"&lt;"&amp;AB9,WeightedRevAge07)-SUMIF(ThresholdAge07,"&lt;"&amp;AB9,WeightedMinAge07),MAX(CapacityAge07*АбонементНовых*AB9,MeanMinAge07)))</f>
        <v/>
      </c>
      <c r="AC80" s="4">
        <f>IF(OR(('03_Сеть'!AC28-AC26)=0,7&lt;=КаникулыРоялти),0,('03_Сеть'!AC28-AC26)*IF(РоялтиПоГруппам="Да",MeanMinAge07+AC9*SUMIF(ThresholdAge07,"&lt;"&amp;AC9,WeightedRevAge07)-SUMIF(ThresholdAge07,"&lt;"&amp;AC9,WeightedMinAge07),MAX(CapacityAge07*АбонементНовых*AC9,MeanMinAge07)))</f>
        <v/>
      </c>
      <c r="AD80" s="4">
        <f>IF(OR(('03_Сеть'!AD28-AD26)=0,7&lt;=КаникулыРоялти),0,('03_Сеть'!AD28-AD26)*IF(РоялтиПоГруппам="Да",MeanMinAge07+AD9*SUMIF(ThresholdAge07,"&lt;"&amp;AD9,WeightedRevAge07)-SUMIF(ThresholdAge07,"&lt;"&amp;AD9,WeightedMinAge07),MAX(CapacityAge07*АбонементНовых*AD9,MeanMinAge07)))</f>
        <v/>
      </c>
      <c r="AE80" s="4">
        <f>IF(OR(('03_Сеть'!AE28-AE26)=0,7&lt;=КаникулыРоялти),0,('03_Сеть'!AE28-AE26)*IF(РоялтиПоГруппам="Да",MeanMinAge07+AE9*SUMIF(ThresholdAge07,"&lt;"&amp;AE9,WeightedRevAge07)-SUMIF(ThresholdAge07,"&lt;"&amp;AE9,WeightedMinAge07),MAX(CapacityAge07*АбонементНовых*AE9,MeanMinAge07)))</f>
        <v/>
      </c>
      <c r="AF80" s="4">
        <f>IF(OR(('03_Сеть'!AF28-AF26)=0,7&lt;=КаникулыРоялти),0,('03_Сеть'!AF28-AF26)*IF(РоялтиПоГруппам="Да",MeanMinAge07+AF9*SUMIF(ThresholdAge07,"&lt;"&amp;AF9,WeightedRevAge07)-SUMIF(ThresholdAge07,"&lt;"&amp;AF9,WeightedMinAge07),MAX(CapacityAge07*АбонементНовых*AF9,MeanMinAge07)))</f>
        <v/>
      </c>
      <c r="AG80" s="4">
        <f>IF(OR(('03_Сеть'!AG28-AG26)=0,7&lt;=КаникулыРоялти),0,('03_Сеть'!AG28-AG26)*IF(РоялтиПоГруппам="Да",MeanMinAge07+AG9*SUMIF(ThresholdAge07,"&lt;"&amp;AG9,WeightedRevAge07)-SUMIF(ThresholdAge07,"&lt;"&amp;AG9,WeightedMinAge07),MAX(CapacityAge07*АбонементНовых*AG9,MeanMinAge07)))</f>
        <v/>
      </c>
      <c r="AH80" s="4">
        <f>IF(OR(('03_Сеть'!AH28-AH26)=0,7&lt;=КаникулыРоялти),0,('03_Сеть'!AH28-AH26)*IF(РоялтиПоГруппам="Да",MeanMinAge07+AH9*SUMIF(ThresholdAge07,"&lt;"&amp;AH9,WeightedRevAge07)-SUMIF(ThresholdAge07,"&lt;"&amp;AH9,WeightedMinAge07),MAX(CapacityAge07*АбонементНовых*AH9,MeanMinAge07)))</f>
        <v/>
      </c>
      <c r="AI80" s="4">
        <f>IF(OR(('03_Сеть'!AI28-AI26)=0,7&lt;=КаникулыРоялти),0,('03_Сеть'!AI28-AI26)*IF(РоялтиПоГруппам="Да",MeanMinAge07+AI9*SUMIF(ThresholdAge07,"&lt;"&amp;AI9,WeightedRevAge07)-SUMIF(ThresholdAge07,"&lt;"&amp;AI9,WeightedMinAge07),MAX(CapacityAge07*АбонементНовых*AI9,MeanMinAge07)))</f>
        <v/>
      </c>
      <c r="AJ80" s="4">
        <f>IF(OR(('03_Сеть'!AJ28-AJ26)=0,7&lt;=КаникулыРоялти),0,('03_Сеть'!AJ28-AJ26)*IF(РоялтиПоГруппам="Да",MeanMinAge07+AJ9*SUMIF(ThresholdAge07,"&lt;"&amp;AJ9,WeightedRevAge07)-SUMIF(ThresholdAge07,"&lt;"&amp;AJ9,WeightedMinAge07),MAX(CapacityAge07*АбонементНовых*AJ9,MeanMinAge07)))</f>
        <v/>
      </c>
      <c r="AK80" s="4">
        <f>IF(OR(('03_Сеть'!AK28-AK26)=0,7&lt;=КаникулыРоялти),0,('03_Сеть'!AK28-AK26)*IF(РоялтиПоГруппам="Да",MeanMinAge07+AK9*SUMIF(ThresholdAge07,"&lt;"&amp;AK9,WeightedRevAge07)-SUMIF(ThresholdAge07,"&lt;"&amp;AK9,WeightedMinAge07),MAX(CapacityAge07*АбонементНовых*AK9,MeanMinAge07)))</f>
        <v/>
      </c>
      <c r="AL80" s="4">
        <f>IF(OR(('03_Сеть'!AL28-AL26)=0,7&lt;=КаникулыРоялти),0,('03_Сеть'!AL28-AL26)*IF(РоялтиПоГруппам="Да",MeanMinAge07+AL9*SUMIF(ThresholdAge07,"&lt;"&amp;AL9,WeightedRevAge07)-SUMIF(ThresholdAge07,"&lt;"&amp;AL9,WeightedMinAge07),MAX(CapacityAge07*АбонементНовых*AL9,MeanMinAge07)))</f>
        <v/>
      </c>
      <c r="AM80" s="4">
        <f>IF(OR(('03_Сеть'!AM28-AM26)=0,7&lt;=КаникулыРоялти),0,('03_Сеть'!AM28-AM26)*IF(РоялтиПоГруппам="Да",MeanMinAge07+AM9*SUMIF(ThresholdAge07,"&lt;"&amp;AM9,WeightedRevAge07)-SUMIF(ThresholdAge07,"&lt;"&amp;AM9,WeightedMinAge07),MAX(CapacityAge07*АбонементНовых*AM9,MeanMinAge07)))</f>
        <v/>
      </c>
      <c r="AN80" s="4">
        <f>IF(OR(('03_Сеть'!AN28-AN26)=0,7&lt;=КаникулыРоялти),0,('03_Сеть'!AN28-AN26)*IF(РоялтиПоГруппам="Да",MeanMinAge07+AN9*SUMIF(ThresholdAge07,"&lt;"&amp;AN9,WeightedRevAge07)-SUMIF(ThresholdAge07,"&lt;"&amp;AN9,WeightedMinAge07),MAX(CapacityAge07*АбонементНовых*AN9,MeanMinAge07)))</f>
        <v/>
      </c>
      <c r="AO80" s="4">
        <f>IF(OR(('03_Сеть'!AO28-AO26)=0,7&lt;=КаникулыРоялти),0,('03_Сеть'!AO28-AO26)*IF(РоялтиПоГруппам="Да",MeanMinAge07+AO9*SUMIF(ThresholdAge07,"&lt;"&amp;AO9,WeightedRevAge07)-SUMIF(ThresholdAge07,"&lt;"&amp;AO9,WeightedMinAge07),MAX(CapacityAge07*АбонементНовых*AO9,MeanMinAge07)))</f>
        <v/>
      </c>
      <c r="AP80" s="4">
        <f>IF(OR(('03_Сеть'!AP28-AP26)=0,7&lt;=КаникулыРоялти),0,('03_Сеть'!AP28-AP26)*IF(РоялтиПоГруппам="Да",MeanMinAge07+AP9*SUMIF(ThresholdAge07,"&lt;"&amp;AP9,WeightedRevAge07)-SUMIF(ThresholdAge07,"&lt;"&amp;AP9,WeightedMinAge07),MAX(CapacityAge07*АбонементНовых*AP9,MeanMinAge07)))</f>
        <v/>
      </c>
      <c r="AQ80" s="4">
        <f>IF(OR(('03_Сеть'!AQ28-AQ26)=0,7&lt;=КаникулыРоялти),0,('03_Сеть'!AQ28-AQ26)*IF(РоялтиПоГруппам="Да",MeanMinAge07+AQ9*SUMIF(ThresholdAge07,"&lt;"&amp;AQ9,WeightedRevAge07)-SUMIF(ThresholdAge07,"&lt;"&amp;AQ9,WeightedMinAge07),MAX(CapacityAge07*АбонементНовых*AQ9,MeanMinAge07)))</f>
        <v/>
      </c>
      <c r="AR80" s="4">
        <f>IF(OR(('03_Сеть'!AR28-AR26)=0,7&lt;=КаникулыРоялти),0,('03_Сеть'!AR28-AR26)*IF(РоялтиПоГруппам="Да",MeanMinAge07+AR9*SUMIF(ThresholdAge07,"&lt;"&amp;AR9,WeightedRevAge07)-SUMIF(ThresholdAge07,"&lt;"&amp;AR9,WeightedMinAge07),MAX(CapacityAge07*АбонементНовых*AR9,MeanMinAge07)))</f>
        <v/>
      </c>
      <c r="AS80" s="4">
        <f>IF(OR(('03_Сеть'!AS28-AS26)=0,7&lt;=КаникулыРоялти),0,('03_Сеть'!AS28-AS26)*IF(РоялтиПоГруппам="Да",MeanMinAge07+AS9*SUMIF(ThresholdAge07,"&lt;"&amp;AS9,WeightedRevAge07)-SUMIF(ThresholdAge07,"&lt;"&amp;AS9,WeightedMinAge07),MAX(CapacityAge07*АбонементНовых*AS9,MeanMinAge07)))</f>
        <v/>
      </c>
      <c r="AT80" s="4">
        <f>IF(OR(('03_Сеть'!AT28-AT26)=0,7&lt;=КаникулыРоялти),0,('03_Сеть'!AT28-AT26)*IF(РоялтиПоГруппам="Да",MeanMinAge07+AT9*SUMIF(ThresholdAge07,"&lt;"&amp;AT9,WeightedRevAge07)-SUMIF(ThresholdAge07,"&lt;"&amp;AT9,WeightedMinAge07),MAX(CapacityAge07*АбонементНовых*AT9,MeanMinAge07)))</f>
        <v/>
      </c>
      <c r="AU80" s="4">
        <f>IF(OR(('03_Сеть'!AU28-AU26)=0,7&lt;=КаникулыРоялти),0,('03_Сеть'!AU28-AU26)*IF(РоялтиПоГруппам="Да",MeanMinAge07+AU9*SUMIF(ThresholdAge07,"&lt;"&amp;AU9,WeightedRevAge07)-SUMIF(ThresholdAge07,"&lt;"&amp;AU9,WeightedMinAge07),MAX(CapacityAge07*АбонементНовых*AU9,MeanMinAge07)))</f>
        <v/>
      </c>
      <c r="AV80" s="4">
        <f>IF(OR(('03_Сеть'!AV28-AV26)=0,7&lt;=КаникулыРоялти),0,('03_Сеть'!AV28-AV26)*IF(РоялтиПоГруппам="Да",MeanMinAge07+AV9*SUMIF(ThresholdAge07,"&lt;"&amp;AV9,WeightedRevAge07)-SUMIF(ThresholdAge07,"&lt;"&amp;AV9,WeightedMinAge07),MAX(CapacityAge07*АбонементНовых*AV9,MeanMinAge07)))</f>
        <v/>
      </c>
      <c r="AW80" s="4">
        <f>IF(OR(('03_Сеть'!AW28-AW26)=0,7&lt;=КаникулыРоялти),0,('03_Сеть'!AW28-AW26)*IF(РоялтиПоГруппам="Да",MeanMinAge07+AW9*SUMIF(ThresholdAge07,"&lt;"&amp;AW9,WeightedRevAge07)-SUMIF(ThresholdAge07,"&lt;"&amp;AW9,WeightedMinAge07),MAX(CapacityAge07*АбонементНовых*AW9,MeanMinAge07)))</f>
        <v/>
      </c>
      <c r="AX80" s="4">
        <f>IF(OR(('03_Сеть'!AX28-AX26)=0,7&lt;=КаникулыРоялти),0,('03_Сеть'!AX28-AX26)*IF(РоялтиПоГруппам="Да",MeanMinAge07+AX9*SUMIF(ThresholdAge07,"&lt;"&amp;AX9,WeightedRevAge07)-SUMIF(ThresholdAge07,"&lt;"&amp;AX9,WeightedMinAge07),MAX(CapacityAge07*АбонементНовых*AX9,MeanMinAge07)))</f>
        <v/>
      </c>
      <c r="AY80" s="4">
        <f>IF(OR(('03_Сеть'!AY28-AY26)=0,7&lt;=КаникулыРоялти),0,('03_Сеть'!AY28-AY26)*IF(РоялтиПоГруппам="Да",MeanMinAge07+AY9*SUMIF(ThresholdAge07,"&lt;"&amp;AY9,WeightedRevAge07)-SUMIF(ThresholdAge07,"&lt;"&amp;AY9,WeightedMinAge07),MAX(CapacityAge07*АбонементНовых*AY9,MeanMinAge07)))</f>
        <v/>
      </c>
      <c r="AZ80" s="4">
        <f>IF(OR(('03_Сеть'!AZ28-AZ26)=0,7&lt;=КаникулыРоялти),0,('03_Сеть'!AZ28-AZ26)*IF(РоялтиПоГруппам="Да",MeanMinAge07+AZ9*SUMIF(ThresholdAge07,"&lt;"&amp;AZ9,WeightedRevAge07)-SUMIF(ThresholdAge07,"&lt;"&amp;AZ9,WeightedMinAge07),MAX(CapacityAge07*АбонементНовых*AZ9,MeanMinAge07)))</f>
        <v/>
      </c>
      <c r="BA80" s="4">
        <f>IF(OR(('03_Сеть'!BA28-BA26)=0,7&lt;=КаникулыРоялти),0,('03_Сеть'!BA28-BA26)*IF(РоялтиПоГруппам="Да",MeanMinAge07+BA9*SUMIF(ThresholdAge07,"&lt;"&amp;BA9,WeightedRevAge07)-SUMIF(ThresholdAge07,"&lt;"&amp;BA9,WeightedMinAge07),MAX(CapacityAge07*АбонементНовых*BA9,MeanMinAge07)))</f>
        <v/>
      </c>
      <c r="BB80" s="4">
        <f>IF(OR(('03_Сеть'!BB28-BB26)=0,7&lt;=КаникулыРоялти),0,('03_Сеть'!BB28-BB26)*IF(РоялтиПоГруппам="Да",MeanMinAge07+BB9*SUMIF(ThresholdAge07,"&lt;"&amp;BB9,WeightedRevAge07)-SUMIF(ThresholdAge07,"&lt;"&amp;BB9,WeightedMinAge07),MAX(CapacityAge07*АбонементНовых*BB9,MeanMinAge07)))</f>
        <v/>
      </c>
      <c r="BC80" s="4">
        <f>IF(OR(('03_Сеть'!BC28-BC26)=0,7&lt;=КаникулыРоялти),0,('03_Сеть'!BC28-BC26)*IF(РоялтиПоГруппам="Да",MeanMinAge07+BC9*SUMIF(ThresholdAge07,"&lt;"&amp;BC9,WeightedRevAge07)-SUMIF(ThresholdAge07,"&lt;"&amp;BC9,WeightedMinAge07),MAX(CapacityAge07*АбонементНовых*BC9,MeanMinAge07)))</f>
        <v/>
      </c>
      <c r="BD80" s="4">
        <f>IF(OR(('03_Сеть'!BD28-BD26)=0,7&lt;=КаникулыРоялти),0,('03_Сеть'!BD28-BD26)*IF(РоялтиПоГруппам="Да",MeanMinAge07+BD9*SUMIF(ThresholdAge07,"&lt;"&amp;BD9,WeightedRevAge07)-SUMIF(ThresholdAge07,"&lt;"&amp;BD9,WeightedMinAge07),MAX(CapacityAge07*АбонементНовых*BD9,MeanMinAge07)))</f>
        <v/>
      </c>
      <c r="BE80" s="4">
        <f>IF(OR(('03_Сеть'!BE28-BE26)=0,7&lt;=КаникулыРоялти),0,('03_Сеть'!BE28-BE26)*IF(РоялтиПоГруппам="Да",MeanMinAge07+BE9*SUMIF(ThresholdAge07,"&lt;"&amp;BE9,WeightedRevAge07)-SUMIF(ThresholdAge07,"&lt;"&amp;BE9,WeightedMinAge07),MAX(CapacityAge07*АбонементНовых*BE9,MeanMinAge07)))</f>
        <v/>
      </c>
      <c r="BF80" s="4">
        <f>IF(OR(('03_Сеть'!BF28-BF26)=0,7&lt;=КаникулыРоялти),0,('03_Сеть'!BF28-BF26)*IF(РоялтиПоГруппам="Да",MeanMinAge07+BF9*SUMIF(ThresholdAge07,"&lt;"&amp;BF9,WeightedRevAge07)-SUMIF(ThresholdAge07,"&lt;"&amp;BF9,WeightedMinAge07),MAX(CapacityAge07*АбонементНовых*BF9,MeanMinAge07)))</f>
        <v/>
      </c>
      <c r="BG80" s="4">
        <f>IF(OR(('03_Сеть'!BG28-BG26)=0,7&lt;=КаникулыРоялти),0,('03_Сеть'!BG28-BG26)*IF(РоялтиПоГруппам="Да",MeanMinAge07+BG9*SUMIF(ThresholdAge07,"&lt;"&amp;BG9,WeightedRevAge07)-SUMIF(ThresholdAge07,"&lt;"&amp;BG9,WeightedMinAge07),MAX(CapacityAge07*АбонементНовых*BG9,MeanMinAge07)))</f>
        <v/>
      </c>
      <c r="BH80" s="4">
        <f>IF(OR(('03_Сеть'!BH28-BH26)=0,7&lt;=КаникулыРоялти),0,('03_Сеть'!BH28-BH26)*IF(РоялтиПоГруппам="Да",MeanMinAge07+BH9*SUMIF(ThresholdAge07,"&lt;"&amp;BH9,WeightedRevAge07)-SUMIF(ThresholdAge07,"&lt;"&amp;BH9,WeightedMinAge07),MAX(CapacityAge07*АбонементНовых*BH9,MeanMinAge07)))</f>
        <v/>
      </c>
      <c r="BI80" s="4">
        <f>IF(OR(('03_Сеть'!BI28-BI26)=0,7&lt;=КаникулыРоялти),0,('03_Сеть'!BI28-BI26)*IF(РоялтиПоГруппам="Да",MeanMinAge07+BI9*SUMIF(ThresholdAge07,"&lt;"&amp;BI9,WeightedRevAge07)-SUMIF(ThresholdAge07,"&lt;"&amp;BI9,WeightedMinAge07),MAX(CapacityAge07*АбонементНовых*BI9,MeanMinAge07)))</f>
        <v/>
      </c>
      <c r="BJ80" s="4">
        <f>IF(OR(('03_Сеть'!BJ28-BJ26)=0,7&lt;=КаникулыРоялти),0,('03_Сеть'!BJ28-BJ26)*IF(РоялтиПоГруппам="Да",MeanMinAge07+BJ9*SUMIF(ThresholdAge07,"&lt;"&amp;BJ9,WeightedRevAge07)-SUMIF(ThresholdAge07,"&lt;"&amp;BJ9,WeightedMinAge07),MAX(CapacityAge07*АбонементНовых*BJ9,MeanMinAge07)))</f>
        <v/>
      </c>
      <c r="BK80" s="4">
        <f>IF(OR(('03_Сеть'!BK28-BK26)=0,7&lt;=КаникулыРоялти),0,('03_Сеть'!BK28-BK26)*IF(РоялтиПоГруппам="Да",MeanMinAge07+BK9*SUMIF(ThresholdAge07,"&lt;"&amp;BK9,WeightedRevAge07)-SUMIF(ThresholdAge07,"&lt;"&amp;BK9,WeightedMinAge07),MAX(CapacityAge07*АбонементНовых*BK9,MeanMinAge07)))</f>
        <v/>
      </c>
      <c r="BL80" s="4">
        <f>IF(OR(('03_Сеть'!BL28-BL26)=0,7&lt;=КаникулыРоялти),0,('03_Сеть'!BL28-BL26)*IF(РоялтиПоГруппам="Да",MeanMinAge07+BL9*SUMIF(ThresholdAge07,"&lt;"&amp;BL9,WeightedRevAge07)-SUMIF(ThresholdAge07,"&lt;"&amp;BL9,WeightedMinAge07),MAX(CapacityAge07*АбонементНовых*BL9,MeanMinAge07)))</f>
        <v/>
      </c>
      <c r="BM80" s="4">
        <f>IF(OR(('03_Сеть'!BM28-BM26)=0,7&lt;=КаникулыРоялти),0,('03_Сеть'!BM28-BM26)*IF(РоялтиПоГруппам="Да",MeanMinAge07+BM9*SUMIF(ThresholdAge07,"&lt;"&amp;BM9,WeightedRevAge07)-SUMIF(ThresholdAge07,"&lt;"&amp;BM9,WeightedMinAge07),MAX(CapacityAge07*АбонементНовых*BM9,MeanMinAge07)))</f>
        <v/>
      </c>
      <c r="BN80" s="4">
        <f>IF(OR(('03_Сеть'!BN28-BN26)=0,7&lt;=КаникулыРоялти),0,('03_Сеть'!BN28-BN26)*IF(РоялтиПоГруппам="Да",MeanMinAge07+BN9*SUMIF(ThresholdAge07,"&lt;"&amp;BN9,WeightedRevAge07)-SUMIF(ThresholdAge07,"&lt;"&amp;BN9,WeightedMinAge07),MAX(CapacityAge07*АбонементНовых*BN9,MeanMinAge07)))</f>
        <v/>
      </c>
      <c r="BO80" s="4">
        <f>IF(OR(('03_Сеть'!BO28-BO26)=0,7&lt;=КаникулыРоялти),0,('03_Сеть'!BO28-BO26)*IF(РоялтиПоГруппам="Да",MeanMinAge07+BO9*SUMIF(ThresholdAge07,"&lt;"&amp;BO9,WeightedRevAge07)-SUMIF(ThresholdAge07,"&lt;"&amp;BO9,WeightedMinAge07),MAX(CapacityAge07*АбонементНовых*BO9,MeanMinAge07)))</f>
        <v/>
      </c>
      <c r="BP80" s="4">
        <f>IF(OR(('03_Сеть'!BP28-BP26)=0,7&lt;=КаникулыРоялти),0,('03_Сеть'!BP28-BP26)*IF(РоялтиПоГруппам="Да",MeanMinAge07+BP9*SUMIF(ThresholdAge07,"&lt;"&amp;BP9,WeightedRevAge07)-SUMIF(ThresholdAge07,"&lt;"&amp;BP9,WeightedMinAge07),MAX(CapacityAge07*АбонементНовых*BP9,MeanMinAge07)))</f>
        <v/>
      </c>
      <c r="BQ80" s="4">
        <f>IF(OR(('03_Сеть'!BQ28-BQ26)=0,7&lt;=КаникулыРоялти),0,('03_Сеть'!BQ28-BQ26)*IF(РоялтиПоГруппам="Да",MeanMinAge07+BQ9*SUMIF(ThresholdAge07,"&lt;"&amp;BQ9,WeightedRevAge07)-SUMIF(ThresholdAge07,"&lt;"&amp;BQ9,WeightedMinAge07),MAX(CapacityAge07*АбонементНовых*BQ9,MeanMinAge07)))</f>
        <v/>
      </c>
      <c r="BR80" s="4">
        <f>IF(OR(('03_Сеть'!BR28-BR26)=0,7&lt;=КаникулыРоялти),0,('03_Сеть'!BR28-BR26)*IF(РоялтиПоГруппам="Да",MeanMinAge07+BR9*SUMIF(ThresholdAge07,"&lt;"&amp;BR9,WeightedRevAge07)-SUMIF(ThresholdAge07,"&lt;"&amp;BR9,WeightedMinAge07),MAX(CapacityAge07*АбонементНовых*BR9,MeanMinAge07)))</f>
        <v/>
      </c>
      <c r="BS80" s="4">
        <f>IF(OR(('03_Сеть'!BS28-BS26)=0,7&lt;=КаникулыРоялти),0,('03_Сеть'!BS28-BS26)*IF(РоялтиПоГруппам="Да",MeanMinAge07+BS9*SUMIF(ThresholdAge07,"&lt;"&amp;BS9,WeightedRevAge07)-SUMIF(ThresholdAge07,"&lt;"&amp;BS9,WeightedMinAge07),MAX(CapacityAge07*АбонементНовых*BS9,MeanMinAge07)))</f>
        <v/>
      </c>
      <c r="BT80" s="4">
        <f>IF(OR(('03_Сеть'!BT28-BT26)=0,7&lt;=КаникулыРоялти),0,('03_Сеть'!BT28-BT26)*IF(РоялтиПоГруппам="Да",MeanMinAge07+BT9*SUMIF(ThresholdAge07,"&lt;"&amp;BT9,WeightedRevAge07)-SUMIF(ThresholdAge07,"&lt;"&amp;BT9,WeightedMinAge07),MAX(CapacityAge07*АбонементНовых*BT9,MeanMinAge07)))</f>
        <v/>
      </c>
      <c r="BU80" s="4">
        <f>IF(OR(('03_Сеть'!BU28-BU26)=0,7&lt;=КаникулыРоялти),0,('03_Сеть'!BU28-BU26)*IF(РоялтиПоГруппам="Да",MeanMinAge07+BU9*SUMIF(ThresholdAge07,"&lt;"&amp;BU9,WeightedRevAge07)-SUMIF(ThresholdAge07,"&lt;"&amp;BU9,WeightedMinAge07),MAX(CapacityAge07*АбонементНовых*BU9,MeanMinAge07)))</f>
        <v/>
      </c>
      <c r="BV80" s="4">
        <f>IF(OR(('03_Сеть'!BV28-BV26)=0,7&lt;=КаникулыРоялти),0,('03_Сеть'!BV28-BV26)*IF(РоялтиПоГруппам="Да",MeanMinAge07+BV9*SUMIF(ThresholdAge07,"&lt;"&amp;BV9,WeightedRevAge07)-SUMIF(ThresholdAge07,"&lt;"&amp;BV9,WeightedMinAge07),MAX(CapacityAge07*АбонементНовых*BV9,MeanMinAge07)))</f>
        <v/>
      </c>
      <c r="BW80" s="4">
        <f>IF(OR(('03_Сеть'!BW28-BW26)=0,7&lt;=КаникулыРоялти),0,('03_Сеть'!BW28-BW26)*IF(РоялтиПоГруппам="Да",MeanMinAge07+BW9*SUMIF(ThresholdAge07,"&lt;"&amp;BW9,WeightedRevAge07)-SUMIF(ThresholdAge07,"&lt;"&amp;BW9,WeightedMinAge07),MAX(CapacityAge07*АбонементНовых*BW9,MeanMinAge07)))</f>
        <v/>
      </c>
      <c r="BX80" s="4">
        <f>IF(OR(('03_Сеть'!BX28-BX26)=0,7&lt;=КаникулыРоялти),0,('03_Сеть'!BX28-BX26)*IF(РоялтиПоГруппам="Да",MeanMinAge07+BX9*SUMIF(ThresholdAge07,"&lt;"&amp;BX9,WeightedRevAge07)-SUMIF(ThresholdAge07,"&lt;"&amp;BX9,WeightedMinAge07),MAX(CapacityAge07*АбонементНовых*BX9,MeanMinAge07)))</f>
        <v/>
      </c>
      <c r="BY80" s="4">
        <f>IF(OR(('03_Сеть'!BY28-BY26)=0,7&lt;=КаникулыРоялти),0,('03_Сеть'!BY28-BY26)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81">
      <c r="B81" t="inlineStr">
        <is>
          <t>8 мес.</t>
        </is>
      </c>
      <c r="C81" t="inlineStr">
        <is>
          <t>₽</t>
        </is>
      </c>
      <c r="D81" s="117" t="inlineStr"/>
      <c r="E81" s="119">
        <f>SUM(L81:W81)</f>
        <v/>
      </c>
      <c r="F81" s="119">
        <f>SUM(X81:AI81)</f>
        <v/>
      </c>
      <c r="G81" s="119">
        <f>SUM(AJ81:AU81)</f>
        <v/>
      </c>
      <c r="H81" s="119">
        <f>SUM(AV81:BG81)</f>
        <v/>
      </c>
      <c r="I81" s="119">
        <f>SUM(BH81:BS81)</f>
        <v/>
      </c>
      <c r="J81" s="5">
        <f>SUM(L81:BS81)</f>
        <v/>
      </c>
      <c r="L81" s="4">
        <f>IF(OR(('03_Сеть'!L29-L27)=0,8&lt;=КаникулыРоялти),0,('03_Сеть'!L29-L27)*IF(РоялтиПоГруппам="Да",MeanMinAge08+L9*SUMIF(ThresholdAge08,"&lt;"&amp;L9,WeightedRevAge08)-SUMIF(ThresholdAge08,"&lt;"&amp;L9,WeightedMinAge08),MAX(CapacityAge08*АбонементНовых*L9,MeanMinAge08)))</f>
        <v/>
      </c>
      <c r="M81" s="4">
        <f>IF(OR(('03_Сеть'!M29-M27)=0,8&lt;=КаникулыРоялти),0,('03_Сеть'!M29-M27)*IF(РоялтиПоГруппам="Да",MeanMinAge08+M9*SUMIF(ThresholdAge08,"&lt;"&amp;M9,WeightedRevAge08)-SUMIF(ThresholdAge08,"&lt;"&amp;M9,WeightedMinAge08),MAX(CapacityAge08*АбонементНовых*M9,MeanMinAge08)))</f>
        <v/>
      </c>
      <c r="N81" s="4">
        <f>IF(OR(('03_Сеть'!N29-N27)=0,8&lt;=КаникулыРоялти),0,('03_Сеть'!N29-N27)*IF(РоялтиПоГруппам="Да",MeanMinAge08+N9*SUMIF(ThresholdAge08,"&lt;"&amp;N9,WeightedRevAge08)-SUMIF(ThresholdAge08,"&lt;"&amp;N9,WeightedMinAge08),MAX(CapacityAge08*АбонементНовых*N9,MeanMinAge08)))</f>
        <v/>
      </c>
      <c r="O81" s="4">
        <f>IF(OR(('03_Сеть'!O29-O27)=0,8&lt;=КаникулыРоялти),0,('03_Сеть'!O29-O27)*IF(РоялтиПоГруппам="Да",MeanMinAge08+O9*SUMIF(ThresholdAge08,"&lt;"&amp;O9,WeightedRevAge08)-SUMIF(ThresholdAge08,"&lt;"&amp;O9,WeightedMinAge08),MAX(CapacityAge08*АбонементНовых*O9,MeanMinAge08)))</f>
        <v/>
      </c>
      <c r="P81" s="4">
        <f>IF(OR(('03_Сеть'!P29-P27)=0,8&lt;=КаникулыРоялти),0,('03_Сеть'!P29-P27)*IF(РоялтиПоГруппам="Да",MeanMinAge08+P9*SUMIF(ThresholdAge08,"&lt;"&amp;P9,WeightedRevAge08)-SUMIF(ThresholdAge08,"&lt;"&amp;P9,WeightedMinAge08),MAX(CapacityAge08*АбонементНовых*P9,MeanMinAge08)))</f>
        <v/>
      </c>
      <c r="Q81" s="4">
        <f>IF(OR(('03_Сеть'!Q29-Q27)=0,8&lt;=КаникулыРоялти),0,('03_Сеть'!Q29-Q27)*IF(РоялтиПоГруппам="Да",MeanMinAge08+Q9*SUMIF(ThresholdAge08,"&lt;"&amp;Q9,WeightedRevAge08)-SUMIF(ThresholdAge08,"&lt;"&amp;Q9,WeightedMinAge08),MAX(CapacityAge08*АбонементНовых*Q9,MeanMinAge08)))</f>
        <v/>
      </c>
      <c r="R81" s="4">
        <f>IF(OR(('03_Сеть'!R29-R27)=0,8&lt;=КаникулыРоялти),0,('03_Сеть'!R29-R27)*IF(РоялтиПоГруппам="Да",MeanMinAge08+R9*SUMIF(ThresholdAge08,"&lt;"&amp;R9,WeightedRevAge08)-SUMIF(ThresholdAge08,"&lt;"&amp;R9,WeightedMinAge08),MAX(CapacityAge08*АбонементНовых*R9,MeanMinAge08)))</f>
        <v/>
      </c>
      <c r="S81" s="4">
        <f>IF(OR(('03_Сеть'!S29-S27)=0,8&lt;=КаникулыРоялти),0,('03_Сеть'!S29-S27)*IF(РоялтиПоГруппам="Да",MeanMinAge08+S9*SUMIF(ThresholdAge08,"&lt;"&amp;S9,WeightedRevAge08)-SUMIF(ThresholdAge08,"&lt;"&amp;S9,WeightedMinAge08),MAX(CapacityAge08*АбонементНовых*S9,MeanMinAge08)))</f>
        <v/>
      </c>
      <c r="T81" s="4">
        <f>IF(OR(('03_Сеть'!T29-T27)=0,8&lt;=КаникулыРоялти),0,('03_Сеть'!T29-T27)*IF(РоялтиПоГруппам="Да",MeanMinAge08+T9*SUMIF(ThresholdAge08,"&lt;"&amp;T9,WeightedRevAge08)-SUMIF(ThresholdAge08,"&lt;"&amp;T9,WeightedMinAge08),MAX(CapacityAge08*АбонементНовых*T9,MeanMinAge08)))</f>
        <v/>
      </c>
      <c r="U81" s="4">
        <f>IF(OR(('03_Сеть'!U29-U27)=0,8&lt;=КаникулыРоялти),0,('03_Сеть'!U29-U27)*IF(РоялтиПоГруппам="Да",MeanMinAge08+U9*SUMIF(ThresholdAge08,"&lt;"&amp;U9,WeightedRevAge08)-SUMIF(ThresholdAge08,"&lt;"&amp;U9,WeightedMinAge08),MAX(CapacityAge08*АбонементНовых*U9,MeanMinAge08)))</f>
        <v/>
      </c>
      <c r="V81" s="4">
        <f>IF(OR(('03_Сеть'!V29-V27)=0,8&lt;=КаникулыРоялти),0,('03_Сеть'!V29-V27)*IF(РоялтиПоГруппам="Да",MeanMinAge08+V9*SUMIF(ThresholdAge08,"&lt;"&amp;V9,WeightedRevAge08)-SUMIF(ThresholdAge08,"&lt;"&amp;V9,WeightedMinAge08),MAX(CapacityAge08*АбонементНовых*V9,MeanMinAge08)))</f>
        <v/>
      </c>
      <c r="W81" s="4">
        <f>IF(OR(('03_Сеть'!W29-W27)=0,8&lt;=КаникулыРоялти),0,('03_Сеть'!W29-W27)*IF(РоялтиПоГруппам="Да",MeanMinAge08+W9*SUMIF(ThresholdAge08,"&lt;"&amp;W9,WeightedRevAge08)-SUMIF(ThresholdAge08,"&lt;"&amp;W9,WeightedMinAge08),MAX(CapacityAge08*АбонементНовых*W9,MeanMinAge08)))</f>
        <v/>
      </c>
      <c r="X81" s="4">
        <f>IF(OR(('03_Сеть'!X29-X27)=0,8&lt;=КаникулыРоялти),0,('03_Сеть'!X29-X27)*IF(РоялтиПоГруппам="Да",MeanMinAge08+X9*SUMIF(ThresholdAge08,"&lt;"&amp;X9,WeightedRevAge08)-SUMIF(ThresholdAge08,"&lt;"&amp;X9,WeightedMinAge08),MAX(CapacityAge08*АбонементНовых*X9,MeanMinAge08)))</f>
        <v/>
      </c>
      <c r="Y81" s="4">
        <f>IF(OR(('03_Сеть'!Y29-Y27)=0,8&lt;=КаникулыРоялти),0,('03_Сеть'!Y29-Y27)*IF(РоялтиПоГруппам="Да",MeanMinAge08+Y9*SUMIF(ThresholdAge08,"&lt;"&amp;Y9,WeightedRevAge08)-SUMIF(ThresholdAge08,"&lt;"&amp;Y9,WeightedMinAge08),MAX(CapacityAge08*АбонементНовых*Y9,MeanMinAge08)))</f>
        <v/>
      </c>
      <c r="Z81" s="4">
        <f>IF(OR(('03_Сеть'!Z29-Z27)=0,8&lt;=КаникулыРоялти),0,('03_Сеть'!Z29-Z27)*IF(РоялтиПоГруппам="Да",MeanMinAge08+Z9*SUMIF(ThresholdAge08,"&lt;"&amp;Z9,WeightedRevAge08)-SUMIF(ThresholdAge08,"&lt;"&amp;Z9,WeightedMinAge08),MAX(CapacityAge08*АбонементНовых*Z9,MeanMinAge08)))</f>
        <v/>
      </c>
      <c r="AA81" s="4">
        <f>IF(OR(('03_Сеть'!AA29-AA27)=0,8&lt;=КаникулыРоялти),0,('03_Сеть'!AA29-AA27)*IF(РоялтиПоГруппам="Да",MeanMinAge08+AA9*SUMIF(ThresholdAge08,"&lt;"&amp;AA9,WeightedRevAge08)-SUMIF(ThresholdAge08,"&lt;"&amp;AA9,WeightedMinAge08),MAX(CapacityAge08*АбонементНовых*AA9,MeanMinAge08)))</f>
        <v/>
      </c>
      <c r="AB81" s="4">
        <f>IF(OR(('03_Сеть'!AB29-AB27)=0,8&lt;=КаникулыРоялти),0,('03_Сеть'!AB29-AB27)*IF(РоялтиПоГруппам="Да",MeanMinAge08+AB9*SUMIF(ThresholdAge08,"&lt;"&amp;AB9,WeightedRevAge08)-SUMIF(ThresholdAge08,"&lt;"&amp;AB9,WeightedMinAge08),MAX(CapacityAge08*АбонементНовых*AB9,MeanMinAge08)))</f>
        <v/>
      </c>
      <c r="AC81" s="4">
        <f>IF(OR(('03_Сеть'!AC29-AC27)=0,8&lt;=КаникулыРоялти),0,('03_Сеть'!AC29-AC27)*IF(РоялтиПоГруппам="Да",MeanMinAge08+AC9*SUMIF(ThresholdAge08,"&lt;"&amp;AC9,WeightedRevAge08)-SUMIF(ThresholdAge08,"&lt;"&amp;AC9,WeightedMinAge08),MAX(CapacityAge08*АбонементНовых*AC9,MeanMinAge08)))</f>
        <v/>
      </c>
      <c r="AD81" s="4">
        <f>IF(OR(('03_Сеть'!AD29-AD27)=0,8&lt;=КаникулыРоялти),0,('03_Сеть'!AD29-AD27)*IF(РоялтиПоГруппам="Да",MeanMinAge08+AD9*SUMIF(ThresholdAge08,"&lt;"&amp;AD9,WeightedRevAge08)-SUMIF(ThresholdAge08,"&lt;"&amp;AD9,WeightedMinAge08),MAX(CapacityAge08*АбонементНовых*AD9,MeanMinAge08)))</f>
        <v/>
      </c>
      <c r="AE81" s="4">
        <f>IF(OR(('03_Сеть'!AE29-AE27)=0,8&lt;=КаникулыРоялти),0,('03_Сеть'!AE29-AE27)*IF(РоялтиПоГруппам="Да",MeanMinAge08+AE9*SUMIF(ThresholdAge08,"&lt;"&amp;AE9,WeightedRevAge08)-SUMIF(ThresholdAge08,"&lt;"&amp;AE9,WeightedMinAge08),MAX(CapacityAge08*АбонементНовых*AE9,MeanMinAge08)))</f>
        <v/>
      </c>
      <c r="AF81" s="4">
        <f>IF(OR(('03_Сеть'!AF29-AF27)=0,8&lt;=КаникулыРоялти),0,('03_Сеть'!AF29-AF27)*IF(РоялтиПоГруппам="Да",MeanMinAge08+AF9*SUMIF(ThresholdAge08,"&lt;"&amp;AF9,WeightedRevAge08)-SUMIF(ThresholdAge08,"&lt;"&amp;AF9,WeightedMinAge08),MAX(CapacityAge08*АбонементНовых*AF9,MeanMinAge08)))</f>
        <v/>
      </c>
      <c r="AG81" s="4">
        <f>IF(OR(('03_Сеть'!AG29-AG27)=0,8&lt;=КаникулыРоялти),0,('03_Сеть'!AG29-AG27)*IF(РоялтиПоГруппам="Да",MeanMinAge08+AG9*SUMIF(ThresholdAge08,"&lt;"&amp;AG9,WeightedRevAge08)-SUMIF(ThresholdAge08,"&lt;"&amp;AG9,WeightedMinAge08),MAX(CapacityAge08*АбонементНовых*AG9,MeanMinAge08)))</f>
        <v/>
      </c>
      <c r="AH81" s="4">
        <f>IF(OR(('03_Сеть'!AH29-AH27)=0,8&lt;=КаникулыРоялти),0,('03_Сеть'!AH29-AH27)*IF(РоялтиПоГруппам="Да",MeanMinAge08+AH9*SUMIF(ThresholdAge08,"&lt;"&amp;AH9,WeightedRevAge08)-SUMIF(ThresholdAge08,"&lt;"&amp;AH9,WeightedMinAge08),MAX(CapacityAge08*АбонементНовых*AH9,MeanMinAge08)))</f>
        <v/>
      </c>
      <c r="AI81" s="4">
        <f>IF(OR(('03_Сеть'!AI29-AI27)=0,8&lt;=КаникулыРоялти),0,('03_Сеть'!AI29-AI27)*IF(РоялтиПоГруппам="Да",MeanMinAge08+AI9*SUMIF(ThresholdAge08,"&lt;"&amp;AI9,WeightedRevAge08)-SUMIF(ThresholdAge08,"&lt;"&amp;AI9,WeightedMinAge08),MAX(CapacityAge08*АбонементНовых*AI9,MeanMinAge08)))</f>
        <v/>
      </c>
      <c r="AJ81" s="4">
        <f>IF(OR(('03_Сеть'!AJ29-AJ27)=0,8&lt;=КаникулыРоялти),0,('03_Сеть'!AJ29-AJ27)*IF(РоялтиПоГруппам="Да",MeanMinAge08+AJ9*SUMIF(ThresholdAge08,"&lt;"&amp;AJ9,WeightedRevAge08)-SUMIF(ThresholdAge08,"&lt;"&amp;AJ9,WeightedMinAge08),MAX(CapacityAge08*АбонементНовых*AJ9,MeanMinAge08)))</f>
        <v/>
      </c>
      <c r="AK81" s="4">
        <f>IF(OR(('03_Сеть'!AK29-AK27)=0,8&lt;=КаникулыРоялти),0,('03_Сеть'!AK29-AK27)*IF(РоялтиПоГруппам="Да",MeanMinAge08+AK9*SUMIF(ThresholdAge08,"&lt;"&amp;AK9,WeightedRevAge08)-SUMIF(ThresholdAge08,"&lt;"&amp;AK9,WeightedMinAge08),MAX(CapacityAge08*АбонементНовых*AK9,MeanMinAge08)))</f>
        <v/>
      </c>
      <c r="AL81" s="4">
        <f>IF(OR(('03_Сеть'!AL29-AL27)=0,8&lt;=КаникулыРоялти),0,('03_Сеть'!AL29-AL27)*IF(РоялтиПоГруппам="Да",MeanMinAge08+AL9*SUMIF(ThresholdAge08,"&lt;"&amp;AL9,WeightedRevAge08)-SUMIF(ThresholdAge08,"&lt;"&amp;AL9,WeightedMinAge08),MAX(CapacityAge08*АбонементНовых*AL9,MeanMinAge08)))</f>
        <v/>
      </c>
      <c r="AM81" s="4">
        <f>IF(OR(('03_Сеть'!AM29-AM27)=0,8&lt;=КаникулыРоялти),0,('03_Сеть'!AM29-AM27)*IF(РоялтиПоГруппам="Да",MeanMinAge08+AM9*SUMIF(ThresholdAge08,"&lt;"&amp;AM9,WeightedRevAge08)-SUMIF(ThresholdAge08,"&lt;"&amp;AM9,WeightedMinAge08),MAX(CapacityAge08*АбонементНовых*AM9,MeanMinAge08)))</f>
        <v/>
      </c>
      <c r="AN81" s="4">
        <f>IF(OR(('03_Сеть'!AN29-AN27)=0,8&lt;=КаникулыРоялти),0,('03_Сеть'!AN29-AN27)*IF(РоялтиПоГруппам="Да",MeanMinAge08+AN9*SUMIF(ThresholdAge08,"&lt;"&amp;AN9,WeightedRevAge08)-SUMIF(ThresholdAge08,"&lt;"&amp;AN9,WeightedMinAge08),MAX(CapacityAge08*АбонементНовых*AN9,MeanMinAge08)))</f>
        <v/>
      </c>
      <c r="AO81" s="4">
        <f>IF(OR(('03_Сеть'!AO29-AO27)=0,8&lt;=КаникулыРоялти),0,('03_Сеть'!AO29-AO27)*IF(РоялтиПоГруппам="Да",MeanMinAge08+AO9*SUMIF(ThresholdAge08,"&lt;"&amp;AO9,WeightedRevAge08)-SUMIF(ThresholdAge08,"&lt;"&amp;AO9,WeightedMinAge08),MAX(CapacityAge08*АбонементНовых*AO9,MeanMinAge08)))</f>
        <v/>
      </c>
      <c r="AP81" s="4">
        <f>IF(OR(('03_Сеть'!AP29-AP27)=0,8&lt;=КаникулыРоялти),0,('03_Сеть'!AP29-AP27)*IF(РоялтиПоГруппам="Да",MeanMinAge08+AP9*SUMIF(ThresholdAge08,"&lt;"&amp;AP9,WeightedRevAge08)-SUMIF(ThresholdAge08,"&lt;"&amp;AP9,WeightedMinAge08),MAX(CapacityAge08*АбонементНовых*AP9,MeanMinAge08)))</f>
        <v/>
      </c>
      <c r="AQ81" s="4">
        <f>IF(OR(('03_Сеть'!AQ29-AQ27)=0,8&lt;=КаникулыРоялти),0,('03_Сеть'!AQ29-AQ27)*IF(РоялтиПоГруппам="Да",MeanMinAge08+AQ9*SUMIF(ThresholdAge08,"&lt;"&amp;AQ9,WeightedRevAge08)-SUMIF(ThresholdAge08,"&lt;"&amp;AQ9,WeightedMinAge08),MAX(CapacityAge08*АбонементНовых*AQ9,MeanMinAge08)))</f>
        <v/>
      </c>
      <c r="AR81" s="4">
        <f>IF(OR(('03_Сеть'!AR29-AR27)=0,8&lt;=КаникулыРоялти),0,('03_Сеть'!AR29-AR27)*IF(РоялтиПоГруппам="Да",MeanMinAge08+AR9*SUMIF(ThresholdAge08,"&lt;"&amp;AR9,WeightedRevAge08)-SUMIF(ThresholdAge08,"&lt;"&amp;AR9,WeightedMinAge08),MAX(CapacityAge08*АбонементНовых*AR9,MeanMinAge08)))</f>
        <v/>
      </c>
      <c r="AS81" s="4">
        <f>IF(OR(('03_Сеть'!AS29-AS27)=0,8&lt;=КаникулыРоялти),0,('03_Сеть'!AS29-AS27)*IF(РоялтиПоГруппам="Да",MeanMinAge08+AS9*SUMIF(ThresholdAge08,"&lt;"&amp;AS9,WeightedRevAge08)-SUMIF(ThresholdAge08,"&lt;"&amp;AS9,WeightedMinAge08),MAX(CapacityAge08*АбонементНовых*AS9,MeanMinAge08)))</f>
        <v/>
      </c>
      <c r="AT81" s="4">
        <f>IF(OR(('03_Сеть'!AT29-AT27)=0,8&lt;=КаникулыРоялти),0,('03_Сеть'!AT29-AT27)*IF(РоялтиПоГруппам="Да",MeanMinAge08+AT9*SUMIF(ThresholdAge08,"&lt;"&amp;AT9,WeightedRevAge08)-SUMIF(ThresholdAge08,"&lt;"&amp;AT9,WeightedMinAge08),MAX(CapacityAge08*АбонементНовых*AT9,MeanMinAge08)))</f>
        <v/>
      </c>
      <c r="AU81" s="4">
        <f>IF(OR(('03_Сеть'!AU29-AU27)=0,8&lt;=КаникулыРоялти),0,('03_Сеть'!AU29-AU27)*IF(РоялтиПоГруппам="Да",MeanMinAge08+AU9*SUMIF(ThresholdAge08,"&lt;"&amp;AU9,WeightedRevAge08)-SUMIF(ThresholdAge08,"&lt;"&amp;AU9,WeightedMinAge08),MAX(CapacityAge08*АбонементНовых*AU9,MeanMinAge08)))</f>
        <v/>
      </c>
      <c r="AV81" s="4">
        <f>IF(OR(('03_Сеть'!AV29-AV27)=0,8&lt;=КаникулыРоялти),0,('03_Сеть'!AV29-AV27)*IF(РоялтиПоГруппам="Да",MeanMinAge08+AV9*SUMIF(ThresholdAge08,"&lt;"&amp;AV9,WeightedRevAge08)-SUMIF(ThresholdAge08,"&lt;"&amp;AV9,WeightedMinAge08),MAX(CapacityAge08*АбонементНовых*AV9,MeanMinAge08)))</f>
        <v/>
      </c>
      <c r="AW81" s="4">
        <f>IF(OR(('03_Сеть'!AW29-AW27)=0,8&lt;=КаникулыРоялти),0,('03_Сеть'!AW29-AW27)*IF(РоялтиПоГруппам="Да",MeanMinAge08+AW9*SUMIF(ThresholdAge08,"&lt;"&amp;AW9,WeightedRevAge08)-SUMIF(ThresholdAge08,"&lt;"&amp;AW9,WeightedMinAge08),MAX(CapacityAge08*АбонементНовых*AW9,MeanMinAge08)))</f>
        <v/>
      </c>
      <c r="AX81" s="4">
        <f>IF(OR(('03_Сеть'!AX29-AX27)=0,8&lt;=КаникулыРоялти),0,('03_Сеть'!AX29-AX27)*IF(РоялтиПоГруппам="Да",MeanMinAge08+AX9*SUMIF(ThresholdAge08,"&lt;"&amp;AX9,WeightedRevAge08)-SUMIF(ThresholdAge08,"&lt;"&amp;AX9,WeightedMinAge08),MAX(CapacityAge08*АбонементНовых*AX9,MeanMinAge08)))</f>
        <v/>
      </c>
      <c r="AY81" s="4">
        <f>IF(OR(('03_Сеть'!AY29-AY27)=0,8&lt;=КаникулыРоялти),0,('03_Сеть'!AY29-AY27)*IF(РоялтиПоГруппам="Да",MeanMinAge08+AY9*SUMIF(ThresholdAge08,"&lt;"&amp;AY9,WeightedRevAge08)-SUMIF(ThresholdAge08,"&lt;"&amp;AY9,WeightedMinAge08),MAX(CapacityAge08*АбонементНовых*AY9,MeanMinAge08)))</f>
        <v/>
      </c>
      <c r="AZ81" s="4">
        <f>IF(OR(('03_Сеть'!AZ29-AZ27)=0,8&lt;=КаникулыРоялти),0,('03_Сеть'!AZ29-AZ27)*IF(РоялтиПоГруппам="Да",MeanMinAge08+AZ9*SUMIF(ThresholdAge08,"&lt;"&amp;AZ9,WeightedRevAge08)-SUMIF(ThresholdAge08,"&lt;"&amp;AZ9,WeightedMinAge08),MAX(CapacityAge08*АбонементНовых*AZ9,MeanMinAge08)))</f>
        <v/>
      </c>
      <c r="BA81" s="4">
        <f>IF(OR(('03_Сеть'!BA29-BA27)=0,8&lt;=КаникулыРоялти),0,('03_Сеть'!BA29-BA27)*IF(РоялтиПоГруппам="Да",MeanMinAge08+BA9*SUMIF(ThresholdAge08,"&lt;"&amp;BA9,WeightedRevAge08)-SUMIF(ThresholdAge08,"&lt;"&amp;BA9,WeightedMinAge08),MAX(CapacityAge08*АбонементНовых*BA9,MeanMinAge08)))</f>
        <v/>
      </c>
      <c r="BB81" s="4">
        <f>IF(OR(('03_Сеть'!BB29-BB27)=0,8&lt;=КаникулыРоялти),0,('03_Сеть'!BB29-BB27)*IF(РоялтиПоГруппам="Да",MeanMinAge08+BB9*SUMIF(ThresholdAge08,"&lt;"&amp;BB9,WeightedRevAge08)-SUMIF(ThresholdAge08,"&lt;"&amp;BB9,WeightedMinAge08),MAX(CapacityAge08*АбонементНовых*BB9,MeanMinAge08)))</f>
        <v/>
      </c>
      <c r="BC81" s="4">
        <f>IF(OR(('03_Сеть'!BC29-BC27)=0,8&lt;=КаникулыРоялти),0,('03_Сеть'!BC29-BC27)*IF(РоялтиПоГруппам="Да",MeanMinAge08+BC9*SUMIF(ThresholdAge08,"&lt;"&amp;BC9,WeightedRevAge08)-SUMIF(ThresholdAge08,"&lt;"&amp;BC9,WeightedMinAge08),MAX(CapacityAge08*АбонементНовых*BC9,MeanMinAge08)))</f>
        <v/>
      </c>
      <c r="BD81" s="4">
        <f>IF(OR(('03_Сеть'!BD29-BD27)=0,8&lt;=КаникулыРоялти),0,('03_Сеть'!BD29-BD27)*IF(РоялтиПоГруппам="Да",MeanMinAge08+BD9*SUMIF(ThresholdAge08,"&lt;"&amp;BD9,WeightedRevAge08)-SUMIF(ThresholdAge08,"&lt;"&amp;BD9,WeightedMinAge08),MAX(CapacityAge08*АбонементНовых*BD9,MeanMinAge08)))</f>
        <v/>
      </c>
      <c r="BE81" s="4">
        <f>IF(OR(('03_Сеть'!BE29-BE27)=0,8&lt;=КаникулыРоялти),0,('03_Сеть'!BE29-BE27)*IF(РоялтиПоГруппам="Да",MeanMinAge08+BE9*SUMIF(ThresholdAge08,"&lt;"&amp;BE9,WeightedRevAge08)-SUMIF(ThresholdAge08,"&lt;"&amp;BE9,WeightedMinAge08),MAX(CapacityAge08*АбонементНовых*BE9,MeanMinAge08)))</f>
        <v/>
      </c>
      <c r="BF81" s="4">
        <f>IF(OR(('03_Сеть'!BF29-BF27)=0,8&lt;=КаникулыРоялти),0,('03_Сеть'!BF29-BF27)*IF(РоялтиПоГруппам="Да",MeanMinAge08+BF9*SUMIF(ThresholdAge08,"&lt;"&amp;BF9,WeightedRevAge08)-SUMIF(ThresholdAge08,"&lt;"&amp;BF9,WeightedMinAge08),MAX(CapacityAge08*АбонементНовых*BF9,MeanMinAge08)))</f>
        <v/>
      </c>
      <c r="BG81" s="4">
        <f>IF(OR(('03_Сеть'!BG29-BG27)=0,8&lt;=КаникулыРоялти),0,('03_Сеть'!BG29-BG27)*IF(РоялтиПоГруппам="Да",MeanMinAge08+BG9*SUMIF(ThresholdAge08,"&lt;"&amp;BG9,WeightedRevAge08)-SUMIF(ThresholdAge08,"&lt;"&amp;BG9,WeightedMinAge08),MAX(CapacityAge08*АбонементНовых*BG9,MeanMinAge08)))</f>
        <v/>
      </c>
      <c r="BH81" s="4">
        <f>IF(OR(('03_Сеть'!BH29-BH27)=0,8&lt;=КаникулыРоялти),0,('03_Сеть'!BH29-BH27)*IF(РоялтиПоГруппам="Да",MeanMinAge08+BH9*SUMIF(ThresholdAge08,"&lt;"&amp;BH9,WeightedRevAge08)-SUMIF(ThresholdAge08,"&lt;"&amp;BH9,WeightedMinAge08),MAX(CapacityAge08*АбонементНовых*BH9,MeanMinAge08)))</f>
        <v/>
      </c>
      <c r="BI81" s="4">
        <f>IF(OR(('03_Сеть'!BI29-BI27)=0,8&lt;=КаникулыРоялти),0,('03_Сеть'!BI29-BI27)*IF(РоялтиПоГруппам="Да",MeanMinAge08+BI9*SUMIF(ThresholdAge08,"&lt;"&amp;BI9,WeightedRevAge08)-SUMIF(ThresholdAge08,"&lt;"&amp;BI9,WeightedMinAge08),MAX(CapacityAge08*АбонементНовых*BI9,MeanMinAge08)))</f>
        <v/>
      </c>
      <c r="BJ81" s="4">
        <f>IF(OR(('03_Сеть'!BJ29-BJ27)=0,8&lt;=КаникулыРоялти),0,('03_Сеть'!BJ29-BJ27)*IF(РоялтиПоГруппам="Да",MeanMinAge08+BJ9*SUMIF(ThresholdAge08,"&lt;"&amp;BJ9,WeightedRevAge08)-SUMIF(ThresholdAge08,"&lt;"&amp;BJ9,WeightedMinAge08),MAX(CapacityAge08*АбонементНовых*BJ9,MeanMinAge08)))</f>
        <v/>
      </c>
      <c r="BK81" s="4">
        <f>IF(OR(('03_Сеть'!BK29-BK27)=0,8&lt;=КаникулыРоялти),0,('03_Сеть'!BK29-BK27)*IF(РоялтиПоГруппам="Да",MeanMinAge08+BK9*SUMIF(ThresholdAge08,"&lt;"&amp;BK9,WeightedRevAge08)-SUMIF(ThresholdAge08,"&lt;"&amp;BK9,WeightedMinAge08),MAX(CapacityAge08*АбонементНовых*BK9,MeanMinAge08)))</f>
        <v/>
      </c>
      <c r="BL81" s="4">
        <f>IF(OR(('03_Сеть'!BL29-BL27)=0,8&lt;=КаникулыРоялти),0,('03_Сеть'!BL29-BL27)*IF(РоялтиПоГруппам="Да",MeanMinAge08+BL9*SUMIF(ThresholdAge08,"&lt;"&amp;BL9,WeightedRevAge08)-SUMIF(ThresholdAge08,"&lt;"&amp;BL9,WeightedMinAge08),MAX(CapacityAge08*АбонементНовых*BL9,MeanMinAge08)))</f>
        <v/>
      </c>
      <c r="BM81" s="4">
        <f>IF(OR(('03_Сеть'!BM29-BM27)=0,8&lt;=КаникулыРоялти),0,('03_Сеть'!BM29-BM27)*IF(РоялтиПоГруппам="Да",MeanMinAge08+BM9*SUMIF(ThresholdAge08,"&lt;"&amp;BM9,WeightedRevAge08)-SUMIF(ThresholdAge08,"&lt;"&amp;BM9,WeightedMinAge08),MAX(CapacityAge08*АбонементНовых*BM9,MeanMinAge08)))</f>
        <v/>
      </c>
      <c r="BN81" s="4">
        <f>IF(OR(('03_Сеть'!BN29-BN27)=0,8&lt;=КаникулыРоялти),0,('03_Сеть'!BN29-BN27)*IF(РоялтиПоГруппам="Да",MeanMinAge08+BN9*SUMIF(ThresholdAge08,"&lt;"&amp;BN9,WeightedRevAge08)-SUMIF(ThresholdAge08,"&lt;"&amp;BN9,WeightedMinAge08),MAX(CapacityAge08*АбонементНовых*BN9,MeanMinAge08)))</f>
        <v/>
      </c>
      <c r="BO81" s="4">
        <f>IF(OR(('03_Сеть'!BO29-BO27)=0,8&lt;=КаникулыРоялти),0,('03_Сеть'!BO29-BO27)*IF(РоялтиПоГруппам="Да",MeanMinAge08+BO9*SUMIF(ThresholdAge08,"&lt;"&amp;BO9,WeightedRevAge08)-SUMIF(ThresholdAge08,"&lt;"&amp;BO9,WeightedMinAge08),MAX(CapacityAge08*АбонементНовых*BO9,MeanMinAge08)))</f>
        <v/>
      </c>
      <c r="BP81" s="4">
        <f>IF(OR(('03_Сеть'!BP29-BP27)=0,8&lt;=КаникулыРоялти),0,('03_Сеть'!BP29-BP27)*IF(РоялтиПоГруппам="Да",MeanMinAge08+BP9*SUMIF(ThresholdAge08,"&lt;"&amp;BP9,WeightedRevAge08)-SUMIF(ThresholdAge08,"&lt;"&amp;BP9,WeightedMinAge08),MAX(CapacityAge08*АбонементНовых*BP9,MeanMinAge08)))</f>
        <v/>
      </c>
      <c r="BQ81" s="4">
        <f>IF(OR(('03_Сеть'!BQ29-BQ27)=0,8&lt;=КаникулыРоялти),0,('03_Сеть'!BQ29-BQ27)*IF(РоялтиПоГруппам="Да",MeanMinAge08+BQ9*SUMIF(ThresholdAge08,"&lt;"&amp;BQ9,WeightedRevAge08)-SUMIF(ThresholdAge08,"&lt;"&amp;BQ9,WeightedMinAge08),MAX(CapacityAge08*АбонементНовых*BQ9,MeanMinAge08)))</f>
        <v/>
      </c>
      <c r="BR81" s="4">
        <f>IF(OR(('03_Сеть'!BR29-BR27)=0,8&lt;=КаникулыРоялти),0,('03_Сеть'!BR29-BR27)*IF(РоялтиПоГруппам="Да",MeanMinAge08+BR9*SUMIF(ThresholdAge08,"&lt;"&amp;BR9,WeightedRevAge08)-SUMIF(ThresholdAge08,"&lt;"&amp;BR9,WeightedMinAge08),MAX(CapacityAge08*АбонементНовых*BR9,MeanMinAge08)))</f>
        <v/>
      </c>
      <c r="BS81" s="4">
        <f>IF(OR(('03_Сеть'!BS29-BS27)=0,8&lt;=КаникулыРоялти),0,('03_Сеть'!BS29-BS27)*IF(РоялтиПоГруппам="Да",MeanMinAge08+BS9*SUMIF(ThresholdAge08,"&lt;"&amp;BS9,WeightedRevAge08)-SUMIF(ThresholdAge08,"&lt;"&amp;BS9,WeightedMinAge08),MAX(CapacityAge08*АбонементНовых*BS9,MeanMinAge08)))</f>
        <v/>
      </c>
      <c r="BT81" s="4">
        <f>IF(OR(('03_Сеть'!BT29-BT27)=0,8&lt;=КаникулыРоялти),0,('03_Сеть'!BT29-BT27)*IF(РоялтиПоГруппам="Да",MeanMinAge08+BT9*SUMIF(ThresholdAge08,"&lt;"&amp;BT9,WeightedRevAge08)-SUMIF(ThresholdAge08,"&lt;"&amp;BT9,WeightedMinAge08),MAX(CapacityAge08*АбонементНовых*BT9,MeanMinAge08)))</f>
        <v/>
      </c>
      <c r="BU81" s="4">
        <f>IF(OR(('03_Сеть'!BU29-BU27)=0,8&lt;=КаникулыРоялти),0,('03_Сеть'!BU29-BU27)*IF(РоялтиПоГруппам="Да",MeanMinAge08+BU9*SUMIF(ThresholdAge08,"&lt;"&amp;BU9,WeightedRevAge08)-SUMIF(ThresholdAge08,"&lt;"&amp;BU9,WeightedMinAge08),MAX(CapacityAge08*АбонементНовых*BU9,MeanMinAge08)))</f>
        <v/>
      </c>
      <c r="BV81" s="4">
        <f>IF(OR(('03_Сеть'!BV29-BV27)=0,8&lt;=КаникулыРоялти),0,('03_Сеть'!BV29-BV27)*IF(РоялтиПоГруппам="Да",MeanMinAge08+BV9*SUMIF(ThresholdAge08,"&lt;"&amp;BV9,WeightedRevAge08)-SUMIF(ThresholdAge08,"&lt;"&amp;BV9,WeightedMinAge08),MAX(CapacityAge08*АбонементНовых*BV9,MeanMinAge08)))</f>
        <v/>
      </c>
      <c r="BW81" s="4">
        <f>IF(OR(('03_Сеть'!BW29-BW27)=0,8&lt;=КаникулыРоялти),0,('03_Сеть'!BW29-BW27)*IF(РоялтиПоГруппам="Да",MeanMinAge08+BW9*SUMIF(ThresholdAge08,"&lt;"&amp;BW9,WeightedRevAge08)-SUMIF(ThresholdAge08,"&lt;"&amp;BW9,WeightedMinAge08),MAX(CapacityAge08*АбонементНовых*BW9,MeanMinAge08)))</f>
        <v/>
      </c>
      <c r="BX81" s="4">
        <f>IF(OR(('03_Сеть'!BX29-BX27)=0,8&lt;=КаникулыРоялти),0,('03_Сеть'!BX29-BX27)*IF(РоялтиПоГруппам="Да",MeanMinAge08+BX9*SUMIF(ThresholdAge08,"&lt;"&amp;BX9,WeightedRevAge08)-SUMIF(ThresholdAge08,"&lt;"&amp;BX9,WeightedMinAge08),MAX(CapacityAge08*АбонементНовых*BX9,MeanMinAge08)))</f>
        <v/>
      </c>
      <c r="BY81" s="4">
        <f>IF(OR(('03_Сеть'!BY29-BY27)=0,8&lt;=КаникулыРоялти),0,('03_Сеть'!BY29-BY27)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82">
      <c r="B82" t="inlineStr">
        <is>
          <t>9 мес.</t>
        </is>
      </c>
      <c r="C82" t="inlineStr">
        <is>
          <t>₽</t>
        </is>
      </c>
      <c r="D82" s="117" t="inlineStr"/>
      <c r="E82" s="119">
        <f>SUM(L82:W82)</f>
        <v/>
      </c>
      <c r="F82" s="119">
        <f>SUM(X82:AI82)</f>
        <v/>
      </c>
      <c r="G82" s="119">
        <f>SUM(AJ82:AU82)</f>
        <v/>
      </c>
      <c r="H82" s="119">
        <f>SUM(AV82:BG82)</f>
        <v/>
      </c>
      <c r="I82" s="119">
        <f>SUM(BH82:BS82)</f>
        <v/>
      </c>
      <c r="J82" s="5">
        <f>SUM(L82:BS82)</f>
        <v/>
      </c>
      <c r="L82" s="4">
        <f>IF(OR(('03_Сеть'!L30-L28)=0,9&lt;=КаникулыРоялти),0,('03_Сеть'!L30-L28)*IF(РоялтиПоГруппам="Да",MeanMinAge09+L9*SUMIF(ThresholdAge09,"&lt;"&amp;L9,WeightedRevAge09)-SUMIF(ThresholdAge09,"&lt;"&amp;L9,WeightedMinAge09),MAX(CapacityAge09*АбонементНовых*L9,MeanMinAge09)))</f>
        <v/>
      </c>
      <c r="M82" s="4">
        <f>IF(OR(('03_Сеть'!M30-M28)=0,9&lt;=КаникулыРоялти),0,('03_Сеть'!M30-M28)*IF(РоялтиПоГруппам="Да",MeanMinAge09+M9*SUMIF(ThresholdAge09,"&lt;"&amp;M9,WeightedRevAge09)-SUMIF(ThresholdAge09,"&lt;"&amp;M9,WeightedMinAge09),MAX(CapacityAge09*АбонементНовых*M9,MeanMinAge09)))</f>
        <v/>
      </c>
      <c r="N82" s="4">
        <f>IF(OR(('03_Сеть'!N30-N28)=0,9&lt;=КаникулыРоялти),0,('03_Сеть'!N30-N28)*IF(РоялтиПоГруппам="Да",MeanMinAge09+N9*SUMIF(ThresholdAge09,"&lt;"&amp;N9,WeightedRevAge09)-SUMIF(ThresholdAge09,"&lt;"&amp;N9,WeightedMinAge09),MAX(CapacityAge09*АбонементНовых*N9,MeanMinAge09)))</f>
        <v/>
      </c>
      <c r="O82" s="4">
        <f>IF(OR(('03_Сеть'!O30-O28)=0,9&lt;=КаникулыРоялти),0,('03_Сеть'!O30-O28)*IF(РоялтиПоГруппам="Да",MeanMinAge09+O9*SUMIF(ThresholdAge09,"&lt;"&amp;O9,WeightedRevAge09)-SUMIF(ThresholdAge09,"&lt;"&amp;O9,WeightedMinAge09),MAX(CapacityAge09*АбонементНовых*O9,MeanMinAge09)))</f>
        <v/>
      </c>
      <c r="P82" s="4">
        <f>IF(OR(('03_Сеть'!P30-P28)=0,9&lt;=КаникулыРоялти),0,('03_Сеть'!P30-P28)*IF(РоялтиПоГруппам="Да",MeanMinAge09+P9*SUMIF(ThresholdAge09,"&lt;"&amp;P9,WeightedRevAge09)-SUMIF(ThresholdAge09,"&lt;"&amp;P9,WeightedMinAge09),MAX(CapacityAge09*АбонементНовых*P9,MeanMinAge09)))</f>
        <v/>
      </c>
      <c r="Q82" s="4">
        <f>IF(OR(('03_Сеть'!Q30-Q28)=0,9&lt;=КаникулыРоялти),0,('03_Сеть'!Q30-Q28)*IF(РоялтиПоГруппам="Да",MeanMinAge09+Q9*SUMIF(ThresholdAge09,"&lt;"&amp;Q9,WeightedRevAge09)-SUMIF(ThresholdAge09,"&lt;"&amp;Q9,WeightedMinAge09),MAX(CapacityAge09*АбонементНовых*Q9,MeanMinAge09)))</f>
        <v/>
      </c>
      <c r="R82" s="4">
        <f>IF(OR(('03_Сеть'!R30-R28)=0,9&lt;=КаникулыРоялти),0,('03_Сеть'!R30-R28)*IF(РоялтиПоГруппам="Да",MeanMinAge09+R9*SUMIF(ThresholdAge09,"&lt;"&amp;R9,WeightedRevAge09)-SUMIF(ThresholdAge09,"&lt;"&amp;R9,WeightedMinAge09),MAX(CapacityAge09*АбонементНовых*R9,MeanMinAge09)))</f>
        <v/>
      </c>
      <c r="S82" s="4">
        <f>IF(OR(('03_Сеть'!S30-S28)=0,9&lt;=КаникулыРоялти),0,('03_Сеть'!S30-S28)*IF(РоялтиПоГруппам="Да",MeanMinAge09+S9*SUMIF(ThresholdAge09,"&lt;"&amp;S9,WeightedRevAge09)-SUMIF(ThresholdAge09,"&lt;"&amp;S9,WeightedMinAge09),MAX(CapacityAge09*АбонементНовых*S9,MeanMinAge09)))</f>
        <v/>
      </c>
      <c r="T82" s="4">
        <f>IF(OR(('03_Сеть'!T30-T28)=0,9&lt;=КаникулыРоялти),0,('03_Сеть'!T30-T28)*IF(РоялтиПоГруппам="Да",MeanMinAge09+T9*SUMIF(ThresholdAge09,"&lt;"&amp;T9,WeightedRevAge09)-SUMIF(ThresholdAge09,"&lt;"&amp;T9,WeightedMinAge09),MAX(CapacityAge09*АбонементНовых*T9,MeanMinAge09)))</f>
        <v/>
      </c>
      <c r="U82" s="4">
        <f>IF(OR(('03_Сеть'!U30-U28)=0,9&lt;=КаникулыРоялти),0,('03_Сеть'!U30-U28)*IF(РоялтиПоГруппам="Да",MeanMinAge09+U9*SUMIF(ThresholdAge09,"&lt;"&amp;U9,WeightedRevAge09)-SUMIF(ThresholdAge09,"&lt;"&amp;U9,WeightedMinAge09),MAX(CapacityAge09*АбонементНовых*U9,MeanMinAge09)))</f>
        <v/>
      </c>
      <c r="V82" s="4">
        <f>IF(OR(('03_Сеть'!V30-V28)=0,9&lt;=КаникулыРоялти),0,('03_Сеть'!V30-V28)*IF(РоялтиПоГруппам="Да",MeanMinAge09+V9*SUMIF(ThresholdAge09,"&lt;"&amp;V9,WeightedRevAge09)-SUMIF(ThresholdAge09,"&lt;"&amp;V9,WeightedMinAge09),MAX(CapacityAge09*АбонементНовых*V9,MeanMinAge09)))</f>
        <v/>
      </c>
      <c r="W82" s="4">
        <f>IF(OR(('03_Сеть'!W30-W28)=0,9&lt;=КаникулыРоялти),0,('03_Сеть'!W30-W28)*IF(РоялтиПоГруппам="Да",MeanMinAge09+W9*SUMIF(ThresholdAge09,"&lt;"&amp;W9,WeightedRevAge09)-SUMIF(ThresholdAge09,"&lt;"&amp;W9,WeightedMinAge09),MAX(CapacityAge09*АбонементНовых*W9,MeanMinAge09)))</f>
        <v/>
      </c>
      <c r="X82" s="4">
        <f>IF(OR(('03_Сеть'!X30-X28)=0,9&lt;=КаникулыРоялти),0,('03_Сеть'!X30-X28)*IF(РоялтиПоГруппам="Да",MeanMinAge09+X9*SUMIF(ThresholdAge09,"&lt;"&amp;X9,WeightedRevAge09)-SUMIF(ThresholdAge09,"&lt;"&amp;X9,WeightedMinAge09),MAX(CapacityAge09*АбонементНовых*X9,MeanMinAge09)))</f>
        <v/>
      </c>
      <c r="Y82" s="4">
        <f>IF(OR(('03_Сеть'!Y30-Y28)=0,9&lt;=КаникулыРоялти),0,('03_Сеть'!Y30-Y28)*IF(РоялтиПоГруппам="Да",MeanMinAge09+Y9*SUMIF(ThresholdAge09,"&lt;"&amp;Y9,WeightedRevAge09)-SUMIF(ThresholdAge09,"&lt;"&amp;Y9,WeightedMinAge09),MAX(CapacityAge09*АбонементНовых*Y9,MeanMinAge09)))</f>
        <v/>
      </c>
      <c r="Z82" s="4">
        <f>IF(OR(('03_Сеть'!Z30-Z28)=0,9&lt;=КаникулыРоялти),0,('03_Сеть'!Z30-Z28)*IF(РоялтиПоГруппам="Да",MeanMinAge09+Z9*SUMIF(ThresholdAge09,"&lt;"&amp;Z9,WeightedRevAge09)-SUMIF(ThresholdAge09,"&lt;"&amp;Z9,WeightedMinAge09),MAX(CapacityAge09*АбонементНовых*Z9,MeanMinAge09)))</f>
        <v/>
      </c>
      <c r="AA82" s="4">
        <f>IF(OR(('03_Сеть'!AA30-AA28)=0,9&lt;=КаникулыРоялти),0,('03_Сеть'!AA30-AA28)*IF(РоялтиПоГруппам="Да",MeanMinAge09+AA9*SUMIF(ThresholdAge09,"&lt;"&amp;AA9,WeightedRevAge09)-SUMIF(ThresholdAge09,"&lt;"&amp;AA9,WeightedMinAge09),MAX(CapacityAge09*АбонементНовых*AA9,MeanMinAge09)))</f>
        <v/>
      </c>
      <c r="AB82" s="4">
        <f>IF(OR(('03_Сеть'!AB30-AB28)=0,9&lt;=КаникулыРоялти),0,('03_Сеть'!AB30-AB28)*IF(РоялтиПоГруппам="Да",MeanMinAge09+AB9*SUMIF(ThresholdAge09,"&lt;"&amp;AB9,WeightedRevAge09)-SUMIF(ThresholdAge09,"&lt;"&amp;AB9,WeightedMinAge09),MAX(CapacityAge09*АбонементНовых*AB9,MeanMinAge09)))</f>
        <v/>
      </c>
      <c r="AC82" s="4">
        <f>IF(OR(('03_Сеть'!AC30-AC28)=0,9&lt;=КаникулыРоялти),0,('03_Сеть'!AC30-AC28)*IF(РоялтиПоГруппам="Да",MeanMinAge09+AC9*SUMIF(ThresholdAge09,"&lt;"&amp;AC9,WeightedRevAge09)-SUMIF(ThresholdAge09,"&lt;"&amp;AC9,WeightedMinAge09),MAX(CapacityAge09*АбонементНовых*AC9,MeanMinAge09)))</f>
        <v/>
      </c>
      <c r="AD82" s="4">
        <f>IF(OR(('03_Сеть'!AD30-AD28)=0,9&lt;=КаникулыРоялти),0,('03_Сеть'!AD30-AD28)*IF(РоялтиПоГруппам="Да",MeanMinAge09+AD9*SUMIF(ThresholdAge09,"&lt;"&amp;AD9,WeightedRevAge09)-SUMIF(ThresholdAge09,"&lt;"&amp;AD9,WeightedMinAge09),MAX(CapacityAge09*АбонементНовых*AD9,MeanMinAge09)))</f>
        <v/>
      </c>
      <c r="AE82" s="4">
        <f>IF(OR(('03_Сеть'!AE30-AE28)=0,9&lt;=КаникулыРоялти),0,('03_Сеть'!AE30-AE28)*IF(РоялтиПоГруппам="Да",MeanMinAge09+AE9*SUMIF(ThresholdAge09,"&lt;"&amp;AE9,WeightedRevAge09)-SUMIF(ThresholdAge09,"&lt;"&amp;AE9,WeightedMinAge09),MAX(CapacityAge09*АбонементНовых*AE9,MeanMinAge09)))</f>
        <v/>
      </c>
      <c r="AF82" s="4">
        <f>IF(OR(('03_Сеть'!AF30-AF28)=0,9&lt;=КаникулыРоялти),0,('03_Сеть'!AF30-AF28)*IF(РоялтиПоГруппам="Да",MeanMinAge09+AF9*SUMIF(ThresholdAge09,"&lt;"&amp;AF9,WeightedRevAge09)-SUMIF(ThresholdAge09,"&lt;"&amp;AF9,WeightedMinAge09),MAX(CapacityAge09*АбонементНовых*AF9,MeanMinAge09)))</f>
        <v/>
      </c>
      <c r="AG82" s="4">
        <f>IF(OR(('03_Сеть'!AG30-AG28)=0,9&lt;=КаникулыРоялти),0,('03_Сеть'!AG30-AG28)*IF(РоялтиПоГруппам="Да",MeanMinAge09+AG9*SUMIF(ThresholdAge09,"&lt;"&amp;AG9,WeightedRevAge09)-SUMIF(ThresholdAge09,"&lt;"&amp;AG9,WeightedMinAge09),MAX(CapacityAge09*АбонементНовых*AG9,MeanMinAge09)))</f>
        <v/>
      </c>
      <c r="AH82" s="4">
        <f>IF(OR(('03_Сеть'!AH30-AH28)=0,9&lt;=КаникулыРоялти),0,('03_Сеть'!AH30-AH28)*IF(РоялтиПоГруппам="Да",MeanMinAge09+AH9*SUMIF(ThresholdAge09,"&lt;"&amp;AH9,WeightedRevAge09)-SUMIF(ThresholdAge09,"&lt;"&amp;AH9,WeightedMinAge09),MAX(CapacityAge09*АбонементНовых*AH9,MeanMinAge09)))</f>
        <v/>
      </c>
      <c r="AI82" s="4">
        <f>IF(OR(('03_Сеть'!AI30-AI28)=0,9&lt;=КаникулыРоялти),0,('03_Сеть'!AI30-AI28)*IF(РоялтиПоГруппам="Да",MeanMinAge09+AI9*SUMIF(ThresholdAge09,"&lt;"&amp;AI9,WeightedRevAge09)-SUMIF(ThresholdAge09,"&lt;"&amp;AI9,WeightedMinAge09),MAX(CapacityAge09*АбонементНовых*AI9,MeanMinAge09)))</f>
        <v/>
      </c>
      <c r="AJ82" s="4">
        <f>IF(OR(('03_Сеть'!AJ30-AJ28)=0,9&lt;=КаникулыРоялти),0,('03_Сеть'!AJ30-AJ28)*IF(РоялтиПоГруппам="Да",MeanMinAge09+AJ9*SUMIF(ThresholdAge09,"&lt;"&amp;AJ9,WeightedRevAge09)-SUMIF(ThresholdAge09,"&lt;"&amp;AJ9,WeightedMinAge09),MAX(CapacityAge09*АбонементНовых*AJ9,MeanMinAge09)))</f>
        <v/>
      </c>
      <c r="AK82" s="4">
        <f>IF(OR(('03_Сеть'!AK30-AK28)=0,9&lt;=КаникулыРоялти),0,('03_Сеть'!AK30-AK28)*IF(РоялтиПоГруппам="Да",MeanMinAge09+AK9*SUMIF(ThresholdAge09,"&lt;"&amp;AK9,WeightedRevAge09)-SUMIF(ThresholdAge09,"&lt;"&amp;AK9,WeightedMinAge09),MAX(CapacityAge09*АбонементНовых*AK9,MeanMinAge09)))</f>
        <v/>
      </c>
      <c r="AL82" s="4">
        <f>IF(OR(('03_Сеть'!AL30-AL28)=0,9&lt;=КаникулыРоялти),0,('03_Сеть'!AL30-AL28)*IF(РоялтиПоГруппам="Да",MeanMinAge09+AL9*SUMIF(ThresholdAge09,"&lt;"&amp;AL9,WeightedRevAge09)-SUMIF(ThresholdAge09,"&lt;"&amp;AL9,WeightedMinAge09),MAX(CapacityAge09*АбонементНовых*AL9,MeanMinAge09)))</f>
        <v/>
      </c>
      <c r="AM82" s="4">
        <f>IF(OR(('03_Сеть'!AM30-AM28)=0,9&lt;=КаникулыРоялти),0,('03_Сеть'!AM30-AM28)*IF(РоялтиПоГруппам="Да",MeanMinAge09+AM9*SUMIF(ThresholdAge09,"&lt;"&amp;AM9,WeightedRevAge09)-SUMIF(ThresholdAge09,"&lt;"&amp;AM9,WeightedMinAge09),MAX(CapacityAge09*АбонементНовых*AM9,MeanMinAge09)))</f>
        <v/>
      </c>
      <c r="AN82" s="4">
        <f>IF(OR(('03_Сеть'!AN30-AN28)=0,9&lt;=КаникулыРоялти),0,('03_Сеть'!AN30-AN28)*IF(РоялтиПоГруппам="Да",MeanMinAge09+AN9*SUMIF(ThresholdAge09,"&lt;"&amp;AN9,WeightedRevAge09)-SUMIF(ThresholdAge09,"&lt;"&amp;AN9,WeightedMinAge09),MAX(CapacityAge09*АбонементНовых*AN9,MeanMinAge09)))</f>
        <v/>
      </c>
      <c r="AO82" s="4">
        <f>IF(OR(('03_Сеть'!AO30-AO28)=0,9&lt;=КаникулыРоялти),0,('03_Сеть'!AO30-AO28)*IF(РоялтиПоГруппам="Да",MeanMinAge09+AO9*SUMIF(ThresholdAge09,"&lt;"&amp;AO9,WeightedRevAge09)-SUMIF(ThresholdAge09,"&lt;"&amp;AO9,WeightedMinAge09),MAX(CapacityAge09*АбонементНовых*AO9,MeanMinAge09)))</f>
        <v/>
      </c>
      <c r="AP82" s="4">
        <f>IF(OR(('03_Сеть'!AP30-AP28)=0,9&lt;=КаникулыРоялти),0,('03_Сеть'!AP30-AP28)*IF(РоялтиПоГруппам="Да",MeanMinAge09+AP9*SUMIF(ThresholdAge09,"&lt;"&amp;AP9,WeightedRevAge09)-SUMIF(ThresholdAge09,"&lt;"&amp;AP9,WeightedMinAge09),MAX(CapacityAge09*АбонементНовых*AP9,MeanMinAge09)))</f>
        <v/>
      </c>
      <c r="AQ82" s="4">
        <f>IF(OR(('03_Сеть'!AQ30-AQ28)=0,9&lt;=КаникулыРоялти),0,('03_Сеть'!AQ30-AQ28)*IF(РоялтиПоГруппам="Да",MeanMinAge09+AQ9*SUMIF(ThresholdAge09,"&lt;"&amp;AQ9,WeightedRevAge09)-SUMIF(ThresholdAge09,"&lt;"&amp;AQ9,WeightedMinAge09),MAX(CapacityAge09*АбонементНовых*AQ9,MeanMinAge09)))</f>
        <v/>
      </c>
      <c r="AR82" s="4">
        <f>IF(OR(('03_Сеть'!AR30-AR28)=0,9&lt;=КаникулыРоялти),0,('03_Сеть'!AR30-AR28)*IF(РоялтиПоГруппам="Да",MeanMinAge09+AR9*SUMIF(ThresholdAge09,"&lt;"&amp;AR9,WeightedRevAge09)-SUMIF(ThresholdAge09,"&lt;"&amp;AR9,WeightedMinAge09),MAX(CapacityAge09*АбонементНовых*AR9,MeanMinAge09)))</f>
        <v/>
      </c>
      <c r="AS82" s="4">
        <f>IF(OR(('03_Сеть'!AS30-AS28)=0,9&lt;=КаникулыРоялти),0,('03_Сеть'!AS30-AS28)*IF(РоялтиПоГруппам="Да",MeanMinAge09+AS9*SUMIF(ThresholdAge09,"&lt;"&amp;AS9,WeightedRevAge09)-SUMIF(ThresholdAge09,"&lt;"&amp;AS9,WeightedMinAge09),MAX(CapacityAge09*АбонементНовых*AS9,MeanMinAge09)))</f>
        <v/>
      </c>
      <c r="AT82" s="4">
        <f>IF(OR(('03_Сеть'!AT30-AT28)=0,9&lt;=КаникулыРоялти),0,('03_Сеть'!AT30-AT28)*IF(РоялтиПоГруппам="Да",MeanMinAge09+AT9*SUMIF(ThresholdAge09,"&lt;"&amp;AT9,WeightedRevAge09)-SUMIF(ThresholdAge09,"&lt;"&amp;AT9,WeightedMinAge09),MAX(CapacityAge09*АбонементНовых*AT9,MeanMinAge09)))</f>
        <v/>
      </c>
      <c r="AU82" s="4">
        <f>IF(OR(('03_Сеть'!AU30-AU28)=0,9&lt;=КаникулыРоялти),0,('03_Сеть'!AU30-AU28)*IF(РоялтиПоГруппам="Да",MeanMinAge09+AU9*SUMIF(ThresholdAge09,"&lt;"&amp;AU9,WeightedRevAge09)-SUMIF(ThresholdAge09,"&lt;"&amp;AU9,WeightedMinAge09),MAX(CapacityAge09*АбонементНовых*AU9,MeanMinAge09)))</f>
        <v/>
      </c>
      <c r="AV82" s="4">
        <f>IF(OR(('03_Сеть'!AV30-AV28)=0,9&lt;=КаникулыРоялти),0,('03_Сеть'!AV30-AV28)*IF(РоялтиПоГруппам="Да",MeanMinAge09+AV9*SUMIF(ThresholdAge09,"&lt;"&amp;AV9,WeightedRevAge09)-SUMIF(ThresholdAge09,"&lt;"&amp;AV9,WeightedMinAge09),MAX(CapacityAge09*АбонементНовых*AV9,MeanMinAge09)))</f>
        <v/>
      </c>
      <c r="AW82" s="4">
        <f>IF(OR(('03_Сеть'!AW30-AW28)=0,9&lt;=КаникулыРоялти),0,('03_Сеть'!AW30-AW28)*IF(РоялтиПоГруппам="Да",MeanMinAge09+AW9*SUMIF(ThresholdAge09,"&lt;"&amp;AW9,WeightedRevAge09)-SUMIF(ThresholdAge09,"&lt;"&amp;AW9,WeightedMinAge09),MAX(CapacityAge09*АбонементНовых*AW9,MeanMinAge09)))</f>
        <v/>
      </c>
      <c r="AX82" s="4">
        <f>IF(OR(('03_Сеть'!AX30-AX28)=0,9&lt;=КаникулыРоялти),0,('03_Сеть'!AX30-AX28)*IF(РоялтиПоГруппам="Да",MeanMinAge09+AX9*SUMIF(ThresholdAge09,"&lt;"&amp;AX9,WeightedRevAge09)-SUMIF(ThresholdAge09,"&lt;"&amp;AX9,WeightedMinAge09),MAX(CapacityAge09*АбонементНовых*AX9,MeanMinAge09)))</f>
        <v/>
      </c>
      <c r="AY82" s="4">
        <f>IF(OR(('03_Сеть'!AY30-AY28)=0,9&lt;=КаникулыРоялти),0,('03_Сеть'!AY30-AY28)*IF(РоялтиПоГруппам="Да",MeanMinAge09+AY9*SUMIF(ThresholdAge09,"&lt;"&amp;AY9,WeightedRevAge09)-SUMIF(ThresholdAge09,"&lt;"&amp;AY9,WeightedMinAge09),MAX(CapacityAge09*АбонементНовых*AY9,MeanMinAge09)))</f>
        <v/>
      </c>
      <c r="AZ82" s="4">
        <f>IF(OR(('03_Сеть'!AZ30-AZ28)=0,9&lt;=КаникулыРоялти),0,('03_Сеть'!AZ30-AZ28)*IF(РоялтиПоГруппам="Да",MeanMinAge09+AZ9*SUMIF(ThresholdAge09,"&lt;"&amp;AZ9,WeightedRevAge09)-SUMIF(ThresholdAge09,"&lt;"&amp;AZ9,WeightedMinAge09),MAX(CapacityAge09*АбонементНовых*AZ9,MeanMinAge09)))</f>
        <v/>
      </c>
      <c r="BA82" s="4">
        <f>IF(OR(('03_Сеть'!BA30-BA28)=0,9&lt;=КаникулыРоялти),0,('03_Сеть'!BA30-BA28)*IF(РоялтиПоГруппам="Да",MeanMinAge09+BA9*SUMIF(ThresholdAge09,"&lt;"&amp;BA9,WeightedRevAge09)-SUMIF(ThresholdAge09,"&lt;"&amp;BA9,WeightedMinAge09),MAX(CapacityAge09*АбонементНовых*BA9,MeanMinAge09)))</f>
        <v/>
      </c>
      <c r="BB82" s="4">
        <f>IF(OR(('03_Сеть'!BB30-BB28)=0,9&lt;=КаникулыРоялти),0,('03_Сеть'!BB30-BB28)*IF(РоялтиПоГруппам="Да",MeanMinAge09+BB9*SUMIF(ThresholdAge09,"&lt;"&amp;BB9,WeightedRevAge09)-SUMIF(ThresholdAge09,"&lt;"&amp;BB9,WeightedMinAge09),MAX(CapacityAge09*АбонементНовых*BB9,MeanMinAge09)))</f>
        <v/>
      </c>
      <c r="BC82" s="4">
        <f>IF(OR(('03_Сеть'!BC30-BC28)=0,9&lt;=КаникулыРоялти),0,('03_Сеть'!BC30-BC28)*IF(РоялтиПоГруппам="Да",MeanMinAge09+BC9*SUMIF(ThresholdAge09,"&lt;"&amp;BC9,WeightedRevAge09)-SUMIF(ThresholdAge09,"&lt;"&amp;BC9,WeightedMinAge09),MAX(CapacityAge09*АбонементНовых*BC9,MeanMinAge09)))</f>
        <v/>
      </c>
      <c r="BD82" s="4">
        <f>IF(OR(('03_Сеть'!BD30-BD28)=0,9&lt;=КаникулыРоялти),0,('03_Сеть'!BD30-BD28)*IF(РоялтиПоГруппам="Да",MeanMinAge09+BD9*SUMIF(ThresholdAge09,"&lt;"&amp;BD9,WeightedRevAge09)-SUMIF(ThresholdAge09,"&lt;"&amp;BD9,WeightedMinAge09),MAX(CapacityAge09*АбонементНовых*BD9,MeanMinAge09)))</f>
        <v/>
      </c>
      <c r="BE82" s="4">
        <f>IF(OR(('03_Сеть'!BE30-BE28)=0,9&lt;=КаникулыРоялти),0,('03_Сеть'!BE30-BE28)*IF(РоялтиПоГруппам="Да",MeanMinAge09+BE9*SUMIF(ThresholdAge09,"&lt;"&amp;BE9,WeightedRevAge09)-SUMIF(ThresholdAge09,"&lt;"&amp;BE9,WeightedMinAge09),MAX(CapacityAge09*АбонементНовых*BE9,MeanMinAge09)))</f>
        <v/>
      </c>
      <c r="BF82" s="4">
        <f>IF(OR(('03_Сеть'!BF30-BF28)=0,9&lt;=КаникулыРоялти),0,('03_Сеть'!BF30-BF28)*IF(РоялтиПоГруппам="Да",MeanMinAge09+BF9*SUMIF(ThresholdAge09,"&lt;"&amp;BF9,WeightedRevAge09)-SUMIF(ThresholdAge09,"&lt;"&amp;BF9,WeightedMinAge09),MAX(CapacityAge09*АбонементНовых*BF9,MeanMinAge09)))</f>
        <v/>
      </c>
      <c r="BG82" s="4">
        <f>IF(OR(('03_Сеть'!BG30-BG28)=0,9&lt;=КаникулыРоялти),0,('03_Сеть'!BG30-BG28)*IF(РоялтиПоГруппам="Да",MeanMinAge09+BG9*SUMIF(ThresholdAge09,"&lt;"&amp;BG9,WeightedRevAge09)-SUMIF(ThresholdAge09,"&lt;"&amp;BG9,WeightedMinAge09),MAX(CapacityAge09*АбонементНовых*BG9,MeanMinAge09)))</f>
        <v/>
      </c>
      <c r="BH82" s="4">
        <f>IF(OR(('03_Сеть'!BH30-BH28)=0,9&lt;=КаникулыРоялти),0,('03_Сеть'!BH30-BH28)*IF(РоялтиПоГруппам="Да",MeanMinAge09+BH9*SUMIF(ThresholdAge09,"&lt;"&amp;BH9,WeightedRevAge09)-SUMIF(ThresholdAge09,"&lt;"&amp;BH9,WeightedMinAge09),MAX(CapacityAge09*АбонементНовых*BH9,MeanMinAge09)))</f>
        <v/>
      </c>
      <c r="BI82" s="4">
        <f>IF(OR(('03_Сеть'!BI30-BI28)=0,9&lt;=КаникулыРоялти),0,('03_Сеть'!BI30-BI28)*IF(РоялтиПоГруппам="Да",MeanMinAge09+BI9*SUMIF(ThresholdAge09,"&lt;"&amp;BI9,WeightedRevAge09)-SUMIF(ThresholdAge09,"&lt;"&amp;BI9,WeightedMinAge09),MAX(CapacityAge09*АбонементНовых*BI9,MeanMinAge09)))</f>
        <v/>
      </c>
      <c r="BJ82" s="4">
        <f>IF(OR(('03_Сеть'!BJ30-BJ28)=0,9&lt;=КаникулыРоялти),0,('03_Сеть'!BJ30-BJ28)*IF(РоялтиПоГруппам="Да",MeanMinAge09+BJ9*SUMIF(ThresholdAge09,"&lt;"&amp;BJ9,WeightedRevAge09)-SUMIF(ThresholdAge09,"&lt;"&amp;BJ9,WeightedMinAge09),MAX(CapacityAge09*АбонементНовых*BJ9,MeanMinAge09)))</f>
        <v/>
      </c>
      <c r="BK82" s="4">
        <f>IF(OR(('03_Сеть'!BK30-BK28)=0,9&lt;=КаникулыРоялти),0,('03_Сеть'!BK30-BK28)*IF(РоялтиПоГруппам="Да",MeanMinAge09+BK9*SUMIF(ThresholdAge09,"&lt;"&amp;BK9,WeightedRevAge09)-SUMIF(ThresholdAge09,"&lt;"&amp;BK9,WeightedMinAge09),MAX(CapacityAge09*АбонементНовых*BK9,MeanMinAge09)))</f>
        <v/>
      </c>
      <c r="BL82" s="4">
        <f>IF(OR(('03_Сеть'!BL30-BL28)=0,9&lt;=КаникулыРоялти),0,('03_Сеть'!BL30-BL28)*IF(РоялтиПоГруппам="Да",MeanMinAge09+BL9*SUMIF(ThresholdAge09,"&lt;"&amp;BL9,WeightedRevAge09)-SUMIF(ThresholdAge09,"&lt;"&amp;BL9,WeightedMinAge09),MAX(CapacityAge09*АбонементНовых*BL9,MeanMinAge09)))</f>
        <v/>
      </c>
      <c r="BM82" s="4">
        <f>IF(OR(('03_Сеть'!BM30-BM28)=0,9&lt;=КаникулыРоялти),0,('03_Сеть'!BM30-BM28)*IF(РоялтиПоГруппам="Да",MeanMinAge09+BM9*SUMIF(ThresholdAge09,"&lt;"&amp;BM9,WeightedRevAge09)-SUMIF(ThresholdAge09,"&lt;"&amp;BM9,WeightedMinAge09),MAX(CapacityAge09*АбонементНовых*BM9,MeanMinAge09)))</f>
        <v/>
      </c>
      <c r="BN82" s="4">
        <f>IF(OR(('03_Сеть'!BN30-BN28)=0,9&lt;=КаникулыРоялти),0,('03_Сеть'!BN30-BN28)*IF(РоялтиПоГруппам="Да",MeanMinAge09+BN9*SUMIF(ThresholdAge09,"&lt;"&amp;BN9,WeightedRevAge09)-SUMIF(ThresholdAge09,"&lt;"&amp;BN9,WeightedMinAge09),MAX(CapacityAge09*АбонементНовых*BN9,MeanMinAge09)))</f>
        <v/>
      </c>
      <c r="BO82" s="4">
        <f>IF(OR(('03_Сеть'!BO30-BO28)=0,9&lt;=КаникулыРоялти),0,('03_Сеть'!BO30-BO28)*IF(РоялтиПоГруппам="Да",MeanMinAge09+BO9*SUMIF(ThresholdAge09,"&lt;"&amp;BO9,WeightedRevAge09)-SUMIF(ThresholdAge09,"&lt;"&amp;BO9,WeightedMinAge09),MAX(CapacityAge09*АбонементНовых*BO9,MeanMinAge09)))</f>
        <v/>
      </c>
      <c r="BP82" s="4">
        <f>IF(OR(('03_Сеть'!BP30-BP28)=0,9&lt;=КаникулыРоялти),0,('03_Сеть'!BP30-BP28)*IF(РоялтиПоГруппам="Да",MeanMinAge09+BP9*SUMIF(ThresholdAge09,"&lt;"&amp;BP9,WeightedRevAge09)-SUMIF(ThresholdAge09,"&lt;"&amp;BP9,WeightedMinAge09),MAX(CapacityAge09*АбонементНовых*BP9,MeanMinAge09)))</f>
        <v/>
      </c>
      <c r="BQ82" s="4">
        <f>IF(OR(('03_Сеть'!BQ30-BQ28)=0,9&lt;=КаникулыРоялти),0,('03_Сеть'!BQ30-BQ28)*IF(РоялтиПоГруппам="Да",MeanMinAge09+BQ9*SUMIF(ThresholdAge09,"&lt;"&amp;BQ9,WeightedRevAge09)-SUMIF(ThresholdAge09,"&lt;"&amp;BQ9,WeightedMinAge09),MAX(CapacityAge09*АбонементНовых*BQ9,MeanMinAge09)))</f>
        <v/>
      </c>
      <c r="BR82" s="4">
        <f>IF(OR(('03_Сеть'!BR30-BR28)=0,9&lt;=КаникулыРоялти),0,('03_Сеть'!BR30-BR28)*IF(РоялтиПоГруппам="Да",MeanMinAge09+BR9*SUMIF(ThresholdAge09,"&lt;"&amp;BR9,WeightedRevAge09)-SUMIF(ThresholdAge09,"&lt;"&amp;BR9,WeightedMinAge09),MAX(CapacityAge09*АбонементНовых*BR9,MeanMinAge09)))</f>
        <v/>
      </c>
      <c r="BS82" s="4">
        <f>IF(OR(('03_Сеть'!BS30-BS28)=0,9&lt;=КаникулыРоялти),0,('03_Сеть'!BS30-BS28)*IF(РоялтиПоГруппам="Да",MeanMinAge09+BS9*SUMIF(ThresholdAge09,"&lt;"&amp;BS9,WeightedRevAge09)-SUMIF(ThresholdAge09,"&lt;"&amp;BS9,WeightedMinAge09),MAX(CapacityAge09*АбонементНовых*BS9,MeanMinAge09)))</f>
        <v/>
      </c>
      <c r="BT82" s="4">
        <f>IF(OR(('03_Сеть'!BT30-BT28)=0,9&lt;=КаникулыРоялти),0,('03_Сеть'!BT30-BT28)*IF(РоялтиПоГруппам="Да",MeanMinAge09+BT9*SUMIF(ThresholdAge09,"&lt;"&amp;BT9,WeightedRevAge09)-SUMIF(ThresholdAge09,"&lt;"&amp;BT9,WeightedMinAge09),MAX(CapacityAge09*АбонементНовых*BT9,MeanMinAge09)))</f>
        <v/>
      </c>
      <c r="BU82" s="4">
        <f>IF(OR(('03_Сеть'!BU30-BU28)=0,9&lt;=КаникулыРоялти),0,('03_Сеть'!BU30-BU28)*IF(РоялтиПоГруппам="Да",MeanMinAge09+BU9*SUMIF(ThresholdAge09,"&lt;"&amp;BU9,WeightedRevAge09)-SUMIF(ThresholdAge09,"&lt;"&amp;BU9,WeightedMinAge09),MAX(CapacityAge09*АбонементНовых*BU9,MeanMinAge09)))</f>
        <v/>
      </c>
      <c r="BV82" s="4">
        <f>IF(OR(('03_Сеть'!BV30-BV28)=0,9&lt;=КаникулыРоялти),0,('03_Сеть'!BV30-BV28)*IF(РоялтиПоГруппам="Да",MeanMinAge09+BV9*SUMIF(ThresholdAge09,"&lt;"&amp;BV9,WeightedRevAge09)-SUMIF(ThresholdAge09,"&lt;"&amp;BV9,WeightedMinAge09),MAX(CapacityAge09*АбонементНовых*BV9,MeanMinAge09)))</f>
        <v/>
      </c>
      <c r="BW82" s="4">
        <f>IF(OR(('03_Сеть'!BW30-BW28)=0,9&lt;=КаникулыРоялти),0,('03_Сеть'!BW30-BW28)*IF(РоялтиПоГруппам="Да",MeanMinAge09+BW9*SUMIF(ThresholdAge09,"&lt;"&amp;BW9,WeightedRevAge09)-SUMIF(ThresholdAge09,"&lt;"&amp;BW9,WeightedMinAge09),MAX(CapacityAge09*АбонементНовых*BW9,MeanMinAge09)))</f>
        <v/>
      </c>
      <c r="BX82" s="4">
        <f>IF(OR(('03_Сеть'!BX30-BX28)=0,9&lt;=КаникулыРоялти),0,('03_Сеть'!BX30-BX28)*IF(РоялтиПоГруппам="Да",MeanMinAge09+BX9*SUMIF(ThresholdAge09,"&lt;"&amp;BX9,WeightedRevAge09)-SUMIF(ThresholdAge09,"&lt;"&amp;BX9,WeightedMinAge09),MAX(CapacityAge09*АбонементНовых*BX9,MeanMinAge09)))</f>
        <v/>
      </c>
      <c r="BY82" s="4">
        <f>IF(OR(('03_Сеть'!BY30-BY28)=0,9&lt;=КаникулыРоялти),0,('03_Сеть'!BY30-BY28)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83">
      <c r="B83" t="inlineStr">
        <is>
          <t>10 мес.</t>
        </is>
      </c>
      <c r="C83" t="inlineStr">
        <is>
          <t>₽</t>
        </is>
      </c>
      <c r="D83" s="117" t="inlineStr"/>
      <c r="E83" s="119">
        <f>SUM(L83:W83)</f>
        <v/>
      </c>
      <c r="F83" s="119">
        <f>SUM(X83:AI83)</f>
        <v/>
      </c>
      <c r="G83" s="119">
        <f>SUM(AJ83:AU83)</f>
        <v/>
      </c>
      <c r="H83" s="119">
        <f>SUM(AV83:BG83)</f>
        <v/>
      </c>
      <c r="I83" s="119">
        <f>SUM(BH83:BS83)</f>
        <v/>
      </c>
      <c r="J83" s="5">
        <f>SUM(L83:BS83)</f>
        <v/>
      </c>
      <c r="L83" s="4">
        <f>IF(OR(('03_Сеть'!L31-L29)=0,10&lt;=КаникулыРоялти),0,('03_Сеть'!L31-L29)*IF(РоялтиПоГруппам="Да",MeanMinAge10+L9*SUMIF(ThresholdAge10,"&lt;"&amp;L9,WeightedRevAge10)-SUMIF(ThresholdAge10,"&lt;"&amp;L9,WeightedMinAge10),MAX(CapacityAge10*АбонементНовых*L9,MeanMinAge10)))</f>
        <v/>
      </c>
      <c r="M83" s="4">
        <f>IF(OR(('03_Сеть'!M31-M29)=0,10&lt;=КаникулыРоялти),0,('03_Сеть'!M31-M29)*IF(РоялтиПоГруппам="Да",MeanMinAge10+M9*SUMIF(ThresholdAge10,"&lt;"&amp;M9,WeightedRevAge10)-SUMIF(ThresholdAge10,"&lt;"&amp;M9,WeightedMinAge10),MAX(CapacityAge10*АбонементНовых*M9,MeanMinAge10)))</f>
        <v/>
      </c>
      <c r="N83" s="4">
        <f>IF(OR(('03_Сеть'!N31-N29)=0,10&lt;=КаникулыРоялти),0,('03_Сеть'!N31-N29)*IF(РоялтиПоГруппам="Да",MeanMinAge10+N9*SUMIF(ThresholdAge10,"&lt;"&amp;N9,WeightedRevAge10)-SUMIF(ThresholdAge10,"&lt;"&amp;N9,WeightedMinAge10),MAX(CapacityAge10*АбонементНовых*N9,MeanMinAge10)))</f>
        <v/>
      </c>
      <c r="O83" s="4">
        <f>IF(OR(('03_Сеть'!O31-O29)=0,10&lt;=КаникулыРоялти),0,('03_Сеть'!O31-O29)*IF(РоялтиПоГруппам="Да",MeanMinAge10+O9*SUMIF(ThresholdAge10,"&lt;"&amp;O9,WeightedRevAge10)-SUMIF(ThresholdAge10,"&lt;"&amp;O9,WeightedMinAge10),MAX(CapacityAge10*АбонементНовых*O9,MeanMinAge10)))</f>
        <v/>
      </c>
      <c r="P83" s="4">
        <f>IF(OR(('03_Сеть'!P31-P29)=0,10&lt;=КаникулыРоялти),0,('03_Сеть'!P31-P29)*IF(РоялтиПоГруппам="Да",MeanMinAge10+P9*SUMIF(ThresholdAge10,"&lt;"&amp;P9,WeightedRevAge10)-SUMIF(ThresholdAge10,"&lt;"&amp;P9,WeightedMinAge10),MAX(CapacityAge10*АбонементНовых*P9,MeanMinAge10)))</f>
        <v/>
      </c>
      <c r="Q83" s="4">
        <f>IF(OR(('03_Сеть'!Q31-Q29)=0,10&lt;=КаникулыРоялти),0,('03_Сеть'!Q31-Q29)*IF(РоялтиПоГруппам="Да",MeanMinAge10+Q9*SUMIF(ThresholdAge10,"&lt;"&amp;Q9,WeightedRevAge10)-SUMIF(ThresholdAge10,"&lt;"&amp;Q9,WeightedMinAge10),MAX(CapacityAge10*АбонементНовых*Q9,MeanMinAge10)))</f>
        <v/>
      </c>
      <c r="R83" s="4">
        <f>IF(OR(('03_Сеть'!R31-R29)=0,10&lt;=КаникулыРоялти),0,('03_Сеть'!R31-R29)*IF(РоялтиПоГруппам="Да",MeanMinAge10+R9*SUMIF(ThresholdAge10,"&lt;"&amp;R9,WeightedRevAge10)-SUMIF(ThresholdAge10,"&lt;"&amp;R9,WeightedMinAge10),MAX(CapacityAge10*АбонементНовых*R9,MeanMinAge10)))</f>
        <v/>
      </c>
      <c r="S83" s="4">
        <f>IF(OR(('03_Сеть'!S31-S29)=0,10&lt;=КаникулыРоялти),0,('03_Сеть'!S31-S29)*IF(РоялтиПоГруппам="Да",MeanMinAge10+S9*SUMIF(ThresholdAge10,"&lt;"&amp;S9,WeightedRevAge10)-SUMIF(ThresholdAge10,"&lt;"&amp;S9,WeightedMinAge10),MAX(CapacityAge10*АбонементНовых*S9,MeanMinAge10)))</f>
        <v/>
      </c>
      <c r="T83" s="4">
        <f>IF(OR(('03_Сеть'!T31-T29)=0,10&lt;=КаникулыРоялти),0,('03_Сеть'!T31-T29)*IF(РоялтиПоГруппам="Да",MeanMinAge10+T9*SUMIF(ThresholdAge10,"&lt;"&amp;T9,WeightedRevAge10)-SUMIF(ThresholdAge10,"&lt;"&amp;T9,WeightedMinAge10),MAX(CapacityAge10*АбонементНовых*T9,MeanMinAge10)))</f>
        <v/>
      </c>
      <c r="U83" s="4">
        <f>IF(OR(('03_Сеть'!U31-U29)=0,10&lt;=КаникулыРоялти),0,('03_Сеть'!U31-U29)*IF(РоялтиПоГруппам="Да",MeanMinAge10+U9*SUMIF(ThresholdAge10,"&lt;"&amp;U9,WeightedRevAge10)-SUMIF(ThresholdAge10,"&lt;"&amp;U9,WeightedMinAge10),MAX(CapacityAge10*АбонементНовых*U9,MeanMinAge10)))</f>
        <v/>
      </c>
      <c r="V83" s="4">
        <f>IF(OR(('03_Сеть'!V31-V29)=0,10&lt;=КаникулыРоялти),0,('03_Сеть'!V31-V29)*IF(РоялтиПоГруппам="Да",MeanMinAge10+V9*SUMIF(ThresholdAge10,"&lt;"&amp;V9,WeightedRevAge10)-SUMIF(ThresholdAge10,"&lt;"&amp;V9,WeightedMinAge10),MAX(CapacityAge10*АбонементНовых*V9,MeanMinAge10)))</f>
        <v/>
      </c>
      <c r="W83" s="4">
        <f>IF(OR(('03_Сеть'!W31-W29)=0,10&lt;=КаникулыРоялти),0,('03_Сеть'!W31-W29)*IF(РоялтиПоГруппам="Да",MeanMinAge10+W9*SUMIF(ThresholdAge10,"&lt;"&amp;W9,WeightedRevAge10)-SUMIF(ThresholdAge10,"&lt;"&amp;W9,WeightedMinAge10),MAX(CapacityAge10*АбонементНовых*W9,MeanMinAge10)))</f>
        <v/>
      </c>
      <c r="X83" s="4">
        <f>IF(OR(('03_Сеть'!X31-X29)=0,10&lt;=КаникулыРоялти),0,('03_Сеть'!X31-X29)*IF(РоялтиПоГруппам="Да",MeanMinAge10+X9*SUMIF(ThresholdAge10,"&lt;"&amp;X9,WeightedRevAge10)-SUMIF(ThresholdAge10,"&lt;"&amp;X9,WeightedMinAge10),MAX(CapacityAge10*АбонементНовых*X9,MeanMinAge10)))</f>
        <v/>
      </c>
      <c r="Y83" s="4">
        <f>IF(OR(('03_Сеть'!Y31-Y29)=0,10&lt;=КаникулыРоялти),0,('03_Сеть'!Y31-Y29)*IF(РоялтиПоГруппам="Да",MeanMinAge10+Y9*SUMIF(ThresholdAge10,"&lt;"&amp;Y9,WeightedRevAge10)-SUMIF(ThresholdAge10,"&lt;"&amp;Y9,WeightedMinAge10),MAX(CapacityAge10*АбонементНовых*Y9,MeanMinAge10)))</f>
        <v/>
      </c>
      <c r="Z83" s="4">
        <f>IF(OR(('03_Сеть'!Z31-Z29)=0,10&lt;=КаникулыРоялти),0,('03_Сеть'!Z31-Z29)*IF(РоялтиПоГруппам="Да",MeanMinAge10+Z9*SUMIF(ThresholdAge10,"&lt;"&amp;Z9,WeightedRevAge10)-SUMIF(ThresholdAge10,"&lt;"&amp;Z9,WeightedMinAge10),MAX(CapacityAge10*АбонементНовых*Z9,MeanMinAge10)))</f>
        <v/>
      </c>
      <c r="AA83" s="4">
        <f>IF(OR(('03_Сеть'!AA31-AA29)=0,10&lt;=КаникулыРоялти),0,('03_Сеть'!AA31-AA29)*IF(РоялтиПоГруппам="Да",MeanMinAge10+AA9*SUMIF(ThresholdAge10,"&lt;"&amp;AA9,WeightedRevAge10)-SUMIF(ThresholdAge10,"&lt;"&amp;AA9,WeightedMinAge10),MAX(CapacityAge10*АбонементНовых*AA9,MeanMinAge10)))</f>
        <v/>
      </c>
      <c r="AB83" s="4">
        <f>IF(OR(('03_Сеть'!AB31-AB29)=0,10&lt;=КаникулыРоялти),0,('03_Сеть'!AB31-AB29)*IF(РоялтиПоГруппам="Да",MeanMinAge10+AB9*SUMIF(ThresholdAge10,"&lt;"&amp;AB9,WeightedRevAge10)-SUMIF(ThresholdAge10,"&lt;"&amp;AB9,WeightedMinAge10),MAX(CapacityAge10*АбонементНовых*AB9,MeanMinAge10)))</f>
        <v/>
      </c>
      <c r="AC83" s="4">
        <f>IF(OR(('03_Сеть'!AC31-AC29)=0,10&lt;=КаникулыРоялти),0,('03_Сеть'!AC31-AC29)*IF(РоялтиПоГруппам="Да",MeanMinAge10+AC9*SUMIF(ThresholdAge10,"&lt;"&amp;AC9,WeightedRevAge10)-SUMIF(ThresholdAge10,"&lt;"&amp;AC9,WeightedMinAge10),MAX(CapacityAge10*АбонементНовых*AC9,MeanMinAge10)))</f>
        <v/>
      </c>
      <c r="AD83" s="4">
        <f>IF(OR(('03_Сеть'!AD31-AD29)=0,10&lt;=КаникулыРоялти),0,('03_Сеть'!AD31-AD29)*IF(РоялтиПоГруппам="Да",MeanMinAge10+AD9*SUMIF(ThresholdAge10,"&lt;"&amp;AD9,WeightedRevAge10)-SUMIF(ThresholdAge10,"&lt;"&amp;AD9,WeightedMinAge10),MAX(CapacityAge10*АбонементНовых*AD9,MeanMinAge10)))</f>
        <v/>
      </c>
      <c r="AE83" s="4">
        <f>IF(OR(('03_Сеть'!AE31-AE29)=0,10&lt;=КаникулыРоялти),0,('03_Сеть'!AE31-AE29)*IF(РоялтиПоГруппам="Да",MeanMinAge10+AE9*SUMIF(ThresholdAge10,"&lt;"&amp;AE9,WeightedRevAge10)-SUMIF(ThresholdAge10,"&lt;"&amp;AE9,WeightedMinAge10),MAX(CapacityAge10*АбонементНовых*AE9,MeanMinAge10)))</f>
        <v/>
      </c>
      <c r="AF83" s="4">
        <f>IF(OR(('03_Сеть'!AF31-AF29)=0,10&lt;=КаникулыРоялти),0,('03_Сеть'!AF31-AF29)*IF(РоялтиПоГруппам="Да",MeanMinAge10+AF9*SUMIF(ThresholdAge10,"&lt;"&amp;AF9,WeightedRevAge10)-SUMIF(ThresholdAge10,"&lt;"&amp;AF9,WeightedMinAge10),MAX(CapacityAge10*АбонементНовых*AF9,MeanMinAge10)))</f>
        <v/>
      </c>
      <c r="AG83" s="4">
        <f>IF(OR(('03_Сеть'!AG31-AG29)=0,10&lt;=КаникулыРоялти),0,('03_Сеть'!AG31-AG29)*IF(РоялтиПоГруппам="Да",MeanMinAge10+AG9*SUMIF(ThresholdAge10,"&lt;"&amp;AG9,WeightedRevAge10)-SUMIF(ThresholdAge10,"&lt;"&amp;AG9,WeightedMinAge10),MAX(CapacityAge10*АбонементНовых*AG9,MeanMinAge10)))</f>
        <v/>
      </c>
      <c r="AH83" s="4">
        <f>IF(OR(('03_Сеть'!AH31-AH29)=0,10&lt;=КаникулыРоялти),0,('03_Сеть'!AH31-AH29)*IF(РоялтиПоГруппам="Да",MeanMinAge10+AH9*SUMIF(ThresholdAge10,"&lt;"&amp;AH9,WeightedRevAge10)-SUMIF(ThresholdAge10,"&lt;"&amp;AH9,WeightedMinAge10),MAX(CapacityAge10*АбонементНовых*AH9,MeanMinAge10)))</f>
        <v/>
      </c>
      <c r="AI83" s="4">
        <f>IF(OR(('03_Сеть'!AI31-AI29)=0,10&lt;=КаникулыРоялти),0,('03_Сеть'!AI31-AI29)*IF(РоялтиПоГруппам="Да",MeanMinAge10+AI9*SUMIF(ThresholdAge10,"&lt;"&amp;AI9,WeightedRevAge10)-SUMIF(ThresholdAge10,"&lt;"&amp;AI9,WeightedMinAge10),MAX(CapacityAge10*АбонементНовых*AI9,MeanMinAge10)))</f>
        <v/>
      </c>
      <c r="AJ83" s="4">
        <f>IF(OR(('03_Сеть'!AJ31-AJ29)=0,10&lt;=КаникулыРоялти),0,('03_Сеть'!AJ31-AJ29)*IF(РоялтиПоГруппам="Да",MeanMinAge10+AJ9*SUMIF(ThresholdAge10,"&lt;"&amp;AJ9,WeightedRevAge10)-SUMIF(ThresholdAge10,"&lt;"&amp;AJ9,WeightedMinAge10),MAX(CapacityAge10*АбонементНовых*AJ9,MeanMinAge10)))</f>
        <v/>
      </c>
      <c r="AK83" s="4">
        <f>IF(OR(('03_Сеть'!AK31-AK29)=0,10&lt;=КаникулыРоялти),0,('03_Сеть'!AK31-AK29)*IF(РоялтиПоГруппам="Да",MeanMinAge10+AK9*SUMIF(ThresholdAge10,"&lt;"&amp;AK9,WeightedRevAge10)-SUMIF(ThresholdAge10,"&lt;"&amp;AK9,WeightedMinAge10),MAX(CapacityAge10*АбонементНовых*AK9,MeanMinAge10)))</f>
        <v/>
      </c>
      <c r="AL83" s="4">
        <f>IF(OR(('03_Сеть'!AL31-AL29)=0,10&lt;=КаникулыРоялти),0,('03_Сеть'!AL31-AL29)*IF(РоялтиПоГруппам="Да",MeanMinAge10+AL9*SUMIF(ThresholdAge10,"&lt;"&amp;AL9,WeightedRevAge10)-SUMIF(ThresholdAge10,"&lt;"&amp;AL9,WeightedMinAge10),MAX(CapacityAge10*АбонементНовых*AL9,MeanMinAge10)))</f>
        <v/>
      </c>
      <c r="AM83" s="4">
        <f>IF(OR(('03_Сеть'!AM31-AM29)=0,10&lt;=КаникулыРоялти),0,('03_Сеть'!AM31-AM29)*IF(РоялтиПоГруппам="Да",MeanMinAge10+AM9*SUMIF(ThresholdAge10,"&lt;"&amp;AM9,WeightedRevAge10)-SUMIF(ThresholdAge10,"&lt;"&amp;AM9,WeightedMinAge10),MAX(CapacityAge10*АбонементНовых*AM9,MeanMinAge10)))</f>
        <v/>
      </c>
      <c r="AN83" s="4">
        <f>IF(OR(('03_Сеть'!AN31-AN29)=0,10&lt;=КаникулыРоялти),0,('03_Сеть'!AN31-AN29)*IF(РоялтиПоГруппам="Да",MeanMinAge10+AN9*SUMIF(ThresholdAge10,"&lt;"&amp;AN9,WeightedRevAge10)-SUMIF(ThresholdAge10,"&lt;"&amp;AN9,WeightedMinAge10),MAX(CapacityAge10*АбонементНовых*AN9,MeanMinAge10)))</f>
        <v/>
      </c>
      <c r="AO83" s="4">
        <f>IF(OR(('03_Сеть'!AO31-AO29)=0,10&lt;=КаникулыРоялти),0,('03_Сеть'!AO31-AO29)*IF(РоялтиПоГруппам="Да",MeanMinAge10+AO9*SUMIF(ThresholdAge10,"&lt;"&amp;AO9,WeightedRevAge10)-SUMIF(ThresholdAge10,"&lt;"&amp;AO9,WeightedMinAge10),MAX(CapacityAge10*АбонементНовых*AO9,MeanMinAge10)))</f>
        <v/>
      </c>
      <c r="AP83" s="4">
        <f>IF(OR(('03_Сеть'!AP31-AP29)=0,10&lt;=КаникулыРоялти),0,('03_Сеть'!AP31-AP29)*IF(РоялтиПоГруппам="Да",MeanMinAge10+AP9*SUMIF(ThresholdAge10,"&lt;"&amp;AP9,WeightedRevAge10)-SUMIF(ThresholdAge10,"&lt;"&amp;AP9,WeightedMinAge10),MAX(CapacityAge10*АбонементНовых*AP9,MeanMinAge10)))</f>
        <v/>
      </c>
      <c r="AQ83" s="4">
        <f>IF(OR(('03_Сеть'!AQ31-AQ29)=0,10&lt;=КаникулыРоялти),0,('03_Сеть'!AQ31-AQ29)*IF(РоялтиПоГруппам="Да",MeanMinAge10+AQ9*SUMIF(ThresholdAge10,"&lt;"&amp;AQ9,WeightedRevAge10)-SUMIF(ThresholdAge10,"&lt;"&amp;AQ9,WeightedMinAge10),MAX(CapacityAge10*АбонементНовых*AQ9,MeanMinAge10)))</f>
        <v/>
      </c>
      <c r="AR83" s="4">
        <f>IF(OR(('03_Сеть'!AR31-AR29)=0,10&lt;=КаникулыРоялти),0,('03_Сеть'!AR31-AR29)*IF(РоялтиПоГруппам="Да",MeanMinAge10+AR9*SUMIF(ThresholdAge10,"&lt;"&amp;AR9,WeightedRevAge10)-SUMIF(ThresholdAge10,"&lt;"&amp;AR9,WeightedMinAge10),MAX(CapacityAge10*АбонементНовых*AR9,MeanMinAge10)))</f>
        <v/>
      </c>
      <c r="AS83" s="4">
        <f>IF(OR(('03_Сеть'!AS31-AS29)=0,10&lt;=КаникулыРоялти),0,('03_Сеть'!AS31-AS29)*IF(РоялтиПоГруппам="Да",MeanMinAge10+AS9*SUMIF(ThresholdAge10,"&lt;"&amp;AS9,WeightedRevAge10)-SUMIF(ThresholdAge10,"&lt;"&amp;AS9,WeightedMinAge10),MAX(CapacityAge10*АбонементНовых*AS9,MeanMinAge10)))</f>
        <v/>
      </c>
      <c r="AT83" s="4">
        <f>IF(OR(('03_Сеть'!AT31-AT29)=0,10&lt;=КаникулыРоялти),0,('03_Сеть'!AT31-AT29)*IF(РоялтиПоГруппам="Да",MeanMinAge10+AT9*SUMIF(ThresholdAge10,"&lt;"&amp;AT9,WeightedRevAge10)-SUMIF(ThresholdAge10,"&lt;"&amp;AT9,WeightedMinAge10),MAX(CapacityAge10*АбонементНовых*AT9,MeanMinAge10)))</f>
        <v/>
      </c>
      <c r="AU83" s="4">
        <f>IF(OR(('03_Сеть'!AU31-AU29)=0,10&lt;=КаникулыРоялти),0,('03_Сеть'!AU31-AU29)*IF(РоялтиПоГруппам="Да",MeanMinAge10+AU9*SUMIF(ThresholdAge10,"&lt;"&amp;AU9,WeightedRevAge10)-SUMIF(ThresholdAge10,"&lt;"&amp;AU9,WeightedMinAge10),MAX(CapacityAge10*АбонементНовых*AU9,MeanMinAge10)))</f>
        <v/>
      </c>
      <c r="AV83" s="4">
        <f>IF(OR(('03_Сеть'!AV31-AV29)=0,10&lt;=КаникулыРоялти),0,('03_Сеть'!AV31-AV29)*IF(РоялтиПоГруппам="Да",MeanMinAge10+AV9*SUMIF(ThresholdAge10,"&lt;"&amp;AV9,WeightedRevAge10)-SUMIF(ThresholdAge10,"&lt;"&amp;AV9,WeightedMinAge10),MAX(CapacityAge10*АбонементНовых*AV9,MeanMinAge10)))</f>
        <v/>
      </c>
      <c r="AW83" s="4">
        <f>IF(OR(('03_Сеть'!AW31-AW29)=0,10&lt;=КаникулыРоялти),0,('03_Сеть'!AW31-AW29)*IF(РоялтиПоГруппам="Да",MeanMinAge10+AW9*SUMIF(ThresholdAge10,"&lt;"&amp;AW9,WeightedRevAge10)-SUMIF(ThresholdAge10,"&lt;"&amp;AW9,WeightedMinAge10),MAX(CapacityAge10*АбонементНовых*AW9,MeanMinAge10)))</f>
        <v/>
      </c>
      <c r="AX83" s="4">
        <f>IF(OR(('03_Сеть'!AX31-AX29)=0,10&lt;=КаникулыРоялти),0,('03_Сеть'!AX31-AX29)*IF(РоялтиПоГруппам="Да",MeanMinAge10+AX9*SUMIF(ThresholdAge10,"&lt;"&amp;AX9,WeightedRevAge10)-SUMIF(ThresholdAge10,"&lt;"&amp;AX9,WeightedMinAge10),MAX(CapacityAge10*АбонементНовых*AX9,MeanMinAge10)))</f>
        <v/>
      </c>
      <c r="AY83" s="4">
        <f>IF(OR(('03_Сеть'!AY31-AY29)=0,10&lt;=КаникулыРоялти),0,('03_Сеть'!AY31-AY29)*IF(РоялтиПоГруппам="Да",MeanMinAge10+AY9*SUMIF(ThresholdAge10,"&lt;"&amp;AY9,WeightedRevAge10)-SUMIF(ThresholdAge10,"&lt;"&amp;AY9,WeightedMinAge10),MAX(CapacityAge10*АбонементНовых*AY9,MeanMinAge10)))</f>
        <v/>
      </c>
      <c r="AZ83" s="4">
        <f>IF(OR(('03_Сеть'!AZ31-AZ29)=0,10&lt;=КаникулыРоялти),0,('03_Сеть'!AZ31-AZ29)*IF(РоялтиПоГруппам="Да",MeanMinAge10+AZ9*SUMIF(ThresholdAge10,"&lt;"&amp;AZ9,WeightedRevAge10)-SUMIF(ThresholdAge10,"&lt;"&amp;AZ9,WeightedMinAge10),MAX(CapacityAge10*АбонементНовых*AZ9,MeanMinAge10)))</f>
        <v/>
      </c>
      <c r="BA83" s="4">
        <f>IF(OR(('03_Сеть'!BA31-BA29)=0,10&lt;=КаникулыРоялти),0,('03_Сеть'!BA31-BA29)*IF(РоялтиПоГруппам="Да",MeanMinAge10+BA9*SUMIF(ThresholdAge10,"&lt;"&amp;BA9,WeightedRevAge10)-SUMIF(ThresholdAge10,"&lt;"&amp;BA9,WeightedMinAge10),MAX(CapacityAge10*АбонементНовых*BA9,MeanMinAge10)))</f>
        <v/>
      </c>
      <c r="BB83" s="4">
        <f>IF(OR(('03_Сеть'!BB31-BB29)=0,10&lt;=КаникулыРоялти),0,('03_Сеть'!BB31-BB29)*IF(РоялтиПоГруппам="Да",MeanMinAge10+BB9*SUMIF(ThresholdAge10,"&lt;"&amp;BB9,WeightedRevAge10)-SUMIF(ThresholdAge10,"&lt;"&amp;BB9,WeightedMinAge10),MAX(CapacityAge10*АбонементНовых*BB9,MeanMinAge10)))</f>
        <v/>
      </c>
      <c r="BC83" s="4">
        <f>IF(OR(('03_Сеть'!BC31-BC29)=0,10&lt;=КаникулыРоялти),0,('03_Сеть'!BC31-BC29)*IF(РоялтиПоГруппам="Да",MeanMinAge10+BC9*SUMIF(ThresholdAge10,"&lt;"&amp;BC9,WeightedRevAge10)-SUMIF(ThresholdAge10,"&lt;"&amp;BC9,WeightedMinAge10),MAX(CapacityAge10*АбонементНовых*BC9,MeanMinAge10)))</f>
        <v/>
      </c>
      <c r="BD83" s="4">
        <f>IF(OR(('03_Сеть'!BD31-BD29)=0,10&lt;=КаникулыРоялти),0,('03_Сеть'!BD31-BD29)*IF(РоялтиПоГруппам="Да",MeanMinAge10+BD9*SUMIF(ThresholdAge10,"&lt;"&amp;BD9,WeightedRevAge10)-SUMIF(ThresholdAge10,"&lt;"&amp;BD9,WeightedMinAge10),MAX(CapacityAge10*АбонементНовых*BD9,MeanMinAge10)))</f>
        <v/>
      </c>
      <c r="BE83" s="4">
        <f>IF(OR(('03_Сеть'!BE31-BE29)=0,10&lt;=КаникулыРоялти),0,('03_Сеть'!BE31-BE29)*IF(РоялтиПоГруппам="Да",MeanMinAge10+BE9*SUMIF(ThresholdAge10,"&lt;"&amp;BE9,WeightedRevAge10)-SUMIF(ThresholdAge10,"&lt;"&amp;BE9,WeightedMinAge10),MAX(CapacityAge10*АбонементНовых*BE9,MeanMinAge10)))</f>
        <v/>
      </c>
      <c r="BF83" s="4">
        <f>IF(OR(('03_Сеть'!BF31-BF29)=0,10&lt;=КаникулыРоялти),0,('03_Сеть'!BF31-BF29)*IF(РоялтиПоГруппам="Да",MeanMinAge10+BF9*SUMIF(ThresholdAge10,"&lt;"&amp;BF9,WeightedRevAge10)-SUMIF(ThresholdAge10,"&lt;"&amp;BF9,WeightedMinAge10),MAX(CapacityAge10*АбонементНовых*BF9,MeanMinAge10)))</f>
        <v/>
      </c>
      <c r="BG83" s="4">
        <f>IF(OR(('03_Сеть'!BG31-BG29)=0,10&lt;=КаникулыРоялти),0,('03_Сеть'!BG31-BG29)*IF(РоялтиПоГруппам="Да",MeanMinAge10+BG9*SUMIF(ThresholdAge10,"&lt;"&amp;BG9,WeightedRevAge10)-SUMIF(ThresholdAge10,"&lt;"&amp;BG9,WeightedMinAge10),MAX(CapacityAge10*АбонементНовых*BG9,MeanMinAge10)))</f>
        <v/>
      </c>
      <c r="BH83" s="4">
        <f>IF(OR(('03_Сеть'!BH31-BH29)=0,10&lt;=КаникулыРоялти),0,('03_Сеть'!BH31-BH29)*IF(РоялтиПоГруппам="Да",MeanMinAge10+BH9*SUMIF(ThresholdAge10,"&lt;"&amp;BH9,WeightedRevAge10)-SUMIF(ThresholdAge10,"&lt;"&amp;BH9,WeightedMinAge10),MAX(CapacityAge10*АбонементНовых*BH9,MeanMinAge10)))</f>
        <v/>
      </c>
      <c r="BI83" s="4">
        <f>IF(OR(('03_Сеть'!BI31-BI29)=0,10&lt;=КаникулыРоялти),0,('03_Сеть'!BI31-BI29)*IF(РоялтиПоГруппам="Да",MeanMinAge10+BI9*SUMIF(ThresholdAge10,"&lt;"&amp;BI9,WeightedRevAge10)-SUMIF(ThresholdAge10,"&lt;"&amp;BI9,WeightedMinAge10),MAX(CapacityAge10*АбонементНовых*BI9,MeanMinAge10)))</f>
        <v/>
      </c>
      <c r="BJ83" s="4">
        <f>IF(OR(('03_Сеть'!BJ31-BJ29)=0,10&lt;=КаникулыРоялти),0,('03_Сеть'!BJ31-BJ29)*IF(РоялтиПоГруппам="Да",MeanMinAge10+BJ9*SUMIF(ThresholdAge10,"&lt;"&amp;BJ9,WeightedRevAge10)-SUMIF(ThresholdAge10,"&lt;"&amp;BJ9,WeightedMinAge10),MAX(CapacityAge10*АбонементНовых*BJ9,MeanMinAge10)))</f>
        <v/>
      </c>
      <c r="BK83" s="4">
        <f>IF(OR(('03_Сеть'!BK31-BK29)=0,10&lt;=КаникулыРоялти),0,('03_Сеть'!BK31-BK29)*IF(РоялтиПоГруппам="Да",MeanMinAge10+BK9*SUMIF(ThresholdAge10,"&lt;"&amp;BK9,WeightedRevAge10)-SUMIF(ThresholdAge10,"&lt;"&amp;BK9,WeightedMinAge10),MAX(CapacityAge10*АбонементНовых*BK9,MeanMinAge10)))</f>
        <v/>
      </c>
      <c r="BL83" s="4">
        <f>IF(OR(('03_Сеть'!BL31-BL29)=0,10&lt;=КаникулыРоялти),0,('03_Сеть'!BL31-BL29)*IF(РоялтиПоГруппам="Да",MeanMinAge10+BL9*SUMIF(ThresholdAge10,"&lt;"&amp;BL9,WeightedRevAge10)-SUMIF(ThresholdAge10,"&lt;"&amp;BL9,WeightedMinAge10),MAX(CapacityAge10*АбонементНовых*BL9,MeanMinAge10)))</f>
        <v/>
      </c>
      <c r="BM83" s="4">
        <f>IF(OR(('03_Сеть'!BM31-BM29)=0,10&lt;=КаникулыРоялти),0,('03_Сеть'!BM31-BM29)*IF(РоялтиПоГруппам="Да",MeanMinAge10+BM9*SUMIF(ThresholdAge10,"&lt;"&amp;BM9,WeightedRevAge10)-SUMIF(ThresholdAge10,"&lt;"&amp;BM9,WeightedMinAge10),MAX(CapacityAge10*АбонементНовых*BM9,MeanMinAge10)))</f>
        <v/>
      </c>
      <c r="BN83" s="4">
        <f>IF(OR(('03_Сеть'!BN31-BN29)=0,10&lt;=КаникулыРоялти),0,('03_Сеть'!BN31-BN29)*IF(РоялтиПоГруппам="Да",MeanMinAge10+BN9*SUMIF(ThresholdAge10,"&lt;"&amp;BN9,WeightedRevAge10)-SUMIF(ThresholdAge10,"&lt;"&amp;BN9,WeightedMinAge10),MAX(CapacityAge10*АбонементНовых*BN9,MeanMinAge10)))</f>
        <v/>
      </c>
      <c r="BO83" s="4">
        <f>IF(OR(('03_Сеть'!BO31-BO29)=0,10&lt;=КаникулыРоялти),0,('03_Сеть'!BO31-BO29)*IF(РоялтиПоГруппам="Да",MeanMinAge10+BO9*SUMIF(ThresholdAge10,"&lt;"&amp;BO9,WeightedRevAge10)-SUMIF(ThresholdAge10,"&lt;"&amp;BO9,WeightedMinAge10),MAX(CapacityAge10*АбонементНовых*BO9,MeanMinAge10)))</f>
        <v/>
      </c>
      <c r="BP83" s="4">
        <f>IF(OR(('03_Сеть'!BP31-BP29)=0,10&lt;=КаникулыРоялти),0,('03_Сеть'!BP31-BP29)*IF(РоялтиПоГруппам="Да",MeanMinAge10+BP9*SUMIF(ThresholdAge10,"&lt;"&amp;BP9,WeightedRevAge10)-SUMIF(ThresholdAge10,"&lt;"&amp;BP9,WeightedMinAge10),MAX(CapacityAge10*АбонементНовых*BP9,MeanMinAge10)))</f>
        <v/>
      </c>
      <c r="BQ83" s="4">
        <f>IF(OR(('03_Сеть'!BQ31-BQ29)=0,10&lt;=КаникулыРоялти),0,('03_Сеть'!BQ31-BQ29)*IF(РоялтиПоГруппам="Да",MeanMinAge10+BQ9*SUMIF(ThresholdAge10,"&lt;"&amp;BQ9,WeightedRevAge10)-SUMIF(ThresholdAge10,"&lt;"&amp;BQ9,WeightedMinAge10),MAX(CapacityAge10*АбонементНовых*BQ9,MeanMinAge10)))</f>
        <v/>
      </c>
      <c r="BR83" s="4">
        <f>IF(OR(('03_Сеть'!BR31-BR29)=0,10&lt;=КаникулыРоялти),0,('03_Сеть'!BR31-BR29)*IF(РоялтиПоГруппам="Да",MeanMinAge10+BR9*SUMIF(ThresholdAge10,"&lt;"&amp;BR9,WeightedRevAge10)-SUMIF(ThresholdAge10,"&lt;"&amp;BR9,WeightedMinAge10),MAX(CapacityAge10*АбонементНовых*BR9,MeanMinAge10)))</f>
        <v/>
      </c>
      <c r="BS83" s="4">
        <f>IF(OR(('03_Сеть'!BS31-BS29)=0,10&lt;=КаникулыРоялти),0,('03_Сеть'!BS31-BS29)*IF(РоялтиПоГруппам="Да",MeanMinAge10+BS9*SUMIF(ThresholdAge10,"&lt;"&amp;BS9,WeightedRevAge10)-SUMIF(ThresholdAge10,"&lt;"&amp;BS9,WeightedMinAge10),MAX(CapacityAge10*АбонементНовых*BS9,MeanMinAge10)))</f>
        <v/>
      </c>
      <c r="BT83" s="4">
        <f>IF(OR(('03_Сеть'!BT31-BT29)=0,10&lt;=КаникулыРоялти),0,('03_Сеть'!BT31-BT29)*IF(РоялтиПоГруппам="Да",MeanMinAge10+BT9*SUMIF(ThresholdAge10,"&lt;"&amp;BT9,WeightedRevAge10)-SUMIF(ThresholdAge10,"&lt;"&amp;BT9,WeightedMinAge10),MAX(CapacityAge10*АбонементНовых*BT9,MeanMinAge10)))</f>
        <v/>
      </c>
      <c r="BU83" s="4">
        <f>IF(OR(('03_Сеть'!BU31-BU29)=0,10&lt;=КаникулыРоялти),0,('03_Сеть'!BU31-BU29)*IF(РоялтиПоГруппам="Да",MeanMinAge10+BU9*SUMIF(ThresholdAge10,"&lt;"&amp;BU9,WeightedRevAge10)-SUMIF(ThresholdAge10,"&lt;"&amp;BU9,WeightedMinAge10),MAX(CapacityAge10*АбонементНовых*BU9,MeanMinAge10)))</f>
        <v/>
      </c>
      <c r="BV83" s="4">
        <f>IF(OR(('03_Сеть'!BV31-BV29)=0,10&lt;=КаникулыРоялти),0,('03_Сеть'!BV31-BV29)*IF(РоялтиПоГруппам="Да",MeanMinAge10+BV9*SUMIF(ThresholdAge10,"&lt;"&amp;BV9,WeightedRevAge10)-SUMIF(ThresholdAge10,"&lt;"&amp;BV9,WeightedMinAge10),MAX(CapacityAge10*АбонементНовых*BV9,MeanMinAge10)))</f>
        <v/>
      </c>
      <c r="BW83" s="4">
        <f>IF(OR(('03_Сеть'!BW31-BW29)=0,10&lt;=КаникулыРоялти),0,('03_Сеть'!BW31-BW29)*IF(РоялтиПоГруппам="Да",MeanMinAge10+BW9*SUMIF(ThresholdAge10,"&lt;"&amp;BW9,WeightedRevAge10)-SUMIF(ThresholdAge10,"&lt;"&amp;BW9,WeightedMinAge10),MAX(CapacityAge10*АбонементНовых*BW9,MeanMinAge10)))</f>
        <v/>
      </c>
      <c r="BX83" s="4">
        <f>IF(OR(('03_Сеть'!BX31-BX29)=0,10&lt;=КаникулыРоялти),0,('03_Сеть'!BX31-BX29)*IF(РоялтиПоГруппам="Да",MeanMinAge10+BX9*SUMIF(ThresholdAge10,"&lt;"&amp;BX9,WeightedRevAge10)-SUMIF(ThresholdAge10,"&lt;"&amp;BX9,WeightedMinAge10),MAX(CapacityAge10*АбонементНовых*BX9,MeanMinAge10)))</f>
        <v/>
      </c>
      <c r="BY83" s="4">
        <f>IF(OR(('03_Сеть'!BY31-BY29)=0,10&lt;=КаникулыРоялти),0,('03_Сеть'!BY31-BY29)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84">
      <c r="B84" t="inlineStr">
        <is>
          <t>11 мес.</t>
        </is>
      </c>
      <c r="C84" t="inlineStr">
        <is>
          <t>₽</t>
        </is>
      </c>
      <c r="D84" s="117" t="inlineStr"/>
      <c r="E84" s="119">
        <f>SUM(L84:W84)</f>
        <v/>
      </c>
      <c r="F84" s="119">
        <f>SUM(X84:AI84)</f>
        <v/>
      </c>
      <c r="G84" s="119">
        <f>SUM(AJ84:AU84)</f>
        <v/>
      </c>
      <c r="H84" s="119">
        <f>SUM(AV84:BG84)</f>
        <v/>
      </c>
      <c r="I84" s="119">
        <f>SUM(BH84:BS84)</f>
        <v/>
      </c>
      <c r="J84" s="5">
        <f>SUM(L84:BS84)</f>
        <v/>
      </c>
      <c r="L84" s="4">
        <f>IF(OR(('03_Сеть'!L32-L30)=0,11&lt;=КаникулыРоялти),0,('03_Сеть'!L32-L30)*IF(РоялтиПоГруппам="Да",MeanMinAge11+L9*SUMIF(ThresholdAge11,"&lt;"&amp;L9,WeightedRevAge11)-SUMIF(ThresholdAge11,"&lt;"&amp;L9,WeightedMinAge11),MAX(CapacityAge11*АбонементНовых*L9,MeanMinAge11)))</f>
        <v/>
      </c>
      <c r="M84" s="4">
        <f>IF(OR(('03_Сеть'!M32-M30)=0,11&lt;=КаникулыРоялти),0,('03_Сеть'!M32-M30)*IF(РоялтиПоГруппам="Да",MeanMinAge11+M9*SUMIF(ThresholdAge11,"&lt;"&amp;M9,WeightedRevAge11)-SUMIF(ThresholdAge11,"&lt;"&amp;M9,WeightedMinAge11),MAX(CapacityAge11*АбонементНовых*M9,MeanMinAge11)))</f>
        <v/>
      </c>
      <c r="N84" s="4">
        <f>IF(OR(('03_Сеть'!N32-N30)=0,11&lt;=КаникулыРоялти),0,('03_Сеть'!N32-N30)*IF(РоялтиПоГруппам="Да",MeanMinAge11+N9*SUMIF(ThresholdAge11,"&lt;"&amp;N9,WeightedRevAge11)-SUMIF(ThresholdAge11,"&lt;"&amp;N9,WeightedMinAge11),MAX(CapacityAge11*АбонементНовых*N9,MeanMinAge11)))</f>
        <v/>
      </c>
      <c r="O84" s="4">
        <f>IF(OR(('03_Сеть'!O32-O30)=0,11&lt;=КаникулыРоялти),0,('03_Сеть'!O32-O30)*IF(РоялтиПоГруппам="Да",MeanMinAge11+O9*SUMIF(ThresholdAge11,"&lt;"&amp;O9,WeightedRevAge11)-SUMIF(ThresholdAge11,"&lt;"&amp;O9,WeightedMinAge11),MAX(CapacityAge11*АбонементНовых*O9,MeanMinAge11)))</f>
        <v/>
      </c>
      <c r="P84" s="4">
        <f>IF(OR(('03_Сеть'!P32-P30)=0,11&lt;=КаникулыРоялти),0,('03_Сеть'!P32-P30)*IF(РоялтиПоГруппам="Да",MeanMinAge11+P9*SUMIF(ThresholdAge11,"&lt;"&amp;P9,WeightedRevAge11)-SUMIF(ThresholdAge11,"&lt;"&amp;P9,WeightedMinAge11),MAX(CapacityAge11*АбонементНовых*P9,MeanMinAge11)))</f>
        <v/>
      </c>
      <c r="Q84" s="4">
        <f>IF(OR(('03_Сеть'!Q32-Q30)=0,11&lt;=КаникулыРоялти),0,('03_Сеть'!Q32-Q30)*IF(РоялтиПоГруппам="Да",MeanMinAge11+Q9*SUMIF(ThresholdAge11,"&lt;"&amp;Q9,WeightedRevAge11)-SUMIF(ThresholdAge11,"&lt;"&amp;Q9,WeightedMinAge11),MAX(CapacityAge11*АбонементНовых*Q9,MeanMinAge11)))</f>
        <v/>
      </c>
      <c r="R84" s="4">
        <f>IF(OR(('03_Сеть'!R32-R30)=0,11&lt;=КаникулыРоялти),0,('03_Сеть'!R32-R30)*IF(РоялтиПоГруппам="Да",MeanMinAge11+R9*SUMIF(ThresholdAge11,"&lt;"&amp;R9,WeightedRevAge11)-SUMIF(ThresholdAge11,"&lt;"&amp;R9,WeightedMinAge11),MAX(CapacityAge11*АбонементНовых*R9,MeanMinAge11)))</f>
        <v/>
      </c>
      <c r="S84" s="4">
        <f>IF(OR(('03_Сеть'!S32-S30)=0,11&lt;=КаникулыРоялти),0,('03_Сеть'!S32-S30)*IF(РоялтиПоГруппам="Да",MeanMinAge11+S9*SUMIF(ThresholdAge11,"&lt;"&amp;S9,WeightedRevAge11)-SUMIF(ThresholdAge11,"&lt;"&amp;S9,WeightedMinAge11),MAX(CapacityAge11*АбонементНовых*S9,MeanMinAge11)))</f>
        <v/>
      </c>
      <c r="T84" s="4">
        <f>IF(OR(('03_Сеть'!T32-T30)=0,11&lt;=КаникулыРоялти),0,('03_Сеть'!T32-T30)*IF(РоялтиПоГруппам="Да",MeanMinAge11+T9*SUMIF(ThresholdAge11,"&lt;"&amp;T9,WeightedRevAge11)-SUMIF(ThresholdAge11,"&lt;"&amp;T9,WeightedMinAge11),MAX(CapacityAge11*АбонементНовых*T9,MeanMinAge11)))</f>
        <v/>
      </c>
      <c r="U84" s="4">
        <f>IF(OR(('03_Сеть'!U32-U30)=0,11&lt;=КаникулыРоялти),0,('03_Сеть'!U32-U30)*IF(РоялтиПоГруппам="Да",MeanMinAge11+U9*SUMIF(ThresholdAge11,"&lt;"&amp;U9,WeightedRevAge11)-SUMIF(ThresholdAge11,"&lt;"&amp;U9,WeightedMinAge11),MAX(CapacityAge11*АбонементНовых*U9,MeanMinAge11)))</f>
        <v/>
      </c>
      <c r="V84" s="4">
        <f>IF(OR(('03_Сеть'!V32-V30)=0,11&lt;=КаникулыРоялти),0,('03_Сеть'!V32-V30)*IF(РоялтиПоГруппам="Да",MeanMinAge11+V9*SUMIF(ThresholdAge11,"&lt;"&amp;V9,WeightedRevAge11)-SUMIF(ThresholdAge11,"&lt;"&amp;V9,WeightedMinAge11),MAX(CapacityAge11*АбонементНовых*V9,MeanMinAge11)))</f>
        <v/>
      </c>
      <c r="W84" s="4">
        <f>IF(OR(('03_Сеть'!W32-W30)=0,11&lt;=КаникулыРоялти),0,('03_Сеть'!W32-W30)*IF(РоялтиПоГруппам="Да",MeanMinAge11+W9*SUMIF(ThresholdAge11,"&lt;"&amp;W9,WeightedRevAge11)-SUMIF(ThresholdAge11,"&lt;"&amp;W9,WeightedMinAge11),MAX(CapacityAge11*АбонементНовых*W9,MeanMinAge11)))</f>
        <v/>
      </c>
      <c r="X84" s="4">
        <f>IF(OR(('03_Сеть'!X32-X30)=0,11&lt;=КаникулыРоялти),0,('03_Сеть'!X32-X30)*IF(РоялтиПоГруппам="Да",MeanMinAge11+X9*SUMIF(ThresholdAge11,"&lt;"&amp;X9,WeightedRevAge11)-SUMIF(ThresholdAge11,"&lt;"&amp;X9,WeightedMinAge11),MAX(CapacityAge11*АбонементНовых*X9,MeanMinAge11)))</f>
        <v/>
      </c>
      <c r="Y84" s="4">
        <f>IF(OR(('03_Сеть'!Y32-Y30)=0,11&lt;=КаникулыРоялти),0,('03_Сеть'!Y32-Y30)*IF(РоялтиПоГруппам="Да",MeanMinAge11+Y9*SUMIF(ThresholdAge11,"&lt;"&amp;Y9,WeightedRevAge11)-SUMIF(ThresholdAge11,"&lt;"&amp;Y9,WeightedMinAge11),MAX(CapacityAge11*АбонементНовых*Y9,MeanMinAge11)))</f>
        <v/>
      </c>
      <c r="Z84" s="4">
        <f>IF(OR(('03_Сеть'!Z32-Z30)=0,11&lt;=КаникулыРоялти),0,('03_Сеть'!Z32-Z30)*IF(РоялтиПоГруппам="Да",MeanMinAge11+Z9*SUMIF(ThresholdAge11,"&lt;"&amp;Z9,WeightedRevAge11)-SUMIF(ThresholdAge11,"&lt;"&amp;Z9,WeightedMinAge11),MAX(CapacityAge11*АбонементНовых*Z9,MeanMinAge11)))</f>
        <v/>
      </c>
      <c r="AA84" s="4">
        <f>IF(OR(('03_Сеть'!AA32-AA30)=0,11&lt;=КаникулыРоялти),0,('03_Сеть'!AA32-AA30)*IF(РоялтиПоГруппам="Да",MeanMinAge11+AA9*SUMIF(ThresholdAge11,"&lt;"&amp;AA9,WeightedRevAge11)-SUMIF(ThresholdAge11,"&lt;"&amp;AA9,WeightedMinAge11),MAX(CapacityAge11*АбонементНовых*AA9,MeanMinAge11)))</f>
        <v/>
      </c>
      <c r="AB84" s="4">
        <f>IF(OR(('03_Сеть'!AB32-AB30)=0,11&lt;=КаникулыРоялти),0,('03_Сеть'!AB32-AB30)*IF(РоялтиПоГруппам="Да",MeanMinAge11+AB9*SUMIF(ThresholdAge11,"&lt;"&amp;AB9,WeightedRevAge11)-SUMIF(ThresholdAge11,"&lt;"&amp;AB9,WeightedMinAge11),MAX(CapacityAge11*АбонементНовых*AB9,MeanMinAge11)))</f>
        <v/>
      </c>
      <c r="AC84" s="4">
        <f>IF(OR(('03_Сеть'!AC32-AC30)=0,11&lt;=КаникулыРоялти),0,('03_Сеть'!AC32-AC30)*IF(РоялтиПоГруппам="Да",MeanMinAge11+AC9*SUMIF(ThresholdAge11,"&lt;"&amp;AC9,WeightedRevAge11)-SUMIF(ThresholdAge11,"&lt;"&amp;AC9,WeightedMinAge11),MAX(CapacityAge11*АбонементНовых*AC9,MeanMinAge11)))</f>
        <v/>
      </c>
      <c r="AD84" s="4">
        <f>IF(OR(('03_Сеть'!AD32-AD30)=0,11&lt;=КаникулыРоялти),0,('03_Сеть'!AD32-AD30)*IF(РоялтиПоГруппам="Да",MeanMinAge11+AD9*SUMIF(ThresholdAge11,"&lt;"&amp;AD9,WeightedRevAge11)-SUMIF(ThresholdAge11,"&lt;"&amp;AD9,WeightedMinAge11),MAX(CapacityAge11*АбонементНовых*AD9,MeanMinAge11)))</f>
        <v/>
      </c>
      <c r="AE84" s="4">
        <f>IF(OR(('03_Сеть'!AE32-AE30)=0,11&lt;=КаникулыРоялти),0,('03_Сеть'!AE32-AE30)*IF(РоялтиПоГруппам="Да",MeanMinAge11+AE9*SUMIF(ThresholdAge11,"&lt;"&amp;AE9,WeightedRevAge11)-SUMIF(ThresholdAge11,"&lt;"&amp;AE9,WeightedMinAge11),MAX(CapacityAge11*АбонементНовых*AE9,MeanMinAge11)))</f>
        <v/>
      </c>
      <c r="AF84" s="4">
        <f>IF(OR(('03_Сеть'!AF32-AF30)=0,11&lt;=КаникулыРоялти),0,('03_Сеть'!AF32-AF30)*IF(РоялтиПоГруппам="Да",MeanMinAge11+AF9*SUMIF(ThresholdAge11,"&lt;"&amp;AF9,WeightedRevAge11)-SUMIF(ThresholdAge11,"&lt;"&amp;AF9,WeightedMinAge11),MAX(CapacityAge11*АбонементНовых*AF9,MeanMinAge11)))</f>
        <v/>
      </c>
      <c r="AG84" s="4">
        <f>IF(OR(('03_Сеть'!AG32-AG30)=0,11&lt;=КаникулыРоялти),0,('03_Сеть'!AG32-AG30)*IF(РоялтиПоГруппам="Да",MeanMinAge11+AG9*SUMIF(ThresholdAge11,"&lt;"&amp;AG9,WeightedRevAge11)-SUMIF(ThresholdAge11,"&lt;"&amp;AG9,WeightedMinAge11),MAX(CapacityAge11*АбонементНовых*AG9,MeanMinAge11)))</f>
        <v/>
      </c>
      <c r="AH84" s="4">
        <f>IF(OR(('03_Сеть'!AH32-AH30)=0,11&lt;=КаникулыРоялти),0,('03_Сеть'!AH32-AH30)*IF(РоялтиПоГруппам="Да",MeanMinAge11+AH9*SUMIF(ThresholdAge11,"&lt;"&amp;AH9,WeightedRevAge11)-SUMIF(ThresholdAge11,"&lt;"&amp;AH9,WeightedMinAge11),MAX(CapacityAge11*АбонементНовых*AH9,MeanMinAge11)))</f>
        <v/>
      </c>
      <c r="AI84" s="4">
        <f>IF(OR(('03_Сеть'!AI32-AI30)=0,11&lt;=КаникулыРоялти),0,('03_Сеть'!AI32-AI30)*IF(РоялтиПоГруппам="Да",MeanMinAge11+AI9*SUMIF(ThresholdAge11,"&lt;"&amp;AI9,WeightedRevAge11)-SUMIF(ThresholdAge11,"&lt;"&amp;AI9,WeightedMinAge11),MAX(CapacityAge11*АбонементНовых*AI9,MeanMinAge11)))</f>
        <v/>
      </c>
      <c r="AJ84" s="4">
        <f>IF(OR(('03_Сеть'!AJ32-AJ30)=0,11&lt;=КаникулыРоялти),0,('03_Сеть'!AJ32-AJ30)*IF(РоялтиПоГруппам="Да",MeanMinAge11+AJ9*SUMIF(ThresholdAge11,"&lt;"&amp;AJ9,WeightedRevAge11)-SUMIF(ThresholdAge11,"&lt;"&amp;AJ9,WeightedMinAge11),MAX(CapacityAge11*АбонементНовых*AJ9,MeanMinAge11)))</f>
        <v/>
      </c>
      <c r="AK84" s="4">
        <f>IF(OR(('03_Сеть'!AK32-AK30)=0,11&lt;=КаникулыРоялти),0,('03_Сеть'!AK32-AK30)*IF(РоялтиПоГруппам="Да",MeanMinAge11+AK9*SUMIF(ThresholdAge11,"&lt;"&amp;AK9,WeightedRevAge11)-SUMIF(ThresholdAge11,"&lt;"&amp;AK9,WeightedMinAge11),MAX(CapacityAge11*АбонементНовых*AK9,MeanMinAge11)))</f>
        <v/>
      </c>
      <c r="AL84" s="4">
        <f>IF(OR(('03_Сеть'!AL32-AL30)=0,11&lt;=КаникулыРоялти),0,('03_Сеть'!AL32-AL30)*IF(РоялтиПоГруппам="Да",MeanMinAge11+AL9*SUMIF(ThresholdAge11,"&lt;"&amp;AL9,WeightedRevAge11)-SUMIF(ThresholdAge11,"&lt;"&amp;AL9,WeightedMinAge11),MAX(CapacityAge11*АбонементНовых*AL9,MeanMinAge11)))</f>
        <v/>
      </c>
      <c r="AM84" s="4">
        <f>IF(OR(('03_Сеть'!AM32-AM30)=0,11&lt;=КаникулыРоялти),0,('03_Сеть'!AM32-AM30)*IF(РоялтиПоГруппам="Да",MeanMinAge11+AM9*SUMIF(ThresholdAge11,"&lt;"&amp;AM9,WeightedRevAge11)-SUMIF(ThresholdAge11,"&lt;"&amp;AM9,WeightedMinAge11),MAX(CapacityAge11*АбонементНовых*AM9,MeanMinAge11)))</f>
        <v/>
      </c>
      <c r="AN84" s="4">
        <f>IF(OR(('03_Сеть'!AN32-AN30)=0,11&lt;=КаникулыРоялти),0,('03_Сеть'!AN32-AN30)*IF(РоялтиПоГруппам="Да",MeanMinAge11+AN9*SUMIF(ThresholdAge11,"&lt;"&amp;AN9,WeightedRevAge11)-SUMIF(ThresholdAge11,"&lt;"&amp;AN9,WeightedMinAge11),MAX(CapacityAge11*АбонементНовых*AN9,MeanMinAge11)))</f>
        <v/>
      </c>
      <c r="AO84" s="4">
        <f>IF(OR(('03_Сеть'!AO32-AO30)=0,11&lt;=КаникулыРоялти),0,('03_Сеть'!AO32-AO30)*IF(РоялтиПоГруппам="Да",MeanMinAge11+AO9*SUMIF(ThresholdAge11,"&lt;"&amp;AO9,WeightedRevAge11)-SUMIF(ThresholdAge11,"&lt;"&amp;AO9,WeightedMinAge11),MAX(CapacityAge11*АбонементНовых*AO9,MeanMinAge11)))</f>
        <v/>
      </c>
      <c r="AP84" s="4">
        <f>IF(OR(('03_Сеть'!AP32-AP30)=0,11&lt;=КаникулыРоялти),0,('03_Сеть'!AP32-AP30)*IF(РоялтиПоГруппам="Да",MeanMinAge11+AP9*SUMIF(ThresholdAge11,"&lt;"&amp;AP9,WeightedRevAge11)-SUMIF(ThresholdAge11,"&lt;"&amp;AP9,WeightedMinAge11),MAX(CapacityAge11*АбонементНовых*AP9,MeanMinAge11)))</f>
        <v/>
      </c>
      <c r="AQ84" s="4">
        <f>IF(OR(('03_Сеть'!AQ32-AQ30)=0,11&lt;=КаникулыРоялти),0,('03_Сеть'!AQ32-AQ30)*IF(РоялтиПоГруппам="Да",MeanMinAge11+AQ9*SUMIF(ThresholdAge11,"&lt;"&amp;AQ9,WeightedRevAge11)-SUMIF(ThresholdAge11,"&lt;"&amp;AQ9,WeightedMinAge11),MAX(CapacityAge11*АбонементНовых*AQ9,MeanMinAge11)))</f>
        <v/>
      </c>
      <c r="AR84" s="4">
        <f>IF(OR(('03_Сеть'!AR32-AR30)=0,11&lt;=КаникулыРоялти),0,('03_Сеть'!AR32-AR30)*IF(РоялтиПоГруппам="Да",MeanMinAge11+AR9*SUMIF(ThresholdAge11,"&lt;"&amp;AR9,WeightedRevAge11)-SUMIF(ThresholdAge11,"&lt;"&amp;AR9,WeightedMinAge11),MAX(CapacityAge11*АбонементНовых*AR9,MeanMinAge11)))</f>
        <v/>
      </c>
      <c r="AS84" s="4">
        <f>IF(OR(('03_Сеть'!AS32-AS30)=0,11&lt;=КаникулыРоялти),0,('03_Сеть'!AS32-AS30)*IF(РоялтиПоГруппам="Да",MeanMinAge11+AS9*SUMIF(ThresholdAge11,"&lt;"&amp;AS9,WeightedRevAge11)-SUMIF(ThresholdAge11,"&lt;"&amp;AS9,WeightedMinAge11),MAX(CapacityAge11*АбонементНовых*AS9,MeanMinAge11)))</f>
        <v/>
      </c>
      <c r="AT84" s="4">
        <f>IF(OR(('03_Сеть'!AT32-AT30)=0,11&lt;=КаникулыРоялти),0,('03_Сеть'!AT32-AT30)*IF(РоялтиПоГруппам="Да",MeanMinAge11+AT9*SUMIF(ThresholdAge11,"&lt;"&amp;AT9,WeightedRevAge11)-SUMIF(ThresholdAge11,"&lt;"&amp;AT9,WeightedMinAge11),MAX(CapacityAge11*АбонементНовых*AT9,MeanMinAge11)))</f>
        <v/>
      </c>
      <c r="AU84" s="4">
        <f>IF(OR(('03_Сеть'!AU32-AU30)=0,11&lt;=КаникулыРоялти),0,('03_Сеть'!AU32-AU30)*IF(РоялтиПоГруппам="Да",MeanMinAge11+AU9*SUMIF(ThresholdAge11,"&lt;"&amp;AU9,WeightedRevAge11)-SUMIF(ThresholdAge11,"&lt;"&amp;AU9,WeightedMinAge11),MAX(CapacityAge11*АбонементНовых*AU9,MeanMinAge11)))</f>
        <v/>
      </c>
      <c r="AV84" s="4">
        <f>IF(OR(('03_Сеть'!AV32-AV30)=0,11&lt;=КаникулыРоялти),0,('03_Сеть'!AV32-AV30)*IF(РоялтиПоГруппам="Да",MeanMinAge11+AV9*SUMIF(ThresholdAge11,"&lt;"&amp;AV9,WeightedRevAge11)-SUMIF(ThresholdAge11,"&lt;"&amp;AV9,WeightedMinAge11),MAX(CapacityAge11*АбонементНовых*AV9,MeanMinAge11)))</f>
        <v/>
      </c>
      <c r="AW84" s="4">
        <f>IF(OR(('03_Сеть'!AW32-AW30)=0,11&lt;=КаникулыРоялти),0,('03_Сеть'!AW32-AW30)*IF(РоялтиПоГруппам="Да",MeanMinAge11+AW9*SUMIF(ThresholdAge11,"&lt;"&amp;AW9,WeightedRevAge11)-SUMIF(ThresholdAge11,"&lt;"&amp;AW9,WeightedMinAge11),MAX(CapacityAge11*АбонементНовых*AW9,MeanMinAge11)))</f>
        <v/>
      </c>
      <c r="AX84" s="4">
        <f>IF(OR(('03_Сеть'!AX32-AX30)=0,11&lt;=КаникулыРоялти),0,('03_Сеть'!AX32-AX30)*IF(РоялтиПоГруппам="Да",MeanMinAge11+AX9*SUMIF(ThresholdAge11,"&lt;"&amp;AX9,WeightedRevAge11)-SUMIF(ThresholdAge11,"&lt;"&amp;AX9,WeightedMinAge11),MAX(CapacityAge11*АбонементНовых*AX9,MeanMinAge11)))</f>
        <v/>
      </c>
      <c r="AY84" s="4">
        <f>IF(OR(('03_Сеть'!AY32-AY30)=0,11&lt;=КаникулыРоялти),0,('03_Сеть'!AY32-AY30)*IF(РоялтиПоГруппам="Да",MeanMinAge11+AY9*SUMIF(ThresholdAge11,"&lt;"&amp;AY9,WeightedRevAge11)-SUMIF(ThresholdAge11,"&lt;"&amp;AY9,WeightedMinAge11),MAX(CapacityAge11*АбонементНовых*AY9,MeanMinAge11)))</f>
        <v/>
      </c>
      <c r="AZ84" s="4">
        <f>IF(OR(('03_Сеть'!AZ32-AZ30)=0,11&lt;=КаникулыРоялти),0,('03_Сеть'!AZ32-AZ30)*IF(РоялтиПоГруппам="Да",MeanMinAge11+AZ9*SUMIF(ThresholdAge11,"&lt;"&amp;AZ9,WeightedRevAge11)-SUMIF(ThresholdAge11,"&lt;"&amp;AZ9,WeightedMinAge11),MAX(CapacityAge11*АбонементНовых*AZ9,MeanMinAge11)))</f>
        <v/>
      </c>
      <c r="BA84" s="4">
        <f>IF(OR(('03_Сеть'!BA32-BA30)=0,11&lt;=КаникулыРоялти),0,('03_Сеть'!BA32-BA30)*IF(РоялтиПоГруппам="Да",MeanMinAge11+BA9*SUMIF(ThresholdAge11,"&lt;"&amp;BA9,WeightedRevAge11)-SUMIF(ThresholdAge11,"&lt;"&amp;BA9,WeightedMinAge11),MAX(CapacityAge11*АбонементНовых*BA9,MeanMinAge11)))</f>
        <v/>
      </c>
      <c r="BB84" s="4">
        <f>IF(OR(('03_Сеть'!BB32-BB30)=0,11&lt;=КаникулыРоялти),0,('03_Сеть'!BB32-BB30)*IF(РоялтиПоГруппам="Да",MeanMinAge11+BB9*SUMIF(ThresholdAge11,"&lt;"&amp;BB9,WeightedRevAge11)-SUMIF(ThresholdAge11,"&lt;"&amp;BB9,WeightedMinAge11),MAX(CapacityAge11*АбонементНовых*BB9,MeanMinAge11)))</f>
        <v/>
      </c>
      <c r="BC84" s="4">
        <f>IF(OR(('03_Сеть'!BC32-BC30)=0,11&lt;=КаникулыРоялти),0,('03_Сеть'!BC32-BC30)*IF(РоялтиПоГруппам="Да",MeanMinAge11+BC9*SUMIF(ThresholdAge11,"&lt;"&amp;BC9,WeightedRevAge11)-SUMIF(ThresholdAge11,"&lt;"&amp;BC9,WeightedMinAge11),MAX(CapacityAge11*АбонементНовых*BC9,MeanMinAge11)))</f>
        <v/>
      </c>
      <c r="BD84" s="4">
        <f>IF(OR(('03_Сеть'!BD32-BD30)=0,11&lt;=КаникулыРоялти),0,('03_Сеть'!BD32-BD30)*IF(РоялтиПоГруппам="Да",MeanMinAge11+BD9*SUMIF(ThresholdAge11,"&lt;"&amp;BD9,WeightedRevAge11)-SUMIF(ThresholdAge11,"&lt;"&amp;BD9,WeightedMinAge11),MAX(CapacityAge11*АбонементНовых*BD9,MeanMinAge11)))</f>
        <v/>
      </c>
      <c r="BE84" s="4">
        <f>IF(OR(('03_Сеть'!BE32-BE30)=0,11&lt;=КаникулыРоялти),0,('03_Сеть'!BE32-BE30)*IF(РоялтиПоГруппам="Да",MeanMinAge11+BE9*SUMIF(ThresholdAge11,"&lt;"&amp;BE9,WeightedRevAge11)-SUMIF(ThresholdAge11,"&lt;"&amp;BE9,WeightedMinAge11),MAX(CapacityAge11*АбонементНовых*BE9,MeanMinAge11)))</f>
        <v/>
      </c>
      <c r="BF84" s="4">
        <f>IF(OR(('03_Сеть'!BF32-BF30)=0,11&lt;=КаникулыРоялти),0,('03_Сеть'!BF32-BF30)*IF(РоялтиПоГруппам="Да",MeanMinAge11+BF9*SUMIF(ThresholdAge11,"&lt;"&amp;BF9,WeightedRevAge11)-SUMIF(ThresholdAge11,"&lt;"&amp;BF9,WeightedMinAge11),MAX(CapacityAge11*АбонементНовых*BF9,MeanMinAge11)))</f>
        <v/>
      </c>
      <c r="BG84" s="4">
        <f>IF(OR(('03_Сеть'!BG32-BG30)=0,11&lt;=КаникулыРоялти),0,('03_Сеть'!BG32-BG30)*IF(РоялтиПоГруппам="Да",MeanMinAge11+BG9*SUMIF(ThresholdAge11,"&lt;"&amp;BG9,WeightedRevAge11)-SUMIF(ThresholdAge11,"&lt;"&amp;BG9,WeightedMinAge11),MAX(CapacityAge11*АбонементНовых*BG9,MeanMinAge11)))</f>
        <v/>
      </c>
      <c r="BH84" s="4">
        <f>IF(OR(('03_Сеть'!BH32-BH30)=0,11&lt;=КаникулыРоялти),0,('03_Сеть'!BH32-BH30)*IF(РоялтиПоГруппам="Да",MeanMinAge11+BH9*SUMIF(ThresholdAge11,"&lt;"&amp;BH9,WeightedRevAge11)-SUMIF(ThresholdAge11,"&lt;"&amp;BH9,WeightedMinAge11),MAX(CapacityAge11*АбонементНовых*BH9,MeanMinAge11)))</f>
        <v/>
      </c>
      <c r="BI84" s="4">
        <f>IF(OR(('03_Сеть'!BI32-BI30)=0,11&lt;=КаникулыРоялти),0,('03_Сеть'!BI32-BI30)*IF(РоялтиПоГруппам="Да",MeanMinAge11+BI9*SUMIF(ThresholdAge11,"&lt;"&amp;BI9,WeightedRevAge11)-SUMIF(ThresholdAge11,"&lt;"&amp;BI9,WeightedMinAge11),MAX(CapacityAge11*АбонементНовых*BI9,MeanMinAge11)))</f>
        <v/>
      </c>
      <c r="BJ84" s="4">
        <f>IF(OR(('03_Сеть'!BJ32-BJ30)=0,11&lt;=КаникулыРоялти),0,('03_Сеть'!BJ32-BJ30)*IF(РоялтиПоГруппам="Да",MeanMinAge11+BJ9*SUMIF(ThresholdAge11,"&lt;"&amp;BJ9,WeightedRevAge11)-SUMIF(ThresholdAge11,"&lt;"&amp;BJ9,WeightedMinAge11),MAX(CapacityAge11*АбонементНовых*BJ9,MeanMinAge11)))</f>
        <v/>
      </c>
      <c r="BK84" s="4">
        <f>IF(OR(('03_Сеть'!BK32-BK30)=0,11&lt;=КаникулыРоялти),0,('03_Сеть'!BK32-BK30)*IF(РоялтиПоГруппам="Да",MeanMinAge11+BK9*SUMIF(ThresholdAge11,"&lt;"&amp;BK9,WeightedRevAge11)-SUMIF(ThresholdAge11,"&lt;"&amp;BK9,WeightedMinAge11),MAX(CapacityAge11*АбонементНовых*BK9,MeanMinAge11)))</f>
        <v/>
      </c>
      <c r="BL84" s="4">
        <f>IF(OR(('03_Сеть'!BL32-BL30)=0,11&lt;=КаникулыРоялти),0,('03_Сеть'!BL32-BL30)*IF(РоялтиПоГруппам="Да",MeanMinAge11+BL9*SUMIF(ThresholdAge11,"&lt;"&amp;BL9,WeightedRevAge11)-SUMIF(ThresholdAge11,"&lt;"&amp;BL9,WeightedMinAge11),MAX(CapacityAge11*АбонементНовых*BL9,MeanMinAge11)))</f>
        <v/>
      </c>
      <c r="BM84" s="4">
        <f>IF(OR(('03_Сеть'!BM32-BM30)=0,11&lt;=КаникулыРоялти),0,('03_Сеть'!BM32-BM30)*IF(РоялтиПоГруппам="Да",MeanMinAge11+BM9*SUMIF(ThresholdAge11,"&lt;"&amp;BM9,WeightedRevAge11)-SUMIF(ThresholdAge11,"&lt;"&amp;BM9,WeightedMinAge11),MAX(CapacityAge11*АбонементНовых*BM9,MeanMinAge11)))</f>
        <v/>
      </c>
      <c r="BN84" s="4">
        <f>IF(OR(('03_Сеть'!BN32-BN30)=0,11&lt;=КаникулыРоялти),0,('03_Сеть'!BN32-BN30)*IF(РоялтиПоГруппам="Да",MeanMinAge11+BN9*SUMIF(ThresholdAge11,"&lt;"&amp;BN9,WeightedRevAge11)-SUMIF(ThresholdAge11,"&lt;"&amp;BN9,WeightedMinAge11),MAX(CapacityAge11*АбонементНовых*BN9,MeanMinAge11)))</f>
        <v/>
      </c>
      <c r="BO84" s="4">
        <f>IF(OR(('03_Сеть'!BO32-BO30)=0,11&lt;=КаникулыРоялти),0,('03_Сеть'!BO32-BO30)*IF(РоялтиПоГруппам="Да",MeanMinAge11+BO9*SUMIF(ThresholdAge11,"&lt;"&amp;BO9,WeightedRevAge11)-SUMIF(ThresholdAge11,"&lt;"&amp;BO9,WeightedMinAge11),MAX(CapacityAge11*АбонементНовых*BO9,MeanMinAge11)))</f>
        <v/>
      </c>
      <c r="BP84" s="4">
        <f>IF(OR(('03_Сеть'!BP32-BP30)=0,11&lt;=КаникулыРоялти),0,('03_Сеть'!BP32-BP30)*IF(РоялтиПоГруппам="Да",MeanMinAge11+BP9*SUMIF(ThresholdAge11,"&lt;"&amp;BP9,WeightedRevAge11)-SUMIF(ThresholdAge11,"&lt;"&amp;BP9,WeightedMinAge11),MAX(CapacityAge11*АбонементНовых*BP9,MeanMinAge11)))</f>
        <v/>
      </c>
      <c r="BQ84" s="4">
        <f>IF(OR(('03_Сеть'!BQ32-BQ30)=0,11&lt;=КаникулыРоялти),0,('03_Сеть'!BQ32-BQ30)*IF(РоялтиПоГруппам="Да",MeanMinAge11+BQ9*SUMIF(ThresholdAge11,"&lt;"&amp;BQ9,WeightedRevAge11)-SUMIF(ThresholdAge11,"&lt;"&amp;BQ9,WeightedMinAge11),MAX(CapacityAge11*АбонементНовых*BQ9,MeanMinAge11)))</f>
        <v/>
      </c>
      <c r="BR84" s="4">
        <f>IF(OR(('03_Сеть'!BR32-BR30)=0,11&lt;=КаникулыРоялти),0,('03_Сеть'!BR32-BR30)*IF(РоялтиПоГруппам="Да",MeanMinAge11+BR9*SUMIF(ThresholdAge11,"&lt;"&amp;BR9,WeightedRevAge11)-SUMIF(ThresholdAge11,"&lt;"&amp;BR9,WeightedMinAge11),MAX(CapacityAge11*АбонементНовых*BR9,MeanMinAge11)))</f>
        <v/>
      </c>
      <c r="BS84" s="4">
        <f>IF(OR(('03_Сеть'!BS32-BS30)=0,11&lt;=КаникулыРоялти),0,('03_Сеть'!BS32-BS30)*IF(РоялтиПоГруппам="Да",MeanMinAge11+BS9*SUMIF(ThresholdAge11,"&lt;"&amp;BS9,WeightedRevAge11)-SUMIF(ThresholdAge11,"&lt;"&amp;BS9,WeightedMinAge11),MAX(CapacityAge11*АбонементНовых*BS9,MeanMinAge11)))</f>
        <v/>
      </c>
      <c r="BT84" s="4">
        <f>IF(OR(('03_Сеть'!BT32-BT30)=0,11&lt;=КаникулыРоялти),0,('03_Сеть'!BT32-BT30)*IF(РоялтиПоГруппам="Да",MeanMinAge11+BT9*SUMIF(ThresholdAge11,"&lt;"&amp;BT9,WeightedRevAge11)-SUMIF(ThresholdAge11,"&lt;"&amp;BT9,WeightedMinAge11),MAX(CapacityAge11*АбонементНовых*BT9,MeanMinAge11)))</f>
        <v/>
      </c>
      <c r="BU84" s="4">
        <f>IF(OR(('03_Сеть'!BU32-BU30)=0,11&lt;=КаникулыРоялти),0,('03_Сеть'!BU32-BU30)*IF(РоялтиПоГруппам="Да",MeanMinAge11+BU9*SUMIF(ThresholdAge11,"&lt;"&amp;BU9,WeightedRevAge11)-SUMIF(ThresholdAge11,"&lt;"&amp;BU9,WeightedMinAge11),MAX(CapacityAge11*АбонементНовых*BU9,MeanMinAge11)))</f>
        <v/>
      </c>
      <c r="BV84" s="4">
        <f>IF(OR(('03_Сеть'!BV32-BV30)=0,11&lt;=КаникулыРоялти),0,('03_Сеть'!BV32-BV30)*IF(РоялтиПоГруппам="Да",MeanMinAge11+BV9*SUMIF(ThresholdAge11,"&lt;"&amp;BV9,WeightedRevAge11)-SUMIF(ThresholdAge11,"&lt;"&amp;BV9,WeightedMinAge11),MAX(CapacityAge11*АбонементНовых*BV9,MeanMinAge11)))</f>
        <v/>
      </c>
      <c r="BW84" s="4">
        <f>IF(OR(('03_Сеть'!BW32-BW30)=0,11&lt;=КаникулыРоялти),0,('03_Сеть'!BW32-BW30)*IF(РоялтиПоГруппам="Да",MeanMinAge11+BW9*SUMIF(ThresholdAge11,"&lt;"&amp;BW9,WeightedRevAge11)-SUMIF(ThresholdAge11,"&lt;"&amp;BW9,WeightedMinAge11),MAX(CapacityAge11*АбонементНовых*BW9,MeanMinAge11)))</f>
        <v/>
      </c>
      <c r="BX84" s="4">
        <f>IF(OR(('03_Сеть'!BX32-BX30)=0,11&lt;=КаникулыРоялти),0,('03_Сеть'!BX32-BX30)*IF(РоялтиПоГруппам="Да",MeanMinAge11+BX9*SUMIF(ThresholdAge11,"&lt;"&amp;BX9,WeightedRevAge11)-SUMIF(ThresholdAge11,"&lt;"&amp;BX9,WeightedMinAge11),MAX(CapacityAge11*АбонементНовых*BX9,MeanMinAge11)))</f>
        <v/>
      </c>
      <c r="BY84" s="4">
        <f>IF(OR(('03_Сеть'!BY32-BY30)=0,11&lt;=КаникулыРоялти),0,('03_Сеть'!BY32-BY30)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85">
      <c r="B85" t="inlineStr">
        <is>
          <t>12 мес.</t>
        </is>
      </c>
      <c r="C85" t="inlineStr">
        <is>
          <t>₽</t>
        </is>
      </c>
      <c r="D85" s="117" t="inlineStr"/>
      <c r="E85" s="119">
        <f>SUM(L85:W85)</f>
        <v/>
      </c>
      <c r="F85" s="119">
        <f>SUM(X85:AI85)</f>
        <v/>
      </c>
      <c r="G85" s="119">
        <f>SUM(AJ85:AU85)</f>
        <v/>
      </c>
      <c r="H85" s="119">
        <f>SUM(AV85:BG85)</f>
        <v/>
      </c>
      <c r="I85" s="119">
        <f>SUM(BH85:BS85)</f>
        <v/>
      </c>
      <c r="J85" s="5">
        <f>SUM(L85:BS85)</f>
        <v/>
      </c>
      <c r="L85" s="4">
        <f>IF(OR(('03_Сеть'!L33-L31)=0,12&lt;=КаникулыРоялти),0,('03_Сеть'!L33-L31)*IF(РоялтиПоГруппам="Да",MeanMinAge12+L9*SUMIF(ThresholdAge12,"&lt;"&amp;L9,WeightedRevAge12)-SUMIF(ThresholdAge12,"&lt;"&amp;L9,WeightedMinAge12),MAX(CapacityAge12*АбонементНовых*L9,MeanMinAge12)))</f>
        <v/>
      </c>
      <c r="M85" s="4">
        <f>IF(OR(('03_Сеть'!M33-M31)=0,12&lt;=КаникулыРоялти),0,('03_Сеть'!M33-M31)*IF(РоялтиПоГруппам="Да",MeanMinAge12+M9*SUMIF(ThresholdAge12,"&lt;"&amp;M9,WeightedRevAge12)-SUMIF(ThresholdAge12,"&lt;"&amp;M9,WeightedMinAge12),MAX(CapacityAge12*АбонементНовых*M9,MeanMinAge12)))</f>
        <v/>
      </c>
      <c r="N85" s="4">
        <f>IF(OR(('03_Сеть'!N33-N31)=0,12&lt;=КаникулыРоялти),0,('03_Сеть'!N33-N31)*IF(РоялтиПоГруппам="Да",MeanMinAge12+N9*SUMIF(ThresholdAge12,"&lt;"&amp;N9,WeightedRevAge12)-SUMIF(ThresholdAge12,"&lt;"&amp;N9,WeightedMinAge12),MAX(CapacityAge12*АбонементНовых*N9,MeanMinAge12)))</f>
        <v/>
      </c>
      <c r="O85" s="4">
        <f>IF(OR(('03_Сеть'!O33-O31)=0,12&lt;=КаникулыРоялти),0,('03_Сеть'!O33-O31)*IF(РоялтиПоГруппам="Да",MeanMinAge12+O9*SUMIF(ThresholdAge12,"&lt;"&amp;O9,WeightedRevAge12)-SUMIF(ThresholdAge12,"&lt;"&amp;O9,WeightedMinAge12),MAX(CapacityAge12*АбонементНовых*O9,MeanMinAge12)))</f>
        <v/>
      </c>
      <c r="P85" s="4">
        <f>IF(OR(('03_Сеть'!P33-P31)=0,12&lt;=КаникулыРоялти),0,('03_Сеть'!P33-P31)*IF(РоялтиПоГруппам="Да",MeanMinAge12+P9*SUMIF(ThresholdAge12,"&lt;"&amp;P9,WeightedRevAge12)-SUMIF(ThresholdAge12,"&lt;"&amp;P9,WeightedMinAge12),MAX(CapacityAge12*АбонементНовых*P9,MeanMinAge12)))</f>
        <v/>
      </c>
      <c r="Q85" s="4">
        <f>IF(OR(('03_Сеть'!Q33-Q31)=0,12&lt;=КаникулыРоялти),0,('03_Сеть'!Q33-Q31)*IF(РоялтиПоГруппам="Да",MeanMinAge12+Q9*SUMIF(ThresholdAge12,"&lt;"&amp;Q9,WeightedRevAge12)-SUMIF(ThresholdAge12,"&lt;"&amp;Q9,WeightedMinAge12),MAX(CapacityAge12*АбонементНовых*Q9,MeanMinAge12)))</f>
        <v/>
      </c>
      <c r="R85" s="4">
        <f>IF(OR(('03_Сеть'!R33-R31)=0,12&lt;=КаникулыРоялти),0,('03_Сеть'!R33-R31)*IF(РоялтиПоГруппам="Да",MeanMinAge12+R9*SUMIF(ThresholdAge12,"&lt;"&amp;R9,WeightedRevAge12)-SUMIF(ThresholdAge12,"&lt;"&amp;R9,WeightedMinAge12),MAX(CapacityAge12*АбонементНовых*R9,MeanMinAge12)))</f>
        <v/>
      </c>
      <c r="S85" s="4">
        <f>IF(OR(('03_Сеть'!S33-S31)=0,12&lt;=КаникулыРоялти),0,('03_Сеть'!S33-S31)*IF(РоялтиПоГруппам="Да",MeanMinAge12+S9*SUMIF(ThresholdAge12,"&lt;"&amp;S9,WeightedRevAge12)-SUMIF(ThresholdAge12,"&lt;"&amp;S9,WeightedMinAge12),MAX(CapacityAge12*АбонементНовых*S9,MeanMinAge12)))</f>
        <v/>
      </c>
      <c r="T85" s="4">
        <f>IF(OR(('03_Сеть'!T33-T31)=0,12&lt;=КаникулыРоялти),0,('03_Сеть'!T33-T31)*IF(РоялтиПоГруппам="Да",MeanMinAge12+T9*SUMIF(ThresholdAge12,"&lt;"&amp;T9,WeightedRevAge12)-SUMIF(ThresholdAge12,"&lt;"&amp;T9,WeightedMinAge12),MAX(CapacityAge12*АбонементНовых*T9,MeanMinAge12)))</f>
        <v/>
      </c>
      <c r="U85" s="4">
        <f>IF(OR(('03_Сеть'!U33-U31)=0,12&lt;=КаникулыРоялти),0,('03_Сеть'!U33-U31)*IF(РоялтиПоГруппам="Да",MeanMinAge12+U9*SUMIF(ThresholdAge12,"&lt;"&amp;U9,WeightedRevAge12)-SUMIF(ThresholdAge12,"&lt;"&amp;U9,WeightedMinAge12),MAX(CapacityAge12*АбонементНовых*U9,MeanMinAge12)))</f>
        <v/>
      </c>
      <c r="V85" s="4">
        <f>IF(OR(('03_Сеть'!V33-V31)=0,12&lt;=КаникулыРоялти),0,('03_Сеть'!V33-V31)*IF(РоялтиПоГруппам="Да",MeanMinAge12+V9*SUMIF(ThresholdAge12,"&lt;"&amp;V9,WeightedRevAge12)-SUMIF(ThresholdAge12,"&lt;"&amp;V9,WeightedMinAge12),MAX(CapacityAge12*АбонементНовых*V9,MeanMinAge12)))</f>
        <v/>
      </c>
      <c r="W85" s="4">
        <f>IF(OR(('03_Сеть'!W33-W31)=0,12&lt;=КаникулыРоялти),0,('03_Сеть'!W33-W31)*IF(РоялтиПоГруппам="Да",MeanMinAge12+W9*SUMIF(ThresholdAge12,"&lt;"&amp;W9,WeightedRevAge12)-SUMIF(ThresholdAge12,"&lt;"&amp;W9,WeightedMinAge12),MAX(CapacityAge12*АбонементНовых*W9,MeanMinAge12)))</f>
        <v/>
      </c>
      <c r="X85" s="4">
        <f>IF(OR(('03_Сеть'!X33-X31)=0,12&lt;=КаникулыРоялти),0,('03_Сеть'!X33-X31)*IF(РоялтиПоГруппам="Да",MeanMinAge12+X9*SUMIF(ThresholdAge12,"&lt;"&amp;X9,WeightedRevAge12)-SUMIF(ThresholdAge12,"&lt;"&amp;X9,WeightedMinAge12),MAX(CapacityAge12*АбонементНовых*X9,MeanMinAge12)))</f>
        <v/>
      </c>
      <c r="Y85" s="4">
        <f>IF(OR(('03_Сеть'!Y33-Y31)=0,12&lt;=КаникулыРоялти),0,('03_Сеть'!Y33-Y31)*IF(РоялтиПоГруппам="Да",MeanMinAge12+Y9*SUMIF(ThresholdAge12,"&lt;"&amp;Y9,WeightedRevAge12)-SUMIF(ThresholdAge12,"&lt;"&amp;Y9,WeightedMinAge12),MAX(CapacityAge12*АбонементНовых*Y9,MeanMinAge12)))</f>
        <v/>
      </c>
      <c r="Z85" s="4">
        <f>IF(OR(('03_Сеть'!Z33-Z31)=0,12&lt;=КаникулыРоялти),0,('03_Сеть'!Z33-Z31)*IF(РоялтиПоГруппам="Да",MeanMinAge12+Z9*SUMIF(ThresholdAge12,"&lt;"&amp;Z9,WeightedRevAge12)-SUMIF(ThresholdAge12,"&lt;"&amp;Z9,WeightedMinAge12),MAX(CapacityAge12*АбонементНовых*Z9,MeanMinAge12)))</f>
        <v/>
      </c>
      <c r="AA85" s="4">
        <f>IF(OR(('03_Сеть'!AA33-AA31)=0,12&lt;=КаникулыРоялти),0,('03_Сеть'!AA33-AA31)*IF(РоялтиПоГруппам="Да",MeanMinAge12+AA9*SUMIF(ThresholdAge12,"&lt;"&amp;AA9,WeightedRevAge12)-SUMIF(ThresholdAge12,"&lt;"&amp;AA9,WeightedMinAge12),MAX(CapacityAge12*АбонементНовых*AA9,MeanMinAge12)))</f>
        <v/>
      </c>
      <c r="AB85" s="4">
        <f>IF(OR(('03_Сеть'!AB33-AB31)=0,12&lt;=КаникулыРоялти),0,('03_Сеть'!AB33-AB31)*IF(РоялтиПоГруппам="Да",MeanMinAge12+AB9*SUMIF(ThresholdAge12,"&lt;"&amp;AB9,WeightedRevAge12)-SUMIF(ThresholdAge12,"&lt;"&amp;AB9,WeightedMinAge12),MAX(CapacityAge12*АбонементНовых*AB9,MeanMinAge12)))</f>
        <v/>
      </c>
      <c r="AC85" s="4">
        <f>IF(OR(('03_Сеть'!AC33-AC31)=0,12&lt;=КаникулыРоялти),0,('03_Сеть'!AC33-AC31)*IF(РоялтиПоГруппам="Да",MeanMinAge12+AC9*SUMIF(ThresholdAge12,"&lt;"&amp;AC9,WeightedRevAge12)-SUMIF(ThresholdAge12,"&lt;"&amp;AC9,WeightedMinAge12),MAX(CapacityAge12*АбонементНовых*AC9,MeanMinAge12)))</f>
        <v/>
      </c>
      <c r="AD85" s="4">
        <f>IF(OR(('03_Сеть'!AD33-AD31)=0,12&lt;=КаникулыРоялти),0,('03_Сеть'!AD33-AD31)*IF(РоялтиПоГруппам="Да",MeanMinAge12+AD9*SUMIF(ThresholdAge12,"&lt;"&amp;AD9,WeightedRevAge12)-SUMIF(ThresholdAge12,"&lt;"&amp;AD9,WeightedMinAge12),MAX(CapacityAge12*АбонементНовых*AD9,MeanMinAge12)))</f>
        <v/>
      </c>
      <c r="AE85" s="4">
        <f>IF(OR(('03_Сеть'!AE33-AE31)=0,12&lt;=КаникулыРоялти),0,('03_Сеть'!AE33-AE31)*IF(РоялтиПоГруппам="Да",MeanMinAge12+AE9*SUMIF(ThresholdAge12,"&lt;"&amp;AE9,WeightedRevAge12)-SUMIF(ThresholdAge12,"&lt;"&amp;AE9,WeightedMinAge12),MAX(CapacityAge12*АбонементНовых*AE9,MeanMinAge12)))</f>
        <v/>
      </c>
      <c r="AF85" s="4">
        <f>IF(OR(('03_Сеть'!AF33-AF31)=0,12&lt;=КаникулыРоялти),0,('03_Сеть'!AF33-AF31)*IF(РоялтиПоГруппам="Да",MeanMinAge12+AF9*SUMIF(ThresholdAge12,"&lt;"&amp;AF9,WeightedRevAge12)-SUMIF(ThresholdAge12,"&lt;"&amp;AF9,WeightedMinAge12),MAX(CapacityAge12*АбонементНовых*AF9,MeanMinAge12)))</f>
        <v/>
      </c>
      <c r="AG85" s="4">
        <f>IF(OR(('03_Сеть'!AG33-AG31)=0,12&lt;=КаникулыРоялти),0,('03_Сеть'!AG33-AG31)*IF(РоялтиПоГруппам="Да",MeanMinAge12+AG9*SUMIF(ThresholdAge12,"&lt;"&amp;AG9,WeightedRevAge12)-SUMIF(ThresholdAge12,"&lt;"&amp;AG9,WeightedMinAge12),MAX(CapacityAge12*АбонементНовых*AG9,MeanMinAge12)))</f>
        <v/>
      </c>
      <c r="AH85" s="4">
        <f>IF(OR(('03_Сеть'!AH33-AH31)=0,12&lt;=КаникулыРоялти),0,('03_Сеть'!AH33-AH31)*IF(РоялтиПоГруппам="Да",MeanMinAge12+AH9*SUMIF(ThresholdAge12,"&lt;"&amp;AH9,WeightedRevAge12)-SUMIF(ThresholdAge12,"&lt;"&amp;AH9,WeightedMinAge12),MAX(CapacityAge12*АбонементНовых*AH9,MeanMinAge12)))</f>
        <v/>
      </c>
      <c r="AI85" s="4">
        <f>IF(OR(('03_Сеть'!AI33-AI31)=0,12&lt;=КаникулыРоялти),0,('03_Сеть'!AI33-AI31)*IF(РоялтиПоГруппам="Да",MeanMinAge12+AI9*SUMIF(ThresholdAge12,"&lt;"&amp;AI9,WeightedRevAge12)-SUMIF(ThresholdAge12,"&lt;"&amp;AI9,WeightedMinAge12),MAX(CapacityAge12*АбонементНовых*AI9,MeanMinAge12)))</f>
        <v/>
      </c>
      <c r="AJ85" s="4">
        <f>IF(OR(('03_Сеть'!AJ33-AJ31)=0,12&lt;=КаникулыРоялти),0,('03_Сеть'!AJ33-AJ31)*IF(РоялтиПоГруппам="Да",MeanMinAge12+AJ9*SUMIF(ThresholdAge12,"&lt;"&amp;AJ9,WeightedRevAge12)-SUMIF(ThresholdAge12,"&lt;"&amp;AJ9,WeightedMinAge12),MAX(CapacityAge12*АбонементНовых*AJ9,MeanMinAge12)))</f>
        <v/>
      </c>
      <c r="AK85" s="4">
        <f>IF(OR(('03_Сеть'!AK33-AK31)=0,12&lt;=КаникулыРоялти),0,('03_Сеть'!AK33-AK31)*IF(РоялтиПоГруппам="Да",MeanMinAge12+AK9*SUMIF(ThresholdAge12,"&lt;"&amp;AK9,WeightedRevAge12)-SUMIF(ThresholdAge12,"&lt;"&amp;AK9,WeightedMinAge12),MAX(CapacityAge12*АбонементНовых*AK9,MeanMinAge12)))</f>
        <v/>
      </c>
      <c r="AL85" s="4">
        <f>IF(OR(('03_Сеть'!AL33-AL31)=0,12&lt;=КаникулыРоялти),0,('03_Сеть'!AL33-AL31)*IF(РоялтиПоГруппам="Да",MeanMinAge12+AL9*SUMIF(ThresholdAge12,"&lt;"&amp;AL9,WeightedRevAge12)-SUMIF(ThresholdAge12,"&lt;"&amp;AL9,WeightedMinAge12),MAX(CapacityAge12*АбонементНовых*AL9,MeanMinAge12)))</f>
        <v/>
      </c>
      <c r="AM85" s="4">
        <f>IF(OR(('03_Сеть'!AM33-AM31)=0,12&lt;=КаникулыРоялти),0,('03_Сеть'!AM33-AM31)*IF(РоялтиПоГруппам="Да",MeanMinAge12+AM9*SUMIF(ThresholdAge12,"&lt;"&amp;AM9,WeightedRevAge12)-SUMIF(ThresholdAge12,"&lt;"&amp;AM9,WeightedMinAge12),MAX(CapacityAge12*АбонементНовых*AM9,MeanMinAge12)))</f>
        <v/>
      </c>
      <c r="AN85" s="4">
        <f>IF(OR(('03_Сеть'!AN33-AN31)=0,12&lt;=КаникулыРоялти),0,('03_Сеть'!AN33-AN31)*IF(РоялтиПоГруппам="Да",MeanMinAge12+AN9*SUMIF(ThresholdAge12,"&lt;"&amp;AN9,WeightedRevAge12)-SUMIF(ThresholdAge12,"&lt;"&amp;AN9,WeightedMinAge12),MAX(CapacityAge12*АбонементНовых*AN9,MeanMinAge12)))</f>
        <v/>
      </c>
      <c r="AO85" s="4">
        <f>IF(OR(('03_Сеть'!AO33-AO31)=0,12&lt;=КаникулыРоялти),0,('03_Сеть'!AO33-AO31)*IF(РоялтиПоГруппам="Да",MeanMinAge12+AO9*SUMIF(ThresholdAge12,"&lt;"&amp;AO9,WeightedRevAge12)-SUMIF(ThresholdAge12,"&lt;"&amp;AO9,WeightedMinAge12),MAX(CapacityAge12*АбонементНовых*AO9,MeanMinAge12)))</f>
        <v/>
      </c>
      <c r="AP85" s="4">
        <f>IF(OR(('03_Сеть'!AP33-AP31)=0,12&lt;=КаникулыРоялти),0,('03_Сеть'!AP33-AP31)*IF(РоялтиПоГруппам="Да",MeanMinAge12+AP9*SUMIF(ThresholdAge12,"&lt;"&amp;AP9,WeightedRevAge12)-SUMIF(ThresholdAge12,"&lt;"&amp;AP9,WeightedMinAge12),MAX(CapacityAge12*АбонементНовых*AP9,MeanMinAge12)))</f>
        <v/>
      </c>
      <c r="AQ85" s="4">
        <f>IF(OR(('03_Сеть'!AQ33-AQ31)=0,12&lt;=КаникулыРоялти),0,('03_Сеть'!AQ33-AQ31)*IF(РоялтиПоГруппам="Да",MeanMinAge12+AQ9*SUMIF(ThresholdAge12,"&lt;"&amp;AQ9,WeightedRevAge12)-SUMIF(ThresholdAge12,"&lt;"&amp;AQ9,WeightedMinAge12),MAX(CapacityAge12*АбонементНовых*AQ9,MeanMinAge12)))</f>
        <v/>
      </c>
      <c r="AR85" s="4">
        <f>IF(OR(('03_Сеть'!AR33-AR31)=0,12&lt;=КаникулыРоялти),0,('03_Сеть'!AR33-AR31)*IF(РоялтиПоГруппам="Да",MeanMinAge12+AR9*SUMIF(ThresholdAge12,"&lt;"&amp;AR9,WeightedRevAge12)-SUMIF(ThresholdAge12,"&lt;"&amp;AR9,WeightedMinAge12),MAX(CapacityAge12*АбонементНовых*AR9,MeanMinAge12)))</f>
        <v/>
      </c>
      <c r="AS85" s="4">
        <f>IF(OR(('03_Сеть'!AS33-AS31)=0,12&lt;=КаникулыРоялти),0,('03_Сеть'!AS33-AS31)*IF(РоялтиПоГруппам="Да",MeanMinAge12+AS9*SUMIF(ThresholdAge12,"&lt;"&amp;AS9,WeightedRevAge12)-SUMIF(ThresholdAge12,"&lt;"&amp;AS9,WeightedMinAge12),MAX(CapacityAge12*АбонементНовых*AS9,MeanMinAge12)))</f>
        <v/>
      </c>
      <c r="AT85" s="4">
        <f>IF(OR(('03_Сеть'!AT33-AT31)=0,12&lt;=КаникулыРоялти),0,('03_Сеть'!AT33-AT31)*IF(РоялтиПоГруппам="Да",MeanMinAge12+AT9*SUMIF(ThresholdAge12,"&lt;"&amp;AT9,WeightedRevAge12)-SUMIF(ThresholdAge12,"&lt;"&amp;AT9,WeightedMinAge12),MAX(CapacityAge12*АбонементНовых*AT9,MeanMinAge12)))</f>
        <v/>
      </c>
      <c r="AU85" s="4">
        <f>IF(OR(('03_Сеть'!AU33-AU31)=0,12&lt;=КаникулыРоялти),0,('03_Сеть'!AU33-AU31)*IF(РоялтиПоГруппам="Да",MeanMinAge12+AU9*SUMIF(ThresholdAge12,"&lt;"&amp;AU9,WeightedRevAge12)-SUMIF(ThresholdAge12,"&lt;"&amp;AU9,WeightedMinAge12),MAX(CapacityAge12*АбонементНовых*AU9,MeanMinAge12)))</f>
        <v/>
      </c>
      <c r="AV85" s="4">
        <f>IF(OR(('03_Сеть'!AV33-AV31)=0,12&lt;=КаникулыРоялти),0,('03_Сеть'!AV33-AV31)*IF(РоялтиПоГруппам="Да",MeanMinAge12+AV9*SUMIF(ThresholdAge12,"&lt;"&amp;AV9,WeightedRevAge12)-SUMIF(ThresholdAge12,"&lt;"&amp;AV9,WeightedMinAge12),MAX(CapacityAge12*АбонементНовых*AV9,MeanMinAge12)))</f>
        <v/>
      </c>
      <c r="AW85" s="4">
        <f>IF(OR(('03_Сеть'!AW33-AW31)=0,12&lt;=КаникулыРоялти),0,('03_Сеть'!AW33-AW31)*IF(РоялтиПоГруппам="Да",MeanMinAge12+AW9*SUMIF(ThresholdAge12,"&lt;"&amp;AW9,WeightedRevAge12)-SUMIF(ThresholdAge12,"&lt;"&amp;AW9,WeightedMinAge12),MAX(CapacityAge12*АбонементНовых*AW9,MeanMinAge12)))</f>
        <v/>
      </c>
      <c r="AX85" s="4">
        <f>IF(OR(('03_Сеть'!AX33-AX31)=0,12&lt;=КаникулыРоялти),0,('03_Сеть'!AX33-AX31)*IF(РоялтиПоГруппам="Да",MeanMinAge12+AX9*SUMIF(ThresholdAge12,"&lt;"&amp;AX9,WeightedRevAge12)-SUMIF(ThresholdAge12,"&lt;"&amp;AX9,WeightedMinAge12),MAX(CapacityAge12*АбонементНовых*AX9,MeanMinAge12)))</f>
        <v/>
      </c>
      <c r="AY85" s="4">
        <f>IF(OR(('03_Сеть'!AY33-AY31)=0,12&lt;=КаникулыРоялти),0,('03_Сеть'!AY33-AY31)*IF(РоялтиПоГруппам="Да",MeanMinAge12+AY9*SUMIF(ThresholdAge12,"&lt;"&amp;AY9,WeightedRevAge12)-SUMIF(ThresholdAge12,"&lt;"&amp;AY9,WeightedMinAge12),MAX(CapacityAge12*АбонементНовых*AY9,MeanMinAge12)))</f>
        <v/>
      </c>
      <c r="AZ85" s="4">
        <f>IF(OR(('03_Сеть'!AZ33-AZ31)=0,12&lt;=КаникулыРоялти),0,('03_Сеть'!AZ33-AZ31)*IF(РоялтиПоГруппам="Да",MeanMinAge12+AZ9*SUMIF(ThresholdAge12,"&lt;"&amp;AZ9,WeightedRevAge12)-SUMIF(ThresholdAge12,"&lt;"&amp;AZ9,WeightedMinAge12),MAX(CapacityAge12*АбонементНовых*AZ9,MeanMinAge12)))</f>
        <v/>
      </c>
      <c r="BA85" s="4">
        <f>IF(OR(('03_Сеть'!BA33-BA31)=0,12&lt;=КаникулыРоялти),0,('03_Сеть'!BA33-BA31)*IF(РоялтиПоГруппам="Да",MeanMinAge12+BA9*SUMIF(ThresholdAge12,"&lt;"&amp;BA9,WeightedRevAge12)-SUMIF(ThresholdAge12,"&lt;"&amp;BA9,WeightedMinAge12),MAX(CapacityAge12*АбонементНовых*BA9,MeanMinAge12)))</f>
        <v/>
      </c>
      <c r="BB85" s="4">
        <f>IF(OR(('03_Сеть'!BB33-BB31)=0,12&lt;=КаникулыРоялти),0,('03_Сеть'!BB33-BB31)*IF(РоялтиПоГруппам="Да",MeanMinAge12+BB9*SUMIF(ThresholdAge12,"&lt;"&amp;BB9,WeightedRevAge12)-SUMIF(ThresholdAge12,"&lt;"&amp;BB9,WeightedMinAge12),MAX(CapacityAge12*АбонементНовых*BB9,MeanMinAge12)))</f>
        <v/>
      </c>
      <c r="BC85" s="4">
        <f>IF(OR(('03_Сеть'!BC33-BC31)=0,12&lt;=КаникулыРоялти),0,('03_Сеть'!BC33-BC31)*IF(РоялтиПоГруппам="Да",MeanMinAge12+BC9*SUMIF(ThresholdAge12,"&lt;"&amp;BC9,WeightedRevAge12)-SUMIF(ThresholdAge12,"&lt;"&amp;BC9,WeightedMinAge12),MAX(CapacityAge12*АбонементНовых*BC9,MeanMinAge12)))</f>
        <v/>
      </c>
      <c r="BD85" s="4">
        <f>IF(OR(('03_Сеть'!BD33-BD31)=0,12&lt;=КаникулыРоялти),0,('03_Сеть'!BD33-BD31)*IF(РоялтиПоГруппам="Да",MeanMinAge12+BD9*SUMIF(ThresholdAge12,"&lt;"&amp;BD9,WeightedRevAge12)-SUMIF(ThresholdAge12,"&lt;"&amp;BD9,WeightedMinAge12),MAX(CapacityAge12*АбонементНовых*BD9,MeanMinAge12)))</f>
        <v/>
      </c>
      <c r="BE85" s="4">
        <f>IF(OR(('03_Сеть'!BE33-BE31)=0,12&lt;=КаникулыРоялти),0,('03_Сеть'!BE33-BE31)*IF(РоялтиПоГруппам="Да",MeanMinAge12+BE9*SUMIF(ThresholdAge12,"&lt;"&amp;BE9,WeightedRevAge12)-SUMIF(ThresholdAge12,"&lt;"&amp;BE9,WeightedMinAge12),MAX(CapacityAge12*АбонементНовых*BE9,MeanMinAge12)))</f>
        <v/>
      </c>
      <c r="BF85" s="4">
        <f>IF(OR(('03_Сеть'!BF33-BF31)=0,12&lt;=КаникулыРоялти),0,('03_Сеть'!BF33-BF31)*IF(РоялтиПоГруппам="Да",MeanMinAge12+BF9*SUMIF(ThresholdAge12,"&lt;"&amp;BF9,WeightedRevAge12)-SUMIF(ThresholdAge12,"&lt;"&amp;BF9,WeightedMinAge12),MAX(CapacityAge12*АбонементНовых*BF9,MeanMinAge12)))</f>
        <v/>
      </c>
      <c r="BG85" s="4">
        <f>IF(OR(('03_Сеть'!BG33-BG31)=0,12&lt;=КаникулыРоялти),0,('03_Сеть'!BG33-BG31)*IF(РоялтиПоГруппам="Да",MeanMinAge12+BG9*SUMIF(ThresholdAge12,"&lt;"&amp;BG9,WeightedRevAge12)-SUMIF(ThresholdAge12,"&lt;"&amp;BG9,WeightedMinAge12),MAX(CapacityAge12*АбонементНовых*BG9,MeanMinAge12)))</f>
        <v/>
      </c>
      <c r="BH85" s="4">
        <f>IF(OR(('03_Сеть'!BH33-BH31)=0,12&lt;=КаникулыРоялти),0,('03_Сеть'!BH33-BH31)*IF(РоялтиПоГруппам="Да",MeanMinAge12+BH9*SUMIF(ThresholdAge12,"&lt;"&amp;BH9,WeightedRevAge12)-SUMIF(ThresholdAge12,"&lt;"&amp;BH9,WeightedMinAge12),MAX(CapacityAge12*АбонементНовых*BH9,MeanMinAge12)))</f>
        <v/>
      </c>
      <c r="BI85" s="4">
        <f>IF(OR(('03_Сеть'!BI33-BI31)=0,12&lt;=КаникулыРоялти),0,('03_Сеть'!BI33-BI31)*IF(РоялтиПоГруппам="Да",MeanMinAge12+BI9*SUMIF(ThresholdAge12,"&lt;"&amp;BI9,WeightedRevAge12)-SUMIF(ThresholdAge12,"&lt;"&amp;BI9,WeightedMinAge12),MAX(CapacityAge12*АбонементНовых*BI9,MeanMinAge12)))</f>
        <v/>
      </c>
      <c r="BJ85" s="4">
        <f>IF(OR(('03_Сеть'!BJ33-BJ31)=0,12&lt;=КаникулыРоялти),0,('03_Сеть'!BJ33-BJ31)*IF(РоялтиПоГруппам="Да",MeanMinAge12+BJ9*SUMIF(ThresholdAge12,"&lt;"&amp;BJ9,WeightedRevAge12)-SUMIF(ThresholdAge12,"&lt;"&amp;BJ9,WeightedMinAge12),MAX(CapacityAge12*АбонементНовых*BJ9,MeanMinAge12)))</f>
        <v/>
      </c>
      <c r="BK85" s="4">
        <f>IF(OR(('03_Сеть'!BK33-BK31)=0,12&lt;=КаникулыРоялти),0,('03_Сеть'!BK33-BK31)*IF(РоялтиПоГруппам="Да",MeanMinAge12+BK9*SUMIF(ThresholdAge12,"&lt;"&amp;BK9,WeightedRevAge12)-SUMIF(ThresholdAge12,"&lt;"&amp;BK9,WeightedMinAge12),MAX(CapacityAge12*АбонементНовых*BK9,MeanMinAge12)))</f>
        <v/>
      </c>
      <c r="BL85" s="4">
        <f>IF(OR(('03_Сеть'!BL33-BL31)=0,12&lt;=КаникулыРоялти),0,('03_Сеть'!BL33-BL31)*IF(РоялтиПоГруппам="Да",MeanMinAge12+BL9*SUMIF(ThresholdAge12,"&lt;"&amp;BL9,WeightedRevAge12)-SUMIF(ThresholdAge12,"&lt;"&amp;BL9,WeightedMinAge12),MAX(CapacityAge12*АбонементНовых*BL9,MeanMinAge12)))</f>
        <v/>
      </c>
      <c r="BM85" s="4">
        <f>IF(OR(('03_Сеть'!BM33-BM31)=0,12&lt;=КаникулыРоялти),0,('03_Сеть'!BM33-BM31)*IF(РоялтиПоГруппам="Да",MeanMinAge12+BM9*SUMIF(ThresholdAge12,"&lt;"&amp;BM9,WeightedRevAge12)-SUMIF(ThresholdAge12,"&lt;"&amp;BM9,WeightedMinAge12),MAX(CapacityAge12*АбонементНовых*BM9,MeanMinAge12)))</f>
        <v/>
      </c>
      <c r="BN85" s="4">
        <f>IF(OR(('03_Сеть'!BN33-BN31)=0,12&lt;=КаникулыРоялти),0,('03_Сеть'!BN33-BN31)*IF(РоялтиПоГруппам="Да",MeanMinAge12+BN9*SUMIF(ThresholdAge12,"&lt;"&amp;BN9,WeightedRevAge12)-SUMIF(ThresholdAge12,"&lt;"&amp;BN9,WeightedMinAge12),MAX(CapacityAge12*АбонементНовых*BN9,MeanMinAge12)))</f>
        <v/>
      </c>
      <c r="BO85" s="4">
        <f>IF(OR(('03_Сеть'!BO33-BO31)=0,12&lt;=КаникулыРоялти),0,('03_Сеть'!BO33-BO31)*IF(РоялтиПоГруппам="Да",MeanMinAge12+BO9*SUMIF(ThresholdAge12,"&lt;"&amp;BO9,WeightedRevAge12)-SUMIF(ThresholdAge12,"&lt;"&amp;BO9,WeightedMinAge12),MAX(CapacityAge12*АбонементНовых*BO9,MeanMinAge12)))</f>
        <v/>
      </c>
      <c r="BP85" s="4">
        <f>IF(OR(('03_Сеть'!BP33-BP31)=0,12&lt;=КаникулыРоялти),0,('03_Сеть'!BP33-BP31)*IF(РоялтиПоГруппам="Да",MeanMinAge12+BP9*SUMIF(ThresholdAge12,"&lt;"&amp;BP9,WeightedRevAge12)-SUMIF(ThresholdAge12,"&lt;"&amp;BP9,WeightedMinAge12),MAX(CapacityAge12*АбонементНовых*BP9,MeanMinAge12)))</f>
        <v/>
      </c>
      <c r="BQ85" s="4">
        <f>IF(OR(('03_Сеть'!BQ33-BQ31)=0,12&lt;=КаникулыРоялти),0,('03_Сеть'!BQ33-BQ31)*IF(РоялтиПоГруппам="Да",MeanMinAge12+BQ9*SUMIF(ThresholdAge12,"&lt;"&amp;BQ9,WeightedRevAge12)-SUMIF(ThresholdAge12,"&lt;"&amp;BQ9,WeightedMinAge12),MAX(CapacityAge12*АбонементНовых*BQ9,MeanMinAge12)))</f>
        <v/>
      </c>
      <c r="BR85" s="4">
        <f>IF(OR(('03_Сеть'!BR33-BR31)=0,12&lt;=КаникулыРоялти),0,('03_Сеть'!BR33-BR31)*IF(РоялтиПоГруппам="Да",MeanMinAge12+BR9*SUMIF(ThresholdAge12,"&lt;"&amp;BR9,WeightedRevAge12)-SUMIF(ThresholdAge12,"&lt;"&amp;BR9,WeightedMinAge12),MAX(CapacityAge12*АбонементНовых*BR9,MeanMinAge12)))</f>
        <v/>
      </c>
      <c r="BS85" s="4">
        <f>IF(OR(('03_Сеть'!BS33-BS31)=0,12&lt;=КаникулыРоялти),0,('03_Сеть'!BS33-BS31)*IF(РоялтиПоГруппам="Да",MeanMinAge12+BS9*SUMIF(ThresholdAge12,"&lt;"&amp;BS9,WeightedRevAge12)-SUMIF(ThresholdAge12,"&lt;"&amp;BS9,WeightedMinAge12),MAX(CapacityAge12*АбонементНовых*BS9,MeanMinAge12)))</f>
        <v/>
      </c>
      <c r="BT85" s="4">
        <f>IF(OR(('03_Сеть'!BT33-BT31)=0,12&lt;=КаникулыРоялти),0,('03_Сеть'!BT33-BT31)*IF(РоялтиПоГруппам="Да",MeanMinAge12+BT9*SUMIF(ThresholdAge12,"&lt;"&amp;BT9,WeightedRevAge12)-SUMIF(ThresholdAge12,"&lt;"&amp;BT9,WeightedMinAge12),MAX(CapacityAge12*АбонементНовых*BT9,MeanMinAge12)))</f>
        <v/>
      </c>
      <c r="BU85" s="4">
        <f>IF(OR(('03_Сеть'!BU33-BU31)=0,12&lt;=КаникулыРоялти),0,('03_Сеть'!BU33-BU31)*IF(РоялтиПоГруппам="Да",MeanMinAge12+BU9*SUMIF(ThresholdAge12,"&lt;"&amp;BU9,WeightedRevAge12)-SUMIF(ThresholdAge12,"&lt;"&amp;BU9,WeightedMinAge12),MAX(CapacityAge12*АбонементНовых*BU9,MeanMinAge12)))</f>
        <v/>
      </c>
      <c r="BV85" s="4">
        <f>IF(OR(('03_Сеть'!BV33-BV31)=0,12&lt;=КаникулыРоялти),0,('03_Сеть'!BV33-BV31)*IF(РоялтиПоГруппам="Да",MeanMinAge12+BV9*SUMIF(ThresholdAge12,"&lt;"&amp;BV9,WeightedRevAge12)-SUMIF(ThresholdAge12,"&lt;"&amp;BV9,WeightedMinAge12),MAX(CapacityAge12*АбонементНовых*BV9,MeanMinAge12)))</f>
        <v/>
      </c>
      <c r="BW85" s="4">
        <f>IF(OR(('03_Сеть'!BW33-BW31)=0,12&lt;=КаникулыРоялти),0,('03_Сеть'!BW33-BW31)*IF(РоялтиПоГруппам="Да",MeanMinAge12+BW9*SUMIF(ThresholdAge12,"&lt;"&amp;BW9,WeightedRevAge12)-SUMIF(ThresholdAge12,"&lt;"&amp;BW9,WeightedMinAge12),MAX(CapacityAge12*АбонементНовых*BW9,MeanMinAge12)))</f>
        <v/>
      </c>
      <c r="BX85" s="4">
        <f>IF(OR(('03_Сеть'!BX33-BX31)=0,12&lt;=КаникулыРоялти),0,('03_Сеть'!BX33-BX31)*IF(РоялтиПоГруппам="Да",MeanMinAge12+BX9*SUMIF(ThresholdAge12,"&lt;"&amp;BX9,WeightedRevAge12)-SUMIF(ThresholdAge12,"&lt;"&amp;BX9,WeightedMinAge12),MAX(CapacityAge12*АбонементНовых*BX9,MeanMinAge12)))</f>
        <v/>
      </c>
      <c r="BY85" s="4">
        <f>IF(OR(('03_Сеть'!BY33-BY31)=0,12&lt;=КаникулыРоялти),0,('03_Сеть'!BY33-BY31)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86">
      <c r="B86" t="inlineStr">
        <is>
          <t>13 мес.</t>
        </is>
      </c>
      <c r="C86" t="inlineStr">
        <is>
          <t>₽</t>
        </is>
      </c>
      <c r="D86" s="117" t="inlineStr"/>
      <c r="E86" s="119">
        <f>SUM(L86:W86)</f>
        <v/>
      </c>
      <c r="F86" s="119">
        <f>SUM(X86:AI86)</f>
        <v/>
      </c>
      <c r="G86" s="119">
        <f>SUM(AJ86:AU86)</f>
        <v/>
      </c>
      <c r="H86" s="119">
        <f>SUM(AV86:BG86)</f>
        <v/>
      </c>
      <c r="I86" s="119">
        <f>SUM(BH86:BS86)</f>
        <v/>
      </c>
      <c r="J86" s="5">
        <f>SUM(L86:BS86)</f>
        <v/>
      </c>
      <c r="L86" s="4">
        <f>IF(OR(('03_Сеть'!L34-L32)=0,13&lt;=КаникулыРоялти),0,('03_Сеть'!L34-L32)*IF(РоялтиПоГруппам="Да",MeanMinAge13+L9*SUMIF(ThresholdAge13,"&lt;"&amp;L9,WeightedRevAge13)-SUMIF(ThresholdAge13,"&lt;"&amp;L9,WeightedMinAge13),MAX(CapacityAge13*АбонементНовых*L9,MeanMinAge13)))</f>
        <v/>
      </c>
      <c r="M86" s="4">
        <f>IF(OR(('03_Сеть'!M34-M32)=0,13&lt;=КаникулыРоялти),0,('03_Сеть'!M34-M32)*IF(РоялтиПоГруппам="Да",MeanMinAge13+M9*SUMIF(ThresholdAge13,"&lt;"&amp;M9,WeightedRevAge13)-SUMIF(ThresholdAge13,"&lt;"&amp;M9,WeightedMinAge13),MAX(CapacityAge13*АбонементНовых*M9,MeanMinAge13)))</f>
        <v/>
      </c>
      <c r="N86" s="4">
        <f>IF(OR(('03_Сеть'!N34-N32)=0,13&lt;=КаникулыРоялти),0,('03_Сеть'!N34-N32)*IF(РоялтиПоГруппам="Да",MeanMinAge13+N9*SUMIF(ThresholdAge13,"&lt;"&amp;N9,WeightedRevAge13)-SUMIF(ThresholdAge13,"&lt;"&amp;N9,WeightedMinAge13),MAX(CapacityAge13*АбонементНовых*N9,MeanMinAge13)))</f>
        <v/>
      </c>
      <c r="O86" s="4">
        <f>IF(OR(('03_Сеть'!O34-O32)=0,13&lt;=КаникулыРоялти),0,('03_Сеть'!O34-O32)*IF(РоялтиПоГруппам="Да",MeanMinAge13+O9*SUMIF(ThresholdAge13,"&lt;"&amp;O9,WeightedRevAge13)-SUMIF(ThresholdAge13,"&lt;"&amp;O9,WeightedMinAge13),MAX(CapacityAge13*АбонементНовых*O9,MeanMinAge13)))</f>
        <v/>
      </c>
      <c r="P86" s="4">
        <f>IF(OR(('03_Сеть'!P34-P32)=0,13&lt;=КаникулыРоялти),0,('03_Сеть'!P34-P32)*IF(РоялтиПоГруппам="Да",MeanMinAge13+P9*SUMIF(ThresholdAge13,"&lt;"&amp;P9,WeightedRevAge13)-SUMIF(ThresholdAge13,"&lt;"&amp;P9,WeightedMinAge13),MAX(CapacityAge13*АбонементНовых*P9,MeanMinAge13)))</f>
        <v/>
      </c>
      <c r="Q86" s="4">
        <f>IF(OR(('03_Сеть'!Q34-Q32)=0,13&lt;=КаникулыРоялти),0,('03_Сеть'!Q34-Q32)*IF(РоялтиПоГруппам="Да",MeanMinAge13+Q9*SUMIF(ThresholdAge13,"&lt;"&amp;Q9,WeightedRevAge13)-SUMIF(ThresholdAge13,"&lt;"&amp;Q9,WeightedMinAge13),MAX(CapacityAge13*АбонементНовых*Q9,MeanMinAge13)))</f>
        <v/>
      </c>
      <c r="R86" s="4">
        <f>IF(OR(('03_Сеть'!R34-R32)=0,13&lt;=КаникулыРоялти),0,('03_Сеть'!R34-R32)*IF(РоялтиПоГруппам="Да",MeanMinAge13+R9*SUMIF(ThresholdAge13,"&lt;"&amp;R9,WeightedRevAge13)-SUMIF(ThresholdAge13,"&lt;"&amp;R9,WeightedMinAge13),MAX(CapacityAge13*АбонементНовых*R9,MeanMinAge13)))</f>
        <v/>
      </c>
      <c r="S86" s="4">
        <f>IF(OR(('03_Сеть'!S34-S32)=0,13&lt;=КаникулыРоялти),0,('03_Сеть'!S34-S32)*IF(РоялтиПоГруппам="Да",MeanMinAge13+S9*SUMIF(ThresholdAge13,"&lt;"&amp;S9,WeightedRevAge13)-SUMIF(ThresholdAge13,"&lt;"&amp;S9,WeightedMinAge13),MAX(CapacityAge13*АбонементНовых*S9,MeanMinAge13)))</f>
        <v/>
      </c>
      <c r="T86" s="4">
        <f>IF(OR(('03_Сеть'!T34-T32)=0,13&lt;=КаникулыРоялти),0,('03_Сеть'!T34-T32)*IF(РоялтиПоГруппам="Да",MeanMinAge13+T9*SUMIF(ThresholdAge13,"&lt;"&amp;T9,WeightedRevAge13)-SUMIF(ThresholdAge13,"&lt;"&amp;T9,WeightedMinAge13),MAX(CapacityAge13*АбонементНовых*T9,MeanMinAge13)))</f>
        <v/>
      </c>
      <c r="U86" s="4">
        <f>IF(OR(('03_Сеть'!U34-U32)=0,13&lt;=КаникулыРоялти),0,('03_Сеть'!U34-U32)*IF(РоялтиПоГруппам="Да",MeanMinAge13+U9*SUMIF(ThresholdAge13,"&lt;"&amp;U9,WeightedRevAge13)-SUMIF(ThresholdAge13,"&lt;"&amp;U9,WeightedMinAge13),MAX(CapacityAge13*АбонементНовых*U9,MeanMinAge13)))</f>
        <v/>
      </c>
      <c r="V86" s="4">
        <f>IF(OR(('03_Сеть'!V34-V32)=0,13&lt;=КаникулыРоялти),0,('03_Сеть'!V34-V32)*IF(РоялтиПоГруппам="Да",MeanMinAge13+V9*SUMIF(ThresholdAge13,"&lt;"&amp;V9,WeightedRevAge13)-SUMIF(ThresholdAge13,"&lt;"&amp;V9,WeightedMinAge13),MAX(CapacityAge13*АбонементНовых*V9,MeanMinAge13)))</f>
        <v/>
      </c>
      <c r="W86" s="4">
        <f>IF(OR(('03_Сеть'!W34-W32)=0,13&lt;=КаникулыРоялти),0,('03_Сеть'!W34-W32)*IF(РоялтиПоГруппам="Да",MeanMinAge13+W9*SUMIF(ThresholdAge13,"&lt;"&amp;W9,WeightedRevAge13)-SUMIF(ThresholdAge13,"&lt;"&amp;W9,WeightedMinAge13),MAX(CapacityAge13*АбонементНовых*W9,MeanMinAge13)))</f>
        <v/>
      </c>
      <c r="X86" s="4">
        <f>IF(OR(('03_Сеть'!X34-X32)=0,13&lt;=КаникулыРоялти),0,('03_Сеть'!X34-X32)*IF(РоялтиПоГруппам="Да",MeanMinAge13+X9*SUMIF(ThresholdAge13,"&lt;"&amp;X9,WeightedRevAge13)-SUMIF(ThresholdAge13,"&lt;"&amp;X9,WeightedMinAge13),MAX(CapacityAge13*АбонементНовых*X9,MeanMinAge13)))</f>
        <v/>
      </c>
      <c r="Y86" s="4">
        <f>IF(OR(('03_Сеть'!Y34-Y32)=0,13&lt;=КаникулыРоялти),0,('03_Сеть'!Y34-Y32)*IF(РоялтиПоГруппам="Да",MeanMinAge13+Y9*SUMIF(ThresholdAge13,"&lt;"&amp;Y9,WeightedRevAge13)-SUMIF(ThresholdAge13,"&lt;"&amp;Y9,WeightedMinAge13),MAX(CapacityAge13*АбонементНовых*Y9,MeanMinAge13)))</f>
        <v/>
      </c>
      <c r="Z86" s="4">
        <f>IF(OR(('03_Сеть'!Z34-Z32)=0,13&lt;=КаникулыРоялти),0,('03_Сеть'!Z34-Z32)*IF(РоялтиПоГруппам="Да",MeanMinAge13+Z9*SUMIF(ThresholdAge13,"&lt;"&amp;Z9,WeightedRevAge13)-SUMIF(ThresholdAge13,"&lt;"&amp;Z9,WeightedMinAge13),MAX(CapacityAge13*АбонементНовых*Z9,MeanMinAge13)))</f>
        <v/>
      </c>
      <c r="AA86" s="4">
        <f>IF(OR(('03_Сеть'!AA34-AA32)=0,13&lt;=КаникулыРоялти),0,('03_Сеть'!AA34-AA32)*IF(РоялтиПоГруппам="Да",MeanMinAge13+AA9*SUMIF(ThresholdAge13,"&lt;"&amp;AA9,WeightedRevAge13)-SUMIF(ThresholdAge13,"&lt;"&amp;AA9,WeightedMinAge13),MAX(CapacityAge13*АбонементНовых*AA9,MeanMinAge13)))</f>
        <v/>
      </c>
      <c r="AB86" s="4">
        <f>IF(OR(('03_Сеть'!AB34-AB32)=0,13&lt;=КаникулыРоялти),0,('03_Сеть'!AB34-AB32)*IF(РоялтиПоГруппам="Да",MeanMinAge13+AB9*SUMIF(ThresholdAge13,"&lt;"&amp;AB9,WeightedRevAge13)-SUMIF(ThresholdAge13,"&lt;"&amp;AB9,WeightedMinAge13),MAX(CapacityAge13*АбонементНовых*AB9,MeanMinAge13)))</f>
        <v/>
      </c>
      <c r="AC86" s="4">
        <f>IF(OR(('03_Сеть'!AC34-AC32)=0,13&lt;=КаникулыРоялти),0,('03_Сеть'!AC34-AC32)*IF(РоялтиПоГруппам="Да",MeanMinAge13+AC9*SUMIF(ThresholdAge13,"&lt;"&amp;AC9,WeightedRevAge13)-SUMIF(ThresholdAge13,"&lt;"&amp;AC9,WeightedMinAge13),MAX(CapacityAge13*АбонементНовых*AC9,MeanMinAge13)))</f>
        <v/>
      </c>
      <c r="AD86" s="4">
        <f>IF(OR(('03_Сеть'!AD34-AD32)=0,13&lt;=КаникулыРоялти),0,('03_Сеть'!AD34-AD32)*IF(РоялтиПоГруппам="Да",MeanMinAge13+AD9*SUMIF(ThresholdAge13,"&lt;"&amp;AD9,WeightedRevAge13)-SUMIF(ThresholdAge13,"&lt;"&amp;AD9,WeightedMinAge13),MAX(CapacityAge13*АбонементНовых*AD9,MeanMinAge13)))</f>
        <v/>
      </c>
      <c r="AE86" s="4">
        <f>IF(OR(('03_Сеть'!AE34-AE32)=0,13&lt;=КаникулыРоялти),0,('03_Сеть'!AE34-AE32)*IF(РоялтиПоГруппам="Да",MeanMinAge13+AE9*SUMIF(ThresholdAge13,"&lt;"&amp;AE9,WeightedRevAge13)-SUMIF(ThresholdAge13,"&lt;"&amp;AE9,WeightedMinAge13),MAX(CapacityAge13*АбонементНовых*AE9,MeanMinAge13)))</f>
        <v/>
      </c>
      <c r="AF86" s="4">
        <f>IF(OR(('03_Сеть'!AF34-AF32)=0,13&lt;=КаникулыРоялти),0,('03_Сеть'!AF34-AF32)*IF(РоялтиПоГруппам="Да",MeanMinAge13+AF9*SUMIF(ThresholdAge13,"&lt;"&amp;AF9,WeightedRevAge13)-SUMIF(ThresholdAge13,"&lt;"&amp;AF9,WeightedMinAge13),MAX(CapacityAge13*АбонементНовых*AF9,MeanMinAge13)))</f>
        <v/>
      </c>
      <c r="AG86" s="4">
        <f>IF(OR(('03_Сеть'!AG34-AG32)=0,13&lt;=КаникулыРоялти),0,('03_Сеть'!AG34-AG32)*IF(РоялтиПоГруппам="Да",MeanMinAge13+AG9*SUMIF(ThresholdAge13,"&lt;"&amp;AG9,WeightedRevAge13)-SUMIF(ThresholdAge13,"&lt;"&amp;AG9,WeightedMinAge13),MAX(CapacityAge13*АбонементНовых*AG9,MeanMinAge13)))</f>
        <v/>
      </c>
      <c r="AH86" s="4">
        <f>IF(OR(('03_Сеть'!AH34-AH32)=0,13&lt;=КаникулыРоялти),0,('03_Сеть'!AH34-AH32)*IF(РоялтиПоГруппам="Да",MeanMinAge13+AH9*SUMIF(ThresholdAge13,"&lt;"&amp;AH9,WeightedRevAge13)-SUMIF(ThresholdAge13,"&lt;"&amp;AH9,WeightedMinAge13),MAX(CapacityAge13*АбонементНовых*AH9,MeanMinAge13)))</f>
        <v/>
      </c>
      <c r="AI86" s="4">
        <f>IF(OR(('03_Сеть'!AI34-AI32)=0,13&lt;=КаникулыРоялти),0,('03_Сеть'!AI34-AI32)*IF(РоялтиПоГруппам="Да",MeanMinAge13+AI9*SUMIF(ThresholdAge13,"&lt;"&amp;AI9,WeightedRevAge13)-SUMIF(ThresholdAge13,"&lt;"&amp;AI9,WeightedMinAge13),MAX(CapacityAge13*АбонементНовых*AI9,MeanMinAge13)))</f>
        <v/>
      </c>
      <c r="AJ86" s="4">
        <f>IF(OR(('03_Сеть'!AJ34-AJ32)=0,13&lt;=КаникулыРоялти),0,('03_Сеть'!AJ34-AJ32)*IF(РоялтиПоГруппам="Да",MeanMinAge13+AJ9*SUMIF(ThresholdAge13,"&lt;"&amp;AJ9,WeightedRevAge13)-SUMIF(ThresholdAge13,"&lt;"&amp;AJ9,WeightedMinAge13),MAX(CapacityAge13*АбонементНовых*AJ9,MeanMinAge13)))</f>
        <v/>
      </c>
      <c r="AK86" s="4">
        <f>IF(OR(('03_Сеть'!AK34-AK32)=0,13&lt;=КаникулыРоялти),0,('03_Сеть'!AK34-AK32)*IF(РоялтиПоГруппам="Да",MeanMinAge13+AK9*SUMIF(ThresholdAge13,"&lt;"&amp;AK9,WeightedRevAge13)-SUMIF(ThresholdAge13,"&lt;"&amp;AK9,WeightedMinAge13),MAX(CapacityAge13*АбонементНовых*AK9,MeanMinAge13)))</f>
        <v/>
      </c>
      <c r="AL86" s="4">
        <f>IF(OR(('03_Сеть'!AL34-AL32)=0,13&lt;=КаникулыРоялти),0,('03_Сеть'!AL34-AL32)*IF(РоялтиПоГруппам="Да",MeanMinAge13+AL9*SUMIF(ThresholdAge13,"&lt;"&amp;AL9,WeightedRevAge13)-SUMIF(ThresholdAge13,"&lt;"&amp;AL9,WeightedMinAge13),MAX(CapacityAge13*АбонементНовых*AL9,MeanMinAge13)))</f>
        <v/>
      </c>
      <c r="AM86" s="4">
        <f>IF(OR(('03_Сеть'!AM34-AM32)=0,13&lt;=КаникулыРоялти),0,('03_Сеть'!AM34-AM32)*IF(РоялтиПоГруппам="Да",MeanMinAge13+AM9*SUMIF(ThresholdAge13,"&lt;"&amp;AM9,WeightedRevAge13)-SUMIF(ThresholdAge13,"&lt;"&amp;AM9,WeightedMinAge13),MAX(CapacityAge13*АбонементНовых*AM9,MeanMinAge13)))</f>
        <v/>
      </c>
      <c r="AN86" s="4">
        <f>IF(OR(('03_Сеть'!AN34-AN32)=0,13&lt;=КаникулыРоялти),0,('03_Сеть'!AN34-AN32)*IF(РоялтиПоГруппам="Да",MeanMinAge13+AN9*SUMIF(ThresholdAge13,"&lt;"&amp;AN9,WeightedRevAge13)-SUMIF(ThresholdAge13,"&lt;"&amp;AN9,WeightedMinAge13),MAX(CapacityAge13*АбонементНовых*AN9,MeanMinAge13)))</f>
        <v/>
      </c>
      <c r="AO86" s="4">
        <f>IF(OR(('03_Сеть'!AO34-AO32)=0,13&lt;=КаникулыРоялти),0,('03_Сеть'!AO34-AO32)*IF(РоялтиПоГруппам="Да",MeanMinAge13+AO9*SUMIF(ThresholdAge13,"&lt;"&amp;AO9,WeightedRevAge13)-SUMIF(ThresholdAge13,"&lt;"&amp;AO9,WeightedMinAge13),MAX(CapacityAge13*АбонементНовых*AO9,MeanMinAge13)))</f>
        <v/>
      </c>
      <c r="AP86" s="4">
        <f>IF(OR(('03_Сеть'!AP34-AP32)=0,13&lt;=КаникулыРоялти),0,('03_Сеть'!AP34-AP32)*IF(РоялтиПоГруппам="Да",MeanMinAge13+AP9*SUMIF(ThresholdAge13,"&lt;"&amp;AP9,WeightedRevAge13)-SUMIF(ThresholdAge13,"&lt;"&amp;AP9,WeightedMinAge13),MAX(CapacityAge13*АбонементНовых*AP9,MeanMinAge13)))</f>
        <v/>
      </c>
      <c r="AQ86" s="4">
        <f>IF(OR(('03_Сеть'!AQ34-AQ32)=0,13&lt;=КаникулыРоялти),0,('03_Сеть'!AQ34-AQ32)*IF(РоялтиПоГруппам="Да",MeanMinAge13+AQ9*SUMIF(ThresholdAge13,"&lt;"&amp;AQ9,WeightedRevAge13)-SUMIF(ThresholdAge13,"&lt;"&amp;AQ9,WeightedMinAge13),MAX(CapacityAge13*АбонементНовых*AQ9,MeanMinAge13)))</f>
        <v/>
      </c>
      <c r="AR86" s="4">
        <f>IF(OR(('03_Сеть'!AR34-AR32)=0,13&lt;=КаникулыРоялти),0,('03_Сеть'!AR34-AR32)*IF(РоялтиПоГруппам="Да",MeanMinAge13+AR9*SUMIF(ThresholdAge13,"&lt;"&amp;AR9,WeightedRevAge13)-SUMIF(ThresholdAge13,"&lt;"&amp;AR9,WeightedMinAge13),MAX(CapacityAge13*АбонементНовых*AR9,MeanMinAge13)))</f>
        <v/>
      </c>
      <c r="AS86" s="4">
        <f>IF(OR(('03_Сеть'!AS34-AS32)=0,13&lt;=КаникулыРоялти),0,('03_Сеть'!AS34-AS32)*IF(РоялтиПоГруппам="Да",MeanMinAge13+AS9*SUMIF(ThresholdAge13,"&lt;"&amp;AS9,WeightedRevAge13)-SUMIF(ThresholdAge13,"&lt;"&amp;AS9,WeightedMinAge13),MAX(CapacityAge13*АбонементНовых*AS9,MeanMinAge13)))</f>
        <v/>
      </c>
      <c r="AT86" s="4">
        <f>IF(OR(('03_Сеть'!AT34-AT32)=0,13&lt;=КаникулыРоялти),0,('03_Сеть'!AT34-AT32)*IF(РоялтиПоГруппам="Да",MeanMinAge13+AT9*SUMIF(ThresholdAge13,"&lt;"&amp;AT9,WeightedRevAge13)-SUMIF(ThresholdAge13,"&lt;"&amp;AT9,WeightedMinAge13),MAX(CapacityAge13*АбонементНовых*AT9,MeanMinAge13)))</f>
        <v/>
      </c>
      <c r="AU86" s="4">
        <f>IF(OR(('03_Сеть'!AU34-AU32)=0,13&lt;=КаникулыРоялти),0,('03_Сеть'!AU34-AU32)*IF(РоялтиПоГруппам="Да",MeanMinAge13+AU9*SUMIF(ThresholdAge13,"&lt;"&amp;AU9,WeightedRevAge13)-SUMIF(ThresholdAge13,"&lt;"&amp;AU9,WeightedMinAge13),MAX(CapacityAge13*АбонементНовых*AU9,MeanMinAge13)))</f>
        <v/>
      </c>
      <c r="AV86" s="4">
        <f>IF(OR(('03_Сеть'!AV34-AV32)=0,13&lt;=КаникулыРоялти),0,('03_Сеть'!AV34-AV32)*IF(РоялтиПоГруппам="Да",MeanMinAge13+AV9*SUMIF(ThresholdAge13,"&lt;"&amp;AV9,WeightedRevAge13)-SUMIF(ThresholdAge13,"&lt;"&amp;AV9,WeightedMinAge13),MAX(CapacityAge13*АбонементНовых*AV9,MeanMinAge13)))</f>
        <v/>
      </c>
      <c r="AW86" s="4">
        <f>IF(OR(('03_Сеть'!AW34-AW32)=0,13&lt;=КаникулыРоялти),0,('03_Сеть'!AW34-AW32)*IF(РоялтиПоГруппам="Да",MeanMinAge13+AW9*SUMIF(ThresholdAge13,"&lt;"&amp;AW9,WeightedRevAge13)-SUMIF(ThresholdAge13,"&lt;"&amp;AW9,WeightedMinAge13),MAX(CapacityAge13*АбонементНовых*AW9,MeanMinAge13)))</f>
        <v/>
      </c>
      <c r="AX86" s="4">
        <f>IF(OR(('03_Сеть'!AX34-AX32)=0,13&lt;=КаникулыРоялти),0,('03_Сеть'!AX34-AX32)*IF(РоялтиПоГруппам="Да",MeanMinAge13+AX9*SUMIF(ThresholdAge13,"&lt;"&amp;AX9,WeightedRevAge13)-SUMIF(ThresholdAge13,"&lt;"&amp;AX9,WeightedMinAge13),MAX(CapacityAge13*АбонементНовых*AX9,MeanMinAge13)))</f>
        <v/>
      </c>
      <c r="AY86" s="4">
        <f>IF(OR(('03_Сеть'!AY34-AY32)=0,13&lt;=КаникулыРоялти),0,('03_Сеть'!AY34-AY32)*IF(РоялтиПоГруппам="Да",MeanMinAge13+AY9*SUMIF(ThresholdAge13,"&lt;"&amp;AY9,WeightedRevAge13)-SUMIF(ThresholdAge13,"&lt;"&amp;AY9,WeightedMinAge13),MAX(CapacityAge13*АбонементНовых*AY9,MeanMinAge13)))</f>
        <v/>
      </c>
      <c r="AZ86" s="4">
        <f>IF(OR(('03_Сеть'!AZ34-AZ32)=0,13&lt;=КаникулыРоялти),0,('03_Сеть'!AZ34-AZ32)*IF(РоялтиПоГруппам="Да",MeanMinAge13+AZ9*SUMIF(ThresholdAge13,"&lt;"&amp;AZ9,WeightedRevAge13)-SUMIF(ThresholdAge13,"&lt;"&amp;AZ9,WeightedMinAge13),MAX(CapacityAge13*АбонементНовых*AZ9,MeanMinAge13)))</f>
        <v/>
      </c>
      <c r="BA86" s="4">
        <f>IF(OR(('03_Сеть'!BA34-BA32)=0,13&lt;=КаникулыРоялти),0,('03_Сеть'!BA34-BA32)*IF(РоялтиПоГруппам="Да",MeanMinAge13+BA9*SUMIF(ThresholdAge13,"&lt;"&amp;BA9,WeightedRevAge13)-SUMIF(ThresholdAge13,"&lt;"&amp;BA9,WeightedMinAge13),MAX(CapacityAge13*АбонементНовых*BA9,MeanMinAge13)))</f>
        <v/>
      </c>
      <c r="BB86" s="4">
        <f>IF(OR(('03_Сеть'!BB34-BB32)=0,13&lt;=КаникулыРоялти),0,('03_Сеть'!BB34-BB32)*IF(РоялтиПоГруппам="Да",MeanMinAge13+BB9*SUMIF(ThresholdAge13,"&lt;"&amp;BB9,WeightedRevAge13)-SUMIF(ThresholdAge13,"&lt;"&amp;BB9,WeightedMinAge13),MAX(CapacityAge13*АбонементНовых*BB9,MeanMinAge13)))</f>
        <v/>
      </c>
      <c r="BC86" s="4">
        <f>IF(OR(('03_Сеть'!BC34-BC32)=0,13&lt;=КаникулыРоялти),0,('03_Сеть'!BC34-BC32)*IF(РоялтиПоГруппам="Да",MeanMinAge13+BC9*SUMIF(ThresholdAge13,"&lt;"&amp;BC9,WeightedRevAge13)-SUMIF(ThresholdAge13,"&lt;"&amp;BC9,WeightedMinAge13),MAX(CapacityAge13*АбонементНовых*BC9,MeanMinAge13)))</f>
        <v/>
      </c>
      <c r="BD86" s="4">
        <f>IF(OR(('03_Сеть'!BD34-BD32)=0,13&lt;=КаникулыРоялти),0,('03_Сеть'!BD34-BD32)*IF(РоялтиПоГруппам="Да",MeanMinAge13+BD9*SUMIF(ThresholdAge13,"&lt;"&amp;BD9,WeightedRevAge13)-SUMIF(ThresholdAge13,"&lt;"&amp;BD9,WeightedMinAge13),MAX(CapacityAge13*АбонементНовых*BD9,MeanMinAge13)))</f>
        <v/>
      </c>
      <c r="BE86" s="4">
        <f>IF(OR(('03_Сеть'!BE34-BE32)=0,13&lt;=КаникулыРоялти),0,('03_Сеть'!BE34-BE32)*IF(РоялтиПоГруппам="Да",MeanMinAge13+BE9*SUMIF(ThresholdAge13,"&lt;"&amp;BE9,WeightedRevAge13)-SUMIF(ThresholdAge13,"&lt;"&amp;BE9,WeightedMinAge13),MAX(CapacityAge13*АбонементНовых*BE9,MeanMinAge13)))</f>
        <v/>
      </c>
      <c r="BF86" s="4">
        <f>IF(OR(('03_Сеть'!BF34-BF32)=0,13&lt;=КаникулыРоялти),0,('03_Сеть'!BF34-BF32)*IF(РоялтиПоГруппам="Да",MeanMinAge13+BF9*SUMIF(ThresholdAge13,"&lt;"&amp;BF9,WeightedRevAge13)-SUMIF(ThresholdAge13,"&lt;"&amp;BF9,WeightedMinAge13),MAX(CapacityAge13*АбонементНовых*BF9,MeanMinAge13)))</f>
        <v/>
      </c>
      <c r="BG86" s="4">
        <f>IF(OR(('03_Сеть'!BG34-BG32)=0,13&lt;=КаникулыРоялти),0,('03_Сеть'!BG34-BG32)*IF(РоялтиПоГруппам="Да",MeanMinAge13+BG9*SUMIF(ThresholdAge13,"&lt;"&amp;BG9,WeightedRevAge13)-SUMIF(ThresholdAge13,"&lt;"&amp;BG9,WeightedMinAge13),MAX(CapacityAge13*АбонементНовых*BG9,MeanMinAge13)))</f>
        <v/>
      </c>
      <c r="BH86" s="4">
        <f>IF(OR(('03_Сеть'!BH34-BH32)=0,13&lt;=КаникулыРоялти),0,('03_Сеть'!BH34-BH32)*IF(РоялтиПоГруппам="Да",MeanMinAge13+BH9*SUMIF(ThresholdAge13,"&lt;"&amp;BH9,WeightedRevAge13)-SUMIF(ThresholdAge13,"&lt;"&amp;BH9,WeightedMinAge13),MAX(CapacityAge13*АбонементНовых*BH9,MeanMinAge13)))</f>
        <v/>
      </c>
      <c r="BI86" s="4">
        <f>IF(OR(('03_Сеть'!BI34-BI32)=0,13&lt;=КаникулыРоялти),0,('03_Сеть'!BI34-BI32)*IF(РоялтиПоГруппам="Да",MeanMinAge13+BI9*SUMIF(ThresholdAge13,"&lt;"&amp;BI9,WeightedRevAge13)-SUMIF(ThresholdAge13,"&lt;"&amp;BI9,WeightedMinAge13),MAX(CapacityAge13*АбонементНовых*BI9,MeanMinAge13)))</f>
        <v/>
      </c>
      <c r="BJ86" s="4">
        <f>IF(OR(('03_Сеть'!BJ34-BJ32)=0,13&lt;=КаникулыРоялти),0,('03_Сеть'!BJ34-BJ32)*IF(РоялтиПоГруппам="Да",MeanMinAge13+BJ9*SUMIF(ThresholdAge13,"&lt;"&amp;BJ9,WeightedRevAge13)-SUMIF(ThresholdAge13,"&lt;"&amp;BJ9,WeightedMinAge13),MAX(CapacityAge13*АбонементНовых*BJ9,MeanMinAge13)))</f>
        <v/>
      </c>
      <c r="BK86" s="4">
        <f>IF(OR(('03_Сеть'!BK34-BK32)=0,13&lt;=КаникулыРоялти),0,('03_Сеть'!BK34-BK32)*IF(РоялтиПоГруппам="Да",MeanMinAge13+BK9*SUMIF(ThresholdAge13,"&lt;"&amp;BK9,WeightedRevAge13)-SUMIF(ThresholdAge13,"&lt;"&amp;BK9,WeightedMinAge13),MAX(CapacityAge13*АбонементНовых*BK9,MeanMinAge13)))</f>
        <v/>
      </c>
      <c r="BL86" s="4">
        <f>IF(OR(('03_Сеть'!BL34-BL32)=0,13&lt;=КаникулыРоялти),0,('03_Сеть'!BL34-BL32)*IF(РоялтиПоГруппам="Да",MeanMinAge13+BL9*SUMIF(ThresholdAge13,"&lt;"&amp;BL9,WeightedRevAge13)-SUMIF(ThresholdAge13,"&lt;"&amp;BL9,WeightedMinAge13),MAX(CapacityAge13*АбонементНовых*BL9,MeanMinAge13)))</f>
        <v/>
      </c>
      <c r="BM86" s="4">
        <f>IF(OR(('03_Сеть'!BM34-BM32)=0,13&lt;=КаникулыРоялти),0,('03_Сеть'!BM34-BM32)*IF(РоялтиПоГруппам="Да",MeanMinAge13+BM9*SUMIF(ThresholdAge13,"&lt;"&amp;BM9,WeightedRevAge13)-SUMIF(ThresholdAge13,"&lt;"&amp;BM9,WeightedMinAge13),MAX(CapacityAge13*АбонементНовых*BM9,MeanMinAge13)))</f>
        <v/>
      </c>
      <c r="BN86" s="4">
        <f>IF(OR(('03_Сеть'!BN34-BN32)=0,13&lt;=КаникулыРоялти),0,('03_Сеть'!BN34-BN32)*IF(РоялтиПоГруппам="Да",MeanMinAge13+BN9*SUMIF(ThresholdAge13,"&lt;"&amp;BN9,WeightedRevAge13)-SUMIF(ThresholdAge13,"&lt;"&amp;BN9,WeightedMinAge13),MAX(CapacityAge13*АбонементНовых*BN9,MeanMinAge13)))</f>
        <v/>
      </c>
      <c r="BO86" s="4">
        <f>IF(OR(('03_Сеть'!BO34-BO32)=0,13&lt;=КаникулыРоялти),0,('03_Сеть'!BO34-BO32)*IF(РоялтиПоГруппам="Да",MeanMinAge13+BO9*SUMIF(ThresholdAge13,"&lt;"&amp;BO9,WeightedRevAge13)-SUMIF(ThresholdAge13,"&lt;"&amp;BO9,WeightedMinAge13),MAX(CapacityAge13*АбонементНовых*BO9,MeanMinAge13)))</f>
        <v/>
      </c>
      <c r="BP86" s="4">
        <f>IF(OR(('03_Сеть'!BP34-BP32)=0,13&lt;=КаникулыРоялти),0,('03_Сеть'!BP34-BP32)*IF(РоялтиПоГруппам="Да",MeanMinAge13+BP9*SUMIF(ThresholdAge13,"&lt;"&amp;BP9,WeightedRevAge13)-SUMIF(ThresholdAge13,"&lt;"&amp;BP9,WeightedMinAge13),MAX(CapacityAge13*АбонементНовых*BP9,MeanMinAge13)))</f>
        <v/>
      </c>
      <c r="BQ86" s="4">
        <f>IF(OR(('03_Сеть'!BQ34-BQ32)=0,13&lt;=КаникулыРоялти),0,('03_Сеть'!BQ34-BQ32)*IF(РоялтиПоГруппам="Да",MeanMinAge13+BQ9*SUMIF(ThresholdAge13,"&lt;"&amp;BQ9,WeightedRevAge13)-SUMIF(ThresholdAge13,"&lt;"&amp;BQ9,WeightedMinAge13),MAX(CapacityAge13*АбонементНовых*BQ9,MeanMinAge13)))</f>
        <v/>
      </c>
      <c r="BR86" s="4">
        <f>IF(OR(('03_Сеть'!BR34-BR32)=0,13&lt;=КаникулыРоялти),0,('03_Сеть'!BR34-BR32)*IF(РоялтиПоГруппам="Да",MeanMinAge13+BR9*SUMIF(ThresholdAge13,"&lt;"&amp;BR9,WeightedRevAge13)-SUMIF(ThresholdAge13,"&lt;"&amp;BR9,WeightedMinAge13),MAX(CapacityAge13*АбонементНовых*BR9,MeanMinAge13)))</f>
        <v/>
      </c>
      <c r="BS86" s="4">
        <f>IF(OR(('03_Сеть'!BS34-BS32)=0,13&lt;=КаникулыРоялти),0,('03_Сеть'!BS34-BS32)*IF(РоялтиПоГруппам="Да",MeanMinAge13+BS9*SUMIF(ThresholdAge13,"&lt;"&amp;BS9,WeightedRevAge13)-SUMIF(ThresholdAge13,"&lt;"&amp;BS9,WeightedMinAge13),MAX(CapacityAge13*АбонементНовых*BS9,MeanMinAge13)))</f>
        <v/>
      </c>
      <c r="BT86" s="4">
        <f>IF(OR(('03_Сеть'!BT34-BT32)=0,13&lt;=КаникулыРоялти),0,('03_Сеть'!BT34-BT32)*IF(РоялтиПоГруппам="Да",MeanMinAge13+BT9*SUMIF(ThresholdAge13,"&lt;"&amp;BT9,WeightedRevAge13)-SUMIF(ThresholdAge13,"&lt;"&amp;BT9,WeightedMinAge13),MAX(CapacityAge13*АбонементНовых*BT9,MeanMinAge13)))</f>
        <v/>
      </c>
      <c r="BU86" s="4">
        <f>IF(OR(('03_Сеть'!BU34-BU32)=0,13&lt;=КаникулыРоялти),0,('03_Сеть'!BU34-BU32)*IF(РоялтиПоГруппам="Да",MeanMinAge13+BU9*SUMIF(ThresholdAge13,"&lt;"&amp;BU9,WeightedRevAge13)-SUMIF(ThresholdAge13,"&lt;"&amp;BU9,WeightedMinAge13),MAX(CapacityAge13*АбонементНовых*BU9,MeanMinAge13)))</f>
        <v/>
      </c>
      <c r="BV86" s="4">
        <f>IF(OR(('03_Сеть'!BV34-BV32)=0,13&lt;=КаникулыРоялти),0,('03_Сеть'!BV34-BV32)*IF(РоялтиПоГруппам="Да",MeanMinAge13+BV9*SUMIF(ThresholdAge13,"&lt;"&amp;BV9,WeightedRevAge13)-SUMIF(ThresholdAge13,"&lt;"&amp;BV9,WeightedMinAge13),MAX(CapacityAge13*АбонементНовых*BV9,MeanMinAge13)))</f>
        <v/>
      </c>
      <c r="BW86" s="4">
        <f>IF(OR(('03_Сеть'!BW34-BW32)=0,13&lt;=КаникулыРоялти),0,('03_Сеть'!BW34-BW32)*IF(РоялтиПоГруппам="Да",MeanMinAge13+BW9*SUMIF(ThresholdAge13,"&lt;"&amp;BW9,WeightedRevAge13)-SUMIF(ThresholdAge13,"&lt;"&amp;BW9,WeightedMinAge13),MAX(CapacityAge13*АбонементНовых*BW9,MeanMinAge13)))</f>
        <v/>
      </c>
      <c r="BX86" s="4">
        <f>IF(OR(('03_Сеть'!BX34-BX32)=0,13&lt;=КаникулыРоялти),0,('03_Сеть'!BX34-BX32)*IF(РоялтиПоГруппам="Да",MeanMinAge13+BX9*SUMIF(ThresholdAge13,"&lt;"&amp;BX9,WeightedRevAge13)-SUMIF(ThresholdAge13,"&lt;"&amp;BX9,WeightedMinAge13),MAX(CapacityAge13*АбонементНовых*BX9,MeanMinAge13)))</f>
        <v/>
      </c>
      <c r="BY86" s="4">
        <f>IF(OR(('03_Сеть'!BY34-BY32)=0,13&lt;=КаникулыРоялти),0,('03_Сеть'!BY34-BY32)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87">
      <c r="B87" t="inlineStr">
        <is>
          <t>14 мес.</t>
        </is>
      </c>
      <c r="C87" t="inlineStr">
        <is>
          <t>₽</t>
        </is>
      </c>
      <c r="D87" s="117" t="inlineStr"/>
      <c r="E87" s="119">
        <f>SUM(L87:W87)</f>
        <v/>
      </c>
      <c r="F87" s="119">
        <f>SUM(X87:AI87)</f>
        <v/>
      </c>
      <c r="G87" s="119">
        <f>SUM(AJ87:AU87)</f>
        <v/>
      </c>
      <c r="H87" s="119">
        <f>SUM(AV87:BG87)</f>
        <v/>
      </c>
      <c r="I87" s="119">
        <f>SUM(BH87:BS87)</f>
        <v/>
      </c>
      <c r="J87" s="5">
        <f>SUM(L87:BS87)</f>
        <v/>
      </c>
      <c r="L87" s="4">
        <f>IF(OR(('03_Сеть'!L35-L33)=0,14&lt;=КаникулыРоялти),0,('03_Сеть'!L35-L33)*IF(РоялтиПоГруппам="Да",MeanMinAge14+L9*SUMIF(ThresholdAge14,"&lt;"&amp;L9,WeightedRevAge14)-SUMIF(ThresholdAge14,"&lt;"&amp;L9,WeightedMinAge14),MAX(CapacityAge14*АбонементНовых*L9,MeanMinAge14)))</f>
        <v/>
      </c>
      <c r="M87" s="4">
        <f>IF(OR(('03_Сеть'!M35-M33)=0,14&lt;=КаникулыРоялти),0,('03_Сеть'!M35-M33)*IF(РоялтиПоГруппам="Да",MeanMinAge14+M9*SUMIF(ThresholdAge14,"&lt;"&amp;M9,WeightedRevAge14)-SUMIF(ThresholdAge14,"&lt;"&amp;M9,WeightedMinAge14),MAX(CapacityAge14*АбонементНовых*M9,MeanMinAge14)))</f>
        <v/>
      </c>
      <c r="N87" s="4">
        <f>IF(OR(('03_Сеть'!N35-N33)=0,14&lt;=КаникулыРоялти),0,('03_Сеть'!N35-N33)*IF(РоялтиПоГруппам="Да",MeanMinAge14+N9*SUMIF(ThresholdAge14,"&lt;"&amp;N9,WeightedRevAge14)-SUMIF(ThresholdAge14,"&lt;"&amp;N9,WeightedMinAge14),MAX(CapacityAge14*АбонементНовых*N9,MeanMinAge14)))</f>
        <v/>
      </c>
      <c r="O87" s="4">
        <f>IF(OR(('03_Сеть'!O35-O33)=0,14&lt;=КаникулыРоялти),0,('03_Сеть'!O35-O33)*IF(РоялтиПоГруппам="Да",MeanMinAge14+O9*SUMIF(ThresholdAge14,"&lt;"&amp;O9,WeightedRevAge14)-SUMIF(ThresholdAge14,"&lt;"&amp;O9,WeightedMinAge14),MAX(CapacityAge14*АбонементНовых*O9,MeanMinAge14)))</f>
        <v/>
      </c>
      <c r="P87" s="4">
        <f>IF(OR(('03_Сеть'!P35-P33)=0,14&lt;=КаникулыРоялти),0,('03_Сеть'!P35-P33)*IF(РоялтиПоГруппам="Да",MeanMinAge14+P9*SUMIF(ThresholdAge14,"&lt;"&amp;P9,WeightedRevAge14)-SUMIF(ThresholdAge14,"&lt;"&amp;P9,WeightedMinAge14),MAX(CapacityAge14*АбонементНовых*P9,MeanMinAge14)))</f>
        <v/>
      </c>
      <c r="Q87" s="4">
        <f>IF(OR(('03_Сеть'!Q35-Q33)=0,14&lt;=КаникулыРоялти),0,('03_Сеть'!Q35-Q33)*IF(РоялтиПоГруппам="Да",MeanMinAge14+Q9*SUMIF(ThresholdAge14,"&lt;"&amp;Q9,WeightedRevAge14)-SUMIF(ThresholdAge14,"&lt;"&amp;Q9,WeightedMinAge14),MAX(CapacityAge14*АбонементНовых*Q9,MeanMinAge14)))</f>
        <v/>
      </c>
      <c r="R87" s="4">
        <f>IF(OR(('03_Сеть'!R35-R33)=0,14&lt;=КаникулыРоялти),0,('03_Сеть'!R35-R33)*IF(РоялтиПоГруппам="Да",MeanMinAge14+R9*SUMIF(ThresholdAge14,"&lt;"&amp;R9,WeightedRevAge14)-SUMIF(ThresholdAge14,"&lt;"&amp;R9,WeightedMinAge14),MAX(CapacityAge14*АбонементНовых*R9,MeanMinAge14)))</f>
        <v/>
      </c>
      <c r="S87" s="4">
        <f>IF(OR(('03_Сеть'!S35-S33)=0,14&lt;=КаникулыРоялти),0,('03_Сеть'!S35-S33)*IF(РоялтиПоГруппам="Да",MeanMinAge14+S9*SUMIF(ThresholdAge14,"&lt;"&amp;S9,WeightedRevAge14)-SUMIF(ThresholdAge14,"&lt;"&amp;S9,WeightedMinAge14),MAX(CapacityAge14*АбонементНовых*S9,MeanMinAge14)))</f>
        <v/>
      </c>
      <c r="T87" s="4">
        <f>IF(OR(('03_Сеть'!T35-T33)=0,14&lt;=КаникулыРоялти),0,('03_Сеть'!T35-T33)*IF(РоялтиПоГруппам="Да",MeanMinAge14+T9*SUMIF(ThresholdAge14,"&lt;"&amp;T9,WeightedRevAge14)-SUMIF(ThresholdAge14,"&lt;"&amp;T9,WeightedMinAge14),MAX(CapacityAge14*АбонементНовых*T9,MeanMinAge14)))</f>
        <v/>
      </c>
      <c r="U87" s="4">
        <f>IF(OR(('03_Сеть'!U35-U33)=0,14&lt;=КаникулыРоялти),0,('03_Сеть'!U35-U33)*IF(РоялтиПоГруппам="Да",MeanMinAge14+U9*SUMIF(ThresholdAge14,"&lt;"&amp;U9,WeightedRevAge14)-SUMIF(ThresholdAge14,"&lt;"&amp;U9,WeightedMinAge14),MAX(CapacityAge14*АбонементНовых*U9,MeanMinAge14)))</f>
        <v/>
      </c>
      <c r="V87" s="4">
        <f>IF(OR(('03_Сеть'!V35-V33)=0,14&lt;=КаникулыРоялти),0,('03_Сеть'!V35-V33)*IF(РоялтиПоГруппам="Да",MeanMinAge14+V9*SUMIF(ThresholdAge14,"&lt;"&amp;V9,WeightedRevAge14)-SUMIF(ThresholdAge14,"&lt;"&amp;V9,WeightedMinAge14),MAX(CapacityAge14*АбонементНовых*V9,MeanMinAge14)))</f>
        <v/>
      </c>
      <c r="W87" s="4">
        <f>IF(OR(('03_Сеть'!W35-W33)=0,14&lt;=КаникулыРоялти),0,('03_Сеть'!W35-W33)*IF(РоялтиПоГруппам="Да",MeanMinAge14+W9*SUMIF(ThresholdAge14,"&lt;"&amp;W9,WeightedRevAge14)-SUMIF(ThresholdAge14,"&lt;"&amp;W9,WeightedMinAge14),MAX(CapacityAge14*АбонементНовых*W9,MeanMinAge14)))</f>
        <v/>
      </c>
      <c r="X87" s="4">
        <f>IF(OR(('03_Сеть'!X35-X33)=0,14&lt;=КаникулыРоялти),0,('03_Сеть'!X35-X33)*IF(РоялтиПоГруппам="Да",MeanMinAge14+X9*SUMIF(ThresholdAge14,"&lt;"&amp;X9,WeightedRevAge14)-SUMIF(ThresholdAge14,"&lt;"&amp;X9,WeightedMinAge14),MAX(CapacityAge14*АбонементНовых*X9,MeanMinAge14)))</f>
        <v/>
      </c>
      <c r="Y87" s="4">
        <f>IF(OR(('03_Сеть'!Y35-Y33)=0,14&lt;=КаникулыРоялти),0,('03_Сеть'!Y35-Y33)*IF(РоялтиПоГруппам="Да",MeanMinAge14+Y9*SUMIF(ThresholdAge14,"&lt;"&amp;Y9,WeightedRevAge14)-SUMIF(ThresholdAge14,"&lt;"&amp;Y9,WeightedMinAge14),MAX(CapacityAge14*АбонементНовых*Y9,MeanMinAge14)))</f>
        <v/>
      </c>
      <c r="Z87" s="4">
        <f>IF(OR(('03_Сеть'!Z35-Z33)=0,14&lt;=КаникулыРоялти),0,('03_Сеть'!Z35-Z33)*IF(РоялтиПоГруппам="Да",MeanMinAge14+Z9*SUMIF(ThresholdAge14,"&lt;"&amp;Z9,WeightedRevAge14)-SUMIF(ThresholdAge14,"&lt;"&amp;Z9,WeightedMinAge14),MAX(CapacityAge14*АбонементНовых*Z9,MeanMinAge14)))</f>
        <v/>
      </c>
      <c r="AA87" s="4">
        <f>IF(OR(('03_Сеть'!AA35-AA33)=0,14&lt;=КаникулыРоялти),0,('03_Сеть'!AA35-AA33)*IF(РоялтиПоГруппам="Да",MeanMinAge14+AA9*SUMIF(ThresholdAge14,"&lt;"&amp;AA9,WeightedRevAge14)-SUMIF(ThresholdAge14,"&lt;"&amp;AA9,WeightedMinAge14),MAX(CapacityAge14*АбонементНовых*AA9,MeanMinAge14)))</f>
        <v/>
      </c>
      <c r="AB87" s="4">
        <f>IF(OR(('03_Сеть'!AB35-AB33)=0,14&lt;=КаникулыРоялти),0,('03_Сеть'!AB35-AB33)*IF(РоялтиПоГруппам="Да",MeanMinAge14+AB9*SUMIF(ThresholdAge14,"&lt;"&amp;AB9,WeightedRevAge14)-SUMIF(ThresholdAge14,"&lt;"&amp;AB9,WeightedMinAge14),MAX(CapacityAge14*АбонементНовых*AB9,MeanMinAge14)))</f>
        <v/>
      </c>
      <c r="AC87" s="4">
        <f>IF(OR(('03_Сеть'!AC35-AC33)=0,14&lt;=КаникулыРоялти),0,('03_Сеть'!AC35-AC33)*IF(РоялтиПоГруппам="Да",MeanMinAge14+AC9*SUMIF(ThresholdAge14,"&lt;"&amp;AC9,WeightedRevAge14)-SUMIF(ThresholdAge14,"&lt;"&amp;AC9,WeightedMinAge14),MAX(CapacityAge14*АбонементНовых*AC9,MeanMinAge14)))</f>
        <v/>
      </c>
      <c r="AD87" s="4">
        <f>IF(OR(('03_Сеть'!AD35-AD33)=0,14&lt;=КаникулыРоялти),0,('03_Сеть'!AD35-AD33)*IF(РоялтиПоГруппам="Да",MeanMinAge14+AD9*SUMIF(ThresholdAge14,"&lt;"&amp;AD9,WeightedRevAge14)-SUMIF(ThresholdAge14,"&lt;"&amp;AD9,WeightedMinAge14),MAX(CapacityAge14*АбонементНовых*AD9,MeanMinAge14)))</f>
        <v/>
      </c>
      <c r="AE87" s="4">
        <f>IF(OR(('03_Сеть'!AE35-AE33)=0,14&lt;=КаникулыРоялти),0,('03_Сеть'!AE35-AE33)*IF(РоялтиПоГруппам="Да",MeanMinAge14+AE9*SUMIF(ThresholdAge14,"&lt;"&amp;AE9,WeightedRevAge14)-SUMIF(ThresholdAge14,"&lt;"&amp;AE9,WeightedMinAge14),MAX(CapacityAge14*АбонементНовых*AE9,MeanMinAge14)))</f>
        <v/>
      </c>
      <c r="AF87" s="4">
        <f>IF(OR(('03_Сеть'!AF35-AF33)=0,14&lt;=КаникулыРоялти),0,('03_Сеть'!AF35-AF33)*IF(РоялтиПоГруппам="Да",MeanMinAge14+AF9*SUMIF(ThresholdAge14,"&lt;"&amp;AF9,WeightedRevAge14)-SUMIF(ThresholdAge14,"&lt;"&amp;AF9,WeightedMinAge14),MAX(CapacityAge14*АбонементНовых*AF9,MeanMinAge14)))</f>
        <v/>
      </c>
      <c r="AG87" s="4">
        <f>IF(OR(('03_Сеть'!AG35-AG33)=0,14&lt;=КаникулыРоялти),0,('03_Сеть'!AG35-AG33)*IF(РоялтиПоГруппам="Да",MeanMinAge14+AG9*SUMIF(ThresholdAge14,"&lt;"&amp;AG9,WeightedRevAge14)-SUMIF(ThresholdAge14,"&lt;"&amp;AG9,WeightedMinAge14),MAX(CapacityAge14*АбонементНовых*AG9,MeanMinAge14)))</f>
        <v/>
      </c>
      <c r="AH87" s="4">
        <f>IF(OR(('03_Сеть'!AH35-AH33)=0,14&lt;=КаникулыРоялти),0,('03_Сеть'!AH35-AH33)*IF(РоялтиПоГруппам="Да",MeanMinAge14+AH9*SUMIF(ThresholdAge14,"&lt;"&amp;AH9,WeightedRevAge14)-SUMIF(ThresholdAge14,"&lt;"&amp;AH9,WeightedMinAge14),MAX(CapacityAge14*АбонементНовых*AH9,MeanMinAge14)))</f>
        <v/>
      </c>
      <c r="AI87" s="4">
        <f>IF(OR(('03_Сеть'!AI35-AI33)=0,14&lt;=КаникулыРоялти),0,('03_Сеть'!AI35-AI33)*IF(РоялтиПоГруппам="Да",MeanMinAge14+AI9*SUMIF(ThresholdAge14,"&lt;"&amp;AI9,WeightedRevAge14)-SUMIF(ThresholdAge14,"&lt;"&amp;AI9,WeightedMinAge14),MAX(CapacityAge14*АбонементНовых*AI9,MeanMinAge14)))</f>
        <v/>
      </c>
      <c r="AJ87" s="4">
        <f>IF(OR(('03_Сеть'!AJ35-AJ33)=0,14&lt;=КаникулыРоялти),0,('03_Сеть'!AJ35-AJ33)*IF(РоялтиПоГруппам="Да",MeanMinAge14+AJ9*SUMIF(ThresholdAge14,"&lt;"&amp;AJ9,WeightedRevAge14)-SUMIF(ThresholdAge14,"&lt;"&amp;AJ9,WeightedMinAge14),MAX(CapacityAge14*АбонементНовых*AJ9,MeanMinAge14)))</f>
        <v/>
      </c>
      <c r="AK87" s="4">
        <f>IF(OR(('03_Сеть'!AK35-AK33)=0,14&lt;=КаникулыРоялти),0,('03_Сеть'!AK35-AK33)*IF(РоялтиПоГруппам="Да",MeanMinAge14+AK9*SUMIF(ThresholdAge14,"&lt;"&amp;AK9,WeightedRevAge14)-SUMIF(ThresholdAge14,"&lt;"&amp;AK9,WeightedMinAge14),MAX(CapacityAge14*АбонементНовых*AK9,MeanMinAge14)))</f>
        <v/>
      </c>
      <c r="AL87" s="4">
        <f>IF(OR(('03_Сеть'!AL35-AL33)=0,14&lt;=КаникулыРоялти),0,('03_Сеть'!AL35-AL33)*IF(РоялтиПоГруппам="Да",MeanMinAge14+AL9*SUMIF(ThresholdAge14,"&lt;"&amp;AL9,WeightedRevAge14)-SUMIF(ThresholdAge14,"&lt;"&amp;AL9,WeightedMinAge14),MAX(CapacityAge14*АбонементНовых*AL9,MeanMinAge14)))</f>
        <v/>
      </c>
      <c r="AM87" s="4">
        <f>IF(OR(('03_Сеть'!AM35-AM33)=0,14&lt;=КаникулыРоялти),0,('03_Сеть'!AM35-AM33)*IF(РоялтиПоГруппам="Да",MeanMinAge14+AM9*SUMIF(ThresholdAge14,"&lt;"&amp;AM9,WeightedRevAge14)-SUMIF(ThresholdAge14,"&lt;"&amp;AM9,WeightedMinAge14),MAX(CapacityAge14*АбонементНовых*AM9,MeanMinAge14)))</f>
        <v/>
      </c>
      <c r="AN87" s="4">
        <f>IF(OR(('03_Сеть'!AN35-AN33)=0,14&lt;=КаникулыРоялти),0,('03_Сеть'!AN35-AN33)*IF(РоялтиПоГруппам="Да",MeanMinAge14+AN9*SUMIF(ThresholdAge14,"&lt;"&amp;AN9,WeightedRevAge14)-SUMIF(ThresholdAge14,"&lt;"&amp;AN9,WeightedMinAge14),MAX(CapacityAge14*АбонементНовых*AN9,MeanMinAge14)))</f>
        <v/>
      </c>
      <c r="AO87" s="4">
        <f>IF(OR(('03_Сеть'!AO35-AO33)=0,14&lt;=КаникулыРоялти),0,('03_Сеть'!AO35-AO33)*IF(РоялтиПоГруппам="Да",MeanMinAge14+AO9*SUMIF(ThresholdAge14,"&lt;"&amp;AO9,WeightedRevAge14)-SUMIF(ThresholdAge14,"&lt;"&amp;AO9,WeightedMinAge14),MAX(CapacityAge14*АбонементНовых*AO9,MeanMinAge14)))</f>
        <v/>
      </c>
      <c r="AP87" s="4">
        <f>IF(OR(('03_Сеть'!AP35-AP33)=0,14&lt;=КаникулыРоялти),0,('03_Сеть'!AP35-AP33)*IF(РоялтиПоГруппам="Да",MeanMinAge14+AP9*SUMIF(ThresholdAge14,"&lt;"&amp;AP9,WeightedRevAge14)-SUMIF(ThresholdAge14,"&lt;"&amp;AP9,WeightedMinAge14),MAX(CapacityAge14*АбонементНовых*AP9,MeanMinAge14)))</f>
        <v/>
      </c>
      <c r="AQ87" s="4">
        <f>IF(OR(('03_Сеть'!AQ35-AQ33)=0,14&lt;=КаникулыРоялти),0,('03_Сеть'!AQ35-AQ33)*IF(РоялтиПоГруппам="Да",MeanMinAge14+AQ9*SUMIF(ThresholdAge14,"&lt;"&amp;AQ9,WeightedRevAge14)-SUMIF(ThresholdAge14,"&lt;"&amp;AQ9,WeightedMinAge14),MAX(CapacityAge14*АбонементНовых*AQ9,MeanMinAge14)))</f>
        <v/>
      </c>
      <c r="AR87" s="4">
        <f>IF(OR(('03_Сеть'!AR35-AR33)=0,14&lt;=КаникулыРоялти),0,('03_Сеть'!AR35-AR33)*IF(РоялтиПоГруппам="Да",MeanMinAge14+AR9*SUMIF(ThresholdAge14,"&lt;"&amp;AR9,WeightedRevAge14)-SUMIF(ThresholdAge14,"&lt;"&amp;AR9,WeightedMinAge14),MAX(CapacityAge14*АбонементНовых*AR9,MeanMinAge14)))</f>
        <v/>
      </c>
      <c r="AS87" s="4">
        <f>IF(OR(('03_Сеть'!AS35-AS33)=0,14&lt;=КаникулыРоялти),0,('03_Сеть'!AS35-AS33)*IF(РоялтиПоГруппам="Да",MeanMinAge14+AS9*SUMIF(ThresholdAge14,"&lt;"&amp;AS9,WeightedRevAge14)-SUMIF(ThresholdAge14,"&lt;"&amp;AS9,WeightedMinAge14),MAX(CapacityAge14*АбонементНовых*AS9,MeanMinAge14)))</f>
        <v/>
      </c>
      <c r="AT87" s="4">
        <f>IF(OR(('03_Сеть'!AT35-AT33)=0,14&lt;=КаникулыРоялти),0,('03_Сеть'!AT35-AT33)*IF(РоялтиПоГруппам="Да",MeanMinAge14+AT9*SUMIF(ThresholdAge14,"&lt;"&amp;AT9,WeightedRevAge14)-SUMIF(ThresholdAge14,"&lt;"&amp;AT9,WeightedMinAge14),MAX(CapacityAge14*АбонементНовых*AT9,MeanMinAge14)))</f>
        <v/>
      </c>
      <c r="AU87" s="4">
        <f>IF(OR(('03_Сеть'!AU35-AU33)=0,14&lt;=КаникулыРоялти),0,('03_Сеть'!AU35-AU33)*IF(РоялтиПоГруппам="Да",MeanMinAge14+AU9*SUMIF(ThresholdAge14,"&lt;"&amp;AU9,WeightedRevAge14)-SUMIF(ThresholdAge14,"&lt;"&amp;AU9,WeightedMinAge14),MAX(CapacityAge14*АбонементНовых*AU9,MeanMinAge14)))</f>
        <v/>
      </c>
      <c r="AV87" s="4">
        <f>IF(OR(('03_Сеть'!AV35-AV33)=0,14&lt;=КаникулыРоялти),0,('03_Сеть'!AV35-AV33)*IF(РоялтиПоГруппам="Да",MeanMinAge14+AV9*SUMIF(ThresholdAge14,"&lt;"&amp;AV9,WeightedRevAge14)-SUMIF(ThresholdAge14,"&lt;"&amp;AV9,WeightedMinAge14),MAX(CapacityAge14*АбонементНовых*AV9,MeanMinAge14)))</f>
        <v/>
      </c>
      <c r="AW87" s="4">
        <f>IF(OR(('03_Сеть'!AW35-AW33)=0,14&lt;=КаникулыРоялти),0,('03_Сеть'!AW35-AW33)*IF(РоялтиПоГруппам="Да",MeanMinAge14+AW9*SUMIF(ThresholdAge14,"&lt;"&amp;AW9,WeightedRevAge14)-SUMIF(ThresholdAge14,"&lt;"&amp;AW9,WeightedMinAge14),MAX(CapacityAge14*АбонементНовых*AW9,MeanMinAge14)))</f>
        <v/>
      </c>
      <c r="AX87" s="4">
        <f>IF(OR(('03_Сеть'!AX35-AX33)=0,14&lt;=КаникулыРоялти),0,('03_Сеть'!AX35-AX33)*IF(РоялтиПоГруппам="Да",MeanMinAge14+AX9*SUMIF(ThresholdAge14,"&lt;"&amp;AX9,WeightedRevAge14)-SUMIF(ThresholdAge14,"&lt;"&amp;AX9,WeightedMinAge14),MAX(CapacityAge14*АбонементНовых*AX9,MeanMinAge14)))</f>
        <v/>
      </c>
      <c r="AY87" s="4">
        <f>IF(OR(('03_Сеть'!AY35-AY33)=0,14&lt;=КаникулыРоялти),0,('03_Сеть'!AY35-AY33)*IF(РоялтиПоГруппам="Да",MeanMinAge14+AY9*SUMIF(ThresholdAge14,"&lt;"&amp;AY9,WeightedRevAge14)-SUMIF(ThresholdAge14,"&lt;"&amp;AY9,WeightedMinAge14),MAX(CapacityAge14*АбонементНовых*AY9,MeanMinAge14)))</f>
        <v/>
      </c>
      <c r="AZ87" s="4">
        <f>IF(OR(('03_Сеть'!AZ35-AZ33)=0,14&lt;=КаникулыРоялти),0,('03_Сеть'!AZ35-AZ33)*IF(РоялтиПоГруппам="Да",MeanMinAge14+AZ9*SUMIF(ThresholdAge14,"&lt;"&amp;AZ9,WeightedRevAge14)-SUMIF(ThresholdAge14,"&lt;"&amp;AZ9,WeightedMinAge14),MAX(CapacityAge14*АбонементНовых*AZ9,MeanMinAge14)))</f>
        <v/>
      </c>
      <c r="BA87" s="4">
        <f>IF(OR(('03_Сеть'!BA35-BA33)=0,14&lt;=КаникулыРоялти),0,('03_Сеть'!BA35-BA33)*IF(РоялтиПоГруппам="Да",MeanMinAge14+BA9*SUMIF(ThresholdAge14,"&lt;"&amp;BA9,WeightedRevAge14)-SUMIF(ThresholdAge14,"&lt;"&amp;BA9,WeightedMinAge14),MAX(CapacityAge14*АбонементНовых*BA9,MeanMinAge14)))</f>
        <v/>
      </c>
      <c r="BB87" s="4">
        <f>IF(OR(('03_Сеть'!BB35-BB33)=0,14&lt;=КаникулыРоялти),0,('03_Сеть'!BB35-BB33)*IF(РоялтиПоГруппам="Да",MeanMinAge14+BB9*SUMIF(ThresholdAge14,"&lt;"&amp;BB9,WeightedRevAge14)-SUMIF(ThresholdAge14,"&lt;"&amp;BB9,WeightedMinAge14),MAX(CapacityAge14*АбонементНовых*BB9,MeanMinAge14)))</f>
        <v/>
      </c>
      <c r="BC87" s="4">
        <f>IF(OR(('03_Сеть'!BC35-BC33)=0,14&lt;=КаникулыРоялти),0,('03_Сеть'!BC35-BC33)*IF(РоялтиПоГруппам="Да",MeanMinAge14+BC9*SUMIF(ThresholdAge14,"&lt;"&amp;BC9,WeightedRevAge14)-SUMIF(ThresholdAge14,"&lt;"&amp;BC9,WeightedMinAge14),MAX(CapacityAge14*АбонементНовых*BC9,MeanMinAge14)))</f>
        <v/>
      </c>
      <c r="BD87" s="4">
        <f>IF(OR(('03_Сеть'!BD35-BD33)=0,14&lt;=КаникулыРоялти),0,('03_Сеть'!BD35-BD33)*IF(РоялтиПоГруппам="Да",MeanMinAge14+BD9*SUMIF(ThresholdAge14,"&lt;"&amp;BD9,WeightedRevAge14)-SUMIF(ThresholdAge14,"&lt;"&amp;BD9,WeightedMinAge14),MAX(CapacityAge14*АбонементНовых*BD9,MeanMinAge14)))</f>
        <v/>
      </c>
      <c r="BE87" s="4">
        <f>IF(OR(('03_Сеть'!BE35-BE33)=0,14&lt;=КаникулыРоялти),0,('03_Сеть'!BE35-BE33)*IF(РоялтиПоГруппам="Да",MeanMinAge14+BE9*SUMIF(ThresholdAge14,"&lt;"&amp;BE9,WeightedRevAge14)-SUMIF(ThresholdAge14,"&lt;"&amp;BE9,WeightedMinAge14),MAX(CapacityAge14*АбонементНовых*BE9,MeanMinAge14)))</f>
        <v/>
      </c>
      <c r="BF87" s="4">
        <f>IF(OR(('03_Сеть'!BF35-BF33)=0,14&lt;=КаникулыРоялти),0,('03_Сеть'!BF35-BF33)*IF(РоялтиПоГруппам="Да",MeanMinAge14+BF9*SUMIF(ThresholdAge14,"&lt;"&amp;BF9,WeightedRevAge14)-SUMIF(ThresholdAge14,"&lt;"&amp;BF9,WeightedMinAge14),MAX(CapacityAge14*АбонементНовых*BF9,MeanMinAge14)))</f>
        <v/>
      </c>
      <c r="BG87" s="4">
        <f>IF(OR(('03_Сеть'!BG35-BG33)=0,14&lt;=КаникулыРоялти),0,('03_Сеть'!BG35-BG33)*IF(РоялтиПоГруппам="Да",MeanMinAge14+BG9*SUMIF(ThresholdAge14,"&lt;"&amp;BG9,WeightedRevAge14)-SUMIF(ThresholdAge14,"&lt;"&amp;BG9,WeightedMinAge14),MAX(CapacityAge14*АбонементНовых*BG9,MeanMinAge14)))</f>
        <v/>
      </c>
      <c r="BH87" s="4">
        <f>IF(OR(('03_Сеть'!BH35-BH33)=0,14&lt;=КаникулыРоялти),0,('03_Сеть'!BH35-BH33)*IF(РоялтиПоГруппам="Да",MeanMinAge14+BH9*SUMIF(ThresholdAge14,"&lt;"&amp;BH9,WeightedRevAge14)-SUMIF(ThresholdAge14,"&lt;"&amp;BH9,WeightedMinAge14),MAX(CapacityAge14*АбонементНовых*BH9,MeanMinAge14)))</f>
        <v/>
      </c>
      <c r="BI87" s="4">
        <f>IF(OR(('03_Сеть'!BI35-BI33)=0,14&lt;=КаникулыРоялти),0,('03_Сеть'!BI35-BI33)*IF(РоялтиПоГруппам="Да",MeanMinAge14+BI9*SUMIF(ThresholdAge14,"&lt;"&amp;BI9,WeightedRevAge14)-SUMIF(ThresholdAge14,"&lt;"&amp;BI9,WeightedMinAge14),MAX(CapacityAge14*АбонементНовых*BI9,MeanMinAge14)))</f>
        <v/>
      </c>
      <c r="BJ87" s="4">
        <f>IF(OR(('03_Сеть'!BJ35-BJ33)=0,14&lt;=КаникулыРоялти),0,('03_Сеть'!BJ35-BJ33)*IF(РоялтиПоГруппам="Да",MeanMinAge14+BJ9*SUMIF(ThresholdAge14,"&lt;"&amp;BJ9,WeightedRevAge14)-SUMIF(ThresholdAge14,"&lt;"&amp;BJ9,WeightedMinAge14),MAX(CapacityAge14*АбонементНовых*BJ9,MeanMinAge14)))</f>
        <v/>
      </c>
      <c r="BK87" s="4">
        <f>IF(OR(('03_Сеть'!BK35-BK33)=0,14&lt;=КаникулыРоялти),0,('03_Сеть'!BK35-BK33)*IF(РоялтиПоГруппам="Да",MeanMinAge14+BK9*SUMIF(ThresholdAge14,"&lt;"&amp;BK9,WeightedRevAge14)-SUMIF(ThresholdAge14,"&lt;"&amp;BK9,WeightedMinAge14),MAX(CapacityAge14*АбонементНовых*BK9,MeanMinAge14)))</f>
        <v/>
      </c>
      <c r="BL87" s="4">
        <f>IF(OR(('03_Сеть'!BL35-BL33)=0,14&lt;=КаникулыРоялти),0,('03_Сеть'!BL35-BL33)*IF(РоялтиПоГруппам="Да",MeanMinAge14+BL9*SUMIF(ThresholdAge14,"&lt;"&amp;BL9,WeightedRevAge14)-SUMIF(ThresholdAge14,"&lt;"&amp;BL9,WeightedMinAge14),MAX(CapacityAge14*АбонементНовых*BL9,MeanMinAge14)))</f>
        <v/>
      </c>
      <c r="BM87" s="4">
        <f>IF(OR(('03_Сеть'!BM35-BM33)=0,14&lt;=КаникулыРоялти),0,('03_Сеть'!BM35-BM33)*IF(РоялтиПоГруппам="Да",MeanMinAge14+BM9*SUMIF(ThresholdAge14,"&lt;"&amp;BM9,WeightedRevAge14)-SUMIF(ThresholdAge14,"&lt;"&amp;BM9,WeightedMinAge14),MAX(CapacityAge14*АбонементНовых*BM9,MeanMinAge14)))</f>
        <v/>
      </c>
      <c r="BN87" s="4">
        <f>IF(OR(('03_Сеть'!BN35-BN33)=0,14&lt;=КаникулыРоялти),0,('03_Сеть'!BN35-BN33)*IF(РоялтиПоГруппам="Да",MeanMinAge14+BN9*SUMIF(ThresholdAge14,"&lt;"&amp;BN9,WeightedRevAge14)-SUMIF(ThresholdAge14,"&lt;"&amp;BN9,WeightedMinAge14),MAX(CapacityAge14*АбонементНовых*BN9,MeanMinAge14)))</f>
        <v/>
      </c>
      <c r="BO87" s="4">
        <f>IF(OR(('03_Сеть'!BO35-BO33)=0,14&lt;=КаникулыРоялти),0,('03_Сеть'!BO35-BO33)*IF(РоялтиПоГруппам="Да",MeanMinAge14+BO9*SUMIF(ThresholdAge14,"&lt;"&amp;BO9,WeightedRevAge14)-SUMIF(ThresholdAge14,"&lt;"&amp;BO9,WeightedMinAge14),MAX(CapacityAge14*АбонементНовых*BO9,MeanMinAge14)))</f>
        <v/>
      </c>
      <c r="BP87" s="4">
        <f>IF(OR(('03_Сеть'!BP35-BP33)=0,14&lt;=КаникулыРоялти),0,('03_Сеть'!BP35-BP33)*IF(РоялтиПоГруппам="Да",MeanMinAge14+BP9*SUMIF(ThresholdAge14,"&lt;"&amp;BP9,WeightedRevAge14)-SUMIF(ThresholdAge14,"&lt;"&amp;BP9,WeightedMinAge14),MAX(CapacityAge14*АбонементНовых*BP9,MeanMinAge14)))</f>
        <v/>
      </c>
      <c r="BQ87" s="4">
        <f>IF(OR(('03_Сеть'!BQ35-BQ33)=0,14&lt;=КаникулыРоялти),0,('03_Сеть'!BQ35-BQ33)*IF(РоялтиПоГруппам="Да",MeanMinAge14+BQ9*SUMIF(ThresholdAge14,"&lt;"&amp;BQ9,WeightedRevAge14)-SUMIF(ThresholdAge14,"&lt;"&amp;BQ9,WeightedMinAge14),MAX(CapacityAge14*АбонементНовых*BQ9,MeanMinAge14)))</f>
        <v/>
      </c>
      <c r="BR87" s="4">
        <f>IF(OR(('03_Сеть'!BR35-BR33)=0,14&lt;=КаникулыРоялти),0,('03_Сеть'!BR35-BR33)*IF(РоялтиПоГруппам="Да",MeanMinAge14+BR9*SUMIF(ThresholdAge14,"&lt;"&amp;BR9,WeightedRevAge14)-SUMIF(ThresholdAge14,"&lt;"&amp;BR9,WeightedMinAge14),MAX(CapacityAge14*АбонементНовых*BR9,MeanMinAge14)))</f>
        <v/>
      </c>
      <c r="BS87" s="4">
        <f>IF(OR(('03_Сеть'!BS35-BS33)=0,14&lt;=КаникулыРоялти),0,('03_Сеть'!BS35-BS33)*IF(РоялтиПоГруппам="Да",MeanMinAge14+BS9*SUMIF(ThresholdAge14,"&lt;"&amp;BS9,WeightedRevAge14)-SUMIF(ThresholdAge14,"&lt;"&amp;BS9,WeightedMinAge14),MAX(CapacityAge14*АбонементНовых*BS9,MeanMinAge14)))</f>
        <v/>
      </c>
      <c r="BT87" s="4">
        <f>IF(OR(('03_Сеть'!BT35-BT33)=0,14&lt;=КаникулыРоялти),0,('03_Сеть'!BT35-BT33)*IF(РоялтиПоГруппам="Да",MeanMinAge14+BT9*SUMIF(ThresholdAge14,"&lt;"&amp;BT9,WeightedRevAge14)-SUMIF(ThresholdAge14,"&lt;"&amp;BT9,WeightedMinAge14),MAX(CapacityAge14*АбонементНовых*BT9,MeanMinAge14)))</f>
        <v/>
      </c>
      <c r="BU87" s="4">
        <f>IF(OR(('03_Сеть'!BU35-BU33)=0,14&lt;=КаникулыРоялти),0,('03_Сеть'!BU35-BU33)*IF(РоялтиПоГруппам="Да",MeanMinAge14+BU9*SUMIF(ThresholdAge14,"&lt;"&amp;BU9,WeightedRevAge14)-SUMIF(ThresholdAge14,"&lt;"&amp;BU9,WeightedMinAge14),MAX(CapacityAge14*АбонементНовых*BU9,MeanMinAge14)))</f>
        <v/>
      </c>
      <c r="BV87" s="4">
        <f>IF(OR(('03_Сеть'!BV35-BV33)=0,14&lt;=КаникулыРоялти),0,('03_Сеть'!BV35-BV33)*IF(РоялтиПоГруппам="Да",MeanMinAge14+BV9*SUMIF(ThresholdAge14,"&lt;"&amp;BV9,WeightedRevAge14)-SUMIF(ThresholdAge14,"&lt;"&amp;BV9,WeightedMinAge14),MAX(CapacityAge14*АбонементНовых*BV9,MeanMinAge14)))</f>
        <v/>
      </c>
      <c r="BW87" s="4">
        <f>IF(OR(('03_Сеть'!BW35-BW33)=0,14&lt;=КаникулыРоялти),0,('03_Сеть'!BW35-BW33)*IF(РоялтиПоГруппам="Да",MeanMinAge14+BW9*SUMIF(ThresholdAge14,"&lt;"&amp;BW9,WeightedRevAge14)-SUMIF(ThresholdAge14,"&lt;"&amp;BW9,WeightedMinAge14),MAX(CapacityAge14*АбонементНовых*BW9,MeanMinAge14)))</f>
        <v/>
      </c>
      <c r="BX87" s="4">
        <f>IF(OR(('03_Сеть'!BX35-BX33)=0,14&lt;=КаникулыРоялти),0,('03_Сеть'!BX35-BX33)*IF(РоялтиПоГруппам="Да",MeanMinAge14+BX9*SUMIF(ThresholdAge14,"&lt;"&amp;BX9,WeightedRevAge14)-SUMIF(ThresholdAge14,"&lt;"&amp;BX9,WeightedMinAge14),MAX(CapacityAge14*АбонементНовых*BX9,MeanMinAge14)))</f>
        <v/>
      </c>
      <c r="BY87" s="4">
        <f>IF(OR(('03_Сеть'!BY35-BY33)=0,14&lt;=КаникулыРоялти),0,('03_Сеть'!BY35-BY33)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88">
      <c r="B88" t="inlineStr">
        <is>
          <t>15 мес.</t>
        </is>
      </c>
      <c r="C88" t="inlineStr">
        <is>
          <t>₽</t>
        </is>
      </c>
      <c r="D88" s="117" t="inlineStr"/>
      <c r="E88" s="119">
        <f>SUM(L88:W88)</f>
        <v/>
      </c>
      <c r="F88" s="119">
        <f>SUM(X88:AI88)</f>
        <v/>
      </c>
      <c r="G88" s="119">
        <f>SUM(AJ88:AU88)</f>
        <v/>
      </c>
      <c r="H88" s="119">
        <f>SUM(AV88:BG88)</f>
        <v/>
      </c>
      <c r="I88" s="119">
        <f>SUM(BH88:BS88)</f>
        <v/>
      </c>
      <c r="J88" s="5">
        <f>SUM(L88:BS88)</f>
        <v/>
      </c>
      <c r="L88" s="4">
        <f>IF(OR(('03_Сеть'!L36-L34)=0,15&lt;=КаникулыРоялти),0,('03_Сеть'!L36-L34)*IF(РоялтиПоГруппам="Да",MeanMinAge15+L9*SUMIF(ThresholdAge15,"&lt;"&amp;L9,WeightedRevAge15)-SUMIF(ThresholdAge15,"&lt;"&amp;L9,WeightedMinAge15),MAX(CapacityAge15*АбонементНовых*L9,MeanMinAge15)))</f>
        <v/>
      </c>
      <c r="M88" s="4">
        <f>IF(OR(('03_Сеть'!M36-M34)=0,15&lt;=КаникулыРоялти),0,('03_Сеть'!M36-M34)*IF(РоялтиПоГруппам="Да",MeanMinAge15+M9*SUMIF(ThresholdAge15,"&lt;"&amp;M9,WeightedRevAge15)-SUMIF(ThresholdAge15,"&lt;"&amp;M9,WeightedMinAge15),MAX(CapacityAge15*АбонементНовых*M9,MeanMinAge15)))</f>
        <v/>
      </c>
      <c r="N88" s="4">
        <f>IF(OR(('03_Сеть'!N36-N34)=0,15&lt;=КаникулыРоялти),0,('03_Сеть'!N36-N34)*IF(РоялтиПоГруппам="Да",MeanMinAge15+N9*SUMIF(ThresholdAge15,"&lt;"&amp;N9,WeightedRevAge15)-SUMIF(ThresholdAge15,"&lt;"&amp;N9,WeightedMinAge15),MAX(CapacityAge15*АбонементНовых*N9,MeanMinAge15)))</f>
        <v/>
      </c>
      <c r="O88" s="4">
        <f>IF(OR(('03_Сеть'!O36-O34)=0,15&lt;=КаникулыРоялти),0,('03_Сеть'!O36-O34)*IF(РоялтиПоГруппам="Да",MeanMinAge15+O9*SUMIF(ThresholdAge15,"&lt;"&amp;O9,WeightedRevAge15)-SUMIF(ThresholdAge15,"&lt;"&amp;O9,WeightedMinAge15),MAX(CapacityAge15*АбонементНовых*O9,MeanMinAge15)))</f>
        <v/>
      </c>
      <c r="P88" s="4">
        <f>IF(OR(('03_Сеть'!P36-P34)=0,15&lt;=КаникулыРоялти),0,('03_Сеть'!P36-P34)*IF(РоялтиПоГруппам="Да",MeanMinAge15+P9*SUMIF(ThresholdAge15,"&lt;"&amp;P9,WeightedRevAge15)-SUMIF(ThresholdAge15,"&lt;"&amp;P9,WeightedMinAge15),MAX(CapacityAge15*АбонементНовых*P9,MeanMinAge15)))</f>
        <v/>
      </c>
      <c r="Q88" s="4">
        <f>IF(OR(('03_Сеть'!Q36-Q34)=0,15&lt;=КаникулыРоялти),0,('03_Сеть'!Q36-Q34)*IF(РоялтиПоГруппам="Да",MeanMinAge15+Q9*SUMIF(ThresholdAge15,"&lt;"&amp;Q9,WeightedRevAge15)-SUMIF(ThresholdAge15,"&lt;"&amp;Q9,WeightedMinAge15),MAX(CapacityAge15*АбонементНовых*Q9,MeanMinAge15)))</f>
        <v/>
      </c>
      <c r="R88" s="4">
        <f>IF(OR(('03_Сеть'!R36-R34)=0,15&lt;=КаникулыРоялти),0,('03_Сеть'!R36-R34)*IF(РоялтиПоГруппам="Да",MeanMinAge15+R9*SUMIF(ThresholdAge15,"&lt;"&amp;R9,WeightedRevAge15)-SUMIF(ThresholdAge15,"&lt;"&amp;R9,WeightedMinAge15),MAX(CapacityAge15*АбонементНовых*R9,MeanMinAge15)))</f>
        <v/>
      </c>
      <c r="S88" s="4">
        <f>IF(OR(('03_Сеть'!S36-S34)=0,15&lt;=КаникулыРоялти),0,('03_Сеть'!S36-S34)*IF(РоялтиПоГруппам="Да",MeanMinAge15+S9*SUMIF(ThresholdAge15,"&lt;"&amp;S9,WeightedRevAge15)-SUMIF(ThresholdAge15,"&lt;"&amp;S9,WeightedMinAge15),MAX(CapacityAge15*АбонементНовых*S9,MeanMinAge15)))</f>
        <v/>
      </c>
      <c r="T88" s="4">
        <f>IF(OR(('03_Сеть'!T36-T34)=0,15&lt;=КаникулыРоялти),0,('03_Сеть'!T36-T34)*IF(РоялтиПоГруппам="Да",MeanMinAge15+T9*SUMIF(ThresholdAge15,"&lt;"&amp;T9,WeightedRevAge15)-SUMIF(ThresholdAge15,"&lt;"&amp;T9,WeightedMinAge15),MAX(CapacityAge15*АбонементНовых*T9,MeanMinAge15)))</f>
        <v/>
      </c>
      <c r="U88" s="4">
        <f>IF(OR(('03_Сеть'!U36-U34)=0,15&lt;=КаникулыРоялти),0,('03_Сеть'!U36-U34)*IF(РоялтиПоГруппам="Да",MeanMinAge15+U9*SUMIF(ThresholdAge15,"&lt;"&amp;U9,WeightedRevAge15)-SUMIF(ThresholdAge15,"&lt;"&amp;U9,WeightedMinAge15),MAX(CapacityAge15*АбонементНовых*U9,MeanMinAge15)))</f>
        <v/>
      </c>
      <c r="V88" s="4">
        <f>IF(OR(('03_Сеть'!V36-V34)=0,15&lt;=КаникулыРоялти),0,('03_Сеть'!V36-V34)*IF(РоялтиПоГруппам="Да",MeanMinAge15+V9*SUMIF(ThresholdAge15,"&lt;"&amp;V9,WeightedRevAge15)-SUMIF(ThresholdAge15,"&lt;"&amp;V9,WeightedMinAge15),MAX(CapacityAge15*АбонементНовых*V9,MeanMinAge15)))</f>
        <v/>
      </c>
      <c r="W88" s="4">
        <f>IF(OR(('03_Сеть'!W36-W34)=0,15&lt;=КаникулыРоялти),0,('03_Сеть'!W36-W34)*IF(РоялтиПоГруппам="Да",MeanMinAge15+W9*SUMIF(ThresholdAge15,"&lt;"&amp;W9,WeightedRevAge15)-SUMIF(ThresholdAge15,"&lt;"&amp;W9,WeightedMinAge15),MAX(CapacityAge15*АбонементНовых*W9,MeanMinAge15)))</f>
        <v/>
      </c>
      <c r="X88" s="4">
        <f>IF(OR(('03_Сеть'!X36-X34)=0,15&lt;=КаникулыРоялти),0,('03_Сеть'!X36-X34)*IF(РоялтиПоГруппам="Да",MeanMinAge15+X9*SUMIF(ThresholdAge15,"&lt;"&amp;X9,WeightedRevAge15)-SUMIF(ThresholdAge15,"&lt;"&amp;X9,WeightedMinAge15),MAX(CapacityAge15*АбонементНовых*X9,MeanMinAge15)))</f>
        <v/>
      </c>
      <c r="Y88" s="4">
        <f>IF(OR(('03_Сеть'!Y36-Y34)=0,15&lt;=КаникулыРоялти),0,('03_Сеть'!Y36-Y34)*IF(РоялтиПоГруппам="Да",MeanMinAge15+Y9*SUMIF(ThresholdAge15,"&lt;"&amp;Y9,WeightedRevAge15)-SUMIF(ThresholdAge15,"&lt;"&amp;Y9,WeightedMinAge15),MAX(CapacityAge15*АбонементНовых*Y9,MeanMinAge15)))</f>
        <v/>
      </c>
      <c r="Z88" s="4">
        <f>IF(OR(('03_Сеть'!Z36-Z34)=0,15&lt;=КаникулыРоялти),0,('03_Сеть'!Z36-Z34)*IF(РоялтиПоГруппам="Да",MeanMinAge15+Z9*SUMIF(ThresholdAge15,"&lt;"&amp;Z9,WeightedRevAge15)-SUMIF(ThresholdAge15,"&lt;"&amp;Z9,WeightedMinAge15),MAX(CapacityAge15*АбонементНовых*Z9,MeanMinAge15)))</f>
        <v/>
      </c>
      <c r="AA88" s="4">
        <f>IF(OR(('03_Сеть'!AA36-AA34)=0,15&lt;=КаникулыРоялти),0,('03_Сеть'!AA36-AA34)*IF(РоялтиПоГруппам="Да",MeanMinAge15+AA9*SUMIF(ThresholdAge15,"&lt;"&amp;AA9,WeightedRevAge15)-SUMIF(ThresholdAge15,"&lt;"&amp;AA9,WeightedMinAge15),MAX(CapacityAge15*АбонементНовых*AA9,MeanMinAge15)))</f>
        <v/>
      </c>
      <c r="AB88" s="4">
        <f>IF(OR(('03_Сеть'!AB36-AB34)=0,15&lt;=КаникулыРоялти),0,('03_Сеть'!AB36-AB34)*IF(РоялтиПоГруппам="Да",MeanMinAge15+AB9*SUMIF(ThresholdAge15,"&lt;"&amp;AB9,WeightedRevAge15)-SUMIF(ThresholdAge15,"&lt;"&amp;AB9,WeightedMinAge15),MAX(CapacityAge15*АбонементНовых*AB9,MeanMinAge15)))</f>
        <v/>
      </c>
      <c r="AC88" s="4">
        <f>IF(OR(('03_Сеть'!AC36-AC34)=0,15&lt;=КаникулыРоялти),0,('03_Сеть'!AC36-AC34)*IF(РоялтиПоГруппам="Да",MeanMinAge15+AC9*SUMIF(ThresholdAge15,"&lt;"&amp;AC9,WeightedRevAge15)-SUMIF(ThresholdAge15,"&lt;"&amp;AC9,WeightedMinAge15),MAX(CapacityAge15*АбонементНовых*AC9,MeanMinAge15)))</f>
        <v/>
      </c>
      <c r="AD88" s="4">
        <f>IF(OR(('03_Сеть'!AD36-AD34)=0,15&lt;=КаникулыРоялти),0,('03_Сеть'!AD36-AD34)*IF(РоялтиПоГруппам="Да",MeanMinAge15+AD9*SUMIF(ThresholdAge15,"&lt;"&amp;AD9,WeightedRevAge15)-SUMIF(ThresholdAge15,"&lt;"&amp;AD9,WeightedMinAge15),MAX(CapacityAge15*АбонементНовых*AD9,MeanMinAge15)))</f>
        <v/>
      </c>
      <c r="AE88" s="4">
        <f>IF(OR(('03_Сеть'!AE36-AE34)=0,15&lt;=КаникулыРоялти),0,('03_Сеть'!AE36-AE34)*IF(РоялтиПоГруппам="Да",MeanMinAge15+AE9*SUMIF(ThresholdAge15,"&lt;"&amp;AE9,WeightedRevAge15)-SUMIF(ThresholdAge15,"&lt;"&amp;AE9,WeightedMinAge15),MAX(CapacityAge15*АбонементНовых*AE9,MeanMinAge15)))</f>
        <v/>
      </c>
      <c r="AF88" s="4">
        <f>IF(OR(('03_Сеть'!AF36-AF34)=0,15&lt;=КаникулыРоялти),0,('03_Сеть'!AF36-AF34)*IF(РоялтиПоГруппам="Да",MeanMinAge15+AF9*SUMIF(ThresholdAge15,"&lt;"&amp;AF9,WeightedRevAge15)-SUMIF(ThresholdAge15,"&lt;"&amp;AF9,WeightedMinAge15),MAX(CapacityAge15*АбонементНовых*AF9,MeanMinAge15)))</f>
        <v/>
      </c>
      <c r="AG88" s="4">
        <f>IF(OR(('03_Сеть'!AG36-AG34)=0,15&lt;=КаникулыРоялти),0,('03_Сеть'!AG36-AG34)*IF(РоялтиПоГруппам="Да",MeanMinAge15+AG9*SUMIF(ThresholdAge15,"&lt;"&amp;AG9,WeightedRevAge15)-SUMIF(ThresholdAge15,"&lt;"&amp;AG9,WeightedMinAge15),MAX(CapacityAge15*АбонементНовых*AG9,MeanMinAge15)))</f>
        <v/>
      </c>
      <c r="AH88" s="4">
        <f>IF(OR(('03_Сеть'!AH36-AH34)=0,15&lt;=КаникулыРоялти),0,('03_Сеть'!AH36-AH34)*IF(РоялтиПоГруппам="Да",MeanMinAge15+AH9*SUMIF(ThresholdAge15,"&lt;"&amp;AH9,WeightedRevAge15)-SUMIF(ThresholdAge15,"&lt;"&amp;AH9,WeightedMinAge15),MAX(CapacityAge15*АбонементНовых*AH9,MeanMinAge15)))</f>
        <v/>
      </c>
      <c r="AI88" s="4">
        <f>IF(OR(('03_Сеть'!AI36-AI34)=0,15&lt;=КаникулыРоялти),0,('03_Сеть'!AI36-AI34)*IF(РоялтиПоГруппам="Да",MeanMinAge15+AI9*SUMIF(ThresholdAge15,"&lt;"&amp;AI9,WeightedRevAge15)-SUMIF(ThresholdAge15,"&lt;"&amp;AI9,WeightedMinAge15),MAX(CapacityAge15*АбонементНовых*AI9,MeanMinAge15)))</f>
        <v/>
      </c>
      <c r="AJ88" s="4">
        <f>IF(OR(('03_Сеть'!AJ36-AJ34)=0,15&lt;=КаникулыРоялти),0,('03_Сеть'!AJ36-AJ34)*IF(РоялтиПоГруппам="Да",MeanMinAge15+AJ9*SUMIF(ThresholdAge15,"&lt;"&amp;AJ9,WeightedRevAge15)-SUMIF(ThresholdAge15,"&lt;"&amp;AJ9,WeightedMinAge15),MAX(CapacityAge15*АбонементНовых*AJ9,MeanMinAge15)))</f>
        <v/>
      </c>
      <c r="AK88" s="4">
        <f>IF(OR(('03_Сеть'!AK36-AK34)=0,15&lt;=КаникулыРоялти),0,('03_Сеть'!AK36-AK34)*IF(РоялтиПоГруппам="Да",MeanMinAge15+AK9*SUMIF(ThresholdAge15,"&lt;"&amp;AK9,WeightedRevAge15)-SUMIF(ThresholdAge15,"&lt;"&amp;AK9,WeightedMinAge15),MAX(CapacityAge15*АбонементНовых*AK9,MeanMinAge15)))</f>
        <v/>
      </c>
      <c r="AL88" s="4">
        <f>IF(OR(('03_Сеть'!AL36-AL34)=0,15&lt;=КаникулыРоялти),0,('03_Сеть'!AL36-AL34)*IF(РоялтиПоГруппам="Да",MeanMinAge15+AL9*SUMIF(ThresholdAge15,"&lt;"&amp;AL9,WeightedRevAge15)-SUMIF(ThresholdAge15,"&lt;"&amp;AL9,WeightedMinAge15),MAX(CapacityAge15*АбонементНовых*AL9,MeanMinAge15)))</f>
        <v/>
      </c>
      <c r="AM88" s="4">
        <f>IF(OR(('03_Сеть'!AM36-AM34)=0,15&lt;=КаникулыРоялти),0,('03_Сеть'!AM36-AM34)*IF(РоялтиПоГруппам="Да",MeanMinAge15+AM9*SUMIF(ThresholdAge15,"&lt;"&amp;AM9,WeightedRevAge15)-SUMIF(ThresholdAge15,"&lt;"&amp;AM9,WeightedMinAge15),MAX(CapacityAge15*АбонементНовых*AM9,MeanMinAge15)))</f>
        <v/>
      </c>
      <c r="AN88" s="4">
        <f>IF(OR(('03_Сеть'!AN36-AN34)=0,15&lt;=КаникулыРоялти),0,('03_Сеть'!AN36-AN34)*IF(РоялтиПоГруппам="Да",MeanMinAge15+AN9*SUMIF(ThresholdAge15,"&lt;"&amp;AN9,WeightedRevAge15)-SUMIF(ThresholdAge15,"&lt;"&amp;AN9,WeightedMinAge15),MAX(CapacityAge15*АбонементНовых*AN9,MeanMinAge15)))</f>
        <v/>
      </c>
      <c r="AO88" s="4">
        <f>IF(OR(('03_Сеть'!AO36-AO34)=0,15&lt;=КаникулыРоялти),0,('03_Сеть'!AO36-AO34)*IF(РоялтиПоГруппам="Да",MeanMinAge15+AO9*SUMIF(ThresholdAge15,"&lt;"&amp;AO9,WeightedRevAge15)-SUMIF(ThresholdAge15,"&lt;"&amp;AO9,WeightedMinAge15),MAX(CapacityAge15*АбонементНовых*AO9,MeanMinAge15)))</f>
        <v/>
      </c>
      <c r="AP88" s="4">
        <f>IF(OR(('03_Сеть'!AP36-AP34)=0,15&lt;=КаникулыРоялти),0,('03_Сеть'!AP36-AP34)*IF(РоялтиПоГруппам="Да",MeanMinAge15+AP9*SUMIF(ThresholdAge15,"&lt;"&amp;AP9,WeightedRevAge15)-SUMIF(ThresholdAge15,"&lt;"&amp;AP9,WeightedMinAge15),MAX(CapacityAge15*АбонементНовых*AP9,MeanMinAge15)))</f>
        <v/>
      </c>
      <c r="AQ88" s="4">
        <f>IF(OR(('03_Сеть'!AQ36-AQ34)=0,15&lt;=КаникулыРоялти),0,('03_Сеть'!AQ36-AQ34)*IF(РоялтиПоГруппам="Да",MeanMinAge15+AQ9*SUMIF(ThresholdAge15,"&lt;"&amp;AQ9,WeightedRevAge15)-SUMIF(ThresholdAge15,"&lt;"&amp;AQ9,WeightedMinAge15),MAX(CapacityAge15*АбонементНовых*AQ9,MeanMinAge15)))</f>
        <v/>
      </c>
      <c r="AR88" s="4">
        <f>IF(OR(('03_Сеть'!AR36-AR34)=0,15&lt;=КаникулыРоялти),0,('03_Сеть'!AR36-AR34)*IF(РоялтиПоГруппам="Да",MeanMinAge15+AR9*SUMIF(ThresholdAge15,"&lt;"&amp;AR9,WeightedRevAge15)-SUMIF(ThresholdAge15,"&lt;"&amp;AR9,WeightedMinAge15),MAX(CapacityAge15*АбонементНовых*AR9,MeanMinAge15)))</f>
        <v/>
      </c>
      <c r="AS88" s="4">
        <f>IF(OR(('03_Сеть'!AS36-AS34)=0,15&lt;=КаникулыРоялти),0,('03_Сеть'!AS36-AS34)*IF(РоялтиПоГруппам="Да",MeanMinAge15+AS9*SUMIF(ThresholdAge15,"&lt;"&amp;AS9,WeightedRevAge15)-SUMIF(ThresholdAge15,"&lt;"&amp;AS9,WeightedMinAge15),MAX(CapacityAge15*АбонементНовых*AS9,MeanMinAge15)))</f>
        <v/>
      </c>
      <c r="AT88" s="4">
        <f>IF(OR(('03_Сеть'!AT36-AT34)=0,15&lt;=КаникулыРоялти),0,('03_Сеть'!AT36-AT34)*IF(РоялтиПоГруппам="Да",MeanMinAge15+AT9*SUMIF(ThresholdAge15,"&lt;"&amp;AT9,WeightedRevAge15)-SUMIF(ThresholdAge15,"&lt;"&amp;AT9,WeightedMinAge15),MAX(CapacityAge15*АбонементНовых*AT9,MeanMinAge15)))</f>
        <v/>
      </c>
      <c r="AU88" s="4">
        <f>IF(OR(('03_Сеть'!AU36-AU34)=0,15&lt;=КаникулыРоялти),0,('03_Сеть'!AU36-AU34)*IF(РоялтиПоГруппам="Да",MeanMinAge15+AU9*SUMIF(ThresholdAge15,"&lt;"&amp;AU9,WeightedRevAge15)-SUMIF(ThresholdAge15,"&lt;"&amp;AU9,WeightedMinAge15),MAX(CapacityAge15*АбонементНовых*AU9,MeanMinAge15)))</f>
        <v/>
      </c>
      <c r="AV88" s="4">
        <f>IF(OR(('03_Сеть'!AV36-AV34)=0,15&lt;=КаникулыРоялти),0,('03_Сеть'!AV36-AV34)*IF(РоялтиПоГруппам="Да",MeanMinAge15+AV9*SUMIF(ThresholdAge15,"&lt;"&amp;AV9,WeightedRevAge15)-SUMIF(ThresholdAge15,"&lt;"&amp;AV9,WeightedMinAge15),MAX(CapacityAge15*АбонементНовых*AV9,MeanMinAge15)))</f>
        <v/>
      </c>
      <c r="AW88" s="4">
        <f>IF(OR(('03_Сеть'!AW36-AW34)=0,15&lt;=КаникулыРоялти),0,('03_Сеть'!AW36-AW34)*IF(РоялтиПоГруппам="Да",MeanMinAge15+AW9*SUMIF(ThresholdAge15,"&lt;"&amp;AW9,WeightedRevAge15)-SUMIF(ThresholdAge15,"&lt;"&amp;AW9,WeightedMinAge15),MAX(CapacityAge15*АбонементНовых*AW9,MeanMinAge15)))</f>
        <v/>
      </c>
      <c r="AX88" s="4">
        <f>IF(OR(('03_Сеть'!AX36-AX34)=0,15&lt;=КаникулыРоялти),0,('03_Сеть'!AX36-AX34)*IF(РоялтиПоГруппам="Да",MeanMinAge15+AX9*SUMIF(ThresholdAge15,"&lt;"&amp;AX9,WeightedRevAge15)-SUMIF(ThresholdAge15,"&lt;"&amp;AX9,WeightedMinAge15),MAX(CapacityAge15*АбонементНовых*AX9,MeanMinAge15)))</f>
        <v/>
      </c>
      <c r="AY88" s="4">
        <f>IF(OR(('03_Сеть'!AY36-AY34)=0,15&lt;=КаникулыРоялти),0,('03_Сеть'!AY36-AY34)*IF(РоялтиПоГруппам="Да",MeanMinAge15+AY9*SUMIF(ThresholdAge15,"&lt;"&amp;AY9,WeightedRevAge15)-SUMIF(ThresholdAge15,"&lt;"&amp;AY9,WeightedMinAge15),MAX(CapacityAge15*АбонементНовых*AY9,MeanMinAge15)))</f>
        <v/>
      </c>
      <c r="AZ88" s="4">
        <f>IF(OR(('03_Сеть'!AZ36-AZ34)=0,15&lt;=КаникулыРоялти),0,('03_Сеть'!AZ36-AZ34)*IF(РоялтиПоГруппам="Да",MeanMinAge15+AZ9*SUMIF(ThresholdAge15,"&lt;"&amp;AZ9,WeightedRevAge15)-SUMIF(ThresholdAge15,"&lt;"&amp;AZ9,WeightedMinAge15),MAX(CapacityAge15*АбонементНовых*AZ9,MeanMinAge15)))</f>
        <v/>
      </c>
      <c r="BA88" s="4">
        <f>IF(OR(('03_Сеть'!BA36-BA34)=0,15&lt;=КаникулыРоялти),0,('03_Сеть'!BA36-BA34)*IF(РоялтиПоГруппам="Да",MeanMinAge15+BA9*SUMIF(ThresholdAge15,"&lt;"&amp;BA9,WeightedRevAge15)-SUMIF(ThresholdAge15,"&lt;"&amp;BA9,WeightedMinAge15),MAX(CapacityAge15*АбонементНовых*BA9,MeanMinAge15)))</f>
        <v/>
      </c>
      <c r="BB88" s="4">
        <f>IF(OR(('03_Сеть'!BB36-BB34)=0,15&lt;=КаникулыРоялти),0,('03_Сеть'!BB36-BB34)*IF(РоялтиПоГруппам="Да",MeanMinAge15+BB9*SUMIF(ThresholdAge15,"&lt;"&amp;BB9,WeightedRevAge15)-SUMIF(ThresholdAge15,"&lt;"&amp;BB9,WeightedMinAge15),MAX(CapacityAge15*АбонементНовых*BB9,MeanMinAge15)))</f>
        <v/>
      </c>
      <c r="BC88" s="4">
        <f>IF(OR(('03_Сеть'!BC36-BC34)=0,15&lt;=КаникулыРоялти),0,('03_Сеть'!BC36-BC34)*IF(РоялтиПоГруппам="Да",MeanMinAge15+BC9*SUMIF(ThresholdAge15,"&lt;"&amp;BC9,WeightedRevAge15)-SUMIF(ThresholdAge15,"&lt;"&amp;BC9,WeightedMinAge15),MAX(CapacityAge15*АбонементНовых*BC9,MeanMinAge15)))</f>
        <v/>
      </c>
      <c r="BD88" s="4">
        <f>IF(OR(('03_Сеть'!BD36-BD34)=0,15&lt;=КаникулыРоялти),0,('03_Сеть'!BD36-BD34)*IF(РоялтиПоГруппам="Да",MeanMinAge15+BD9*SUMIF(ThresholdAge15,"&lt;"&amp;BD9,WeightedRevAge15)-SUMIF(ThresholdAge15,"&lt;"&amp;BD9,WeightedMinAge15),MAX(CapacityAge15*АбонементНовых*BD9,MeanMinAge15)))</f>
        <v/>
      </c>
      <c r="BE88" s="4">
        <f>IF(OR(('03_Сеть'!BE36-BE34)=0,15&lt;=КаникулыРоялти),0,('03_Сеть'!BE36-BE34)*IF(РоялтиПоГруппам="Да",MeanMinAge15+BE9*SUMIF(ThresholdAge15,"&lt;"&amp;BE9,WeightedRevAge15)-SUMIF(ThresholdAge15,"&lt;"&amp;BE9,WeightedMinAge15),MAX(CapacityAge15*АбонементНовых*BE9,MeanMinAge15)))</f>
        <v/>
      </c>
      <c r="BF88" s="4">
        <f>IF(OR(('03_Сеть'!BF36-BF34)=0,15&lt;=КаникулыРоялти),0,('03_Сеть'!BF36-BF34)*IF(РоялтиПоГруппам="Да",MeanMinAge15+BF9*SUMIF(ThresholdAge15,"&lt;"&amp;BF9,WeightedRevAge15)-SUMIF(ThresholdAge15,"&lt;"&amp;BF9,WeightedMinAge15),MAX(CapacityAge15*АбонементНовых*BF9,MeanMinAge15)))</f>
        <v/>
      </c>
      <c r="BG88" s="4">
        <f>IF(OR(('03_Сеть'!BG36-BG34)=0,15&lt;=КаникулыРоялти),0,('03_Сеть'!BG36-BG34)*IF(РоялтиПоГруппам="Да",MeanMinAge15+BG9*SUMIF(ThresholdAge15,"&lt;"&amp;BG9,WeightedRevAge15)-SUMIF(ThresholdAge15,"&lt;"&amp;BG9,WeightedMinAge15),MAX(CapacityAge15*АбонементНовых*BG9,MeanMinAge15)))</f>
        <v/>
      </c>
      <c r="BH88" s="4">
        <f>IF(OR(('03_Сеть'!BH36-BH34)=0,15&lt;=КаникулыРоялти),0,('03_Сеть'!BH36-BH34)*IF(РоялтиПоГруппам="Да",MeanMinAge15+BH9*SUMIF(ThresholdAge15,"&lt;"&amp;BH9,WeightedRevAge15)-SUMIF(ThresholdAge15,"&lt;"&amp;BH9,WeightedMinAge15),MAX(CapacityAge15*АбонементНовых*BH9,MeanMinAge15)))</f>
        <v/>
      </c>
      <c r="BI88" s="4">
        <f>IF(OR(('03_Сеть'!BI36-BI34)=0,15&lt;=КаникулыРоялти),0,('03_Сеть'!BI36-BI34)*IF(РоялтиПоГруппам="Да",MeanMinAge15+BI9*SUMIF(ThresholdAge15,"&lt;"&amp;BI9,WeightedRevAge15)-SUMIF(ThresholdAge15,"&lt;"&amp;BI9,WeightedMinAge15),MAX(CapacityAge15*АбонементНовых*BI9,MeanMinAge15)))</f>
        <v/>
      </c>
      <c r="BJ88" s="4">
        <f>IF(OR(('03_Сеть'!BJ36-BJ34)=0,15&lt;=КаникулыРоялти),0,('03_Сеть'!BJ36-BJ34)*IF(РоялтиПоГруппам="Да",MeanMinAge15+BJ9*SUMIF(ThresholdAge15,"&lt;"&amp;BJ9,WeightedRevAge15)-SUMIF(ThresholdAge15,"&lt;"&amp;BJ9,WeightedMinAge15),MAX(CapacityAge15*АбонементНовых*BJ9,MeanMinAge15)))</f>
        <v/>
      </c>
      <c r="BK88" s="4">
        <f>IF(OR(('03_Сеть'!BK36-BK34)=0,15&lt;=КаникулыРоялти),0,('03_Сеть'!BK36-BK34)*IF(РоялтиПоГруппам="Да",MeanMinAge15+BK9*SUMIF(ThresholdAge15,"&lt;"&amp;BK9,WeightedRevAge15)-SUMIF(ThresholdAge15,"&lt;"&amp;BK9,WeightedMinAge15),MAX(CapacityAge15*АбонементНовых*BK9,MeanMinAge15)))</f>
        <v/>
      </c>
      <c r="BL88" s="4">
        <f>IF(OR(('03_Сеть'!BL36-BL34)=0,15&lt;=КаникулыРоялти),0,('03_Сеть'!BL36-BL34)*IF(РоялтиПоГруппам="Да",MeanMinAge15+BL9*SUMIF(ThresholdAge15,"&lt;"&amp;BL9,WeightedRevAge15)-SUMIF(ThresholdAge15,"&lt;"&amp;BL9,WeightedMinAge15),MAX(CapacityAge15*АбонементНовых*BL9,MeanMinAge15)))</f>
        <v/>
      </c>
      <c r="BM88" s="4">
        <f>IF(OR(('03_Сеть'!BM36-BM34)=0,15&lt;=КаникулыРоялти),0,('03_Сеть'!BM36-BM34)*IF(РоялтиПоГруппам="Да",MeanMinAge15+BM9*SUMIF(ThresholdAge15,"&lt;"&amp;BM9,WeightedRevAge15)-SUMIF(ThresholdAge15,"&lt;"&amp;BM9,WeightedMinAge15),MAX(CapacityAge15*АбонементНовых*BM9,MeanMinAge15)))</f>
        <v/>
      </c>
      <c r="BN88" s="4">
        <f>IF(OR(('03_Сеть'!BN36-BN34)=0,15&lt;=КаникулыРоялти),0,('03_Сеть'!BN36-BN34)*IF(РоялтиПоГруппам="Да",MeanMinAge15+BN9*SUMIF(ThresholdAge15,"&lt;"&amp;BN9,WeightedRevAge15)-SUMIF(ThresholdAge15,"&lt;"&amp;BN9,WeightedMinAge15),MAX(CapacityAge15*АбонементНовых*BN9,MeanMinAge15)))</f>
        <v/>
      </c>
      <c r="BO88" s="4">
        <f>IF(OR(('03_Сеть'!BO36-BO34)=0,15&lt;=КаникулыРоялти),0,('03_Сеть'!BO36-BO34)*IF(РоялтиПоГруппам="Да",MeanMinAge15+BO9*SUMIF(ThresholdAge15,"&lt;"&amp;BO9,WeightedRevAge15)-SUMIF(ThresholdAge15,"&lt;"&amp;BO9,WeightedMinAge15),MAX(CapacityAge15*АбонементНовых*BO9,MeanMinAge15)))</f>
        <v/>
      </c>
      <c r="BP88" s="4">
        <f>IF(OR(('03_Сеть'!BP36-BP34)=0,15&lt;=КаникулыРоялти),0,('03_Сеть'!BP36-BP34)*IF(РоялтиПоГруппам="Да",MeanMinAge15+BP9*SUMIF(ThresholdAge15,"&lt;"&amp;BP9,WeightedRevAge15)-SUMIF(ThresholdAge15,"&lt;"&amp;BP9,WeightedMinAge15),MAX(CapacityAge15*АбонементНовых*BP9,MeanMinAge15)))</f>
        <v/>
      </c>
      <c r="BQ88" s="4">
        <f>IF(OR(('03_Сеть'!BQ36-BQ34)=0,15&lt;=КаникулыРоялти),0,('03_Сеть'!BQ36-BQ34)*IF(РоялтиПоГруппам="Да",MeanMinAge15+BQ9*SUMIF(ThresholdAge15,"&lt;"&amp;BQ9,WeightedRevAge15)-SUMIF(ThresholdAge15,"&lt;"&amp;BQ9,WeightedMinAge15),MAX(CapacityAge15*АбонементНовых*BQ9,MeanMinAge15)))</f>
        <v/>
      </c>
      <c r="BR88" s="4">
        <f>IF(OR(('03_Сеть'!BR36-BR34)=0,15&lt;=КаникулыРоялти),0,('03_Сеть'!BR36-BR34)*IF(РоялтиПоГруппам="Да",MeanMinAge15+BR9*SUMIF(ThresholdAge15,"&lt;"&amp;BR9,WeightedRevAge15)-SUMIF(ThresholdAge15,"&lt;"&amp;BR9,WeightedMinAge15),MAX(CapacityAge15*АбонементНовых*BR9,MeanMinAge15)))</f>
        <v/>
      </c>
      <c r="BS88" s="4">
        <f>IF(OR(('03_Сеть'!BS36-BS34)=0,15&lt;=КаникулыРоялти),0,('03_Сеть'!BS36-BS34)*IF(РоялтиПоГруппам="Да",MeanMinAge15+BS9*SUMIF(ThresholdAge15,"&lt;"&amp;BS9,WeightedRevAge15)-SUMIF(ThresholdAge15,"&lt;"&amp;BS9,WeightedMinAge15),MAX(CapacityAge15*АбонементНовых*BS9,MeanMinAge15)))</f>
        <v/>
      </c>
      <c r="BT88" s="4">
        <f>IF(OR(('03_Сеть'!BT36-BT34)=0,15&lt;=КаникулыРоялти),0,('03_Сеть'!BT36-BT34)*IF(РоялтиПоГруппам="Да",MeanMinAge15+BT9*SUMIF(ThresholdAge15,"&lt;"&amp;BT9,WeightedRevAge15)-SUMIF(ThresholdAge15,"&lt;"&amp;BT9,WeightedMinAge15),MAX(CapacityAge15*АбонементНовых*BT9,MeanMinAge15)))</f>
        <v/>
      </c>
      <c r="BU88" s="4">
        <f>IF(OR(('03_Сеть'!BU36-BU34)=0,15&lt;=КаникулыРоялти),0,('03_Сеть'!BU36-BU34)*IF(РоялтиПоГруппам="Да",MeanMinAge15+BU9*SUMIF(ThresholdAge15,"&lt;"&amp;BU9,WeightedRevAge15)-SUMIF(ThresholdAge15,"&lt;"&amp;BU9,WeightedMinAge15),MAX(CapacityAge15*АбонементНовых*BU9,MeanMinAge15)))</f>
        <v/>
      </c>
      <c r="BV88" s="4">
        <f>IF(OR(('03_Сеть'!BV36-BV34)=0,15&lt;=КаникулыРоялти),0,('03_Сеть'!BV36-BV34)*IF(РоялтиПоГруппам="Да",MeanMinAge15+BV9*SUMIF(ThresholdAge15,"&lt;"&amp;BV9,WeightedRevAge15)-SUMIF(ThresholdAge15,"&lt;"&amp;BV9,WeightedMinAge15),MAX(CapacityAge15*АбонементНовых*BV9,MeanMinAge15)))</f>
        <v/>
      </c>
      <c r="BW88" s="4">
        <f>IF(OR(('03_Сеть'!BW36-BW34)=0,15&lt;=КаникулыРоялти),0,('03_Сеть'!BW36-BW34)*IF(РоялтиПоГруппам="Да",MeanMinAge15+BW9*SUMIF(ThresholdAge15,"&lt;"&amp;BW9,WeightedRevAge15)-SUMIF(ThresholdAge15,"&lt;"&amp;BW9,WeightedMinAge15),MAX(CapacityAge15*АбонементНовых*BW9,MeanMinAge15)))</f>
        <v/>
      </c>
      <c r="BX88" s="4">
        <f>IF(OR(('03_Сеть'!BX36-BX34)=0,15&lt;=КаникулыРоялти),0,('03_Сеть'!BX36-BX34)*IF(РоялтиПоГруппам="Да",MeanMinAge15+BX9*SUMIF(ThresholdAge15,"&lt;"&amp;BX9,WeightedRevAge15)-SUMIF(ThresholdAge15,"&lt;"&amp;BX9,WeightedMinAge15),MAX(CapacityAge15*АбонементНовых*BX9,MeanMinAge15)))</f>
        <v/>
      </c>
      <c r="BY88" s="4">
        <f>IF(OR(('03_Сеть'!BY36-BY34)=0,15&lt;=КаникулыРоялти),0,('03_Сеть'!BY36-BY34)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89">
      <c r="B89" t="inlineStr">
        <is>
          <t>16 мес.</t>
        </is>
      </c>
      <c r="C89" t="inlineStr">
        <is>
          <t>₽</t>
        </is>
      </c>
      <c r="D89" s="117" t="inlineStr"/>
      <c r="E89" s="119">
        <f>SUM(L89:W89)</f>
        <v/>
      </c>
      <c r="F89" s="119">
        <f>SUM(X89:AI89)</f>
        <v/>
      </c>
      <c r="G89" s="119">
        <f>SUM(AJ89:AU89)</f>
        <v/>
      </c>
      <c r="H89" s="119">
        <f>SUM(AV89:BG89)</f>
        <v/>
      </c>
      <c r="I89" s="119">
        <f>SUM(BH89:BS89)</f>
        <v/>
      </c>
      <c r="J89" s="5">
        <f>SUM(L89:BS89)</f>
        <v/>
      </c>
      <c r="L89" s="4">
        <f>IF(OR(('03_Сеть'!L37-L35)=0,16&lt;=КаникулыРоялти),0,('03_Сеть'!L37-L35)*IF(РоялтиПоГруппам="Да",MeanMinAge16+L9*SUMIF(ThresholdAge16,"&lt;"&amp;L9,WeightedRevAge16)-SUMIF(ThresholdAge16,"&lt;"&amp;L9,WeightedMinAge16),MAX(CapacityAge16*АбонементНовых*L9,MeanMinAge16)))</f>
        <v/>
      </c>
      <c r="M89" s="4">
        <f>IF(OR(('03_Сеть'!M37-M35)=0,16&lt;=КаникулыРоялти),0,('03_Сеть'!M37-M35)*IF(РоялтиПоГруппам="Да",MeanMinAge16+M9*SUMIF(ThresholdAge16,"&lt;"&amp;M9,WeightedRevAge16)-SUMIF(ThresholdAge16,"&lt;"&amp;M9,WeightedMinAge16),MAX(CapacityAge16*АбонементНовых*M9,MeanMinAge16)))</f>
        <v/>
      </c>
      <c r="N89" s="4">
        <f>IF(OR(('03_Сеть'!N37-N35)=0,16&lt;=КаникулыРоялти),0,('03_Сеть'!N37-N35)*IF(РоялтиПоГруппам="Да",MeanMinAge16+N9*SUMIF(ThresholdAge16,"&lt;"&amp;N9,WeightedRevAge16)-SUMIF(ThresholdAge16,"&lt;"&amp;N9,WeightedMinAge16),MAX(CapacityAge16*АбонементНовых*N9,MeanMinAge16)))</f>
        <v/>
      </c>
      <c r="O89" s="4">
        <f>IF(OR(('03_Сеть'!O37-O35)=0,16&lt;=КаникулыРоялти),0,('03_Сеть'!O37-O35)*IF(РоялтиПоГруппам="Да",MeanMinAge16+O9*SUMIF(ThresholdAge16,"&lt;"&amp;O9,WeightedRevAge16)-SUMIF(ThresholdAge16,"&lt;"&amp;O9,WeightedMinAge16),MAX(CapacityAge16*АбонементНовых*O9,MeanMinAge16)))</f>
        <v/>
      </c>
      <c r="P89" s="4">
        <f>IF(OR(('03_Сеть'!P37-P35)=0,16&lt;=КаникулыРоялти),0,('03_Сеть'!P37-P35)*IF(РоялтиПоГруппам="Да",MeanMinAge16+P9*SUMIF(ThresholdAge16,"&lt;"&amp;P9,WeightedRevAge16)-SUMIF(ThresholdAge16,"&lt;"&amp;P9,WeightedMinAge16),MAX(CapacityAge16*АбонементНовых*P9,MeanMinAge16)))</f>
        <v/>
      </c>
      <c r="Q89" s="4">
        <f>IF(OR(('03_Сеть'!Q37-Q35)=0,16&lt;=КаникулыРоялти),0,('03_Сеть'!Q37-Q35)*IF(РоялтиПоГруппам="Да",MeanMinAge16+Q9*SUMIF(ThresholdAge16,"&lt;"&amp;Q9,WeightedRevAge16)-SUMIF(ThresholdAge16,"&lt;"&amp;Q9,WeightedMinAge16),MAX(CapacityAge16*АбонементНовых*Q9,MeanMinAge16)))</f>
        <v/>
      </c>
      <c r="R89" s="4">
        <f>IF(OR(('03_Сеть'!R37-R35)=0,16&lt;=КаникулыРоялти),0,('03_Сеть'!R37-R35)*IF(РоялтиПоГруппам="Да",MeanMinAge16+R9*SUMIF(ThresholdAge16,"&lt;"&amp;R9,WeightedRevAge16)-SUMIF(ThresholdAge16,"&lt;"&amp;R9,WeightedMinAge16),MAX(CapacityAge16*АбонементНовых*R9,MeanMinAge16)))</f>
        <v/>
      </c>
      <c r="S89" s="4">
        <f>IF(OR(('03_Сеть'!S37-S35)=0,16&lt;=КаникулыРоялти),0,('03_Сеть'!S37-S35)*IF(РоялтиПоГруппам="Да",MeanMinAge16+S9*SUMIF(ThresholdAge16,"&lt;"&amp;S9,WeightedRevAge16)-SUMIF(ThresholdAge16,"&lt;"&amp;S9,WeightedMinAge16),MAX(CapacityAge16*АбонементНовых*S9,MeanMinAge16)))</f>
        <v/>
      </c>
      <c r="T89" s="4">
        <f>IF(OR(('03_Сеть'!T37-T35)=0,16&lt;=КаникулыРоялти),0,('03_Сеть'!T37-T35)*IF(РоялтиПоГруппам="Да",MeanMinAge16+T9*SUMIF(ThresholdAge16,"&lt;"&amp;T9,WeightedRevAge16)-SUMIF(ThresholdAge16,"&lt;"&amp;T9,WeightedMinAge16),MAX(CapacityAge16*АбонементНовых*T9,MeanMinAge16)))</f>
        <v/>
      </c>
      <c r="U89" s="4">
        <f>IF(OR(('03_Сеть'!U37-U35)=0,16&lt;=КаникулыРоялти),0,('03_Сеть'!U37-U35)*IF(РоялтиПоГруппам="Да",MeanMinAge16+U9*SUMIF(ThresholdAge16,"&lt;"&amp;U9,WeightedRevAge16)-SUMIF(ThresholdAge16,"&lt;"&amp;U9,WeightedMinAge16),MAX(CapacityAge16*АбонементНовых*U9,MeanMinAge16)))</f>
        <v/>
      </c>
      <c r="V89" s="4">
        <f>IF(OR(('03_Сеть'!V37-V35)=0,16&lt;=КаникулыРоялти),0,('03_Сеть'!V37-V35)*IF(РоялтиПоГруппам="Да",MeanMinAge16+V9*SUMIF(ThresholdAge16,"&lt;"&amp;V9,WeightedRevAge16)-SUMIF(ThresholdAge16,"&lt;"&amp;V9,WeightedMinAge16),MAX(CapacityAge16*АбонементНовых*V9,MeanMinAge16)))</f>
        <v/>
      </c>
      <c r="W89" s="4">
        <f>IF(OR(('03_Сеть'!W37-W35)=0,16&lt;=КаникулыРоялти),0,('03_Сеть'!W37-W35)*IF(РоялтиПоГруппам="Да",MeanMinAge16+W9*SUMIF(ThresholdAge16,"&lt;"&amp;W9,WeightedRevAge16)-SUMIF(ThresholdAge16,"&lt;"&amp;W9,WeightedMinAge16),MAX(CapacityAge16*АбонементНовых*W9,MeanMinAge16)))</f>
        <v/>
      </c>
      <c r="X89" s="4">
        <f>IF(OR(('03_Сеть'!X37-X35)=0,16&lt;=КаникулыРоялти),0,('03_Сеть'!X37-X35)*IF(РоялтиПоГруппам="Да",MeanMinAge16+X9*SUMIF(ThresholdAge16,"&lt;"&amp;X9,WeightedRevAge16)-SUMIF(ThresholdAge16,"&lt;"&amp;X9,WeightedMinAge16),MAX(CapacityAge16*АбонементНовых*X9,MeanMinAge16)))</f>
        <v/>
      </c>
      <c r="Y89" s="4">
        <f>IF(OR(('03_Сеть'!Y37-Y35)=0,16&lt;=КаникулыРоялти),0,('03_Сеть'!Y37-Y35)*IF(РоялтиПоГруппам="Да",MeanMinAge16+Y9*SUMIF(ThresholdAge16,"&lt;"&amp;Y9,WeightedRevAge16)-SUMIF(ThresholdAge16,"&lt;"&amp;Y9,WeightedMinAge16),MAX(CapacityAge16*АбонементНовых*Y9,MeanMinAge16)))</f>
        <v/>
      </c>
      <c r="Z89" s="4">
        <f>IF(OR(('03_Сеть'!Z37-Z35)=0,16&lt;=КаникулыРоялти),0,('03_Сеть'!Z37-Z35)*IF(РоялтиПоГруппам="Да",MeanMinAge16+Z9*SUMIF(ThresholdAge16,"&lt;"&amp;Z9,WeightedRevAge16)-SUMIF(ThresholdAge16,"&lt;"&amp;Z9,WeightedMinAge16),MAX(CapacityAge16*АбонементНовых*Z9,MeanMinAge16)))</f>
        <v/>
      </c>
      <c r="AA89" s="4">
        <f>IF(OR(('03_Сеть'!AA37-AA35)=0,16&lt;=КаникулыРоялти),0,('03_Сеть'!AA37-AA35)*IF(РоялтиПоГруппам="Да",MeanMinAge16+AA9*SUMIF(ThresholdAge16,"&lt;"&amp;AA9,WeightedRevAge16)-SUMIF(ThresholdAge16,"&lt;"&amp;AA9,WeightedMinAge16),MAX(CapacityAge16*АбонементНовых*AA9,MeanMinAge16)))</f>
        <v/>
      </c>
      <c r="AB89" s="4">
        <f>IF(OR(('03_Сеть'!AB37-AB35)=0,16&lt;=КаникулыРоялти),0,('03_Сеть'!AB37-AB35)*IF(РоялтиПоГруппам="Да",MeanMinAge16+AB9*SUMIF(ThresholdAge16,"&lt;"&amp;AB9,WeightedRevAge16)-SUMIF(ThresholdAge16,"&lt;"&amp;AB9,WeightedMinAge16),MAX(CapacityAge16*АбонементНовых*AB9,MeanMinAge16)))</f>
        <v/>
      </c>
      <c r="AC89" s="4">
        <f>IF(OR(('03_Сеть'!AC37-AC35)=0,16&lt;=КаникулыРоялти),0,('03_Сеть'!AC37-AC35)*IF(РоялтиПоГруппам="Да",MeanMinAge16+AC9*SUMIF(ThresholdAge16,"&lt;"&amp;AC9,WeightedRevAge16)-SUMIF(ThresholdAge16,"&lt;"&amp;AC9,WeightedMinAge16),MAX(CapacityAge16*АбонементНовых*AC9,MeanMinAge16)))</f>
        <v/>
      </c>
      <c r="AD89" s="4">
        <f>IF(OR(('03_Сеть'!AD37-AD35)=0,16&lt;=КаникулыРоялти),0,('03_Сеть'!AD37-AD35)*IF(РоялтиПоГруппам="Да",MeanMinAge16+AD9*SUMIF(ThresholdAge16,"&lt;"&amp;AD9,WeightedRevAge16)-SUMIF(ThresholdAge16,"&lt;"&amp;AD9,WeightedMinAge16),MAX(CapacityAge16*АбонементНовых*AD9,MeanMinAge16)))</f>
        <v/>
      </c>
      <c r="AE89" s="4">
        <f>IF(OR(('03_Сеть'!AE37-AE35)=0,16&lt;=КаникулыРоялти),0,('03_Сеть'!AE37-AE35)*IF(РоялтиПоГруппам="Да",MeanMinAge16+AE9*SUMIF(ThresholdAge16,"&lt;"&amp;AE9,WeightedRevAge16)-SUMIF(ThresholdAge16,"&lt;"&amp;AE9,WeightedMinAge16),MAX(CapacityAge16*АбонементНовых*AE9,MeanMinAge16)))</f>
        <v/>
      </c>
      <c r="AF89" s="4">
        <f>IF(OR(('03_Сеть'!AF37-AF35)=0,16&lt;=КаникулыРоялти),0,('03_Сеть'!AF37-AF35)*IF(РоялтиПоГруппам="Да",MeanMinAge16+AF9*SUMIF(ThresholdAge16,"&lt;"&amp;AF9,WeightedRevAge16)-SUMIF(ThresholdAge16,"&lt;"&amp;AF9,WeightedMinAge16),MAX(CapacityAge16*АбонементНовых*AF9,MeanMinAge16)))</f>
        <v/>
      </c>
      <c r="AG89" s="4">
        <f>IF(OR(('03_Сеть'!AG37-AG35)=0,16&lt;=КаникулыРоялти),0,('03_Сеть'!AG37-AG35)*IF(РоялтиПоГруппам="Да",MeanMinAge16+AG9*SUMIF(ThresholdAge16,"&lt;"&amp;AG9,WeightedRevAge16)-SUMIF(ThresholdAge16,"&lt;"&amp;AG9,WeightedMinAge16),MAX(CapacityAge16*АбонементНовых*AG9,MeanMinAge16)))</f>
        <v/>
      </c>
      <c r="AH89" s="4">
        <f>IF(OR(('03_Сеть'!AH37-AH35)=0,16&lt;=КаникулыРоялти),0,('03_Сеть'!AH37-AH35)*IF(РоялтиПоГруппам="Да",MeanMinAge16+AH9*SUMIF(ThresholdAge16,"&lt;"&amp;AH9,WeightedRevAge16)-SUMIF(ThresholdAge16,"&lt;"&amp;AH9,WeightedMinAge16),MAX(CapacityAge16*АбонементНовых*AH9,MeanMinAge16)))</f>
        <v/>
      </c>
      <c r="AI89" s="4">
        <f>IF(OR(('03_Сеть'!AI37-AI35)=0,16&lt;=КаникулыРоялти),0,('03_Сеть'!AI37-AI35)*IF(РоялтиПоГруппам="Да",MeanMinAge16+AI9*SUMIF(ThresholdAge16,"&lt;"&amp;AI9,WeightedRevAge16)-SUMIF(ThresholdAge16,"&lt;"&amp;AI9,WeightedMinAge16),MAX(CapacityAge16*АбонементНовых*AI9,MeanMinAge16)))</f>
        <v/>
      </c>
      <c r="AJ89" s="4">
        <f>IF(OR(('03_Сеть'!AJ37-AJ35)=0,16&lt;=КаникулыРоялти),0,('03_Сеть'!AJ37-AJ35)*IF(РоялтиПоГруппам="Да",MeanMinAge16+AJ9*SUMIF(ThresholdAge16,"&lt;"&amp;AJ9,WeightedRevAge16)-SUMIF(ThresholdAge16,"&lt;"&amp;AJ9,WeightedMinAge16),MAX(CapacityAge16*АбонементНовых*AJ9,MeanMinAge16)))</f>
        <v/>
      </c>
      <c r="AK89" s="4">
        <f>IF(OR(('03_Сеть'!AK37-AK35)=0,16&lt;=КаникулыРоялти),0,('03_Сеть'!AK37-AK35)*IF(РоялтиПоГруппам="Да",MeanMinAge16+AK9*SUMIF(ThresholdAge16,"&lt;"&amp;AK9,WeightedRevAge16)-SUMIF(ThresholdAge16,"&lt;"&amp;AK9,WeightedMinAge16),MAX(CapacityAge16*АбонементНовых*AK9,MeanMinAge16)))</f>
        <v/>
      </c>
      <c r="AL89" s="4">
        <f>IF(OR(('03_Сеть'!AL37-AL35)=0,16&lt;=КаникулыРоялти),0,('03_Сеть'!AL37-AL35)*IF(РоялтиПоГруппам="Да",MeanMinAge16+AL9*SUMIF(ThresholdAge16,"&lt;"&amp;AL9,WeightedRevAge16)-SUMIF(ThresholdAge16,"&lt;"&amp;AL9,WeightedMinAge16),MAX(CapacityAge16*АбонементНовых*AL9,MeanMinAge16)))</f>
        <v/>
      </c>
      <c r="AM89" s="4">
        <f>IF(OR(('03_Сеть'!AM37-AM35)=0,16&lt;=КаникулыРоялти),0,('03_Сеть'!AM37-AM35)*IF(РоялтиПоГруппам="Да",MeanMinAge16+AM9*SUMIF(ThresholdAge16,"&lt;"&amp;AM9,WeightedRevAge16)-SUMIF(ThresholdAge16,"&lt;"&amp;AM9,WeightedMinAge16),MAX(CapacityAge16*АбонементНовых*AM9,MeanMinAge16)))</f>
        <v/>
      </c>
      <c r="AN89" s="4">
        <f>IF(OR(('03_Сеть'!AN37-AN35)=0,16&lt;=КаникулыРоялти),0,('03_Сеть'!AN37-AN35)*IF(РоялтиПоГруппам="Да",MeanMinAge16+AN9*SUMIF(ThresholdAge16,"&lt;"&amp;AN9,WeightedRevAge16)-SUMIF(ThresholdAge16,"&lt;"&amp;AN9,WeightedMinAge16),MAX(CapacityAge16*АбонементНовых*AN9,MeanMinAge16)))</f>
        <v/>
      </c>
      <c r="AO89" s="4">
        <f>IF(OR(('03_Сеть'!AO37-AO35)=0,16&lt;=КаникулыРоялти),0,('03_Сеть'!AO37-AO35)*IF(РоялтиПоГруппам="Да",MeanMinAge16+AO9*SUMIF(ThresholdAge16,"&lt;"&amp;AO9,WeightedRevAge16)-SUMIF(ThresholdAge16,"&lt;"&amp;AO9,WeightedMinAge16),MAX(CapacityAge16*АбонементНовых*AO9,MeanMinAge16)))</f>
        <v/>
      </c>
      <c r="AP89" s="4">
        <f>IF(OR(('03_Сеть'!AP37-AP35)=0,16&lt;=КаникулыРоялти),0,('03_Сеть'!AP37-AP35)*IF(РоялтиПоГруппам="Да",MeanMinAge16+AP9*SUMIF(ThresholdAge16,"&lt;"&amp;AP9,WeightedRevAge16)-SUMIF(ThresholdAge16,"&lt;"&amp;AP9,WeightedMinAge16),MAX(CapacityAge16*АбонементНовых*AP9,MeanMinAge16)))</f>
        <v/>
      </c>
      <c r="AQ89" s="4">
        <f>IF(OR(('03_Сеть'!AQ37-AQ35)=0,16&lt;=КаникулыРоялти),0,('03_Сеть'!AQ37-AQ35)*IF(РоялтиПоГруппам="Да",MeanMinAge16+AQ9*SUMIF(ThresholdAge16,"&lt;"&amp;AQ9,WeightedRevAge16)-SUMIF(ThresholdAge16,"&lt;"&amp;AQ9,WeightedMinAge16),MAX(CapacityAge16*АбонементНовых*AQ9,MeanMinAge16)))</f>
        <v/>
      </c>
      <c r="AR89" s="4">
        <f>IF(OR(('03_Сеть'!AR37-AR35)=0,16&lt;=КаникулыРоялти),0,('03_Сеть'!AR37-AR35)*IF(РоялтиПоГруппам="Да",MeanMinAge16+AR9*SUMIF(ThresholdAge16,"&lt;"&amp;AR9,WeightedRevAge16)-SUMIF(ThresholdAge16,"&lt;"&amp;AR9,WeightedMinAge16),MAX(CapacityAge16*АбонементНовых*AR9,MeanMinAge16)))</f>
        <v/>
      </c>
      <c r="AS89" s="4">
        <f>IF(OR(('03_Сеть'!AS37-AS35)=0,16&lt;=КаникулыРоялти),0,('03_Сеть'!AS37-AS35)*IF(РоялтиПоГруппам="Да",MeanMinAge16+AS9*SUMIF(ThresholdAge16,"&lt;"&amp;AS9,WeightedRevAge16)-SUMIF(ThresholdAge16,"&lt;"&amp;AS9,WeightedMinAge16),MAX(CapacityAge16*АбонементНовых*AS9,MeanMinAge16)))</f>
        <v/>
      </c>
      <c r="AT89" s="4">
        <f>IF(OR(('03_Сеть'!AT37-AT35)=0,16&lt;=КаникулыРоялти),0,('03_Сеть'!AT37-AT35)*IF(РоялтиПоГруппам="Да",MeanMinAge16+AT9*SUMIF(ThresholdAge16,"&lt;"&amp;AT9,WeightedRevAge16)-SUMIF(ThresholdAge16,"&lt;"&amp;AT9,WeightedMinAge16),MAX(CapacityAge16*АбонементНовых*AT9,MeanMinAge16)))</f>
        <v/>
      </c>
      <c r="AU89" s="4">
        <f>IF(OR(('03_Сеть'!AU37-AU35)=0,16&lt;=КаникулыРоялти),0,('03_Сеть'!AU37-AU35)*IF(РоялтиПоГруппам="Да",MeanMinAge16+AU9*SUMIF(ThresholdAge16,"&lt;"&amp;AU9,WeightedRevAge16)-SUMIF(ThresholdAge16,"&lt;"&amp;AU9,WeightedMinAge16),MAX(CapacityAge16*АбонементНовых*AU9,MeanMinAge16)))</f>
        <v/>
      </c>
      <c r="AV89" s="4">
        <f>IF(OR(('03_Сеть'!AV37-AV35)=0,16&lt;=КаникулыРоялти),0,('03_Сеть'!AV37-AV35)*IF(РоялтиПоГруппам="Да",MeanMinAge16+AV9*SUMIF(ThresholdAge16,"&lt;"&amp;AV9,WeightedRevAge16)-SUMIF(ThresholdAge16,"&lt;"&amp;AV9,WeightedMinAge16),MAX(CapacityAge16*АбонементНовых*AV9,MeanMinAge16)))</f>
        <v/>
      </c>
      <c r="AW89" s="4">
        <f>IF(OR(('03_Сеть'!AW37-AW35)=0,16&lt;=КаникулыРоялти),0,('03_Сеть'!AW37-AW35)*IF(РоялтиПоГруппам="Да",MeanMinAge16+AW9*SUMIF(ThresholdAge16,"&lt;"&amp;AW9,WeightedRevAge16)-SUMIF(ThresholdAge16,"&lt;"&amp;AW9,WeightedMinAge16),MAX(CapacityAge16*АбонементНовых*AW9,MeanMinAge16)))</f>
        <v/>
      </c>
      <c r="AX89" s="4">
        <f>IF(OR(('03_Сеть'!AX37-AX35)=0,16&lt;=КаникулыРоялти),0,('03_Сеть'!AX37-AX35)*IF(РоялтиПоГруппам="Да",MeanMinAge16+AX9*SUMIF(ThresholdAge16,"&lt;"&amp;AX9,WeightedRevAge16)-SUMIF(ThresholdAge16,"&lt;"&amp;AX9,WeightedMinAge16),MAX(CapacityAge16*АбонементНовых*AX9,MeanMinAge16)))</f>
        <v/>
      </c>
      <c r="AY89" s="4">
        <f>IF(OR(('03_Сеть'!AY37-AY35)=0,16&lt;=КаникулыРоялти),0,('03_Сеть'!AY37-AY35)*IF(РоялтиПоГруппам="Да",MeanMinAge16+AY9*SUMIF(ThresholdAge16,"&lt;"&amp;AY9,WeightedRevAge16)-SUMIF(ThresholdAge16,"&lt;"&amp;AY9,WeightedMinAge16),MAX(CapacityAge16*АбонементНовых*AY9,MeanMinAge16)))</f>
        <v/>
      </c>
      <c r="AZ89" s="4">
        <f>IF(OR(('03_Сеть'!AZ37-AZ35)=0,16&lt;=КаникулыРоялти),0,('03_Сеть'!AZ37-AZ35)*IF(РоялтиПоГруппам="Да",MeanMinAge16+AZ9*SUMIF(ThresholdAge16,"&lt;"&amp;AZ9,WeightedRevAge16)-SUMIF(ThresholdAge16,"&lt;"&amp;AZ9,WeightedMinAge16),MAX(CapacityAge16*АбонементНовых*AZ9,MeanMinAge16)))</f>
        <v/>
      </c>
      <c r="BA89" s="4">
        <f>IF(OR(('03_Сеть'!BA37-BA35)=0,16&lt;=КаникулыРоялти),0,('03_Сеть'!BA37-BA35)*IF(РоялтиПоГруппам="Да",MeanMinAge16+BA9*SUMIF(ThresholdAge16,"&lt;"&amp;BA9,WeightedRevAge16)-SUMIF(ThresholdAge16,"&lt;"&amp;BA9,WeightedMinAge16),MAX(CapacityAge16*АбонементНовых*BA9,MeanMinAge16)))</f>
        <v/>
      </c>
      <c r="BB89" s="4">
        <f>IF(OR(('03_Сеть'!BB37-BB35)=0,16&lt;=КаникулыРоялти),0,('03_Сеть'!BB37-BB35)*IF(РоялтиПоГруппам="Да",MeanMinAge16+BB9*SUMIF(ThresholdAge16,"&lt;"&amp;BB9,WeightedRevAge16)-SUMIF(ThresholdAge16,"&lt;"&amp;BB9,WeightedMinAge16),MAX(CapacityAge16*АбонементНовых*BB9,MeanMinAge16)))</f>
        <v/>
      </c>
      <c r="BC89" s="4">
        <f>IF(OR(('03_Сеть'!BC37-BC35)=0,16&lt;=КаникулыРоялти),0,('03_Сеть'!BC37-BC35)*IF(РоялтиПоГруппам="Да",MeanMinAge16+BC9*SUMIF(ThresholdAge16,"&lt;"&amp;BC9,WeightedRevAge16)-SUMIF(ThresholdAge16,"&lt;"&amp;BC9,WeightedMinAge16),MAX(CapacityAge16*АбонементНовых*BC9,MeanMinAge16)))</f>
        <v/>
      </c>
      <c r="BD89" s="4">
        <f>IF(OR(('03_Сеть'!BD37-BD35)=0,16&lt;=КаникулыРоялти),0,('03_Сеть'!BD37-BD35)*IF(РоялтиПоГруппам="Да",MeanMinAge16+BD9*SUMIF(ThresholdAge16,"&lt;"&amp;BD9,WeightedRevAge16)-SUMIF(ThresholdAge16,"&lt;"&amp;BD9,WeightedMinAge16),MAX(CapacityAge16*АбонементНовых*BD9,MeanMinAge16)))</f>
        <v/>
      </c>
      <c r="BE89" s="4">
        <f>IF(OR(('03_Сеть'!BE37-BE35)=0,16&lt;=КаникулыРоялти),0,('03_Сеть'!BE37-BE35)*IF(РоялтиПоГруппам="Да",MeanMinAge16+BE9*SUMIF(ThresholdAge16,"&lt;"&amp;BE9,WeightedRevAge16)-SUMIF(ThresholdAge16,"&lt;"&amp;BE9,WeightedMinAge16),MAX(CapacityAge16*АбонементНовых*BE9,MeanMinAge16)))</f>
        <v/>
      </c>
      <c r="BF89" s="4">
        <f>IF(OR(('03_Сеть'!BF37-BF35)=0,16&lt;=КаникулыРоялти),0,('03_Сеть'!BF37-BF35)*IF(РоялтиПоГруппам="Да",MeanMinAge16+BF9*SUMIF(ThresholdAge16,"&lt;"&amp;BF9,WeightedRevAge16)-SUMIF(ThresholdAge16,"&lt;"&amp;BF9,WeightedMinAge16),MAX(CapacityAge16*АбонементНовых*BF9,MeanMinAge16)))</f>
        <v/>
      </c>
      <c r="BG89" s="4">
        <f>IF(OR(('03_Сеть'!BG37-BG35)=0,16&lt;=КаникулыРоялти),0,('03_Сеть'!BG37-BG35)*IF(РоялтиПоГруппам="Да",MeanMinAge16+BG9*SUMIF(ThresholdAge16,"&lt;"&amp;BG9,WeightedRevAge16)-SUMIF(ThresholdAge16,"&lt;"&amp;BG9,WeightedMinAge16),MAX(CapacityAge16*АбонементНовых*BG9,MeanMinAge16)))</f>
        <v/>
      </c>
      <c r="BH89" s="4">
        <f>IF(OR(('03_Сеть'!BH37-BH35)=0,16&lt;=КаникулыРоялти),0,('03_Сеть'!BH37-BH35)*IF(РоялтиПоГруппам="Да",MeanMinAge16+BH9*SUMIF(ThresholdAge16,"&lt;"&amp;BH9,WeightedRevAge16)-SUMIF(ThresholdAge16,"&lt;"&amp;BH9,WeightedMinAge16),MAX(CapacityAge16*АбонементНовых*BH9,MeanMinAge16)))</f>
        <v/>
      </c>
      <c r="BI89" s="4">
        <f>IF(OR(('03_Сеть'!BI37-BI35)=0,16&lt;=КаникулыРоялти),0,('03_Сеть'!BI37-BI35)*IF(РоялтиПоГруппам="Да",MeanMinAge16+BI9*SUMIF(ThresholdAge16,"&lt;"&amp;BI9,WeightedRevAge16)-SUMIF(ThresholdAge16,"&lt;"&amp;BI9,WeightedMinAge16),MAX(CapacityAge16*АбонементНовых*BI9,MeanMinAge16)))</f>
        <v/>
      </c>
      <c r="BJ89" s="4">
        <f>IF(OR(('03_Сеть'!BJ37-BJ35)=0,16&lt;=КаникулыРоялти),0,('03_Сеть'!BJ37-BJ35)*IF(РоялтиПоГруппам="Да",MeanMinAge16+BJ9*SUMIF(ThresholdAge16,"&lt;"&amp;BJ9,WeightedRevAge16)-SUMIF(ThresholdAge16,"&lt;"&amp;BJ9,WeightedMinAge16),MAX(CapacityAge16*АбонементНовых*BJ9,MeanMinAge16)))</f>
        <v/>
      </c>
      <c r="BK89" s="4">
        <f>IF(OR(('03_Сеть'!BK37-BK35)=0,16&lt;=КаникулыРоялти),0,('03_Сеть'!BK37-BK35)*IF(РоялтиПоГруппам="Да",MeanMinAge16+BK9*SUMIF(ThresholdAge16,"&lt;"&amp;BK9,WeightedRevAge16)-SUMIF(ThresholdAge16,"&lt;"&amp;BK9,WeightedMinAge16),MAX(CapacityAge16*АбонементНовых*BK9,MeanMinAge16)))</f>
        <v/>
      </c>
      <c r="BL89" s="4">
        <f>IF(OR(('03_Сеть'!BL37-BL35)=0,16&lt;=КаникулыРоялти),0,('03_Сеть'!BL37-BL35)*IF(РоялтиПоГруппам="Да",MeanMinAge16+BL9*SUMIF(ThresholdAge16,"&lt;"&amp;BL9,WeightedRevAge16)-SUMIF(ThresholdAge16,"&lt;"&amp;BL9,WeightedMinAge16),MAX(CapacityAge16*АбонементНовых*BL9,MeanMinAge16)))</f>
        <v/>
      </c>
      <c r="BM89" s="4">
        <f>IF(OR(('03_Сеть'!BM37-BM35)=0,16&lt;=КаникулыРоялти),0,('03_Сеть'!BM37-BM35)*IF(РоялтиПоГруппам="Да",MeanMinAge16+BM9*SUMIF(ThresholdAge16,"&lt;"&amp;BM9,WeightedRevAge16)-SUMIF(ThresholdAge16,"&lt;"&amp;BM9,WeightedMinAge16),MAX(CapacityAge16*АбонементНовых*BM9,MeanMinAge16)))</f>
        <v/>
      </c>
      <c r="BN89" s="4">
        <f>IF(OR(('03_Сеть'!BN37-BN35)=0,16&lt;=КаникулыРоялти),0,('03_Сеть'!BN37-BN35)*IF(РоялтиПоГруппам="Да",MeanMinAge16+BN9*SUMIF(ThresholdAge16,"&lt;"&amp;BN9,WeightedRevAge16)-SUMIF(ThresholdAge16,"&lt;"&amp;BN9,WeightedMinAge16),MAX(CapacityAge16*АбонементНовых*BN9,MeanMinAge16)))</f>
        <v/>
      </c>
      <c r="BO89" s="4">
        <f>IF(OR(('03_Сеть'!BO37-BO35)=0,16&lt;=КаникулыРоялти),0,('03_Сеть'!BO37-BO35)*IF(РоялтиПоГруппам="Да",MeanMinAge16+BO9*SUMIF(ThresholdAge16,"&lt;"&amp;BO9,WeightedRevAge16)-SUMIF(ThresholdAge16,"&lt;"&amp;BO9,WeightedMinAge16),MAX(CapacityAge16*АбонементНовых*BO9,MeanMinAge16)))</f>
        <v/>
      </c>
      <c r="BP89" s="4">
        <f>IF(OR(('03_Сеть'!BP37-BP35)=0,16&lt;=КаникулыРоялти),0,('03_Сеть'!BP37-BP35)*IF(РоялтиПоГруппам="Да",MeanMinAge16+BP9*SUMIF(ThresholdAge16,"&lt;"&amp;BP9,WeightedRevAge16)-SUMIF(ThresholdAge16,"&lt;"&amp;BP9,WeightedMinAge16),MAX(CapacityAge16*АбонементНовых*BP9,MeanMinAge16)))</f>
        <v/>
      </c>
      <c r="BQ89" s="4">
        <f>IF(OR(('03_Сеть'!BQ37-BQ35)=0,16&lt;=КаникулыРоялти),0,('03_Сеть'!BQ37-BQ35)*IF(РоялтиПоГруппам="Да",MeanMinAge16+BQ9*SUMIF(ThresholdAge16,"&lt;"&amp;BQ9,WeightedRevAge16)-SUMIF(ThresholdAge16,"&lt;"&amp;BQ9,WeightedMinAge16),MAX(CapacityAge16*АбонементНовых*BQ9,MeanMinAge16)))</f>
        <v/>
      </c>
      <c r="BR89" s="4">
        <f>IF(OR(('03_Сеть'!BR37-BR35)=0,16&lt;=КаникулыРоялти),0,('03_Сеть'!BR37-BR35)*IF(РоялтиПоГруппам="Да",MeanMinAge16+BR9*SUMIF(ThresholdAge16,"&lt;"&amp;BR9,WeightedRevAge16)-SUMIF(ThresholdAge16,"&lt;"&amp;BR9,WeightedMinAge16),MAX(CapacityAge16*АбонементНовых*BR9,MeanMinAge16)))</f>
        <v/>
      </c>
      <c r="BS89" s="4">
        <f>IF(OR(('03_Сеть'!BS37-BS35)=0,16&lt;=КаникулыРоялти),0,('03_Сеть'!BS37-BS35)*IF(РоялтиПоГруппам="Да",MeanMinAge16+BS9*SUMIF(ThresholdAge16,"&lt;"&amp;BS9,WeightedRevAge16)-SUMIF(ThresholdAge16,"&lt;"&amp;BS9,WeightedMinAge16),MAX(CapacityAge16*АбонементНовых*BS9,MeanMinAge16)))</f>
        <v/>
      </c>
      <c r="BT89" s="4">
        <f>IF(OR(('03_Сеть'!BT37-BT35)=0,16&lt;=КаникулыРоялти),0,('03_Сеть'!BT37-BT35)*IF(РоялтиПоГруппам="Да",MeanMinAge16+BT9*SUMIF(ThresholdAge16,"&lt;"&amp;BT9,WeightedRevAge16)-SUMIF(ThresholdAge16,"&lt;"&amp;BT9,WeightedMinAge16),MAX(CapacityAge16*АбонементНовых*BT9,MeanMinAge16)))</f>
        <v/>
      </c>
      <c r="BU89" s="4">
        <f>IF(OR(('03_Сеть'!BU37-BU35)=0,16&lt;=КаникулыРоялти),0,('03_Сеть'!BU37-BU35)*IF(РоялтиПоГруппам="Да",MeanMinAge16+BU9*SUMIF(ThresholdAge16,"&lt;"&amp;BU9,WeightedRevAge16)-SUMIF(ThresholdAge16,"&lt;"&amp;BU9,WeightedMinAge16),MAX(CapacityAge16*АбонементНовых*BU9,MeanMinAge16)))</f>
        <v/>
      </c>
      <c r="BV89" s="4">
        <f>IF(OR(('03_Сеть'!BV37-BV35)=0,16&lt;=КаникулыРоялти),0,('03_Сеть'!BV37-BV35)*IF(РоялтиПоГруппам="Да",MeanMinAge16+BV9*SUMIF(ThresholdAge16,"&lt;"&amp;BV9,WeightedRevAge16)-SUMIF(ThresholdAge16,"&lt;"&amp;BV9,WeightedMinAge16),MAX(CapacityAge16*АбонементНовых*BV9,MeanMinAge16)))</f>
        <v/>
      </c>
      <c r="BW89" s="4">
        <f>IF(OR(('03_Сеть'!BW37-BW35)=0,16&lt;=КаникулыРоялти),0,('03_Сеть'!BW37-BW35)*IF(РоялтиПоГруппам="Да",MeanMinAge16+BW9*SUMIF(ThresholdAge16,"&lt;"&amp;BW9,WeightedRevAge16)-SUMIF(ThresholdAge16,"&lt;"&amp;BW9,WeightedMinAge16),MAX(CapacityAge16*АбонементНовых*BW9,MeanMinAge16)))</f>
        <v/>
      </c>
      <c r="BX89" s="4">
        <f>IF(OR(('03_Сеть'!BX37-BX35)=0,16&lt;=КаникулыРоялти),0,('03_Сеть'!BX37-BX35)*IF(РоялтиПоГруппам="Да",MeanMinAge16+BX9*SUMIF(ThresholdAge16,"&lt;"&amp;BX9,WeightedRevAge16)-SUMIF(ThresholdAge16,"&lt;"&amp;BX9,WeightedMinAge16),MAX(CapacityAge16*АбонементНовых*BX9,MeanMinAge16)))</f>
        <v/>
      </c>
      <c r="BY89" s="4">
        <f>IF(OR(('03_Сеть'!BY37-BY35)=0,16&lt;=КаникулыРоялти),0,('03_Сеть'!BY37-BY35)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90">
      <c r="B90" t="inlineStr">
        <is>
          <t>17 мес.</t>
        </is>
      </c>
      <c r="C90" t="inlineStr">
        <is>
          <t>₽</t>
        </is>
      </c>
      <c r="D90" s="117" t="inlineStr"/>
      <c r="E90" s="119">
        <f>SUM(L90:W90)</f>
        <v/>
      </c>
      <c r="F90" s="119">
        <f>SUM(X90:AI90)</f>
        <v/>
      </c>
      <c r="G90" s="119">
        <f>SUM(AJ90:AU90)</f>
        <v/>
      </c>
      <c r="H90" s="119">
        <f>SUM(AV90:BG90)</f>
        <v/>
      </c>
      <c r="I90" s="119">
        <f>SUM(BH90:BS90)</f>
        <v/>
      </c>
      <c r="J90" s="5">
        <f>SUM(L90:BS90)</f>
        <v/>
      </c>
      <c r="L90" s="4">
        <f>IF(OR(('03_Сеть'!L38-L36)=0,17&lt;=КаникулыРоялти),0,('03_Сеть'!L38-L36)*IF(РоялтиПоГруппам="Да",MeanMinAge17+L9*SUMIF(ThresholdAge17,"&lt;"&amp;L9,WeightedRevAge17)-SUMIF(ThresholdAge17,"&lt;"&amp;L9,WeightedMinAge17),MAX(CapacityAge17*АбонементНовых*L9,MeanMinAge17)))</f>
        <v/>
      </c>
      <c r="M90" s="4">
        <f>IF(OR(('03_Сеть'!M38-M36)=0,17&lt;=КаникулыРоялти),0,('03_Сеть'!M38-M36)*IF(РоялтиПоГруппам="Да",MeanMinAge17+M9*SUMIF(ThresholdAge17,"&lt;"&amp;M9,WeightedRevAge17)-SUMIF(ThresholdAge17,"&lt;"&amp;M9,WeightedMinAge17),MAX(CapacityAge17*АбонементНовых*M9,MeanMinAge17)))</f>
        <v/>
      </c>
      <c r="N90" s="4">
        <f>IF(OR(('03_Сеть'!N38-N36)=0,17&lt;=КаникулыРоялти),0,('03_Сеть'!N38-N36)*IF(РоялтиПоГруппам="Да",MeanMinAge17+N9*SUMIF(ThresholdAge17,"&lt;"&amp;N9,WeightedRevAge17)-SUMIF(ThresholdAge17,"&lt;"&amp;N9,WeightedMinAge17),MAX(CapacityAge17*АбонементНовых*N9,MeanMinAge17)))</f>
        <v/>
      </c>
      <c r="O90" s="4">
        <f>IF(OR(('03_Сеть'!O38-O36)=0,17&lt;=КаникулыРоялти),0,('03_Сеть'!O38-O36)*IF(РоялтиПоГруппам="Да",MeanMinAge17+O9*SUMIF(ThresholdAge17,"&lt;"&amp;O9,WeightedRevAge17)-SUMIF(ThresholdAge17,"&lt;"&amp;O9,WeightedMinAge17),MAX(CapacityAge17*АбонементНовых*O9,MeanMinAge17)))</f>
        <v/>
      </c>
      <c r="P90" s="4">
        <f>IF(OR(('03_Сеть'!P38-P36)=0,17&lt;=КаникулыРоялти),0,('03_Сеть'!P38-P36)*IF(РоялтиПоГруппам="Да",MeanMinAge17+P9*SUMIF(ThresholdAge17,"&lt;"&amp;P9,WeightedRevAge17)-SUMIF(ThresholdAge17,"&lt;"&amp;P9,WeightedMinAge17),MAX(CapacityAge17*АбонементНовых*P9,MeanMinAge17)))</f>
        <v/>
      </c>
      <c r="Q90" s="4">
        <f>IF(OR(('03_Сеть'!Q38-Q36)=0,17&lt;=КаникулыРоялти),0,('03_Сеть'!Q38-Q36)*IF(РоялтиПоГруппам="Да",MeanMinAge17+Q9*SUMIF(ThresholdAge17,"&lt;"&amp;Q9,WeightedRevAge17)-SUMIF(ThresholdAge17,"&lt;"&amp;Q9,WeightedMinAge17),MAX(CapacityAge17*АбонементНовых*Q9,MeanMinAge17)))</f>
        <v/>
      </c>
      <c r="R90" s="4">
        <f>IF(OR(('03_Сеть'!R38-R36)=0,17&lt;=КаникулыРоялти),0,('03_Сеть'!R38-R36)*IF(РоялтиПоГруппам="Да",MeanMinAge17+R9*SUMIF(ThresholdAge17,"&lt;"&amp;R9,WeightedRevAge17)-SUMIF(ThresholdAge17,"&lt;"&amp;R9,WeightedMinAge17),MAX(CapacityAge17*АбонементНовых*R9,MeanMinAge17)))</f>
        <v/>
      </c>
      <c r="S90" s="4">
        <f>IF(OR(('03_Сеть'!S38-S36)=0,17&lt;=КаникулыРоялти),0,('03_Сеть'!S38-S36)*IF(РоялтиПоГруппам="Да",MeanMinAge17+S9*SUMIF(ThresholdAge17,"&lt;"&amp;S9,WeightedRevAge17)-SUMIF(ThresholdAge17,"&lt;"&amp;S9,WeightedMinAge17),MAX(CapacityAge17*АбонементНовых*S9,MeanMinAge17)))</f>
        <v/>
      </c>
      <c r="T90" s="4">
        <f>IF(OR(('03_Сеть'!T38-T36)=0,17&lt;=КаникулыРоялти),0,('03_Сеть'!T38-T36)*IF(РоялтиПоГруппам="Да",MeanMinAge17+T9*SUMIF(ThresholdAge17,"&lt;"&amp;T9,WeightedRevAge17)-SUMIF(ThresholdAge17,"&lt;"&amp;T9,WeightedMinAge17),MAX(CapacityAge17*АбонементНовых*T9,MeanMinAge17)))</f>
        <v/>
      </c>
      <c r="U90" s="4">
        <f>IF(OR(('03_Сеть'!U38-U36)=0,17&lt;=КаникулыРоялти),0,('03_Сеть'!U38-U36)*IF(РоялтиПоГруппам="Да",MeanMinAge17+U9*SUMIF(ThresholdAge17,"&lt;"&amp;U9,WeightedRevAge17)-SUMIF(ThresholdAge17,"&lt;"&amp;U9,WeightedMinAge17),MAX(CapacityAge17*АбонементНовых*U9,MeanMinAge17)))</f>
        <v/>
      </c>
      <c r="V90" s="4">
        <f>IF(OR(('03_Сеть'!V38-V36)=0,17&lt;=КаникулыРоялти),0,('03_Сеть'!V38-V36)*IF(РоялтиПоГруппам="Да",MeanMinAge17+V9*SUMIF(ThresholdAge17,"&lt;"&amp;V9,WeightedRevAge17)-SUMIF(ThresholdAge17,"&lt;"&amp;V9,WeightedMinAge17),MAX(CapacityAge17*АбонементНовых*V9,MeanMinAge17)))</f>
        <v/>
      </c>
      <c r="W90" s="4">
        <f>IF(OR(('03_Сеть'!W38-W36)=0,17&lt;=КаникулыРоялти),0,('03_Сеть'!W38-W36)*IF(РоялтиПоГруппам="Да",MeanMinAge17+W9*SUMIF(ThresholdAge17,"&lt;"&amp;W9,WeightedRevAge17)-SUMIF(ThresholdAge17,"&lt;"&amp;W9,WeightedMinAge17),MAX(CapacityAge17*АбонементНовых*W9,MeanMinAge17)))</f>
        <v/>
      </c>
      <c r="X90" s="4">
        <f>IF(OR(('03_Сеть'!X38-X36)=0,17&lt;=КаникулыРоялти),0,('03_Сеть'!X38-X36)*IF(РоялтиПоГруппам="Да",MeanMinAge17+X9*SUMIF(ThresholdAge17,"&lt;"&amp;X9,WeightedRevAge17)-SUMIF(ThresholdAge17,"&lt;"&amp;X9,WeightedMinAge17),MAX(CapacityAge17*АбонементНовых*X9,MeanMinAge17)))</f>
        <v/>
      </c>
      <c r="Y90" s="4">
        <f>IF(OR(('03_Сеть'!Y38-Y36)=0,17&lt;=КаникулыРоялти),0,('03_Сеть'!Y38-Y36)*IF(РоялтиПоГруппам="Да",MeanMinAge17+Y9*SUMIF(ThresholdAge17,"&lt;"&amp;Y9,WeightedRevAge17)-SUMIF(ThresholdAge17,"&lt;"&amp;Y9,WeightedMinAge17),MAX(CapacityAge17*АбонементНовых*Y9,MeanMinAge17)))</f>
        <v/>
      </c>
      <c r="Z90" s="4">
        <f>IF(OR(('03_Сеть'!Z38-Z36)=0,17&lt;=КаникулыРоялти),0,('03_Сеть'!Z38-Z36)*IF(РоялтиПоГруппам="Да",MeanMinAge17+Z9*SUMIF(ThresholdAge17,"&lt;"&amp;Z9,WeightedRevAge17)-SUMIF(ThresholdAge17,"&lt;"&amp;Z9,WeightedMinAge17),MAX(CapacityAge17*АбонементНовых*Z9,MeanMinAge17)))</f>
        <v/>
      </c>
      <c r="AA90" s="4">
        <f>IF(OR(('03_Сеть'!AA38-AA36)=0,17&lt;=КаникулыРоялти),0,('03_Сеть'!AA38-AA36)*IF(РоялтиПоГруппам="Да",MeanMinAge17+AA9*SUMIF(ThresholdAge17,"&lt;"&amp;AA9,WeightedRevAge17)-SUMIF(ThresholdAge17,"&lt;"&amp;AA9,WeightedMinAge17),MAX(CapacityAge17*АбонементНовых*AA9,MeanMinAge17)))</f>
        <v/>
      </c>
      <c r="AB90" s="4">
        <f>IF(OR(('03_Сеть'!AB38-AB36)=0,17&lt;=КаникулыРоялти),0,('03_Сеть'!AB38-AB36)*IF(РоялтиПоГруппам="Да",MeanMinAge17+AB9*SUMIF(ThresholdAge17,"&lt;"&amp;AB9,WeightedRevAge17)-SUMIF(ThresholdAge17,"&lt;"&amp;AB9,WeightedMinAge17),MAX(CapacityAge17*АбонементНовых*AB9,MeanMinAge17)))</f>
        <v/>
      </c>
      <c r="AC90" s="4">
        <f>IF(OR(('03_Сеть'!AC38-AC36)=0,17&lt;=КаникулыРоялти),0,('03_Сеть'!AC38-AC36)*IF(РоялтиПоГруппам="Да",MeanMinAge17+AC9*SUMIF(ThresholdAge17,"&lt;"&amp;AC9,WeightedRevAge17)-SUMIF(ThresholdAge17,"&lt;"&amp;AC9,WeightedMinAge17),MAX(CapacityAge17*АбонементНовых*AC9,MeanMinAge17)))</f>
        <v/>
      </c>
      <c r="AD90" s="4">
        <f>IF(OR(('03_Сеть'!AD38-AD36)=0,17&lt;=КаникулыРоялти),0,('03_Сеть'!AD38-AD36)*IF(РоялтиПоГруппам="Да",MeanMinAge17+AD9*SUMIF(ThresholdAge17,"&lt;"&amp;AD9,WeightedRevAge17)-SUMIF(ThresholdAge17,"&lt;"&amp;AD9,WeightedMinAge17),MAX(CapacityAge17*АбонементНовых*AD9,MeanMinAge17)))</f>
        <v/>
      </c>
      <c r="AE90" s="4">
        <f>IF(OR(('03_Сеть'!AE38-AE36)=0,17&lt;=КаникулыРоялти),0,('03_Сеть'!AE38-AE36)*IF(РоялтиПоГруппам="Да",MeanMinAge17+AE9*SUMIF(ThresholdAge17,"&lt;"&amp;AE9,WeightedRevAge17)-SUMIF(ThresholdAge17,"&lt;"&amp;AE9,WeightedMinAge17),MAX(CapacityAge17*АбонементНовых*AE9,MeanMinAge17)))</f>
        <v/>
      </c>
      <c r="AF90" s="4">
        <f>IF(OR(('03_Сеть'!AF38-AF36)=0,17&lt;=КаникулыРоялти),0,('03_Сеть'!AF38-AF36)*IF(РоялтиПоГруппам="Да",MeanMinAge17+AF9*SUMIF(ThresholdAge17,"&lt;"&amp;AF9,WeightedRevAge17)-SUMIF(ThresholdAge17,"&lt;"&amp;AF9,WeightedMinAge17),MAX(CapacityAge17*АбонементНовых*AF9,MeanMinAge17)))</f>
        <v/>
      </c>
      <c r="AG90" s="4">
        <f>IF(OR(('03_Сеть'!AG38-AG36)=0,17&lt;=КаникулыРоялти),0,('03_Сеть'!AG38-AG36)*IF(РоялтиПоГруппам="Да",MeanMinAge17+AG9*SUMIF(ThresholdAge17,"&lt;"&amp;AG9,WeightedRevAge17)-SUMIF(ThresholdAge17,"&lt;"&amp;AG9,WeightedMinAge17),MAX(CapacityAge17*АбонементНовых*AG9,MeanMinAge17)))</f>
        <v/>
      </c>
      <c r="AH90" s="4">
        <f>IF(OR(('03_Сеть'!AH38-AH36)=0,17&lt;=КаникулыРоялти),0,('03_Сеть'!AH38-AH36)*IF(РоялтиПоГруппам="Да",MeanMinAge17+AH9*SUMIF(ThresholdAge17,"&lt;"&amp;AH9,WeightedRevAge17)-SUMIF(ThresholdAge17,"&lt;"&amp;AH9,WeightedMinAge17),MAX(CapacityAge17*АбонементНовых*AH9,MeanMinAge17)))</f>
        <v/>
      </c>
      <c r="AI90" s="4">
        <f>IF(OR(('03_Сеть'!AI38-AI36)=0,17&lt;=КаникулыРоялти),0,('03_Сеть'!AI38-AI36)*IF(РоялтиПоГруппам="Да",MeanMinAge17+AI9*SUMIF(ThresholdAge17,"&lt;"&amp;AI9,WeightedRevAge17)-SUMIF(ThresholdAge17,"&lt;"&amp;AI9,WeightedMinAge17),MAX(CapacityAge17*АбонементНовых*AI9,MeanMinAge17)))</f>
        <v/>
      </c>
      <c r="AJ90" s="4">
        <f>IF(OR(('03_Сеть'!AJ38-AJ36)=0,17&lt;=КаникулыРоялти),0,('03_Сеть'!AJ38-AJ36)*IF(РоялтиПоГруппам="Да",MeanMinAge17+AJ9*SUMIF(ThresholdAge17,"&lt;"&amp;AJ9,WeightedRevAge17)-SUMIF(ThresholdAge17,"&lt;"&amp;AJ9,WeightedMinAge17),MAX(CapacityAge17*АбонементНовых*AJ9,MeanMinAge17)))</f>
        <v/>
      </c>
      <c r="AK90" s="4">
        <f>IF(OR(('03_Сеть'!AK38-AK36)=0,17&lt;=КаникулыРоялти),0,('03_Сеть'!AK38-AK36)*IF(РоялтиПоГруппам="Да",MeanMinAge17+AK9*SUMIF(ThresholdAge17,"&lt;"&amp;AK9,WeightedRevAge17)-SUMIF(ThresholdAge17,"&lt;"&amp;AK9,WeightedMinAge17),MAX(CapacityAge17*АбонементНовых*AK9,MeanMinAge17)))</f>
        <v/>
      </c>
      <c r="AL90" s="4">
        <f>IF(OR(('03_Сеть'!AL38-AL36)=0,17&lt;=КаникулыРоялти),0,('03_Сеть'!AL38-AL36)*IF(РоялтиПоГруппам="Да",MeanMinAge17+AL9*SUMIF(ThresholdAge17,"&lt;"&amp;AL9,WeightedRevAge17)-SUMIF(ThresholdAge17,"&lt;"&amp;AL9,WeightedMinAge17),MAX(CapacityAge17*АбонементНовых*AL9,MeanMinAge17)))</f>
        <v/>
      </c>
      <c r="AM90" s="4">
        <f>IF(OR(('03_Сеть'!AM38-AM36)=0,17&lt;=КаникулыРоялти),0,('03_Сеть'!AM38-AM36)*IF(РоялтиПоГруппам="Да",MeanMinAge17+AM9*SUMIF(ThresholdAge17,"&lt;"&amp;AM9,WeightedRevAge17)-SUMIF(ThresholdAge17,"&lt;"&amp;AM9,WeightedMinAge17),MAX(CapacityAge17*АбонементНовых*AM9,MeanMinAge17)))</f>
        <v/>
      </c>
      <c r="AN90" s="4">
        <f>IF(OR(('03_Сеть'!AN38-AN36)=0,17&lt;=КаникулыРоялти),0,('03_Сеть'!AN38-AN36)*IF(РоялтиПоГруппам="Да",MeanMinAge17+AN9*SUMIF(ThresholdAge17,"&lt;"&amp;AN9,WeightedRevAge17)-SUMIF(ThresholdAge17,"&lt;"&amp;AN9,WeightedMinAge17),MAX(CapacityAge17*АбонементНовых*AN9,MeanMinAge17)))</f>
        <v/>
      </c>
      <c r="AO90" s="4">
        <f>IF(OR(('03_Сеть'!AO38-AO36)=0,17&lt;=КаникулыРоялти),0,('03_Сеть'!AO38-AO36)*IF(РоялтиПоГруппам="Да",MeanMinAge17+AO9*SUMIF(ThresholdAge17,"&lt;"&amp;AO9,WeightedRevAge17)-SUMIF(ThresholdAge17,"&lt;"&amp;AO9,WeightedMinAge17),MAX(CapacityAge17*АбонементНовых*AO9,MeanMinAge17)))</f>
        <v/>
      </c>
      <c r="AP90" s="4">
        <f>IF(OR(('03_Сеть'!AP38-AP36)=0,17&lt;=КаникулыРоялти),0,('03_Сеть'!AP38-AP36)*IF(РоялтиПоГруппам="Да",MeanMinAge17+AP9*SUMIF(ThresholdAge17,"&lt;"&amp;AP9,WeightedRevAge17)-SUMIF(ThresholdAge17,"&lt;"&amp;AP9,WeightedMinAge17),MAX(CapacityAge17*АбонементНовых*AP9,MeanMinAge17)))</f>
        <v/>
      </c>
      <c r="AQ90" s="4">
        <f>IF(OR(('03_Сеть'!AQ38-AQ36)=0,17&lt;=КаникулыРоялти),0,('03_Сеть'!AQ38-AQ36)*IF(РоялтиПоГруппам="Да",MeanMinAge17+AQ9*SUMIF(ThresholdAge17,"&lt;"&amp;AQ9,WeightedRevAge17)-SUMIF(ThresholdAge17,"&lt;"&amp;AQ9,WeightedMinAge17),MAX(CapacityAge17*АбонементНовых*AQ9,MeanMinAge17)))</f>
        <v/>
      </c>
      <c r="AR90" s="4">
        <f>IF(OR(('03_Сеть'!AR38-AR36)=0,17&lt;=КаникулыРоялти),0,('03_Сеть'!AR38-AR36)*IF(РоялтиПоГруппам="Да",MeanMinAge17+AR9*SUMIF(ThresholdAge17,"&lt;"&amp;AR9,WeightedRevAge17)-SUMIF(ThresholdAge17,"&lt;"&amp;AR9,WeightedMinAge17),MAX(CapacityAge17*АбонементНовых*AR9,MeanMinAge17)))</f>
        <v/>
      </c>
      <c r="AS90" s="4">
        <f>IF(OR(('03_Сеть'!AS38-AS36)=0,17&lt;=КаникулыРоялти),0,('03_Сеть'!AS38-AS36)*IF(РоялтиПоГруппам="Да",MeanMinAge17+AS9*SUMIF(ThresholdAge17,"&lt;"&amp;AS9,WeightedRevAge17)-SUMIF(ThresholdAge17,"&lt;"&amp;AS9,WeightedMinAge17),MAX(CapacityAge17*АбонементНовых*AS9,MeanMinAge17)))</f>
        <v/>
      </c>
      <c r="AT90" s="4">
        <f>IF(OR(('03_Сеть'!AT38-AT36)=0,17&lt;=КаникулыРоялти),0,('03_Сеть'!AT38-AT36)*IF(РоялтиПоГруппам="Да",MeanMinAge17+AT9*SUMIF(ThresholdAge17,"&lt;"&amp;AT9,WeightedRevAge17)-SUMIF(ThresholdAge17,"&lt;"&amp;AT9,WeightedMinAge17),MAX(CapacityAge17*АбонементНовых*AT9,MeanMinAge17)))</f>
        <v/>
      </c>
      <c r="AU90" s="4">
        <f>IF(OR(('03_Сеть'!AU38-AU36)=0,17&lt;=КаникулыРоялти),0,('03_Сеть'!AU38-AU36)*IF(РоялтиПоГруппам="Да",MeanMinAge17+AU9*SUMIF(ThresholdAge17,"&lt;"&amp;AU9,WeightedRevAge17)-SUMIF(ThresholdAge17,"&lt;"&amp;AU9,WeightedMinAge17),MAX(CapacityAge17*АбонементНовых*AU9,MeanMinAge17)))</f>
        <v/>
      </c>
      <c r="AV90" s="4">
        <f>IF(OR(('03_Сеть'!AV38-AV36)=0,17&lt;=КаникулыРоялти),0,('03_Сеть'!AV38-AV36)*IF(РоялтиПоГруппам="Да",MeanMinAge17+AV9*SUMIF(ThresholdAge17,"&lt;"&amp;AV9,WeightedRevAge17)-SUMIF(ThresholdAge17,"&lt;"&amp;AV9,WeightedMinAge17),MAX(CapacityAge17*АбонементНовых*AV9,MeanMinAge17)))</f>
        <v/>
      </c>
      <c r="AW90" s="4">
        <f>IF(OR(('03_Сеть'!AW38-AW36)=0,17&lt;=КаникулыРоялти),0,('03_Сеть'!AW38-AW36)*IF(РоялтиПоГруппам="Да",MeanMinAge17+AW9*SUMIF(ThresholdAge17,"&lt;"&amp;AW9,WeightedRevAge17)-SUMIF(ThresholdAge17,"&lt;"&amp;AW9,WeightedMinAge17),MAX(CapacityAge17*АбонементНовых*AW9,MeanMinAge17)))</f>
        <v/>
      </c>
      <c r="AX90" s="4">
        <f>IF(OR(('03_Сеть'!AX38-AX36)=0,17&lt;=КаникулыРоялти),0,('03_Сеть'!AX38-AX36)*IF(РоялтиПоГруппам="Да",MeanMinAge17+AX9*SUMIF(ThresholdAge17,"&lt;"&amp;AX9,WeightedRevAge17)-SUMIF(ThresholdAge17,"&lt;"&amp;AX9,WeightedMinAge17),MAX(CapacityAge17*АбонементНовых*AX9,MeanMinAge17)))</f>
        <v/>
      </c>
      <c r="AY90" s="4">
        <f>IF(OR(('03_Сеть'!AY38-AY36)=0,17&lt;=КаникулыРоялти),0,('03_Сеть'!AY38-AY36)*IF(РоялтиПоГруппам="Да",MeanMinAge17+AY9*SUMIF(ThresholdAge17,"&lt;"&amp;AY9,WeightedRevAge17)-SUMIF(ThresholdAge17,"&lt;"&amp;AY9,WeightedMinAge17),MAX(CapacityAge17*АбонементНовых*AY9,MeanMinAge17)))</f>
        <v/>
      </c>
      <c r="AZ90" s="4">
        <f>IF(OR(('03_Сеть'!AZ38-AZ36)=0,17&lt;=КаникулыРоялти),0,('03_Сеть'!AZ38-AZ36)*IF(РоялтиПоГруппам="Да",MeanMinAge17+AZ9*SUMIF(ThresholdAge17,"&lt;"&amp;AZ9,WeightedRevAge17)-SUMIF(ThresholdAge17,"&lt;"&amp;AZ9,WeightedMinAge17),MAX(CapacityAge17*АбонементНовых*AZ9,MeanMinAge17)))</f>
        <v/>
      </c>
      <c r="BA90" s="4">
        <f>IF(OR(('03_Сеть'!BA38-BA36)=0,17&lt;=КаникулыРоялти),0,('03_Сеть'!BA38-BA36)*IF(РоялтиПоГруппам="Да",MeanMinAge17+BA9*SUMIF(ThresholdAge17,"&lt;"&amp;BA9,WeightedRevAge17)-SUMIF(ThresholdAge17,"&lt;"&amp;BA9,WeightedMinAge17),MAX(CapacityAge17*АбонементНовых*BA9,MeanMinAge17)))</f>
        <v/>
      </c>
      <c r="BB90" s="4">
        <f>IF(OR(('03_Сеть'!BB38-BB36)=0,17&lt;=КаникулыРоялти),0,('03_Сеть'!BB38-BB36)*IF(РоялтиПоГруппам="Да",MeanMinAge17+BB9*SUMIF(ThresholdAge17,"&lt;"&amp;BB9,WeightedRevAge17)-SUMIF(ThresholdAge17,"&lt;"&amp;BB9,WeightedMinAge17),MAX(CapacityAge17*АбонементНовых*BB9,MeanMinAge17)))</f>
        <v/>
      </c>
      <c r="BC90" s="4">
        <f>IF(OR(('03_Сеть'!BC38-BC36)=0,17&lt;=КаникулыРоялти),0,('03_Сеть'!BC38-BC36)*IF(РоялтиПоГруппам="Да",MeanMinAge17+BC9*SUMIF(ThresholdAge17,"&lt;"&amp;BC9,WeightedRevAge17)-SUMIF(ThresholdAge17,"&lt;"&amp;BC9,WeightedMinAge17),MAX(CapacityAge17*АбонементНовых*BC9,MeanMinAge17)))</f>
        <v/>
      </c>
      <c r="BD90" s="4">
        <f>IF(OR(('03_Сеть'!BD38-BD36)=0,17&lt;=КаникулыРоялти),0,('03_Сеть'!BD38-BD36)*IF(РоялтиПоГруппам="Да",MeanMinAge17+BD9*SUMIF(ThresholdAge17,"&lt;"&amp;BD9,WeightedRevAge17)-SUMIF(ThresholdAge17,"&lt;"&amp;BD9,WeightedMinAge17),MAX(CapacityAge17*АбонементНовых*BD9,MeanMinAge17)))</f>
        <v/>
      </c>
      <c r="BE90" s="4">
        <f>IF(OR(('03_Сеть'!BE38-BE36)=0,17&lt;=КаникулыРоялти),0,('03_Сеть'!BE38-BE36)*IF(РоялтиПоГруппам="Да",MeanMinAge17+BE9*SUMIF(ThresholdAge17,"&lt;"&amp;BE9,WeightedRevAge17)-SUMIF(ThresholdAge17,"&lt;"&amp;BE9,WeightedMinAge17),MAX(CapacityAge17*АбонементНовых*BE9,MeanMinAge17)))</f>
        <v/>
      </c>
      <c r="BF90" s="4">
        <f>IF(OR(('03_Сеть'!BF38-BF36)=0,17&lt;=КаникулыРоялти),0,('03_Сеть'!BF38-BF36)*IF(РоялтиПоГруппам="Да",MeanMinAge17+BF9*SUMIF(ThresholdAge17,"&lt;"&amp;BF9,WeightedRevAge17)-SUMIF(ThresholdAge17,"&lt;"&amp;BF9,WeightedMinAge17),MAX(CapacityAge17*АбонементНовых*BF9,MeanMinAge17)))</f>
        <v/>
      </c>
      <c r="BG90" s="4">
        <f>IF(OR(('03_Сеть'!BG38-BG36)=0,17&lt;=КаникулыРоялти),0,('03_Сеть'!BG38-BG36)*IF(РоялтиПоГруппам="Да",MeanMinAge17+BG9*SUMIF(ThresholdAge17,"&lt;"&amp;BG9,WeightedRevAge17)-SUMIF(ThresholdAge17,"&lt;"&amp;BG9,WeightedMinAge17),MAX(CapacityAge17*АбонементНовых*BG9,MeanMinAge17)))</f>
        <v/>
      </c>
      <c r="BH90" s="4">
        <f>IF(OR(('03_Сеть'!BH38-BH36)=0,17&lt;=КаникулыРоялти),0,('03_Сеть'!BH38-BH36)*IF(РоялтиПоГруппам="Да",MeanMinAge17+BH9*SUMIF(ThresholdAge17,"&lt;"&amp;BH9,WeightedRevAge17)-SUMIF(ThresholdAge17,"&lt;"&amp;BH9,WeightedMinAge17),MAX(CapacityAge17*АбонементНовых*BH9,MeanMinAge17)))</f>
        <v/>
      </c>
      <c r="BI90" s="4">
        <f>IF(OR(('03_Сеть'!BI38-BI36)=0,17&lt;=КаникулыРоялти),0,('03_Сеть'!BI38-BI36)*IF(РоялтиПоГруппам="Да",MeanMinAge17+BI9*SUMIF(ThresholdAge17,"&lt;"&amp;BI9,WeightedRevAge17)-SUMIF(ThresholdAge17,"&lt;"&amp;BI9,WeightedMinAge17),MAX(CapacityAge17*АбонементНовых*BI9,MeanMinAge17)))</f>
        <v/>
      </c>
      <c r="BJ90" s="4">
        <f>IF(OR(('03_Сеть'!BJ38-BJ36)=0,17&lt;=КаникулыРоялти),0,('03_Сеть'!BJ38-BJ36)*IF(РоялтиПоГруппам="Да",MeanMinAge17+BJ9*SUMIF(ThresholdAge17,"&lt;"&amp;BJ9,WeightedRevAge17)-SUMIF(ThresholdAge17,"&lt;"&amp;BJ9,WeightedMinAge17),MAX(CapacityAge17*АбонементНовых*BJ9,MeanMinAge17)))</f>
        <v/>
      </c>
      <c r="BK90" s="4">
        <f>IF(OR(('03_Сеть'!BK38-BK36)=0,17&lt;=КаникулыРоялти),0,('03_Сеть'!BK38-BK36)*IF(РоялтиПоГруппам="Да",MeanMinAge17+BK9*SUMIF(ThresholdAge17,"&lt;"&amp;BK9,WeightedRevAge17)-SUMIF(ThresholdAge17,"&lt;"&amp;BK9,WeightedMinAge17),MAX(CapacityAge17*АбонементНовых*BK9,MeanMinAge17)))</f>
        <v/>
      </c>
      <c r="BL90" s="4">
        <f>IF(OR(('03_Сеть'!BL38-BL36)=0,17&lt;=КаникулыРоялти),0,('03_Сеть'!BL38-BL36)*IF(РоялтиПоГруппам="Да",MeanMinAge17+BL9*SUMIF(ThresholdAge17,"&lt;"&amp;BL9,WeightedRevAge17)-SUMIF(ThresholdAge17,"&lt;"&amp;BL9,WeightedMinAge17),MAX(CapacityAge17*АбонементНовых*BL9,MeanMinAge17)))</f>
        <v/>
      </c>
      <c r="BM90" s="4">
        <f>IF(OR(('03_Сеть'!BM38-BM36)=0,17&lt;=КаникулыРоялти),0,('03_Сеть'!BM38-BM36)*IF(РоялтиПоГруппам="Да",MeanMinAge17+BM9*SUMIF(ThresholdAge17,"&lt;"&amp;BM9,WeightedRevAge17)-SUMIF(ThresholdAge17,"&lt;"&amp;BM9,WeightedMinAge17),MAX(CapacityAge17*АбонементНовых*BM9,MeanMinAge17)))</f>
        <v/>
      </c>
      <c r="BN90" s="4">
        <f>IF(OR(('03_Сеть'!BN38-BN36)=0,17&lt;=КаникулыРоялти),0,('03_Сеть'!BN38-BN36)*IF(РоялтиПоГруппам="Да",MeanMinAge17+BN9*SUMIF(ThresholdAge17,"&lt;"&amp;BN9,WeightedRevAge17)-SUMIF(ThresholdAge17,"&lt;"&amp;BN9,WeightedMinAge17),MAX(CapacityAge17*АбонементНовых*BN9,MeanMinAge17)))</f>
        <v/>
      </c>
      <c r="BO90" s="4">
        <f>IF(OR(('03_Сеть'!BO38-BO36)=0,17&lt;=КаникулыРоялти),0,('03_Сеть'!BO38-BO36)*IF(РоялтиПоГруппам="Да",MeanMinAge17+BO9*SUMIF(ThresholdAge17,"&lt;"&amp;BO9,WeightedRevAge17)-SUMIF(ThresholdAge17,"&lt;"&amp;BO9,WeightedMinAge17),MAX(CapacityAge17*АбонементНовых*BO9,MeanMinAge17)))</f>
        <v/>
      </c>
      <c r="BP90" s="4">
        <f>IF(OR(('03_Сеть'!BP38-BP36)=0,17&lt;=КаникулыРоялти),0,('03_Сеть'!BP38-BP36)*IF(РоялтиПоГруппам="Да",MeanMinAge17+BP9*SUMIF(ThresholdAge17,"&lt;"&amp;BP9,WeightedRevAge17)-SUMIF(ThresholdAge17,"&lt;"&amp;BP9,WeightedMinAge17),MAX(CapacityAge17*АбонементНовых*BP9,MeanMinAge17)))</f>
        <v/>
      </c>
      <c r="BQ90" s="4">
        <f>IF(OR(('03_Сеть'!BQ38-BQ36)=0,17&lt;=КаникулыРоялти),0,('03_Сеть'!BQ38-BQ36)*IF(РоялтиПоГруппам="Да",MeanMinAge17+BQ9*SUMIF(ThresholdAge17,"&lt;"&amp;BQ9,WeightedRevAge17)-SUMIF(ThresholdAge17,"&lt;"&amp;BQ9,WeightedMinAge17),MAX(CapacityAge17*АбонементНовых*BQ9,MeanMinAge17)))</f>
        <v/>
      </c>
      <c r="BR90" s="4">
        <f>IF(OR(('03_Сеть'!BR38-BR36)=0,17&lt;=КаникулыРоялти),0,('03_Сеть'!BR38-BR36)*IF(РоялтиПоГруппам="Да",MeanMinAge17+BR9*SUMIF(ThresholdAge17,"&lt;"&amp;BR9,WeightedRevAge17)-SUMIF(ThresholdAge17,"&lt;"&amp;BR9,WeightedMinAge17),MAX(CapacityAge17*АбонементНовых*BR9,MeanMinAge17)))</f>
        <v/>
      </c>
      <c r="BS90" s="4">
        <f>IF(OR(('03_Сеть'!BS38-BS36)=0,17&lt;=КаникулыРоялти),0,('03_Сеть'!BS38-BS36)*IF(РоялтиПоГруппам="Да",MeanMinAge17+BS9*SUMIF(ThresholdAge17,"&lt;"&amp;BS9,WeightedRevAge17)-SUMIF(ThresholdAge17,"&lt;"&amp;BS9,WeightedMinAge17),MAX(CapacityAge17*АбонементНовых*BS9,MeanMinAge17)))</f>
        <v/>
      </c>
      <c r="BT90" s="4">
        <f>IF(OR(('03_Сеть'!BT38-BT36)=0,17&lt;=КаникулыРоялти),0,('03_Сеть'!BT38-BT36)*IF(РоялтиПоГруппам="Да",MeanMinAge17+BT9*SUMIF(ThresholdAge17,"&lt;"&amp;BT9,WeightedRevAge17)-SUMIF(ThresholdAge17,"&lt;"&amp;BT9,WeightedMinAge17),MAX(CapacityAge17*АбонементНовых*BT9,MeanMinAge17)))</f>
        <v/>
      </c>
      <c r="BU90" s="4">
        <f>IF(OR(('03_Сеть'!BU38-BU36)=0,17&lt;=КаникулыРоялти),0,('03_Сеть'!BU38-BU36)*IF(РоялтиПоГруппам="Да",MeanMinAge17+BU9*SUMIF(ThresholdAge17,"&lt;"&amp;BU9,WeightedRevAge17)-SUMIF(ThresholdAge17,"&lt;"&amp;BU9,WeightedMinAge17),MAX(CapacityAge17*АбонементНовых*BU9,MeanMinAge17)))</f>
        <v/>
      </c>
      <c r="BV90" s="4">
        <f>IF(OR(('03_Сеть'!BV38-BV36)=0,17&lt;=КаникулыРоялти),0,('03_Сеть'!BV38-BV36)*IF(РоялтиПоГруппам="Да",MeanMinAge17+BV9*SUMIF(ThresholdAge17,"&lt;"&amp;BV9,WeightedRevAge17)-SUMIF(ThresholdAge17,"&lt;"&amp;BV9,WeightedMinAge17),MAX(CapacityAge17*АбонементНовых*BV9,MeanMinAge17)))</f>
        <v/>
      </c>
      <c r="BW90" s="4">
        <f>IF(OR(('03_Сеть'!BW38-BW36)=0,17&lt;=КаникулыРоялти),0,('03_Сеть'!BW38-BW36)*IF(РоялтиПоГруппам="Да",MeanMinAge17+BW9*SUMIF(ThresholdAge17,"&lt;"&amp;BW9,WeightedRevAge17)-SUMIF(ThresholdAge17,"&lt;"&amp;BW9,WeightedMinAge17),MAX(CapacityAge17*АбонементНовых*BW9,MeanMinAge17)))</f>
        <v/>
      </c>
      <c r="BX90" s="4">
        <f>IF(OR(('03_Сеть'!BX38-BX36)=0,17&lt;=КаникулыРоялти),0,('03_Сеть'!BX38-BX36)*IF(РоялтиПоГруппам="Да",MeanMinAge17+BX9*SUMIF(ThresholdAge17,"&lt;"&amp;BX9,WeightedRevAge17)-SUMIF(ThresholdAge17,"&lt;"&amp;BX9,WeightedMinAge17),MAX(CapacityAge17*АбонементНовых*BX9,MeanMinAge17)))</f>
        <v/>
      </c>
      <c r="BY90" s="4">
        <f>IF(OR(('03_Сеть'!BY38-BY36)=0,17&lt;=КаникулыРоялти),0,('03_Сеть'!BY38-BY36)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91">
      <c r="B91" t="inlineStr">
        <is>
          <t>18 мес.</t>
        </is>
      </c>
      <c r="C91" t="inlineStr">
        <is>
          <t>₽</t>
        </is>
      </c>
      <c r="D91" s="117" t="inlineStr"/>
      <c r="E91" s="119">
        <f>SUM(L91:W91)</f>
        <v/>
      </c>
      <c r="F91" s="119">
        <f>SUM(X91:AI91)</f>
        <v/>
      </c>
      <c r="G91" s="119">
        <f>SUM(AJ91:AU91)</f>
        <v/>
      </c>
      <c r="H91" s="119">
        <f>SUM(AV91:BG91)</f>
        <v/>
      </c>
      <c r="I91" s="119">
        <f>SUM(BH91:BS91)</f>
        <v/>
      </c>
      <c r="J91" s="5">
        <f>SUM(L91:BS91)</f>
        <v/>
      </c>
      <c r="L91" s="4">
        <f>IF(OR(('03_Сеть'!L39-L37)=0,18&lt;=КаникулыРоялти),0,('03_Сеть'!L39-L37)*IF(РоялтиПоГруппам="Да",MeanMinAge18+L9*SUMIF(ThresholdAge18,"&lt;"&amp;L9,WeightedRevAge18)-SUMIF(ThresholdAge18,"&lt;"&amp;L9,WeightedMinAge18),MAX(CapacityAge18*АбонементНовых*L9,MeanMinAge18)))</f>
        <v/>
      </c>
      <c r="M91" s="4">
        <f>IF(OR(('03_Сеть'!M39-M37)=0,18&lt;=КаникулыРоялти),0,('03_Сеть'!M39-M37)*IF(РоялтиПоГруппам="Да",MeanMinAge18+M9*SUMIF(ThresholdAge18,"&lt;"&amp;M9,WeightedRevAge18)-SUMIF(ThresholdAge18,"&lt;"&amp;M9,WeightedMinAge18),MAX(CapacityAge18*АбонементНовых*M9,MeanMinAge18)))</f>
        <v/>
      </c>
      <c r="N91" s="4">
        <f>IF(OR(('03_Сеть'!N39-N37)=0,18&lt;=КаникулыРоялти),0,('03_Сеть'!N39-N37)*IF(РоялтиПоГруппам="Да",MeanMinAge18+N9*SUMIF(ThresholdAge18,"&lt;"&amp;N9,WeightedRevAge18)-SUMIF(ThresholdAge18,"&lt;"&amp;N9,WeightedMinAge18),MAX(CapacityAge18*АбонементНовых*N9,MeanMinAge18)))</f>
        <v/>
      </c>
      <c r="O91" s="4">
        <f>IF(OR(('03_Сеть'!O39-O37)=0,18&lt;=КаникулыРоялти),0,('03_Сеть'!O39-O37)*IF(РоялтиПоГруппам="Да",MeanMinAge18+O9*SUMIF(ThresholdAge18,"&lt;"&amp;O9,WeightedRevAge18)-SUMIF(ThresholdAge18,"&lt;"&amp;O9,WeightedMinAge18),MAX(CapacityAge18*АбонементНовых*O9,MeanMinAge18)))</f>
        <v/>
      </c>
      <c r="P91" s="4">
        <f>IF(OR(('03_Сеть'!P39-P37)=0,18&lt;=КаникулыРоялти),0,('03_Сеть'!P39-P37)*IF(РоялтиПоГруппам="Да",MeanMinAge18+P9*SUMIF(ThresholdAge18,"&lt;"&amp;P9,WeightedRevAge18)-SUMIF(ThresholdAge18,"&lt;"&amp;P9,WeightedMinAge18),MAX(CapacityAge18*АбонементНовых*P9,MeanMinAge18)))</f>
        <v/>
      </c>
      <c r="Q91" s="4">
        <f>IF(OR(('03_Сеть'!Q39-Q37)=0,18&lt;=КаникулыРоялти),0,('03_Сеть'!Q39-Q37)*IF(РоялтиПоГруппам="Да",MeanMinAge18+Q9*SUMIF(ThresholdAge18,"&lt;"&amp;Q9,WeightedRevAge18)-SUMIF(ThresholdAge18,"&lt;"&amp;Q9,WeightedMinAge18),MAX(CapacityAge18*АбонементНовых*Q9,MeanMinAge18)))</f>
        <v/>
      </c>
      <c r="R91" s="4">
        <f>IF(OR(('03_Сеть'!R39-R37)=0,18&lt;=КаникулыРоялти),0,('03_Сеть'!R39-R37)*IF(РоялтиПоГруппам="Да",MeanMinAge18+R9*SUMIF(ThresholdAge18,"&lt;"&amp;R9,WeightedRevAge18)-SUMIF(ThresholdAge18,"&lt;"&amp;R9,WeightedMinAge18),MAX(CapacityAge18*АбонементНовых*R9,MeanMinAge18)))</f>
        <v/>
      </c>
      <c r="S91" s="4">
        <f>IF(OR(('03_Сеть'!S39-S37)=0,18&lt;=КаникулыРоялти),0,('03_Сеть'!S39-S37)*IF(РоялтиПоГруппам="Да",MeanMinAge18+S9*SUMIF(ThresholdAge18,"&lt;"&amp;S9,WeightedRevAge18)-SUMIF(ThresholdAge18,"&lt;"&amp;S9,WeightedMinAge18),MAX(CapacityAge18*АбонементНовых*S9,MeanMinAge18)))</f>
        <v/>
      </c>
      <c r="T91" s="4">
        <f>IF(OR(('03_Сеть'!T39-T37)=0,18&lt;=КаникулыРоялти),0,('03_Сеть'!T39-T37)*IF(РоялтиПоГруппам="Да",MeanMinAge18+T9*SUMIF(ThresholdAge18,"&lt;"&amp;T9,WeightedRevAge18)-SUMIF(ThresholdAge18,"&lt;"&amp;T9,WeightedMinAge18),MAX(CapacityAge18*АбонементНовых*T9,MeanMinAge18)))</f>
        <v/>
      </c>
      <c r="U91" s="4">
        <f>IF(OR(('03_Сеть'!U39-U37)=0,18&lt;=КаникулыРоялти),0,('03_Сеть'!U39-U37)*IF(РоялтиПоГруппам="Да",MeanMinAge18+U9*SUMIF(ThresholdAge18,"&lt;"&amp;U9,WeightedRevAge18)-SUMIF(ThresholdAge18,"&lt;"&amp;U9,WeightedMinAge18),MAX(CapacityAge18*АбонементНовых*U9,MeanMinAge18)))</f>
        <v/>
      </c>
      <c r="V91" s="4">
        <f>IF(OR(('03_Сеть'!V39-V37)=0,18&lt;=КаникулыРоялти),0,('03_Сеть'!V39-V37)*IF(РоялтиПоГруппам="Да",MeanMinAge18+V9*SUMIF(ThresholdAge18,"&lt;"&amp;V9,WeightedRevAge18)-SUMIF(ThresholdAge18,"&lt;"&amp;V9,WeightedMinAge18),MAX(CapacityAge18*АбонементНовых*V9,MeanMinAge18)))</f>
        <v/>
      </c>
      <c r="W91" s="4">
        <f>IF(OR(('03_Сеть'!W39-W37)=0,18&lt;=КаникулыРоялти),0,('03_Сеть'!W39-W37)*IF(РоялтиПоГруппам="Да",MeanMinAge18+W9*SUMIF(ThresholdAge18,"&lt;"&amp;W9,WeightedRevAge18)-SUMIF(ThresholdAge18,"&lt;"&amp;W9,WeightedMinAge18),MAX(CapacityAge18*АбонементНовых*W9,MeanMinAge18)))</f>
        <v/>
      </c>
      <c r="X91" s="4">
        <f>IF(OR(('03_Сеть'!X39-X37)=0,18&lt;=КаникулыРоялти),0,('03_Сеть'!X39-X37)*IF(РоялтиПоГруппам="Да",MeanMinAge18+X9*SUMIF(ThresholdAge18,"&lt;"&amp;X9,WeightedRevAge18)-SUMIF(ThresholdAge18,"&lt;"&amp;X9,WeightedMinAge18),MAX(CapacityAge18*АбонементНовых*X9,MeanMinAge18)))</f>
        <v/>
      </c>
      <c r="Y91" s="4">
        <f>IF(OR(('03_Сеть'!Y39-Y37)=0,18&lt;=КаникулыРоялти),0,('03_Сеть'!Y39-Y37)*IF(РоялтиПоГруппам="Да",MeanMinAge18+Y9*SUMIF(ThresholdAge18,"&lt;"&amp;Y9,WeightedRevAge18)-SUMIF(ThresholdAge18,"&lt;"&amp;Y9,WeightedMinAge18),MAX(CapacityAge18*АбонементНовых*Y9,MeanMinAge18)))</f>
        <v/>
      </c>
      <c r="Z91" s="4">
        <f>IF(OR(('03_Сеть'!Z39-Z37)=0,18&lt;=КаникулыРоялти),0,('03_Сеть'!Z39-Z37)*IF(РоялтиПоГруппам="Да",MeanMinAge18+Z9*SUMIF(ThresholdAge18,"&lt;"&amp;Z9,WeightedRevAge18)-SUMIF(ThresholdAge18,"&lt;"&amp;Z9,WeightedMinAge18),MAX(CapacityAge18*АбонементНовых*Z9,MeanMinAge18)))</f>
        <v/>
      </c>
      <c r="AA91" s="4">
        <f>IF(OR(('03_Сеть'!AA39-AA37)=0,18&lt;=КаникулыРоялти),0,('03_Сеть'!AA39-AA37)*IF(РоялтиПоГруппам="Да",MeanMinAge18+AA9*SUMIF(ThresholdAge18,"&lt;"&amp;AA9,WeightedRevAge18)-SUMIF(ThresholdAge18,"&lt;"&amp;AA9,WeightedMinAge18),MAX(CapacityAge18*АбонементНовых*AA9,MeanMinAge18)))</f>
        <v/>
      </c>
      <c r="AB91" s="4">
        <f>IF(OR(('03_Сеть'!AB39-AB37)=0,18&lt;=КаникулыРоялти),0,('03_Сеть'!AB39-AB37)*IF(РоялтиПоГруппам="Да",MeanMinAge18+AB9*SUMIF(ThresholdAge18,"&lt;"&amp;AB9,WeightedRevAge18)-SUMIF(ThresholdAge18,"&lt;"&amp;AB9,WeightedMinAge18),MAX(CapacityAge18*АбонементНовых*AB9,MeanMinAge18)))</f>
        <v/>
      </c>
      <c r="AC91" s="4">
        <f>IF(OR(('03_Сеть'!AC39-AC37)=0,18&lt;=КаникулыРоялти),0,('03_Сеть'!AC39-AC37)*IF(РоялтиПоГруппам="Да",MeanMinAge18+AC9*SUMIF(ThresholdAge18,"&lt;"&amp;AC9,WeightedRevAge18)-SUMIF(ThresholdAge18,"&lt;"&amp;AC9,WeightedMinAge18),MAX(CapacityAge18*АбонементНовых*AC9,MeanMinAge18)))</f>
        <v/>
      </c>
      <c r="AD91" s="4">
        <f>IF(OR(('03_Сеть'!AD39-AD37)=0,18&lt;=КаникулыРоялти),0,('03_Сеть'!AD39-AD37)*IF(РоялтиПоГруппам="Да",MeanMinAge18+AD9*SUMIF(ThresholdAge18,"&lt;"&amp;AD9,WeightedRevAge18)-SUMIF(ThresholdAge18,"&lt;"&amp;AD9,WeightedMinAge18),MAX(CapacityAge18*АбонементНовых*AD9,MeanMinAge18)))</f>
        <v/>
      </c>
      <c r="AE91" s="4">
        <f>IF(OR(('03_Сеть'!AE39-AE37)=0,18&lt;=КаникулыРоялти),0,('03_Сеть'!AE39-AE37)*IF(РоялтиПоГруппам="Да",MeanMinAge18+AE9*SUMIF(ThresholdAge18,"&lt;"&amp;AE9,WeightedRevAge18)-SUMIF(ThresholdAge18,"&lt;"&amp;AE9,WeightedMinAge18),MAX(CapacityAge18*АбонементНовых*AE9,MeanMinAge18)))</f>
        <v/>
      </c>
      <c r="AF91" s="4">
        <f>IF(OR(('03_Сеть'!AF39-AF37)=0,18&lt;=КаникулыРоялти),0,('03_Сеть'!AF39-AF37)*IF(РоялтиПоГруппам="Да",MeanMinAge18+AF9*SUMIF(ThresholdAge18,"&lt;"&amp;AF9,WeightedRevAge18)-SUMIF(ThresholdAge18,"&lt;"&amp;AF9,WeightedMinAge18),MAX(CapacityAge18*АбонементНовых*AF9,MeanMinAge18)))</f>
        <v/>
      </c>
      <c r="AG91" s="4">
        <f>IF(OR(('03_Сеть'!AG39-AG37)=0,18&lt;=КаникулыРоялти),0,('03_Сеть'!AG39-AG37)*IF(РоялтиПоГруппам="Да",MeanMinAge18+AG9*SUMIF(ThresholdAge18,"&lt;"&amp;AG9,WeightedRevAge18)-SUMIF(ThresholdAge18,"&lt;"&amp;AG9,WeightedMinAge18),MAX(CapacityAge18*АбонементНовых*AG9,MeanMinAge18)))</f>
        <v/>
      </c>
      <c r="AH91" s="4">
        <f>IF(OR(('03_Сеть'!AH39-AH37)=0,18&lt;=КаникулыРоялти),0,('03_Сеть'!AH39-AH37)*IF(РоялтиПоГруппам="Да",MeanMinAge18+AH9*SUMIF(ThresholdAge18,"&lt;"&amp;AH9,WeightedRevAge18)-SUMIF(ThresholdAge18,"&lt;"&amp;AH9,WeightedMinAge18),MAX(CapacityAge18*АбонементНовых*AH9,MeanMinAge18)))</f>
        <v/>
      </c>
      <c r="AI91" s="4">
        <f>IF(OR(('03_Сеть'!AI39-AI37)=0,18&lt;=КаникулыРоялти),0,('03_Сеть'!AI39-AI37)*IF(РоялтиПоГруппам="Да",MeanMinAge18+AI9*SUMIF(ThresholdAge18,"&lt;"&amp;AI9,WeightedRevAge18)-SUMIF(ThresholdAge18,"&lt;"&amp;AI9,WeightedMinAge18),MAX(CapacityAge18*АбонементНовых*AI9,MeanMinAge18)))</f>
        <v/>
      </c>
      <c r="AJ91" s="4">
        <f>IF(OR(('03_Сеть'!AJ39-AJ37)=0,18&lt;=КаникулыРоялти),0,('03_Сеть'!AJ39-AJ37)*IF(РоялтиПоГруппам="Да",MeanMinAge18+AJ9*SUMIF(ThresholdAge18,"&lt;"&amp;AJ9,WeightedRevAge18)-SUMIF(ThresholdAge18,"&lt;"&amp;AJ9,WeightedMinAge18),MAX(CapacityAge18*АбонементНовых*AJ9,MeanMinAge18)))</f>
        <v/>
      </c>
      <c r="AK91" s="4">
        <f>IF(OR(('03_Сеть'!AK39-AK37)=0,18&lt;=КаникулыРоялти),0,('03_Сеть'!AK39-AK37)*IF(РоялтиПоГруппам="Да",MeanMinAge18+AK9*SUMIF(ThresholdAge18,"&lt;"&amp;AK9,WeightedRevAge18)-SUMIF(ThresholdAge18,"&lt;"&amp;AK9,WeightedMinAge18),MAX(CapacityAge18*АбонементНовых*AK9,MeanMinAge18)))</f>
        <v/>
      </c>
      <c r="AL91" s="4">
        <f>IF(OR(('03_Сеть'!AL39-AL37)=0,18&lt;=КаникулыРоялти),0,('03_Сеть'!AL39-AL37)*IF(РоялтиПоГруппам="Да",MeanMinAge18+AL9*SUMIF(ThresholdAge18,"&lt;"&amp;AL9,WeightedRevAge18)-SUMIF(ThresholdAge18,"&lt;"&amp;AL9,WeightedMinAge18),MAX(CapacityAge18*АбонементНовых*AL9,MeanMinAge18)))</f>
        <v/>
      </c>
      <c r="AM91" s="4">
        <f>IF(OR(('03_Сеть'!AM39-AM37)=0,18&lt;=КаникулыРоялти),0,('03_Сеть'!AM39-AM37)*IF(РоялтиПоГруппам="Да",MeanMinAge18+AM9*SUMIF(ThresholdAge18,"&lt;"&amp;AM9,WeightedRevAge18)-SUMIF(ThresholdAge18,"&lt;"&amp;AM9,WeightedMinAge18),MAX(CapacityAge18*АбонементНовых*AM9,MeanMinAge18)))</f>
        <v/>
      </c>
      <c r="AN91" s="4">
        <f>IF(OR(('03_Сеть'!AN39-AN37)=0,18&lt;=КаникулыРоялти),0,('03_Сеть'!AN39-AN37)*IF(РоялтиПоГруппам="Да",MeanMinAge18+AN9*SUMIF(ThresholdAge18,"&lt;"&amp;AN9,WeightedRevAge18)-SUMIF(ThresholdAge18,"&lt;"&amp;AN9,WeightedMinAge18),MAX(CapacityAge18*АбонементНовых*AN9,MeanMinAge18)))</f>
        <v/>
      </c>
      <c r="AO91" s="4">
        <f>IF(OR(('03_Сеть'!AO39-AO37)=0,18&lt;=КаникулыРоялти),0,('03_Сеть'!AO39-AO37)*IF(РоялтиПоГруппам="Да",MeanMinAge18+AO9*SUMIF(ThresholdAge18,"&lt;"&amp;AO9,WeightedRevAge18)-SUMIF(ThresholdAge18,"&lt;"&amp;AO9,WeightedMinAge18),MAX(CapacityAge18*АбонементНовых*AO9,MeanMinAge18)))</f>
        <v/>
      </c>
      <c r="AP91" s="4">
        <f>IF(OR(('03_Сеть'!AP39-AP37)=0,18&lt;=КаникулыРоялти),0,('03_Сеть'!AP39-AP37)*IF(РоялтиПоГруппам="Да",MeanMinAge18+AP9*SUMIF(ThresholdAge18,"&lt;"&amp;AP9,WeightedRevAge18)-SUMIF(ThresholdAge18,"&lt;"&amp;AP9,WeightedMinAge18),MAX(CapacityAge18*АбонементНовых*AP9,MeanMinAge18)))</f>
        <v/>
      </c>
      <c r="AQ91" s="4">
        <f>IF(OR(('03_Сеть'!AQ39-AQ37)=0,18&lt;=КаникулыРоялти),0,('03_Сеть'!AQ39-AQ37)*IF(РоялтиПоГруппам="Да",MeanMinAge18+AQ9*SUMIF(ThresholdAge18,"&lt;"&amp;AQ9,WeightedRevAge18)-SUMIF(ThresholdAge18,"&lt;"&amp;AQ9,WeightedMinAge18),MAX(CapacityAge18*АбонементНовых*AQ9,MeanMinAge18)))</f>
        <v/>
      </c>
      <c r="AR91" s="4">
        <f>IF(OR(('03_Сеть'!AR39-AR37)=0,18&lt;=КаникулыРоялти),0,('03_Сеть'!AR39-AR37)*IF(РоялтиПоГруппам="Да",MeanMinAge18+AR9*SUMIF(ThresholdAge18,"&lt;"&amp;AR9,WeightedRevAge18)-SUMIF(ThresholdAge18,"&lt;"&amp;AR9,WeightedMinAge18),MAX(CapacityAge18*АбонементНовых*AR9,MeanMinAge18)))</f>
        <v/>
      </c>
      <c r="AS91" s="4">
        <f>IF(OR(('03_Сеть'!AS39-AS37)=0,18&lt;=КаникулыРоялти),0,('03_Сеть'!AS39-AS37)*IF(РоялтиПоГруппам="Да",MeanMinAge18+AS9*SUMIF(ThresholdAge18,"&lt;"&amp;AS9,WeightedRevAge18)-SUMIF(ThresholdAge18,"&lt;"&amp;AS9,WeightedMinAge18),MAX(CapacityAge18*АбонементНовых*AS9,MeanMinAge18)))</f>
        <v/>
      </c>
      <c r="AT91" s="4">
        <f>IF(OR(('03_Сеть'!AT39-AT37)=0,18&lt;=КаникулыРоялти),0,('03_Сеть'!AT39-AT37)*IF(РоялтиПоГруппам="Да",MeanMinAge18+AT9*SUMIF(ThresholdAge18,"&lt;"&amp;AT9,WeightedRevAge18)-SUMIF(ThresholdAge18,"&lt;"&amp;AT9,WeightedMinAge18),MAX(CapacityAge18*АбонементНовых*AT9,MeanMinAge18)))</f>
        <v/>
      </c>
      <c r="AU91" s="4">
        <f>IF(OR(('03_Сеть'!AU39-AU37)=0,18&lt;=КаникулыРоялти),0,('03_Сеть'!AU39-AU37)*IF(РоялтиПоГруппам="Да",MeanMinAge18+AU9*SUMIF(ThresholdAge18,"&lt;"&amp;AU9,WeightedRevAge18)-SUMIF(ThresholdAge18,"&lt;"&amp;AU9,WeightedMinAge18),MAX(CapacityAge18*АбонементНовых*AU9,MeanMinAge18)))</f>
        <v/>
      </c>
      <c r="AV91" s="4">
        <f>IF(OR(('03_Сеть'!AV39-AV37)=0,18&lt;=КаникулыРоялти),0,('03_Сеть'!AV39-AV37)*IF(РоялтиПоГруппам="Да",MeanMinAge18+AV9*SUMIF(ThresholdAge18,"&lt;"&amp;AV9,WeightedRevAge18)-SUMIF(ThresholdAge18,"&lt;"&amp;AV9,WeightedMinAge18),MAX(CapacityAge18*АбонементНовых*AV9,MeanMinAge18)))</f>
        <v/>
      </c>
      <c r="AW91" s="4">
        <f>IF(OR(('03_Сеть'!AW39-AW37)=0,18&lt;=КаникулыРоялти),0,('03_Сеть'!AW39-AW37)*IF(РоялтиПоГруппам="Да",MeanMinAge18+AW9*SUMIF(ThresholdAge18,"&lt;"&amp;AW9,WeightedRevAge18)-SUMIF(ThresholdAge18,"&lt;"&amp;AW9,WeightedMinAge18),MAX(CapacityAge18*АбонементНовых*AW9,MeanMinAge18)))</f>
        <v/>
      </c>
      <c r="AX91" s="4">
        <f>IF(OR(('03_Сеть'!AX39-AX37)=0,18&lt;=КаникулыРоялти),0,('03_Сеть'!AX39-AX37)*IF(РоялтиПоГруппам="Да",MeanMinAge18+AX9*SUMIF(ThresholdAge18,"&lt;"&amp;AX9,WeightedRevAge18)-SUMIF(ThresholdAge18,"&lt;"&amp;AX9,WeightedMinAge18),MAX(CapacityAge18*АбонементНовых*AX9,MeanMinAge18)))</f>
        <v/>
      </c>
      <c r="AY91" s="4">
        <f>IF(OR(('03_Сеть'!AY39-AY37)=0,18&lt;=КаникулыРоялти),0,('03_Сеть'!AY39-AY37)*IF(РоялтиПоГруппам="Да",MeanMinAge18+AY9*SUMIF(ThresholdAge18,"&lt;"&amp;AY9,WeightedRevAge18)-SUMIF(ThresholdAge18,"&lt;"&amp;AY9,WeightedMinAge18),MAX(CapacityAge18*АбонементНовых*AY9,MeanMinAge18)))</f>
        <v/>
      </c>
      <c r="AZ91" s="4">
        <f>IF(OR(('03_Сеть'!AZ39-AZ37)=0,18&lt;=КаникулыРоялти),0,('03_Сеть'!AZ39-AZ37)*IF(РоялтиПоГруппам="Да",MeanMinAge18+AZ9*SUMIF(ThresholdAge18,"&lt;"&amp;AZ9,WeightedRevAge18)-SUMIF(ThresholdAge18,"&lt;"&amp;AZ9,WeightedMinAge18),MAX(CapacityAge18*АбонементНовых*AZ9,MeanMinAge18)))</f>
        <v/>
      </c>
      <c r="BA91" s="4">
        <f>IF(OR(('03_Сеть'!BA39-BA37)=0,18&lt;=КаникулыРоялти),0,('03_Сеть'!BA39-BA37)*IF(РоялтиПоГруппам="Да",MeanMinAge18+BA9*SUMIF(ThresholdAge18,"&lt;"&amp;BA9,WeightedRevAge18)-SUMIF(ThresholdAge18,"&lt;"&amp;BA9,WeightedMinAge18),MAX(CapacityAge18*АбонементНовых*BA9,MeanMinAge18)))</f>
        <v/>
      </c>
      <c r="BB91" s="4">
        <f>IF(OR(('03_Сеть'!BB39-BB37)=0,18&lt;=КаникулыРоялти),0,('03_Сеть'!BB39-BB37)*IF(РоялтиПоГруппам="Да",MeanMinAge18+BB9*SUMIF(ThresholdAge18,"&lt;"&amp;BB9,WeightedRevAge18)-SUMIF(ThresholdAge18,"&lt;"&amp;BB9,WeightedMinAge18),MAX(CapacityAge18*АбонементНовых*BB9,MeanMinAge18)))</f>
        <v/>
      </c>
      <c r="BC91" s="4">
        <f>IF(OR(('03_Сеть'!BC39-BC37)=0,18&lt;=КаникулыРоялти),0,('03_Сеть'!BC39-BC37)*IF(РоялтиПоГруппам="Да",MeanMinAge18+BC9*SUMIF(ThresholdAge18,"&lt;"&amp;BC9,WeightedRevAge18)-SUMIF(ThresholdAge18,"&lt;"&amp;BC9,WeightedMinAge18),MAX(CapacityAge18*АбонементНовых*BC9,MeanMinAge18)))</f>
        <v/>
      </c>
      <c r="BD91" s="4">
        <f>IF(OR(('03_Сеть'!BD39-BD37)=0,18&lt;=КаникулыРоялти),0,('03_Сеть'!BD39-BD37)*IF(РоялтиПоГруппам="Да",MeanMinAge18+BD9*SUMIF(ThresholdAge18,"&lt;"&amp;BD9,WeightedRevAge18)-SUMIF(ThresholdAge18,"&lt;"&amp;BD9,WeightedMinAge18),MAX(CapacityAge18*АбонементНовых*BD9,MeanMinAge18)))</f>
        <v/>
      </c>
      <c r="BE91" s="4">
        <f>IF(OR(('03_Сеть'!BE39-BE37)=0,18&lt;=КаникулыРоялти),0,('03_Сеть'!BE39-BE37)*IF(РоялтиПоГруппам="Да",MeanMinAge18+BE9*SUMIF(ThresholdAge18,"&lt;"&amp;BE9,WeightedRevAge18)-SUMIF(ThresholdAge18,"&lt;"&amp;BE9,WeightedMinAge18),MAX(CapacityAge18*АбонементНовых*BE9,MeanMinAge18)))</f>
        <v/>
      </c>
      <c r="BF91" s="4">
        <f>IF(OR(('03_Сеть'!BF39-BF37)=0,18&lt;=КаникулыРоялти),0,('03_Сеть'!BF39-BF37)*IF(РоялтиПоГруппам="Да",MeanMinAge18+BF9*SUMIF(ThresholdAge18,"&lt;"&amp;BF9,WeightedRevAge18)-SUMIF(ThresholdAge18,"&lt;"&amp;BF9,WeightedMinAge18),MAX(CapacityAge18*АбонементНовых*BF9,MeanMinAge18)))</f>
        <v/>
      </c>
      <c r="BG91" s="4">
        <f>IF(OR(('03_Сеть'!BG39-BG37)=0,18&lt;=КаникулыРоялти),0,('03_Сеть'!BG39-BG37)*IF(РоялтиПоГруппам="Да",MeanMinAge18+BG9*SUMIF(ThresholdAge18,"&lt;"&amp;BG9,WeightedRevAge18)-SUMIF(ThresholdAge18,"&lt;"&amp;BG9,WeightedMinAge18),MAX(CapacityAge18*АбонементНовых*BG9,MeanMinAge18)))</f>
        <v/>
      </c>
      <c r="BH91" s="4">
        <f>IF(OR(('03_Сеть'!BH39-BH37)=0,18&lt;=КаникулыРоялти),0,('03_Сеть'!BH39-BH37)*IF(РоялтиПоГруппам="Да",MeanMinAge18+BH9*SUMIF(ThresholdAge18,"&lt;"&amp;BH9,WeightedRevAge18)-SUMIF(ThresholdAge18,"&lt;"&amp;BH9,WeightedMinAge18),MAX(CapacityAge18*АбонементНовых*BH9,MeanMinAge18)))</f>
        <v/>
      </c>
      <c r="BI91" s="4">
        <f>IF(OR(('03_Сеть'!BI39-BI37)=0,18&lt;=КаникулыРоялти),0,('03_Сеть'!BI39-BI37)*IF(РоялтиПоГруппам="Да",MeanMinAge18+BI9*SUMIF(ThresholdAge18,"&lt;"&amp;BI9,WeightedRevAge18)-SUMIF(ThresholdAge18,"&lt;"&amp;BI9,WeightedMinAge18),MAX(CapacityAge18*АбонементНовых*BI9,MeanMinAge18)))</f>
        <v/>
      </c>
      <c r="BJ91" s="4">
        <f>IF(OR(('03_Сеть'!BJ39-BJ37)=0,18&lt;=КаникулыРоялти),0,('03_Сеть'!BJ39-BJ37)*IF(РоялтиПоГруппам="Да",MeanMinAge18+BJ9*SUMIF(ThresholdAge18,"&lt;"&amp;BJ9,WeightedRevAge18)-SUMIF(ThresholdAge18,"&lt;"&amp;BJ9,WeightedMinAge18),MAX(CapacityAge18*АбонементНовых*BJ9,MeanMinAge18)))</f>
        <v/>
      </c>
      <c r="BK91" s="4">
        <f>IF(OR(('03_Сеть'!BK39-BK37)=0,18&lt;=КаникулыРоялти),0,('03_Сеть'!BK39-BK37)*IF(РоялтиПоГруппам="Да",MeanMinAge18+BK9*SUMIF(ThresholdAge18,"&lt;"&amp;BK9,WeightedRevAge18)-SUMIF(ThresholdAge18,"&lt;"&amp;BK9,WeightedMinAge18),MAX(CapacityAge18*АбонементНовых*BK9,MeanMinAge18)))</f>
        <v/>
      </c>
      <c r="BL91" s="4">
        <f>IF(OR(('03_Сеть'!BL39-BL37)=0,18&lt;=КаникулыРоялти),0,('03_Сеть'!BL39-BL37)*IF(РоялтиПоГруппам="Да",MeanMinAge18+BL9*SUMIF(ThresholdAge18,"&lt;"&amp;BL9,WeightedRevAge18)-SUMIF(ThresholdAge18,"&lt;"&amp;BL9,WeightedMinAge18),MAX(CapacityAge18*АбонементНовых*BL9,MeanMinAge18)))</f>
        <v/>
      </c>
      <c r="BM91" s="4">
        <f>IF(OR(('03_Сеть'!BM39-BM37)=0,18&lt;=КаникулыРоялти),0,('03_Сеть'!BM39-BM37)*IF(РоялтиПоГруппам="Да",MeanMinAge18+BM9*SUMIF(ThresholdAge18,"&lt;"&amp;BM9,WeightedRevAge18)-SUMIF(ThresholdAge18,"&lt;"&amp;BM9,WeightedMinAge18),MAX(CapacityAge18*АбонементНовых*BM9,MeanMinAge18)))</f>
        <v/>
      </c>
      <c r="BN91" s="4">
        <f>IF(OR(('03_Сеть'!BN39-BN37)=0,18&lt;=КаникулыРоялти),0,('03_Сеть'!BN39-BN37)*IF(РоялтиПоГруппам="Да",MeanMinAge18+BN9*SUMIF(ThresholdAge18,"&lt;"&amp;BN9,WeightedRevAge18)-SUMIF(ThresholdAge18,"&lt;"&amp;BN9,WeightedMinAge18),MAX(CapacityAge18*АбонементНовых*BN9,MeanMinAge18)))</f>
        <v/>
      </c>
      <c r="BO91" s="4">
        <f>IF(OR(('03_Сеть'!BO39-BO37)=0,18&lt;=КаникулыРоялти),0,('03_Сеть'!BO39-BO37)*IF(РоялтиПоГруппам="Да",MeanMinAge18+BO9*SUMIF(ThresholdAge18,"&lt;"&amp;BO9,WeightedRevAge18)-SUMIF(ThresholdAge18,"&lt;"&amp;BO9,WeightedMinAge18),MAX(CapacityAge18*АбонементНовых*BO9,MeanMinAge18)))</f>
        <v/>
      </c>
      <c r="BP91" s="4">
        <f>IF(OR(('03_Сеть'!BP39-BP37)=0,18&lt;=КаникулыРоялти),0,('03_Сеть'!BP39-BP37)*IF(РоялтиПоГруппам="Да",MeanMinAge18+BP9*SUMIF(ThresholdAge18,"&lt;"&amp;BP9,WeightedRevAge18)-SUMIF(ThresholdAge18,"&lt;"&amp;BP9,WeightedMinAge18),MAX(CapacityAge18*АбонементНовых*BP9,MeanMinAge18)))</f>
        <v/>
      </c>
      <c r="BQ91" s="4">
        <f>IF(OR(('03_Сеть'!BQ39-BQ37)=0,18&lt;=КаникулыРоялти),0,('03_Сеть'!BQ39-BQ37)*IF(РоялтиПоГруппам="Да",MeanMinAge18+BQ9*SUMIF(ThresholdAge18,"&lt;"&amp;BQ9,WeightedRevAge18)-SUMIF(ThresholdAge18,"&lt;"&amp;BQ9,WeightedMinAge18),MAX(CapacityAge18*АбонементНовых*BQ9,MeanMinAge18)))</f>
        <v/>
      </c>
      <c r="BR91" s="4">
        <f>IF(OR(('03_Сеть'!BR39-BR37)=0,18&lt;=КаникулыРоялти),0,('03_Сеть'!BR39-BR37)*IF(РоялтиПоГруппам="Да",MeanMinAge18+BR9*SUMIF(ThresholdAge18,"&lt;"&amp;BR9,WeightedRevAge18)-SUMIF(ThresholdAge18,"&lt;"&amp;BR9,WeightedMinAge18),MAX(CapacityAge18*АбонементНовых*BR9,MeanMinAge18)))</f>
        <v/>
      </c>
      <c r="BS91" s="4">
        <f>IF(OR(('03_Сеть'!BS39-BS37)=0,18&lt;=КаникулыРоялти),0,('03_Сеть'!BS39-BS37)*IF(РоялтиПоГруппам="Да",MeanMinAge18+BS9*SUMIF(ThresholdAge18,"&lt;"&amp;BS9,WeightedRevAge18)-SUMIF(ThresholdAge18,"&lt;"&amp;BS9,WeightedMinAge18),MAX(CapacityAge18*АбонементНовых*BS9,MeanMinAge18)))</f>
        <v/>
      </c>
      <c r="BT91" s="4">
        <f>IF(OR(('03_Сеть'!BT39-BT37)=0,18&lt;=КаникулыРоялти),0,('03_Сеть'!BT39-BT37)*IF(РоялтиПоГруппам="Да",MeanMinAge18+BT9*SUMIF(ThresholdAge18,"&lt;"&amp;BT9,WeightedRevAge18)-SUMIF(ThresholdAge18,"&lt;"&amp;BT9,WeightedMinAge18),MAX(CapacityAge18*АбонементНовых*BT9,MeanMinAge18)))</f>
        <v/>
      </c>
      <c r="BU91" s="4">
        <f>IF(OR(('03_Сеть'!BU39-BU37)=0,18&lt;=КаникулыРоялти),0,('03_Сеть'!BU39-BU37)*IF(РоялтиПоГруппам="Да",MeanMinAge18+BU9*SUMIF(ThresholdAge18,"&lt;"&amp;BU9,WeightedRevAge18)-SUMIF(ThresholdAge18,"&lt;"&amp;BU9,WeightedMinAge18),MAX(CapacityAge18*АбонементНовых*BU9,MeanMinAge18)))</f>
        <v/>
      </c>
      <c r="BV91" s="4">
        <f>IF(OR(('03_Сеть'!BV39-BV37)=0,18&lt;=КаникулыРоялти),0,('03_Сеть'!BV39-BV37)*IF(РоялтиПоГруппам="Да",MeanMinAge18+BV9*SUMIF(ThresholdAge18,"&lt;"&amp;BV9,WeightedRevAge18)-SUMIF(ThresholdAge18,"&lt;"&amp;BV9,WeightedMinAge18),MAX(CapacityAge18*АбонементНовых*BV9,MeanMinAge18)))</f>
        <v/>
      </c>
      <c r="BW91" s="4">
        <f>IF(OR(('03_Сеть'!BW39-BW37)=0,18&lt;=КаникулыРоялти),0,('03_Сеть'!BW39-BW37)*IF(РоялтиПоГруппам="Да",MeanMinAge18+BW9*SUMIF(ThresholdAge18,"&lt;"&amp;BW9,WeightedRevAge18)-SUMIF(ThresholdAge18,"&lt;"&amp;BW9,WeightedMinAge18),MAX(CapacityAge18*АбонементНовых*BW9,MeanMinAge18)))</f>
        <v/>
      </c>
      <c r="BX91" s="4">
        <f>IF(OR(('03_Сеть'!BX39-BX37)=0,18&lt;=КаникулыРоялти),0,('03_Сеть'!BX39-BX37)*IF(РоялтиПоГруппам="Да",MeanMinAge18+BX9*SUMIF(ThresholdAge18,"&lt;"&amp;BX9,WeightedRevAge18)-SUMIF(ThresholdAge18,"&lt;"&amp;BX9,WeightedMinAge18),MAX(CapacityAge18*АбонементНовых*BX9,MeanMinAge18)))</f>
        <v/>
      </c>
      <c r="BY91" s="4">
        <f>IF(OR(('03_Сеть'!BY39-BY37)=0,18&lt;=КаникулыРоялти),0,('03_Сеть'!BY39-BY37)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92">
      <c r="B92" t="inlineStr">
        <is>
          <t>19 мес.</t>
        </is>
      </c>
      <c r="C92" t="inlineStr">
        <is>
          <t>₽</t>
        </is>
      </c>
      <c r="D92" s="117" t="inlineStr"/>
      <c r="E92" s="119">
        <f>SUM(L92:W92)</f>
        <v/>
      </c>
      <c r="F92" s="119">
        <f>SUM(X92:AI92)</f>
        <v/>
      </c>
      <c r="G92" s="119">
        <f>SUM(AJ92:AU92)</f>
        <v/>
      </c>
      <c r="H92" s="119">
        <f>SUM(AV92:BG92)</f>
        <v/>
      </c>
      <c r="I92" s="119">
        <f>SUM(BH92:BS92)</f>
        <v/>
      </c>
      <c r="J92" s="5">
        <f>SUM(L92:BS92)</f>
        <v/>
      </c>
      <c r="L92" s="4">
        <f>IF(OR(('03_Сеть'!L40-L38)=0,19&lt;=КаникулыРоялти),0,('03_Сеть'!L40-L38)*IF(РоялтиПоГруппам="Да",MeanMinAge19+L9*SUMIF(ThresholdAge19,"&lt;"&amp;L9,WeightedRevAge19)-SUMIF(ThresholdAge19,"&lt;"&amp;L9,WeightedMinAge19),MAX(CapacityAge19*АбонементНовых*L9,MeanMinAge19)))</f>
        <v/>
      </c>
      <c r="M92" s="4">
        <f>IF(OR(('03_Сеть'!M40-M38)=0,19&lt;=КаникулыРоялти),0,('03_Сеть'!M40-M38)*IF(РоялтиПоГруппам="Да",MeanMinAge19+M9*SUMIF(ThresholdAge19,"&lt;"&amp;M9,WeightedRevAge19)-SUMIF(ThresholdAge19,"&lt;"&amp;M9,WeightedMinAge19),MAX(CapacityAge19*АбонементНовых*M9,MeanMinAge19)))</f>
        <v/>
      </c>
      <c r="N92" s="4">
        <f>IF(OR(('03_Сеть'!N40-N38)=0,19&lt;=КаникулыРоялти),0,('03_Сеть'!N40-N38)*IF(РоялтиПоГруппам="Да",MeanMinAge19+N9*SUMIF(ThresholdAge19,"&lt;"&amp;N9,WeightedRevAge19)-SUMIF(ThresholdAge19,"&lt;"&amp;N9,WeightedMinAge19),MAX(CapacityAge19*АбонементНовых*N9,MeanMinAge19)))</f>
        <v/>
      </c>
      <c r="O92" s="4">
        <f>IF(OR(('03_Сеть'!O40-O38)=0,19&lt;=КаникулыРоялти),0,('03_Сеть'!O40-O38)*IF(РоялтиПоГруппам="Да",MeanMinAge19+O9*SUMIF(ThresholdAge19,"&lt;"&amp;O9,WeightedRevAge19)-SUMIF(ThresholdAge19,"&lt;"&amp;O9,WeightedMinAge19),MAX(CapacityAge19*АбонементНовых*O9,MeanMinAge19)))</f>
        <v/>
      </c>
      <c r="P92" s="4">
        <f>IF(OR(('03_Сеть'!P40-P38)=0,19&lt;=КаникулыРоялти),0,('03_Сеть'!P40-P38)*IF(РоялтиПоГруппам="Да",MeanMinAge19+P9*SUMIF(ThresholdAge19,"&lt;"&amp;P9,WeightedRevAge19)-SUMIF(ThresholdAge19,"&lt;"&amp;P9,WeightedMinAge19),MAX(CapacityAge19*АбонементНовых*P9,MeanMinAge19)))</f>
        <v/>
      </c>
      <c r="Q92" s="4">
        <f>IF(OR(('03_Сеть'!Q40-Q38)=0,19&lt;=КаникулыРоялти),0,('03_Сеть'!Q40-Q38)*IF(РоялтиПоГруппам="Да",MeanMinAge19+Q9*SUMIF(ThresholdAge19,"&lt;"&amp;Q9,WeightedRevAge19)-SUMIF(ThresholdAge19,"&lt;"&amp;Q9,WeightedMinAge19),MAX(CapacityAge19*АбонементНовых*Q9,MeanMinAge19)))</f>
        <v/>
      </c>
      <c r="R92" s="4">
        <f>IF(OR(('03_Сеть'!R40-R38)=0,19&lt;=КаникулыРоялти),0,('03_Сеть'!R40-R38)*IF(РоялтиПоГруппам="Да",MeanMinAge19+R9*SUMIF(ThresholdAge19,"&lt;"&amp;R9,WeightedRevAge19)-SUMIF(ThresholdAge19,"&lt;"&amp;R9,WeightedMinAge19),MAX(CapacityAge19*АбонементНовых*R9,MeanMinAge19)))</f>
        <v/>
      </c>
      <c r="S92" s="4">
        <f>IF(OR(('03_Сеть'!S40-S38)=0,19&lt;=КаникулыРоялти),0,('03_Сеть'!S40-S38)*IF(РоялтиПоГруппам="Да",MeanMinAge19+S9*SUMIF(ThresholdAge19,"&lt;"&amp;S9,WeightedRevAge19)-SUMIF(ThresholdAge19,"&lt;"&amp;S9,WeightedMinAge19),MAX(CapacityAge19*АбонементНовых*S9,MeanMinAge19)))</f>
        <v/>
      </c>
      <c r="T92" s="4">
        <f>IF(OR(('03_Сеть'!T40-T38)=0,19&lt;=КаникулыРоялти),0,('03_Сеть'!T40-T38)*IF(РоялтиПоГруппам="Да",MeanMinAge19+T9*SUMIF(ThresholdAge19,"&lt;"&amp;T9,WeightedRevAge19)-SUMIF(ThresholdAge19,"&lt;"&amp;T9,WeightedMinAge19),MAX(CapacityAge19*АбонементНовых*T9,MeanMinAge19)))</f>
        <v/>
      </c>
      <c r="U92" s="4">
        <f>IF(OR(('03_Сеть'!U40-U38)=0,19&lt;=КаникулыРоялти),0,('03_Сеть'!U40-U38)*IF(РоялтиПоГруппам="Да",MeanMinAge19+U9*SUMIF(ThresholdAge19,"&lt;"&amp;U9,WeightedRevAge19)-SUMIF(ThresholdAge19,"&lt;"&amp;U9,WeightedMinAge19),MAX(CapacityAge19*АбонементНовых*U9,MeanMinAge19)))</f>
        <v/>
      </c>
      <c r="V92" s="4">
        <f>IF(OR(('03_Сеть'!V40-V38)=0,19&lt;=КаникулыРоялти),0,('03_Сеть'!V40-V38)*IF(РоялтиПоГруппам="Да",MeanMinAge19+V9*SUMIF(ThresholdAge19,"&lt;"&amp;V9,WeightedRevAge19)-SUMIF(ThresholdAge19,"&lt;"&amp;V9,WeightedMinAge19),MAX(CapacityAge19*АбонементНовых*V9,MeanMinAge19)))</f>
        <v/>
      </c>
      <c r="W92" s="4">
        <f>IF(OR(('03_Сеть'!W40-W38)=0,19&lt;=КаникулыРоялти),0,('03_Сеть'!W40-W38)*IF(РоялтиПоГруппам="Да",MeanMinAge19+W9*SUMIF(ThresholdAge19,"&lt;"&amp;W9,WeightedRevAge19)-SUMIF(ThresholdAge19,"&lt;"&amp;W9,WeightedMinAge19),MAX(CapacityAge19*АбонементНовых*W9,MeanMinAge19)))</f>
        <v/>
      </c>
      <c r="X92" s="4">
        <f>IF(OR(('03_Сеть'!X40-X38)=0,19&lt;=КаникулыРоялти),0,('03_Сеть'!X40-X38)*IF(РоялтиПоГруппам="Да",MeanMinAge19+X9*SUMIF(ThresholdAge19,"&lt;"&amp;X9,WeightedRevAge19)-SUMIF(ThresholdAge19,"&lt;"&amp;X9,WeightedMinAge19),MAX(CapacityAge19*АбонементНовых*X9,MeanMinAge19)))</f>
        <v/>
      </c>
      <c r="Y92" s="4">
        <f>IF(OR(('03_Сеть'!Y40-Y38)=0,19&lt;=КаникулыРоялти),0,('03_Сеть'!Y40-Y38)*IF(РоялтиПоГруппам="Да",MeanMinAge19+Y9*SUMIF(ThresholdAge19,"&lt;"&amp;Y9,WeightedRevAge19)-SUMIF(ThresholdAge19,"&lt;"&amp;Y9,WeightedMinAge19),MAX(CapacityAge19*АбонементНовых*Y9,MeanMinAge19)))</f>
        <v/>
      </c>
      <c r="Z92" s="4">
        <f>IF(OR(('03_Сеть'!Z40-Z38)=0,19&lt;=КаникулыРоялти),0,('03_Сеть'!Z40-Z38)*IF(РоялтиПоГруппам="Да",MeanMinAge19+Z9*SUMIF(ThresholdAge19,"&lt;"&amp;Z9,WeightedRevAge19)-SUMIF(ThresholdAge19,"&lt;"&amp;Z9,WeightedMinAge19),MAX(CapacityAge19*АбонементНовых*Z9,MeanMinAge19)))</f>
        <v/>
      </c>
      <c r="AA92" s="4">
        <f>IF(OR(('03_Сеть'!AA40-AA38)=0,19&lt;=КаникулыРоялти),0,('03_Сеть'!AA40-AA38)*IF(РоялтиПоГруппам="Да",MeanMinAge19+AA9*SUMIF(ThresholdAge19,"&lt;"&amp;AA9,WeightedRevAge19)-SUMIF(ThresholdAge19,"&lt;"&amp;AA9,WeightedMinAge19),MAX(CapacityAge19*АбонементНовых*AA9,MeanMinAge19)))</f>
        <v/>
      </c>
      <c r="AB92" s="4">
        <f>IF(OR(('03_Сеть'!AB40-AB38)=0,19&lt;=КаникулыРоялти),0,('03_Сеть'!AB40-AB38)*IF(РоялтиПоГруппам="Да",MeanMinAge19+AB9*SUMIF(ThresholdAge19,"&lt;"&amp;AB9,WeightedRevAge19)-SUMIF(ThresholdAge19,"&lt;"&amp;AB9,WeightedMinAge19),MAX(CapacityAge19*АбонементНовых*AB9,MeanMinAge19)))</f>
        <v/>
      </c>
      <c r="AC92" s="4">
        <f>IF(OR(('03_Сеть'!AC40-AC38)=0,19&lt;=КаникулыРоялти),0,('03_Сеть'!AC40-AC38)*IF(РоялтиПоГруппам="Да",MeanMinAge19+AC9*SUMIF(ThresholdAge19,"&lt;"&amp;AC9,WeightedRevAge19)-SUMIF(ThresholdAge19,"&lt;"&amp;AC9,WeightedMinAge19),MAX(CapacityAge19*АбонементНовых*AC9,MeanMinAge19)))</f>
        <v/>
      </c>
      <c r="AD92" s="4">
        <f>IF(OR(('03_Сеть'!AD40-AD38)=0,19&lt;=КаникулыРоялти),0,('03_Сеть'!AD40-AD38)*IF(РоялтиПоГруппам="Да",MeanMinAge19+AD9*SUMIF(ThresholdAge19,"&lt;"&amp;AD9,WeightedRevAge19)-SUMIF(ThresholdAge19,"&lt;"&amp;AD9,WeightedMinAge19),MAX(CapacityAge19*АбонементНовых*AD9,MeanMinAge19)))</f>
        <v/>
      </c>
      <c r="AE92" s="4">
        <f>IF(OR(('03_Сеть'!AE40-AE38)=0,19&lt;=КаникулыРоялти),0,('03_Сеть'!AE40-AE38)*IF(РоялтиПоГруппам="Да",MeanMinAge19+AE9*SUMIF(ThresholdAge19,"&lt;"&amp;AE9,WeightedRevAge19)-SUMIF(ThresholdAge19,"&lt;"&amp;AE9,WeightedMinAge19),MAX(CapacityAge19*АбонементНовых*AE9,MeanMinAge19)))</f>
        <v/>
      </c>
      <c r="AF92" s="4">
        <f>IF(OR(('03_Сеть'!AF40-AF38)=0,19&lt;=КаникулыРоялти),0,('03_Сеть'!AF40-AF38)*IF(РоялтиПоГруппам="Да",MeanMinAge19+AF9*SUMIF(ThresholdAge19,"&lt;"&amp;AF9,WeightedRevAge19)-SUMIF(ThresholdAge19,"&lt;"&amp;AF9,WeightedMinAge19),MAX(CapacityAge19*АбонементНовых*AF9,MeanMinAge19)))</f>
        <v/>
      </c>
      <c r="AG92" s="4">
        <f>IF(OR(('03_Сеть'!AG40-AG38)=0,19&lt;=КаникулыРоялти),0,('03_Сеть'!AG40-AG38)*IF(РоялтиПоГруппам="Да",MeanMinAge19+AG9*SUMIF(ThresholdAge19,"&lt;"&amp;AG9,WeightedRevAge19)-SUMIF(ThresholdAge19,"&lt;"&amp;AG9,WeightedMinAge19),MAX(CapacityAge19*АбонементНовых*AG9,MeanMinAge19)))</f>
        <v/>
      </c>
      <c r="AH92" s="4">
        <f>IF(OR(('03_Сеть'!AH40-AH38)=0,19&lt;=КаникулыРоялти),0,('03_Сеть'!AH40-AH38)*IF(РоялтиПоГруппам="Да",MeanMinAge19+AH9*SUMIF(ThresholdAge19,"&lt;"&amp;AH9,WeightedRevAge19)-SUMIF(ThresholdAge19,"&lt;"&amp;AH9,WeightedMinAge19),MAX(CapacityAge19*АбонементНовых*AH9,MeanMinAge19)))</f>
        <v/>
      </c>
      <c r="AI92" s="4">
        <f>IF(OR(('03_Сеть'!AI40-AI38)=0,19&lt;=КаникулыРоялти),0,('03_Сеть'!AI40-AI38)*IF(РоялтиПоГруппам="Да",MeanMinAge19+AI9*SUMIF(ThresholdAge19,"&lt;"&amp;AI9,WeightedRevAge19)-SUMIF(ThresholdAge19,"&lt;"&amp;AI9,WeightedMinAge19),MAX(CapacityAge19*АбонементНовых*AI9,MeanMinAge19)))</f>
        <v/>
      </c>
      <c r="AJ92" s="4">
        <f>IF(OR(('03_Сеть'!AJ40-AJ38)=0,19&lt;=КаникулыРоялти),0,('03_Сеть'!AJ40-AJ38)*IF(РоялтиПоГруппам="Да",MeanMinAge19+AJ9*SUMIF(ThresholdAge19,"&lt;"&amp;AJ9,WeightedRevAge19)-SUMIF(ThresholdAge19,"&lt;"&amp;AJ9,WeightedMinAge19),MAX(CapacityAge19*АбонементНовых*AJ9,MeanMinAge19)))</f>
        <v/>
      </c>
      <c r="AK92" s="4">
        <f>IF(OR(('03_Сеть'!AK40-AK38)=0,19&lt;=КаникулыРоялти),0,('03_Сеть'!AK40-AK38)*IF(РоялтиПоГруппам="Да",MeanMinAge19+AK9*SUMIF(ThresholdAge19,"&lt;"&amp;AK9,WeightedRevAge19)-SUMIF(ThresholdAge19,"&lt;"&amp;AK9,WeightedMinAge19),MAX(CapacityAge19*АбонементНовых*AK9,MeanMinAge19)))</f>
        <v/>
      </c>
      <c r="AL92" s="4">
        <f>IF(OR(('03_Сеть'!AL40-AL38)=0,19&lt;=КаникулыРоялти),0,('03_Сеть'!AL40-AL38)*IF(РоялтиПоГруппам="Да",MeanMinAge19+AL9*SUMIF(ThresholdAge19,"&lt;"&amp;AL9,WeightedRevAge19)-SUMIF(ThresholdAge19,"&lt;"&amp;AL9,WeightedMinAge19),MAX(CapacityAge19*АбонементНовых*AL9,MeanMinAge19)))</f>
        <v/>
      </c>
      <c r="AM92" s="4">
        <f>IF(OR(('03_Сеть'!AM40-AM38)=0,19&lt;=КаникулыРоялти),0,('03_Сеть'!AM40-AM38)*IF(РоялтиПоГруппам="Да",MeanMinAge19+AM9*SUMIF(ThresholdAge19,"&lt;"&amp;AM9,WeightedRevAge19)-SUMIF(ThresholdAge19,"&lt;"&amp;AM9,WeightedMinAge19),MAX(CapacityAge19*АбонементНовых*AM9,MeanMinAge19)))</f>
        <v/>
      </c>
      <c r="AN92" s="4">
        <f>IF(OR(('03_Сеть'!AN40-AN38)=0,19&lt;=КаникулыРоялти),0,('03_Сеть'!AN40-AN38)*IF(РоялтиПоГруппам="Да",MeanMinAge19+AN9*SUMIF(ThresholdAge19,"&lt;"&amp;AN9,WeightedRevAge19)-SUMIF(ThresholdAge19,"&lt;"&amp;AN9,WeightedMinAge19),MAX(CapacityAge19*АбонементНовых*AN9,MeanMinAge19)))</f>
        <v/>
      </c>
      <c r="AO92" s="4">
        <f>IF(OR(('03_Сеть'!AO40-AO38)=0,19&lt;=КаникулыРоялти),0,('03_Сеть'!AO40-AO38)*IF(РоялтиПоГруппам="Да",MeanMinAge19+AO9*SUMIF(ThresholdAge19,"&lt;"&amp;AO9,WeightedRevAge19)-SUMIF(ThresholdAge19,"&lt;"&amp;AO9,WeightedMinAge19),MAX(CapacityAge19*АбонементНовых*AO9,MeanMinAge19)))</f>
        <v/>
      </c>
      <c r="AP92" s="4">
        <f>IF(OR(('03_Сеть'!AP40-AP38)=0,19&lt;=КаникулыРоялти),0,('03_Сеть'!AP40-AP38)*IF(РоялтиПоГруппам="Да",MeanMinAge19+AP9*SUMIF(ThresholdAge19,"&lt;"&amp;AP9,WeightedRevAge19)-SUMIF(ThresholdAge19,"&lt;"&amp;AP9,WeightedMinAge19),MAX(CapacityAge19*АбонементНовых*AP9,MeanMinAge19)))</f>
        <v/>
      </c>
      <c r="AQ92" s="4">
        <f>IF(OR(('03_Сеть'!AQ40-AQ38)=0,19&lt;=КаникулыРоялти),0,('03_Сеть'!AQ40-AQ38)*IF(РоялтиПоГруппам="Да",MeanMinAge19+AQ9*SUMIF(ThresholdAge19,"&lt;"&amp;AQ9,WeightedRevAge19)-SUMIF(ThresholdAge19,"&lt;"&amp;AQ9,WeightedMinAge19),MAX(CapacityAge19*АбонементНовых*AQ9,MeanMinAge19)))</f>
        <v/>
      </c>
      <c r="AR92" s="4">
        <f>IF(OR(('03_Сеть'!AR40-AR38)=0,19&lt;=КаникулыРоялти),0,('03_Сеть'!AR40-AR38)*IF(РоялтиПоГруппам="Да",MeanMinAge19+AR9*SUMIF(ThresholdAge19,"&lt;"&amp;AR9,WeightedRevAge19)-SUMIF(ThresholdAge19,"&lt;"&amp;AR9,WeightedMinAge19),MAX(CapacityAge19*АбонементНовых*AR9,MeanMinAge19)))</f>
        <v/>
      </c>
      <c r="AS92" s="4">
        <f>IF(OR(('03_Сеть'!AS40-AS38)=0,19&lt;=КаникулыРоялти),0,('03_Сеть'!AS40-AS38)*IF(РоялтиПоГруппам="Да",MeanMinAge19+AS9*SUMIF(ThresholdAge19,"&lt;"&amp;AS9,WeightedRevAge19)-SUMIF(ThresholdAge19,"&lt;"&amp;AS9,WeightedMinAge19),MAX(CapacityAge19*АбонементНовых*AS9,MeanMinAge19)))</f>
        <v/>
      </c>
      <c r="AT92" s="4">
        <f>IF(OR(('03_Сеть'!AT40-AT38)=0,19&lt;=КаникулыРоялти),0,('03_Сеть'!AT40-AT38)*IF(РоялтиПоГруппам="Да",MeanMinAge19+AT9*SUMIF(ThresholdAge19,"&lt;"&amp;AT9,WeightedRevAge19)-SUMIF(ThresholdAge19,"&lt;"&amp;AT9,WeightedMinAge19),MAX(CapacityAge19*АбонементНовых*AT9,MeanMinAge19)))</f>
        <v/>
      </c>
      <c r="AU92" s="4">
        <f>IF(OR(('03_Сеть'!AU40-AU38)=0,19&lt;=КаникулыРоялти),0,('03_Сеть'!AU40-AU38)*IF(РоялтиПоГруппам="Да",MeanMinAge19+AU9*SUMIF(ThresholdAge19,"&lt;"&amp;AU9,WeightedRevAge19)-SUMIF(ThresholdAge19,"&lt;"&amp;AU9,WeightedMinAge19),MAX(CapacityAge19*АбонементНовых*AU9,MeanMinAge19)))</f>
        <v/>
      </c>
      <c r="AV92" s="4">
        <f>IF(OR(('03_Сеть'!AV40-AV38)=0,19&lt;=КаникулыРоялти),0,('03_Сеть'!AV40-AV38)*IF(РоялтиПоГруппам="Да",MeanMinAge19+AV9*SUMIF(ThresholdAge19,"&lt;"&amp;AV9,WeightedRevAge19)-SUMIF(ThresholdAge19,"&lt;"&amp;AV9,WeightedMinAge19),MAX(CapacityAge19*АбонементНовых*AV9,MeanMinAge19)))</f>
        <v/>
      </c>
      <c r="AW92" s="4">
        <f>IF(OR(('03_Сеть'!AW40-AW38)=0,19&lt;=КаникулыРоялти),0,('03_Сеть'!AW40-AW38)*IF(РоялтиПоГруппам="Да",MeanMinAge19+AW9*SUMIF(ThresholdAge19,"&lt;"&amp;AW9,WeightedRevAge19)-SUMIF(ThresholdAge19,"&lt;"&amp;AW9,WeightedMinAge19),MAX(CapacityAge19*АбонементНовых*AW9,MeanMinAge19)))</f>
        <v/>
      </c>
      <c r="AX92" s="4">
        <f>IF(OR(('03_Сеть'!AX40-AX38)=0,19&lt;=КаникулыРоялти),0,('03_Сеть'!AX40-AX38)*IF(РоялтиПоГруппам="Да",MeanMinAge19+AX9*SUMIF(ThresholdAge19,"&lt;"&amp;AX9,WeightedRevAge19)-SUMIF(ThresholdAge19,"&lt;"&amp;AX9,WeightedMinAge19),MAX(CapacityAge19*АбонементНовых*AX9,MeanMinAge19)))</f>
        <v/>
      </c>
      <c r="AY92" s="4">
        <f>IF(OR(('03_Сеть'!AY40-AY38)=0,19&lt;=КаникулыРоялти),0,('03_Сеть'!AY40-AY38)*IF(РоялтиПоГруппам="Да",MeanMinAge19+AY9*SUMIF(ThresholdAge19,"&lt;"&amp;AY9,WeightedRevAge19)-SUMIF(ThresholdAge19,"&lt;"&amp;AY9,WeightedMinAge19),MAX(CapacityAge19*АбонементНовых*AY9,MeanMinAge19)))</f>
        <v/>
      </c>
      <c r="AZ92" s="4">
        <f>IF(OR(('03_Сеть'!AZ40-AZ38)=0,19&lt;=КаникулыРоялти),0,('03_Сеть'!AZ40-AZ38)*IF(РоялтиПоГруппам="Да",MeanMinAge19+AZ9*SUMIF(ThresholdAge19,"&lt;"&amp;AZ9,WeightedRevAge19)-SUMIF(ThresholdAge19,"&lt;"&amp;AZ9,WeightedMinAge19),MAX(CapacityAge19*АбонементНовых*AZ9,MeanMinAge19)))</f>
        <v/>
      </c>
      <c r="BA92" s="4">
        <f>IF(OR(('03_Сеть'!BA40-BA38)=0,19&lt;=КаникулыРоялти),0,('03_Сеть'!BA40-BA38)*IF(РоялтиПоГруппам="Да",MeanMinAge19+BA9*SUMIF(ThresholdAge19,"&lt;"&amp;BA9,WeightedRevAge19)-SUMIF(ThresholdAge19,"&lt;"&amp;BA9,WeightedMinAge19),MAX(CapacityAge19*АбонементНовых*BA9,MeanMinAge19)))</f>
        <v/>
      </c>
      <c r="BB92" s="4">
        <f>IF(OR(('03_Сеть'!BB40-BB38)=0,19&lt;=КаникулыРоялти),0,('03_Сеть'!BB40-BB38)*IF(РоялтиПоГруппам="Да",MeanMinAge19+BB9*SUMIF(ThresholdAge19,"&lt;"&amp;BB9,WeightedRevAge19)-SUMIF(ThresholdAge19,"&lt;"&amp;BB9,WeightedMinAge19),MAX(CapacityAge19*АбонементНовых*BB9,MeanMinAge19)))</f>
        <v/>
      </c>
      <c r="BC92" s="4">
        <f>IF(OR(('03_Сеть'!BC40-BC38)=0,19&lt;=КаникулыРоялти),0,('03_Сеть'!BC40-BC38)*IF(РоялтиПоГруппам="Да",MeanMinAge19+BC9*SUMIF(ThresholdAge19,"&lt;"&amp;BC9,WeightedRevAge19)-SUMIF(ThresholdAge19,"&lt;"&amp;BC9,WeightedMinAge19),MAX(CapacityAge19*АбонементНовых*BC9,MeanMinAge19)))</f>
        <v/>
      </c>
      <c r="BD92" s="4">
        <f>IF(OR(('03_Сеть'!BD40-BD38)=0,19&lt;=КаникулыРоялти),0,('03_Сеть'!BD40-BD38)*IF(РоялтиПоГруппам="Да",MeanMinAge19+BD9*SUMIF(ThresholdAge19,"&lt;"&amp;BD9,WeightedRevAge19)-SUMIF(ThresholdAge19,"&lt;"&amp;BD9,WeightedMinAge19),MAX(CapacityAge19*АбонементНовых*BD9,MeanMinAge19)))</f>
        <v/>
      </c>
      <c r="BE92" s="4">
        <f>IF(OR(('03_Сеть'!BE40-BE38)=0,19&lt;=КаникулыРоялти),0,('03_Сеть'!BE40-BE38)*IF(РоялтиПоГруппам="Да",MeanMinAge19+BE9*SUMIF(ThresholdAge19,"&lt;"&amp;BE9,WeightedRevAge19)-SUMIF(ThresholdAge19,"&lt;"&amp;BE9,WeightedMinAge19),MAX(CapacityAge19*АбонементНовых*BE9,MeanMinAge19)))</f>
        <v/>
      </c>
      <c r="BF92" s="4">
        <f>IF(OR(('03_Сеть'!BF40-BF38)=0,19&lt;=КаникулыРоялти),0,('03_Сеть'!BF40-BF38)*IF(РоялтиПоГруппам="Да",MeanMinAge19+BF9*SUMIF(ThresholdAge19,"&lt;"&amp;BF9,WeightedRevAge19)-SUMIF(ThresholdAge19,"&lt;"&amp;BF9,WeightedMinAge19),MAX(CapacityAge19*АбонементНовых*BF9,MeanMinAge19)))</f>
        <v/>
      </c>
      <c r="BG92" s="4">
        <f>IF(OR(('03_Сеть'!BG40-BG38)=0,19&lt;=КаникулыРоялти),0,('03_Сеть'!BG40-BG38)*IF(РоялтиПоГруппам="Да",MeanMinAge19+BG9*SUMIF(ThresholdAge19,"&lt;"&amp;BG9,WeightedRevAge19)-SUMIF(ThresholdAge19,"&lt;"&amp;BG9,WeightedMinAge19),MAX(CapacityAge19*АбонементНовых*BG9,MeanMinAge19)))</f>
        <v/>
      </c>
      <c r="BH92" s="4">
        <f>IF(OR(('03_Сеть'!BH40-BH38)=0,19&lt;=КаникулыРоялти),0,('03_Сеть'!BH40-BH38)*IF(РоялтиПоГруппам="Да",MeanMinAge19+BH9*SUMIF(ThresholdAge19,"&lt;"&amp;BH9,WeightedRevAge19)-SUMIF(ThresholdAge19,"&lt;"&amp;BH9,WeightedMinAge19),MAX(CapacityAge19*АбонементНовых*BH9,MeanMinAge19)))</f>
        <v/>
      </c>
      <c r="BI92" s="4">
        <f>IF(OR(('03_Сеть'!BI40-BI38)=0,19&lt;=КаникулыРоялти),0,('03_Сеть'!BI40-BI38)*IF(РоялтиПоГруппам="Да",MeanMinAge19+BI9*SUMIF(ThresholdAge19,"&lt;"&amp;BI9,WeightedRevAge19)-SUMIF(ThresholdAge19,"&lt;"&amp;BI9,WeightedMinAge19),MAX(CapacityAge19*АбонементНовых*BI9,MeanMinAge19)))</f>
        <v/>
      </c>
      <c r="BJ92" s="4">
        <f>IF(OR(('03_Сеть'!BJ40-BJ38)=0,19&lt;=КаникулыРоялти),0,('03_Сеть'!BJ40-BJ38)*IF(РоялтиПоГруппам="Да",MeanMinAge19+BJ9*SUMIF(ThresholdAge19,"&lt;"&amp;BJ9,WeightedRevAge19)-SUMIF(ThresholdAge19,"&lt;"&amp;BJ9,WeightedMinAge19),MAX(CapacityAge19*АбонементНовых*BJ9,MeanMinAge19)))</f>
        <v/>
      </c>
      <c r="BK92" s="4">
        <f>IF(OR(('03_Сеть'!BK40-BK38)=0,19&lt;=КаникулыРоялти),0,('03_Сеть'!BK40-BK38)*IF(РоялтиПоГруппам="Да",MeanMinAge19+BK9*SUMIF(ThresholdAge19,"&lt;"&amp;BK9,WeightedRevAge19)-SUMIF(ThresholdAge19,"&lt;"&amp;BK9,WeightedMinAge19),MAX(CapacityAge19*АбонементНовых*BK9,MeanMinAge19)))</f>
        <v/>
      </c>
      <c r="BL92" s="4">
        <f>IF(OR(('03_Сеть'!BL40-BL38)=0,19&lt;=КаникулыРоялти),0,('03_Сеть'!BL40-BL38)*IF(РоялтиПоГруппам="Да",MeanMinAge19+BL9*SUMIF(ThresholdAge19,"&lt;"&amp;BL9,WeightedRevAge19)-SUMIF(ThresholdAge19,"&lt;"&amp;BL9,WeightedMinAge19),MAX(CapacityAge19*АбонементНовых*BL9,MeanMinAge19)))</f>
        <v/>
      </c>
      <c r="BM92" s="4">
        <f>IF(OR(('03_Сеть'!BM40-BM38)=0,19&lt;=КаникулыРоялти),0,('03_Сеть'!BM40-BM38)*IF(РоялтиПоГруппам="Да",MeanMinAge19+BM9*SUMIF(ThresholdAge19,"&lt;"&amp;BM9,WeightedRevAge19)-SUMIF(ThresholdAge19,"&lt;"&amp;BM9,WeightedMinAge19),MAX(CapacityAge19*АбонементНовых*BM9,MeanMinAge19)))</f>
        <v/>
      </c>
      <c r="BN92" s="4">
        <f>IF(OR(('03_Сеть'!BN40-BN38)=0,19&lt;=КаникулыРоялти),0,('03_Сеть'!BN40-BN38)*IF(РоялтиПоГруппам="Да",MeanMinAge19+BN9*SUMIF(ThresholdAge19,"&lt;"&amp;BN9,WeightedRevAge19)-SUMIF(ThresholdAge19,"&lt;"&amp;BN9,WeightedMinAge19),MAX(CapacityAge19*АбонементНовых*BN9,MeanMinAge19)))</f>
        <v/>
      </c>
      <c r="BO92" s="4">
        <f>IF(OR(('03_Сеть'!BO40-BO38)=0,19&lt;=КаникулыРоялти),0,('03_Сеть'!BO40-BO38)*IF(РоялтиПоГруппам="Да",MeanMinAge19+BO9*SUMIF(ThresholdAge19,"&lt;"&amp;BO9,WeightedRevAge19)-SUMIF(ThresholdAge19,"&lt;"&amp;BO9,WeightedMinAge19),MAX(CapacityAge19*АбонементНовых*BO9,MeanMinAge19)))</f>
        <v/>
      </c>
      <c r="BP92" s="4">
        <f>IF(OR(('03_Сеть'!BP40-BP38)=0,19&lt;=КаникулыРоялти),0,('03_Сеть'!BP40-BP38)*IF(РоялтиПоГруппам="Да",MeanMinAge19+BP9*SUMIF(ThresholdAge19,"&lt;"&amp;BP9,WeightedRevAge19)-SUMIF(ThresholdAge19,"&lt;"&amp;BP9,WeightedMinAge19),MAX(CapacityAge19*АбонементНовых*BP9,MeanMinAge19)))</f>
        <v/>
      </c>
      <c r="BQ92" s="4">
        <f>IF(OR(('03_Сеть'!BQ40-BQ38)=0,19&lt;=КаникулыРоялти),0,('03_Сеть'!BQ40-BQ38)*IF(РоялтиПоГруппам="Да",MeanMinAge19+BQ9*SUMIF(ThresholdAge19,"&lt;"&amp;BQ9,WeightedRevAge19)-SUMIF(ThresholdAge19,"&lt;"&amp;BQ9,WeightedMinAge19),MAX(CapacityAge19*АбонементНовых*BQ9,MeanMinAge19)))</f>
        <v/>
      </c>
      <c r="BR92" s="4">
        <f>IF(OR(('03_Сеть'!BR40-BR38)=0,19&lt;=КаникулыРоялти),0,('03_Сеть'!BR40-BR38)*IF(РоялтиПоГруппам="Да",MeanMinAge19+BR9*SUMIF(ThresholdAge19,"&lt;"&amp;BR9,WeightedRevAge19)-SUMIF(ThresholdAge19,"&lt;"&amp;BR9,WeightedMinAge19),MAX(CapacityAge19*АбонементНовых*BR9,MeanMinAge19)))</f>
        <v/>
      </c>
      <c r="BS92" s="4">
        <f>IF(OR(('03_Сеть'!BS40-BS38)=0,19&lt;=КаникулыРоялти),0,('03_Сеть'!BS40-BS38)*IF(РоялтиПоГруппам="Да",MeanMinAge19+BS9*SUMIF(ThresholdAge19,"&lt;"&amp;BS9,WeightedRevAge19)-SUMIF(ThresholdAge19,"&lt;"&amp;BS9,WeightedMinAge19),MAX(CapacityAge19*АбонементНовых*BS9,MeanMinAge19)))</f>
        <v/>
      </c>
      <c r="BT92" s="4">
        <f>IF(OR(('03_Сеть'!BT40-BT38)=0,19&lt;=КаникулыРоялти),0,('03_Сеть'!BT40-BT38)*IF(РоялтиПоГруппам="Да",MeanMinAge19+BT9*SUMIF(ThresholdAge19,"&lt;"&amp;BT9,WeightedRevAge19)-SUMIF(ThresholdAge19,"&lt;"&amp;BT9,WeightedMinAge19),MAX(CapacityAge19*АбонементНовых*BT9,MeanMinAge19)))</f>
        <v/>
      </c>
      <c r="BU92" s="4">
        <f>IF(OR(('03_Сеть'!BU40-BU38)=0,19&lt;=КаникулыРоялти),0,('03_Сеть'!BU40-BU38)*IF(РоялтиПоГруппам="Да",MeanMinAge19+BU9*SUMIF(ThresholdAge19,"&lt;"&amp;BU9,WeightedRevAge19)-SUMIF(ThresholdAge19,"&lt;"&amp;BU9,WeightedMinAge19),MAX(CapacityAge19*АбонементНовых*BU9,MeanMinAge19)))</f>
        <v/>
      </c>
      <c r="BV92" s="4">
        <f>IF(OR(('03_Сеть'!BV40-BV38)=0,19&lt;=КаникулыРоялти),0,('03_Сеть'!BV40-BV38)*IF(РоялтиПоГруппам="Да",MeanMinAge19+BV9*SUMIF(ThresholdAge19,"&lt;"&amp;BV9,WeightedRevAge19)-SUMIF(ThresholdAge19,"&lt;"&amp;BV9,WeightedMinAge19),MAX(CapacityAge19*АбонементНовых*BV9,MeanMinAge19)))</f>
        <v/>
      </c>
      <c r="BW92" s="4">
        <f>IF(OR(('03_Сеть'!BW40-BW38)=0,19&lt;=КаникулыРоялти),0,('03_Сеть'!BW40-BW38)*IF(РоялтиПоГруппам="Да",MeanMinAge19+BW9*SUMIF(ThresholdAge19,"&lt;"&amp;BW9,WeightedRevAge19)-SUMIF(ThresholdAge19,"&lt;"&amp;BW9,WeightedMinAge19),MAX(CapacityAge19*АбонементНовых*BW9,MeanMinAge19)))</f>
        <v/>
      </c>
      <c r="BX92" s="4">
        <f>IF(OR(('03_Сеть'!BX40-BX38)=0,19&lt;=КаникулыРоялти),0,('03_Сеть'!BX40-BX38)*IF(РоялтиПоГруппам="Да",MeanMinAge19+BX9*SUMIF(ThresholdAge19,"&lt;"&amp;BX9,WeightedRevAge19)-SUMIF(ThresholdAge19,"&lt;"&amp;BX9,WeightedMinAge19),MAX(CapacityAge19*АбонементНовых*BX9,MeanMinAge19)))</f>
        <v/>
      </c>
      <c r="BY92" s="4">
        <f>IF(OR(('03_Сеть'!BY40-BY38)=0,19&lt;=КаникулыРоялти),0,('03_Сеть'!BY40-BY38)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93">
      <c r="B93" t="inlineStr">
        <is>
          <t>20 мес.</t>
        </is>
      </c>
      <c r="C93" t="inlineStr">
        <is>
          <t>₽</t>
        </is>
      </c>
      <c r="D93" s="117" t="inlineStr"/>
      <c r="E93" s="119">
        <f>SUM(L93:W93)</f>
        <v/>
      </c>
      <c r="F93" s="119">
        <f>SUM(X93:AI93)</f>
        <v/>
      </c>
      <c r="G93" s="119">
        <f>SUM(AJ93:AU93)</f>
        <v/>
      </c>
      <c r="H93" s="119">
        <f>SUM(AV93:BG93)</f>
        <v/>
      </c>
      <c r="I93" s="119">
        <f>SUM(BH93:BS93)</f>
        <v/>
      </c>
      <c r="J93" s="5">
        <f>SUM(L93:BS93)</f>
        <v/>
      </c>
      <c r="L93" s="4">
        <f>IF(OR(('03_Сеть'!L41-L39)=0,20&lt;=КаникулыРоялти),0,('03_Сеть'!L41-L39)*IF(РоялтиПоГруппам="Да",MeanMinAge20+L9*SUMIF(ThresholdAge20,"&lt;"&amp;L9,WeightedRevAge20)-SUMIF(ThresholdAge20,"&lt;"&amp;L9,WeightedMinAge20),MAX(CapacityAge20*АбонементНовых*L9,MeanMinAge20)))</f>
        <v/>
      </c>
      <c r="M93" s="4">
        <f>IF(OR(('03_Сеть'!M41-M39)=0,20&lt;=КаникулыРоялти),0,('03_Сеть'!M41-M39)*IF(РоялтиПоГруппам="Да",MeanMinAge20+M9*SUMIF(ThresholdAge20,"&lt;"&amp;M9,WeightedRevAge20)-SUMIF(ThresholdAge20,"&lt;"&amp;M9,WeightedMinAge20),MAX(CapacityAge20*АбонементНовых*M9,MeanMinAge20)))</f>
        <v/>
      </c>
      <c r="N93" s="4">
        <f>IF(OR(('03_Сеть'!N41-N39)=0,20&lt;=КаникулыРоялти),0,('03_Сеть'!N41-N39)*IF(РоялтиПоГруппам="Да",MeanMinAge20+N9*SUMIF(ThresholdAge20,"&lt;"&amp;N9,WeightedRevAge20)-SUMIF(ThresholdAge20,"&lt;"&amp;N9,WeightedMinAge20),MAX(CapacityAge20*АбонементНовых*N9,MeanMinAge20)))</f>
        <v/>
      </c>
      <c r="O93" s="4">
        <f>IF(OR(('03_Сеть'!O41-O39)=0,20&lt;=КаникулыРоялти),0,('03_Сеть'!O41-O39)*IF(РоялтиПоГруппам="Да",MeanMinAge20+O9*SUMIF(ThresholdAge20,"&lt;"&amp;O9,WeightedRevAge20)-SUMIF(ThresholdAge20,"&lt;"&amp;O9,WeightedMinAge20),MAX(CapacityAge20*АбонементНовых*O9,MeanMinAge20)))</f>
        <v/>
      </c>
      <c r="P93" s="4">
        <f>IF(OR(('03_Сеть'!P41-P39)=0,20&lt;=КаникулыРоялти),0,('03_Сеть'!P41-P39)*IF(РоялтиПоГруппам="Да",MeanMinAge20+P9*SUMIF(ThresholdAge20,"&lt;"&amp;P9,WeightedRevAge20)-SUMIF(ThresholdAge20,"&lt;"&amp;P9,WeightedMinAge20),MAX(CapacityAge20*АбонементНовых*P9,MeanMinAge20)))</f>
        <v/>
      </c>
      <c r="Q93" s="4">
        <f>IF(OR(('03_Сеть'!Q41-Q39)=0,20&lt;=КаникулыРоялти),0,('03_Сеть'!Q41-Q39)*IF(РоялтиПоГруппам="Да",MeanMinAge20+Q9*SUMIF(ThresholdAge20,"&lt;"&amp;Q9,WeightedRevAge20)-SUMIF(ThresholdAge20,"&lt;"&amp;Q9,WeightedMinAge20),MAX(CapacityAge20*АбонементНовых*Q9,MeanMinAge20)))</f>
        <v/>
      </c>
      <c r="R93" s="4">
        <f>IF(OR(('03_Сеть'!R41-R39)=0,20&lt;=КаникулыРоялти),0,('03_Сеть'!R41-R39)*IF(РоялтиПоГруппам="Да",MeanMinAge20+R9*SUMIF(ThresholdAge20,"&lt;"&amp;R9,WeightedRevAge20)-SUMIF(ThresholdAge20,"&lt;"&amp;R9,WeightedMinAge20),MAX(CapacityAge20*АбонементНовых*R9,MeanMinAge20)))</f>
        <v/>
      </c>
      <c r="S93" s="4">
        <f>IF(OR(('03_Сеть'!S41-S39)=0,20&lt;=КаникулыРоялти),0,('03_Сеть'!S41-S39)*IF(РоялтиПоГруппам="Да",MeanMinAge20+S9*SUMIF(ThresholdAge20,"&lt;"&amp;S9,WeightedRevAge20)-SUMIF(ThresholdAge20,"&lt;"&amp;S9,WeightedMinAge20),MAX(CapacityAge20*АбонементНовых*S9,MeanMinAge20)))</f>
        <v/>
      </c>
      <c r="T93" s="4">
        <f>IF(OR(('03_Сеть'!T41-T39)=0,20&lt;=КаникулыРоялти),0,('03_Сеть'!T41-T39)*IF(РоялтиПоГруппам="Да",MeanMinAge20+T9*SUMIF(ThresholdAge20,"&lt;"&amp;T9,WeightedRevAge20)-SUMIF(ThresholdAge20,"&lt;"&amp;T9,WeightedMinAge20),MAX(CapacityAge20*АбонементНовых*T9,MeanMinAge20)))</f>
        <v/>
      </c>
      <c r="U93" s="4">
        <f>IF(OR(('03_Сеть'!U41-U39)=0,20&lt;=КаникулыРоялти),0,('03_Сеть'!U41-U39)*IF(РоялтиПоГруппам="Да",MeanMinAge20+U9*SUMIF(ThresholdAge20,"&lt;"&amp;U9,WeightedRevAge20)-SUMIF(ThresholdAge20,"&lt;"&amp;U9,WeightedMinAge20),MAX(CapacityAge20*АбонементНовых*U9,MeanMinAge20)))</f>
        <v/>
      </c>
      <c r="V93" s="4">
        <f>IF(OR(('03_Сеть'!V41-V39)=0,20&lt;=КаникулыРоялти),0,('03_Сеть'!V41-V39)*IF(РоялтиПоГруппам="Да",MeanMinAge20+V9*SUMIF(ThresholdAge20,"&lt;"&amp;V9,WeightedRevAge20)-SUMIF(ThresholdAge20,"&lt;"&amp;V9,WeightedMinAge20),MAX(CapacityAge20*АбонементНовых*V9,MeanMinAge20)))</f>
        <v/>
      </c>
      <c r="W93" s="4">
        <f>IF(OR(('03_Сеть'!W41-W39)=0,20&lt;=КаникулыРоялти),0,('03_Сеть'!W41-W39)*IF(РоялтиПоГруппам="Да",MeanMinAge20+W9*SUMIF(ThresholdAge20,"&lt;"&amp;W9,WeightedRevAge20)-SUMIF(ThresholdAge20,"&lt;"&amp;W9,WeightedMinAge20),MAX(CapacityAge20*АбонементНовых*W9,MeanMinAge20)))</f>
        <v/>
      </c>
      <c r="X93" s="4">
        <f>IF(OR(('03_Сеть'!X41-X39)=0,20&lt;=КаникулыРоялти),0,('03_Сеть'!X41-X39)*IF(РоялтиПоГруппам="Да",MeanMinAge20+X9*SUMIF(ThresholdAge20,"&lt;"&amp;X9,WeightedRevAge20)-SUMIF(ThresholdAge20,"&lt;"&amp;X9,WeightedMinAge20),MAX(CapacityAge20*АбонементНовых*X9,MeanMinAge20)))</f>
        <v/>
      </c>
      <c r="Y93" s="4">
        <f>IF(OR(('03_Сеть'!Y41-Y39)=0,20&lt;=КаникулыРоялти),0,('03_Сеть'!Y41-Y39)*IF(РоялтиПоГруппам="Да",MeanMinAge20+Y9*SUMIF(ThresholdAge20,"&lt;"&amp;Y9,WeightedRevAge20)-SUMIF(ThresholdAge20,"&lt;"&amp;Y9,WeightedMinAge20),MAX(CapacityAge20*АбонементНовых*Y9,MeanMinAge20)))</f>
        <v/>
      </c>
      <c r="Z93" s="4">
        <f>IF(OR(('03_Сеть'!Z41-Z39)=0,20&lt;=КаникулыРоялти),0,('03_Сеть'!Z41-Z39)*IF(РоялтиПоГруппам="Да",MeanMinAge20+Z9*SUMIF(ThresholdAge20,"&lt;"&amp;Z9,WeightedRevAge20)-SUMIF(ThresholdAge20,"&lt;"&amp;Z9,WeightedMinAge20),MAX(CapacityAge20*АбонементНовых*Z9,MeanMinAge20)))</f>
        <v/>
      </c>
      <c r="AA93" s="4">
        <f>IF(OR(('03_Сеть'!AA41-AA39)=0,20&lt;=КаникулыРоялти),0,('03_Сеть'!AA41-AA39)*IF(РоялтиПоГруппам="Да",MeanMinAge20+AA9*SUMIF(ThresholdAge20,"&lt;"&amp;AA9,WeightedRevAge20)-SUMIF(ThresholdAge20,"&lt;"&amp;AA9,WeightedMinAge20),MAX(CapacityAge20*АбонементНовых*AA9,MeanMinAge20)))</f>
        <v/>
      </c>
      <c r="AB93" s="4">
        <f>IF(OR(('03_Сеть'!AB41-AB39)=0,20&lt;=КаникулыРоялти),0,('03_Сеть'!AB41-AB39)*IF(РоялтиПоГруппам="Да",MeanMinAge20+AB9*SUMIF(ThresholdAge20,"&lt;"&amp;AB9,WeightedRevAge20)-SUMIF(ThresholdAge20,"&lt;"&amp;AB9,WeightedMinAge20),MAX(CapacityAge20*АбонементНовых*AB9,MeanMinAge20)))</f>
        <v/>
      </c>
      <c r="AC93" s="4">
        <f>IF(OR(('03_Сеть'!AC41-AC39)=0,20&lt;=КаникулыРоялти),0,('03_Сеть'!AC41-AC39)*IF(РоялтиПоГруппам="Да",MeanMinAge20+AC9*SUMIF(ThresholdAge20,"&lt;"&amp;AC9,WeightedRevAge20)-SUMIF(ThresholdAge20,"&lt;"&amp;AC9,WeightedMinAge20),MAX(CapacityAge20*АбонементНовых*AC9,MeanMinAge20)))</f>
        <v/>
      </c>
      <c r="AD93" s="4">
        <f>IF(OR(('03_Сеть'!AD41-AD39)=0,20&lt;=КаникулыРоялти),0,('03_Сеть'!AD41-AD39)*IF(РоялтиПоГруппам="Да",MeanMinAge20+AD9*SUMIF(ThresholdAge20,"&lt;"&amp;AD9,WeightedRevAge20)-SUMIF(ThresholdAge20,"&lt;"&amp;AD9,WeightedMinAge20),MAX(CapacityAge20*АбонементНовых*AD9,MeanMinAge20)))</f>
        <v/>
      </c>
      <c r="AE93" s="4">
        <f>IF(OR(('03_Сеть'!AE41-AE39)=0,20&lt;=КаникулыРоялти),0,('03_Сеть'!AE41-AE39)*IF(РоялтиПоГруппам="Да",MeanMinAge20+AE9*SUMIF(ThresholdAge20,"&lt;"&amp;AE9,WeightedRevAge20)-SUMIF(ThresholdAge20,"&lt;"&amp;AE9,WeightedMinAge20),MAX(CapacityAge20*АбонементНовых*AE9,MeanMinAge20)))</f>
        <v/>
      </c>
      <c r="AF93" s="4">
        <f>IF(OR(('03_Сеть'!AF41-AF39)=0,20&lt;=КаникулыРоялти),0,('03_Сеть'!AF41-AF39)*IF(РоялтиПоГруппам="Да",MeanMinAge20+AF9*SUMIF(ThresholdAge20,"&lt;"&amp;AF9,WeightedRevAge20)-SUMIF(ThresholdAge20,"&lt;"&amp;AF9,WeightedMinAge20),MAX(CapacityAge20*АбонементНовых*AF9,MeanMinAge20)))</f>
        <v/>
      </c>
      <c r="AG93" s="4">
        <f>IF(OR(('03_Сеть'!AG41-AG39)=0,20&lt;=КаникулыРоялти),0,('03_Сеть'!AG41-AG39)*IF(РоялтиПоГруппам="Да",MeanMinAge20+AG9*SUMIF(ThresholdAge20,"&lt;"&amp;AG9,WeightedRevAge20)-SUMIF(ThresholdAge20,"&lt;"&amp;AG9,WeightedMinAge20),MAX(CapacityAge20*АбонементНовых*AG9,MeanMinAge20)))</f>
        <v/>
      </c>
      <c r="AH93" s="4">
        <f>IF(OR(('03_Сеть'!AH41-AH39)=0,20&lt;=КаникулыРоялти),0,('03_Сеть'!AH41-AH39)*IF(РоялтиПоГруппам="Да",MeanMinAge20+AH9*SUMIF(ThresholdAge20,"&lt;"&amp;AH9,WeightedRevAge20)-SUMIF(ThresholdAge20,"&lt;"&amp;AH9,WeightedMinAge20),MAX(CapacityAge20*АбонементНовых*AH9,MeanMinAge20)))</f>
        <v/>
      </c>
      <c r="AI93" s="4">
        <f>IF(OR(('03_Сеть'!AI41-AI39)=0,20&lt;=КаникулыРоялти),0,('03_Сеть'!AI41-AI39)*IF(РоялтиПоГруппам="Да",MeanMinAge20+AI9*SUMIF(ThresholdAge20,"&lt;"&amp;AI9,WeightedRevAge20)-SUMIF(ThresholdAge20,"&lt;"&amp;AI9,WeightedMinAge20),MAX(CapacityAge20*АбонементНовых*AI9,MeanMinAge20)))</f>
        <v/>
      </c>
      <c r="AJ93" s="4">
        <f>IF(OR(('03_Сеть'!AJ41-AJ39)=0,20&lt;=КаникулыРоялти),0,('03_Сеть'!AJ41-AJ39)*IF(РоялтиПоГруппам="Да",MeanMinAge20+AJ9*SUMIF(ThresholdAge20,"&lt;"&amp;AJ9,WeightedRevAge20)-SUMIF(ThresholdAge20,"&lt;"&amp;AJ9,WeightedMinAge20),MAX(CapacityAge20*АбонементНовых*AJ9,MeanMinAge20)))</f>
        <v/>
      </c>
      <c r="AK93" s="4">
        <f>IF(OR(('03_Сеть'!AK41-AK39)=0,20&lt;=КаникулыРоялти),0,('03_Сеть'!AK41-AK39)*IF(РоялтиПоГруппам="Да",MeanMinAge20+AK9*SUMIF(ThresholdAge20,"&lt;"&amp;AK9,WeightedRevAge20)-SUMIF(ThresholdAge20,"&lt;"&amp;AK9,WeightedMinAge20),MAX(CapacityAge20*АбонементНовых*AK9,MeanMinAge20)))</f>
        <v/>
      </c>
      <c r="AL93" s="4">
        <f>IF(OR(('03_Сеть'!AL41-AL39)=0,20&lt;=КаникулыРоялти),0,('03_Сеть'!AL41-AL39)*IF(РоялтиПоГруппам="Да",MeanMinAge20+AL9*SUMIF(ThresholdAge20,"&lt;"&amp;AL9,WeightedRevAge20)-SUMIF(ThresholdAge20,"&lt;"&amp;AL9,WeightedMinAge20),MAX(CapacityAge20*АбонементНовых*AL9,MeanMinAge20)))</f>
        <v/>
      </c>
      <c r="AM93" s="4">
        <f>IF(OR(('03_Сеть'!AM41-AM39)=0,20&lt;=КаникулыРоялти),0,('03_Сеть'!AM41-AM39)*IF(РоялтиПоГруппам="Да",MeanMinAge20+AM9*SUMIF(ThresholdAge20,"&lt;"&amp;AM9,WeightedRevAge20)-SUMIF(ThresholdAge20,"&lt;"&amp;AM9,WeightedMinAge20),MAX(CapacityAge20*АбонементНовых*AM9,MeanMinAge20)))</f>
        <v/>
      </c>
      <c r="AN93" s="4">
        <f>IF(OR(('03_Сеть'!AN41-AN39)=0,20&lt;=КаникулыРоялти),0,('03_Сеть'!AN41-AN39)*IF(РоялтиПоГруппам="Да",MeanMinAge20+AN9*SUMIF(ThresholdAge20,"&lt;"&amp;AN9,WeightedRevAge20)-SUMIF(ThresholdAge20,"&lt;"&amp;AN9,WeightedMinAge20),MAX(CapacityAge20*АбонементНовых*AN9,MeanMinAge20)))</f>
        <v/>
      </c>
      <c r="AO93" s="4">
        <f>IF(OR(('03_Сеть'!AO41-AO39)=0,20&lt;=КаникулыРоялти),0,('03_Сеть'!AO41-AO39)*IF(РоялтиПоГруппам="Да",MeanMinAge20+AO9*SUMIF(ThresholdAge20,"&lt;"&amp;AO9,WeightedRevAge20)-SUMIF(ThresholdAge20,"&lt;"&amp;AO9,WeightedMinAge20),MAX(CapacityAge20*АбонементНовых*AO9,MeanMinAge20)))</f>
        <v/>
      </c>
      <c r="AP93" s="4">
        <f>IF(OR(('03_Сеть'!AP41-AP39)=0,20&lt;=КаникулыРоялти),0,('03_Сеть'!AP41-AP39)*IF(РоялтиПоГруппам="Да",MeanMinAge20+AP9*SUMIF(ThresholdAge20,"&lt;"&amp;AP9,WeightedRevAge20)-SUMIF(ThresholdAge20,"&lt;"&amp;AP9,WeightedMinAge20),MAX(CapacityAge20*АбонементНовых*AP9,MeanMinAge20)))</f>
        <v/>
      </c>
      <c r="AQ93" s="4">
        <f>IF(OR(('03_Сеть'!AQ41-AQ39)=0,20&lt;=КаникулыРоялти),0,('03_Сеть'!AQ41-AQ39)*IF(РоялтиПоГруппам="Да",MeanMinAge20+AQ9*SUMIF(ThresholdAge20,"&lt;"&amp;AQ9,WeightedRevAge20)-SUMIF(ThresholdAge20,"&lt;"&amp;AQ9,WeightedMinAge20),MAX(CapacityAge20*АбонементНовых*AQ9,MeanMinAge20)))</f>
        <v/>
      </c>
      <c r="AR93" s="4">
        <f>IF(OR(('03_Сеть'!AR41-AR39)=0,20&lt;=КаникулыРоялти),0,('03_Сеть'!AR41-AR39)*IF(РоялтиПоГруппам="Да",MeanMinAge20+AR9*SUMIF(ThresholdAge20,"&lt;"&amp;AR9,WeightedRevAge20)-SUMIF(ThresholdAge20,"&lt;"&amp;AR9,WeightedMinAge20),MAX(CapacityAge20*АбонементНовых*AR9,MeanMinAge20)))</f>
        <v/>
      </c>
      <c r="AS93" s="4">
        <f>IF(OR(('03_Сеть'!AS41-AS39)=0,20&lt;=КаникулыРоялти),0,('03_Сеть'!AS41-AS39)*IF(РоялтиПоГруппам="Да",MeanMinAge20+AS9*SUMIF(ThresholdAge20,"&lt;"&amp;AS9,WeightedRevAge20)-SUMIF(ThresholdAge20,"&lt;"&amp;AS9,WeightedMinAge20),MAX(CapacityAge20*АбонементНовых*AS9,MeanMinAge20)))</f>
        <v/>
      </c>
      <c r="AT93" s="4">
        <f>IF(OR(('03_Сеть'!AT41-AT39)=0,20&lt;=КаникулыРоялти),0,('03_Сеть'!AT41-AT39)*IF(РоялтиПоГруппам="Да",MeanMinAge20+AT9*SUMIF(ThresholdAge20,"&lt;"&amp;AT9,WeightedRevAge20)-SUMIF(ThresholdAge20,"&lt;"&amp;AT9,WeightedMinAge20),MAX(CapacityAge20*АбонементНовых*AT9,MeanMinAge20)))</f>
        <v/>
      </c>
      <c r="AU93" s="4">
        <f>IF(OR(('03_Сеть'!AU41-AU39)=0,20&lt;=КаникулыРоялти),0,('03_Сеть'!AU41-AU39)*IF(РоялтиПоГруппам="Да",MeanMinAge20+AU9*SUMIF(ThresholdAge20,"&lt;"&amp;AU9,WeightedRevAge20)-SUMIF(ThresholdAge20,"&lt;"&amp;AU9,WeightedMinAge20),MAX(CapacityAge20*АбонементНовых*AU9,MeanMinAge20)))</f>
        <v/>
      </c>
      <c r="AV93" s="4">
        <f>IF(OR(('03_Сеть'!AV41-AV39)=0,20&lt;=КаникулыРоялти),0,('03_Сеть'!AV41-AV39)*IF(РоялтиПоГруппам="Да",MeanMinAge20+AV9*SUMIF(ThresholdAge20,"&lt;"&amp;AV9,WeightedRevAge20)-SUMIF(ThresholdAge20,"&lt;"&amp;AV9,WeightedMinAge20),MAX(CapacityAge20*АбонементНовых*AV9,MeanMinAge20)))</f>
        <v/>
      </c>
      <c r="AW93" s="4">
        <f>IF(OR(('03_Сеть'!AW41-AW39)=0,20&lt;=КаникулыРоялти),0,('03_Сеть'!AW41-AW39)*IF(РоялтиПоГруппам="Да",MeanMinAge20+AW9*SUMIF(ThresholdAge20,"&lt;"&amp;AW9,WeightedRevAge20)-SUMIF(ThresholdAge20,"&lt;"&amp;AW9,WeightedMinAge20),MAX(CapacityAge20*АбонементНовых*AW9,MeanMinAge20)))</f>
        <v/>
      </c>
      <c r="AX93" s="4">
        <f>IF(OR(('03_Сеть'!AX41-AX39)=0,20&lt;=КаникулыРоялти),0,('03_Сеть'!AX41-AX39)*IF(РоялтиПоГруппам="Да",MeanMinAge20+AX9*SUMIF(ThresholdAge20,"&lt;"&amp;AX9,WeightedRevAge20)-SUMIF(ThresholdAge20,"&lt;"&amp;AX9,WeightedMinAge20),MAX(CapacityAge20*АбонементНовых*AX9,MeanMinAge20)))</f>
        <v/>
      </c>
      <c r="AY93" s="4">
        <f>IF(OR(('03_Сеть'!AY41-AY39)=0,20&lt;=КаникулыРоялти),0,('03_Сеть'!AY41-AY39)*IF(РоялтиПоГруппам="Да",MeanMinAge20+AY9*SUMIF(ThresholdAge20,"&lt;"&amp;AY9,WeightedRevAge20)-SUMIF(ThresholdAge20,"&lt;"&amp;AY9,WeightedMinAge20),MAX(CapacityAge20*АбонементНовых*AY9,MeanMinAge20)))</f>
        <v/>
      </c>
      <c r="AZ93" s="4">
        <f>IF(OR(('03_Сеть'!AZ41-AZ39)=0,20&lt;=КаникулыРоялти),0,('03_Сеть'!AZ41-AZ39)*IF(РоялтиПоГруппам="Да",MeanMinAge20+AZ9*SUMIF(ThresholdAge20,"&lt;"&amp;AZ9,WeightedRevAge20)-SUMIF(ThresholdAge20,"&lt;"&amp;AZ9,WeightedMinAge20),MAX(CapacityAge20*АбонементНовых*AZ9,MeanMinAge20)))</f>
        <v/>
      </c>
      <c r="BA93" s="4">
        <f>IF(OR(('03_Сеть'!BA41-BA39)=0,20&lt;=КаникулыРоялти),0,('03_Сеть'!BA41-BA39)*IF(РоялтиПоГруппам="Да",MeanMinAge20+BA9*SUMIF(ThresholdAge20,"&lt;"&amp;BA9,WeightedRevAge20)-SUMIF(ThresholdAge20,"&lt;"&amp;BA9,WeightedMinAge20),MAX(CapacityAge20*АбонементНовых*BA9,MeanMinAge20)))</f>
        <v/>
      </c>
      <c r="BB93" s="4">
        <f>IF(OR(('03_Сеть'!BB41-BB39)=0,20&lt;=КаникулыРоялти),0,('03_Сеть'!BB41-BB39)*IF(РоялтиПоГруппам="Да",MeanMinAge20+BB9*SUMIF(ThresholdAge20,"&lt;"&amp;BB9,WeightedRevAge20)-SUMIF(ThresholdAge20,"&lt;"&amp;BB9,WeightedMinAge20),MAX(CapacityAge20*АбонементНовых*BB9,MeanMinAge20)))</f>
        <v/>
      </c>
      <c r="BC93" s="4">
        <f>IF(OR(('03_Сеть'!BC41-BC39)=0,20&lt;=КаникулыРоялти),0,('03_Сеть'!BC41-BC39)*IF(РоялтиПоГруппам="Да",MeanMinAge20+BC9*SUMIF(ThresholdAge20,"&lt;"&amp;BC9,WeightedRevAge20)-SUMIF(ThresholdAge20,"&lt;"&amp;BC9,WeightedMinAge20),MAX(CapacityAge20*АбонементНовых*BC9,MeanMinAge20)))</f>
        <v/>
      </c>
      <c r="BD93" s="4">
        <f>IF(OR(('03_Сеть'!BD41-BD39)=0,20&lt;=КаникулыРоялти),0,('03_Сеть'!BD41-BD39)*IF(РоялтиПоГруппам="Да",MeanMinAge20+BD9*SUMIF(ThresholdAge20,"&lt;"&amp;BD9,WeightedRevAge20)-SUMIF(ThresholdAge20,"&lt;"&amp;BD9,WeightedMinAge20),MAX(CapacityAge20*АбонементНовых*BD9,MeanMinAge20)))</f>
        <v/>
      </c>
      <c r="BE93" s="4">
        <f>IF(OR(('03_Сеть'!BE41-BE39)=0,20&lt;=КаникулыРоялти),0,('03_Сеть'!BE41-BE39)*IF(РоялтиПоГруппам="Да",MeanMinAge20+BE9*SUMIF(ThresholdAge20,"&lt;"&amp;BE9,WeightedRevAge20)-SUMIF(ThresholdAge20,"&lt;"&amp;BE9,WeightedMinAge20),MAX(CapacityAge20*АбонементНовых*BE9,MeanMinAge20)))</f>
        <v/>
      </c>
      <c r="BF93" s="4">
        <f>IF(OR(('03_Сеть'!BF41-BF39)=0,20&lt;=КаникулыРоялти),0,('03_Сеть'!BF41-BF39)*IF(РоялтиПоГруппам="Да",MeanMinAge20+BF9*SUMIF(ThresholdAge20,"&lt;"&amp;BF9,WeightedRevAge20)-SUMIF(ThresholdAge20,"&lt;"&amp;BF9,WeightedMinAge20),MAX(CapacityAge20*АбонементНовых*BF9,MeanMinAge20)))</f>
        <v/>
      </c>
      <c r="BG93" s="4">
        <f>IF(OR(('03_Сеть'!BG41-BG39)=0,20&lt;=КаникулыРоялти),0,('03_Сеть'!BG41-BG39)*IF(РоялтиПоГруппам="Да",MeanMinAge20+BG9*SUMIF(ThresholdAge20,"&lt;"&amp;BG9,WeightedRevAge20)-SUMIF(ThresholdAge20,"&lt;"&amp;BG9,WeightedMinAge20),MAX(CapacityAge20*АбонементНовых*BG9,MeanMinAge20)))</f>
        <v/>
      </c>
      <c r="BH93" s="4">
        <f>IF(OR(('03_Сеть'!BH41-BH39)=0,20&lt;=КаникулыРоялти),0,('03_Сеть'!BH41-BH39)*IF(РоялтиПоГруппам="Да",MeanMinAge20+BH9*SUMIF(ThresholdAge20,"&lt;"&amp;BH9,WeightedRevAge20)-SUMIF(ThresholdAge20,"&lt;"&amp;BH9,WeightedMinAge20),MAX(CapacityAge20*АбонементНовых*BH9,MeanMinAge20)))</f>
        <v/>
      </c>
      <c r="BI93" s="4">
        <f>IF(OR(('03_Сеть'!BI41-BI39)=0,20&lt;=КаникулыРоялти),0,('03_Сеть'!BI41-BI39)*IF(РоялтиПоГруппам="Да",MeanMinAge20+BI9*SUMIF(ThresholdAge20,"&lt;"&amp;BI9,WeightedRevAge20)-SUMIF(ThresholdAge20,"&lt;"&amp;BI9,WeightedMinAge20),MAX(CapacityAge20*АбонементНовых*BI9,MeanMinAge20)))</f>
        <v/>
      </c>
      <c r="BJ93" s="4">
        <f>IF(OR(('03_Сеть'!BJ41-BJ39)=0,20&lt;=КаникулыРоялти),0,('03_Сеть'!BJ41-BJ39)*IF(РоялтиПоГруппам="Да",MeanMinAge20+BJ9*SUMIF(ThresholdAge20,"&lt;"&amp;BJ9,WeightedRevAge20)-SUMIF(ThresholdAge20,"&lt;"&amp;BJ9,WeightedMinAge20),MAX(CapacityAge20*АбонементНовых*BJ9,MeanMinAge20)))</f>
        <v/>
      </c>
      <c r="BK93" s="4">
        <f>IF(OR(('03_Сеть'!BK41-BK39)=0,20&lt;=КаникулыРоялти),0,('03_Сеть'!BK41-BK39)*IF(РоялтиПоГруппам="Да",MeanMinAge20+BK9*SUMIF(ThresholdAge20,"&lt;"&amp;BK9,WeightedRevAge20)-SUMIF(ThresholdAge20,"&lt;"&amp;BK9,WeightedMinAge20),MAX(CapacityAge20*АбонементНовых*BK9,MeanMinAge20)))</f>
        <v/>
      </c>
      <c r="BL93" s="4">
        <f>IF(OR(('03_Сеть'!BL41-BL39)=0,20&lt;=КаникулыРоялти),0,('03_Сеть'!BL41-BL39)*IF(РоялтиПоГруппам="Да",MeanMinAge20+BL9*SUMIF(ThresholdAge20,"&lt;"&amp;BL9,WeightedRevAge20)-SUMIF(ThresholdAge20,"&lt;"&amp;BL9,WeightedMinAge20),MAX(CapacityAge20*АбонементНовых*BL9,MeanMinAge20)))</f>
        <v/>
      </c>
      <c r="BM93" s="4">
        <f>IF(OR(('03_Сеть'!BM41-BM39)=0,20&lt;=КаникулыРоялти),0,('03_Сеть'!BM41-BM39)*IF(РоялтиПоГруппам="Да",MeanMinAge20+BM9*SUMIF(ThresholdAge20,"&lt;"&amp;BM9,WeightedRevAge20)-SUMIF(ThresholdAge20,"&lt;"&amp;BM9,WeightedMinAge20),MAX(CapacityAge20*АбонементНовых*BM9,MeanMinAge20)))</f>
        <v/>
      </c>
      <c r="BN93" s="4">
        <f>IF(OR(('03_Сеть'!BN41-BN39)=0,20&lt;=КаникулыРоялти),0,('03_Сеть'!BN41-BN39)*IF(РоялтиПоГруппам="Да",MeanMinAge20+BN9*SUMIF(ThresholdAge20,"&lt;"&amp;BN9,WeightedRevAge20)-SUMIF(ThresholdAge20,"&lt;"&amp;BN9,WeightedMinAge20),MAX(CapacityAge20*АбонементНовых*BN9,MeanMinAge20)))</f>
        <v/>
      </c>
      <c r="BO93" s="4">
        <f>IF(OR(('03_Сеть'!BO41-BO39)=0,20&lt;=КаникулыРоялти),0,('03_Сеть'!BO41-BO39)*IF(РоялтиПоГруппам="Да",MeanMinAge20+BO9*SUMIF(ThresholdAge20,"&lt;"&amp;BO9,WeightedRevAge20)-SUMIF(ThresholdAge20,"&lt;"&amp;BO9,WeightedMinAge20),MAX(CapacityAge20*АбонементНовых*BO9,MeanMinAge20)))</f>
        <v/>
      </c>
      <c r="BP93" s="4">
        <f>IF(OR(('03_Сеть'!BP41-BP39)=0,20&lt;=КаникулыРоялти),0,('03_Сеть'!BP41-BP39)*IF(РоялтиПоГруппам="Да",MeanMinAge20+BP9*SUMIF(ThresholdAge20,"&lt;"&amp;BP9,WeightedRevAge20)-SUMIF(ThresholdAge20,"&lt;"&amp;BP9,WeightedMinAge20),MAX(CapacityAge20*АбонементНовых*BP9,MeanMinAge20)))</f>
        <v/>
      </c>
      <c r="BQ93" s="4">
        <f>IF(OR(('03_Сеть'!BQ41-BQ39)=0,20&lt;=КаникулыРоялти),0,('03_Сеть'!BQ41-BQ39)*IF(РоялтиПоГруппам="Да",MeanMinAge20+BQ9*SUMIF(ThresholdAge20,"&lt;"&amp;BQ9,WeightedRevAge20)-SUMIF(ThresholdAge20,"&lt;"&amp;BQ9,WeightedMinAge20),MAX(CapacityAge20*АбонементНовых*BQ9,MeanMinAge20)))</f>
        <v/>
      </c>
      <c r="BR93" s="4">
        <f>IF(OR(('03_Сеть'!BR41-BR39)=0,20&lt;=КаникулыРоялти),0,('03_Сеть'!BR41-BR39)*IF(РоялтиПоГруппам="Да",MeanMinAge20+BR9*SUMIF(ThresholdAge20,"&lt;"&amp;BR9,WeightedRevAge20)-SUMIF(ThresholdAge20,"&lt;"&amp;BR9,WeightedMinAge20),MAX(CapacityAge20*АбонементНовых*BR9,MeanMinAge20)))</f>
        <v/>
      </c>
      <c r="BS93" s="4">
        <f>IF(OR(('03_Сеть'!BS41-BS39)=0,20&lt;=КаникулыРоялти),0,('03_Сеть'!BS41-BS39)*IF(РоялтиПоГруппам="Да",MeanMinAge20+BS9*SUMIF(ThresholdAge20,"&lt;"&amp;BS9,WeightedRevAge20)-SUMIF(ThresholdAge20,"&lt;"&amp;BS9,WeightedMinAge20),MAX(CapacityAge20*АбонементНовых*BS9,MeanMinAge20)))</f>
        <v/>
      </c>
      <c r="BT93" s="4">
        <f>IF(OR(('03_Сеть'!BT41-BT39)=0,20&lt;=КаникулыРоялти),0,('03_Сеть'!BT41-BT39)*IF(РоялтиПоГруппам="Да",MeanMinAge20+BT9*SUMIF(ThresholdAge20,"&lt;"&amp;BT9,WeightedRevAge20)-SUMIF(ThresholdAge20,"&lt;"&amp;BT9,WeightedMinAge20),MAX(CapacityAge20*АбонементНовых*BT9,MeanMinAge20)))</f>
        <v/>
      </c>
      <c r="BU93" s="4">
        <f>IF(OR(('03_Сеть'!BU41-BU39)=0,20&lt;=КаникулыРоялти),0,('03_Сеть'!BU41-BU39)*IF(РоялтиПоГруппам="Да",MeanMinAge20+BU9*SUMIF(ThresholdAge20,"&lt;"&amp;BU9,WeightedRevAge20)-SUMIF(ThresholdAge20,"&lt;"&amp;BU9,WeightedMinAge20),MAX(CapacityAge20*АбонементНовых*BU9,MeanMinAge20)))</f>
        <v/>
      </c>
      <c r="BV93" s="4">
        <f>IF(OR(('03_Сеть'!BV41-BV39)=0,20&lt;=КаникулыРоялти),0,('03_Сеть'!BV41-BV39)*IF(РоялтиПоГруппам="Да",MeanMinAge20+BV9*SUMIF(ThresholdAge20,"&lt;"&amp;BV9,WeightedRevAge20)-SUMIF(ThresholdAge20,"&lt;"&amp;BV9,WeightedMinAge20),MAX(CapacityAge20*АбонементНовых*BV9,MeanMinAge20)))</f>
        <v/>
      </c>
      <c r="BW93" s="4">
        <f>IF(OR(('03_Сеть'!BW41-BW39)=0,20&lt;=КаникулыРоялти),0,('03_Сеть'!BW41-BW39)*IF(РоялтиПоГруппам="Да",MeanMinAge20+BW9*SUMIF(ThresholdAge20,"&lt;"&amp;BW9,WeightedRevAge20)-SUMIF(ThresholdAge20,"&lt;"&amp;BW9,WeightedMinAge20),MAX(CapacityAge20*АбонементНовых*BW9,MeanMinAge20)))</f>
        <v/>
      </c>
      <c r="BX93" s="4">
        <f>IF(OR(('03_Сеть'!BX41-BX39)=0,20&lt;=КаникулыРоялти),0,('03_Сеть'!BX41-BX39)*IF(РоялтиПоГруппам="Да",MeanMinAge20+BX9*SUMIF(ThresholdAge20,"&lt;"&amp;BX9,WeightedRevAge20)-SUMIF(ThresholdAge20,"&lt;"&amp;BX9,WeightedMinAge20),MAX(CapacityAge20*АбонементНовых*BX9,MeanMinAge20)))</f>
        <v/>
      </c>
      <c r="BY93" s="4">
        <f>IF(OR(('03_Сеть'!BY41-BY39)=0,20&lt;=КаникулыРоялти),0,('03_Сеть'!BY41-BY39)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94">
      <c r="B94" t="inlineStr">
        <is>
          <t>21 мес.</t>
        </is>
      </c>
      <c r="C94" t="inlineStr">
        <is>
          <t>₽</t>
        </is>
      </c>
      <c r="D94" s="117" t="inlineStr"/>
      <c r="E94" s="119">
        <f>SUM(L94:W94)</f>
        <v/>
      </c>
      <c r="F94" s="119">
        <f>SUM(X94:AI94)</f>
        <v/>
      </c>
      <c r="G94" s="119">
        <f>SUM(AJ94:AU94)</f>
        <v/>
      </c>
      <c r="H94" s="119">
        <f>SUM(AV94:BG94)</f>
        <v/>
      </c>
      <c r="I94" s="119">
        <f>SUM(BH94:BS94)</f>
        <v/>
      </c>
      <c r="J94" s="5">
        <f>SUM(L94:BS94)</f>
        <v/>
      </c>
      <c r="L94" s="4">
        <f>IF(OR(('03_Сеть'!L42-L40)=0,21&lt;=КаникулыРоялти),0,('03_Сеть'!L42-L40)*IF(РоялтиПоГруппам="Да",MeanMinAge21+L9*SUMIF(ThresholdAge21,"&lt;"&amp;L9,WeightedRevAge21)-SUMIF(ThresholdAge21,"&lt;"&amp;L9,WeightedMinAge21),MAX(CapacityAge21*АбонементНовых*L9,MeanMinAge21)))</f>
        <v/>
      </c>
      <c r="M94" s="4">
        <f>IF(OR(('03_Сеть'!M42-M40)=0,21&lt;=КаникулыРоялти),0,('03_Сеть'!M42-M40)*IF(РоялтиПоГруппам="Да",MeanMinAge21+M9*SUMIF(ThresholdAge21,"&lt;"&amp;M9,WeightedRevAge21)-SUMIF(ThresholdAge21,"&lt;"&amp;M9,WeightedMinAge21),MAX(CapacityAge21*АбонементНовых*M9,MeanMinAge21)))</f>
        <v/>
      </c>
      <c r="N94" s="4">
        <f>IF(OR(('03_Сеть'!N42-N40)=0,21&lt;=КаникулыРоялти),0,('03_Сеть'!N42-N40)*IF(РоялтиПоГруппам="Да",MeanMinAge21+N9*SUMIF(ThresholdAge21,"&lt;"&amp;N9,WeightedRevAge21)-SUMIF(ThresholdAge21,"&lt;"&amp;N9,WeightedMinAge21),MAX(CapacityAge21*АбонементНовых*N9,MeanMinAge21)))</f>
        <v/>
      </c>
      <c r="O94" s="4">
        <f>IF(OR(('03_Сеть'!O42-O40)=0,21&lt;=КаникулыРоялти),0,('03_Сеть'!O42-O40)*IF(РоялтиПоГруппам="Да",MeanMinAge21+O9*SUMIF(ThresholdAge21,"&lt;"&amp;O9,WeightedRevAge21)-SUMIF(ThresholdAge21,"&lt;"&amp;O9,WeightedMinAge21),MAX(CapacityAge21*АбонементНовых*O9,MeanMinAge21)))</f>
        <v/>
      </c>
      <c r="P94" s="4">
        <f>IF(OR(('03_Сеть'!P42-P40)=0,21&lt;=КаникулыРоялти),0,('03_Сеть'!P42-P40)*IF(РоялтиПоГруппам="Да",MeanMinAge21+P9*SUMIF(ThresholdAge21,"&lt;"&amp;P9,WeightedRevAge21)-SUMIF(ThresholdAge21,"&lt;"&amp;P9,WeightedMinAge21),MAX(CapacityAge21*АбонементНовых*P9,MeanMinAge21)))</f>
        <v/>
      </c>
      <c r="Q94" s="4">
        <f>IF(OR(('03_Сеть'!Q42-Q40)=0,21&lt;=КаникулыРоялти),0,('03_Сеть'!Q42-Q40)*IF(РоялтиПоГруппам="Да",MeanMinAge21+Q9*SUMIF(ThresholdAge21,"&lt;"&amp;Q9,WeightedRevAge21)-SUMIF(ThresholdAge21,"&lt;"&amp;Q9,WeightedMinAge21),MAX(CapacityAge21*АбонементНовых*Q9,MeanMinAge21)))</f>
        <v/>
      </c>
      <c r="R94" s="4">
        <f>IF(OR(('03_Сеть'!R42-R40)=0,21&lt;=КаникулыРоялти),0,('03_Сеть'!R42-R40)*IF(РоялтиПоГруппам="Да",MeanMinAge21+R9*SUMIF(ThresholdAge21,"&lt;"&amp;R9,WeightedRevAge21)-SUMIF(ThresholdAge21,"&lt;"&amp;R9,WeightedMinAge21),MAX(CapacityAge21*АбонементНовых*R9,MeanMinAge21)))</f>
        <v/>
      </c>
      <c r="S94" s="4">
        <f>IF(OR(('03_Сеть'!S42-S40)=0,21&lt;=КаникулыРоялти),0,('03_Сеть'!S42-S40)*IF(РоялтиПоГруппам="Да",MeanMinAge21+S9*SUMIF(ThresholdAge21,"&lt;"&amp;S9,WeightedRevAge21)-SUMIF(ThresholdAge21,"&lt;"&amp;S9,WeightedMinAge21),MAX(CapacityAge21*АбонементНовых*S9,MeanMinAge21)))</f>
        <v/>
      </c>
      <c r="T94" s="4">
        <f>IF(OR(('03_Сеть'!T42-T40)=0,21&lt;=КаникулыРоялти),0,('03_Сеть'!T42-T40)*IF(РоялтиПоГруппам="Да",MeanMinAge21+T9*SUMIF(ThresholdAge21,"&lt;"&amp;T9,WeightedRevAge21)-SUMIF(ThresholdAge21,"&lt;"&amp;T9,WeightedMinAge21),MAX(CapacityAge21*АбонементНовых*T9,MeanMinAge21)))</f>
        <v/>
      </c>
      <c r="U94" s="4">
        <f>IF(OR(('03_Сеть'!U42-U40)=0,21&lt;=КаникулыРоялти),0,('03_Сеть'!U42-U40)*IF(РоялтиПоГруппам="Да",MeanMinAge21+U9*SUMIF(ThresholdAge21,"&lt;"&amp;U9,WeightedRevAge21)-SUMIF(ThresholdAge21,"&lt;"&amp;U9,WeightedMinAge21),MAX(CapacityAge21*АбонементНовых*U9,MeanMinAge21)))</f>
        <v/>
      </c>
      <c r="V94" s="4">
        <f>IF(OR(('03_Сеть'!V42-V40)=0,21&lt;=КаникулыРоялти),0,('03_Сеть'!V42-V40)*IF(РоялтиПоГруппам="Да",MeanMinAge21+V9*SUMIF(ThresholdAge21,"&lt;"&amp;V9,WeightedRevAge21)-SUMIF(ThresholdAge21,"&lt;"&amp;V9,WeightedMinAge21),MAX(CapacityAge21*АбонементНовых*V9,MeanMinAge21)))</f>
        <v/>
      </c>
      <c r="W94" s="4">
        <f>IF(OR(('03_Сеть'!W42-W40)=0,21&lt;=КаникулыРоялти),0,('03_Сеть'!W42-W40)*IF(РоялтиПоГруппам="Да",MeanMinAge21+W9*SUMIF(ThresholdAge21,"&lt;"&amp;W9,WeightedRevAge21)-SUMIF(ThresholdAge21,"&lt;"&amp;W9,WeightedMinAge21),MAX(CapacityAge21*АбонементНовых*W9,MeanMinAge21)))</f>
        <v/>
      </c>
      <c r="X94" s="4">
        <f>IF(OR(('03_Сеть'!X42-X40)=0,21&lt;=КаникулыРоялти),0,('03_Сеть'!X42-X40)*IF(РоялтиПоГруппам="Да",MeanMinAge21+X9*SUMIF(ThresholdAge21,"&lt;"&amp;X9,WeightedRevAge21)-SUMIF(ThresholdAge21,"&lt;"&amp;X9,WeightedMinAge21),MAX(CapacityAge21*АбонементНовых*X9,MeanMinAge21)))</f>
        <v/>
      </c>
      <c r="Y94" s="4">
        <f>IF(OR(('03_Сеть'!Y42-Y40)=0,21&lt;=КаникулыРоялти),0,('03_Сеть'!Y42-Y40)*IF(РоялтиПоГруппам="Да",MeanMinAge21+Y9*SUMIF(ThresholdAge21,"&lt;"&amp;Y9,WeightedRevAge21)-SUMIF(ThresholdAge21,"&lt;"&amp;Y9,WeightedMinAge21),MAX(CapacityAge21*АбонементНовых*Y9,MeanMinAge21)))</f>
        <v/>
      </c>
      <c r="Z94" s="4">
        <f>IF(OR(('03_Сеть'!Z42-Z40)=0,21&lt;=КаникулыРоялти),0,('03_Сеть'!Z42-Z40)*IF(РоялтиПоГруппам="Да",MeanMinAge21+Z9*SUMIF(ThresholdAge21,"&lt;"&amp;Z9,WeightedRevAge21)-SUMIF(ThresholdAge21,"&lt;"&amp;Z9,WeightedMinAge21),MAX(CapacityAge21*АбонементНовых*Z9,MeanMinAge21)))</f>
        <v/>
      </c>
      <c r="AA94" s="4">
        <f>IF(OR(('03_Сеть'!AA42-AA40)=0,21&lt;=КаникулыРоялти),0,('03_Сеть'!AA42-AA40)*IF(РоялтиПоГруппам="Да",MeanMinAge21+AA9*SUMIF(ThresholdAge21,"&lt;"&amp;AA9,WeightedRevAge21)-SUMIF(ThresholdAge21,"&lt;"&amp;AA9,WeightedMinAge21),MAX(CapacityAge21*АбонементНовых*AA9,MeanMinAge21)))</f>
        <v/>
      </c>
      <c r="AB94" s="4">
        <f>IF(OR(('03_Сеть'!AB42-AB40)=0,21&lt;=КаникулыРоялти),0,('03_Сеть'!AB42-AB40)*IF(РоялтиПоГруппам="Да",MeanMinAge21+AB9*SUMIF(ThresholdAge21,"&lt;"&amp;AB9,WeightedRevAge21)-SUMIF(ThresholdAge21,"&lt;"&amp;AB9,WeightedMinAge21),MAX(CapacityAge21*АбонементНовых*AB9,MeanMinAge21)))</f>
        <v/>
      </c>
      <c r="AC94" s="4">
        <f>IF(OR(('03_Сеть'!AC42-AC40)=0,21&lt;=КаникулыРоялти),0,('03_Сеть'!AC42-AC40)*IF(РоялтиПоГруппам="Да",MeanMinAge21+AC9*SUMIF(ThresholdAge21,"&lt;"&amp;AC9,WeightedRevAge21)-SUMIF(ThresholdAge21,"&lt;"&amp;AC9,WeightedMinAge21),MAX(CapacityAge21*АбонементНовых*AC9,MeanMinAge21)))</f>
        <v/>
      </c>
      <c r="AD94" s="4">
        <f>IF(OR(('03_Сеть'!AD42-AD40)=0,21&lt;=КаникулыРоялти),0,('03_Сеть'!AD42-AD40)*IF(РоялтиПоГруппам="Да",MeanMinAge21+AD9*SUMIF(ThresholdAge21,"&lt;"&amp;AD9,WeightedRevAge21)-SUMIF(ThresholdAge21,"&lt;"&amp;AD9,WeightedMinAge21),MAX(CapacityAge21*АбонементНовых*AD9,MeanMinAge21)))</f>
        <v/>
      </c>
      <c r="AE94" s="4">
        <f>IF(OR(('03_Сеть'!AE42-AE40)=0,21&lt;=КаникулыРоялти),0,('03_Сеть'!AE42-AE40)*IF(РоялтиПоГруппам="Да",MeanMinAge21+AE9*SUMIF(ThresholdAge21,"&lt;"&amp;AE9,WeightedRevAge21)-SUMIF(ThresholdAge21,"&lt;"&amp;AE9,WeightedMinAge21),MAX(CapacityAge21*АбонементНовых*AE9,MeanMinAge21)))</f>
        <v/>
      </c>
      <c r="AF94" s="4">
        <f>IF(OR(('03_Сеть'!AF42-AF40)=0,21&lt;=КаникулыРоялти),0,('03_Сеть'!AF42-AF40)*IF(РоялтиПоГруппам="Да",MeanMinAge21+AF9*SUMIF(ThresholdAge21,"&lt;"&amp;AF9,WeightedRevAge21)-SUMIF(ThresholdAge21,"&lt;"&amp;AF9,WeightedMinAge21),MAX(CapacityAge21*АбонементНовых*AF9,MeanMinAge21)))</f>
        <v/>
      </c>
      <c r="AG94" s="4">
        <f>IF(OR(('03_Сеть'!AG42-AG40)=0,21&lt;=КаникулыРоялти),0,('03_Сеть'!AG42-AG40)*IF(РоялтиПоГруппам="Да",MeanMinAge21+AG9*SUMIF(ThresholdAge21,"&lt;"&amp;AG9,WeightedRevAge21)-SUMIF(ThresholdAge21,"&lt;"&amp;AG9,WeightedMinAge21),MAX(CapacityAge21*АбонементНовых*AG9,MeanMinAge21)))</f>
        <v/>
      </c>
      <c r="AH94" s="4">
        <f>IF(OR(('03_Сеть'!AH42-AH40)=0,21&lt;=КаникулыРоялти),0,('03_Сеть'!AH42-AH40)*IF(РоялтиПоГруппам="Да",MeanMinAge21+AH9*SUMIF(ThresholdAge21,"&lt;"&amp;AH9,WeightedRevAge21)-SUMIF(ThresholdAge21,"&lt;"&amp;AH9,WeightedMinAge21),MAX(CapacityAge21*АбонементНовых*AH9,MeanMinAge21)))</f>
        <v/>
      </c>
      <c r="AI94" s="4">
        <f>IF(OR(('03_Сеть'!AI42-AI40)=0,21&lt;=КаникулыРоялти),0,('03_Сеть'!AI42-AI40)*IF(РоялтиПоГруппам="Да",MeanMinAge21+AI9*SUMIF(ThresholdAge21,"&lt;"&amp;AI9,WeightedRevAge21)-SUMIF(ThresholdAge21,"&lt;"&amp;AI9,WeightedMinAge21),MAX(CapacityAge21*АбонементНовых*AI9,MeanMinAge21)))</f>
        <v/>
      </c>
      <c r="AJ94" s="4">
        <f>IF(OR(('03_Сеть'!AJ42-AJ40)=0,21&lt;=КаникулыРоялти),0,('03_Сеть'!AJ42-AJ40)*IF(РоялтиПоГруппам="Да",MeanMinAge21+AJ9*SUMIF(ThresholdAge21,"&lt;"&amp;AJ9,WeightedRevAge21)-SUMIF(ThresholdAge21,"&lt;"&amp;AJ9,WeightedMinAge21),MAX(CapacityAge21*АбонементНовых*AJ9,MeanMinAge21)))</f>
        <v/>
      </c>
      <c r="AK94" s="4">
        <f>IF(OR(('03_Сеть'!AK42-AK40)=0,21&lt;=КаникулыРоялти),0,('03_Сеть'!AK42-AK40)*IF(РоялтиПоГруппам="Да",MeanMinAge21+AK9*SUMIF(ThresholdAge21,"&lt;"&amp;AK9,WeightedRevAge21)-SUMIF(ThresholdAge21,"&lt;"&amp;AK9,WeightedMinAge21),MAX(CapacityAge21*АбонементНовых*AK9,MeanMinAge21)))</f>
        <v/>
      </c>
      <c r="AL94" s="4">
        <f>IF(OR(('03_Сеть'!AL42-AL40)=0,21&lt;=КаникулыРоялти),0,('03_Сеть'!AL42-AL40)*IF(РоялтиПоГруппам="Да",MeanMinAge21+AL9*SUMIF(ThresholdAge21,"&lt;"&amp;AL9,WeightedRevAge21)-SUMIF(ThresholdAge21,"&lt;"&amp;AL9,WeightedMinAge21),MAX(CapacityAge21*АбонементНовых*AL9,MeanMinAge21)))</f>
        <v/>
      </c>
      <c r="AM94" s="4">
        <f>IF(OR(('03_Сеть'!AM42-AM40)=0,21&lt;=КаникулыРоялти),0,('03_Сеть'!AM42-AM40)*IF(РоялтиПоГруппам="Да",MeanMinAge21+AM9*SUMIF(ThresholdAge21,"&lt;"&amp;AM9,WeightedRevAge21)-SUMIF(ThresholdAge21,"&lt;"&amp;AM9,WeightedMinAge21),MAX(CapacityAge21*АбонементНовых*AM9,MeanMinAge21)))</f>
        <v/>
      </c>
      <c r="AN94" s="4">
        <f>IF(OR(('03_Сеть'!AN42-AN40)=0,21&lt;=КаникулыРоялти),0,('03_Сеть'!AN42-AN40)*IF(РоялтиПоГруппам="Да",MeanMinAge21+AN9*SUMIF(ThresholdAge21,"&lt;"&amp;AN9,WeightedRevAge21)-SUMIF(ThresholdAge21,"&lt;"&amp;AN9,WeightedMinAge21),MAX(CapacityAge21*АбонементНовых*AN9,MeanMinAge21)))</f>
        <v/>
      </c>
      <c r="AO94" s="4">
        <f>IF(OR(('03_Сеть'!AO42-AO40)=0,21&lt;=КаникулыРоялти),0,('03_Сеть'!AO42-AO40)*IF(РоялтиПоГруппам="Да",MeanMinAge21+AO9*SUMIF(ThresholdAge21,"&lt;"&amp;AO9,WeightedRevAge21)-SUMIF(ThresholdAge21,"&lt;"&amp;AO9,WeightedMinAge21),MAX(CapacityAge21*АбонементНовых*AO9,MeanMinAge21)))</f>
        <v/>
      </c>
      <c r="AP94" s="4">
        <f>IF(OR(('03_Сеть'!AP42-AP40)=0,21&lt;=КаникулыРоялти),0,('03_Сеть'!AP42-AP40)*IF(РоялтиПоГруппам="Да",MeanMinAge21+AP9*SUMIF(ThresholdAge21,"&lt;"&amp;AP9,WeightedRevAge21)-SUMIF(ThresholdAge21,"&lt;"&amp;AP9,WeightedMinAge21),MAX(CapacityAge21*АбонементНовых*AP9,MeanMinAge21)))</f>
        <v/>
      </c>
      <c r="AQ94" s="4">
        <f>IF(OR(('03_Сеть'!AQ42-AQ40)=0,21&lt;=КаникулыРоялти),0,('03_Сеть'!AQ42-AQ40)*IF(РоялтиПоГруппам="Да",MeanMinAge21+AQ9*SUMIF(ThresholdAge21,"&lt;"&amp;AQ9,WeightedRevAge21)-SUMIF(ThresholdAge21,"&lt;"&amp;AQ9,WeightedMinAge21),MAX(CapacityAge21*АбонементНовых*AQ9,MeanMinAge21)))</f>
        <v/>
      </c>
      <c r="AR94" s="4">
        <f>IF(OR(('03_Сеть'!AR42-AR40)=0,21&lt;=КаникулыРоялти),0,('03_Сеть'!AR42-AR40)*IF(РоялтиПоГруппам="Да",MeanMinAge21+AR9*SUMIF(ThresholdAge21,"&lt;"&amp;AR9,WeightedRevAge21)-SUMIF(ThresholdAge21,"&lt;"&amp;AR9,WeightedMinAge21),MAX(CapacityAge21*АбонементНовых*AR9,MeanMinAge21)))</f>
        <v/>
      </c>
      <c r="AS94" s="4">
        <f>IF(OR(('03_Сеть'!AS42-AS40)=0,21&lt;=КаникулыРоялти),0,('03_Сеть'!AS42-AS40)*IF(РоялтиПоГруппам="Да",MeanMinAge21+AS9*SUMIF(ThresholdAge21,"&lt;"&amp;AS9,WeightedRevAge21)-SUMIF(ThresholdAge21,"&lt;"&amp;AS9,WeightedMinAge21),MAX(CapacityAge21*АбонементНовых*AS9,MeanMinAge21)))</f>
        <v/>
      </c>
      <c r="AT94" s="4">
        <f>IF(OR(('03_Сеть'!AT42-AT40)=0,21&lt;=КаникулыРоялти),0,('03_Сеть'!AT42-AT40)*IF(РоялтиПоГруппам="Да",MeanMinAge21+AT9*SUMIF(ThresholdAge21,"&lt;"&amp;AT9,WeightedRevAge21)-SUMIF(ThresholdAge21,"&lt;"&amp;AT9,WeightedMinAge21),MAX(CapacityAge21*АбонементНовых*AT9,MeanMinAge21)))</f>
        <v/>
      </c>
      <c r="AU94" s="4">
        <f>IF(OR(('03_Сеть'!AU42-AU40)=0,21&lt;=КаникулыРоялти),0,('03_Сеть'!AU42-AU40)*IF(РоялтиПоГруппам="Да",MeanMinAge21+AU9*SUMIF(ThresholdAge21,"&lt;"&amp;AU9,WeightedRevAge21)-SUMIF(ThresholdAge21,"&lt;"&amp;AU9,WeightedMinAge21),MAX(CapacityAge21*АбонементНовых*AU9,MeanMinAge21)))</f>
        <v/>
      </c>
      <c r="AV94" s="4">
        <f>IF(OR(('03_Сеть'!AV42-AV40)=0,21&lt;=КаникулыРоялти),0,('03_Сеть'!AV42-AV40)*IF(РоялтиПоГруппам="Да",MeanMinAge21+AV9*SUMIF(ThresholdAge21,"&lt;"&amp;AV9,WeightedRevAge21)-SUMIF(ThresholdAge21,"&lt;"&amp;AV9,WeightedMinAge21),MAX(CapacityAge21*АбонементНовых*AV9,MeanMinAge21)))</f>
        <v/>
      </c>
      <c r="AW94" s="4">
        <f>IF(OR(('03_Сеть'!AW42-AW40)=0,21&lt;=КаникулыРоялти),0,('03_Сеть'!AW42-AW40)*IF(РоялтиПоГруппам="Да",MeanMinAge21+AW9*SUMIF(ThresholdAge21,"&lt;"&amp;AW9,WeightedRevAge21)-SUMIF(ThresholdAge21,"&lt;"&amp;AW9,WeightedMinAge21),MAX(CapacityAge21*АбонементНовых*AW9,MeanMinAge21)))</f>
        <v/>
      </c>
      <c r="AX94" s="4">
        <f>IF(OR(('03_Сеть'!AX42-AX40)=0,21&lt;=КаникулыРоялти),0,('03_Сеть'!AX42-AX40)*IF(РоялтиПоГруппам="Да",MeanMinAge21+AX9*SUMIF(ThresholdAge21,"&lt;"&amp;AX9,WeightedRevAge21)-SUMIF(ThresholdAge21,"&lt;"&amp;AX9,WeightedMinAge21),MAX(CapacityAge21*АбонементНовых*AX9,MeanMinAge21)))</f>
        <v/>
      </c>
      <c r="AY94" s="4">
        <f>IF(OR(('03_Сеть'!AY42-AY40)=0,21&lt;=КаникулыРоялти),0,('03_Сеть'!AY42-AY40)*IF(РоялтиПоГруппам="Да",MeanMinAge21+AY9*SUMIF(ThresholdAge21,"&lt;"&amp;AY9,WeightedRevAge21)-SUMIF(ThresholdAge21,"&lt;"&amp;AY9,WeightedMinAge21),MAX(CapacityAge21*АбонементНовых*AY9,MeanMinAge21)))</f>
        <v/>
      </c>
      <c r="AZ94" s="4">
        <f>IF(OR(('03_Сеть'!AZ42-AZ40)=0,21&lt;=КаникулыРоялти),0,('03_Сеть'!AZ42-AZ40)*IF(РоялтиПоГруппам="Да",MeanMinAge21+AZ9*SUMIF(ThresholdAge21,"&lt;"&amp;AZ9,WeightedRevAge21)-SUMIF(ThresholdAge21,"&lt;"&amp;AZ9,WeightedMinAge21),MAX(CapacityAge21*АбонементНовых*AZ9,MeanMinAge21)))</f>
        <v/>
      </c>
      <c r="BA94" s="4">
        <f>IF(OR(('03_Сеть'!BA42-BA40)=0,21&lt;=КаникулыРоялти),0,('03_Сеть'!BA42-BA40)*IF(РоялтиПоГруппам="Да",MeanMinAge21+BA9*SUMIF(ThresholdAge21,"&lt;"&amp;BA9,WeightedRevAge21)-SUMIF(ThresholdAge21,"&lt;"&amp;BA9,WeightedMinAge21),MAX(CapacityAge21*АбонементНовых*BA9,MeanMinAge21)))</f>
        <v/>
      </c>
      <c r="BB94" s="4">
        <f>IF(OR(('03_Сеть'!BB42-BB40)=0,21&lt;=КаникулыРоялти),0,('03_Сеть'!BB42-BB40)*IF(РоялтиПоГруппам="Да",MeanMinAge21+BB9*SUMIF(ThresholdAge21,"&lt;"&amp;BB9,WeightedRevAge21)-SUMIF(ThresholdAge21,"&lt;"&amp;BB9,WeightedMinAge21),MAX(CapacityAge21*АбонементНовых*BB9,MeanMinAge21)))</f>
        <v/>
      </c>
      <c r="BC94" s="4">
        <f>IF(OR(('03_Сеть'!BC42-BC40)=0,21&lt;=КаникулыРоялти),0,('03_Сеть'!BC42-BC40)*IF(РоялтиПоГруппам="Да",MeanMinAge21+BC9*SUMIF(ThresholdAge21,"&lt;"&amp;BC9,WeightedRevAge21)-SUMIF(ThresholdAge21,"&lt;"&amp;BC9,WeightedMinAge21),MAX(CapacityAge21*АбонементНовых*BC9,MeanMinAge21)))</f>
        <v/>
      </c>
      <c r="BD94" s="4">
        <f>IF(OR(('03_Сеть'!BD42-BD40)=0,21&lt;=КаникулыРоялти),0,('03_Сеть'!BD42-BD40)*IF(РоялтиПоГруппам="Да",MeanMinAge21+BD9*SUMIF(ThresholdAge21,"&lt;"&amp;BD9,WeightedRevAge21)-SUMIF(ThresholdAge21,"&lt;"&amp;BD9,WeightedMinAge21),MAX(CapacityAge21*АбонементНовых*BD9,MeanMinAge21)))</f>
        <v/>
      </c>
      <c r="BE94" s="4">
        <f>IF(OR(('03_Сеть'!BE42-BE40)=0,21&lt;=КаникулыРоялти),0,('03_Сеть'!BE42-BE40)*IF(РоялтиПоГруппам="Да",MeanMinAge21+BE9*SUMIF(ThresholdAge21,"&lt;"&amp;BE9,WeightedRevAge21)-SUMIF(ThresholdAge21,"&lt;"&amp;BE9,WeightedMinAge21),MAX(CapacityAge21*АбонементНовых*BE9,MeanMinAge21)))</f>
        <v/>
      </c>
      <c r="BF94" s="4">
        <f>IF(OR(('03_Сеть'!BF42-BF40)=0,21&lt;=КаникулыРоялти),0,('03_Сеть'!BF42-BF40)*IF(РоялтиПоГруппам="Да",MeanMinAge21+BF9*SUMIF(ThresholdAge21,"&lt;"&amp;BF9,WeightedRevAge21)-SUMIF(ThresholdAge21,"&lt;"&amp;BF9,WeightedMinAge21),MAX(CapacityAge21*АбонементНовых*BF9,MeanMinAge21)))</f>
        <v/>
      </c>
      <c r="BG94" s="4">
        <f>IF(OR(('03_Сеть'!BG42-BG40)=0,21&lt;=КаникулыРоялти),0,('03_Сеть'!BG42-BG40)*IF(РоялтиПоГруппам="Да",MeanMinAge21+BG9*SUMIF(ThresholdAge21,"&lt;"&amp;BG9,WeightedRevAge21)-SUMIF(ThresholdAge21,"&lt;"&amp;BG9,WeightedMinAge21),MAX(CapacityAge21*АбонементНовых*BG9,MeanMinAge21)))</f>
        <v/>
      </c>
      <c r="BH94" s="4">
        <f>IF(OR(('03_Сеть'!BH42-BH40)=0,21&lt;=КаникулыРоялти),0,('03_Сеть'!BH42-BH40)*IF(РоялтиПоГруппам="Да",MeanMinAge21+BH9*SUMIF(ThresholdAge21,"&lt;"&amp;BH9,WeightedRevAge21)-SUMIF(ThresholdAge21,"&lt;"&amp;BH9,WeightedMinAge21),MAX(CapacityAge21*АбонементНовых*BH9,MeanMinAge21)))</f>
        <v/>
      </c>
      <c r="BI94" s="4">
        <f>IF(OR(('03_Сеть'!BI42-BI40)=0,21&lt;=КаникулыРоялти),0,('03_Сеть'!BI42-BI40)*IF(РоялтиПоГруппам="Да",MeanMinAge21+BI9*SUMIF(ThresholdAge21,"&lt;"&amp;BI9,WeightedRevAge21)-SUMIF(ThresholdAge21,"&lt;"&amp;BI9,WeightedMinAge21),MAX(CapacityAge21*АбонементНовых*BI9,MeanMinAge21)))</f>
        <v/>
      </c>
      <c r="BJ94" s="4">
        <f>IF(OR(('03_Сеть'!BJ42-BJ40)=0,21&lt;=КаникулыРоялти),0,('03_Сеть'!BJ42-BJ40)*IF(РоялтиПоГруппам="Да",MeanMinAge21+BJ9*SUMIF(ThresholdAge21,"&lt;"&amp;BJ9,WeightedRevAge21)-SUMIF(ThresholdAge21,"&lt;"&amp;BJ9,WeightedMinAge21),MAX(CapacityAge21*АбонементНовых*BJ9,MeanMinAge21)))</f>
        <v/>
      </c>
      <c r="BK94" s="4">
        <f>IF(OR(('03_Сеть'!BK42-BK40)=0,21&lt;=КаникулыРоялти),0,('03_Сеть'!BK42-BK40)*IF(РоялтиПоГруппам="Да",MeanMinAge21+BK9*SUMIF(ThresholdAge21,"&lt;"&amp;BK9,WeightedRevAge21)-SUMIF(ThresholdAge21,"&lt;"&amp;BK9,WeightedMinAge21),MAX(CapacityAge21*АбонементНовых*BK9,MeanMinAge21)))</f>
        <v/>
      </c>
      <c r="BL94" s="4">
        <f>IF(OR(('03_Сеть'!BL42-BL40)=0,21&lt;=КаникулыРоялти),0,('03_Сеть'!BL42-BL40)*IF(РоялтиПоГруппам="Да",MeanMinAge21+BL9*SUMIF(ThresholdAge21,"&lt;"&amp;BL9,WeightedRevAge21)-SUMIF(ThresholdAge21,"&lt;"&amp;BL9,WeightedMinAge21),MAX(CapacityAge21*АбонементНовых*BL9,MeanMinAge21)))</f>
        <v/>
      </c>
      <c r="BM94" s="4">
        <f>IF(OR(('03_Сеть'!BM42-BM40)=0,21&lt;=КаникулыРоялти),0,('03_Сеть'!BM42-BM40)*IF(РоялтиПоГруппам="Да",MeanMinAge21+BM9*SUMIF(ThresholdAge21,"&lt;"&amp;BM9,WeightedRevAge21)-SUMIF(ThresholdAge21,"&lt;"&amp;BM9,WeightedMinAge21),MAX(CapacityAge21*АбонементНовых*BM9,MeanMinAge21)))</f>
        <v/>
      </c>
      <c r="BN94" s="4">
        <f>IF(OR(('03_Сеть'!BN42-BN40)=0,21&lt;=КаникулыРоялти),0,('03_Сеть'!BN42-BN40)*IF(РоялтиПоГруппам="Да",MeanMinAge21+BN9*SUMIF(ThresholdAge21,"&lt;"&amp;BN9,WeightedRevAge21)-SUMIF(ThresholdAge21,"&lt;"&amp;BN9,WeightedMinAge21),MAX(CapacityAge21*АбонементНовых*BN9,MeanMinAge21)))</f>
        <v/>
      </c>
      <c r="BO94" s="4">
        <f>IF(OR(('03_Сеть'!BO42-BO40)=0,21&lt;=КаникулыРоялти),0,('03_Сеть'!BO42-BO40)*IF(РоялтиПоГруппам="Да",MeanMinAge21+BO9*SUMIF(ThresholdAge21,"&lt;"&amp;BO9,WeightedRevAge21)-SUMIF(ThresholdAge21,"&lt;"&amp;BO9,WeightedMinAge21),MAX(CapacityAge21*АбонементНовых*BO9,MeanMinAge21)))</f>
        <v/>
      </c>
      <c r="BP94" s="4">
        <f>IF(OR(('03_Сеть'!BP42-BP40)=0,21&lt;=КаникулыРоялти),0,('03_Сеть'!BP42-BP40)*IF(РоялтиПоГруппам="Да",MeanMinAge21+BP9*SUMIF(ThresholdAge21,"&lt;"&amp;BP9,WeightedRevAge21)-SUMIF(ThresholdAge21,"&lt;"&amp;BP9,WeightedMinAge21),MAX(CapacityAge21*АбонементНовых*BP9,MeanMinAge21)))</f>
        <v/>
      </c>
      <c r="BQ94" s="4">
        <f>IF(OR(('03_Сеть'!BQ42-BQ40)=0,21&lt;=КаникулыРоялти),0,('03_Сеть'!BQ42-BQ40)*IF(РоялтиПоГруппам="Да",MeanMinAge21+BQ9*SUMIF(ThresholdAge21,"&lt;"&amp;BQ9,WeightedRevAge21)-SUMIF(ThresholdAge21,"&lt;"&amp;BQ9,WeightedMinAge21),MAX(CapacityAge21*АбонементНовых*BQ9,MeanMinAge21)))</f>
        <v/>
      </c>
      <c r="BR94" s="4">
        <f>IF(OR(('03_Сеть'!BR42-BR40)=0,21&lt;=КаникулыРоялти),0,('03_Сеть'!BR42-BR40)*IF(РоялтиПоГруппам="Да",MeanMinAge21+BR9*SUMIF(ThresholdAge21,"&lt;"&amp;BR9,WeightedRevAge21)-SUMIF(ThresholdAge21,"&lt;"&amp;BR9,WeightedMinAge21),MAX(CapacityAge21*АбонементНовых*BR9,MeanMinAge21)))</f>
        <v/>
      </c>
      <c r="BS94" s="4">
        <f>IF(OR(('03_Сеть'!BS42-BS40)=0,21&lt;=КаникулыРоялти),0,('03_Сеть'!BS42-BS40)*IF(РоялтиПоГруппам="Да",MeanMinAge21+BS9*SUMIF(ThresholdAge21,"&lt;"&amp;BS9,WeightedRevAge21)-SUMIF(ThresholdAge21,"&lt;"&amp;BS9,WeightedMinAge21),MAX(CapacityAge21*АбонементНовых*BS9,MeanMinAge21)))</f>
        <v/>
      </c>
      <c r="BT94" s="4">
        <f>IF(OR(('03_Сеть'!BT42-BT40)=0,21&lt;=КаникулыРоялти),0,('03_Сеть'!BT42-BT40)*IF(РоялтиПоГруппам="Да",MeanMinAge21+BT9*SUMIF(ThresholdAge21,"&lt;"&amp;BT9,WeightedRevAge21)-SUMIF(ThresholdAge21,"&lt;"&amp;BT9,WeightedMinAge21),MAX(CapacityAge21*АбонементНовых*BT9,MeanMinAge21)))</f>
        <v/>
      </c>
      <c r="BU94" s="4">
        <f>IF(OR(('03_Сеть'!BU42-BU40)=0,21&lt;=КаникулыРоялти),0,('03_Сеть'!BU42-BU40)*IF(РоялтиПоГруппам="Да",MeanMinAge21+BU9*SUMIF(ThresholdAge21,"&lt;"&amp;BU9,WeightedRevAge21)-SUMIF(ThresholdAge21,"&lt;"&amp;BU9,WeightedMinAge21),MAX(CapacityAge21*АбонементНовых*BU9,MeanMinAge21)))</f>
        <v/>
      </c>
      <c r="BV94" s="4">
        <f>IF(OR(('03_Сеть'!BV42-BV40)=0,21&lt;=КаникулыРоялти),0,('03_Сеть'!BV42-BV40)*IF(РоялтиПоГруппам="Да",MeanMinAge21+BV9*SUMIF(ThresholdAge21,"&lt;"&amp;BV9,WeightedRevAge21)-SUMIF(ThresholdAge21,"&lt;"&amp;BV9,WeightedMinAge21),MAX(CapacityAge21*АбонементНовых*BV9,MeanMinAge21)))</f>
        <v/>
      </c>
      <c r="BW94" s="4">
        <f>IF(OR(('03_Сеть'!BW42-BW40)=0,21&lt;=КаникулыРоялти),0,('03_Сеть'!BW42-BW40)*IF(РоялтиПоГруппам="Да",MeanMinAge21+BW9*SUMIF(ThresholdAge21,"&lt;"&amp;BW9,WeightedRevAge21)-SUMIF(ThresholdAge21,"&lt;"&amp;BW9,WeightedMinAge21),MAX(CapacityAge21*АбонементНовых*BW9,MeanMinAge21)))</f>
        <v/>
      </c>
      <c r="BX94" s="4">
        <f>IF(OR(('03_Сеть'!BX42-BX40)=0,21&lt;=КаникулыРоялти),0,('03_Сеть'!BX42-BX40)*IF(РоялтиПоГруппам="Да",MeanMinAge21+BX9*SUMIF(ThresholdAge21,"&lt;"&amp;BX9,WeightedRevAge21)-SUMIF(ThresholdAge21,"&lt;"&amp;BX9,WeightedMinAge21),MAX(CapacityAge21*АбонементНовых*BX9,MeanMinAge21)))</f>
        <v/>
      </c>
      <c r="BY94" s="4">
        <f>IF(OR(('03_Сеть'!BY42-BY40)=0,21&lt;=КаникулыРоялти),0,('03_Сеть'!BY42-BY40)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95">
      <c r="B95" t="inlineStr">
        <is>
          <t>22 мес.</t>
        </is>
      </c>
      <c r="C95" t="inlineStr">
        <is>
          <t>₽</t>
        </is>
      </c>
      <c r="D95" s="117" t="inlineStr"/>
      <c r="E95" s="119">
        <f>SUM(L95:W95)</f>
        <v/>
      </c>
      <c r="F95" s="119">
        <f>SUM(X95:AI95)</f>
        <v/>
      </c>
      <c r="G95" s="119">
        <f>SUM(AJ95:AU95)</f>
        <v/>
      </c>
      <c r="H95" s="119">
        <f>SUM(AV95:BG95)</f>
        <v/>
      </c>
      <c r="I95" s="119">
        <f>SUM(BH95:BS95)</f>
        <v/>
      </c>
      <c r="J95" s="5">
        <f>SUM(L95:BS95)</f>
        <v/>
      </c>
      <c r="L95" s="4">
        <f>IF(OR(('03_Сеть'!L43-L41)=0,22&lt;=КаникулыРоялти),0,('03_Сеть'!L43-L41)*IF(РоялтиПоГруппам="Да",MeanMinAge22+L9*SUMIF(ThresholdAge22,"&lt;"&amp;L9,WeightedRevAge22)-SUMIF(ThresholdAge22,"&lt;"&amp;L9,WeightedMinAge22),MAX(CapacityAge22*АбонементНовых*L9,MeanMinAge22)))</f>
        <v/>
      </c>
      <c r="M95" s="4">
        <f>IF(OR(('03_Сеть'!M43-M41)=0,22&lt;=КаникулыРоялти),0,('03_Сеть'!M43-M41)*IF(РоялтиПоГруппам="Да",MeanMinAge22+M9*SUMIF(ThresholdAge22,"&lt;"&amp;M9,WeightedRevAge22)-SUMIF(ThresholdAge22,"&lt;"&amp;M9,WeightedMinAge22),MAX(CapacityAge22*АбонементНовых*M9,MeanMinAge22)))</f>
        <v/>
      </c>
      <c r="N95" s="4">
        <f>IF(OR(('03_Сеть'!N43-N41)=0,22&lt;=КаникулыРоялти),0,('03_Сеть'!N43-N41)*IF(РоялтиПоГруппам="Да",MeanMinAge22+N9*SUMIF(ThresholdAge22,"&lt;"&amp;N9,WeightedRevAge22)-SUMIF(ThresholdAge22,"&lt;"&amp;N9,WeightedMinAge22),MAX(CapacityAge22*АбонементНовых*N9,MeanMinAge22)))</f>
        <v/>
      </c>
      <c r="O95" s="4">
        <f>IF(OR(('03_Сеть'!O43-O41)=0,22&lt;=КаникулыРоялти),0,('03_Сеть'!O43-O41)*IF(РоялтиПоГруппам="Да",MeanMinAge22+O9*SUMIF(ThresholdAge22,"&lt;"&amp;O9,WeightedRevAge22)-SUMIF(ThresholdAge22,"&lt;"&amp;O9,WeightedMinAge22),MAX(CapacityAge22*АбонементНовых*O9,MeanMinAge22)))</f>
        <v/>
      </c>
      <c r="P95" s="4">
        <f>IF(OR(('03_Сеть'!P43-P41)=0,22&lt;=КаникулыРоялти),0,('03_Сеть'!P43-P41)*IF(РоялтиПоГруппам="Да",MeanMinAge22+P9*SUMIF(ThresholdAge22,"&lt;"&amp;P9,WeightedRevAge22)-SUMIF(ThresholdAge22,"&lt;"&amp;P9,WeightedMinAge22),MAX(CapacityAge22*АбонементНовых*P9,MeanMinAge22)))</f>
        <v/>
      </c>
      <c r="Q95" s="4">
        <f>IF(OR(('03_Сеть'!Q43-Q41)=0,22&lt;=КаникулыРоялти),0,('03_Сеть'!Q43-Q41)*IF(РоялтиПоГруппам="Да",MeanMinAge22+Q9*SUMIF(ThresholdAge22,"&lt;"&amp;Q9,WeightedRevAge22)-SUMIF(ThresholdAge22,"&lt;"&amp;Q9,WeightedMinAge22),MAX(CapacityAge22*АбонементНовых*Q9,MeanMinAge22)))</f>
        <v/>
      </c>
      <c r="R95" s="4">
        <f>IF(OR(('03_Сеть'!R43-R41)=0,22&lt;=КаникулыРоялти),0,('03_Сеть'!R43-R41)*IF(РоялтиПоГруппам="Да",MeanMinAge22+R9*SUMIF(ThresholdAge22,"&lt;"&amp;R9,WeightedRevAge22)-SUMIF(ThresholdAge22,"&lt;"&amp;R9,WeightedMinAge22),MAX(CapacityAge22*АбонементНовых*R9,MeanMinAge22)))</f>
        <v/>
      </c>
      <c r="S95" s="4">
        <f>IF(OR(('03_Сеть'!S43-S41)=0,22&lt;=КаникулыРоялти),0,('03_Сеть'!S43-S41)*IF(РоялтиПоГруппам="Да",MeanMinAge22+S9*SUMIF(ThresholdAge22,"&lt;"&amp;S9,WeightedRevAge22)-SUMIF(ThresholdAge22,"&lt;"&amp;S9,WeightedMinAge22),MAX(CapacityAge22*АбонементНовых*S9,MeanMinAge22)))</f>
        <v/>
      </c>
      <c r="T95" s="4">
        <f>IF(OR(('03_Сеть'!T43-T41)=0,22&lt;=КаникулыРоялти),0,('03_Сеть'!T43-T41)*IF(РоялтиПоГруппам="Да",MeanMinAge22+T9*SUMIF(ThresholdAge22,"&lt;"&amp;T9,WeightedRevAge22)-SUMIF(ThresholdAge22,"&lt;"&amp;T9,WeightedMinAge22),MAX(CapacityAge22*АбонементНовых*T9,MeanMinAge22)))</f>
        <v/>
      </c>
      <c r="U95" s="4">
        <f>IF(OR(('03_Сеть'!U43-U41)=0,22&lt;=КаникулыРоялти),0,('03_Сеть'!U43-U41)*IF(РоялтиПоГруппам="Да",MeanMinAge22+U9*SUMIF(ThresholdAge22,"&lt;"&amp;U9,WeightedRevAge22)-SUMIF(ThresholdAge22,"&lt;"&amp;U9,WeightedMinAge22),MAX(CapacityAge22*АбонементНовых*U9,MeanMinAge22)))</f>
        <v/>
      </c>
      <c r="V95" s="4">
        <f>IF(OR(('03_Сеть'!V43-V41)=0,22&lt;=КаникулыРоялти),0,('03_Сеть'!V43-V41)*IF(РоялтиПоГруппам="Да",MeanMinAge22+V9*SUMIF(ThresholdAge22,"&lt;"&amp;V9,WeightedRevAge22)-SUMIF(ThresholdAge22,"&lt;"&amp;V9,WeightedMinAge22),MAX(CapacityAge22*АбонементНовых*V9,MeanMinAge22)))</f>
        <v/>
      </c>
      <c r="W95" s="4">
        <f>IF(OR(('03_Сеть'!W43-W41)=0,22&lt;=КаникулыРоялти),0,('03_Сеть'!W43-W41)*IF(РоялтиПоГруппам="Да",MeanMinAge22+W9*SUMIF(ThresholdAge22,"&lt;"&amp;W9,WeightedRevAge22)-SUMIF(ThresholdAge22,"&lt;"&amp;W9,WeightedMinAge22),MAX(CapacityAge22*АбонементНовых*W9,MeanMinAge22)))</f>
        <v/>
      </c>
      <c r="X95" s="4">
        <f>IF(OR(('03_Сеть'!X43-X41)=0,22&lt;=КаникулыРоялти),0,('03_Сеть'!X43-X41)*IF(РоялтиПоГруппам="Да",MeanMinAge22+X9*SUMIF(ThresholdAge22,"&lt;"&amp;X9,WeightedRevAge22)-SUMIF(ThresholdAge22,"&lt;"&amp;X9,WeightedMinAge22),MAX(CapacityAge22*АбонементНовых*X9,MeanMinAge22)))</f>
        <v/>
      </c>
      <c r="Y95" s="4">
        <f>IF(OR(('03_Сеть'!Y43-Y41)=0,22&lt;=КаникулыРоялти),0,('03_Сеть'!Y43-Y41)*IF(РоялтиПоГруппам="Да",MeanMinAge22+Y9*SUMIF(ThresholdAge22,"&lt;"&amp;Y9,WeightedRevAge22)-SUMIF(ThresholdAge22,"&lt;"&amp;Y9,WeightedMinAge22),MAX(CapacityAge22*АбонементНовых*Y9,MeanMinAge22)))</f>
        <v/>
      </c>
      <c r="Z95" s="4">
        <f>IF(OR(('03_Сеть'!Z43-Z41)=0,22&lt;=КаникулыРоялти),0,('03_Сеть'!Z43-Z41)*IF(РоялтиПоГруппам="Да",MeanMinAge22+Z9*SUMIF(ThresholdAge22,"&lt;"&amp;Z9,WeightedRevAge22)-SUMIF(ThresholdAge22,"&lt;"&amp;Z9,WeightedMinAge22),MAX(CapacityAge22*АбонементНовых*Z9,MeanMinAge22)))</f>
        <v/>
      </c>
      <c r="AA95" s="4">
        <f>IF(OR(('03_Сеть'!AA43-AA41)=0,22&lt;=КаникулыРоялти),0,('03_Сеть'!AA43-AA41)*IF(РоялтиПоГруппам="Да",MeanMinAge22+AA9*SUMIF(ThresholdAge22,"&lt;"&amp;AA9,WeightedRevAge22)-SUMIF(ThresholdAge22,"&lt;"&amp;AA9,WeightedMinAge22),MAX(CapacityAge22*АбонементНовых*AA9,MeanMinAge22)))</f>
        <v/>
      </c>
      <c r="AB95" s="4">
        <f>IF(OR(('03_Сеть'!AB43-AB41)=0,22&lt;=КаникулыРоялти),0,('03_Сеть'!AB43-AB41)*IF(РоялтиПоГруппам="Да",MeanMinAge22+AB9*SUMIF(ThresholdAge22,"&lt;"&amp;AB9,WeightedRevAge22)-SUMIF(ThresholdAge22,"&lt;"&amp;AB9,WeightedMinAge22),MAX(CapacityAge22*АбонементНовых*AB9,MeanMinAge22)))</f>
        <v/>
      </c>
      <c r="AC95" s="4">
        <f>IF(OR(('03_Сеть'!AC43-AC41)=0,22&lt;=КаникулыРоялти),0,('03_Сеть'!AC43-AC41)*IF(РоялтиПоГруппам="Да",MeanMinAge22+AC9*SUMIF(ThresholdAge22,"&lt;"&amp;AC9,WeightedRevAge22)-SUMIF(ThresholdAge22,"&lt;"&amp;AC9,WeightedMinAge22),MAX(CapacityAge22*АбонементНовых*AC9,MeanMinAge22)))</f>
        <v/>
      </c>
      <c r="AD95" s="4">
        <f>IF(OR(('03_Сеть'!AD43-AD41)=0,22&lt;=КаникулыРоялти),0,('03_Сеть'!AD43-AD41)*IF(РоялтиПоГруппам="Да",MeanMinAge22+AD9*SUMIF(ThresholdAge22,"&lt;"&amp;AD9,WeightedRevAge22)-SUMIF(ThresholdAge22,"&lt;"&amp;AD9,WeightedMinAge22),MAX(CapacityAge22*АбонементНовых*AD9,MeanMinAge22)))</f>
        <v/>
      </c>
      <c r="AE95" s="4">
        <f>IF(OR(('03_Сеть'!AE43-AE41)=0,22&lt;=КаникулыРоялти),0,('03_Сеть'!AE43-AE41)*IF(РоялтиПоГруппам="Да",MeanMinAge22+AE9*SUMIF(ThresholdAge22,"&lt;"&amp;AE9,WeightedRevAge22)-SUMIF(ThresholdAge22,"&lt;"&amp;AE9,WeightedMinAge22),MAX(CapacityAge22*АбонементНовых*AE9,MeanMinAge22)))</f>
        <v/>
      </c>
      <c r="AF95" s="4">
        <f>IF(OR(('03_Сеть'!AF43-AF41)=0,22&lt;=КаникулыРоялти),0,('03_Сеть'!AF43-AF41)*IF(РоялтиПоГруппам="Да",MeanMinAge22+AF9*SUMIF(ThresholdAge22,"&lt;"&amp;AF9,WeightedRevAge22)-SUMIF(ThresholdAge22,"&lt;"&amp;AF9,WeightedMinAge22),MAX(CapacityAge22*АбонементНовых*AF9,MeanMinAge22)))</f>
        <v/>
      </c>
      <c r="AG95" s="4">
        <f>IF(OR(('03_Сеть'!AG43-AG41)=0,22&lt;=КаникулыРоялти),0,('03_Сеть'!AG43-AG41)*IF(РоялтиПоГруппам="Да",MeanMinAge22+AG9*SUMIF(ThresholdAge22,"&lt;"&amp;AG9,WeightedRevAge22)-SUMIF(ThresholdAge22,"&lt;"&amp;AG9,WeightedMinAge22),MAX(CapacityAge22*АбонементНовых*AG9,MeanMinAge22)))</f>
        <v/>
      </c>
      <c r="AH95" s="4">
        <f>IF(OR(('03_Сеть'!AH43-AH41)=0,22&lt;=КаникулыРоялти),0,('03_Сеть'!AH43-AH41)*IF(РоялтиПоГруппам="Да",MeanMinAge22+AH9*SUMIF(ThresholdAge22,"&lt;"&amp;AH9,WeightedRevAge22)-SUMIF(ThresholdAge22,"&lt;"&amp;AH9,WeightedMinAge22),MAX(CapacityAge22*АбонементНовых*AH9,MeanMinAge22)))</f>
        <v/>
      </c>
      <c r="AI95" s="4">
        <f>IF(OR(('03_Сеть'!AI43-AI41)=0,22&lt;=КаникулыРоялти),0,('03_Сеть'!AI43-AI41)*IF(РоялтиПоГруппам="Да",MeanMinAge22+AI9*SUMIF(ThresholdAge22,"&lt;"&amp;AI9,WeightedRevAge22)-SUMIF(ThresholdAge22,"&lt;"&amp;AI9,WeightedMinAge22),MAX(CapacityAge22*АбонементНовых*AI9,MeanMinAge22)))</f>
        <v/>
      </c>
      <c r="AJ95" s="4">
        <f>IF(OR(('03_Сеть'!AJ43-AJ41)=0,22&lt;=КаникулыРоялти),0,('03_Сеть'!AJ43-AJ41)*IF(РоялтиПоГруппам="Да",MeanMinAge22+AJ9*SUMIF(ThresholdAge22,"&lt;"&amp;AJ9,WeightedRevAge22)-SUMIF(ThresholdAge22,"&lt;"&amp;AJ9,WeightedMinAge22),MAX(CapacityAge22*АбонементНовых*AJ9,MeanMinAge22)))</f>
        <v/>
      </c>
      <c r="AK95" s="4">
        <f>IF(OR(('03_Сеть'!AK43-AK41)=0,22&lt;=КаникулыРоялти),0,('03_Сеть'!AK43-AK41)*IF(РоялтиПоГруппам="Да",MeanMinAge22+AK9*SUMIF(ThresholdAge22,"&lt;"&amp;AK9,WeightedRevAge22)-SUMIF(ThresholdAge22,"&lt;"&amp;AK9,WeightedMinAge22),MAX(CapacityAge22*АбонементНовых*AK9,MeanMinAge22)))</f>
        <v/>
      </c>
      <c r="AL95" s="4">
        <f>IF(OR(('03_Сеть'!AL43-AL41)=0,22&lt;=КаникулыРоялти),0,('03_Сеть'!AL43-AL41)*IF(РоялтиПоГруппам="Да",MeanMinAge22+AL9*SUMIF(ThresholdAge22,"&lt;"&amp;AL9,WeightedRevAge22)-SUMIF(ThresholdAge22,"&lt;"&amp;AL9,WeightedMinAge22),MAX(CapacityAge22*АбонементНовых*AL9,MeanMinAge22)))</f>
        <v/>
      </c>
      <c r="AM95" s="4">
        <f>IF(OR(('03_Сеть'!AM43-AM41)=0,22&lt;=КаникулыРоялти),0,('03_Сеть'!AM43-AM41)*IF(РоялтиПоГруппам="Да",MeanMinAge22+AM9*SUMIF(ThresholdAge22,"&lt;"&amp;AM9,WeightedRevAge22)-SUMIF(ThresholdAge22,"&lt;"&amp;AM9,WeightedMinAge22),MAX(CapacityAge22*АбонементНовых*AM9,MeanMinAge22)))</f>
        <v/>
      </c>
      <c r="AN95" s="4">
        <f>IF(OR(('03_Сеть'!AN43-AN41)=0,22&lt;=КаникулыРоялти),0,('03_Сеть'!AN43-AN41)*IF(РоялтиПоГруппам="Да",MeanMinAge22+AN9*SUMIF(ThresholdAge22,"&lt;"&amp;AN9,WeightedRevAge22)-SUMIF(ThresholdAge22,"&lt;"&amp;AN9,WeightedMinAge22),MAX(CapacityAge22*АбонементНовых*AN9,MeanMinAge22)))</f>
        <v/>
      </c>
      <c r="AO95" s="4">
        <f>IF(OR(('03_Сеть'!AO43-AO41)=0,22&lt;=КаникулыРоялти),0,('03_Сеть'!AO43-AO41)*IF(РоялтиПоГруппам="Да",MeanMinAge22+AO9*SUMIF(ThresholdAge22,"&lt;"&amp;AO9,WeightedRevAge22)-SUMIF(ThresholdAge22,"&lt;"&amp;AO9,WeightedMinAge22),MAX(CapacityAge22*АбонементНовых*AO9,MeanMinAge22)))</f>
        <v/>
      </c>
      <c r="AP95" s="4">
        <f>IF(OR(('03_Сеть'!AP43-AP41)=0,22&lt;=КаникулыРоялти),0,('03_Сеть'!AP43-AP41)*IF(РоялтиПоГруппам="Да",MeanMinAge22+AP9*SUMIF(ThresholdAge22,"&lt;"&amp;AP9,WeightedRevAge22)-SUMIF(ThresholdAge22,"&lt;"&amp;AP9,WeightedMinAge22),MAX(CapacityAge22*АбонементНовых*AP9,MeanMinAge22)))</f>
        <v/>
      </c>
      <c r="AQ95" s="4">
        <f>IF(OR(('03_Сеть'!AQ43-AQ41)=0,22&lt;=КаникулыРоялти),0,('03_Сеть'!AQ43-AQ41)*IF(РоялтиПоГруппам="Да",MeanMinAge22+AQ9*SUMIF(ThresholdAge22,"&lt;"&amp;AQ9,WeightedRevAge22)-SUMIF(ThresholdAge22,"&lt;"&amp;AQ9,WeightedMinAge22),MAX(CapacityAge22*АбонементНовых*AQ9,MeanMinAge22)))</f>
        <v/>
      </c>
      <c r="AR95" s="4">
        <f>IF(OR(('03_Сеть'!AR43-AR41)=0,22&lt;=КаникулыРоялти),0,('03_Сеть'!AR43-AR41)*IF(РоялтиПоГруппам="Да",MeanMinAge22+AR9*SUMIF(ThresholdAge22,"&lt;"&amp;AR9,WeightedRevAge22)-SUMIF(ThresholdAge22,"&lt;"&amp;AR9,WeightedMinAge22),MAX(CapacityAge22*АбонементНовых*AR9,MeanMinAge22)))</f>
        <v/>
      </c>
      <c r="AS95" s="4">
        <f>IF(OR(('03_Сеть'!AS43-AS41)=0,22&lt;=КаникулыРоялти),0,('03_Сеть'!AS43-AS41)*IF(РоялтиПоГруппам="Да",MeanMinAge22+AS9*SUMIF(ThresholdAge22,"&lt;"&amp;AS9,WeightedRevAge22)-SUMIF(ThresholdAge22,"&lt;"&amp;AS9,WeightedMinAge22),MAX(CapacityAge22*АбонементНовых*AS9,MeanMinAge22)))</f>
        <v/>
      </c>
      <c r="AT95" s="4">
        <f>IF(OR(('03_Сеть'!AT43-AT41)=0,22&lt;=КаникулыРоялти),0,('03_Сеть'!AT43-AT41)*IF(РоялтиПоГруппам="Да",MeanMinAge22+AT9*SUMIF(ThresholdAge22,"&lt;"&amp;AT9,WeightedRevAge22)-SUMIF(ThresholdAge22,"&lt;"&amp;AT9,WeightedMinAge22),MAX(CapacityAge22*АбонементНовых*AT9,MeanMinAge22)))</f>
        <v/>
      </c>
      <c r="AU95" s="4">
        <f>IF(OR(('03_Сеть'!AU43-AU41)=0,22&lt;=КаникулыРоялти),0,('03_Сеть'!AU43-AU41)*IF(РоялтиПоГруппам="Да",MeanMinAge22+AU9*SUMIF(ThresholdAge22,"&lt;"&amp;AU9,WeightedRevAge22)-SUMIF(ThresholdAge22,"&lt;"&amp;AU9,WeightedMinAge22),MAX(CapacityAge22*АбонементНовых*AU9,MeanMinAge22)))</f>
        <v/>
      </c>
      <c r="AV95" s="4">
        <f>IF(OR(('03_Сеть'!AV43-AV41)=0,22&lt;=КаникулыРоялти),0,('03_Сеть'!AV43-AV41)*IF(РоялтиПоГруппам="Да",MeanMinAge22+AV9*SUMIF(ThresholdAge22,"&lt;"&amp;AV9,WeightedRevAge22)-SUMIF(ThresholdAge22,"&lt;"&amp;AV9,WeightedMinAge22),MAX(CapacityAge22*АбонементНовых*AV9,MeanMinAge22)))</f>
        <v/>
      </c>
      <c r="AW95" s="4">
        <f>IF(OR(('03_Сеть'!AW43-AW41)=0,22&lt;=КаникулыРоялти),0,('03_Сеть'!AW43-AW41)*IF(РоялтиПоГруппам="Да",MeanMinAge22+AW9*SUMIF(ThresholdAge22,"&lt;"&amp;AW9,WeightedRevAge22)-SUMIF(ThresholdAge22,"&lt;"&amp;AW9,WeightedMinAge22),MAX(CapacityAge22*АбонементНовых*AW9,MeanMinAge22)))</f>
        <v/>
      </c>
      <c r="AX95" s="4">
        <f>IF(OR(('03_Сеть'!AX43-AX41)=0,22&lt;=КаникулыРоялти),0,('03_Сеть'!AX43-AX41)*IF(РоялтиПоГруппам="Да",MeanMinAge22+AX9*SUMIF(ThresholdAge22,"&lt;"&amp;AX9,WeightedRevAge22)-SUMIF(ThresholdAge22,"&lt;"&amp;AX9,WeightedMinAge22),MAX(CapacityAge22*АбонементНовых*AX9,MeanMinAge22)))</f>
        <v/>
      </c>
      <c r="AY95" s="4">
        <f>IF(OR(('03_Сеть'!AY43-AY41)=0,22&lt;=КаникулыРоялти),0,('03_Сеть'!AY43-AY41)*IF(РоялтиПоГруппам="Да",MeanMinAge22+AY9*SUMIF(ThresholdAge22,"&lt;"&amp;AY9,WeightedRevAge22)-SUMIF(ThresholdAge22,"&lt;"&amp;AY9,WeightedMinAge22),MAX(CapacityAge22*АбонементНовых*AY9,MeanMinAge22)))</f>
        <v/>
      </c>
      <c r="AZ95" s="4">
        <f>IF(OR(('03_Сеть'!AZ43-AZ41)=0,22&lt;=КаникулыРоялти),0,('03_Сеть'!AZ43-AZ41)*IF(РоялтиПоГруппам="Да",MeanMinAge22+AZ9*SUMIF(ThresholdAge22,"&lt;"&amp;AZ9,WeightedRevAge22)-SUMIF(ThresholdAge22,"&lt;"&amp;AZ9,WeightedMinAge22),MAX(CapacityAge22*АбонементНовых*AZ9,MeanMinAge22)))</f>
        <v/>
      </c>
      <c r="BA95" s="4">
        <f>IF(OR(('03_Сеть'!BA43-BA41)=0,22&lt;=КаникулыРоялти),0,('03_Сеть'!BA43-BA41)*IF(РоялтиПоГруппам="Да",MeanMinAge22+BA9*SUMIF(ThresholdAge22,"&lt;"&amp;BA9,WeightedRevAge22)-SUMIF(ThresholdAge22,"&lt;"&amp;BA9,WeightedMinAge22),MAX(CapacityAge22*АбонементНовых*BA9,MeanMinAge22)))</f>
        <v/>
      </c>
      <c r="BB95" s="4">
        <f>IF(OR(('03_Сеть'!BB43-BB41)=0,22&lt;=КаникулыРоялти),0,('03_Сеть'!BB43-BB41)*IF(РоялтиПоГруппам="Да",MeanMinAge22+BB9*SUMIF(ThresholdAge22,"&lt;"&amp;BB9,WeightedRevAge22)-SUMIF(ThresholdAge22,"&lt;"&amp;BB9,WeightedMinAge22),MAX(CapacityAge22*АбонементНовых*BB9,MeanMinAge22)))</f>
        <v/>
      </c>
      <c r="BC95" s="4">
        <f>IF(OR(('03_Сеть'!BC43-BC41)=0,22&lt;=КаникулыРоялти),0,('03_Сеть'!BC43-BC41)*IF(РоялтиПоГруппам="Да",MeanMinAge22+BC9*SUMIF(ThresholdAge22,"&lt;"&amp;BC9,WeightedRevAge22)-SUMIF(ThresholdAge22,"&lt;"&amp;BC9,WeightedMinAge22),MAX(CapacityAge22*АбонементНовых*BC9,MeanMinAge22)))</f>
        <v/>
      </c>
      <c r="BD95" s="4">
        <f>IF(OR(('03_Сеть'!BD43-BD41)=0,22&lt;=КаникулыРоялти),0,('03_Сеть'!BD43-BD41)*IF(РоялтиПоГруппам="Да",MeanMinAge22+BD9*SUMIF(ThresholdAge22,"&lt;"&amp;BD9,WeightedRevAge22)-SUMIF(ThresholdAge22,"&lt;"&amp;BD9,WeightedMinAge22),MAX(CapacityAge22*АбонементНовых*BD9,MeanMinAge22)))</f>
        <v/>
      </c>
      <c r="BE95" s="4">
        <f>IF(OR(('03_Сеть'!BE43-BE41)=0,22&lt;=КаникулыРоялти),0,('03_Сеть'!BE43-BE41)*IF(РоялтиПоГруппам="Да",MeanMinAge22+BE9*SUMIF(ThresholdAge22,"&lt;"&amp;BE9,WeightedRevAge22)-SUMIF(ThresholdAge22,"&lt;"&amp;BE9,WeightedMinAge22),MAX(CapacityAge22*АбонементНовых*BE9,MeanMinAge22)))</f>
        <v/>
      </c>
      <c r="BF95" s="4">
        <f>IF(OR(('03_Сеть'!BF43-BF41)=0,22&lt;=КаникулыРоялти),0,('03_Сеть'!BF43-BF41)*IF(РоялтиПоГруппам="Да",MeanMinAge22+BF9*SUMIF(ThresholdAge22,"&lt;"&amp;BF9,WeightedRevAge22)-SUMIF(ThresholdAge22,"&lt;"&amp;BF9,WeightedMinAge22),MAX(CapacityAge22*АбонементНовых*BF9,MeanMinAge22)))</f>
        <v/>
      </c>
      <c r="BG95" s="4">
        <f>IF(OR(('03_Сеть'!BG43-BG41)=0,22&lt;=КаникулыРоялти),0,('03_Сеть'!BG43-BG41)*IF(РоялтиПоГруппам="Да",MeanMinAge22+BG9*SUMIF(ThresholdAge22,"&lt;"&amp;BG9,WeightedRevAge22)-SUMIF(ThresholdAge22,"&lt;"&amp;BG9,WeightedMinAge22),MAX(CapacityAge22*АбонементНовых*BG9,MeanMinAge22)))</f>
        <v/>
      </c>
      <c r="BH95" s="4">
        <f>IF(OR(('03_Сеть'!BH43-BH41)=0,22&lt;=КаникулыРоялти),0,('03_Сеть'!BH43-BH41)*IF(РоялтиПоГруппам="Да",MeanMinAge22+BH9*SUMIF(ThresholdAge22,"&lt;"&amp;BH9,WeightedRevAge22)-SUMIF(ThresholdAge22,"&lt;"&amp;BH9,WeightedMinAge22),MAX(CapacityAge22*АбонементНовых*BH9,MeanMinAge22)))</f>
        <v/>
      </c>
      <c r="BI95" s="4">
        <f>IF(OR(('03_Сеть'!BI43-BI41)=0,22&lt;=КаникулыРоялти),0,('03_Сеть'!BI43-BI41)*IF(РоялтиПоГруппам="Да",MeanMinAge22+BI9*SUMIF(ThresholdAge22,"&lt;"&amp;BI9,WeightedRevAge22)-SUMIF(ThresholdAge22,"&lt;"&amp;BI9,WeightedMinAge22),MAX(CapacityAge22*АбонементНовых*BI9,MeanMinAge22)))</f>
        <v/>
      </c>
      <c r="BJ95" s="4">
        <f>IF(OR(('03_Сеть'!BJ43-BJ41)=0,22&lt;=КаникулыРоялти),0,('03_Сеть'!BJ43-BJ41)*IF(РоялтиПоГруппам="Да",MeanMinAge22+BJ9*SUMIF(ThresholdAge22,"&lt;"&amp;BJ9,WeightedRevAge22)-SUMIF(ThresholdAge22,"&lt;"&amp;BJ9,WeightedMinAge22),MAX(CapacityAge22*АбонементНовых*BJ9,MeanMinAge22)))</f>
        <v/>
      </c>
      <c r="BK95" s="4">
        <f>IF(OR(('03_Сеть'!BK43-BK41)=0,22&lt;=КаникулыРоялти),0,('03_Сеть'!BK43-BK41)*IF(РоялтиПоГруппам="Да",MeanMinAge22+BK9*SUMIF(ThresholdAge22,"&lt;"&amp;BK9,WeightedRevAge22)-SUMIF(ThresholdAge22,"&lt;"&amp;BK9,WeightedMinAge22),MAX(CapacityAge22*АбонементНовых*BK9,MeanMinAge22)))</f>
        <v/>
      </c>
      <c r="BL95" s="4">
        <f>IF(OR(('03_Сеть'!BL43-BL41)=0,22&lt;=КаникулыРоялти),0,('03_Сеть'!BL43-BL41)*IF(РоялтиПоГруппам="Да",MeanMinAge22+BL9*SUMIF(ThresholdAge22,"&lt;"&amp;BL9,WeightedRevAge22)-SUMIF(ThresholdAge22,"&lt;"&amp;BL9,WeightedMinAge22),MAX(CapacityAge22*АбонементНовых*BL9,MeanMinAge22)))</f>
        <v/>
      </c>
      <c r="BM95" s="4">
        <f>IF(OR(('03_Сеть'!BM43-BM41)=0,22&lt;=КаникулыРоялти),0,('03_Сеть'!BM43-BM41)*IF(РоялтиПоГруппам="Да",MeanMinAge22+BM9*SUMIF(ThresholdAge22,"&lt;"&amp;BM9,WeightedRevAge22)-SUMIF(ThresholdAge22,"&lt;"&amp;BM9,WeightedMinAge22),MAX(CapacityAge22*АбонементНовых*BM9,MeanMinAge22)))</f>
        <v/>
      </c>
      <c r="BN95" s="4">
        <f>IF(OR(('03_Сеть'!BN43-BN41)=0,22&lt;=КаникулыРоялти),0,('03_Сеть'!BN43-BN41)*IF(РоялтиПоГруппам="Да",MeanMinAge22+BN9*SUMIF(ThresholdAge22,"&lt;"&amp;BN9,WeightedRevAge22)-SUMIF(ThresholdAge22,"&lt;"&amp;BN9,WeightedMinAge22),MAX(CapacityAge22*АбонементНовых*BN9,MeanMinAge22)))</f>
        <v/>
      </c>
      <c r="BO95" s="4">
        <f>IF(OR(('03_Сеть'!BO43-BO41)=0,22&lt;=КаникулыРоялти),0,('03_Сеть'!BO43-BO41)*IF(РоялтиПоГруппам="Да",MeanMinAge22+BO9*SUMIF(ThresholdAge22,"&lt;"&amp;BO9,WeightedRevAge22)-SUMIF(ThresholdAge22,"&lt;"&amp;BO9,WeightedMinAge22),MAX(CapacityAge22*АбонементНовых*BO9,MeanMinAge22)))</f>
        <v/>
      </c>
      <c r="BP95" s="4">
        <f>IF(OR(('03_Сеть'!BP43-BP41)=0,22&lt;=КаникулыРоялти),0,('03_Сеть'!BP43-BP41)*IF(РоялтиПоГруппам="Да",MeanMinAge22+BP9*SUMIF(ThresholdAge22,"&lt;"&amp;BP9,WeightedRevAge22)-SUMIF(ThresholdAge22,"&lt;"&amp;BP9,WeightedMinAge22),MAX(CapacityAge22*АбонементНовых*BP9,MeanMinAge22)))</f>
        <v/>
      </c>
      <c r="BQ95" s="4">
        <f>IF(OR(('03_Сеть'!BQ43-BQ41)=0,22&lt;=КаникулыРоялти),0,('03_Сеть'!BQ43-BQ41)*IF(РоялтиПоГруппам="Да",MeanMinAge22+BQ9*SUMIF(ThresholdAge22,"&lt;"&amp;BQ9,WeightedRevAge22)-SUMIF(ThresholdAge22,"&lt;"&amp;BQ9,WeightedMinAge22),MAX(CapacityAge22*АбонементНовых*BQ9,MeanMinAge22)))</f>
        <v/>
      </c>
      <c r="BR95" s="4">
        <f>IF(OR(('03_Сеть'!BR43-BR41)=0,22&lt;=КаникулыРоялти),0,('03_Сеть'!BR43-BR41)*IF(РоялтиПоГруппам="Да",MeanMinAge22+BR9*SUMIF(ThresholdAge22,"&lt;"&amp;BR9,WeightedRevAge22)-SUMIF(ThresholdAge22,"&lt;"&amp;BR9,WeightedMinAge22),MAX(CapacityAge22*АбонементНовых*BR9,MeanMinAge22)))</f>
        <v/>
      </c>
      <c r="BS95" s="4">
        <f>IF(OR(('03_Сеть'!BS43-BS41)=0,22&lt;=КаникулыРоялти),0,('03_Сеть'!BS43-BS41)*IF(РоялтиПоГруппам="Да",MeanMinAge22+BS9*SUMIF(ThresholdAge22,"&lt;"&amp;BS9,WeightedRevAge22)-SUMIF(ThresholdAge22,"&lt;"&amp;BS9,WeightedMinAge22),MAX(CapacityAge22*АбонементНовых*BS9,MeanMinAge22)))</f>
        <v/>
      </c>
      <c r="BT95" s="4">
        <f>IF(OR(('03_Сеть'!BT43-BT41)=0,22&lt;=КаникулыРоялти),0,('03_Сеть'!BT43-BT41)*IF(РоялтиПоГруппам="Да",MeanMinAge22+BT9*SUMIF(ThresholdAge22,"&lt;"&amp;BT9,WeightedRevAge22)-SUMIF(ThresholdAge22,"&lt;"&amp;BT9,WeightedMinAge22),MAX(CapacityAge22*АбонементНовых*BT9,MeanMinAge22)))</f>
        <v/>
      </c>
      <c r="BU95" s="4">
        <f>IF(OR(('03_Сеть'!BU43-BU41)=0,22&lt;=КаникулыРоялти),0,('03_Сеть'!BU43-BU41)*IF(РоялтиПоГруппам="Да",MeanMinAge22+BU9*SUMIF(ThresholdAge22,"&lt;"&amp;BU9,WeightedRevAge22)-SUMIF(ThresholdAge22,"&lt;"&amp;BU9,WeightedMinAge22),MAX(CapacityAge22*АбонементНовых*BU9,MeanMinAge22)))</f>
        <v/>
      </c>
      <c r="BV95" s="4">
        <f>IF(OR(('03_Сеть'!BV43-BV41)=0,22&lt;=КаникулыРоялти),0,('03_Сеть'!BV43-BV41)*IF(РоялтиПоГруппам="Да",MeanMinAge22+BV9*SUMIF(ThresholdAge22,"&lt;"&amp;BV9,WeightedRevAge22)-SUMIF(ThresholdAge22,"&lt;"&amp;BV9,WeightedMinAge22),MAX(CapacityAge22*АбонементНовых*BV9,MeanMinAge22)))</f>
        <v/>
      </c>
      <c r="BW95" s="4">
        <f>IF(OR(('03_Сеть'!BW43-BW41)=0,22&lt;=КаникулыРоялти),0,('03_Сеть'!BW43-BW41)*IF(РоялтиПоГруппам="Да",MeanMinAge22+BW9*SUMIF(ThresholdAge22,"&lt;"&amp;BW9,WeightedRevAge22)-SUMIF(ThresholdAge22,"&lt;"&amp;BW9,WeightedMinAge22),MAX(CapacityAge22*АбонементНовых*BW9,MeanMinAge22)))</f>
        <v/>
      </c>
      <c r="BX95" s="4">
        <f>IF(OR(('03_Сеть'!BX43-BX41)=0,22&lt;=КаникулыРоялти),0,('03_Сеть'!BX43-BX41)*IF(РоялтиПоГруппам="Да",MeanMinAge22+BX9*SUMIF(ThresholdAge22,"&lt;"&amp;BX9,WeightedRevAge22)-SUMIF(ThresholdAge22,"&lt;"&amp;BX9,WeightedMinAge22),MAX(CapacityAge22*АбонементНовых*BX9,MeanMinAge22)))</f>
        <v/>
      </c>
      <c r="BY95" s="4">
        <f>IF(OR(('03_Сеть'!BY43-BY41)=0,22&lt;=КаникулыРоялти),0,('03_Сеть'!BY43-BY41)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96">
      <c r="B96" t="inlineStr">
        <is>
          <t>23 мес.</t>
        </is>
      </c>
      <c r="C96" t="inlineStr">
        <is>
          <t>₽</t>
        </is>
      </c>
      <c r="D96" s="117" t="inlineStr"/>
      <c r="E96" s="119">
        <f>SUM(L96:W96)</f>
        <v/>
      </c>
      <c r="F96" s="119">
        <f>SUM(X96:AI96)</f>
        <v/>
      </c>
      <c r="G96" s="119">
        <f>SUM(AJ96:AU96)</f>
        <v/>
      </c>
      <c r="H96" s="119">
        <f>SUM(AV96:BG96)</f>
        <v/>
      </c>
      <c r="I96" s="119">
        <f>SUM(BH96:BS96)</f>
        <v/>
      </c>
      <c r="J96" s="5">
        <f>SUM(L96:BS96)</f>
        <v/>
      </c>
      <c r="L96" s="4">
        <f>IF(OR(('03_Сеть'!L44-L42)=0,23&lt;=КаникулыРоялти),0,('03_Сеть'!L44-L42)*IF(РоялтиПоГруппам="Да",MeanMinAge23+L9*SUMIF(ThresholdAge23,"&lt;"&amp;L9,WeightedRevAge23)-SUMIF(ThresholdAge23,"&lt;"&amp;L9,WeightedMinAge23),MAX(CapacityAge23*АбонементНовых*L9,MeanMinAge23)))</f>
        <v/>
      </c>
      <c r="M96" s="4">
        <f>IF(OR(('03_Сеть'!M44-M42)=0,23&lt;=КаникулыРоялти),0,('03_Сеть'!M44-M42)*IF(РоялтиПоГруппам="Да",MeanMinAge23+M9*SUMIF(ThresholdAge23,"&lt;"&amp;M9,WeightedRevAge23)-SUMIF(ThresholdAge23,"&lt;"&amp;M9,WeightedMinAge23),MAX(CapacityAge23*АбонементНовых*M9,MeanMinAge23)))</f>
        <v/>
      </c>
      <c r="N96" s="4">
        <f>IF(OR(('03_Сеть'!N44-N42)=0,23&lt;=КаникулыРоялти),0,('03_Сеть'!N44-N42)*IF(РоялтиПоГруппам="Да",MeanMinAge23+N9*SUMIF(ThresholdAge23,"&lt;"&amp;N9,WeightedRevAge23)-SUMIF(ThresholdAge23,"&lt;"&amp;N9,WeightedMinAge23),MAX(CapacityAge23*АбонементНовых*N9,MeanMinAge23)))</f>
        <v/>
      </c>
      <c r="O96" s="4">
        <f>IF(OR(('03_Сеть'!O44-O42)=0,23&lt;=КаникулыРоялти),0,('03_Сеть'!O44-O42)*IF(РоялтиПоГруппам="Да",MeanMinAge23+O9*SUMIF(ThresholdAge23,"&lt;"&amp;O9,WeightedRevAge23)-SUMIF(ThresholdAge23,"&lt;"&amp;O9,WeightedMinAge23),MAX(CapacityAge23*АбонементНовых*O9,MeanMinAge23)))</f>
        <v/>
      </c>
      <c r="P96" s="4">
        <f>IF(OR(('03_Сеть'!P44-P42)=0,23&lt;=КаникулыРоялти),0,('03_Сеть'!P44-P42)*IF(РоялтиПоГруппам="Да",MeanMinAge23+P9*SUMIF(ThresholdAge23,"&lt;"&amp;P9,WeightedRevAge23)-SUMIF(ThresholdAge23,"&lt;"&amp;P9,WeightedMinAge23),MAX(CapacityAge23*АбонементНовых*P9,MeanMinAge23)))</f>
        <v/>
      </c>
      <c r="Q96" s="4">
        <f>IF(OR(('03_Сеть'!Q44-Q42)=0,23&lt;=КаникулыРоялти),0,('03_Сеть'!Q44-Q42)*IF(РоялтиПоГруппам="Да",MeanMinAge23+Q9*SUMIF(ThresholdAge23,"&lt;"&amp;Q9,WeightedRevAge23)-SUMIF(ThresholdAge23,"&lt;"&amp;Q9,WeightedMinAge23),MAX(CapacityAge23*АбонементНовых*Q9,MeanMinAge23)))</f>
        <v/>
      </c>
      <c r="R96" s="4">
        <f>IF(OR(('03_Сеть'!R44-R42)=0,23&lt;=КаникулыРоялти),0,('03_Сеть'!R44-R42)*IF(РоялтиПоГруппам="Да",MeanMinAge23+R9*SUMIF(ThresholdAge23,"&lt;"&amp;R9,WeightedRevAge23)-SUMIF(ThresholdAge23,"&lt;"&amp;R9,WeightedMinAge23),MAX(CapacityAge23*АбонементНовых*R9,MeanMinAge23)))</f>
        <v/>
      </c>
      <c r="S96" s="4">
        <f>IF(OR(('03_Сеть'!S44-S42)=0,23&lt;=КаникулыРоялти),0,('03_Сеть'!S44-S42)*IF(РоялтиПоГруппам="Да",MeanMinAge23+S9*SUMIF(ThresholdAge23,"&lt;"&amp;S9,WeightedRevAge23)-SUMIF(ThresholdAge23,"&lt;"&amp;S9,WeightedMinAge23),MAX(CapacityAge23*АбонементНовых*S9,MeanMinAge23)))</f>
        <v/>
      </c>
      <c r="T96" s="4">
        <f>IF(OR(('03_Сеть'!T44-T42)=0,23&lt;=КаникулыРоялти),0,('03_Сеть'!T44-T42)*IF(РоялтиПоГруппам="Да",MeanMinAge23+T9*SUMIF(ThresholdAge23,"&lt;"&amp;T9,WeightedRevAge23)-SUMIF(ThresholdAge23,"&lt;"&amp;T9,WeightedMinAge23),MAX(CapacityAge23*АбонементНовых*T9,MeanMinAge23)))</f>
        <v/>
      </c>
      <c r="U96" s="4">
        <f>IF(OR(('03_Сеть'!U44-U42)=0,23&lt;=КаникулыРоялти),0,('03_Сеть'!U44-U42)*IF(РоялтиПоГруппам="Да",MeanMinAge23+U9*SUMIF(ThresholdAge23,"&lt;"&amp;U9,WeightedRevAge23)-SUMIF(ThresholdAge23,"&lt;"&amp;U9,WeightedMinAge23),MAX(CapacityAge23*АбонементНовых*U9,MeanMinAge23)))</f>
        <v/>
      </c>
      <c r="V96" s="4">
        <f>IF(OR(('03_Сеть'!V44-V42)=0,23&lt;=КаникулыРоялти),0,('03_Сеть'!V44-V42)*IF(РоялтиПоГруппам="Да",MeanMinAge23+V9*SUMIF(ThresholdAge23,"&lt;"&amp;V9,WeightedRevAge23)-SUMIF(ThresholdAge23,"&lt;"&amp;V9,WeightedMinAge23),MAX(CapacityAge23*АбонементНовых*V9,MeanMinAge23)))</f>
        <v/>
      </c>
      <c r="W96" s="4">
        <f>IF(OR(('03_Сеть'!W44-W42)=0,23&lt;=КаникулыРоялти),0,('03_Сеть'!W44-W42)*IF(РоялтиПоГруппам="Да",MeanMinAge23+W9*SUMIF(ThresholdAge23,"&lt;"&amp;W9,WeightedRevAge23)-SUMIF(ThresholdAge23,"&lt;"&amp;W9,WeightedMinAge23),MAX(CapacityAge23*АбонементНовых*W9,MeanMinAge23)))</f>
        <v/>
      </c>
      <c r="X96" s="4">
        <f>IF(OR(('03_Сеть'!X44-X42)=0,23&lt;=КаникулыРоялти),0,('03_Сеть'!X44-X42)*IF(РоялтиПоГруппам="Да",MeanMinAge23+X9*SUMIF(ThresholdAge23,"&lt;"&amp;X9,WeightedRevAge23)-SUMIF(ThresholdAge23,"&lt;"&amp;X9,WeightedMinAge23),MAX(CapacityAge23*АбонементНовых*X9,MeanMinAge23)))</f>
        <v/>
      </c>
      <c r="Y96" s="4">
        <f>IF(OR(('03_Сеть'!Y44-Y42)=0,23&lt;=КаникулыРоялти),0,('03_Сеть'!Y44-Y42)*IF(РоялтиПоГруппам="Да",MeanMinAge23+Y9*SUMIF(ThresholdAge23,"&lt;"&amp;Y9,WeightedRevAge23)-SUMIF(ThresholdAge23,"&lt;"&amp;Y9,WeightedMinAge23),MAX(CapacityAge23*АбонементНовых*Y9,MeanMinAge23)))</f>
        <v/>
      </c>
      <c r="Z96" s="4">
        <f>IF(OR(('03_Сеть'!Z44-Z42)=0,23&lt;=КаникулыРоялти),0,('03_Сеть'!Z44-Z42)*IF(РоялтиПоГруппам="Да",MeanMinAge23+Z9*SUMIF(ThresholdAge23,"&lt;"&amp;Z9,WeightedRevAge23)-SUMIF(ThresholdAge23,"&lt;"&amp;Z9,WeightedMinAge23),MAX(CapacityAge23*АбонементНовых*Z9,MeanMinAge23)))</f>
        <v/>
      </c>
      <c r="AA96" s="4">
        <f>IF(OR(('03_Сеть'!AA44-AA42)=0,23&lt;=КаникулыРоялти),0,('03_Сеть'!AA44-AA42)*IF(РоялтиПоГруппам="Да",MeanMinAge23+AA9*SUMIF(ThresholdAge23,"&lt;"&amp;AA9,WeightedRevAge23)-SUMIF(ThresholdAge23,"&lt;"&amp;AA9,WeightedMinAge23),MAX(CapacityAge23*АбонементНовых*AA9,MeanMinAge23)))</f>
        <v/>
      </c>
      <c r="AB96" s="4">
        <f>IF(OR(('03_Сеть'!AB44-AB42)=0,23&lt;=КаникулыРоялти),0,('03_Сеть'!AB44-AB42)*IF(РоялтиПоГруппам="Да",MeanMinAge23+AB9*SUMIF(ThresholdAge23,"&lt;"&amp;AB9,WeightedRevAge23)-SUMIF(ThresholdAge23,"&lt;"&amp;AB9,WeightedMinAge23),MAX(CapacityAge23*АбонементНовых*AB9,MeanMinAge23)))</f>
        <v/>
      </c>
      <c r="AC96" s="4">
        <f>IF(OR(('03_Сеть'!AC44-AC42)=0,23&lt;=КаникулыРоялти),0,('03_Сеть'!AC44-AC42)*IF(РоялтиПоГруппам="Да",MeanMinAge23+AC9*SUMIF(ThresholdAge23,"&lt;"&amp;AC9,WeightedRevAge23)-SUMIF(ThresholdAge23,"&lt;"&amp;AC9,WeightedMinAge23),MAX(CapacityAge23*АбонементНовых*AC9,MeanMinAge23)))</f>
        <v/>
      </c>
      <c r="AD96" s="4">
        <f>IF(OR(('03_Сеть'!AD44-AD42)=0,23&lt;=КаникулыРоялти),0,('03_Сеть'!AD44-AD42)*IF(РоялтиПоГруппам="Да",MeanMinAge23+AD9*SUMIF(ThresholdAge23,"&lt;"&amp;AD9,WeightedRevAge23)-SUMIF(ThresholdAge23,"&lt;"&amp;AD9,WeightedMinAge23),MAX(CapacityAge23*АбонементНовых*AD9,MeanMinAge23)))</f>
        <v/>
      </c>
      <c r="AE96" s="4">
        <f>IF(OR(('03_Сеть'!AE44-AE42)=0,23&lt;=КаникулыРоялти),0,('03_Сеть'!AE44-AE42)*IF(РоялтиПоГруппам="Да",MeanMinAge23+AE9*SUMIF(ThresholdAge23,"&lt;"&amp;AE9,WeightedRevAge23)-SUMIF(ThresholdAge23,"&lt;"&amp;AE9,WeightedMinAge23),MAX(CapacityAge23*АбонементНовых*AE9,MeanMinAge23)))</f>
        <v/>
      </c>
      <c r="AF96" s="4">
        <f>IF(OR(('03_Сеть'!AF44-AF42)=0,23&lt;=КаникулыРоялти),0,('03_Сеть'!AF44-AF42)*IF(РоялтиПоГруппам="Да",MeanMinAge23+AF9*SUMIF(ThresholdAge23,"&lt;"&amp;AF9,WeightedRevAge23)-SUMIF(ThresholdAge23,"&lt;"&amp;AF9,WeightedMinAge23),MAX(CapacityAge23*АбонементНовых*AF9,MeanMinAge23)))</f>
        <v/>
      </c>
      <c r="AG96" s="4">
        <f>IF(OR(('03_Сеть'!AG44-AG42)=0,23&lt;=КаникулыРоялти),0,('03_Сеть'!AG44-AG42)*IF(РоялтиПоГруппам="Да",MeanMinAge23+AG9*SUMIF(ThresholdAge23,"&lt;"&amp;AG9,WeightedRevAge23)-SUMIF(ThresholdAge23,"&lt;"&amp;AG9,WeightedMinAge23),MAX(CapacityAge23*АбонементНовых*AG9,MeanMinAge23)))</f>
        <v/>
      </c>
      <c r="AH96" s="4">
        <f>IF(OR(('03_Сеть'!AH44-AH42)=0,23&lt;=КаникулыРоялти),0,('03_Сеть'!AH44-AH42)*IF(РоялтиПоГруппам="Да",MeanMinAge23+AH9*SUMIF(ThresholdAge23,"&lt;"&amp;AH9,WeightedRevAge23)-SUMIF(ThresholdAge23,"&lt;"&amp;AH9,WeightedMinAge23),MAX(CapacityAge23*АбонементНовых*AH9,MeanMinAge23)))</f>
        <v/>
      </c>
      <c r="AI96" s="4">
        <f>IF(OR(('03_Сеть'!AI44-AI42)=0,23&lt;=КаникулыРоялти),0,('03_Сеть'!AI44-AI42)*IF(РоялтиПоГруппам="Да",MeanMinAge23+AI9*SUMIF(ThresholdAge23,"&lt;"&amp;AI9,WeightedRevAge23)-SUMIF(ThresholdAge23,"&lt;"&amp;AI9,WeightedMinAge23),MAX(CapacityAge23*АбонементНовых*AI9,MeanMinAge23)))</f>
        <v/>
      </c>
      <c r="AJ96" s="4">
        <f>IF(OR(('03_Сеть'!AJ44-AJ42)=0,23&lt;=КаникулыРоялти),0,('03_Сеть'!AJ44-AJ42)*IF(РоялтиПоГруппам="Да",MeanMinAge23+AJ9*SUMIF(ThresholdAge23,"&lt;"&amp;AJ9,WeightedRevAge23)-SUMIF(ThresholdAge23,"&lt;"&amp;AJ9,WeightedMinAge23),MAX(CapacityAge23*АбонементНовых*AJ9,MeanMinAge23)))</f>
        <v/>
      </c>
      <c r="AK96" s="4">
        <f>IF(OR(('03_Сеть'!AK44-AK42)=0,23&lt;=КаникулыРоялти),0,('03_Сеть'!AK44-AK42)*IF(РоялтиПоГруппам="Да",MeanMinAge23+AK9*SUMIF(ThresholdAge23,"&lt;"&amp;AK9,WeightedRevAge23)-SUMIF(ThresholdAge23,"&lt;"&amp;AK9,WeightedMinAge23),MAX(CapacityAge23*АбонементНовых*AK9,MeanMinAge23)))</f>
        <v/>
      </c>
      <c r="AL96" s="4">
        <f>IF(OR(('03_Сеть'!AL44-AL42)=0,23&lt;=КаникулыРоялти),0,('03_Сеть'!AL44-AL42)*IF(РоялтиПоГруппам="Да",MeanMinAge23+AL9*SUMIF(ThresholdAge23,"&lt;"&amp;AL9,WeightedRevAge23)-SUMIF(ThresholdAge23,"&lt;"&amp;AL9,WeightedMinAge23),MAX(CapacityAge23*АбонементНовых*AL9,MeanMinAge23)))</f>
        <v/>
      </c>
      <c r="AM96" s="4">
        <f>IF(OR(('03_Сеть'!AM44-AM42)=0,23&lt;=КаникулыРоялти),0,('03_Сеть'!AM44-AM42)*IF(РоялтиПоГруппам="Да",MeanMinAge23+AM9*SUMIF(ThresholdAge23,"&lt;"&amp;AM9,WeightedRevAge23)-SUMIF(ThresholdAge23,"&lt;"&amp;AM9,WeightedMinAge23),MAX(CapacityAge23*АбонементНовых*AM9,MeanMinAge23)))</f>
        <v/>
      </c>
      <c r="AN96" s="4">
        <f>IF(OR(('03_Сеть'!AN44-AN42)=0,23&lt;=КаникулыРоялти),0,('03_Сеть'!AN44-AN42)*IF(РоялтиПоГруппам="Да",MeanMinAge23+AN9*SUMIF(ThresholdAge23,"&lt;"&amp;AN9,WeightedRevAge23)-SUMIF(ThresholdAge23,"&lt;"&amp;AN9,WeightedMinAge23),MAX(CapacityAge23*АбонементНовых*AN9,MeanMinAge23)))</f>
        <v/>
      </c>
      <c r="AO96" s="4">
        <f>IF(OR(('03_Сеть'!AO44-AO42)=0,23&lt;=КаникулыРоялти),0,('03_Сеть'!AO44-AO42)*IF(РоялтиПоГруппам="Да",MeanMinAge23+AO9*SUMIF(ThresholdAge23,"&lt;"&amp;AO9,WeightedRevAge23)-SUMIF(ThresholdAge23,"&lt;"&amp;AO9,WeightedMinAge23),MAX(CapacityAge23*АбонементНовых*AO9,MeanMinAge23)))</f>
        <v/>
      </c>
      <c r="AP96" s="4">
        <f>IF(OR(('03_Сеть'!AP44-AP42)=0,23&lt;=КаникулыРоялти),0,('03_Сеть'!AP44-AP42)*IF(РоялтиПоГруппам="Да",MeanMinAge23+AP9*SUMIF(ThresholdAge23,"&lt;"&amp;AP9,WeightedRevAge23)-SUMIF(ThresholdAge23,"&lt;"&amp;AP9,WeightedMinAge23),MAX(CapacityAge23*АбонементНовых*AP9,MeanMinAge23)))</f>
        <v/>
      </c>
      <c r="AQ96" s="4">
        <f>IF(OR(('03_Сеть'!AQ44-AQ42)=0,23&lt;=КаникулыРоялти),0,('03_Сеть'!AQ44-AQ42)*IF(РоялтиПоГруппам="Да",MeanMinAge23+AQ9*SUMIF(ThresholdAge23,"&lt;"&amp;AQ9,WeightedRevAge23)-SUMIF(ThresholdAge23,"&lt;"&amp;AQ9,WeightedMinAge23),MAX(CapacityAge23*АбонементНовых*AQ9,MeanMinAge23)))</f>
        <v/>
      </c>
      <c r="AR96" s="4">
        <f>IF(OR(('03_Сеть'!AR44-AR42)=0,23&lt;=КаникулыРоялти),0,('03_Сеть'!AR44-AR42)*IF(РоялтиПоГруппам="Да",MeanMinAge23+AR9*SUMIF(ThresholdAge23,"&lt;"&amp;AR9,WeightedRevAge23)-SUMIF(ThresholdAge23,"&lt;"&amp;AR9,WeightedMinAge23),MAX(CapacityAge23*АбонементНовых*AR9,MeanMinAge23)))</f>
        <v/>
      </c>
      <c r="AS96" s="4">
        <f>IF(OR(('03_Сеть'!AS44-AS42)=0,23&lt;=КаникулыРоялти),0,('03_Сеть'!AS44-AS42)*IF(РоялтиПоГруппам="Да",MeanMinAge23+AS9*SUMIF(ThresholdAge23,"&lt;"&amp;AS9,WeightedRevAge23)-SUMIF(ThresholdAge23,"&lt;"&amp;AS9,WeightedMinAge23),MAX(CapacityAge23*АбонементНовых*AS9,MeanMinAge23)))</f>
        <v/>
      </c>
      <c r="AT96" s="4">
        <f>IF(OR(('03_Сеть'!AT44-AT42)=0,23&lt;=КаникулыРоялти),0,('03_Сеть'!AT44-AT42)*IF(РоялтиПоГруппам="Да",MeanMinAge23+AT9*SUMIF(ThresholdAge23,"&lt;"&amp;AT9,WeightedRevAge23)-SUMIF(ThresholdAge23,"&lt;"&amp;AT9,WeightedMinAge23),MAX(CapacityAge23*АбонементНовых*AT9,MeanMinAge23)))</f>
        <v/>
      </c>
      <c r="AU96" s="4">
        <f>IF(OR(('03_Сеть'!AU44-AU42)=0,23&lt;=КаникулыРоялти),0,('03_Сеть'!AU44-AU42)*IF(РоялтиПоГруппам="Да",MeanMinAge23+AU9*SUMIF(ThresholdAge23,"&lt;"&amp;AU9,WeightedRevAge23)-SUMIF(ThresholdAge23,"&lt;"&amp;AU9,WeightedMinAge23),MAX(CapacityAge23*АбонементНовых*AU9,MeanMinAge23)))</f>
        <v/>
      </c>
      <c r="AV96" s="4">
        <f>IF(OR(('03_Сеть'!AV44-AV42)=0,23&lt;=КаникулыРоялти),0,('03_Сеть'!AV44-AV42)*IF(РоялтиПоГруппам="Да",MeanMinAge23+AV9*SUMIF(ThresholdAge23,"&lt;"&amp;AV9,WeightedRevAge23)-SUMIF(ThresholdAge23,"&lt;"&amp;AV9,WeightedMinAge23),MAX(CapacityAge23*АбонементНовых*AV9,MeanMinAge23)))</f>
        <v/>
      </c>
      <c r="AW96" s="4">
        <f>IF(OR(('03_Сеть'!AW44-AW42)=0,23&lt;=КаникулыРоялти),0,('03_Сеть'!AW44-AW42)*IF(РоялтиПоГруппам="Да",MeanMinAge23+AW9*SUMIF(ThresholdAge23,"&lt;"&amp;AW9,WeightedRevAge23)-SUMIF(ThresholdAge23,"&lt;"&amp;AW9,WeightedMinAge23),MAX(CapacityAge23*АбонементНовых*AW9,MeanMinAge23)))</f>
        <v/>
      </c>
      <c r="AX96" s="4">
        <f>IF(OR(('03_Сеть'!AX44-AX42)=0,23&lt;=КаникулыРоялти),0,('03_Сеть'!AX44-AX42)*IF(РоялтиПоГруппам="Да",MeanMinAge23+AX9*SUMIF(ThresholdAge23,"&lt;"&amp;AX9,WeightedRevAge23)-SUMIF(ThresholdAge23,"&lt;"&amp;AX9,WeightedMinAge23),MAX(CapacityAge23*АбонементНовых*AX9,MeanMinAge23)))</f>
        <v/>
      </c>
      <c r="AY96" s="4">
        <f>IF(OR(('03_Сеть'!AY44-AY42)=0,23&lt;=КаникулыРоялти),0,('03_Сеть'!AY44-AY42)*IF(РоялтиПоГруппам="Да",MeanMinAge23+AY9*SUMIF(ThresholdAge23,"&lt;"&amp;AY9,WeightedRevAge23)-SUMIF(ThresholdAge23,"&lt;"&amp;AY9,WeightedMinAge23),MAX(CapacityAge23*АбонементНовых*AY9,MeanMinAge23)))</f>
        <v/>
      </c>
      <c r="AZ96" s="4">
        <f>IF(OR(('03_Сеть'!AZ44-AZ42)=0,23&lt;=КаникулыРоялти),0,('03_Сеть'!AZ44-AZ42)*IF(РоялтиПоГруппам="Да",MeanMinAge23+AZ9*SUMIF(ThresholdAge23,"&lt;"&amp;AZ9,WeightedRevAge23)-SUMIF(ThresholdAge23,"&lt;"&amp;AZ9,WeightedMinAge23),MAX(CapacityAge23*АбонементНовых*AZ9,MeanMinAge23)))</f>
        <v/>
      </c>
      <c r="BA96" s="4">
        <f>IF(OR(('03_Сеть'!BA44-BA42)=0,23&lt;=КаникулыРоялти),0,('03_Сеть'!BA44-BA42)*IF(РоялтиПоГруппам="Да",MeanMinAge23+BA9*SUMIF(ThresholdAge23,"&lt;"&amp;BA9,WeightedRevAge23)-SUMIF(ThresholdAge23,"&lt;"&amp;BA9,WeightedMinAge23),MAX(CapacityAge23*АбонементНовых*BA9,MeanMinAge23)))</f>
        <v/>
      </c>
      <c r="BB96" s="4">
        <f>IF(OR(('03_Сеть'!BB44-BB42)=0,23&lt;=КаникулыРоялти),0,('03_Сеть'!BB44-BB42)*IF(РоялтиПоГруппам="Да",MeanMinAge23+BB9*SUMIF(ThresholdAge23,"&lt;"&amp;BB9,WeightedRevAge23)-SUMIF(ThresholdAge23,"&lt;"&amp;BB9,WeightedMinAge23),MAX(CapacityAge23*АбонементНовых*BB9,MeanMinAge23)))</f>
        <v/>
      </c>
      <c r="BC96" s="4">
        <f>IF(OR(('03_Сеть'!BC44-BC42)=0,23&lt;=КаникулыРоялти),0,('03_Сеть'!BC44-BC42)*IF(РоялтиПоГруппам="Да",MeanMinAge23+BC9*SUMIF(ThresholdAge23,"&lt;"&amp;BC9,WeightedRevAge23)-SUMIF(ThresholdAge23,"&lt;"&amp;BC9,WeightedMinAge23),MAX(CapacityAge23*АбонементНовых*BC9,MeanMinAge23)))</f>
        <v/>
      </c>
      <c r="BD96" s="4">
        <f>IF(OR(('03_Сеть'!BD44-BD42)=0,23&lt;=КаникулыРоялти),0,('03_Сеть'!BD44-BD42)*IF(РоялтиПоГруппам="Да",MeanMinAge23+BD9*SUMIF(ThresholdAge23,"&lt;"&amp;BD9,WeightedRevAge23)-SUMIF(ThresholdAge23,"&lt;"&amp;BD9,WeightedMinAge23),MAX(CapacityAge23*АбонементНовых*BD9,MeanMinAge23)))</f>
        <v/>
      </c>
      <c r="BE96" s="4">
        <f>IF(OR(('03_Сеть'!BE44-BE42)=0,23&lt;=КаникулыРоялти),0,('03_Сеть'!BE44-BE42)*IF(РоялтиПоГруппам="Да",MeanMinAge23+BE9*SUMIF(ThresholdAge23,"&lt;"&amp;BE9,WeightedRevAge23)-SUMIF(ThresholdAge23,"&lt;"&amp;BE9,WeightedMinAge23),MAX(CapacityAge23*АбонементНовых*BE9,MeanMinAge23)))</f>
        <v/>
      </c>
      <c r="BF96" s="4">
        <f>IF(OR(('03_Сеть'!BF44-BF42)=0,23&lt;=КаникулыРоялти),0,('03_Сеть'!BF44-BF42)*IF(РоялтиПоГруппам="Да",MeanMinAge23+BF9*SUMIF(ThresholdAge23,"&lt;"&amp;BF9,WeightedRevAge23)-SUMIF(ThresholdAge23,"&lt;"&amp;BF9,WeightedMinAge23),MAX(CapacityAge23*АбонементНовых*BF9,MeanMinAge23)))</f>
        <v/>
      </c>
      <c r="BG96" s="4">
        <f>IF(OR(('03_Сеть'!BG44-BG42)=0,23&lt;=КаникулыРоялти),0,('03_Сеть'!BG44-BG42)*IF(РоялтиПоГруппам="Да",MeanMinAge23+BG9*SUMIF(ThresholdAge23,"&lt;"&amp;BG9,WeightedRevAge23)-SUMIF(ThresholdAge23,"&lt;"&amp;BG9,WeightedMinAge23),MAX(CapacityAge23*АбонементНовых*BG9,MeanMinAge23)))</f>
        <v/>
      </c>
      <c r="BH96" s="4">
        <f>IF(OR(('03_Сеть'!BH44-BH42)=0,23&lt;=КаникулыРоялти),0,('03_Сеть'!BH44-BH42)*IF(РоялтиПоГруппам="Да",MeanMinAge23+BH9*SUMIF(ThresholdAge23,"&lt;"&amp;BH9,WeightedRevAge23)-SUMIF(ThresholdAge23,"&lt;"&amp;BH9,WeightedMinAge23),MAX(CapacityAge23*АбонементНовых*BH9,MeanMinAge23)))</f>
        <v/>
      </c>
      <c r="BI96" s="4">
        <f>IF(OR(('03_Сеть'!BI44-BI42)=0,23&lt;=КаникулыРоялти),0,('03_Сеть'!BI44-BI42)*IF(РоялтиПоГруппам="Да",MeanMinAge23+BI9*SUMIF(ThresholdAge23,"&lt;"&amp;BI9,WeightedRevAge23)-SUMIF(ThresholdAge23,"&lt;"&amp;BI9,WeightedMinAge23),MAX(CapacityAge23*АбонементНовых*BI9,MeanMinAge23)))</f>
        <v/>
      </c>
      <c r="BJ96" s="4">
        <f>IF(OR(('03_Сеть'!BJ44-BJ42)=0,23&lt;=КаникулыРоялти),0,('03_Сеть'!BJ44-BJ42)*IF(РоялтиПоГруппам="Да",MeanMinAge23+BJ9*SUMIF(ThresholdAge23,"&lt;"&amp;BJ9,WeightedRevAge23)-SUMIF(ThresholdAge23,"&lt;"&amp;BJ9,WeightedMinAge23),MAX(CapacityAge23*АбонементНовых*BJ9,MeanMinAge23)))</f>
        <v/>
      </c>
      <c r="BK96" s="4">
        <f>IF(OR(('03_Сеть'!BK44-BK42)=0,23&lt;=КаникулыРоялти),0,('03_Сеть'!BK44-BK42)*IF(РоялтиПоГруппам="Да",MeanMinAge23+BK9*SUMIF(ThresholdAge23,"&lt;"&amp;BK9,WeightedRevAge23)-SUMIF(ThresholdAge23,"&lt;"&amp;BK9,WeightedMinAge23),MAX(CapacityAge23*АбонементНовых*BK9,MeanMinAge23)))</f>
        <v/>
      </c>
      <c r="BL96" s="4">
        <f>IF(OR(('03_Сеть'!BL44-BL42)=0,23&lt;=КаникулыРоялти),0,('03_Сеть'!BL44-BL42)*IF(РоялтиПоГруппам="Да",MeanMinAge23+BL9*SUMIF(ThresholdAge23,"&lt;"&amp;BL9,WeightedRevAge23)-SUMIF(ThresholdAge23,"&lt;"&amp;BL9,WeightedMinAge23),MAX(CapacityAge23*АбонементНовых*BL9,MeanMinAge23)))</f>
        <v/>
      </c>
      <c r="BM96" s="4">
        <f>IF(OR(('03_Сеть'!BM44-BM42)=0,23&lt;=КаникулыРоялти),0,('03_Сеть'!BM44-BM42)*IF(РоялтиПоГруппам="Да",MeanMinAge23+BM9*SUMIF(ThresholdAge23,"&lt;"&amp;BM9,WeightedRevAge23)-SUMIF(ThresholdAge23,"&lt;"&amp;BM9,WeightedMinAge23),MAX(CapacityAge23*АбонементНовых*BM9,MeanMinAge23)))</f>
        <v/>
      </c>
      <c r="BN96" s="4">
        <f>IF(OR(('03_Сеть'!BN44-BN42)=0,23&lt;=КаникулыРоялти),0,('03_Сеть'!BN44-BN42)*IF(РоялтиПоГруппам="Да",MeanMinAge23+BN9*SUMIF(ThresholdAge23,"&lt;"&amp;BN9,WeightedRevAge23)-SUMIF(ThresholdAge23,"&lt;"&amp;BN9,WeightedMinAge23),MAX(CapacityAge23*АбонементНовых*BN9,MeanMinAge23)))</f>
        <v/>
      </c>
      <c r="BO96" s="4">
        <f>IF(OR(('03_Сеть'!BO44-BO42)=0,23&lt;=КаникулыРоялти),0,('03_Сеть'!BO44-BO42)*IF(РоялтиПоГруппам="Да",MeanMinAge23+BO9*SUMIF(ThresholdAge23,"&lt;"&amp;BO9,WeightedRevAge23)-SUMIF(ThresholdAge23,"&lt;"&amp;BO9,WeightedMinAge23),MAX(CapacityAge23*АбонементНовых*BO9,MeanMinAge23)))</f>
        <v/>
      </c>
      <c r="BP96" s="4">
        <f>IF(OR(('03_Сеть'!BP44-BP42)=0,23&lt;=КаникулыРоялти),0,('03_Сеть'!BP44-BP42)*IF(РоялтиПоГруппам="Да",MeanMinAge23+BP9*SUMIF(ThresholdAge23,"&lt;"&amp;BP9,WeightedRevAge23)-SUMIF(ThresholdAge23,"&lt;"&amp;BP9,WeightedMinAge23),MAX(CapacityAge23*АбонементНовых*BP9,MeanMinAge23)))</f>
        <v/>
      </c>
      <c r="BQ96" s="4">
        <f>IF(OR(('03_Сеть'!BQ44-BQ42)=0,23&lt;=КаникулыРоялти),0,('03_Сеть'!BQ44-BQ42)*IF(РоялтиПоГруппам="Да",MeanMinAge23+BQ9*SUMIF(ThresholdAge23,"&lt;"&amp;BQ9,WeightedRevAge23)-SUMIF(ThresholdAge23,"&lt;"&amp;BQ9,WeightedMinAge23),MAX(CapacityAge23*АбонементНовых*BQ9,MeanMinAge23)))</f>
        <v/>
      </c>
      <c r="BR96" s="4">
        <f>IF(OR(('03_Сеть'!BR44-BR42)=0,23&lt;=КаникулыРоялти),0,('03_Сеть'!BR44-BR42)*IF(РоялтиПоГруппам="Да",MeanMinAge23+BR9*SUMIF(ThresholdAge23,"&lt;"&amp;BR9,WeightedRevAge23)-SUMIF(ThresholdAge23,"&lt;"&amp;BR9,WeightedMinAge23),MAX(CapacityAge23*АбонементНовых*BR9,MeanMinAge23)))</f>
        <v/>
      </c>
      <c r="BS96" s="4">
        <f>IF(OR(('03_Сеть'!BS44-BS42)=0,23&lt;=КаникулыРоялти),0,('03_Сеть'!BS44-BS42)*IF(РоялтиПоГруппам="Да",MeanMinAge23+BS9*SUMIF(ThresholdAge23,"&lt;"&amp;BS9,WeightedRevAge23)-SUMIF(ThresholdAge23,"&lt;"&amp;BS9,WeightedMinAge23),MAX(CapacityAge23*АбонементНовых*BS9,MeanMinAge23)))</f>
        <v/>
      </c>
      <c r="BT96" s="4">
        <f>IF(OR(('03_Сеть'!BT44-BT42)=0,23&lt;=КаникулыРоялти),0,('03_Сеть'!BT44-BT42)*IF(РоялтиПоГруппам="Да",MeanMinAge23+BT9*SUMIF(ThresholdAge23,"&lt;"&amp;BT9,WeightedRevAge23)-SUMIF(ThresholdAge23,"&lt;"&amp;BT9,WeightedMinAge23),MAX(CapacityAge23*АбонементНовых*BT9,MeanMinAge23)))</f>
        <v/>
      </c>
      <c r="BU96" s="4">
        <f>IF(OR(('03_Сеть'!BU44-BU42)=0,23&lt;=КаникулыРоялти),0,('03_Сеть'!BU44-BU42)*IF(РоялтиПоГруппам="Да",MeanMinAge23+BU9*SUMIF(ThresholdAge23,"&lt;"&amp;BU9,WeightedRevAge23)-SUMIF(ThresholdAge23,"&lt;"&amp;BU9,WeightedMinAge23),MAX(CapacityAge23*АбонементНовых*BU9,MeanMinAge23)))</f>
        <v/>
      </c>
      <c r="BV96" s="4">
        <f>IF(OR(('03_Сеть'!BV44-BV42)=0,23&lt;=КаникулыРоялти),0,('03_Сеть'!BV44-BV42)*IF(РоялтиПоГруппам="Да",MeanMinAge23+BV9*SUMIF(ThresholdAge23,"&lt;"&amp;BV9,WeightedRevAge23)-SUMIF(ThresholdAge23,"&lt;"&amp;BV9,WeightedMinAge23),MAX(CapacityAge23*АбонементНовых*BV9,MeanMinAge23)))</f>
        <v/>
      </c>
      <c r="BW96" s="4">
        <f>IF(OR(('03_Сеть'!BW44-BW42)=0,23&lt;=КаникулыРоялти),0,('03_Сеть'!BW44-BW42)*IF(РоялтиПоГруппам="Да",MeanMinAge23+BW9*SUMIF(ThresholdAge23,"&lt;"&amp;BW9,WeightedRevAge23)-SUMIF(ThresholdAge23,"&lt;"&amp;BW9,WeightedMinAge23),MAX(CapacityAge23*АбонементНовых*BW9,MeanMinAge23)))</f>
        <v/>
      </c>
      <c r="BX96" s="4">
        <f>IF(OR(('03_Сеть'!BX44-BX42)=0,23&lt;=КаникулыРоялти),0,('03_Сеть'!BX44-BX42)*IF(РоялтиПоГруппам="Да",MeanMinAge23+BX9*SUMIF(ThresholdAge23,"&lt;"&amp;BX9,WeightedRevAge23)-SUMIF(ThresholdAge23,"&lt;"&amp;BX9,WeightedMinAge23),MAX(CapacityAge23*АбонементНовых*BX9,MeanMinAge23)))</f>
        <v/>
      </c>
      <c r="BY96" s="4">
        <f>IF(OR(('03_Сеть'!BY44-BY42)=0,23&lt;=КаникулыРоялти),0,('03_Сеть'!BY44-BY42)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97">
      <c r="B97" t="inlineStr">
        <is>
          <t>24 мес.</t>
        </is>
      </c>
      <c r="C97" t="inlineStr">
        <is>
          <t>₽</t>
        </is>
      </c>
      <c r="D97" s="117" t="inlineStr"/>
      <c r="E97" s="119">
        <f>SUM(L97:W97)</f>
        <v/>
      </c>
      <c r="F97" s="119">
        <f>SUM(X97:AI97)</f>
        <v/>
      </c>
      <c r="G97" s="119">
        <f>SUM(AJ97:AU97)</f>
        <v/>
      </c>
      <c r="H97" s="119">
        <f>SUM(AV97:BG97)</f>
        <v/>
      </c>
      <c r="I97" s="119">
        <f>SUM(BH97:BS97)</f>
        <v/>
      </c>
      <c r="J97" s="5">
        <f>SUM(L97:BS97)</f>
        <v/>
      </c>
      <c r="L97" s="4">
        <f>IF(OR(('03_Сеть'!L45-L43)=0,24&lt;=КаникулыРоялти),0,('03_Сеть'!L45-L43)*IF(РоялтиПоГруппам="Да",MeanMinAge24+L9*SUMIF(ThresholdAge24,"&lt;"&amp;L9,WeightedRevAge24)-SUMIF(ThresholdAge24,"&lt;"&amp;L9,WeightedMinAge24),MAX(CapacityAge24*АбонементНовых*L9,MeanMinAge24)))</f>
        <v/>
      </c>
      <c r="M97" s="4">
        <f>IF(OR(('03_Сеть'!M45-M43)=0,24&lt;=КаникулыРоялти),0,('03_Сеть'!M45-M43)*IF(РоялтиПоГруппам="Да",MeanMinAge24+M9*SUMIF(ThresholdAge24,"&lt;"&amp;M9,WeightedRevAge24)-SUMIF(ThresholdAge24,"&lt;"&amp;M9,WeightedMinAge24),MAX(CapacityAge24*АбонементНовых*M9,MeanMinAge24)))</f>
        <v/>
      </c>
      <c r="N97" s="4">
        <f>IF(OR(('03_Сеть'!N45-N43)=0,24&lt;=КаникулыРоялти),0,('03_Сеть'!N45-N43)*IF(РоялтиПоГруппам="Да",MeanMinAge24+N9*SUMIF(ThresholdAge24,"&lt;"&amp;N9,WeightedRevAge24)-SUMIF(ThresholdAge24,"&lt;"&amp;N9,WeightedMinAge24),MAX(CapacityAge24*АбонементНовых*N9,MeanMinAge24)))</f>
        <v/>
      </c>
      <c r="O97" s="4">
        <f>IF(OR(('03_Сеть'!O45-O43)=0,24&lt;=КаникулыРоялти),0,('03_Сеть'!O45-O43)*IF(РоялтиПоГруппам="Да",MeanMinAge24+O9*SUMIF(ThresholdAge24,"&lt;"&amp;O9,WeightedRevAge24)-SUMIF(ThresholdAge24,"&lt;"&amp;O9,WeightedMinAge24),MAX(CapacityAge24*АбонементНовых*O9,MeanMinAge24)))</f>
        <v/>
      </c>
      <c r="P97" s="4">
        <f>IF(OR(('03_Сеть'!P45-P43)=0,24&lt;=КаникулыРоялти),0,('03_Сеть'!P45-P43)*IF(РоялтиПоГруппам="Да",MeanMinAge24+P9*SUMIF(ThresholdAge24,"&lt;"&amp;P9,WeightedRevAge24)-SUMIF(ThresholdAge24,"&lt;"&amp;P9,WeightedMinAge24),MAX(CapacityAge24*АбонементНовых*P9,MeanMinAge24)))</f>
        <v/>
      </c>
      <c r="Q97" s="4">
        <f>IF(OR(('03_Сеть'!Q45-Q43)=0,24&lt;=КаникулыРоялти),0,('03_Сеть'!Q45-Q43)*IF(РоялтиПоГруппам="Да",MeanMinAge24+Q9*SUMIF(ThresholdAge24,"&lt;"&amp;Q9,WeightedRevAge24)-SUMIF(ThresholdAge24,"&lt;"&amp;Q9,WeightedMinAge24),MAX(CapacityAge24*АбонементНовых*Q9,MeanMinAge24)))</f>
        <v/>
      </c>
      <c r="R97" s="4">
        <f>IF(OR(('03_Сеть'!R45-R43)=0,24&lt;=КаникулыРоялти),0,('03_Сеть'!R45-R43)*IF(РоялтиПоГруппам="Да",MeanMinAge24+R9*SUMIF(ThresholdAge24,"&lt;"&amp;R9,WeightedRevAge24)-SUMIF(ThresholdAge24,"&lt;"&amp;R9,WeightedMinAge24),MAX(CapacityAge24*АбонементНовых*R9,MeanMinAge24)))</f>
        <v/>
      </c>
      <c r="S97" s="4">
        <f>IF(OR(('03_Сеть'!S45-S43)=0,24&lt;=КаникулыРоялти),0,('03_Сеть'!S45-S43)*IF(РоялтиПоГруппам="Да",MeanMinAge24+S9*SUMIF(ThresholdAge24,"&lt;"&amp;S9,WeightedRevAge24)-SUMIF(ThresholdAge24,"&lt;"&amp;S9,WeightedMinAge24),MAX(CapacityAge24*АбонементНовых*S9,MeanMinAge24)))</f>
        <v/>
      </c>
      <c r="T97" s="4">
        <f>IF(OR(('03_Сеть'!T45-T43)=0,24&lt;=КаникулыРоялти),0,('03_Сеть'!T45-T43)*IF(РоялтиПоГруппам="Да",MeanMinAge24+T9*SUMIF(ThresholdAge24,"&lt;"&amp;T9,WeightedRevAge24)-SUMIF(ThresholdAge24,"&lt;"&amp;T9,WeightedMinAge24),MAX(CapacityAge24*АбонементНовых*T9,MeanMinAge24)))</f>
        <v/>
      </c>
      <c r="U97" s="4">
        <f>IF(OR(('03_Сеть'!U45-U43)=0,24&lt;=КаникулыРоялти),0,('03_Сеть'!U45-U43)*IF(РоялтиПоГруппам="Да",MeanMinAge24+U9*SUMIF(ThresholdAge24,"&lt;"&amp;U9,WeightedRevAge24)-SUMIF(ThresholdAge24,"&lt;"&amp;U9,WeightedMinAge24),MAX(CapacityAge24*АбонементНовых*U9,MeanMinAge24)))</f>
        <v/>
      </c>
      <c r="V97" s="4">
        <f>IF(OR(('03_Сеть'!V45-V43)=0,24&lt;=КаникулыРоялти),0,('03_Сеть'!V45-V43)*IF(РоялтиПоГруппам="Да",MeanMinAge24+V9*SUMIF(ThresholdAge24,"&lt;"&amp;V9,WeightedRevAge24)-SUMIF(ThresholdAge24,"&lt;"&amp;V9,WeightedMinAge24),MAX(CapacityAge24*АбонементНовых*V9,MeanMinAge24)))</f>
        <v/>
      </c>
      <c r="W97" s="4">
        <f>IF(OR(('03_Сеть'!W45-W43)=0,24&lt;=КаникулыРоялти),0,('03_Сеть'!W45-W43)*IF(РоялтиПоГруппам="Да",MeanMinAge24+W9*SUMIF(ThresholdAge24,"&lt;"&amp;W9,WeightedRevAge24)-SUMIF(ThresholdAge24,"&lt;"&amp;W9,WeightedMinAge24),MAX(CapacityAge24*АбонементНовых*W9,MeanMinAge24)))</f>
        <v/>
      </c>
      <c r="X97" s="4">
        <f>IF(OR(('03_Сеть'!X45-X43)=0,24&lt;=КаникулыРоялти),0,('03_Сеть'!X45-X43)*IF(РоялтиПоГруппам="Да",MeanMinAge24+X9*SUMIF(ThresholdAge24,"&lt;"&amp;X9,WeightedRevAge24)-SUMIF(ThresholdAge24,"&lt;"&amp;X9,WeightedMinAge24),MAX(CapacityAge24*АбонементНовых*X9,MeanMinAge24)))</f>
        <v/>
      </c>
      <c r="Y97" s="4">
        <f>IF(OR(('03_Сеть'!Y45-Y43)=0,24&lt;=КаникулыРоялти),0,('03_Сеть'!Y45-Y43)*IF(РоялтиПоГруппам="Да",MeanMinAge24+Y9*SUMIF(ThresholdAge24,"&lt;"&amp;Y9,WeightedRevAge24)-SUMIF(ThresholdAge24,"&lt;"&amp;Y9,WeightedMinAge24),MAX(CapacityAge24*АбонементНовых*Y9,MeanMinAge24)))</f>
        <v/>
      </c>
      <c r="Z97" s="4">
        <f>IF(OR(('03_Сеть'!Z45-Z43)=0,24&lt;=КаникулыРоялти),0,('03_Сеть'!Z45-Z43)*IF(РоялтиПоГруппам="Да",MeanMinAge24+Z9*SUMIF(ThresholdAge24,"&lt;"&amp;Z9,WeightedRevAge24)-SUMIF(ThresholdAge24,"&lt;"&amp;Z9,WeightedMinAge24),MAX(CapacityAge24*АбонементНовых*Z9,MeanMinAge24)))</f>
        <v/>
      </c>
      <c r="AA97" s="4">
        <f>IF(OR(('03_Сеть'!AA45-AA43)=0,24&lt;=КаникулыРоялти),0,('03_Сеть'!AA45-AA43)*IF(РоялтиПоГруппам="Да",MeanMinAge24+AA9*SUMIF(ThresholdAge24,"&lt;"&amp;AA9,WeightedRevAge24)-SUMIF(ThresholdAge24,"&lt;"&amp;AA9,WeightedMinAge24),MAX(CapacityAge24*АбонементНовых*AA9,MeanMinAge24)))</f>
        <v/>
      </c>
      <c r="AB97" s="4">
        <f>IF(OR(('03_Сеть'!AB45-AB43)=0,24&lt;=КаникулыРоялти),0,('03_Сеть'!AB45-AB43)*IF(РоялтиПоГруппам="Да",MeanMinAge24+AB9*SUMIF(ThresholdAge24,"&lt;"&amp;AB9,WeightedRevAge24)-SUMIF(ThresholdAge24,"&lt;"&amp;AB9,WeightedMinAge24),MAX(CapacityAge24*АбонементНовых*AB9,MeanMinAge24)))</f>
        <v/>
      </c>
      <c r="AC97" s="4">
        <f>IF(OR(('03_Сеть'!AC45-AC43)=0,24&lt;=КаникулыРоялти),0,('03_Сеть'!AC45-AC43)*IF(РоялтиПоГруппам="Да",MeanMinAge24+AC9*SUMIF(ThresholdAge24,"&lt;"&amp;AC9,WeightedRevAge24)-SUMIF(ThresholdAge24,"&lt;"&amp;AC9,WeightedMinAge24),MAX(CapacityAge24*АбонементНовых*AC9,MeanMinAge24)))</f>
        <v/>
      </c>
      <c r="AD97" s="4">
        <f>IF(OR(('03_Сеть'!AD45-AD43)=0,24&lt;=КаникулыРоялти),0,('03_Сеть'!AD45-AD43)*IF(РоялтиПоГруппам="Да",MeanMinAge24+AD9*SUMIF(ThresholdAge24,"&lt;"&amp;AD9,WeightedRevAge24)-SUMIF(ThresholdAge24,"&lt;"&amp;AD9,WeightedMinAge24),MAX(CapacityAge24*АбонементНовых*AD9,MeanMinAge24)))</f>
        <v/>
      </c>
      <c r="AE97" s="4">
        <f>IF(OR(('03_Сеть'!AE45-AE43)=0,24&lt;=КаникулыРоялти),0,('03_Сеть'!AE45-AE43)*IF(РоялтиПоГруппам="Да",MeanMinAge24+AE9*SUMIF(ThresholdAge24,"&lt;"&amp;AE9,WeightedRevAge24)-SUMIF(ThresholdAge24,"&lt;"&amp;AE9,WeightedMinAge24),MAX(CapacityAge24*АбонементНовых*AE9,MeanMinAge24)))</f>
        <v/>
      </c>
      <c r="AF97" s="4">
        <f>IF(OR(('03_Сеть'!AF45-AF43)=0,24&lt;=КаникулыРоялти),0,('03_Сеть'!AF45-AF43)*IF(РоялтиПоГруппам="Да",MeanMinAge24+AF9*SUMIF(ThresholdAge24,"&lt;"&amp;AF9,WeightedRevAge24)-SUMIF(ThresholdAge24,"&lt;"&amp;AF9,WeightedMinAge24),MAX(CapacityAge24*АбонементНовых*AF9,MeanMinAge24)))</f>
        <v/>
      </c>
      <c r="AG97" s="4">
        <f>IF(OR(('03_Сеть'!AG45-AG43)=0,24&lt;=КаникулыРоялти),0,('03_Сеть'!AG45-AG43)*IF(РоялтиПоГруппам="Да",MeanMinAge24+AG9*SUMIF(ThresholdAge24,"&lt;"&amp;AG9,WeightedRevAge24)-SUMIF(ThresholdAge24,"&lt;"&amp;AG9,WeightedMinAge24),MAX(CapacityAge24*АбонементНовых*AG9,MeanMinAge24)))</f>
        <v/>
      </c>
      <c r="AH97" s="4">
        <f>IF(OR(('03_Сеть'!AH45-AH43)=0,24&lt;=КаникулыРоялти),0,('03_Сеть'!AH45-AH43)*IF(РоялтиПоГруппам="Да",MeanMinAge24+AH9*SUMIF(ThresholdAge24,"&lt;"&amp;AH9,WeightedRevAge24)-SUMIF(ThresholdAge24,"&lt;"&amp;AH9,WeightedMinAge24),MAX(CapacityAge24*АбонементНовых*AH9,MeanMinAge24)))</f>
        <v/>
      </c>
      <c r="AI97" s="4">
        <f>IF(OR(('03_Сеть'!AI45-AI43)=0,24&lt;=КаникулыРоялти),0,('03_Сеть'!AI45-AI43)*IF(РоялтиПоГруппам="Да",MeanMinAge24+AI9*SUMIF(ThresholdAge24,"&lt;"&amp;AI9,WeightedRevAge24)-SUMIF(ThresholdAge24,"&lt;"&amp;AI9,WeightedMinAge24),MAX(CapacityAge24*АбонементНовых*AI9,MeanMinAge24)))</f>
        <v/>
      </c>
      <c r="AJ97" s="4">
        <f>IF(OR(('03_Сеть'!AJ45-AJ43)=0,24&lt;=КаникулыРоялти),0,('03_Сеть'!AJ45-AJ43)*IF(РоялтиПоГруппам="Да",MeanMinAge24+AJ9*SUMIF(ThresholdAge24,"&lt;"&amp;AJ9,WeightedRevAge24)-SUMIF(ThresholdAge24,"&lt;"&amp;AJ9,WeightedMinAge24),MAX(CapacityAge24*АбонементНовых*AJ9,MeanMinAge24)))</f>
        <v/>
      </c>
      <c r="AK97" s="4">
        <f>IF(OR(('03_Сеть'!AK45-AK43)=0,24&lt;=КаникулыРоялти),0,('03_Сеть'!AK45-AK43)*IF(РоялтиПоГруппам="Да",MeanMinAge24+AK9*SUMIF(ThresholdAge24,"&lt;"&amp;AK9,WeightedRevAge24)-SUMIF(ThresholdAge24,"&lt;"&amp;AK9,WeightedMinAge24),MAX(CapacityAge24*АбонементНовых*AK9,MeanMinAge24)))</f>
        <v/>
      </c>
      <c r="AL97" s="4">
        <f>IF(OR(('03_Сеть'!AL45-AL43)=0,24&lt;=КаникулыРоялти),0,('03_Сеть'!AL45-AL43)*IF(РоялтиПоГруппам="Да",MeanMinAge24+AL9*SUMIF(ThresholdAge24,"&lt;"&amp;AL9,WeightedRevAge24)-SUMIF(ThresholdAge24,"&lt;"&amp;AL9,WeightedMinAge24),MAX(CapacityAge24*АбонементНовых*AL9,MeanMinAge24)))</f>
        <v/>
      </c>
      <c r="AM97" s="4">
        <f>IF(OR(('03_Сеть'!AM45-AM43)=0,24&lt;=КаникулыРоялти),0,('03_Сеть'!AM45-AM43)*IF(РоялтиПоГруппам="Да",MeanMinAge24+AM9*SUMIF(ThresholdAge24,"&lt;"&amp;AM9,WeightedRevAge24)-SUMIF(ThresholdAge24,"&lt;"&amp;AM9,WeightedMinAge24),MAX(CapacityAge24*АбонементНовых*AM9,MeanMinAge24)))</f>
        <v/>
      </c>
      <c r="AN97" s="4">
        <f>IF(OR(('03_Сеть'!AN45-AN43)=0,24&lt;=КаникулыРоялти),0,('03_Сеть'!AN45-AN43)*IF(РоялтиПоГруппам="Да",MeanMinAge24+AN9*SUMIF(ThresholdAge24,"&lt;"&amp;AN9,WeightedRevAge24)-SUMIF(ThresholdAge24,"&lt;"&amp;AN9,WeightedMinAge24),MAX(CapacityAge24*АбонементНовых*AN9,MeanMinAge24)))</f>
        <v/>
      </c>
      <c r="AO97" s="4">
        <f>IF(OR(('03_Сеть'!AO45-AO43)=0,24&lt;=КаникулыРоялти),0,('03_Сеть'!AO45-AO43)*IF(РоялтиПоГруппам="Да",MeanMinAge24+AO9*SUMIF(ThresholdAge24,"&lt;"&amp;AO9,WeightedRevAge24)-SUMIF(ThresholdAge24,"&lt;"&amp;AO9,WeightedMinAge24),MAX(CapacityAge24*АбонементНовых*AO9,MeanMinAge24)))</f>
        <v/>
      </c>
      <c r="AP97" s="4">
        <f>IF(OR(('03_Сеть'!AP45-AP43)=0,24&lt;=КаникулыРоялти),0,('03_Сеть'!AP45-AP43)*IF(РоялтиПоГруппам="Да",MeanMinAge24+AP9*SUMIF(ThresholdAge24,"&lt;"&amp;AP9,WeightedRevAge24)-SUMIF(ThresholdAge24,"&lt;"&amp;AP9,WeightedMinAge24),MAX(CapacityAge24*АбонементНовых*AP9,MeanMinAge24)))</f>
        <v/>
      </c>
      <c r="AQ97" s="4">
        <f>IF(OR(('03_Сеть'!AQ45-AQ43)=0,24&lt;=КаникулыРоялти),0,('03_Сеть'!AQ45-AQ43)*IF(РоялтиПоГруппам="Да",MeanMinAge24+AQ9*SUMIF(ThresholdAge24,"&lt;"&amp;AQ9,WeightedRevAge24)-SUMIF(ThresholdAge24,"&lt;"&amp;AQ9,WeightedMinAge24),MAX(CapacityAge24*АбонементНовых*AQ9,MeanMinAge24)))</f>
        <v/>
      </c>
      <c r="AR97" s="4">
        <f>IF(OR(('03_Сеть'!AR45-AR43)=0,24&lt;=КаникулыРоялти),0,('03_Сеть'!AR45-AR43)*IF(РоялтиПоГруппам="Да",MeanMinAge24+AR9*SUMIF(ThresholdAge24,"&lt;"&amp;AR9,WeightedRevAge24)-SUMIF(ThresholdAge24,"&lt;"&amp;AR9,WeightedMinAge24),MAX(CapacityAge24*АбонементНовых*AR9,MeanMinAge24)))</f>
        <v/>
      </c>
      <c r="AS97" s="4">
        <f>IF(OR(('03_Сеть'!AS45-AS43)=0,24&lt;=КаникулыРоялти),0,('03_Сеть'!AS45-AS43)*IF(РоялтиПоГруппам="Да",MeanMinAge24+AS9*SUMIF(ThresholdAge24,"&lt;"&amp;AS9,WeightedRevAge24)-SUMIF(ThresholdAge24,"&lt;"&amp;AS9,WeightedMinAge24),MAX(CapacityAge24*АбонементНовых*AS9,MeanMinAge24)))</f>
        <v/>
      </c>
      <c r="AT97" s="4">
        <f>IF(OR(('03_Сеть'!AT45-AT43)=0,24&lt;=КаникулыРоялти),0,('03_Сеть'!AT45-AT43)*IF(РоялтиПоГруппам="Да",MeanMinAge24+AT9*SUMIF(ThresholdAge24,"&lt;"&amp;AT9,WeightedRevAge24)-SUMIF(ThresholdAge24,"&lt;"&amp;AT9,WeightedMinAge24),MAX(CapacityAge24*АбонементНовых*AT9,MeanMinAge24)))</f>
        <v/>
      </c>
      <c r="AU97" s="4">
        <f>IF(OR(('03_Сеть'!AU45-AU43)=0,24&lt;=КаникулыРоялти),0,('03_Сеть'!AU45-AU43)*IF(РоялтиПоГруппам="Да",MeanMinAge24+AU9*SUMIF(ThresholdAge24,"&lt;"&amp;AU9,WeightedRevAge24)-SUMIF(ThresholdAge24,"&lt;"&amp;AU9,WeightedMinAge24),MAX(CapacityAge24*АбонементНовых*AU9,MeanMinAge24)))</f>
        <v/>
      </c>
      <c r="AV97" s="4">
        <f>IF(OR(('03_Сеть'!AV45-AV43)=0,24&lt;=КаникулыРоялти),0,('03_Сеть'!AV45-AV43)*IF(РоялтиПоГруппам="Да",MeanMinAge24+AV9*SUMIF(ThresholdAge24,"&lt;"&amp;AV9,WeightedRevAge24)-SUMIF(ThresholdAge24,"&lt;"&amp;AV9,WeightedMinAge24),MAX(CapacityAge24*АбонементНовых*AV9,MeanMinAge24)))</f>
        <v/>
      </c>
      <c r="AW97" s="4">
        <f>IF(OR(('03_Сеть'!AW45-AW43)=0,24&lt;=КаникулыРоялти),0,('03_Сеть'!AW45-AW43)*IF(РоялтиПоГруппам="Да",MeanMinAge24+AW9*SUMIF(ThresholdAge24,"&lt;"&amp;AW9,WeightedRevAge24)-SUMIF(ThresholdAge24,"&lt;"&amp;AW9,WeightedMinAge24),MAX(CapacityAge24*АбонементНовых*AW9,MeanMinAge24)))</f>
        <v/>
      </c>
      <c r="AX97" s="4">
        <f>IF(OR(('03_Сеть'!AX45-AX43)=0,24&lt;=КаникулыРоялти),0,('03_Сеть'!AX45-AX43)*IF(РоялтиПоГруппам="Да",MeanMinAge24+AX9*SUMIF(ThresholdAge24,"&lt;"&amp;AX9,WeightedRevAge24)-SUMIF(ThresholdAge24,"&lt;"&amp;AX9,WeightedMinAge24),MAX(CapacityAge24*АбонементНовых*AX9,MeanMinAge24)))</f>
        <v/>
      </c>
      <c r="AY97" s="4">
        <f>IF(OR(('03_Сеть'!AY45-AY43)=0,24&lt;=КаникулыРоялти),0,('03_Сеть'!AY45-AY43)*IF(РоялтиПоГруппам="Да",MeanMinAge24+AY9*SUMIF(ThresholdAge24,"&lt;"&amp;AY9,WeightedRevAge24)-SUMIF(ThresholdAge24,"&lt;"&amp;AY9,WeightedMinAge24),MAX(CapacityAge24*АбонементНовых*AY9,MeanMinAge24)))</f>
        <v/>
      </c>
      <c r="AZ97" s="4">
        <f>IF(OR(('03_Сеть'!AZ45-AZ43)=0,24&lt;=КаникулыРоялти),0,('03_Сеть'!AZ45-AZ43)*IF(РоялтиПоГруппам="Да",MeanMinAge24+AZ9*SUMIF(ThresholdAge24,"&lt;"&amp;AZ9,WeightedRevAge24)-SUMIF(ThresholdAge24,"&lt;"&amp;AZ9,WeightedMinAge24),MAX(CapacityAge24*АбонементНовых*AZ9,MeanMinAge24)))</f>
        <v/>
      </c>
      <c r="BA97" s="4">
        <f>IF(OR(('03_Сеть'!BA45-BA43)=0,24&lt;=КаникулыРоялти),0,('03_Сеть'!BA45-BA43)*IF(РоялтиПоГруппам="Да",MeanMinAge24+BA9*SUMIF(ThresholdAge24,"&lt;"&amp;BA9,WeightedRevAge24)-SUMIF(ThresholdAge24,"&lt;"&amp;BA9,WeightedMinAge24),MAX(CapacityAge24*АбонементНовых*BA9,MeanMinAge24)))</f>
        <v/>
      </c>
      <c r="BB97" s="4">
        <f>IF(OR(('03_Сеть'!BB45-BB43)=0,24&lt;=КаникулыРоялти),0,('03_Сеть'!BB45-BB43)*IF(РоялтиПоГруппам="Да",MeanMinAge24+BB9*SUMIF(ThresholdAge24,"&lt;"&amp;BB9,WeightedRevAge24)-SUMIF(ThresholdAge24,"&lt;"&amp;BB9,WeightedMinAge24),MAX(CapacityAge24*АбонементНовых*BB9,MeanMinAge24)))</f>
        <v/>
      </c>
      <c r="BC97" s="4">
        <f>IF(OR(('03_Сеть'!BC45-BC43)=0,24&lt;=КаникулыРоялти),0,('03_Сеть'!BC45-BC43)*IF(РоялтиПоГруппам="Да",MeanMinAge24+BC9*SUMIF(ThresholdAge24,"&lt;"&amp;BC9,WeightedRevAge24)-SUMIF(ThresholdAge24,"&lt;"&amp;BC9,WeightedMinAge24),MAX(CapacityAge24*АбонементНовых*BC9,MeanMinAge24)))</f>
        <v/>
      </c>
      <c r="BD97" s="4">
        <f>IF(OR(('03_Сеть'!BD45-BD43)=0,24&lt;=КаникулыРоялти),0,('03_Сеть'!BD45-BD43)*IF(РоялтиПоГруппам="Да",MeanMinAge24+BD9*SUMIF(ThresholdAge24,"&lt;"&amp;BD9,WeightedRevAge24)-SUMIF(ThresholdAge24,"&lt;"&amp;BD9,WeightedMinAge24),MAX(CapacityAge24*АбонементНовых*BD9,MeanMinAge24)))</f>
        <v/>
      </c>
      <c r="BE97" s="4">
        <f>IF(OR(('03_Сеть'!BE45-BE43)=0,24&lt;=КаникулыРоялти),0,('03_Сеть'!BE45-BE43)*IF(РоялтиПоГруппам="Да",MeanMinAge24+BE9*SUMIF(ThresholdAge24,"&lt;"&amp;BE9,WeightedRevAge24)-SUMIF(ThresholdAge24,"&lt;"&amp;BE9,WeightedMinAge24),MAX(CapacityAge24*АбонементНовых*BE9,MeanMinAge24)))</f>
        <v/>
      </c>
      <c r="BF97" s="4">
        <f>IF(OR(('03_Сеть'!BF45-BF43)=0,24&lt;=КаникулыРоялти),0,('03_Сеть'!BF45-BF43)*IF(РоялтиПоГруппам="Да",MeanMinAge24+BF9*SUMIF(ThresholdAge24,"&lt;"&amp;BF9,WeightedRevAge24)-SUMIF(ThresholdAge24,"&lt;"&amp;BF9,WeightedMinAge24),MAX(CapacityAge24*АбонементНовых*BF9,MeanMinAge24)))</f>
        <v/>
      </c>
      <c r="BG97" s="4">
        <f>IF(OR(('03_Сеть'!BG45-BG43)=0,24&lt;=КаникулыРоялти),0,('03_Сеть'!BG45-BG43)*IF(РоялтиПоГруппам="Да",MeanMinAge24+BG9*SUMIF(ThresholdAge24,"&lt;"&amp;BG9,WeightedRevAge24)-SUMIF(ThresholdAge24,"&lt;"&amp;BG9,WeightedMinAge24),MAX(CapacityAge24*АбонементНовых*BG9,MeanMinAge24)))</f>
        <v/>
      </c>
      <c r="BH97" s="4">
        <f>IF(OR(('03_Сеть'!BH45-BH43)=0,24&lt;=КаникулыРоялти),0,('03_Сеть'!BH45-BH43)*IF(РоялтиПоГруппам="Да",MeanMinAge24+BH9*SUMIF(ThresholdAge24,"&lt;"&amp;BH9,WeightedRevAge24)-SUMIF(ThresholdAge24,"&lt;"&amp;BH9,WeightedMinAge24),MAX(CapacityAge24*АбонементНовых*BH9,MeanMinAge24)))</f>
        <v/>
      </c>
      <c r="BI97" s="4">
        <f>IF(OR(('03_Сеть'!BI45-BI43)=0,24&lt;=КаникулыРоялти),0,('03_Сеть'!BI45-BI43)*IF(РоялтиПоГруппам="Да",MeanMinAge24+BI9*SUMIF(ThresholdAge24,"&lt;"&amp;BI9,WeightedRevAge24)-SUMIF(ThresholdAge24,"&lt;"&amp;BI9,WeightedMinAge24),MAX(CapacityAge24*АбонементНовых*BI9,MeanMinAge24)))</f>
        <v/>
      </c>
      <c r="BJ97" s="4">
        <f>IF(OR(('03_Сеть'!BJ45-BJ43)=0,24&lt;=КаникулыРоялти),0,('03_Сеть'!BJ45-BJ43)*IF(РоялтиПоГруппам="Да",MeanMinAge24+BJ9*SUMIF(ThresholdAge24,"&lt;"&amp;BJ9,WeightedRevAge24)-SUMIF(ThresholdAge24,"&lt;"&amp;BJ9,WeightedMinAge24),MAX(CapacityAge24*АбонементНовых*BJ9,MeanMinAge24)))</f>
        <v/>
      </c>
      <c r="BK97" s="4">
        <f>IF(OR(('03_Сеть'!BK45-BK43)=0,24&lt;=КаникулыРоялти),0,('03_Сеть'!BK45-BK43)*IF(РоялтиПоГруппам="Да",MeanMinAge24+BK9*SUMIF(ThresholdAge24,"&lt;"&amp;BK9,WeightedRevAge24)-SUMIF(ThresholdAge24,"&lt;"&amp;BK9,WeightedMinAge24),MAX(CapacityAge24*АбонементНовых*BK9,MeanMinAge24)))</f>
        <v/>
      </c>
      <c r="BL97" s="4">
        <f>IF(OR(('03_Сеть'!BL45-BL43)=0,24&lt;=КаникулыРоялти),0,('03_Сеть'!BL45-BL43)*IF(РоялтиПоГруппам="Да",MeanMinAge24+BL9*SUMIF(ThresholdAge24,"&lt;"&amp;BL9,WeightedRevAge24)-SUMIF(ThresholdAge24,"&lt;"&amp;BL9,WeightedMinAge24),MAX(CapacityAge24*АбонементНовых*BL9,MeanMinAge24)))</f>
        <v/>
      </c>
      <c r="BM97" s="4">
        <f>IF(OR(('03_Сеть'!BM45-BM43)=0,24&lt;=КаникулыРоялти),0,('03_Сеть'!BM45-BM43)*IF(РоялтиПоГруппам="Да",MeanMinAge24+BM9*SUMIF(ThresholdAge24,"&lt;"&amp;BM9,WeightedRevAge24)-SUMIF(ThresholdAge24,"&lt;"&amp;BM9,WeightedMinAge24),MAX(CapacityAge24*АбонементНовых*BM9,MeanMinAge24)))</f>
        <v/>
      </c>
      <c r="BN97" s="4">
        <f>IF(OR(('03_Сеть'!BN45-BN43)=0,24&lt;=КаникулыРоялти),0,('03_Сеть'!BN45-BN43)*IF(РоялтиПоГруппам="Да",MeanMinAge24+BN9*SUMIF(ThresholdAge24,"&lt;"&amp;BN9,WeightedRevAge24)-SUMIF(ThresholdAge24,"&lt;"&amp;BN9,WeightedMinAge24),MAX(CapacityAge24*АбонементНовых*BN9,MeanMinAge24)))</f>
        <v/>
      </c>
      <c r="BO97" s="4">
        <f>IF(OR(('03_Сеть'!BO45-BO43)=0,24&lt;=КаникулыРоялти),0,('03_Сеть'!BO45-BO43)*IF(РоялтиПоГруппам="Да",MeanMinAge24+BO9*SUMIF(ThresholdAge24,"&lt;"&amp;BO9,WeightedRevAge24)-SUMIF(ThresholdAge24,"&lt;"&amp;BO9,WeightedMinAge24),MAX(CapacityAge24*АбонементНовых*BO9,MeanMinAge24)))</f>
        <v/>
      </c>
      <c r="BP97" s="4">
        <f>IF(OR(('03_Сеть'!BP45-BP43)=0,24&lt;=КаникулыРоялти),0,('03_Сеть'!BP45-BP43)*IF(РоялтиПоГруппам="Да",MeanMinAge24+BP9*SUMIF(ThresholdAge24,"&lt;"&amp;BP9,WeightedRevAge24)-SUMIF(ThresholdAge24,"&lt;"&amp;BP9,WeightedMinAge24),MAX(CapacityAge24*АбонементНовых*BP9,MeanMinAge24)))</f>
        <v/>
      </c>
      <c r="BQ97" s="4">
        <f>IF(OR(('03_Сеть'!BQ45-BQ43)=0,24&lt;=КаникулыРоялти),0,('03_Сеть'!BQ45-BQ43)*IF(РоялтиПоГруппам="Да",MeanMinAge24+BQ9*SUMIF(ThresholdAge24,"&lt;"&amp;BQ9,WeightedRevAge24)-SUMIF(ThresholdAge24,"&lt;"&amp;BQ9,WeightedMinAge24),MAX(CapacityAge24*АбонементНовых*BQ9,MeanMinAge24)))</f>
        <v/>
      </c>
      <c r="BR97" s="4">
        <f>IF(OR(('03_Сеть'!BR45-BR43)=0,24&lt;=КаникулыРоялти),0,('03_Сеть'!BR45-BR43)*IF(РоялтиПоГруппам="Да",MeanMinAge24+BR9*SUMIF(ThresholdAge24,"&lt;"&amp;BR9,WeightedRevAge24)-SUMIF(ThresholdAge24,"&lt;"&amp;BR9,WeightedMinAge24),MAX(CapacityAge24*АбонементНовых*BR9,MeanMinAge24)))</f>
        <v/>
      </c>
      <c r="BS97" s="4">
        <f>IF(OR(('03_Сеть'!BS45-BS43)=0,24&lt;=КаникулыРоялти),0,('03_Сеть'!BS45-BS43)*IF(РоялтиПоГруппам="Да",MeanMinAge24+BS9*SUMIF(ThresholdAge24,"&lt;"&amp;BS9,WeightedRevAge24)-SUMIF(ThresholdAge24,"&lt;"&amp;BS9,WeightedMinAge24),MAX(CapacityAge24*АбонементНовых*BS9,MeanMinAge24)))</f>
        <v/>
      </c>
      <c r="BT97" s="4">
        <f>IF(OR(('03_Сеть'!BT45-BT43)=0,24&lt;=КаникулыРоялти),0,('03_Сеть'!BT45-BT43)*IF(РоялтиПоГруппам="Да",MeanMinAge24+BT9*SUMIF(ThresholdAge24,"&lt;"&amp;BT9,WeightedRevAge24)-SUMIF(ThresholdAge24,"&lt;"&amp;BT9,WeightedMinAge24),MAX(CapacityAge24*АбонементНовых*BT9,MeanMinAge24)))</f>
        <v/>
      </c>
      <c r="BU97" s="4">
        <f>IF(OR(('03_Сеть'!BU45-BU43)=0,24&lt;=КаникулыРоялти),0,('03_Сеть'!BU45-BU43)*IF(РоялтиПоГруппам="Да",MeanMinAge24+BU9*SUMIF(ThresholdAge24,"&lt;"&amp;BU9,WeightedRevAge24)-SUMIF(ThresholdAge24,"&lt;"&amp;BU9,WeightedMinAge24),MAX(CapacityAge24*АбонементНовых*BU9,MeanMinAge24)))</f>
        <v/>
      </c>
      <c r="BV97" s="4">
        <f>IF(OR(('03_Сеть'!BV45-BV43)=0,24&lt;=КаникулыРоялти),0,('03_Сеть'!BV45-BV43)*IF(РоялтиПоГруппам="Да",MeanMinAge24+BV9*SUMIF(ThresholdAge24,"&lt;"&amp;BV9,WeightedRevAge24)-SUMIF(ThresholdAge24,"&lt;"&amp;BV9,WeightedMinAge24),MAX(CapacityAge24*АбонементНовых*BV9,MeanMinAge24)))</f>
        <v/>
      </c>
      <c r="BW97" s="4">
        <f>IF(OR(('03_Сеть'!BW45-BW43)=0,24&lt;=КаникулыРоялти),0,('03_Сеть'!BW45-BW43)*IF(РоялтиПоГруппам="Да",MeanMinAge24+BW9*SUMIF(ThresholdAge24,"&lt;"&amp;BW9,WeightedRevAge24)-SUMIF(ThresholdAge24,"&lt;"&amp;BW9,WeightedMinAge24),MAX(CapacityAge24*АбонементНовых*BW9,MeanMinAge24)))</f>
        <v/>
      </c>
      <c r="BX97" s="4">
        <f>IF(OR(('03_Сеть'!BX45-BX43)=0,24&lt;=КаникулыРоялти),0,('03_Сеть'!BX45-BX43)*IF(РоялтиПоГруппам="Да",MeanMinAge24+BX9*SUMIF(ThresholdAge24,"&lt;"&amp;BX9,WeightedRevAge24)-SUMIF(ThresholdAge24,"&lt;"&amp;BX9,WeightedMinAge24),MAX(CapacityAge24*АбонементНовых*BX9,MeanMinAge24)))</f>
        <v/>
      </c>
      <c r="BY97" s="4">
        <f>IF(OR(('03_Сеть'!BY45-BY43)=0,24&lt;=КаникулыРоялти),0,('03_Сеть'!BY45-BY43)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98">
      <c r="B98" t="inlineStr">
        <is>
          <t>25+ мес.</t>
        </is>
      </c>
      <c r="C98" t="inlineStr">
        <is>
          <t>₽</t>
        </is>
      </c>
      <c r="D98" s="117" t="inlineStr"/>
      <c r="E98" s="119">
        <f>SUM(L98:W98)</f>
        <v/>
      </c>
      <c r="F98" s="119">
        <f>SUM(X98:AI98)</f>
        <v/>
      </c>
      <c r="G98" s="119">
        <f>SUM(AJ98:AU98)</f>
        <v/>
      </c>
      <c r="H98" s="119">
        <f>SUM(AV98:BG98)</f>
        <v/>
      </c>
      <c r="I98" s="119">
        <f>SUM(BH98:BS98)</f>
        <v/>
      </c>
      <c r="J98" s="5">
        <f>SUM(L98:BS98)</f>
        <v/>
      </c>
      <c r="L98" s="4">
        <f>IF(OR(('03_Сеть'!L46-L44)=0,25&lt;=КаникулыРоялти),0,('03_Сеть'!L46-L44)*IF(РоялтиПоГруппам="Да",MeanMinAge25+L9*SUMIF(ThresholdAge25,"&lt;"&amp;L9,WeightedRevAge25)-SUMIF(ThresholdAge25,"&lt;"&amp;L9,WeightedMinAge25),MAX(CapacityAge25*АбонементНовых*L9,MeanMinAge25)))</f>
        <v/>
      </c>
      <c r="M98" s="4">
        <f>IF(OR(('03_Сеть'!M46-M44)=0,25&lt;=КаникулыРоялти),0,('03_Сеть'!M46-M44)*IF(РоялтиПоГруппам="Да",MeanMinAge25+M9*SUMIF(ThresholdAge25,"&lt;"&amp;M9,WeightedRevAge25)-SUMIF(ThresholdAge25,"&lt;"&amp;M9,WeightedMinAge25),MAX(CapacityAge25*АбонементНовых*M9,MeanMinAge25)))</f>
        <v/>
      </c>
      <c r="N98" s="4">
        <f>IF(OR(('03_Сеть'!N46-N44)=0,25&lt;=КаникулыРоялти),0,('03_Сеть'!N46-N44)*IF(РоялтиПоГруппам="Да",MeanMinAge25+N9*SUMIF(ThresholdAge25,"&lt;"&amp;N9,WeightedRevAge25)-SUMIF(ThresholdAge25,"&lt;"&amp;N9,WeightedMinAge25),MAX(CapacityAge25*АбонементНовых*N9,MeanMinAge25)))</f>
        <v/>
      </c>
      <c r="O98" s="4">
        <f>IF(OR(('03_Сеть'!O46-O44)=0,25&lt;=КаникулыРоялти),0,('03_Сеть'!O46-O44)*IF(РоялтиПоГруппам="Да",MeanMinAge25+O9*SUMIF(ThresholdAge25,"&lt;"&amp;O9,WeightedRevAge25)-SUMIF(ThresholdAge25,"&lt;"&amp;O9,WeightedMinAge25),MAX(CapacityAge25*АбонементНовых*O9,MeanMinAge25)))</f>
        <v/>
      </c>
      <c r="P98" s="4">
        <f>IF(OR(('03_Сеть'!P46-P44)=0,25&lt;=КаникулыРоялти),0,('03_Сеть'!P46-P44)*IF(РоялтиПоГруппам="Да",MeanMinAge25+P9*SUMIF(ThresholdAge25,"&lt;"&amp;P9,WeightedRevAge25)-SUMIF(ThresholdAge25,"&lt;"&amp;P9,WeightedMinAge25),MAX(CapacityAge25*АбонементНовых*P9,MeanMinAge25)))</f>
        <v/>
      </c>
      <c r="Q98" s="4">
        <f>IF(OR(('03_Сеть'!Q46-Q44)=0,25&lt;=КаникулыРоялти),0,('03_Сеть'!Q46-Q44)*IF(РоялтиПоГруппам="Да",MeanMinAge25+Q9*SUMIF(ThresholdAge25,"&lt;"&amp;Q9,WeightedRevAge25)-SUMIF(ThresholdAge25,"&lt;"&amp;Q9,WeightedMinAge25),MAX(CapacityAge25*АбонементНовых*Q9,MeanMinAge25)))</f>
        <v/>
      </c>
      <c r="R98" s="4">
        <f>IF(OR(('03_Сеть'!R46-R44)=0,25&lt;=КаникулыРоялти),0,('03_Сеть'!R46-R44)*IF(РоялтиПоГруппам="Да",MeanMinAge25+R9*SUMIF(ThresholdAge25,"&lt;"&amp;R9,WeightedRevAge25)-SUMIF(ThresholdAge25,"&lt;"&amp;R9,WeightedMinAge25),MAX(CapacityAge25*АбонементНовых*R9,MeanMinAge25)))</f>
        <v/>
      </c>
      <c r="S98" s="4">
        <f>IF(OR(('03_Сеть'!S46-S44)=0,25&lt;=КаникулыРоялти),0,('03_Сеть'!S46-S44)*IF(РоялтиПоГруппам="Да",MeanMinAge25+S9*SUMIF(ThresholdAge25,"&lt;"&amp;S9,WeightedRevAge25)-SUMIF(ThresholdAge25,"&lt;"&amp;S9,WeightedMinAge25),MAX(CapacityAge25*АбонементНовых*S9,MeanMinAge25)))</f>
        <v/>
      </c>
      <c r="T98" s="4">
        <f>IF(OR(('03_Сеть'!T46-T44)=0,25&lt;=КаникулыРоялти),0,('03_Сеть'!T46-T44)*IF(РоялтиПоГруппам="Да",MeanMinAge25+T9*SUMIF(ThresholdAge25,"&lt;"&amp;T9,WeightedRevAge25)-SUMIF(ThresholdAge25,"&lt;"&amp;T9,WeightedMinAge25),MAX(CapacityAge25*АбонементНовых*T9,MeanMinAge25)))</f>
        <v/>
      </c>
      <c r="U98" s="4">
        <f>IF(OR(('03_Сеть'!U46-U44)=0,25&lt;=КаникулыРоялти),0,('03_Сеть'!U46-U44)*IF(РоялтиПоГруппам="Да",MeanMinAge25+U9*SUMIF(ThresholdAge25,"&lt;"&amp;U9,WeightedRevAge25)-SUMIF(ThresholdAge25,"&lt;"&amp;U9,WeightedMinAge25),MAX(CapacityAge25*АбонементНовых*U9,MeanMinAge25)))</f>
        <v/>
      </c>
      <c r="V98" s="4">
        <f>IF(OR(('03_Сеть'!V46-V44)=0,25&lt;=КаникулыРоялти),0,('03_Сеть'!V46-V44)*IF(РоялтиПоГруппам="Да",MeanMinAge25+V9*SUMIF(ThresholdAge25,"&lt;"&amp;V9,WeightedRevAge25)-SUMIF(ThresholdAge25,"&lt;"&amp;V9,WeightedMinAge25),MAX(CapacityAge25*АбонементНовых*V9,MeanMinAge25)))</f>
        <v/>
      </c>
      <c r="W98" s="4">
        <f>IF(OR(('03_Сеть'!W46-W44)=0,25&lt;=КаникулыРоялти),0,('03_Сеть'!W46-W44)*IF(РоялтиПоГруппам="Да",MeanMinAge25+W9*SUMIF(ThresholdAge25,"&lt;"&amp;W9,WeightedRevAge25)-SUMIF(ThresholdAge25,"&lt;"&amp;W9,WeightedMinAge25),MAX(CapacityAge25*АбонементНовых*W9,MeanMinAge25)))</f>
        <v/>
      </c>
      <c r="X98" s="4">
        <f>IF(OR(('03_Сеть'!X46-X44)=0,25&lt;=КаникулыРоялти),0,('03_Сеть'!X46-X44)*IF(РоялтиПоГруппам="Да",MeanMinAge25+X9*SUMIF(ThresholdAge25,"&lt;"&amp;X9,WeightedRevAge25)-SUMIF(ThresholdAge25,"&lt;"&amp;X9,WeightedMinAge25),MAX(CapacityAge25*АбонементНовых*X9,MeanMinAge25)))</f>
        <v/>
      </c>
      <c r="Y98" s="4">
        <f>IF(OR(('03_Сеть'!Y46-Y44)=0,25&lt;=КаникулыРоялти),0,('03_Сеть'!Y46-Y44)*IF(РоялтиПоГруппам="Да",MeanMinAge25+Y9*SUMIF(ThresholdAge25,"&lt;"&amp;Y9,WeightedRevAge25)-SUMIF(ThresholdAge25,"&lt;"&amp;Y9,WeightedMinAge25),MAX(CapacityAge25*АбонементНовых*Y9,MeanMinAge25)))</f>
        <v/>
      </c>
      <c r="Z98" s="4">
        <f>IF(OR(('03_Сеть'!Z46-Z44)=0,25&lt;=КаникулыРоялти),0,('03_Сеть'!Z46-Z44)*IF(РоялтиПоГруппам="Да",MeanMinAge25+Z9*SUMIF(ThresholdAge25,"&lt;"&amp;Z9,WeightedRevAge25)-SUMIF(ThresholdAge25,"&lt;"&amp;Z9,WeightedMinAge25),MAX(CapacityAge25*АбонементНовых*Z9,MeanMinAge25)))</f>
        <v/>
      </c>
      <c r="AA98" s="4">
        <f>IF(OR(('03_Сеть'!AA46-AA44)=0,25&lt;=КаникулыРоялти),0,('03_Сеть'!AA46-AA44)*IF(РоялтиПоГруппам="Да",MeanMinAge25+AA9*SUMIF(ThresholdAge25,"&lt;"&amp;AA9,WeightedRevAge25)-SUMIF(ThresholdAge25,"&lt;"&amp;AA9,WeightedMinAge25),MAX(CapacityAge25*АбонементНовых*AA9,MeanMinAge25)))</f>
        <v/>
      </c>
      <c r="AB98" s="4">
        <f>IF(OR(('03_Сеть'!AB46-AB44)=0,25&lt;=КаникулыРоялти),0,('03_Сеть'!AB46-AB44)*IF(РоялтиПоГруппам="Да",MeanMinAge25+AB9*SUMIF(ThresholdAge25,"&lt;"&amp;AB9,WeightedRevAge25)-SUMIF(ThresholdAge25,"&lt;"&amp;AB9,WeightedMinAge25),MAX(CapacityAge25*АбонементНовых*AB9,MeanMinAge25)))</f>
        <v/>
      </c>
      <c r="AC98" s="4">
        <f>IF(OR(('03_Сеть'!AC46-AC44)=0,25&lt;=КаникулыРоялти),0,('03_Сеть'!AC46-AC44)*IF(РоялтиПоГруппам="Да",MeanMinAge25+AC9*SUMIF(ThresholdAge25,"&lt;"&amp;AC9,WeightedRevAge25)-SUMIF(ThresholdAge25,"&lt;"&amp;AC9,WeightedMinAge25),MAX(CapacityAge25*АбонементНовых*AC9,MeanMinAge25)))</f>
        <v/>
      </c>
      <c r="AD98" s="4">
        <f>IF(OR(('03_Сеть'!AD46-AD44)=0,25&lt;=КаникулыРоялти),0,('03_Сеть'!AD46-AD44)*IF(РоялтиПоГруппам="Да",MeanMinAge25+AD9*SUMIF(ThresholdAge25,"&lt;"&amp;AD9,WeightedRevAge25)-SUMIF(ThresholdAge25,"&lt;"&amp;AD9,WeightedMinAge25),MAX(CapacityAge25*АбонементНовых*AD9,MeanMinAge25)))</f>
        <v/>
      </c>
      <c r="AE98" s="4">
        <f>IF(OR(('03_Сеть'!AE46-AE44)=0,25&lt;=КаникулыРоялти),0,('03_Сеть'!AE46-AE44)*IF(РоялтиПоГруппам="Да",MeanMinAge25+AE9*SUMIF(ThresholdAge25,"&lt;"&amp;AE9,WeightedRevAge25)-SUMIF(ThresholdAge25,"&lt;"&amp;AE9,WeightedMinAge25),MAX(CapacityAge25*АбонементНовых*AE9,MeanMinAge25)))</f>
        <v/>
      </c>
      <c r="AF98" s="4">
        <f>IF(OR(('03_Сеть'!AF46-AF44)=0,25&lt;=КаникулыРоялти),0,('03_Сеть'!AF46-AF44)*IF(РоялтиПоГруппам="Да",MeanMinAge25+AF9*SUMIF(ThresholdAge25,"&lt;"&amp;AF9,WeightedRevAge25)-SUMIF(ThresholdAge25,"&lt;"&amp;AF9,WeightedMinAge25),MAX(CapacityAge25*АбонементНовых*AF9,MeanMinAge25)))</f>
        <v/>
      </c>
      <c r="AG98" s="4">
        <f>IF(OR(('03_Сеть'!AG46-AG44)=0,25&lt;=КаникулыРоялти),0,('03_Сеть'!AG46-AG44)*IF(РоялтиПоГруппам="Да",MeanMinAge25+AG9*SUMIF(ThresholdAge25,"&lt;"&amp;AG9,WeightedRevAge25)-SUMIF(ThresholdAge25,"&lt;"&amp;AG9,WeightedMinAge25),MAX(CapacityAge25*АбонементНовых*AG9,MeanMinAge25)))</f>
        <v/>
      </c>
      <c r="AH98" s="4">
        <f>IF(OR(('03_Сеть'!AH46-AH44)=0,25&lt;=КаникулыРоялти),0,('03_Сеть'!AH46-AH44)*IF(РоялтиПоГруппам="Да",MeanMinAge25+AH9*SUMIF(ThresholdAge25,"&lt;"&amp;AH9,WeightedRevAge25)-SUMIF(ThresholdAge25,"&lt;"&amp;AH9,WeightedMinAge25),MAX(CapacityAge25*АбонементНовых*AH9,MeanMinAge25)))</f>
        <v/>
      </c>
      <c r="AI98" s="4">
        <f>IF(OR(('03_Сеть'!AI46-AI44)=0,25&lt;=КаникулыРоялти),0,('03_Сеть'!AI46-AI44)*IF(РоялтиПоГруппам="Да",MeanMinAge25+AI9*SUMIF(ThresholdAge25,"&lt;"&amp;AI9,WeightedRevAge25)-SUMIF(ThresholdAge25,"&lt;"&amp;AI9,WeightedMinAge25),MAX(CapacityAge25*АбонементНовых*AI9,MeanMinAge25)))</f>
        <v/>
      </c>
      <c r="AJ98" s="4">
        <f>IF(OR(('03_Сеть'!AJ46-AJ44)=0,25&lt;=КаникулыРоялти),0,('03_Сеть'!AJ46-AJ44)*IF(РоялтиПоГруппам="Да",MeanMinAge25+AJ9*SUMIF(ThresholdAge25,"&lt;"&amp;AJ9,WeightedRevAge25)-SUMIF(ThresholdAge25,"&lt;"&amp;AJ9,WeightedMinAge25),MAX(CapacityAge25*АбонементНовых*AJ9,MeanMinAge25)))</f>
        <v/>
      </c>
      <c r="AK98" s="4">
        <f>IF(OR(('03_Сеть'!AK46-AK44)=0,25&lt;=КаникулыРоялти),0,('03_Сеть'!AK46-AK44)*IF(РоялтиПоГруппам="Да",MeanMinAge25+AK9*SUMIF(ThresholdAge25,"&lt;"&amp;AK9,WeightedRevAge25)-SUMIF(ThresholdAge25,"&lt;"&amp;AK9,WeightedMinAge25),MAX(CapacityAge25*АбонементНовых*AK9,MeanMinAge25)))</f>
        <v/>
      </c>
      <c r="AL98" s="4">
        <f>IF(OR(('03_Сеть'!AL46-AL44)=0,25&lt;=КаникулыРоялти),0,('03_Сеть'!AL46-AL44)*IF(РоялтиПоГруппам="Да",MeanMinAge25+AL9*SUMIF(ThresholdAge25,"&lt;"&amp;AL9,WeightedRevAge25)-SUMIF(ThresholdAge25,"&lt;"&amp;AL9,WeightedMinAge25),MAX(CapacityAge25*АбонементНовых*AL9,MeanMinAge25)))</f>
        <v/>
      </c>
      <c r="AM98" s="4">
        <f>IF(OR(('03_Сеть'!AM46-AM44)=0,25&lt;=КаникулыРоялти),0,('03_Сеть'!AM46-AM44)*IF(РоялтиПоГруппам="Да",MeanMinAge25+AM9*SUMIF(ThresholdAge25,"&lt;"&amp;AM9,WeightedRevAge25)-SUMIF(ThresholdAge25,"&lt;"&amp;AM9,WeightedMinAge25),MAX(CapacityAge25*АбонементНовых*AM9,MeanMinAge25)))</f>
        <v/>
      </c>
      <c r="AN98" s="4">
        <f>IF(OR(('03_Сеть'!AN46-AN44)=0,25&lt;=КаникулыРоялти),0,('03_Сеть'!AN46-AN44)*IF(РоялтиПоГруппам="Да",MeanMinAge25+AN9*SUMIF(ThresholdAge25,"&lt;"&amp;AN9,WeightedRevAge25)-SUMIF(ThresholdAge25,"&lt;"&amp;AN9,WeightedMinAge25),MAX(CapacityAge25*АбонементНовых*AN9,MeanMinAge25)))</f>
        <v/>
      </c>
      <c r="AO98" s="4">
        <f>IF(OR(('03_Сеть'!AO46-AO44)=0,25&lt;=КаникулыРоялти),0,('03_Сеть'!AO46-AO44)*IF(РоялтиПоГруппам="Да",MeanMinAge25+AO9*SUMIF(ThresholdAge25,"&lt;"&amp;AO9,WeightedRevAge25)-SUMIF(ThresholdAge25,"&lt;"&amp;AO9,WeightedMinAge25),MAX(CapacityAge25*АбонементНовых*AO9,MeanMinAge25)))</f>
        <v/>
      </c>
      <c r="AP98" s="4">
        <f>IF(OR(('03_Сеть'!AP46-AP44)=0,25&lt;=КаникулыРоялти),0,('03_Сеть'!AP46-AP44)*IF(РоялтиПоГруппам="Да",MeanMinAge25+AP9*SUMIF(ThresholdAge25,"&lt;"&amp;AP9,WeightedRevAge25)-SUMIF(ThresholdAge25,"&lt;"&amp;AP9,WeightedMinAge25),MAX(CapacityAge25*АбонементНовых*AP9,MeanMinAge25)))</f>
        <v/>
      </c>
      <c r="AQ98" s="4">
        <f>IF(OR(('03_Сеть'!AQ46-AQ44)=0,25&lt;=КаникулыРоялти),0,('03_Сеть'!AQ46-AQ44)*IF(РоялтиПоГруппам="Да",MeanMinAge25+AQ9*SUMIF(ThresholdAge25,"&lt;"&amp;AQ9,WeightedRevAge25)-SUMIF(ThresholdAge25,"&lt;"&amp;AQ9,WeightedMinAge25),MAX(CapacityAge25*АбонементНовых*AQ9,MeanMinAge25)))</f>
        <v/>
      </c>
      <c r="AR98" s="4">
        <f>IF(OR(('03_Сеть'!AR46-AR44)=0,25&lt;=КаникулыРоялти),0,('03_Сеть'!AR46-AR44)*IF(РоялтиПоГруппам="Да",MeanMinAge25+AR9*SUMIF(ThresholdAge25,"&lt;"&amp;AR9,WeightedRevAge25)-SUMIF(ThresholdAge25,"&lt;"&amp;AR9,WeightedMinAge25),MAX(CapacityAge25*АбонементНовых*AR9,MeanMinAge25)))</f>
        <v/>
      </c>
      <c r="AS98" s="4">
        <f>IF(OR(('03_Сеть'!AS46-AS44)=0,25&lt;=КаникулыРоялти),0,('03_Сеть'!AS46-AS44)*IF(РоялтиПоГруппам="Да",MeanMinAge25+AS9*SUMIF(ThresholdAge25,"&lt;"&amp;AS9,WeightedRevAge25)-SUMIF(ThresholdAge25,"&lt;"&amp;AS9,WeightedMinAge25),MAX(CapacityAge25*АбонементНовых*AS9,MeanMinAge25)))</f>
        <v/>
      </c>
      <c r="AT98" s="4">
        <f>IF(OR(('03_Сеть'!AT46-AT44)=0,25&lt;=КаникулыРоялти),0,('03_Сеть'!AT46-AT44)*IF(РоялтиПоГруппам="Да",MeanMinAge25+AT9*SUMIF(ThresholdAge25,"&lt;"&amp;AT9,WeightedRevAge25)-SUMIF(ThresholdAge25,"&lt;"&amp;AT9,WeightedMinAge25),MAX(CapacityAge25*АбонементНовых*AT9,MeanMinAge25)))</f>
        <v/>
      </c>
      <c r="AU98" s="4">
        <f>IF(OR(('03_Сеть'!AU46-AU44)=0,25&lt;=КаникулыРоялти),0,('03_Сеть'!AU46-AU44)*IF(РоялтиПоГруппам="Да",MeanMinAge25+AU9*SUMIF(ThresholdAge25,"&lt;"&amp;AU9,WeightedRevAge25)-SUMIF(ThresholdAge25,"&lt;"&amp;AU9,WeightedMinAge25),MAX(CapacityAge25*АбонементНовых*AU9,MeanMinAge25)))</f>
        <v/>
      </c>
      <c r="AV98" s="4">
        <f>IF(OR(('03_Сеть'!AV46-AV44)=0,25&lt;=КаникулыРоялти),0,('03_Сеть'!AV46-AV44)*IF(РоялтиПоГруппам="Да",MeanMinAge25+AV9*SUMIF(ThresholdAge25,"&lt;"&amp;AV9,WeightedRevAge25)-SUMIF(ThresholdAge25,"&lt;"&amp;AV9,WeightedMinAge25),MAX(CapacityAge25*АбонементНовых*AV9,MeanMinAge25)))</f>
        <v/>
      </c>
      <c r="AW98" s="4">
        <f>IF(OR(('03_Сеть'!AW46-AW44)=0,25&lt;=КаникулыРоялти),0,('03_Сеть'!AW46-AW44)*IF(РоялтиПоГруппам="Да",MeanMinAge25+AW9*SUMIF(ThresholdAge25,"&lt;"&amp;AW9,WeightedRevAge25)-SUMIF(ThresholdAge25,"&lt;"&amp;AW9,WeightedMinAge25),MAX(CapacityAge25*АбонементНовых*AW9,MeanMinAge25)))</f>
        <v/>
      </c>
      <c r="AX98" s="4">
        <f>IF(OR(('03_Сеть'!AX46-AX44)=0,25&lt;=КаникулыРоялти),0,('03_Сеть'!AX46-AX44)*IF(РоялтиПоГруппам="Да",MeanMinAge25+AX9*SUMIF(ThresholdAge25,"&lt;"&amp;AX9,WeightedRevAge25)-SUMIF(ThresholdAge25,"&lt;"&amp;AX9,WeightedMinAge25),MAX(CapacityAge25*АбонементНовых*AX9,MeanMinAge25)))</f>
        <v/>
      </c>
      <c r="AY98" s="4">
        <f>IF(OR(('03_Сеть'!AY46-AY44)=0,25&lt;=КаникулыРоялти),0,('03_Сеть'!AY46-AY44)*IF(РоялтиПоГруппам="Да",MeanMinAge25+AY9*SUMIF(ThresholdAge25,"&lt;"&amp;AY9,WeightedRevAge25)-SUMIF(ThresholdAge25,"&lt;"&amp;AY9,WeightedMinAge25),MAX(CapacityAge25*АбонементНовых*AY9,MeanMinAge25)))</f>
        <v/>
      </c>
      <c r="AZ98" s="4">
        <f>IF(OR(('03_Сеть'!AZ46-AZ44)=0,25&lt;=КаникулыРоялти),0,('03_Сеть'!AZ46-AZ44)*IF(РоялтиПоГруппам="Да",MeanMinAge25+AZ9*SUMIF(ThresholdAge25,"&lt;"&amp;AZ9,WeightedRevAge25)-SUMIF(ThresholdAge25,"&lt;"&amp;AZ9,WeightedMinAge25),MAX(CapacityAge25*АбонементНовых*AZ9,MeanMinAge25)))</f>
        <v/>
      </c>
      <c r="BA98" s="4">
        <f>IF(OR(('03_Сеть'!BA46-BA44)=0,25&lt;=КаникулыРоялти),0,('03_Сеть'!BA46-BA44)*IF(РоялтиПоГруппам="Да",MeanMinAge25+BA9*SUMIF(ThresholdAge25,"&lt;"&amp;BA9,WeightedRevAge25)-SUMIF(ThresholdAge25,"&lt;"&amp;BA9,WeightedMinAge25),MAX(CapacityAge25*АбонементНовых*BA9,MeanMinAge25)))</f>
        <v/>
      </c>
      <c r="BB98" s="4">
        <f>IF(OR(('03_Сеть'!BB46-BB44)=0,25&lt;=КаникулыРоялти),0,('03_Сеть'!BB46-BB44)*IF(РоялтиПоГруппам="Да",MeanMinAge25+BB9*SUMIF(ThresholdAge25,"&lt;"&amp;BB9,WeightedRevAge25)-SUMIF(ThresholdAge25,"&lt;"&amp;BB9,WeightedMinAge25),MAX(CapacityAge25*АбонементНовых*BB9,MeanMinAge25)))</f>
        <v/>
      </c>
      <c r="BC98" s="4">
        <f>IF(OR(('03_Сеть'!BC46-BC44)=0,25&lt;=КаникулыРоялти),0,('03_Сеть'!BC46-BC44)*IF(РоялтиПоГруппам="Да",MeanMinAge25+BC9*SUMIF(ThresholdAge25,"&lt;"&amp;BC9,WeightedRevAge25)-SUMIF(ThresholdAge25,"&lt;"&amp;BC9,WeightedMinAge25),MAX(CapacityAge25*АбонементНовых*BC9,MeanMinAge25)))</f>
        <v/>
      </c>
      <c r="BD98" s="4">
        <f>IF(OR(('03_Сеть'!BD46-BD44)=0,25&lt;=КаникулыРоялти),0,('03_Сеть'!BD46-BD44)*IF(РоялтиПоГруппам="Да",MeanMinAge25+BD9*SUMIF(ThresholdAge25,"&lt;"&amp;BD9,WeightedRevAge25)-SUMIF(ThresholdAge25,"&lt;"&amp;BD9,WeightedMinAge25),MAX(CapacityAge25*АбонементНовых*BD9,MeanMinAge25)))</f>
        <v/>
      </c>
      <c r="BE98" s="4">
        <f>IF(OR(('03_Сеть'!BE46-BE44)=0,25&lt;=КаникулыРоялти),0,('03_Сеть'!BE46-BE44)*IF(РоялтиПоГруппам="Да",MeanMinAge25+BE9*SUMIF(ThresholdAge25,"&lt;"&amp;BE9,WeightedRevAge25)-SUMIF(ThresholdAge25,"&lt;"&amp;BE9,WeightedMinAge25),MAX(CapacityAge25*АбонементНовых*BE9,MeanMinAge25)))</f>
        <v/>
      </c>
      <c r="BF98" s="4">
        <f>IF(OR(('03_Сеть'!BF46-BF44)=0,25&lt;=КаникулыРоялти),0,('03_Сеть'!BF46-BF44)*IF(РоялтиПоГруппам="Да",MeanMinAge25+BF9*SUMIF(ThresholdAge25,"&lt;"&amp;BF9,WeightedRevAge25)-SUMIF(ThresholdAge25,"&lt;"&amp;BF9,WeightedMinAge25),MAX(CapacityAge25*АбонементНовых*BF9,MeanMinAge25)))</f>
        <v/>
      </c>
      <c r="BG98" s="4">
        <f>IF(OR(('03_Сеть'!BG46-BG44)=0,25&lt;=КаникулыРоялти),0,('03_Сеть'!BG46-BG44)*IF(РоялтиПоГруппам="Да",MeanMinAge25+BG9*SUMIF(ThresholdAge25,"&lt;"&amp;BG9,WeightedRevAge25)-SUMIF(ThresholdAge25,"&lt;"&amp;BG9,WeightedMinAge25),MAX(CapacityAge25*АбонементНовых*BG9,MeanMinAge25)))</f>
        <v/>
      </c>
      <c r="BH98" s="4">
        <f>IF(OR(('03_Сеть'!BH46-BH44)=0,25&lt;=КаникулыРоялти),0,('03_Сеть'!BH46-BH44)*IF(РоялтиПоГруппам="Да",MeanMinAge25+BH9*SUMIF(ThresholdAge25,"&lt;"&amp;BH9,WeightedRevAge25)-SUMIF(ThresholdAge25,"&lt;"&amp;BH9,WeightedMinAge25),MAX(CapacityAge25*АбонементНовых*BH9,MeanMinAge25)))</f>
        <v/>
      </c>
      <c r="BI98" s="4">
        <f>IF(OR(('03_Сеть'!BI46-BI44)=0,25&lt;=КаникулыРоялти),0,('03_Сеть'!BI46-BI44)*IF(РоялтиПоГруппам="Да",MeanMinAge25+BI9*SUMIF(ThresholdAge25,"&lt;"&amp;BI9,WeightedRevAge25)-SUMIF(ThresholdAge25,"&lt;"&amp;BI9,WeightedMinAge25),MAX(CapacityAge25*АбонементНовых*BI9,MeanMinAge25)))</f>
        <v/>
      </c>
      <c r="BJ98" s="4">
        <f>IF(OR(('03_Сеть'!BJ46-BJ44)=0,25&lt;=КаникулыРоялти),0,('03_Сеть'!BJ46-BJ44)*IF(РоялтиПоГруппам="Да",MeanMinAge25+BJ9*SUMIF(ThresholdAge25,"&lt;"&amp;BJ9,WeightedRevAge25)-SUMIF(ThresholdAge25,"&lt;"&amp;BJ9,WeightedMinAge25),MAX(CapacityAge25*АбонементНовых*BJ9,MeanMinAge25)))</f>
        <v/>
      </c>
      <c r="BK98" s="4">
        <f>IF(OR(('03_Сеть'!BK46-BK44)=0,25&lt;=КаникулыРоялти),0,('03_Сеть'!BK46-BK44)*IF(РоялтиПоГруппам="Да",MeanMinAge25+BK9*SUMIF(ThresholdAge25,"&lt;"&amp;BK9,WeightedRevAge25)-SUMIF(ThresholdAge25,"&lt;"&amp;BK9,WeightedMinAge25),MAX(CapacityAge25*АбонементНовых*BK9,MeanMinAge25)))</f>
        <v/>
      </c>
      <c r="BL98" s="4">
        <f>IF(OR(('03_Сеть'!BL46-BL44)=0,25&lt;=КаникулыРоялти),0,('03_Сеть'!BL46-BL44)*IF(РоялтиПоГруппам="Да",MeanMinAge25+BL9*SUMIF(ThresholdAge25,"&lt;"&amp;BL9,WeightedRevAge25)-SUMIF(ThresholdAge25,"&lt;"&amp;BL9,WeightedMinAge25),MAX(CapacityAge25*АбонементНовых*BL9,MeanMinAge25)))</f>
        <v/>
      </c>
      <c r="BM98" s="4">
        <f>IF(OR(('03_Сеть'!BM46-BM44)=0,25&lt;=КаникулыРоялти),0,('03_Сеть'!BM46-BM44)*IF(РоялтиПоГруппам="Да",MeanMinAge25+BM9*SUMIF(ThresholdAge25,"&lt;"&amp;BM9,WeightedRevAge25)-SUMIF(ThresholdAge25,"&lt;"&amp;BM9,WeightedMinAge25),MAX(CapacityAge25*АбонементНовых*BM9,MeanMinAge25)))</f>
        <v/>
      </c>
      <c r="BN98" s="4">
        <f>IF(OR(('03_Сеть'!BN46-BN44)=0,25&lt;=КаникулыРоялти),0,('03_Сеть'!BN46-BN44)*IF(РоялтиПоГруппам="Да",MeanMinAge25+BN9*SUMIF(ThresholdAge25,"&lt;"&amp;BN9,WeightedRevAge25)-SUMIF(ThresholdAge25,"&lt;"&amp;BN9,WeightedMinAge25),MAX(CapacityAge25*АбонементНовых*BN9,MeanMinAge25)))</f>
        <v/>
      </c>
      <c r="BO98" s="4">
        <f>IF(OR(('03_Сеть'!BO46-BO44)=0,25&lt;=КаникулыРоялти),0,('03_Сеть'!BO46-BO44)*IF(РоялтиПоГруппам="Да",MeanMinAge25+BO9*SUMIF(ThresholdAge25,"&lt;"&amp;BO9,WeightedRevAge25)-SUMIF(ThresholdAge25,"&lt;"&amp;BO9,WeightedMinAge25),MAX(CapacityAge25*АбонементНовых*BO9,MeanMinAge25)))</f>
        <v/>
      </c>
      <c r="BP98" s="4">
        <f>IF(OR(('03_Сеть'!BP46-BP44)=0,25&lt;=КаникулыРоялти),0,('03_Сеть'!BP46-BP44)*IF(РоялтиПоГруппам="Да",MeanMinAge25+BP9*SUMIF(ThresholdAge25,"&lt;"&amp;BP9,WeightedRevAge25)-SUMIF(ThresholdAge25,"&lt;"&amp;BP9,WeightedMinAge25),MAX(CapacityAge25*АбонементНовых*BP9,MeanMinAge25)))</f>
        <v/>
      </c>
      <c r="BQ98" s="4">
        <f>IF(OR(('03_Сеть'!BQ46-BQ44)=0,25&lt;=КаникулыРоялти),0,('03_Сеть'!BQ46-BQ44)*IF(РоялтиПоГруппам="Да",MeanMinAge25+BQ9*SUMIF(ThresholdAge25,"&lt;"&amp;BQ9,WeightedRevAge25)-SUMIF(ThresholdAge25,"&lt;"&amp;BQ9,WeightedMinAge25),MAX(CapacityAge25*АбонементНовых*BQ9,MeanMinAge25)))</f>
        <v/>
      </c>
      <c r="BR98" s="4">
        <f>IF(OR(('03_Сеть'!BR46-BR44)=0,25&lt;=КаникулыРоялти),0,('03_Сеть'!BR46-BR44)*IF(РоялтиПоГруппам="Да",MeanMinAge25+BR9*SUMIF(ThresholdAge25,"&lt;"&amp;BR9,WeightedRevAge25)-SUMIF(ThresholdAge25,"&lt;"&amp;BR9,WeightedMinAge25),MAX(CapacityAge25*АбонементНовых*BR9,MeanMinAge25)))</f>
        <v/>
      </c>
      <c r="BS98" s="4">
        <f>IF(OR(('03_Сеть'!BS46-BS44)=0,25&lt;=КаникулыРоялти),0,('03_Сеть'!BS46-BS44)*IF(РоялтиПоГруппам="Да",MeanMinAge25+BS9*SUMIF(ThresholdAge25,"&lt;"&amp;BS9,WeightedRevAge25)-SUMIF(ThresholdAge25,"&lt;"&amp;BS9,WeightedMinAge25),MAX(CapacityAge25*АбонементНовых*BS9,MeanMinAge25)))</f>
        <v/>
      </c>
      <c r="BT98" s="4">
        <f>IF(OR(('03_Сеть'!BT46-BT44)=0,25&lt;=КаникулыРоялти),0,('03_Сеть'!BT46-BT44)*IF(РоялтиПоГруппам="Да",MeanMinAge25+BT9*SUMIF(ThresholdAge25,"&lt;"&amp;BT9,WeightedRevAge25)-SUMIF(ThresholdAge25,"&lt;"&amp;BT9,WeightedMinAge25),MAX(CapacityAge25*АбонементНовых*BT9,MeanMinAge25)))</f>
        <v/>
      </c>
      <c r="BU98" s="4">
        <f>IF(OR(('03_Сеть'!BU46-BU44)=0,25&lt;=КаникулыРоялти),0,('03_Сеть'!BU46-BU44)*IF(РоялтиПоГруппам="Да",MeanMinAge25+BU9*SUMIF(ThresholdAge25,"&lt;"&amp;BU9,WeightedRevAge25)-SUMIF(ThresholdAge25,"&lt;"&amp;BU9,WeightedMinAge25),MAX(CapacityAge25*АбонементНовых*BU9,MeanMinAge25)))</f>
        <v/>
      </c>
      <c r="BV98" s="4">
        <f>IF(OR(('03_Сеть'!BV46-BV44)=0,25&lt;=КаникулыРоялти),0,('03_Сеть'!BV46-BV44)*IF(РоялтиПоГруппам="Да",MeanMinAge25+BV9*SUMIF(ThresholdAge25,"&lt;"&amp;BV9,WeightedRevAge25)-SUMIF(ThresholdAge25,"&lt;"&amp;BV9,WeightedMinAge25),MAX(CapacityAge25*АбонементНовых*BV9,MeanMinAge25)))</f>
        <v/>
      </c>
      <c r="BW98" s="4">
        <f>IF(OR(('03_Сеть'!BW46-BW44)=0,25&lt;=КаникулыРоялти),0,('03_Сеть'!BW46-BW44)*IF(РоялтиПоГруппам="Да",MeanMinAge25+BW9*SUMIF(ThresholdAge25,"&lt;"&amp;BW9,WeightedRevAge25)-SUMIF(ThresholdAge25,"&lt;"&amp;BW9,WeightedMinAge25),MAX(CapacityAge25*АбонементНовых*BW9,MeanMinAge25)))</f>
        <v/>
      </c>
      <c r="BX98" s="4">
        <f>IF(OR(('03_Сеть'!BX46-BX44)=0,25&lt;=КаникулыРоялти),0,('03_Сеть'!BX46-BX44)*IF(РоялтиПоГруппам="Да",MeanMinAge25+BX9*SUMIF(ThresholdAge25,"&lt;"&amp;BX9,WeightedRevAge25)-SUMIF(ThresholdAge25,"&lt;"&amp;BX9,WeightedMinAge25),MAX(CapacityAge25*АбонементНовых*BX9,MeanMinAge25)))</f>
        <v/>
      </c>
      <c r="BY98" s="4">
        <f>IF(OR(('03_Сеть'!BY46-BY44)=0,25&lt;=КаникулыРоялти),0,('03_Сеть'!BY46-BY44)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100">
      <c r="B100" s="115" t="inlineStr">
        <is>
          <t>Итог по роялти</t>
        </is>
      </c>
      <c r="C100" s="116" t="n"/>
      <c r="D100" s="116" t="n"/>
      <c r="E100" s="116" t="n"/>
      <c r="F100" s="116" t="n"/>
      <c r="G100" s="116" t="n"/>
      <c r="H100" s="116" t="n"/>
      <c r="I100" s="116" t="n"/>
      <c r="J100" s="116" t="n"/>
      <c r="K100" s="116" t="n"/>
      <c r="L100" s="116" t="n"/>
      <c r="M100" s="116" t="n"/>
      <c r="N100" s="116" t="n"/>
      <c r="O100" s="116" t="n"/>
      <c r="P100" s="116" t="n"/>
      <c r="Q100" s="116" t="n"/>
      <c r="R100" s="116" t="n"/>
      <c r="S100" s="116" t="n"/>
      <c r="T100" s="116" t="n"/>
      <c r="U100" s="116" t="n"/>
      <c r="V100" s="116" t="n"/>
      <c r="W100" s="116" t="n"/>
      <c r="X100" s="116" t="n"/>
      <c r="Y100" s="116" t="n"/>
      <c r="Z100" s="116" t="n"/>
      <c r="AA100" s="116" t="n"/>
      <c r="AB100" s="116" t="n"/>
      <c r="AC100" s="116" t="n"/>
      <c r="AD100" s="116" t="n"/>
      <c r="AE100" s="116" t="n"/>
      <c r="AF100" s="116" t="n"/>
      <c r="AG100" s="116" t="n"/>
      <c r="AH100" s="116" t="n"/>
      <c r="AI100" s="116" t="n"/>
      <c r="AJ100" s="116" t="n"/>
      <c r="AK100" s="116" t="n"/>
      <c r="AL100" s="116" t="n"/>
      <c r="AM100" s="116" t="n"/>
      <c r="AN100" s="116" t="n"/>
      <c r="AO100" s="116" t="n"/>
      <c r="AP100" s="116" t="n"/>
      <c r="AQ100" s="116" t="n"/>
      <c r="AR100" s="116" t="n"/>
      <c r="AS100" s="116" t="n"/>
      <c r="AT100" s="116" t="n"/>
      <c r="AU100" s="116" t="n"/>
      <c r="AV100" s="116" t="n"/>
      <c r="AW100" s="116" t="n"/>
      <c r="AX100" s="116" t="n"/>
      <c r="AY100" s="116" t="n"/>
      <c r="AZ100" s="116" t="n"/>
      <c r="BA100" s="116" t="n"/>
      <c r="BB100" s="116" t="n"/>
      <c r="BC100" s="116" t="n"/>
      <c r="BD100" s="116" t="n"/>
      <c r="BE100" s="116" t="n"/>
      <c r="BF100" s="116" t="n"/>
      <c r="BG100" s="116" t="n"/>
      <c r="BH100" s="116" t="n"/>
      <c r="BI100" s="116" t="n"/>
      <c r="BJ100" s="116" t="n"/>
      <c r="BK100" s="116" t="n"/>
      <c r="BL100" s="116" t="n"/>
      <c r="BM100" s="116" t="n"/>
      <c r="BN100" s="116" t="n"/>
      <c r="BO100" s="116" t="n"/>
      <c r="BP100" s="116" t="n"/>
      <c r="BQ100" s="116" t="n"/>
      <c r="BR100" s="116" t="n"/>
      <c r="BS100" s="116" t="n"/>
      <c r="BT100" s="116" t="n"/>
      <c r="BU100" s="116" t="n"/>
      <c r="BV100" s="116" t="n"/>
      <c r="BW100" s="116" t="n"/>
      <c r="BX100" s="116" t="n"/>
      <c r="BY100" s="116" t="n"/>
    </row>
    <row r="101">
      <c r="B101" t="inlineStr">
        <is>
          <t>Роялти новых школ, с НДС</t>
        </is>
      </c>
      <c r="C101" t="inlineStr">
        <is>
          <t>₽</t>
        </is>
      </c>
      <c r="D101" s="117" t="inlineStr">
        <is>
          <t>Сумма по всем возрастам и обеим ставкам</t>
        </is>
      </c>
      <c r="E101" s="119">
        <f>SUM(L101:W101)</f>
        <v/>
      </c>
      <c r="F101" s="119">
        <f>SUM(X101:AI101)</f>
        <v/>
      </c>
      <c r="G101" s="119">
        <f>SUM(AJ101:AU101)</f>
        <v/>
      </c>
      <c r="H101" s="119">
        <f>SUM(AV101:BG101)</f>
        <v/>
      </c>
      <c r="I101" s="119">
        <f>SUM(BH101:BS101)</f>
        <v/>
      </c>
      <c r="J101" s="5">
        <f>SUM(L101:BS101)</f>
        <v/>
      </c>
      <c r="L101" s="4">
        <f>SUM(L47:L71)+SUM(L74:L98)</f>
        <v/>
      </c>
      <c r="M101" s="4">
        <f>SUM(M47:M71)+SUM(M74:M98)</f>
        <v/>
      </c>
      <c r="N101" s="4">
        <f>SUM(N47:N71)+SUM(N74:N98)</f>
        <v/>
      </c>
      <c r="O101" s="4">
        <f>SUM(O47:O71)+SUM(O74:O98)</f>
        <v/>
      </c>
      <c r="P101" s="4">
        <f>SUM(P47:P71)+SUM(P74:P98)</f>
        <v/>
      </c>
      <c r="Q101" s="4">
        <f>SUM(Q47:Q71)+SUM(Q74:Q98)</f>
        <v/>
      </c>
      <c r="R101" s="4">
        <f>SUM(R47:R71)+SUM(R74:R98)</f>
        <v/>
      </c>
      <c r="S101" s="4">
        <f>SUM(S47:S71)+SUM(S74:S98)</f>
        <v/>
      </c>
      <c r="T101" s="4">
        <f>SUM(T47:T71)+SUM(T74:T98)</f>
        <v/>
      </c>
      <c r="U101" s="4">
        <f>SUM(U47:U71)+SUM(U74:U98)</f>
        <v/>
      </c>
      <c r="V101" s="4">
        <f>SUM(V47:V71)+SUM(V74:V98)</f>
        <v/>
      </c>
      <c r="W101" s="4">
        <f>SUM(W47:W71)+SUM(W74:W98)</f>
        <v/>
      </c>
      <c r="X101" s="4">
        <f>SUM(X47:X71)+SUM(X74:X98)</f>
        <v/>
      </c>
      <c r="Y101" s="4">
        <f>SUM(Y47:Y71)+SUM(Y74:Y98)</f>
        <v/>
      </c>
      <c r="Z101" s="4">
        <f>SUM(Z47:Z71)+SUM(Z74:Z98)</f>
        <v/>
      </c>
      <c r="AA101" s="4">
        <f>SUM(AA47:AA71)+SUM(AA74:AA98)</f>
        <v/>
      </c>
      <c r="AB101" s="4">
        <f>SUM(AB47:AB71)+SUM(AB74:AB98)</f>
        <v/>
      </c>
      <c r="AC101" s="4">
        <f>SUM(AC47:AC71)+SUM(AC74:AC98)</f>
        <v/>
      </c>
      <c r="AD101" s="4">
        <f>SUM(AD47:AD71)+SUM(AD74:AD98)</f>
        <v/>
      </c>
      <c r="AE101" s="4">
        <f>SUM(AE47:AE71)+SUM(AE74:AE98)</f>
        <v/>
      </c>
      <c r="AF101" s="4">
        <f>SUM(AF47:AF71)+SUM(AF74:AF98)</f>
        <v/>
      </c>
      <c r="AG101" s="4">
        <f>SUM(AG47:AG71)+SUM(AG74:AG98)</f>
        <v/>
      </c>
      <c r="AH101" s="4">
        <f>SUM(AH47:AH71)+SUM(AH74:AH98)</f>
        <v/>
      </c>
      <c r="AI101" s="4">
        <f>SUM(AI47:AI71)+SUM(AI74:AI98)</f>
        <v/>
      </c>
      <c r="AJ101" s="4">
        <f>SUM(AJ47:AJ71)+SUM(AJ74:AJ98)</f>
        <v/>
      </c>
      <c r="AK101" s="4">
        <f>SUM(AK47:AK71)+SUM(AK74:AK98)</f>
        <v/>
      </c>
      <c r="AL101" s="4">
        <f>SUM(AL47:AL71)+SUM(AL74:AL98)</f>
        <v/>
      </c>
      <c r="AM101" s="4">
        <f>SUM(AM47:AM71)+SUM(AM74:AM98)</f>
        <v/>
      </c>
      <c r="AN101" s="4">
        <f>SUM(AN47:AN71)+SUM(AN74:AN98)</f>
        <v/>
      </c>
      <c r="AO101" s="4">
        <f>SUM(AO47:AO71)+SUM(AO74:AO98)</f>
        <v/>
      </c>
      <c r="AP101" s="4">
        <f>SUM(AP47:AP71)+SUM(AP74:AP98)</f>
        <v/>
      </c>
      <c r="AQ101" s="4">
        <f>SUM(AQ47:AQ71)+SUM(AQ74:AQ98)</f>
        <v/>
      </c>
      <c r="AR101" s="4">
        <f>SUM(AR47:AR71)+SUM(AR74:AR98)</f>
        <v/>
      </c>
      <c r="AS101" s="4">
        <f>SUM(AS47:AS71)+SUM(AS74:AS98)</f>
        <v/>
      </c>
      <c r="AT101" s="4">
        <f>SUM(AT47:AT71)+SUM(AT74:AT98)</f>
        <v/>
      </c>
      <c r="AU101" s="4">
        <f>SUM(AU47:AU71)+SUM(AU74:AU98)</f>
        <v/>
      </c>
      <c r="AV101" s="4">
        <f>SUM(AV47:AV71)+SUM(AV74:AV98)</f>
        <v/>
      </c>
      <c r="AW101" s="4">
        <f>SUM(AW47:AW71)+SUM(AW74:AW98)</f>
        <v/>
      </c>
      <c r="AX101" s="4">
        <f>SUM(AX47:AX71)+SUM(AX74:AX98)</f>
        <v/>
      </c>
      <c r="AY101" s="4">
        <f>SUM(AY47:AY71)+SUM(AY74:AY98)</f>
        <v/>
      </c>
      <c r="AZ101" s="4">
        <f>SUM(AZ47:AZ71)+SUM(AZ74:AZ98)</f>
        <v/>
      </c>
      <c r="BA101" s="4">
        <f>SUM(BA47:BA71)+SUM(BA74:BA98)</f>
        <v/>
      </c>
      <c r="BB101" s="4">
        <f>SUM(BB47:BB71)+SUM(BB74:BB98)</f>
        <v/>
      </c>
      <c r="BC101" s="4">
        <f>SUM(BC47:BC71)+SUM(BC74:BC98)</f>
        <v/>
      </c>
      <c r="BD101" s="4">
        <f>SUM(BD47:BD71)+SUM(BD74:BD98)</f>
        <v/>
      </c>
      <c r="BE101" s="4">
        <f>SUM(BE47:BE71)+SUM(BE74:BE98)</f>
        <v/>
      </c>
      <c r="BF101" s="4">
        <f>SUM(BF47:BF71)+SUM(BF74:BF98)</f>
        <v/>
      </c>
      <c r="BG101" s="4">
        <f>SUM(BG47:BG71)+SUM(BG74:BG98)</f>
        <v/>
      </c>
      <c r="BH101" s="4">
        <f>SUM(BH47:BH71)+SUM(BH74:BH98)</f>
        <v/>
      </c>
      <c r="BI101" s="4">
        <f>SUM(BI47:BI71)+SUM(BI74:BI98)</f>
        <v/>
      </c>
      <c r="BJ101" s="4">
        <f>SUM(BJ47:BJ71)+SUM(BJ74:BJ98)</f>
        <v/>
      </c>
      <c r="BK101" s="4">
        <f>SUM(BK47:BK71)+SUM(BK74:BK98)</f>
        <v/>
      </c>
      <c r="BL101" s="4">
        <f>SUM(BL47:BL71)+SUM(BL74:BL98)</f>
        <v/>
      </c>
      <c r="BM101" s="4">
        <f>SUM(BM47:BM71)+SUM(BM74:BM98)</f>
        <v/>
      </c>
      <c r="BN101" s="4">
        <f>SUM(BN47:BN71)+SUM(BN74:BN98)</f>
        <v/>
      </c>
      <c r="BO101" s="4">
        <f>SUM(BO47:BO71)+SUM(BO74:BO98)</f>
        <v/>
      </c>
      <c r="BP101" s="4">
        <f>SUM(BP47:BP71)+SUM(BP74:BP98)</f>
        <v/>
      </c>
      <c r="BQ101" s="4">
        <f>SUM(BQ47:BQ71)+SUM(BQ74:BQ98)</f>
        <v/>
      </c>
      <c r="BR101" s="4">
        <f>SUM(BR47:BR71)+SUM(BR74:BR98)</f>
        <v/>
      </c>
      <c r="BS101" s="4">
        <f>SUM(BS47:BS71)+SUM(BS74:BS98)</f>
        <v/>
      </c>
      <c r="BT101" s="4">
        <f>SUM(BT47:BT71)+SUM(BT74:BT98)</f>
        <v/>
      </c>
      <c r="BU101" s="4">
        <f>SUM(BU47:BU71)+SUM(BU74:BU98)</f>
        <v/>
      </c>
      <c r="BV101" s="4">
        <f>SUM(BV47:BV71)+SUM(BV74:BV98)</f>
        <v/>
      </c>
      <c r="BW101" s="4">
        <f>SUM(BW47:BW71)+SUM(BW74:BW98)</f>
        <v/>
      </c>
      <c r="BX101" s="4">
        <f>SUM(BX47:BX71)+SUM(BX74:BX98)</f>
        <v/>
      </c>
      <c r="BY101" s="4">
        <f>SUM(BY47:BY71)+SUM(BY74:BY98)</f>
        <v/>
      </c>
    </row>
    <row r="102">
      <c r="B102" s="6" t="inlineStr">
        <is>
          <t>Роялти всего, с НДС</t>
        </is>
      </c>
      <c r="C102" s="6" t="inlineStr">
        <is>
          <t>₽</t>
        </is>
      </c>
      <c r="D102" s="120" t="inlineStr"/>
      <c r="E102" s="121">
        <f>SUM(L102:W102)</f>
        <v/>
      </c>
      <c r="F102" s="121">
        <f>SUM(X102:AI102)</f>
        <v/>
      </c>
      <c r="G102" s="121">
        <f>SUM(AJ102:AU102)</f>
        <v/>
      </c>
      <c r="H102" s="121">
        <f>SUM(AV102:BG102)</f>
        <v/>
      </c>
      <c r="I102" s="121">
        <f>SUM(BH102:BS102)</f>
        <v/>
      </c>
      <c r="J102" s="8">
        <f>SUM(L102:BS102)</f>
        <v/>
      </c>
      <c r="L102" s="7">
        <f>L16+L101</f>
        <v/>
      </c>
      <c r="M102" s="7">
        <f>M16+M101</f>
        <v/>
      </c>
      <c r="N102" s="7">
        <f>N16+N101</f>
        <v/>
      </c>
      <c r="O102" s="7">
        <f>O16+O101</f>
        <v/>
      </c>
      <c r="P102" s="7">
        <f>P16+P101</f>
        <v/>
      </c>
      <c r="Q102" s="7">
        <f>Q16+Q101</f>
        <v/>
      </c>
      <c r="R102" s="7">
        <f>R16+R101</f>
        <v/>
      </c>
      <c r="S102" s="7">
        <f>S16+S101</f>
        <v/>
      </c>
      <c r="T102" s="7">
        <f>T16+T101</f>
        <v/>
      </c>
      <c r="U102" s="7">
        <f>U16+U101</f>
        <v/>
      </c>
      <c r="V102" s="7">
        <f>V16+V101</f>
        <v/>
      </c>
      <c r="W102" s="7">
        <f>W16+W101</f>
        <v/>
      </c>
      <c r="X102" s="7">
        <f>X16+X101</f>
        <v/>
      </c>
      <c r="Y102" s="7">
        <f>Y16+Y101</f>
        <v/>
      </c>
      <c r="Z102" s="7">
        <f>Z16+Z101</f>
        <v/>
      </c>
      <c r="AA102" s="7">
        <f>AA16+AA101</f>
        <v/>
      </c>
      <c r="AB102" s="7">
        <f>AB16+AB101</f>
        <v/>
      </c>
      <c r="AC102" s="7">
        <f>AC16+AC101</f>
        <v/>
      </c>
      <c r="AD102" s="7">
        <f>AD16+AD101</f>
        <v/>
      </c>
      <c r="AE102" s="7">
        <f>AE16+AE101</f>
        <v/>
      </c>
      <c r="AF102" s="7">
        <f>AF16+AF101</f>
        <v/>
      </c>
      <c r="AG102" s="7">
        <f>AG16+AG101</f>
        <v/>
      </c>
      <c r="AH102" s="7">
        <f>AH16+AH101</f>
        <v/>
      </c>
      <c r="AI102" s="7">
        <f>AI16+AI101</f>
        <v/>
      </c>
      <c r="AJ102" s="7">
        <f>AJ16+AJ101</f>
        <v/>
      </c>
      <c r="AK102" s="7">
        <f>AK16+AK101</f>
        <v/>
      </c>
      <c r="AL102" s="7">
        <f>AL16+AL101</f>
        <v/>
      </c>
      <c r="AM102" s="7">
        <f>AM16+AM101</f>
        <v/>
      </c>
      <c r="AN102" s="7">
        <f>AN16+AN101</f>
        <v/>
      </c>
      <c r="AO102" s="7">
        <f>AO16+AO101</f>
        <v/>
      </c>
      <c r="AP102" s="7">
        <f>AP16+AP101</f>
        <v/>
      </c>
      <c r="AQ102" s="7">
        <f>AQ16+AQ101</f>
        <v/>
      </c>
      <c r="AR102" s="7">
        <f>AR16+AR101</f>
        <v/>
      </c>
      <c r="AS102" s="7">
        <f>AS16+AS101</f>
        <v/>
      </c>
      <c r="AT102" s="7">
        <f>AT16+AT101</f>
        <v/>
      </c>
      <c r="AU102" s="7">
        <f>AU16+AU101</f>
        <v/>
      </c>
      <c r="AV102" s="7">
        <f>AV16+AV101</f>
        <v/>
      </c>
      <c r="AW102" s="7">
        <f>AW16+AW101</f>
        <v/>
      </c>
      <c r="AX102" s="7">
        <f>AX16+AX101</f>
        <v/>
      </c>
      <c r="AY102" s="7">
        <f>AY16+AY101</f>
        <v/>
      </c>
      <c r="AZ102" s="7">
        <f>AZ16+AZ101</f>
        <v/>
      </c>
      <c r="BA102" s="7">
        <f>BA16+BA101</f>
        <v/>
      </c>
      <c r="BB102" s="7">
        <f>BB16+BB101</f>
        <v/>
      </c>
      <c r="BC102" s="7">
        <f>BC16+BC101</f>
        <v/>
      </c>
      <c r="BD102" s="7">
        <f>BD16+BD101</f>
        <v/>
      </c>
      <c r="BE102" s="7">
        <f>BE16+BE101</f>
        <v/>
      </c>
      <c r="BF102" s="7">
        <f>BF16+BF101</f>
        <v/>
      </c>
      <c r="BG102" s="7">
        <f>BG16+BG101</f>
        <v/>
      </c>
      <c r="BH102" s="7">
        <f>BH16+BH101</f>
        <v/>
      </c>
      <c r="BI102" s="7">
        <f>BI16+BI101</f>
        <v/>
      </c>
      <c r="BJ102" s="7">
        <f>BJ16+BJ101</f>
        <v/>
      </c>
      <c r="BK102" s="7">
        <f>BK16+BK101</f>
        <v/>
      </c>
      <c r="BL102" s="7">
        <f>BL16+BL101</f>
        <v/>
      </c>
      <c r="BM102" s="7">
        <f>BM16+BM101</f>
        <v/>
      </c>
      <c r="BN102" s="7">
        <f>BN16+BN101</f>
        <v/>
      </c>
      <c r="BO102" s="7">
        <f>BO16+BO101</f>
        <v/>
      </c>
      <c r="BP102" s="7">
        <f>BP16+BP101</f>
        <v/>
      </c>
      <c r="BQ102" s="7">
        <f>BQ16+BQ101</f>
        <v/>
      </c>
      <c r="BR102" s="7">
        <f>BR16+BR101</f>
        <v/>
      </c>
      <c r="BS102" s="7">
        <f>BS16+BS101</f>
        <v/>
      </c>
      <c r="BT102" s="7">
        <f>BT16+BT101</f>
        <v/>
      </c>
      <c r="BU102" s="7">
        <f>BU16+BU101</f>
        <v/>
      </c>
      <c r="BV102" s="7">
        <f>BV16+BV101</f>
        <v/>
      </c>
      <c r="BW102" s="7">
        <f>BW16+BW101</f>
        <v/>
      </c>
      <c r="BX102" s="7">
        <f>BX16+BX101</f>
        <v/>
      </c>
      <c r="BY102" s="7">
        <f>BY16+BY101</f>
        <v/>
      </c>
    </row>
    <row r="104">
      <c r="B104" s="115" t="inlineStr">
        <is>
          <t>Мерч: сколько комплектов покупают</t>
        </is>
      </c>
      <c r="C104" s="116" t="n"/>
      <c r="D104" s="116" t="n"/>
      <c r="E104" s="116" t="n"/>
      <c r="F104" s="116" t="n"/>
      <c r="G104" s="116" t="n"/>
      <c r="H104" s="116" t="n"/>
      <c r="I104" s="116" t="n"/>
      <c r="J104" s="116" t="n"/>
      <c r="K104" s="116" t="n"/>
      <c r="L104" s="116" t="n"/>
      <c r="M104" s="116" t="n"/>
      <c r="N104" s="116" t="n"/>
      <c r="O104" s="116" t="n"/>
      <c r="P104" s="116" t="n"/>
      <c r="Q104" s="116" t="n"/>
      <c r="R104" s="116" t="n"/>
      <c r="S104" s="116" t="n"/>
      <c r="T104" s="116" t="n"/>
      <c r="U104" s="116" t="n"/>
      <c r="V104" s="116" t="n"/>
      <c r="W104" s="116" t="n"/>
      <c r="X104" s="116" t="n"/>
      <c r="Y104" s="116" t="n"/>
      <c r="Z104" s="116" t="n"/>
      <c r="AA104" s="116" t="n"/>
      <c r="AB104" s="116" t="n"/>
      <c r="AC104" s="116" t="n"/>
      <c r="AD104" s="116" t="n"/>
      <c r="AE104" s="116" t="n"/>
      <c r="AF104" s="116" t="n"/>
      <c r="AG104" s="116" t="n"/>
      <c r="AH104" s="116" t="n"/>
      <c r="AI104" s="116" t="n"/>
      <c r="AJ104" s="116" t="n"/>
      <c r="AK104" s="116" t="n"/>
      <c r="AL104" s="116" t="n"/>
      <c r="AM104" s="116" t="n"/>
      <c r="AN104" s="116" t="n"/>
      <c r="AO104" s="116" t="n"/>
      <c r="AP104" s="116" t="n"/>
      <c r="AQ104" s="116" t="n"/>
      <c r="AR104" s="116" t="n"/>
      <c r="AS104" s="116" t="n"/>
      <c r="AT104" s="116" t="n"/>
      <c r="AU104" s="116" t="n"/>
      <c r="AV104" s="116" t="n"/>
      <c r="AW104" s="116" t="n"/>
      <c r="AX104" s="116" t="n"/>
      <c r="AY104" s="116" t="n"/>
      <c r="AZ104" s="116" t="n"/>
      <c r="BA104" s="116" t="n"/>
      <c r="BB104" s="116" t="n"/>
      <c r="BC104" s="116" t="n"/>
      <c r="BD104" s="116" t="n"/>
      <c r="BE104" s="116" t="n"/>
      <c r="BF104" s="116" t="n"/>
      <c r="BG104" s="116" t="n"/>
      <c r="BH104" s="116" t="n"/>
      <c r="BI104" s="116" t="n"/>
      <c r="BJ104" s="116" t="n"/>
      <c r="BK104" s="116" t="n"/>
      <c r="BL104" s="116" t="n"/>
      <c r="BM104" s="116" t="n"/>
      <c r="BN104" s="116" t="n"/>
      <c r="BO104" s="116" t="n"/>
      <c r="BP104" s="116" t="n"/>
      <c r="BQ104" s="116" t="n"/>
      <c r="BR104" s="116" t="n"/>
      <c r="BS104" s="116" t="n"/>
      <c r="BT104" s="116" t="n"/>
      <c r="BU104" s="116" t="n"/>
      <c r="BV104" s="116" t="n"/>
      <c r="BW104" s="116" t="n"/>
      <c r="BX104" s="116" t="n"/>
      <c r="BY104" s="116" t="n"/>
    </row>
    <row r="105">
      <c r="B105" t="inlineStr">
        <is>
          <t>Сезонность повторных покупок</t>
        </is>
      </c>
      <c r="C105" t="inlineStr">
        <is>
          <t>%</t>
        </is>
      </c>
      <c r="D105" s="117" t="inlineStr">
        <is>
          <t>Доля годовой закупки, приходящаяся на этот месяц</t>
        </is>
      </c>
      <c r="E105" s="122">
        <f>AVERAGE(L105:W105)</f>
        <v/>
      </c>
      <c r="F105" s="122">
        <f>AVERAGE(X105:AI105)</f>
        <v/>
      </c>
      <c r="G105" s="122">
        <f>AVERAGE(AJ105:AU105)</f>
        <v/>
      </c>
      <c r="H105" s="122">
        <f>AVERAGE(AV105:BG105)</f>
        <v/>
      </c>
      <c r="I105" s="122">
        <f>AVERAGE(BH105:BS105)</f>
        <v/>
      </c>
      <c r="J105" s="123">
        <f>AVERAGE(L105:BS105)</f>
        <v/>
      </c>
      <c r="L105" s="14">
        <f>INDEX('01_Вводные'!$B$94:$M$94,1,MONTH('03_Сеть'!L6))</f>
        <v/>
      </c>
      <c r="M105" s="14">
        <f>INDEX('01_Вводные'!$B$94:$M$94,1,MONTH('03_Сеть'!M6))</f>
        <v/>
      </c>
      <c r="N105" s="14">
        <f>INDEX('01_Вводные'!$B$94:$M$94,1,MONTH('03_Сеть'!N6))</f>
        <v/>
      </c>
      <c r="O105" s="14">
        <f>INDEX('01_Вводные'!$B$94:$M$94,1,MONTH('03_Сеть'!O6))</f>
        <v/>
      </c>
      <c r="P105" s="14">
        <f>INDEX('01_Вводные'!$B$94:$M$94,1,MONTH('03_Сеть'!P6))</f>
        <v/>
      </c>
      <c r="Q105" s="14">
        <f>INDEX('01_Вводные'!$B$94:$M$94,1,MONTH('03_Сеть'!Q6))</f>
        <v/>
      </c>
      <c r="R105" s="14">
        <f>INDEX('01_Вводные'!$B$94:$M$94,1,MONTH('03_Сеть'!R6))</f>
        <v/>
      </c>
      <c r="S105" s="14">
        <f>INDEX('01_Вводные'!$B$94:$M$94,1,MONTH('03_Сеть'!S6))</f>
        <v/>
      </c>
      <c r="T105" s="14">
        <f>INDEX('01_Вводные'!$B$94:$M$94,1,MONTH('03_Сеть'!T6))</f>
        <v/>
      </c>
      <c r="U105" s="14">
        <f>INDEX('01_Вводные'!$B$94:$M$94,1,MONTH('03_Сеть'!U6))</f>
        <v/>
      </c>
      <c r="V105" s="14">
        <f>INDEX('01_Вводные'!$B$94:$M$94,1,MONTH('03_Сеть'!V6))</f>
        <v/>
      </c>
      <c r="W105" s="14">
        <f>INDEX('01_Вводные'!$B$94:$M$94,1,MONTH('03_Сеть'!W6))</f>
        <v/>
      </c>
      <c r="X105" s="14">
        <f>INDEX('01_Вводные'!$B$94:$M$94,1,MONTH('03_Сеть'!X6))</f>
        <v/>
      </c>
      <c r="Y105" s="14">
        <f>INDEX('01_Вводные'!$B$94:$M$94,1,MONTH('03_Сеть'!Y6))</f>
        <v/>
      </c>
      <c r="Z105" s="14">
        <f>INDEX('01_Вводные'!$B$94:$M$94,1,MONTH('03_Сеть'!Z6))</f>
        <v/>
      </c>
      <c r="AA105" s="14">
        <f>INDEX('01_Вводные'!$B$94:$M$94,1,MONTH('03_Сеть'!AA6))</f>
        <v/>
      </c>
      <c r="AB105" s="14">
        <f>INDEX('01_Вводные'!$B$94:$M$94,1,MONTH('03_Сеть'!AB6))</f>
        <v/>
      </c>
      <c r="AC105" s="14">
        <f>INDEX('01_Вводные'!$B$94:$M$94,1,MONTH('03_Сеть'!AC6))</f>
        <v/>
      </c>
      <c r="AD105" s="14">
        <f>INDEX('01_Вводные'!$B$94:$M$94,1,MONTH('03_Сеть'!AD6))</f>
        <v/>
      </c>
      <c r="AE105" s="14">
        <f>INDEX('01_Вводные'!$B$94:$M$94,1,MONTH('03_Сеть'!AE6))</f>
        <v/>
      </c>
      <c r="AF105" s="14">
        <f>INDEX('01_Вводные'!$B$94:$M$94,1,MONTH('03_Сеть'!AF6))</f>
        <v/>
      </c>
      <c r="AG105" s="14">
        <f>INDEX('01_Вводные'!$B$94:$M$94,1,MONTH('03_Сеть'!AG6))</f>
        <v/>
      </c>
      <c r="AH105" s="14">
        <f>INDEX('01_Вводные'!$B$94:$M$94,1,MONTH('03_Сеть'!AH6))</f>
        <v/>
      </c>
      <c r="AI105" s="14">
        <f>INDEX('01_Вводные'!$B$94:$M$94,1,MONTH('03_Сеть'!AI6))</f>
        <v/>
      </c>
      <c r="AJ105" s="14">
        <f>INDEX('01_Вводные'!$B$94:$M$94,1,MONTH('03_Сеть'!AJ6))</f>
        <v/>
      </c>
      <c r="AK105" s="14">
        <f>INDEX('01_Вводные'!$B$94:$M$94,1,MONTH('03_Сеть'!AK6))</f>
        <v/>
      </c>
      <c r="AL105" s="14">
        <f>INDEX('01_Вводные'!$B$94:$M$94,1,MONTH('03_Сеть'!AL6))</f>
        <v/>
      </c>
      <c r="AM105" s="14">
        <f>INDEX('01_Вводные'!$B$94:$M$94,1,MONTH('03_Сеть'!AM6))</f>
        <v/>
      </c>
      <c r="AN105" s="14">
        <f>INDEX('01_Вводные'!$B$94:$M$94,1,MONTH('03_Сеть'!AN6))</f>
        <v/>
      </c>
      <c r="AO105" s="14">
        <f>INDEX('01_Вводные'!$B$94:$M$94,1,MONTH('03_Сеть'!AO6))</f>
        <v/>
      </c>
      <c r="AP105" s="14">
        <f>INDEX('01_Вводные'!$B$94:$M$94,1,MONTH('03_Сеть'!AP6))</f>
        <v/>
      </c>
      <c r="AQ105" s="14">
        <f>INDEX('01_Вводные'!$B$94:$M$94,1,MONTH('03_Сеть'!AQ6))</f>
        <v/>
      </c>
      <c r="AR105" s="14">
        <f>INDEX('01_Вводные'!$B$94:$M$94,1,MONTH('03_Сеть'!AR6))</f>
        <v/>
      </c>
      <c r="AS105" s="14">
        <f>INDEX('01_Вводные'!$B$94:$M$94,1,MONTH('03_Сеть'!AS6))</f>
        <v/>
      </c>
      <c r="AT105" s="14">
        <f>INDEX('01_Вводные'!$B$94:$M$94,1,MONTH('03_Сеть'!AT6))</f>
        <v/>
      </c>
      <c r="AU105" s="14">
        <f>INDEX('01_Вводные'!$B$94:$M$94,1,MONTH('03_Сеть'!AU6))</f>
        <v/>
      </c>
      <c r="AV105" s="14">
        <f>INDEX('01_Вводные'!$B$94:$M$94,1,MONTH('03_Сеть'!AV6))</f>
        <v/>
      </c>
      <c r="AW105" s="14">
        <f>INDEX('01_Вводные'!$B$94:$M$94,1,MONTH('03_Сеть'!AW6))</f>
        <v/>
      </c>
      <c r="AX105" s="14">
        <f>INDEX('01_Вводные'!$B$94:$M$94,1,MONTH('03_Сеть'!AX6))</f>
        <v/>
      </c>
      <c r="AY105" s="14">
        <f>INDEX('01_Вводные'!$B$94:$M$94,1,MONTH('03_Сеть'!AY6))</f>
        <v/>
      </c>
      <c r="AZ105" s="14">
        <f>INDEX('01_Вводные'!$B$94:$M$94,1,MONTH('03_Сеть'!AZ6))</f>
        <v/>
      </c>
      <c r="BA105" s="14">
        <f>INDEX('01_Вводные'!$B$94:$M$94,1,MONTH('03_Сеть'!BA6))</f>
        <v/>
      </c>
      <c r="BB105" s="14">
        <f>INDEX('01_Вводные'!$B$94:$M$94,1,MONTH('03_Сеть'!BB6))</f>
        <v/>
      </c>
      <c r="BC105" s="14">
        <f>INDEX('01_Вводные'!$B$94:$M$94,1,MONTH('03_Сеть'!BC6))</f>
        <v/>
      </c>
      <c r="BD105" s="14">
        <f>INDEX('01_Вводные'!$B$94:$M$94,1,MONTH('03_Сеть'!BD6))</f>
        <v/>
      </c>
      <c r="BE105" s="14">
        <f>INDEX('01_Вводные'!$B$94:$M$94,1,MONTH('03_Сеть'!BE6))</f>
        <v/>
      </c>
      <c r="BF105" s="14">
        <f>INDEX('01_Вводные'!$B$94:$M$94,1,MONTH('03_Сеть'!BF6))</f>
        <v/>
      </c>
      <c r="BG105" s="14">
        <f>INDEX('01_Вводные'!$B$94:$M$94,1,MONTH('03_Сеть'!BG6))</f>
        <v/>
      </c>
      <c r="BH105" s="14">
        <f>INDEX('01_Вводные'!$B$94:$M$94,1,MONTH('03_Сеть'!BH6))</f>
        <v/>
      </c>
      <c r="BI105" s="14">
        <f>INDEX('01_Вводные'!$B$94:$M$94,1,MONTH('03_Сеть'!BI6))</f>
        <v/>
      </c>
      <c r="BJ105" s="14">
        <f>INDEX('01_Вводные'!$B$94:$M$94,1,MONTH('03_Сеть'!BJ6))</f>
        <v/>
      </c>
      <c r="BK105" s="14">
        <f>INDEX('01_Вводные'!$B$94:$M$94,1,MONTH('03_Сеть'!BK6))</f>
        <v/>
      </c>
      <c r="BL105" s="14">
        <f>INDEX('01_Вводные'!$B$94:$M$94,1,MONTH('03_Сеть'!BL6))</f>
        <v/>
      </c>
      <c r="BM105" s="14">
        <f>INDEX('01_Вводные'!$B$94:$M$94,1,MONTH('03_Сеть'!BM6))</f>
        <v/>
      </c>
      <c r="BN105" s="14">
        <f>INDEX('01_Вводные'!$B$94:$M$94,1,MONTH('03_Сеть'!BN6))</f>
        <v/>
      </c>
      <c r="BO105" s="14">
        <f>INDEX('01_Вводные'!$B$94:$M$94,1,MONTH('03_Сеть'!BO6))</f>
        <v/>
      </c>
      <c r="BP105" s="14">
        <f>INDEX('01_Вводные'!$B$94:$M$94,1,MONTH('03_Сеть'!BP6))</f>
        <v/>
      </c>
      <c r="BQ105" s="14">
        <f>INDEX('01_Вводные'!$B$94:$M$94,1,MONTH('03_Сеть'!BQ6))</f>
        <v/>
      </c>
      <c r="BR105" s="14">
        <f>INDEX('01_Вводные'!$B$94:$M$94,1,MONTH('03_Сеть'!BR6))</f>
        <v/>
      </c>
      <c r="BS105" s="14">
        <f>INDEX('01_Вводные'!$B$94:$M$94,1,MONTH('03_Сеть'!BS6))</f>
        <v/>
      </c>
      <c r="BT105" s="14">
        <f>INDEX('01_Вводные'!$B$94:$M$94,1,MONTH('03_Сеть'!BT6))</f>
        <v/>
      </c>
      <c r="BU105" s="14">
        <f>INDEX('01_Вводные'!$B$94:$M$94,1,MONTH('03_Сеть'!BU6))</f>
        <v/>
      </c>
      <c r="BV105" s="14">
        <f>INDEX('01_Вводные'!$B$94:$M$94,1,MONTH('03_Сеть'!BV6))</f>
        <v/>
      </c>
      <c r="BW105" s="14">
        <f>INDEX('01_Вводные'!$B$94:$M$94,1,MONTH('03_Сеть'!BW6))</f>
        <v/>
      </c>
      <c r="BX105" s="14">
        <f>INDEX('01_Вводные'!$B$94:$M$94,1,MONTH('03_Сеть'!BX6))</f>
        <v/>
      </c>
      <c r="BY105" s="14">
        <f>INDEX('01_Вводные'!$B$94:$M$94,1,MONTH('03_Сеть'!BY6))</f>
        <v/>
      </c>
    </row>
    <row r="106">
      <c r="B106" t="inlineStr">
        <is>
          <t>Действующая сеть — комплекты</t>
        </is>
      </c>
      <c r="C106" t="inlineStr">
        <is>
          <t>шт.</t>
        </is>
      </c>
      <c r="D106" s="117" t="inlineStr">
        <is>
          <t>Дети действующей сети по норме комплектов на ребёнка, разложено сезонностью</t>
        </is>
      </c>
      <c r="E106" s="118">
        <f>SUM(L106:W106)</f>
        <v/>
      </c>
      <c r="F106" s="118">
        <f>SUM(X106:AI106)</f>
        <v/>
      </c>
      <c r="G106" s="118">
        <f>SUM(AJ106:AU106)</f>
        <v/>
      </c>
      <c r="H106" s="118">
        <f>SUM(AV106:BG106)</f>
        <v/>
      </c>
      <c r="I106" s="118">
        <f>SUM(BH106:BS106)</f>
        <v/>
      </c>
      <c r="J106" s="10">
        <f>SUM(L106:BS106)</f>
        <v/>
      </c>
      <c r="L106" s="9">
        <f>'01_Вводные'!B$99</f>
        <v/>
      </c>
      <c r="M106" s="9">
        <f>'01_Вводные'!C$99</f>
        <v/>
      </c>
      <c r="N106" s="9">
        <f>'01_Вводные'!D$99</f>
        <v/>
      </c>
      <c r="O106" s="9">
        <f>'01_Вводные'!E$99</f>
        <v/>
      </c>
      <c r="P106" s="9">
        <f>'03_Сеть'!P18*КоэффМерча*P105</f>
        <v/>
      </c>
      <c r="Q106" s="9">
        <f>'03_Сеть'!Q18*КоэффМерча*Q105</f>
        <v/>
      </c>
      <c r="R106" s="9">
        <f>'03_Сеть'!R18*КоэффМерча*R105</f>
        <v/>
      </c>
      <c r="S106" s="9">
        <f>'03_Сеть'!S18*КоэффМерча*S105</f>
        <v/>
      </c>
      <c r="T106" s="9">
        <f>'03_Сеть'!T18*КоэффМерча*T105</f>
        <v/>
      </c>
      <c r="U106" s="9">
        <f>'03_Сеть'!U18*КоэффМерча*U105</f>
        <v/>
      </c>
      <c r="V106" s="9">
        <f>'03_Сеть'!V18*КоэффМерча*V105</f>
        <v/>
      </c>
      <c r="W106" s="9">
        <f>'03_Сеть'!W18*КоэффМерча*W105</f>
        <v/>
      </c>
      <c r="X106" s="9">
        <f>'03_Сеть'!X18*КоэффМерча*X105</f>
        <v/>
      </c>
      <c r="Y106" s="9">
        <f>'03_Сеть'!Y18*КоэффМерча*Y105</f>
        <v/>
      </c>
      <c r="Z106" s="9">
        <f>'03_Сеть'!Z18*КоэффМерча*Z105</f>
        <v/>
      </c>
      <c r="AA106" s="9">
        <f>'03_Сеть'!AA18*КоэффМерча*AA105</f>
        <v/>
      </c>
      <c r="AB106" s="9">
        <f>'03_Сеть'!AB18*КоэффМерча*AB105</f>
        <v/>
      </c>
      <c r="AC106" s="9">
        <f>'03_Сеть'!AC18*КоэффМерча*AC105</f>
        <v/>
      </c>
      <c r="AD106" s="9">
        <f>'03_Сеть'!AD18*КоэффМерча*AD105</f>
        <v/>
      </c>
      <c r="AE106" s="9">
        <f>'03_Сеть'!AE18*КоэффМерча*AE105</f>
        <v/>
      </c>
      <c r="AF106" s="9">
        <f>'03_Сеть'!AF18*КоэффМерча*AF105</f>
        <v/>
      </c>
      <c r="AG106" s="9">
        <f>'03_Сеть'!AG18*КоэффМерча*AG105</f>
        <v/>
      </c>
      <c r="AH106" s="9">
        <f>'03_Сеть'!AH18*КоэффМерча*AH105</f>
        <v/>
      </c>
      <c r="AI106" s="9">
        <f>'03_Сеть'!AI18*КоэффМерча*AI105</f>
        <v/>
      </c>
      <c r="AJ106" s="9">
        <f>'03_Сеть'!AJ18*КоэффМерча*AJ105</f>
        <v/>
      </c>
      <c r="AK106" s="9">
        <f>'03_Сеть'!AK18*КоэффМерча*AK105</f>
        <v/>
      </c>
      <c r="AL106" s="9">
        <f>'03_Сеть'!AL18*КоэффМерча*AL105</f>
        <v/>
      </c>
      <c r="AM106" s="9">
        <f>'03_Сеть'!AM18*КоэффМерча*AM105</f>
        <v/>
      </c>
      <c r="AN106" s="9">
        <f>'03_Сеть'!AN18*КоэффМерча*AN105</f>
        <v/>
      </c>
      <c r="AO106" s="9">
        <f>'03_Сеть'!AO18*КоэффМерча*AO105</f>
        <v/>
      </c>
      <c r="AP106" s="9">
        <f>'03_Сеть'!AP18*КоэффМерча*AP105</f>
        <v/>
      </c>
      <c r="AQ106" s="9">
        <f>'03_Сеть'!AQ18*КоэффМерча*AQ105</f>
        <v/>
      </c>
      <c r="AR106" s="9">
        <f>'03_Сеть'!AR18*КоэффМерча*AR105</f>
        <v/>
      </c>
      <c r="AS106" s="9">
        <f>'03_Сеть'!AS18*КоэффМерча*AS105</f>
        <v/>
      </c>
      <c r="AT106" s="9">
        <f>'03_Сеть'!AT18*КоэффМерча*AT105</f>
        <v/>
      </c>
      <c r="AU106" s="9">
        <f>'03_Сеть'!AU18*КоэффМерча*AU105</f>
        <v/>
      </c>
      <c r="AV106" s="9">
        <f>'03_Сеть'!AV18*КоэффМерча*AV105</f>
        <v/>
      </c>
      <c r="AW106" s="9">
        <f>'03_Сеть'!AW18*КоэффМерча*AW105</f>
        <v/>
      </c>
      <c r="AX106" s="9">
        <f>'03_Сеть'!AX18*КоэффМерча*AX105</f>
        <v/>
      </c>
      <c r="AY106" s="9">
        <f>'03_Сеть'!AY18*КоэффМерча*AY105</f>
        <v/>
      </c>
      <c r="AZ106" s="9">
        <f>'03_Сеть'!AZ18*КоэффМерча*AZ105</f>
        <v/>
      </c>
      <c r="BA106" s="9">
        <f>'03_Сеть'!BA18*КоэффМерча*BA105</f>
        <v/>
      </c>
      <c r="BB106" s="9">
        <f>'03_Сеть'!BB18*КоэффМерча*BB105</f>
        <v/>
      </c>
      <c r="BC106" s="9">
        <f>'03_Сеть'!BC18*КоэффМерча*BC105</f>
        <v/>
      </c>
      <c r="BD106" s="9">
        <f>'03_Сеть'!BD18*КоэффМерча*BD105</f>
        <v/>
      </c>
      <c r="BE106" s="9">
        <f>'03_Сеть'!BE18*КоэффМерча*BE105</f>
        <v/>
      </c>
      <c r="BF106" s="9">
        <f>'03_Сеть'!BF18*КоэффМерча*BF105</f>
        <v/>
      </c>
      <c r="BG106" s="9">
        <f>'03_Сеть'!BG18*КоэффМерча*BG105</f>
        <v/>
      </c>
      <c r="BH106" s="9">
        <f>'03_Сеть'!BH18*КоэффМерча*BH105</f>
        <v/>
      </c>
      <c r="BI106" s="9">
        <f>'03_Сеть'!BI18*КоэффМерча*BI105</f>
        <v/>
      </c>
      <c r="BJ106" s="9">
        <f>'03_Сеть'!BJ18*КоэффМерча*BJ105</f>
        <v/>
      </c>
      <c r="BK106" s="9">
        <f>'03_Сеть'!BK18*КоэффМерча*BK105</f>
        <v/>
      </c>
      <c r="BL106" s="9">
        <f>'03_Сеть'!BL18*КоэффМерча*BL105</f>
        <v/>
      </c>
      <c r="BM106" s="9">
        <f>'03_Сеть'!BM18*КоэффМерча*BM105</f>
        <v/>
      </c>
      <c r="BN106" s="9">
        <f>'03_Сеть'!BN18*КоэффМерча*BN105</f>
        <v/>
      </c>
      <c r="BO106" s="9">
        <f>'03_Сеть'!BO18*КоэффМерча*BO105</f>
        <v/>
      </c>
      <c r="BP106" s="9">
        <f>'03_Сеть'!BP18*КоэффМерча*BP105</f>
        <v/>
      </c>
      <c r="BQ106" s="9">
        <f>'03_Сеть'!BQ18*КоэффМерча*BQ105</f>
        <v/>
      </c>
      <c r="BR106" s="9">
        <f>'03_Сеть'!BR18*КоэффМерча*BR105</f>
        <v/>
      </c>
      <c r="BS106" s="9">
        <f>'03_Сеть'!BS18*КоэффМерча*BS105</f>
        <v/>
      </c>
      <c r="BT106" s="9">
        <f>'03_Сеть'!BT18*КоэффМерча*BT105</f>
        <v/>
      </c>
      <c r="BU106" s="9">
        <f>'03_Сеть'!BU18*КоэффМерча*BU105</f>
        <v/>
      </c>
      <c r="BV106" s="9">
        <f>'03_Сеть'!BV18*КоэффМерча*BV105</f>
        <v/>
      </c>
      <c r="BW106" s="9">
        <f>'03_Сеть'!BW18*КоэффМерча*BW105</f>
        <v/>
      </c>
      <c r="BX106" s="9">
        <f>'03_Сеть'!BX18*КоэффМерча*BX105</f>
        <v/>
      </c>
      <c r="BY106" s="9">
        <f>'03_Сеть'!BY18*КоэффМерча*BY105</f>
        <v/>
      </c>
    </row>
    <row r="107">
      <c r="B107" s="115" t="inlineStr">
        <is>
          <t>Школы, покупающие форму повторно (по возрасту)</t>
        </is>
      </c>
      <c r="C107" s="116" t="n"/>
      <c r="D107" s="116" t="n"/>
      <c r="E107" s="116" t="n"/>
      <c r="F107" s="116" t="n"/>
      <c r="G107" s="116" t="n"/>
      <c r="H107" s="116" t="n"/>
      <c r="I107" s="116" t="n"/>
      <c r="J107" s="116" t="n"/>
      <c r="K107" s="116" t="n"/>
      <c r="L107" s="116" t="n"/>
      <c r="M107" s="116" t="n"/>
      <c r="N107" s="116" t="n"/>
      <c r="O107" s="116" t="n"/>
      <c r="P107" s="116" t="n"/>
      <c r="Q107" s="116" t="n"/>
      <c r="R107" s="116" t="n"/>
      <c r="S107" s="116" t="n"/>
      <c r="T107" s="116" t="n"/>
      <c r="U107" s="116" t="n"/>
      <c r="V107" s="116" t="n"/>
      <c r="W107" s="116" t="n"/>
      <c r="X107" s="116" t="n"/>
      <c r="Y107" s="116" t="n"/>
      <c r="Z107" s="116" t="n"/>
      <c r="AA107" s="116" t="n"/>
      <c r="AB107" s="116" t="n"/>
      <c r="AC107" s="116" t="n"/>
      <c r="AD107" s="116" t="n"/>
      <c r="AE107" s="116" t="n"/>
      <c r="AF107" s="116" t="n"/>
      <c r="AG107" s="116" t="n"/>
      <c r="AH107" s="116" t="n"/>
      <c r="AI107" s="116" t="n"/>
      <c r="AJ107" s="116" t="n"/>
      <c r="AK107" s="116" t="n"/>
      <c r="AL107" s="116" t="n"/>
      <c r="AM107" s="116" t="n"/>
      <c r="AN107" s="116" t="n"/>
      <c r="AO107" s="116" t="n"/>
      <c r="AP107" s="116" t="n"/>
      <c r="AQ107" s="116" t="n"/>
      <c r="AR107" s="116" t="n"/>
      <c r="AS107" s="116" t="n"/>
      <c r="AT107" s="116" t="n"/>
      <c r="AU107" s="116" t="n"/>
      <c r="AV107" s="116" t="n"/>
      <c r="AW107" s="116" t="n"/>
      <c r="AX107" s="116" t="n"/>
      <c r="AY107" s="116" t="n"/>
      <c r="AZ107" s="116" t="n"/>
      <c r="BA107" s="116" t="n"/>
      <c r="BB107" s="116" t="n"/>
      <c r="BC107" s="116" t="n"/>
      <c r="BD107" s="116" t="n"/>
      <c r="BE107" s="116" t="n"/>
      <c r="BF107" s="116" t="n"/>
      <c r="BG107" s="116" t="n"/>
      <c r="BH107" s="116" t="n"/>
      <c r="BI107" s="116" t="n"/>
      <c r="BJ107" s="116" t="n"/>
      <c r="BK107" s="116" t="n"/>
      <c r="BL107" s="116" t="n"/>
      <c r="BM107" s="116" t="n"/>
      <c r="BN107" s="116" t="n"/>
      <c r="BO107" s="116" t="n"/>
      <c r="BP107" s="116" t="n"/>
      <c r="BQ107" s="116" t="n"/>
      <c r="BR107" s="116" t="n"/>
      <c r="BS107" s="116" t="n"/>
      <c r="BT107" s="116" t="n"/>
      <c r="BU107" s="116" t="n"/>
      <c r="BV107" s="116" t="n"/>
      <c r="BW107" s="116" t="n"/>
      <c r="BX107" s="116" t="n"/>
      <c r="BY107" s="116" t="n"/>
    </row>
    <row r="108">
      <c r="B108" t="inlineStr">
        <is>
          <t>1 мес.</t>
        </is>
      </c>
      <c r="C108" t="inlineStr">
        <is>
          <t>чел.</t>
        </is>
      </c>
      <c r="D108" s="117" t="inlineStr">
        <is>
          <t>Школы моложе пяти месяцев повторно не закупаются — у них ещё идёт первичная закупка</t>
        </is>
      </c>
      <c r="E108" s="118">
        <f>W108</f>
        <v/>
      </c>
      <c r="F108" s="118">
        <f>AI108</f>
        <v/>
      </c>
      <c r="G108" s="118">
        <f>AU108</f>
        <v/>
      </c>
      <c r="H108" s="118">
        <f>BG108</f>
        <v/>
      </c>
      <c r="I108" s="118">
        <f>BS108</f>
        <v/>
      </c>
      <c r="J108" s="10">
        <f>BS108</f>
        <v/>
      </c>
      <c r="L108" s="9">
        <f>0</f>
        <v/>
      </c>
      <c r="M108" s="9">
        <f>0</f>
        <v/>
      </c>
      <c r="N108" s="9">
        <f>0</f>
        <v/>
      </c>
      <c r="O108" s="9">
        <f>0</f>
        <v/>
      </c>
      <c r="P108" s="9">
        <f>0</f>
        <v/>
      </c>
      <c r="Q108" s="9">
        <f>0</f>
        <v/>
      </c>
      <c r="R108" s="9">
        <f>0</f>
        <v/>
      </c>
      <c r="S108" s="9">
        <f>0</f>
        <v/>
      </c>
      <c r="T108" s="9">
        <f>0</f>
        <v/>
      </c>
      <c r="U108" s="9">
        <f>0</f>
        <v/>
      </c>
      <c r="V108" s="9">
        <f>0</f>
        <v/>
      </c>
      <c r="W108" s="9">
        <f>0</f>
        <v/>
      </c>
      <c r="X108" s="9">
        <f>0</f>
        <v/>
      </c>
      <c r="Y108" s="9">
        <f>0</f>
        <v/>
      </c>
      <c r="Z108" s="9">
        <f>0</f>
        <v/>
      </c>
      <c r="AA108" s="9">
        <f>0</f>
        <v/>
      </c>
      <c r="AB108" s="9">
        <f>0</f>
        <v/>
      </c>
      <c r="AC108" s="9">
        <f>0</f>
        <v/>
      </c>
      <c r="AD108" s="9">
        <f>0</f>
        <v/>
      </c>
      <c r="AE108" s="9">
        <f>0</f>
        <v/>
      </c>
      <c r="AF108" s="9">
        <f>0</f>
        <v/>
      </c>
      <c r="AG108" s="9">
        <f>0</f>
        <v/>
      </c>
      <c r="AH108" s="9">
        <f>0</f>
        <v/>
      </c>
      <c r="AI108" s="9">
        <f>0</f>
        <v/>
      </c>
      <c r="AJ108" s="9">
        <f>0</f>
        <v/>
      </c>
      <c r="AK108" s="9">
        <f>0</f>
        <v/>
      </c>
      <c r="AL108" s="9">
        <f>0</f>
        <v/>
      </c>
      <c r="AM108" s="9">
        <f>0</f>
        <v/>
      </c>
      <c r="AN108" s="9">
        <f>0</f>
        <v/>
      </c>
      <c r="AO108" s="9">
        <f>0</f>
        <v/>
      </c>
      <c r="AP108" s="9">
        <f>0</f>
        <v/>
      </c>
      <c r="AQ108" s="9">
        <f>0</f>
        <v/>
      </c>
      <c r="AR108" s="9">
        <f>0</f>
        <v/>
      </c>
      <c r="AS108" s="9">
        <f>0</f>
        <v/>
      </c>
      <c r="AT108" s="9">
        <f>0</f>
        <v/>
      </c>
      <c r="AU108" s="9">
        <f>0</f>
        <v/>
      </c>
      <c r="AV108" s="9">
        <f>0</f>
        <v/>
      </c>
      <c r="AW108" s="9">
        <f>0</f>
        <v/>
      </c>
      <c r="AX108" s="9">
        <f>0</f>
        <v/>
      </c>
      <c r="AY108" s="9">
        <f>0</f>
        <v/>
      </c>
      <c r="AZ108" s="9">
        <f>0</f>
        <v/>
      </c>
      <c r="BA108" s="9">
        <f>0</f>
        <v/>
      </c>
      <c r="BB108" s="9">
        <f>0</f>
        <v/>
      </c>
      <c r="BC108" s="9">
        <f>0</f>
        <v/>
      </c>
      <c r="BD108" s="9">
        <f>0</f>
        <v/>
      </c>
      <c r="BE108" s="9">
        <f>0</f>
        <v/>
      </c>
      <c r="BF108" s="9">
        <f>0</f>
        <v/>
      </c>
      <c r="BG108" s="9">
        <f>0</f>
        <v/>
      </c>
      <c r="BH108" s="9">
        <f>0</f>
        <v/>
      </c>
      <c r="BI108" s="9">
        <f>0</f>
        <v/>
      </c>
      <c r="BJ108" s="9">
        <f>0</f>
        <v/>
      </c>
      <c r="BK108" s="9">
        <f>0</f>
        <v/>
      </c>
      <c r="BL108" s="9">
        <f>0</f>
        <v/>
      </c>
      <c r="BM108" s="9">
        <f>0</f>
        <v/>
      </c>
      <c r="BN108" s="9">
        <f>0</f>
        <v/>
      </c>
      <c r="BO108" s="9">
        <f>0</f>
        <v/>
      </c>
      <c r="BP108" s="9">
        <f>0</f>
        <v/>
      </c>
      <c r="BQ108" s="9">
        <f>0</f>
        <v/>
      </c>
      <c r="BR108" s="9">
        <f>0</f>
        <v/>
      </c>
      <c r="BS108" s="9">
        <f>0</f>
        <v/>
      </c>
      <c r="BT108" s="9">
        <f>0</f>
        <v/>
      </c>
      <c r="BU108" s="9">
        <f>0</f>
        <v/>
      </c>
      <c r="BV108" s="9">
        <f>0</f>
        <v/>
      </c>
      <c r="BW108" s="9">
        <f>0</f>
        <v/>
      </c>
      <c r="BX108" s="9">
        <f>0</f>
        <v/>
      </c>
      <c r="BY108" s="9">
        <f>0</f>
        <v/>
      </c>
    </row>
    <row r="109">
      <c r="B109" t="inlineStr">
        <is>
          <t>2 мес.</t>
        </is>
      </c>
      <c r="C109" t="inlineStr">
        <is>
          <t>чел.</t>
        </is>
      </c>
      <c r="D109" s="117" t="inlineStr"/>
      <c r="E109" s="118">
        <f>W109</f>
        <v/>
      </c>
      <c r="F109" s="118">
        <f>AI109</f>
        <v/>
      </c>
      <c r="G109" s="118">
        <f>AU109</f>
        <v/>
      </c>
      <c r="H109" s="118">
        <f>BG109</f>
        <v/>
      </c>
      <c r="I109" s="118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3 мес.</t>
        </is>
      </c>
      <c r="C110" t="inlineStr">
        <is>
          <t>чел.</t>
        </is>
      </c>
      <c r="D110" s="117" t="inlineStr"/>
      <c r="E110" s="118">
        <f>W110</f>
        <v/>
      </c>
      <c r="F110" s="118">
        <f>AI110</f>
        <v/>
      </c>
      <c r="G110" s="118">
        <f>AU110</f>
        <v/>
      </c>
      <c r="H110" s="118">
        <f>BG110</f>
        <v/>
      </c>
      <c r="I110" s="118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4 мес.</t>
        </is>
      </c>
      <c r="C111" t="inlineStr">
        <is>
          <t>чел.</t>
        </is>
      </c>
      <c r="D111" s="117" t="inlineStr"/>
      <c r="E111" s="118">
        <f>W111</f>
        <v/>
      </c>
      <c r="F111" s="118">
        <f>AI111</f>
        <v/>
      </c>
      <c r="G111" s="118">
        <f>AU111</f>
        <v/>
      </c>
      <c r="H111" s="118">
        <f>BG111</f>
        <v/>
      </c>
      <c r="I111" s="118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5 мес.</t>
        </is>
      </c>
      <c r="C112" t="inlineStr">
        <is>
          <t>чел.</t>
        </is>
      </c>
      <c r="D112" s="117" t="inlineStr">
        <is>
          <t>Покупают заново, если уже пережили начало сезона</t>
        </is>
      </c>
      <c r="E112" s="118">
        <f>W112</f>
        <v/>
      </c>
      <c r="F112" s="118">
        <f>AI112</f>
        <v/>
      </c>
      <c r="G112" s="118">
        <f>AU112</f>
        <v/>
      </c>
      <c r="H112" s="118">
        <f>BG112</f>
        <v/>
      </c>
      <c r="I112" s="118">
        <f>BS112</f>
        <v/>
      </c>
      <c r="J112" s="10">
        <f>BS112</f>
        <v/>
      </c>
      <c r="L112" s="9">
        <f>IF(AND(ПравилоПовтора="Новый сезон",5-1&gt;MOD(MONTH('03_Сеть'!L6)-9,12)),'03_Сеть'!L26*CapacityAge05*МножительДетей,0)</f>
        <v/>
      </c>
      <c r="M112" s="9">
        <f>IF(AND(ПравилоПовтора="Новый сезон",5-1&gt;MOD(MONTH('03_Сеть'!M6)-9,12)),'03_Сеть'!M26*CapacityAge05*МножительДетей,0)</f>
        <v/>
      </c>
      <c r="N112" s="9">
        <f>IF(AND(ПравилоПовтора="Новый сезон",5-1&gt;MOD(MONTH('03_Сеть'!N6)-9,12)),'03_Сеть'!N26*CapacityAge05*МножительДетей,0)</f>
        <v/>
      </c>
      <c r="O112" s="9">
        <f>IF(AND(ПравилоПовтора="Новый сезон",5-1&gt;MOD(MONTH('03_Сеть'!O6)-9,12)),'03_Сеть'!O26*CapacityAge05*МножительДетей,0)</f>
        <v/>
      </c>
      <c r="P112" s="9">
        <f>IF(AND(ПравилоПовтора="Новый сезон",5-1&gt;MOD(MONTH('03_Сеть'!P6)-9,12)),'03_Сеть'!P26*CapacityAge05*МножительДетей,0)</f>
        <v/>
      </c>
      <c r="Q112" s="9">
        <f>IF(AND(ПравилоПовтора="Новый сезон",5-1&gt;MOD(MONTH('03_Сеть'!Q6)-9,12)),'03_Сеть'!Q26*CapacityAge05*МножительДетей,0)</f>
        <v/>
      </c>
      <c r="R112" s="9">
        <f>IF(AND(ПравилоПовтора="Новый сезон",5-1&gt;MOD(MONTH('03_Сеть'!R6)-9,12)),'03_Сеть'!R26*CapacityAge05*МножительДетей,0)</f>
        <v/>
      </c>
      <c r="S112" s="9">
        <f>IF(AND(ПравилоПовтора="Новый сезон",5-1&gt;MOD(MONTH('03_Сеть'!S6)-9,12)),'03_Сеть'!S26*CapacityAge05*МножительДетей,0)</f>
        <v/>
      </c>
      <c r="T112" s="9">
        <f>IF(AND(ПравилоПовтора="Новый сезон",5-1&gt;MOD(MONTH('03_Сеть'!T6)-9,12)),'03_Сеть'!T26*CapacityAge05*МножительДетей,0)</f>
        <v/>
      </c>
      <c r="U112" s="9">
        <f>IF(AND(ПравилоПовтора="Новый сезон",5-1&gt;MOD(MONTH('03_Сеть'!U6)-9,12)),'03_Сеть'!U26*CapacityAge05*МножительДетей,0)</f>
        <v/>
      </c>
      <c r="V112" s="9">
        <f>IF(AND(ПравилоПовтора="Новый сезон",5-1&gt;MOD(MONTH('03_Сеть'!V6)-9,12)),'03_Сеть'!V26*CapacityAge05*МножительДетей,0)</f>
        <v/>
      </c>
      <c r="W112" s="9">
        <f>IF(AND(ПравилоПовтора="Новый сезон",5-1&gt;MOD(MONTH('03_Сеть'!W6)-9,12)),'03_Сеть'!W26*CapacityAge05*МножительДетей,0)</f>
        <v/>
      </c>
      <c r="X112" s="9">
        <f>IF(AND(ПравилоПовтора="Новый сезон",5-1&gt;MOD(MONTH('03_Сеть'!X6)-9,12)),'03_Сеть'!X26*CapacityAge05*МножительДетей,0)</f>
        <v/>
      </c>
      <c r="Y112" s="9">
        <f>IF(AND(ПравилоПовтора="Новый сезон",5-1&gt;MOD(MONTH('03_Сеть'!Y6)-9,12)),'03_Сеть'!Y26*CapacityAge05*МножительДетей,0)</f>
        <v/>
      </c>
      <c r="Z112" s="9">
        <f>IF(AND(ПравилоПовтора="Новый сезон",5-1&gt;MOD(MONTH('03_Сеть'!Z6)-9,12)),'03_Сеть'!Z26*CapacityAge05*МножительДетей,0)</f>
        <v/>
      </c>
      <c r="AA112" s="9">
        <f>IF(AND(ПравилоПовтора="Новый сезон",5-1&gt;MOD(MONTH('03_Сеть'!AA6)-9,12)),'03_Сеть'!AA26*CapacityAge05*МножительДетей,0)</f>
        <v/>
      </c>
      <c r="AB112" s="9">
        <f>IF(AND(ПравилоПовтора="Новый сезон",5-1&gt;MOD(MONTH('03_Сеть'!AB6)-9,12)),'03_Сеть'!AB26*CapacityAge05*МножительДетей,0)</f>
        <v/>
      </c>
      <c r="AC112" s="9">
        <f>IF(AND(ПравилоПовтора="Новый сезон",5-1&gt;MOD(MONTH('03_Сеть'!AC6)-9,12)),'03_Сеть'!AC26*CapacityAge05*МножительДетей,0)</f>
        <v/>
      </c>
      <c r="AD112" s="9">
        <f>IF(AND(ПравилоПовтора="Новый сезон",5-1&gt;MOD(MONTH('03_Сеть'!AD6)-9,12)),'03_Сеть'!AD26*CapacityAge05*МножительДетей,0)</f>
        <v/>
      </c>
      <c r="AE112" s="9">
        <f>IF(AND(ПравилоПовтора="Новый сезон",5-1&gt;MOD(MONTH('03_Сеть'!AE6)-9,12)),'03_Сеть'!AE26*CapacityAge05*МножительДетей,0)</f>
        <v/>
      </c>
      <c r="AF112" s="9">
        <f>IF(AND(ПравилоПовтора="Новый сезон",5-1&gt;MOD(MONTH('03_Сеть'!AF6)-9,12)),'03_Сеть'!AF26*CapacityAge05*МножительДетей,0)</f>
        <v/>
      </c>
      <c r="AG112" s="9">
        <f>IF(AND(ПравилоПовтора="Новый сезон",5-1&gt;MOD(MONTH('03_Сеть'!AG6)-9,12)),'03_Сеть'!AG26*CapacityAge05*МножительДетей,0)</f>
        <v/>
      </c>
      <c r="AH112" s="9">
        <f>IF(AND(ПравилоПовтора="Новый сезон",5-1&gt;MOD(MONTH('03_Сеть'!AH6)-9,12)),'03_Сеть'!AH26*CapacityAge05*МножительДетей,0)</f>
        <v/>
      </c>
      <c r="AI112" s="9">
        <f>IF(AND(ПравилоПовтора="Новый сезон",5-1&gt;MOD(MONTH('03_Сеть'!AI6)-9,12)),'03_Сеть'!AI26*CapacityAge05*МножительДетей,0)</f>
        <v/>
      </c>
      <c r="AJ112" s="9">
        <f>IF(AND(ПравилоПовтора="Новый сезон",5-1&gt;MOD(MONTH('03_Сеть'!AJ6)-9,12)),'03_Сеть'!AJ26*CapacityAge05*МножительДетей,0)</f>
        <v/>
      </c>
      <c r="AK112" s="9">
        <f>IF(AND(ПравилоПовтора="Новый сезон",5-1&gt;MOD(MONTH('03_Сеть'!AK6)-9,12)),'03_Сеть'!AK26*CapacityAge05*МножительДетей,0)</f>
        <v/>
      </c>
      <c r="AL112" s="9">
        <f>IF(AND(ПравилоПовтора="Новый сезон",5-1&gt;MOD(MONTH('03_Сеть'!AL6)-9,12)),'03_Сеть'!AL26*CapacityAge05*МножительДетей,0)</f>
        <v/>
      </c>
      <c r="AM112" s="9">
        <f>IF(AND(ПравилоПовтора="Новый сезон",5-1&gt;MOD(MONTH('03_Сеть'!AM6)-9,12)),'03_Сеть'!AM26*CapacityAge05*МножительДетей,0)</f>
        <v/>
      </c>
      <c r="AN112" s="9">
        <f>IF(AND(ПравилоПовтора="Новый сезон",5-1&gt;MOD(MONTH('03_Сеть'!AN6)-9,12)),'03_Сеть'!AN26*CapacityAge05*МножительДетей,0)</f>
        <v/>
      </c>
      <c r="AO112" s="9">
        <f>IF(AND(ПравилоПовтора="Новый сезон",5-1&gt;MOD(MONTH('03_Сеть'!AO6)-9,12)),'03_Сеть'!AO26*CapacityAge05*МножительДетей,0)</f>
        <v/>
      </c>
      <c r="AP112" s="9">
        <f>IF(AND(ПравилоПовтора="Новый сезон",5-1&gt;MOD(MONTH('03_Сеть'!AP6)-9,12)),'03_Сеть'!AP26*CapacityAge05*МножительДетей,0)</f>
        <v/>
      </c>
      <c r="AQ112" s="9">
        <f>IF(AND(ПравилоПовтора="Новый сезон",5-1&gt;MOD(MONTH('03_Сеть'!AQ6)-9,12)),'03_Сеть'!AQ26*CapacityAge05*МножительДетей,0)</f>
        <v/>
      </c>
      <c r="AR112" s="9">
        <f>IF(AND(ПравилоПовтора="Новый сезон",5-1&gt;MOD(MONTH('03_Сеть'!AR6)-9,12)),'03_Сеть'!AR26*CapacityAge05*МножительДетей,0)</f>
        <v/>
      </c>
      <c r="AS112" s="9">
        <f>IF(AND(ПравилоПовтора="Новый сезон",5-1&gt;MOD(MONTH('03_Сеть'!AS6)-9,12)),'03_Сеть'!AS26*CapacityAge05*МножительДетей,0)</f>
        <v/>
      </c>
      <c r="AT112" s="9">
        <f>IF(AND(ПравилоПовтора="Новый сезон",5-1&gt;MOD(MONTH('03_Сеть'!AT6)-9,12)),'03_Сеть'!AT26*CapacityAge05*МножительДетей,0)</f>
        <v/>
      </c>
      <c r="AU112" s="9">
        <f>IF(AND(ПравилоПовтора="Новый сезон",5-1&gt;MOD(MONTH('03_Сеть'!AU6)-9,12)),'03_Сеть'!AU26*CapacityAge05*МножительДетей,0)</f>
        <v/>
      </c>
      <c r="AV112" s="9">
        <f>IF(AND(ПравилоПовтора="Новый сезон",5-1&gt;MOD(MONTH('03_Сеть'!AV6)-9,12)),'03_Сеть'!AV26*CapacityAge05*МножительДетей,0)</f>
        <v/>
      </c>
      <c r="AW112" s="9">
        <f>IF(AND(ПравилоПовтора="Новый сезон",5-1&gt;MOD(MONTH('03_Сеть'!AW6)-9,12)),'03_Сеть'!AW26*CapacityAge05*МножительДетей,0)</f>
        <v/>
      </c>
      <c r="AX112" s="9">
        <f>IF(AND(ПравилоПовтора="Новый сезон",5-1&gt;MOD(MONTH('03_Сеть'!AX6)-9,12)),'03_Сеть'!AX26*CapacityAge05*МножительДетей,0)</f>
        <v/>
      </c>
      <c r="AY112" s="9">
        <f>IF(AND(ПравилоПовтора="Новый сезон",5-1&gt;MOD(MONTH('03_Сеть'!AY6)-9,12)),'03_Сеть'!AY26*CapacityAge05*МножительДетей,0)</f>
        <v/>
      </c>
      <c r="AZ112" s="9">
        <f>IF(AND(ПравилоПовтора="Новый сезон",5-1&gt;MOD(MONTH('03_Сеть'!AZ6)-9,12)),'03_Сеть'!AZ26*CapacityAge05*МножительДетей,0)</f>
        <v/>
      </c>
      <c r="BA112" s="9">
        <f>IF(AND(ПравилоПовтора="Новый сезон",5-1&gt;MOD(MONTH('03_Сеть'!BA6)-9,12)),'03_Сеть'!BA26*CapacityAge05*МножительДетей,0)</f>
        <v/>
      </c>
      <c r="BB112" s="9">
        <f>IF(AND(ПравилоПовтора="Новый сезон",5-1&gt;MOD(MONTH('03_Сеть'!BB6)-9,12)),'03_Сеть'!BB26*CapacityAge05*МножительДетей,0)</f>
        <v/>
      </c>
      <c r="BC112" s="9">
        <f>IF(AND(ПравилоПовтора="Новый сезон",5-1&gt;MOD(MONTH('03_Сеть'!BC6)-9,12)),'03_Сеть'!BC26*CapacityAge05*МножительДетей,0)</f>
        <v/>
      </c>
      <c r="BD112" s="9">
        <f>IF(AND(ПравилоПовтора="Новый сезон",5-1&gt;MOD(MONTH('03_Сеть'!BD6)-9,12)),'03_Сеть'!BD26*CapacityAge05*МножительДетей,0)</f>
        <v/>
      </c>
      <c r="BE112" s="9">
        <f>IF(AND(ПравилоПовтора="Новый сезон",5-1&gt;MOD(MONTH('03_Сеть'!BE6)-9,12)),'03_Сеть'!BE26*CapacityAge05*МножительДетей,0)</f>
        <v/>
      </c>
      <c r="BF112" s="9">
        <f>IF(AND(ПравилоПовтора="Новый сезон",5-1&gt;MOD(MONTH('03_Сеть'!BF6)-9,12)),'03_Сеть'!BF26*CapacityAge05*МножительДетей,0)</f>
        <v/>
      </c>
      <c r="BG112" s="9">
        <f>IF(AND(ПравилоПовтора="Новый сезон",5-1&gt;MOD(MONTH('03_Сеть'!BG6)-9,12)),'03_Сеть'!BG26*CapacityAge05*МножительДетей,0)</f>
        <v/>
      </c>
      <c r="BH112" s="9">
        <f>IF(AND(ПравилоПовтора="Новый сезон",5-1&gt;MOD(MONTH('03_Сеть'!BH6)-9,12)),'03_Сеть'!BH26*CapacityAge05*МножительДетей,0)</f>
        <v/>
      </c>
      <c r="BI112" s="9">
        <f>IF(AND(ПравилоПовтора="Новый сезон",5-1&gt;MOD(MONTH('03_Сеть'!BI6)-9,12)),'03_Сеть'!BI26*CapacityAge05*МножительДетей,0)</f>
        <v/>
      </c>
      <c r="BJ112" s="9">
        <f>IF(AND(ПравилоПовтора="Новый сезон",5-1&gt;MOD(MONTH('03_Сеть'!BJ6)-9,12)),'03_Сеть'!BJ26*CapacityAge05*МножительДетей,0)</f>
        <v/>
      </c>
      <c r="BK112" s="9">
        <f>IF(AND(ПравилоПовтора="Новый сезон",5-1&gt;MOD(MONTH('03_Сеть'!BK6)-9,12)),'03_Сеть'!BK26*CapacityAge05*МножительДетей,0)</f>
        <v/>
      </c>
      <c r="BL112" s="9">
        <f>IF(AND(ПравилоПовтора="Новый сезон",5-1&gt;MOD(MONTH('03_Сеть'!BL6)-9,12)),'03_Сеть'!BL26*CapacityAge05*МножительДетей,0)</f>
        <v/>
      </c>
      <c r="BM112" s="9">
        <f>IF(AND(ПравилоПовтора="Новый сезон",5-1&gt;MOD(MONTH('03_Сеть'!BM6)-9,12)),'03_Сеть'!BM26*CapacityAge05*МножительДетей,0)</f>
        <v/>
      </c>
      <c r="BN112" s="9">
        <f>IF(AND(ПравилоПовтора="Новый сезон",5-1&gt;MOD(MONTH('03_Сеть'!BN6)-9,12)),'03_Сеть'!BN26*CapacityAge05*МножительДетей,0)</f>
        <v/>
      </c>
      <c r="BO112" s="9">
        <f>IF(AND(ПравилоПовтора="Новый сезон",5-1&gt;MOD(MONTH('03_Сеть'!BO6)-9,12)),'03_Сеть'!BO26*CapacityAge05*МножительДетей,0)</f>
        <v/>
      </c>
      <c r="BP112" s="9">
        <f>IF(AND(ПравилоПовтора="Новый сезон",5-1&gt;MOD(MONTH('03_Сеть'!BP6)-9,12)),'03_Сеть'!BP26*CapacityAge05*МножительДетей,0)</f>
        <v/>
      </c>
      <c r="BQ112" s="9">
        <f>IF(AND(ПравилоПовтора="Новый сезон",5-1&gt;MOD(MONTH('03_Сеть'!BQ6)-9,12)),'03_Сеть'!BQ26*CapacityAge05*МножительДетей,0)</f>
        <v/>
      </c>
      <c r="BR112" s="9">
        <f>IF(AND(ПравилоПовтора="Новый сезон",5-1&gt;MOD(MONTH('03_Сеть'!BR6)-9,12)),'03_Сеть'!BR26*CapacityAge05*МножительДетей,0)</f>
        <v/>
      </c>
      <c r="BS112" s="9">
        <f>IF(AND(ПравилоПовтора="Новый сезон",5-1&gt;MOD(MONTH('03_Сеть'!BS6)-9,12)),'03_Сеть'!BS26*CapacityAge05*МножительДетей,0)</f>
        <v/>
      </c>
      <c r="BT112" s="9">
        <f>IF(AND(ПравилоПовтора="Новый сезон",5-1&gt;MOD(MONTH('03_Сеть'!BT6)-9,12)),'03_Сеть'!BT26*CapacityAge05*МножительДетей,0)</f>
        <v/>
      </c>
      <c r="BU112" s="9">
        <f>IF(AND(ПравилоПовтора="Новый сезон",5-1&gt;MOD(MONTH('03_Сеть'!BU6)-9,12)),'03_Сеть'!BU26*CapacityAge05*МножительДетей,0)</f>
        <v/>
      </c>
      <c r="BV112" s="9">
        <f>IF(AND(ПравилоПовтора="Новый сезон",5-1&gt;MOD(MONTH('03_Сеть'!BV6)-9,12)),'03_Сеть'!BV26*CapacityAge05*МножительДетей,0)</f>
        <v/>
      </c>
      <c r="BW112" s="9">
        <f>IF(AND(ПравилоПовтора="Новый сезон",5-1&gt;MOD(MONTH('03_Сеть'!BW6)-9,12)),'03_Сеть'!BW26*CapacityAge05*МножительДетей,0)</f>
        <v/>
      </c>
      <c r="BX112" s="9">
        <f>IF(AND(ПравилоПовтора="Новый сезон",5-1&gt;MOD(MONTH('03_Сеть'!BX6)-9,12)),'03_Сеть'!BX26*CapacityAge05*МножительДетей,0)</f>
        <v/>
      </c>
      <c r="BY112" s="9">
        <f>IF(AND(ПравилоПовтора="Новый сезон",5-1&gt;MOD(MONTH('03_Сеть'!BY6)-9,12)),'03_Сеть'!BY26*CapacityAge05*МножительДетей,0)</f>
        <v/>
      </c>
    </row>
    <row r="113">
      <c r="B113" t="inlineStr">
        <is>
          <t>6 мес.</t>
        </is>
      </c>
      <c r="C113" t="inlineStr">
        <is>
          <t>чел.</t>
        </is>
      </c>
      <c r="D113" s="117" t="inlineStr"/>
      <c r="E113" s="118">
        <f>W113</f>
        <v/>
      </c>
      <c r="F113" s="118">
        <f>AI113</f>
        <v/>
      </c>
      <c r="G113" s="118">
        <f>AU113</f>
        <v/>
      </c>
      <c r="H113" s="118">
        <f>BG113</f>
        <v/>
      </c>
      <c r="I113" s="118">
        <f>BS113</f>
        <v/>
      </c>
      <c r="J113" s="10">
        <f>BS113</f>
        <v/>
      </c>
      <c r="L113" s="9">
        <f>IF(AND(ПравилоПовтора="Новый сезон",6-1&gt;MOD(MONTH('03_Сеть'!L6)-9,12)),'03_Сеть'!L27*CapacityAge06*МножительДетей,0)</f>
        <v/>
      </c>
      <c r="M113" s="9">
        <f>IF(AND(ПравилоПовтора="Новый сезон",6-1&gt;MOD(MONTH('03_Сеть'!M6)-9,12)),'03_Сеть'!M27*CapacityAge06*МножительДетей,0)</f>
        <v/>
      </c>
      <c r="N113" s="9">
        <f>IF(AND(ПравилоПовтора="Новый сезон",6-1&gt;MOD(MONTH('03_Сеть'!N6)-9,12)),'03_Сеть'!N27*CapacityAge06*МножительДетей,0)</f>
        <v/>
      </c>
      <c r="O113" s="9">
        <f>IF(AND(ПравилоПовтора="Новый сезон",6-1&gt;MOD(MONTH('03_Сеть'!O6)-9,12)),'03_Сеть'!O27*CapacityAge06*МножительДетей,0)</f>
        <v/>
      </c>
      <c r="P113" s="9">
        <f>IF(AND(ПравилоПовтора="Новый сезон",6-1&gt;MOD(MONTH('03_Сеть'!P6)-9,12)),'03_Сеть'!P27*CapacityAge06*МножительДетей,0)</f>
        <v/>
      </c>
      <c r="Q113" s="9">
        <f>IF(AND(ПравилоПовтора="Новый сезон",6-1&gt;MOD(MONTH('03_Сеть'!Q6)-9,12)),'03_Сеть'!Q27*CapacityAge06*МножительДетей,0)</f>
        <v/>
      </c>
      <c r="R113" s="9">
        <f>IF(AND(ПравилоПовтора="Новый сезон",6-1&gt;MOD(MONTH('03_Сеть'!R6)-9,12)),'03_Сеть'!R27*CapacityAge06*МножительДетей,0)</f>
        <v/>
      </c>
      <c r="S113" s="9">
        <f>IF(AND(ПравилоПовтора="Новый сезон",6-1&gt;MOD(MONTH('03_Сеть'!S6)-9,12)),'03_Сеть'!S27*CapacityAge06*МножительДетей,0)</f>
        <v/>
      </c>
      <c r="T113" s="9">
        <f>IF(AND(ПравилоПовтора="Новый сезон",6-1&gt;MOD(MONTH('03_Сеть'!T6)-9,12)),'03_Сеть'!T27*CapacityAge06*МножительДетей,0)</f>
        <v/>
      </c>
      <c r="U113" s="9">
        <f>IF(AND(ПравилоПовтора="Новый сезон",6-1&gt;MOD(MONTH('03_Сеть'!U6)-9,12)),'03_Сеть'!U27*CapacityAge06*МножительДетей,0)</f>
        <v/>
      </c>
      <c r="V113" s="9">
        <f>IF(AND(ПравилоПовтора="Новый сезон",6-1&gt;MOD(MONTH('03_Сеть'!V6)-9,12)),'03_Сеть'!V27*CapacityAge06*МножительДетей,0)</f>
        <v/>
      </c>
      <c r="W113" s="9">
        <f>IF(AND(ПравилоПовтора="Новый сезон",6-1&gt;MOD(MONTH('03_Сеть'!W6)-9,12)),'03_Сеть'!W27*CapacityAge06*МножительДетей,0)</f>
        <v/>
      </c>
      <c r="X113" s="9">
        <f>IF(AND(ПравилоПовтора="Новый сезон",6-1&gt;MOD(MONTH('03_Сеть'!X6)-9,12)),'03_Сеть'!X27*CapacityAge06*МножительДетей,0)</f>
        <v/>
      </c>
      <c r="Y113" s="9">
        <f>IF(AND(ПравилоПовтора="Новый сезон",6-1&gt;MOD(MONTH('03_Сеть'!Y6)-9,12)),'03_Сеть'!Y27*CapacityAge06*МножительДетей,0)</f>
        <v/>
      </c>
      <c r="Z113" s="9">
        <f>IF(AND(ПравилоПовтора="Новый сезон",6-1&gt;MOD(MONTH('03_Сеть'!Z6)-9,12)),'03_Сеть'!Z27*CapacityAge06*МножительДетей,0)</f>
        <v/>
      </c>
      <c r="AA113" s="9">
        <f>IF(AND(ПравилоПовтора="Новый сезон",6-1&gt;MOD(MONTH('03_Сеть'!AA6)-9,12)),'03_Сеть'!AA27*CapacityAge06*МножительДетей,0)</f>
        <v/>
      </c>
      <c r="AB113" s="9">
        <f>IF(AND(ПравилоПовтора="Новый сезон",6-1&gt;MOD(MONTH('03_Сеть'!AB6)-9,12)),'03_Сеть'!AB27*CapacityAge06*МножительДетей,0)</f>
        <v/>
      </c>
      <c r="AC113" s="9">
        <f>IF(AND(ПравилоПовтора="Новый сезон",6-1&gt;MOD(MONTH('03_Сеть'!AC6)-9,12)),'03_Сеть'!AC27*CapacityAge06*МножительДетей,0)</f>
        <v/>
      </c>
      <c r="AD113" s="9">
        <f>IF(AND(ПравилоПовтора="Новый сезон",6-1&gt;MOD(MONTH('03_Сеть'!AD6)-9,12)),'03_Сеть'!AD27*CapacityAge06*МножительДетей,0)</f>
        <v/>
      </c>
      <c r="AE113" s="9">
        <f>IF(AND(ПравилоПовтора="Новый сезон",6-1&gt;MOD(MONTH('03_Сеть'!AE6)-9,12)),'03_Сеть'!AE27*CapacityAge06*МножительДетей,0)</f>
        <v/>
      </c>
      <c r="AF113" s="9">
        <f>IF(AND(ПравилоПовтора="Новый сезон",6-1&gt;MOD(MONTH('03_Сеть'!AF6)-9,12)),'03_Сеть'!AF27*CapacityAge06*МножительДетей,0)</f>
        <v/>
      </c>
      <c r="AG113" s="9">
        <f>IF(AND(ПравилоПовтора="Новый сезон",6-1&gt;MOD(MONTH('03_Сеть'!AG6)-9,12)),'03_Сеть'!AG27*CapacityAge06*МножительДетей,0)</f>
        <v/>
      </c>
      <c r="AH113" s="9">
        <f>IF(AND(ПравилоПовтора="Новый сезон",6-1&gt;MOD(MONTH('03_Сеть'!AH6)-9,12)),'03_Сеть'!AH27*CapacityAge06*МножительДетей,0)</f>
        <v/>
      </c>
      <c r="AI113" s="9">
        <f>IF(AND(ПравилоПовтора="Новый сезон",6-1&gt;MOD(MONTH('03_Сеть'!AI6)-9,12)),'03_Сеть'!AI27*CapacityAge06*МножительДетей,0)</f>
        <v/>
      </c>
      <c r="AJ113" s="9">
        <f>IF(AND(ПравилоПовтора="Новый сезон",6-1&gt;MOD(MONTH('03_Сеть'!AJ6)-9,12)),'03_Сеть'!AJ27*CapacityAge06*МножительДетей,0)</f>
        <v/>
      </c>
      <c r="AK113" s="9">
        <f>IF(AND(ПравилоПовтора="Новый сезон",6-1&gt;MOD(MONTH('03_Сеть'!AK6)-9,12)),'03_Сеть'!AK27*CapacityAge06*МножительДетей,0)</f>
        <v/>
      </c>
      <c r="AL113" s="9">
        <f>IF(AND(ПравилоПовтора="Новый сезон",6-1&gt;MOD(MONTH('03_Сеть'!AL6)-9,12)),'03_Сеть'!AL27*CapacityAge06*МножительДетей,0)</f>
        <v/>
      </c>
      <c r="AM113" s="9">
        <f>IF(AND(ПравилоПовтора="Новый сезон",6-1&gt;MOD(MONTH('03_Сеть'!AM6)-9,12)),'03_Сеть'!AM27*CapacityAge06*МножительДетей,0)</f>
        <v/>
      </c>
      <c r="AN113" s="9">
        <f>IF(AND(ПравилоПовтора="Новый сезон",6-1&gt;MOD(MONTH('03_Сеть'!AN6)-9,12)),'03_Сеть'!AN27*CapacityAge06*МножительДетей,0)</f>
        <v/>
      </c>
      <c r="AO113" s="9">
        <f>IF(AND(ПравилоПовтора="Новый сезон",6-1&gt;MOD(MONTH('03_Сеть'!AO6)-9,12)),'03_Сеть'!AO27*CapacityAge06*МножительДетей,0)</f>
        <v/>
      </c>
      <c r="AP113" s="9">
        <f>IF(AND(ПравилоПовтора="Новый сезон",6-1&gt;MOD(MONTH('03_Сеть'!AP6)-9,12)),'03_Сеть'!AP27*CapacityAge06*МножительДетей,0)</f>
        <v/>
      </c>
      <c r="AQ113" s="9">
        <f>IF(AND(ПравилоПовтора="Новый сезон",6-1&gt;MOD(MONTH('03_Сеть'!AQ6)-9,12)),'03_Сеть'!AQ27*CapacityAge06*МножительДетей,0)</f>
        <v/>
      </c>
      <c r="AR113" s="9">
        <f>IF(AND(ПравилоПовтора="Новый сезон",6-1&gt;MOD(MONTH('03_Сеть'!AR6)-9,12)),'03_Сеть'!AR27*CapacityAge06*МножительДетей,0)</f>
        <v/>
      </c>
      <c r="AS113" s="9">
        <f>IF(AND(ПравилоПовтора="Новый сезон",6-1&gt;MOD(MONTH('03_Сеть'!AS6)-9,12)),'03_Сеть'!AS27*CapacityAge06*МножительДетей,0)</f>
        <v/>
      </c>
      <c r="AT113" s="9">
        <f>IF(AND(ПравилоПовтора="Новый сезон",6-1&gt;MOD(MONTH('03_Сеть'!AT6)-9,12)),'03_Сеть'!AT27*CapacityAge06*МножительДетей,0)</f>
        <v/>
      </c>
      <c r="AU113" s="9">
        <f>IF(AND(ПравилоПовтора="Новый сезон",6-1&gt;MOD(MONTH('03_Сеть'!AU6)-9,12)),'03_Сеть'!AU27*CapacityAge06*МножительДетей,0)</f>
        <v/>
      </c>
      <c r="AV113" s="9">
        <f>IF(AND(ПравилоПовтора="Новый сезон",6-1&gt;MOD(MONTH('03_Сеть'!AV6)-9,12)),'03_Сеть'!AV27*CapacityAge06*МножительДетей,0)</f>
        <v/>
      </c>
      <c r="AW113" s="9">
        <f>IF(AND(ПравилоПовтора="Новый сезон",6-1&gt;MOD(MONTH('03_Сеть'!AW6)-9,12)),'03_Сеть'!AW27*CapacityAge06*МножительДетей,0)</f>
        <v/>
      </c>
      <c r="AX113" s="9">
        <f>IF(AND(ПравилоПовтора="Новый сезон",6-1&gt;MOD(MONTH('03_Сеть'!AX6)-9,12)),'03_Сеть'!AX27*CapacityAge06*МножительДетей,0)</f>
        <v/>
      </c>
      <c r="AY113" s="9">
        <f>IF(AND(ПравилоПовтора="Новый сезон",6-1&gt;MOD(MONTH('03_Сеть'!AY6)-9,12)),'03_Сеть'!AY27*CapacityAge06*МножительДетей,0)</f>
        <v/>
      </c>
      <c r="AZ113" s="9">
        <f>IF(AND(ПравилоПовтора="Новый сезон",6-1&gt;MOD(MONTH('03_Сеть'!AZ6)-9,12)),'03_Сеть'!AZ27*CapacityAge06*МножительДетей,0)</f>
        <v/>
      </c>
      <c r="BA113" s="9">
        <f>IF(AND(ПравилоПовтора="Новый сезон",6-1&gt;MOD(MONTH('03_Сеть'!BA6)-9,12)),'03_Сеть'!BA27*CapacityAge06*МножительДетей,0)</f>
        <v/>
      </c>
      <c r="BB113" s="9">
        <f>IF(AND(ПравилоПовтора="Новый сезон",6-1&gt;MOD(MONTH('03_Сеть'!BB6)-9,12)),'03_Сеть'!BB27*CapacityAge06*МножительДетей,0)</f>
        <v/>
      </c>
      <c r="BC113" s="9">
        <f>IF(AND(ПравилоПовтора="Новый сезон",6-1&gt;MOD(MONTH('03_Сеть'!BC6)-9,12)),'03_Сеть'!BC27*CapacityAge06*МножительДетей,0)</f>
        <v/>
      </c>
      <c r="BD113" s="9">
        <f>IF(AND(ПравилоПовтора="Новый сезон",6-1&gt;MOD(MONTH('03_Сеть'!BD6)-9,12)),'03_Сеть'!BD27*CapacityAge06*МножительДетей,0)</f>
        <v/>
      </c>
      <c r="BE113" s="9">
        <f>IF(AND(ПравилоПовтора="Новый сезон",6-1&gt;MOD(MONTH('03_Сеть'!BE6)-9,12)),'03_Сеть'!BE27*CapacityAge06*МножительДетей,0)</f>
        <v/>
      </c>
      <c r="BF113" s="9">
        <f>IF(AND(ПравилоПовтора="Новый сезон",6-1&gt;MOD(MONTH('03_Сеть'!BF6)-9,12)),'03_Сеть'!BF27*CapacityAge06*МножительДетей,0)</f>
        <v/>
      </c>
      <c r="BG113" s="9">
        <f>IF(AND(ПравилоПовтора="Новый сезон",6-1&gt;MOD(MONTH('03_Сеть'!BG6)-9,12)),'03_Сеть'!BG27*CapacityAge06*МножительДетей,0)</f>
        <v/>
      </c>
      <c r="BH113" s="9">
        <f>IF(AND(ПравилоПовтора="Новый сезон",6-1&gt;MOD(MONTH('03_Сеть'!BH6)-9,12)),'03_Сеть'!BH27*CapacityAge06*МножительДетей,0)</f>
        <v/>
      </c>
      <c r="BI113" s="9">
        <f>IF(AND(ПравилоПовтора="Новый сезон",6-1&gt;MOD(MONTH('03_Сеть'!BI6)-9,12)),'03_Сеть'!BI27*CapacityAge06*МножительДетей,0)</f>
        <v/>
      </c>
      <c r="BJ113" s="9">
        <f>IF(AND(ПравилоПовтора="Новый сезон",6-1&gt;MOD(MONTH('03_Сеть'!BJ6)-9,12)),'03_Сеть'!BJ27*CapacityAge06*МножительДетей,0)</f>
        <v/>
      </c>
      <c r="BK113" s="9">
        <f>IF(AND(ПравилоПовтора="Новый сезон",6-1&gt;MOD(MONTH('03_Сеть'!BK6)-9,12)),'03_Сеть'!BK27*CapacityAge06*МножительДетей,0)</f>
        <v/>
      </c>
      <c r="BL113" s="9">
        <f>IF(AND(ПравилоПовтора="Новый сезон",6-1&gt;MOD(MONTH('03_Сеть'!BL6)-9,12)),'03_Сеть'!BL27*CapacityAge06*МножительДетей,0)</f>
        <v/>
      </c>
      <c r="BM113" s="9">
        <f>IF(AND(ПравилоПовтора="Новый сезон",6-1&gt;MOD(MONTH('03_Сеть'!BM6)-9,12)),'03_Сеть'!BM27*CapacityAge06*МножительДетей,0)</f>
        <v/>
      </c>
      <c r="BN113" s="9">
        <f>IF(AND(ПравилоПовтора="Новый сезон",6-1&gt;MOD(MONTH('03_Сеть'!BN6)-9,12)),'03_Сеть'!BN27*CapacityAge06*МножительДетей,0)</f>
        <v/>
      </c>
      <c r="BO113" s="9">
        <f>IF(AND(ПравилоПовтора="Новый сезон",6-1&gt;MOD(MONTH('03_Сеть'!BO6)-9,12)),'03_Сеть'!BO27*CapacityAge06*МножительДетей,0)</f>
        <v/>
      </c>
      <c r="BP113" s="9">
        <f>IF(AND(ПравилоПовтора="Новый сезон",6-1&gt;MOD(MONTH('03_Сеть'!BP6)-9,12)),'03_Сеть'!BP27*CapacityAge06*МножительДетей,0)</f>
        <v/>
      </c>
      <c r="BQ113" s="9">
        <f>IF(AND(ПравилоПовтора="Новый сезон",6-1&gt;MOD(MONTH('03_Сеть'!BQ6)-9,12)),'03_Сеть'!BQ27*CapacityAge06*МножительДетей,0)</f>
        <v/>
      </c>
      <c r="BR113" s="9">
        <f>IF(AND(ПравилоПовтора="Новый сезон",6-1&gt;MOD(MONTH('03_Сеть'!BR6)-9,12)),'03_Сеть'!BR27*CapacityAge06*МножительДетей,0)</f>
        <v/>
      </c>
      <c r="BS113" s="9">
        <f>IF(AND(ПравилоПовтора="Новый сезон",6-1&gt;MOD(MONTH('03_Сеть'!BS6)-9,12)),'03_Сеть'!BS27*CapacityAge06*МножительДетей,0)</f>
        <v/>
      </c>
      <c r="BT113" s="9">
        <f>IF(AND(ПравилоПовтора="Новый сезон",6-1&gt;MOD(MONTH('03_Сеть'!BT6)-9,12)),'03_Сеть'!BT27*CapacityAge06*МножительДетей,0)</f>
        <v/>
      </c>
      <c r="BU113" s="9">
        <f>IF(AND(ПравилоПовтора="Новый сезон",6-1&gt;MOD(MONTH('03_Сеть'!BU6)-9,12)),'03_Сеть'!BU27*CapacityAge06*МножительДетей,0)</f>
        <v/>
      </c>
      <c r="BV113" s="9">
        <f>IF(AND(ПравилоПовтора="Новый сезон",6-1&gt;MOD(MONTH('03_Сеть'!BV6)-9,12)),'03_Сеть'!BV27*CapacityAge06*МножительДетей,0)</f>
        <v/>
      </c>
      <c r="BW113" s="9">
        <f>IF(AND(ПравилоПовтора="Новый сезон",6-1&gt;MOD(MONTH('03_Сеть'!BW6)-9,12)),'03_Сеть'!BW27*CapacityAge06*МножительДетей,0)</f>
        <v/>
      </c>
      <c r="BX113" s="9">
        <f>IF(AND(ПравилоПовтора="Новый сезон",6-1&gt;MOD(MONTH('03_Сеть'!BX6)-9,12)),'03_Сеть'!BX27*CapacityAge06*МножительДетей,0)</f>
        <v/>
      </c>
      <c r="BY113" s="9">
        <f>IF(AND(ПравилоПовтора="Новый сезон",6-1&gt;MOD(MONTH('03_Сеть'!BY6)-9,12)),'03_Сеть'!BY27*CapacityAge06*МножительДетей,0)</f>
        <v/>
      </c>
    </row>
    <row r="114">
      <c r="B114" t="inlineStr">
        <is>
          <t>7 мес.</t>
        </is>
      </c>
      <c r="C114" t="inlineStr">
        <is>
          <t>чел.</t>
        </is>
      </c>
      <c r="D114" s="117" t="inlineStr"/>
      <c r="E114" s="118">
        <f>W114</f>
        <v/>
      </c>
      <c r="F114" s="118">
        <f>AI114</f>
        <v/>
      </c>
      <c r="G114" s="118">
        <f>AU114</f>
        <v/>
      </c>
      <c r="H114" s="118">
        <f>BG114</f>
        <v/>
      </c>
      <c r="I114" s="118">
        <f>BS114</f>
        <v/>
      </c>
      <c r="J114" s="10">
        <f>BS114</f>
        <v/>
      </c>
      <c r="L114" s="9">
        <f>IF(AND(ПравилоПовтора="Новый сезон",7-1&gt;MOD(MONTH('03_Сеть'!L6)-9,12)),'03_Сеть'!L28*CapacityAge07*МножительДетей,0)</f>
        <v/>
      </c>
      <c r="M114" s="9">
        <f>IF(AND(ПравилоПовтора="Новый сезон",7-1&gt;MOD(MONTH('03_Сеть'!M6)-9,12)),'03_Сеть'!M28*CapacityAge07*МножительДетей,0)</f>
        <v/>
      </c>
      <c r="N114" s="9">
        <f>IF(AND(ПравилоПовтора="Новый сезон",7-1&gt;MOD(MONTH('03_Сеть'!N6)-9,12)),'03_Сеть'!N28*CapacityAge07*МножительДетей,0)</f>
        <v/>
      </c>
      <c r="O114" s="9">
        <f>IF(AND(ПравилоПовтора="Новый сезон",7-1&gt;MOD(MONTH('03_Сеть'!O6)-9,12)),'03_Сеть'!O28*CapacityAge07*МножительДетей,0)</f>
        <v/>
      </c>
      <c r="P114" s="9">
        <f>IF(AND(ПравилоПовтора="Новый сезон",7-1&gt;MOD(MONTH('03_Сеть'!P6)-9,12)),'03_Сеть'!P28*CapacityAge07*МножительДетей,0)</f>
        <v/>
      </c>
      <c r="Q114" s="9">
        <f>IF(AND(ПравилоПовтора="Новый сезон",7-1&gt;MOD(MONTH('03_Сеть'!Q6)-9,12)),'03_Сеть'!Q28*CapacityAge07*МножительДетей,0)</f>
        <v/>
      </c>
      <c r="R114" s="9">
        <f>IF(AND(ПравилоПовтора="Новый сезон",7-1&gt;MOD(MONTH('03_Сеть'!R6)-9,12)),'03_Сеть'!R28*CapacityAge07*МножительДетей,0)</f>
        <v/>
      </c>
      <c r="S114" s="9">
        <f>IF(AND(ПравилоПовтора="Новый сезон",7-1&gt;MOD(MONTH('03_Сеть'!S6)-9,12)),'03_Сеть'!S28*CapacityAge07*МножительДетей,0)</f>
        <v/>
      </c>
      <c r="T114" s="9">
        <f>IF(AND(ПравилоПовтора="Новый сезон",7-1&gt;MOD(MONTH('03_Сеть'!T6)-9,12)),'03_Сеть'!T28*CapacityAge07*МножительДетей,0)</f>
        <v/>
      </c>
      <c r="U114" s="9">
        <f>IF(AND(ПравилоПовтора="Новый сезон",7-1&gt;MOD(MONTH('03_Сеть'!U6)-9,12)),'03_Сеть'!U28*CapacityAge07*МножительДетей,0)</f>
        <v/>
      </c>
      <c r="V114" s="9">
        <f>IF(AND(ПравилоПовтора="Новый сезон",7-1&gt;MOD(MONTH('03_Сеть'!V6)-9,12)),'03_Сеть'!V28*CapacityAge07*МножительДетей,0)</f>
        <v/>
      </c>
      <c r="W114" s="9">
        <f>IF(AND(ПравилоПовтора="Новый сезон",7-1&gt;MOD(MONTH('03_Сеть'!W6)-9,12)),'03_Сеть'!W28*CapacityAge07*МножительДетей,0)</f>
        <v/>
      </c>
      <c r="X114" s="9">
        <f>IF(AND(ПравилоПовтора="Новый сезон",7-1&gt;MOD(MONTH('03_Сеть'!X6)-9,12)),'03_Сеть'!X28*CapacityAge07*МножительДетей,0)</f>
        <v/>
      </c>
      <c r="Y114" s="9">
        <f>IF(AND(ПравилоПовтора="Новый сезон",7-1&gt;MOD(MONTH('03_Сеть'!Y6)-9,12)),'03_Сеть'!Y28*CapacityAge07*МножительДетей,0)</f>
        <v/>
      </c>
      <c r="Z114" s="9">
        <f>IF(AND(ПравилоПовтора="Новый сезон",7-1&gt;MOD(MONTH('03_Сеть'!Z6)-9,12)),'03_Сеть'!Z28*CapacityAge07*МножительДетей,0)</f>
        <v/>
      </c>
      <c r="AA114" s="9">
        <f>IF(AND(ПравилоПовтора="Новый сезон",7-1&gt;MOD(MONTH('03_Сеть'!AA6)-9,12)),'03_Сеть'!AA28*CapacityAge07*МножительДетей,0)</f>
        <v/>
      </c>
      <c r="AB114" s="9">
        <f>IF(AND(ПравилоПовтора="Новый сезон",7-1&gt;MOD(MONTH('03_Сеть'!AB6)-9,12)),'03_Сеть'!AB28*CapacityAge07*МножительДетей,0)</f>
        <v/>
      </c>
      <c r="AC114" s="9">
        <f>IF(AND(ПравилоПовтора="Новый сезон",7-1&gt;MOD(MONTH('03_Сеть'!AC6)-9,12)),'03_Сеть'!AC28*CapacityAge07*МножительДетей,0)</f>
        <v/>
      </c>
      <c r="AD114" s="9">
        <f>IF(AND(ПравилоПовтора="Новый сезон",7-1&gt;MOD(MONTH('03_Сеть'!AD6)-9,12)),'03_Сеть'!AD28*CapacityAge07*МножительДетей,0)</f>
        <v/>
      </c>
      <c r="AE114" s="9">
        <f>IF(AND(ПравилоПовтора="Новый сезон",7-1&gt;MOD(MONTH('03_Сеть'!AE6)-9,12)),'03_Сеть'!AE28*CapacityAge07*МножительДетей,0)</f>
        <v/>
      </c>
      <c r="AF114" s="9">
        <f>IF(AND(ПравилоПовтора="Новый сезон",7-1&gt;MOD(MONTH('03_Сеть'!AF6)-9,12)),'03_Сеть'!AF28*CapacityAge07*МножительДетей,0)</f>
        <v/>
      </c>
      <c r="AG114" s="9">
        <f>IF(AND(ПравилоПовтора="Новый сезон",7-1&gt;MOD(MONTH('03_Сеть'!AG6)-9,12)),'03_Сеть'!AG28*CapacityAge07*МножительДетей,0)</f>
        <v/>
      </c>
      <c r="AH114" s="9">
        <f>IF(AND(ПравилоПовтора="Новый сезон",7-1&gt;MOD(MONTH('03_Сеть'!AH6)-9,12)),'03_Сеть'!AH28*CapacityAge07*МножительДетей,0)</f>
        <v/>
      </c>
      <c r="AI114" s="9">
        <f>IF(AND(ПравилоПовтора="Новый сезон",7-1&gt;MOD(MONTH('03_Сеть'!AI6)-9,12)),'03_Сеть'!AI28*CapacityAge07*МножительДетей,0)</f>
        <v/>
      </c>
      <c r="AJ114" s="9">
        <f>IF(AND(ПравилоПовтора="Новый сезон",7-1&gt;MOD(MONTH('03_Сеть'!AJ6)-9,12)),'03_Сеть'!AJ28*CapacityAge07*МножительДетей,0)</f>
        <v/>
      </c>
      <c r="AK114" s="9">
        <f>IF(AND(ПравилоПовтора="Новый сезон",7-1&gt;MOD(MONTH('03_Сеть'!AK6)-9,12)),'03_Сеть'!AK28*CapacityAge07*МножительДетей,0)</f>
        <v/>
      </c>
      <c r="AL114" s="9">
        <f>IF(AND(ПравилоПовтора="Новый сезон",7-1&gt;MOD(MONTH('03_Сеть'!AL6)-9,12)),'03_Сеть'!AL28*CapacityAge07*МножительДетей,0)</f>
        <v/>
      </c>
      <c r="AM114" s="9">
        <f>IF(AND(ПравилоПовтора="Новый сезон",7-1&gt;MOD(MONTH('03_Сеть'!AM6)-9,12)),'03_Сеть'!AM28*CapacityAge07*МножительДетей,0)</f>
        <v/>
      </c>
      <c r="AN114" s="9">
        <f>IF(AND(ПравилоПовтора="Новый сезон",7-1&gt;MOD(MONTH('03_Сеть'!AN6)-9,12)),'03_Сеть'!AN28*CapacityAge07*МножительДетей,0)</f>
        <v/>
      </c>
      <c r="AO114" s="9">
        <f>IF(AND(ПравилоПовтора="Новый сезон",7-1&gt;MOD(MONTH('03_Сеть'!AO6)-9,12)),'03_Сеть'!AO28*CapacityAge07*МножительДетей,0)</f>
        <v/>
      </c>
      <c r="AP114" s="9">
        <f>IF(AND(ПравилоПовтора="Новый сезон",7-1&gt;MOD(MONTH('03_Сеть'!AP6)-9,12)),'03_Сеть'!AP28*CapacityAge07*МножительДетей,0)</f>
        <v/>
      </c>
      <c r="AQ114" s="9">
        <f>IF(AND(ПравилоПовтора="Новый сезон",7-1&gt;MOD(MONTH('03_Сеть'!AQ6)-9,12)),'03_Сеть'!AQ28*CapacityAge07*МножительДетей,0)</f>
        <v/>
      </c>
      <c r="AR114" s="9">
        <f>IF(AND(ПравилоПовтора="Новый сезон",7-1&gt;MOD(MONTH('03_Сеть'!AR6)-9,12)),'03_Сеть'!AR28*CapacityAge07*МножительДетей,0)</f>
        <v/>
      </c>
      <c r="AS114" s="9">
        <f>IF(AND(ПравилоПовтора="Новый сезон",7-1&gt;MOD(MONTH('03_Сеть'!AS6)-9,12)),'03_Сеть'!AS28*CapacityAge07*МножительДетей,0)</f>
        <v/>
      </c>
      <c r="AT114" s="9">
        <f>IF(AND(ПравилоПовтора="Новый сезон",7-1&gt;MOD(MONTH('03_Сеть'!AT6)-9,12)),'03_Сеть'!AT28*CapacityAge07*МножительДетей,0)</f>
        <v/>
      </c>
      <c r="AU114" s="9">
        <f>IF(AND(ПравилоПовтора="Новый сезон",7-1&gt;MOD(MONTH('03_Сеть'!AU6)-9,12)),'03_Сеть'!AU28*CapacityAge07*МножительДетей,0)</f>
        <v/>
      </c>
      <c r="AV114" s="9">
        <f>IF(AND(ПравилоПовтора="Новый сезон",7-1&gt;MOD(MONTH('03_Сеть'!AV6)-9,12)),'03_Сеть'!AV28*CapacityAge07*МножительДетей,0)</f>
        <v/>
      </c>
      <c r="AW114" s="9">
        <f>IF(AND(ПравилоПовтора="Новый сезон",7-1&gt;MOD(MONTH('03_Сеть'!AW6)-9,12)),'03_Сеть'!AW28*CapacityAge07*МножительДетей,0)</f>
        <v/>
      </c>
      <c r="AX114" s="9">
        <f>IF(AND(ПравилоПовтора="Новый сезон",7-1&gt;MOD(MONTH('03_Сеть'!AX6)-9,12)),'03_Сеть'!AX28*CapacityAge07*МножительДетей,0)</f>
        <v/>
      </c>
      <c r="AY114" s="9">
        <f>IF(AND(ПравилоПовтора="Новый сезон",7-1&gt;MOD(MONTH('03_Сеть'!AY6)-9,12)),'03_Сеть'!AY28*CapacityAge07*МножительДетей,0)</f>
        <v/>
      </c>
      <c r="AZ114" s="9">
        <f>IF(AND(ПравилоПовтора="Новый сезон",7-1&gt;MOD(MONTH('03_Сеть'!AZ6)-9,12)),'03_Сеть'!AZ28*CapacityAge07*МножительДетей,0)</f>
        <v/>
      </c>
      <c r="BA114" s="9">
        <f>IF(AND(ПравилоПовтора="Новый сезон",7-1&gt;MOD(MONTH('03_Сеть'!BA6)-9,12)),'03_Сеть'!BA28*CapacityAge07*МножительДетей,0)</f>
        <v/>
      </c>
      <c r="BB114" s="9">
        <f>IF(AND(ПравилоПовтора="Новый сезон",7-1&gt;MOD(MONTH('03_Сеть'!BB6)-9,12)),'03_Сеть'!BB28*CapacityAge07*МножительДетей,0)</f>
        <v/>
      </c>
      <c r="BC114" s="9">
        <f>IF(AND(ПравилоПовтора="Новый сезон",7-1&gt;MOD(MONTH('03_Сеть'!BC6)-9,12)),'03_Сеть'!BC28*CapacityAge07*МножительДетей,0)</f>
        <v/>
      </c>
      <c r="BD114" s="9">
        <f>IF(AND(ПравилоПовтора="Новый сезон",7-1&gt;MOD(MONTH('03_Сеть'!BD6)-9,12)),'03_Сеть'!BD28*CapacityAge07*МножительДетей,0)</f>
        <v/>
      </c>
      <c r="BE114" s="9">
        <f>IF(AND(ПравилоПовтора="Новый сезон",7-1&gt;MOD(MONTH('03_Сеть'!BE6)-9,12)),'03_Сеть'!BE28*CapacityAge07*МножительДетей,0)</f>
        <v/>
      </c>
      <c r="BF114" s="9">
        <f>IF(AND(ПравилоПовтора="Новый сезон",7-1&gt;MOD(MONTH('03_Сеть'!BF6)-9,12)),'03_Сеть'!BF28*CapacityAge07*МножительДетей,0)</f>
        <v/>
      </c>
      <c r="BG114" s="9">
        <f>IF(AND(ПравилоПовтора="Новый сезон",7-1&gt;MOD(MONTH('03_Сеть'!BG6)-9,12)),'03_Сеть'!BG28*CapacityAge07*МножительДетей,0)</f>
        <v/>
      </c>
      <c r="BH114" s="9">
        <f>IF(AND(ПравилоПовтора="Новый сезон",7-1&gt;MOD(MONTH('03_Сеть'!BH6)-9,12)),'03_Сеть'!BH28*CapacityAge07*МножительДетей,0)</f>
        <v/>
      </c>
      <c r="BI114" s="9">
        <f>IF(AND(ПравилоПовтора="Новый сезон",7-1&gt;MOD(MONTH('03_Сеть'!BI6)-9,12)),'03_Сеть'!BI28*CapacityAge07*МножительДетей,0)</f>
        <v/>
      </c>
      <c r="BJ114" s="9">
        <f>IF(AND(ПравилоПовтора="Новый сезон",7-1&gt;MOD(MONTH('03_Сеть'!BJ6)-9,12)),'03_Сеть'!BJ28*CapacityAge07*МножительДетей,0)</f>
        <v/>
      </c>
      <c r="BK114" s="9">
        <f>IF(AND(ПравилоПовтора="Новый сезон",7-1&gt;MOD(MONTH('03_Сеть'!BK6)-9,12)),'03_Сеть'!BK28*CapacityAge07*МножительДетей,0)</f>
        <v/>
      </c>
      <c r="BL114" s="9">
        <f>IF(AND(ПравилоПовтора="Новый сезон",7-1&gt;MOD(MONTH('03_Сеть'!BL6)-9,12)),'03_Сеть'!BL28*CapacityAge07*МножительДетей,0)</f>
        <v/>
      </c>
      <c r="BM114" s="9">
        <f>IF(AND(ПравилоПовтора="Новый сезон",7-1&gt;MOD(MONTH('03_Сеть'!BM6)-9,12)),'03_Сеть'!BM28*CapacityAge07*МножительДетей,0)</f>
        <v/>
      </c>
      <c r="BN114" s="9">
        <f>IF(AND(ПравилоПовтора="Новый сезон",7-1&gt;MOD(MONTH('03_Сеть'!BN6)-9,12)),'03_Сеть'!BN28*CapacityAge07*МножительДетей,0)</f>
        <v/>
      </c>
      <c r="BO114" s="9">
        <f>IF(AND(ПравилоПовтора="Новый сезон",7-1&gt;MOD(MONTH('03_Сеть'!BO6)-9,12)),'03_Сеть'!BO28*CapacityAge07*МножительДетей,0)</f>
        <v/>
      </c>
      <c r="BP114" s="9">
        <f>IF(AND(ПравилоПовтора="Новый сезон",7-1&gt;MOD(MONTH('03_Сеть'!BP6)-9,12)),'03_Сеть'!BP28*CapacityAge07*МножительДетей,0)</f>
        <v/>
      </c>
      <c r="BQ114" s="9">
        <f>IF(AND(ПравилоПовтора="Новый сезон",7-1&gt;MOD(MONTH('03_Сеть'!BQ6)-9,12)),'03_Сеть'!BQ28*CapacityAge07*МножительДетей,0)</f>
        <v/>
      </c>
      <c r="BR114" s="9">
        <f>IF(AND(ПравилоПовтора="Новый сезон",7-1&gt;MOD(MONTH('03_Сеть'!BR6)-9,12)),'03_Сеть'!BR28*CapacityAge07*МножительДетей,0)</f>
        <v/>
      </c>
      <c r="BS114" s="9">
        <f>IF(AND(ПравилоПовтора="Новый сезон",7-1&gt;MOD(MONTH('03_Сеть'!BS6)-9,12)),'03_Сеть'!BS28*CapacityAge07*МножительДетей,0)</f>
        <v/>
      </c>
      <c r="BT114" s="9">
        <f>IF(AND(ПравилоПовтора="Новый сезон",7-1&gt;MOD(MONTH('03_Сеть'!BT6)-9,12)),'03_Сеть'!BT28*CapacityAge07*МножительДетей,0)</f>
        <v/>
      </c>
      <c r="BU114" s="9">
        <f>IF(AND(ПравилоПовтора="Новый сезон",7-1&gt;MOD(MONTH('03_Сеть'!BU6)-9,12)),'03_Сеть'!BU28*CapacityAge07*МножительДетей,0)</f>
        <v/>
      </c>
      <c r="BV114" s="9">
        <f>IF(AND(ПравилоПовтора="Новый сезон",7-1&gt;MOD(MONTH('03_Сеть'!BV6)-9,12)),'03_Сеть'!BV28*CapacityAge07*МножительДетей,0)</f>
        <v/>
      </c>
      <c r="BW114" s="9">
        <f>IF(AND(ПравилоПовтора="Новый сезон",7-1&gt;MOD(MONTH('03_Сеть'!BW6)-9,12)),'03_Сеть'!BW28*CapacityAge07*МножительДетей,0)</f>
        <v/>
      </c>
      <c r="BX114" s="9">
        <f>IF(AND(ПравилоПовтора="Новый сезон",7-1&gt;MOD(MONTH('03_Сеть'!BX6)-9,12)),'03_Сеть'!BX28*CapacityAge07*МножительДетей,0)</f>
        <v/>
      </c>
      <c r="BY114" s="9">
        <f>IF(AND(ПравилоПовтора="Новый сезон",7-1&gt;MOD(MONTH('03_Сеть'!BY6)-9,12)),'03_Сеть'!BY28*CapacityAge07*МножительДетей,0)</f>
        <v/>
      </c>
    </row>
    <row r="115">
      <c r="B115" t="inlineStr">
        <is>
          <t>8 мес.</t>
        </is>
      </c>
      <c r="C115" t="inlineStr">
        <is>
          <t>чел.</t>
        </is>
      </c>
      <c r="D115" s="117" t="inlineStr"/>
      <c r="E115" s="118">
        <f>W115</f>
        <v/>
      </c>
      <c r="F115" s="118">
        <f>AI115</f>
        <v/>
      </c>
      <c r="G115" s="118">
        <f>AU115</f>
        <v/>
      </c>
      <c r="H115" s="118">
        <f>BG115</f>
        <v/>
      </c>
      <c r="I115" s="118">
        <f>BS115</f>
        <v/>
      </c>
      <c r="J115" s="10">
        <f>BS115</f>
        <v/>
      </c>
      <c r="L115" s="9">
        <f>IF(AND(ПравилоПовтора="Новый сезон",8-1&gt;MOD(MONTH('03_Сеть'!L6)-9,12)),'03_Сеть'!L29*CapacityAge08*МножительДетей,0)</f>
        <v/>
      </c>
      <c r="M115" s="9">
        <f>IF(AND(ПравилоПовтора="Новый сезон",8-1&gt;MOD(MONTH('03_Сеть'!M6)-9,12)),'03_Сеть'!M29*CapacityAge08*МножительДетей,0)</f>
        <v/>
      </c>
      <c r="N115" s="9">
        <f>IF(AND(ПравилоПовтора="Новый сезон",8-1&gt;MOD(MONTH('03_Сеть'!N6)-9,12)),'03_Сеть'!N29*CapacityAge08*МножительДетей,0)</f>
        <v/>
      </c>
      <c r="O115" s="9">
        <f>IF(AND(ПравилоПовтора="Новый сезон",8-1&gt;MOD(MONTH('03_Сеть'!O6)-9,12)),'03_Сеть'!O29*CapacityAge08*МножительДетей,0)</f>
        <v/>
      </c>
      <c r="P115" s="9">
        <f>IF(AND(ПравилоПовтора="Новый сезон",8-1&gt;MOD(MONTH('03_Сеть'!P6)-9,12)),'03_Сеть'!P29*CapacityAge08*МножительДетей,0)</f>
        <v/>
      </c>
      <c r="Q115" s="9">
        <f>IF(AND(ПравилоПовтора="Новый сезон",8-1&gt;MOD(MONTH('03_Сеть'!Q6)-9,12)),'03_Сеть'!Q29*CapacityAge08*МножительДетей,0)</f>
        <v/>
      </c>
      <c r="R115" s="9">
        <f>IF(AND(ПравилоПовтора="Новый сезон",8-1&gt;MOD(MONTH('03_Сеть'!R6)-9,12)),'03_Сеть'!R29*CapacityAge08*МножительДетей,0)</f>
        <v/>
      </c>
      <c r="S115" s="9">
        <f>IF(AND(ПравилоПовтора="Новый сезон",8-1&gt;MOD(MONTH('03_Сеть'!S6)-9,12)),'03_Сеть'!S29*CapacityAge08*МножительДетей,0)</f>
        <v/>
      </c>
      <c r="T115" s="9">
        <f>IF(AND(ПравилоПовтора="Новый сезон",8-1&gt;MOD(MONTH('03_Сеть'!T6)-9,12)),'03_Сеть'!T29*CapacityAge08*МножительДетей,0)</f>
        <v/>
      </c>
      <c r="U115" s="9">
        <f>IF(AND(ПравилоПовтора="Новый сезон",8-1&gt;MOD(MONTH('03_Сеть'!U6)-9,12)),'03_Сеть'!U29*CapacityAge08*МножительДетей,0)</f>
        <v/>
      </c>
      <c r="V115" s="9">
        <f>IF(AND(ПравилоПовтора="Новый сезон",8-1&gt;MOD(MONTH('03_Сеть'!V6)-9,12)),'03_Сеть'!V29*CapacityAge08*МножительДетей,0)</f>
        <v/>
      </c>
      <c r="W115" s="9">
        <f>IF(AND(ПравилоПовтора="Новый сезон",8-1&gt;MOD(MONTH('03_Сеть'!W6)-9,12)),'03_Сеть'!W29*CapacityAge08*МножительДетей,0)</f>
        <v/>
      </c>
      <c r="X115" s="9">
        <f>IF(AND(ПравилоПовтора="Новый сезон",8-1&gt;MOD(MONTH('03_Сеть'!X6)-9,12)),'03_Сеть'!X29*CapacityAge08*МножительДетей,0)</f>
        <v/>
      </c>
      <c r="Y115" s="9">
        <f>IF(AND(ПравилоПовтора="Новый сезон",8-1&gt;MOD(MONTH('03_Сеть'!Y6)-9,12)),'03_Сеть'!Y29*CapacityAge08*МножительДетей,0)</f>
        <v/>
      </c>
      <c r="Z115" s="9">
        <f>IF(AND(ПравилоПовтора="Новый сезон",8-1&gt;MOD(MONTH('03_Сеть'!Z6)-9,12)),'03_Сеть'!Z29*CapacityAge08*МножительДетей,0)</f>
        <v/>
      </c>
      <c r="AA115" s="9">
        <f>IF(AND(ПравилоПовтора="Новый сезон",8-1&gt;MOD(MONTH('03_Сеть'!AA6)-9,12)),'03_Сеть'!AA29*CapacityAge08*МножительДетей,0)</f>
        <v/>
      </c>
      <c r="AB115" s="9">
        <f>IF(AND(ПравилоПовтора="Новый сезон",8-1&gt;MOD(MONTH('03_Сеть'!AB6)-9,12)),'03_Сеть'!AB29*CapacityAge08*МножительДетей,0)</f>
        <v/>
      </c>
      <c r="AC115" s="9">
        <f>IF(AND(ПравилоПовтора="Новый сезон",8-1&gt;MOD(MONTH('03_Сеть'!AC6)-9,12)),'03_Сеть'!AC29*CapacityAge08*МножительДетей,0)</f>
        <v/>
      </c>
      <c r="AD115" s="9">
        <f>IF(AND(ПравилоПовтора="Новый сезон",8-1&gt;MOD(MONTH('03_Сеть'!AD6)-9,12)),'03_Сеть'!AD29*CapacityAge08*МножительДетей,0)</f>
        <v/>
      </c>
      <c r="AE115" s="9">
        <f>IF(AND(ПравилоПовтора="Новый сезон",8-1&gt;MOD(MONTH('03_Сеть'!AE6)-9,12)),'03_Сеть'!AE29*CapacityAge08*МножительДетей,0)</f>
        <v/>
      </c>
      <c r="AF115" s="9">
        <f>IF(AND(ПравилоПовтора="Новый сезон",8-1&gt;MOD(MONTH('03_Сеть'!AF6)-9,12)),'03_Сеть'!AF29*CapacityAge08*МножительДетей,0)</f>
        <v/>
      </c>
      <c r="AG115" s="9">
        <f>IF(AND(ПравилоПовтора="Новый сезон",8-1&gt;MOD(MONTH('03_Сеть'!AG6)-9,12)),'03_Сеть'!AG29*CapacityAge08*МножительДетей,0)</f>
        <v/>
      </c>
      <c r="AH115" s="9">
        <f>IF(AND(ПравилоПовтора="Новый сезон",8-1&gt;MOD(MONTH('03_Сеть'!AH6)-9,12)),'03_Сеть'!AH29*CapacityAge08*МножительДетей,0)</f>
        <v/>
      </c>
      <c r="AI115" s="9">
        <f>IF(AND(ПравилоПовтора="Новый сезон",8-1&gt;MOD(MONTH('03_Сеть'!AI6)-9,12)),'03_Сеть'!AI29*CapacityAge08*МножительДетей,0)</f>
        <v/>
      </c>
      <c r="AJ115" s="9">
        <f>IF(AND(ПравилоПовтора="Новый сезон",8-1&gt;MOD(MONTH('03_Сеть'!AJ6)-9,12)),'03_Сеть'!AJ29*CapacityAge08*МножительДетей,0)</f>
        <v/>
      </c>
      <c r="AK115" s="9">
        <f>IF(AND(ПравилоПовтора="Новый сезон",8-1&gt;MOD(MONTH('03_Сеть'!AK6)-9,12)),'03_Сеть'!AK29*CapacityAge08*МножительДетей,0)</f>
        <v/>
      </c>
      <c r="AL115" s="9">
        <f>IF(AND(ПравилоПовтора="Новый сезон",8-1&gt;MOD(MONTH('03_Сеть'!AL6)-9,12)),'03_Сеть'!AL29*CapacityAge08*МножительДетей,0)</f>
        <v/>
      </c>
      <c r="AM115" s="9">
        <f>IF(AND(ПравилоПовтора="Новый сезон",8-1&gt;MOD(MONTH('03_Сеть'!AM6)-9,12)),'03_Сеть'!AM29*CapacityAge08*МножительДетей,0)</f>
        <v/>
      </c>
      <c r="AN115" s="9">
        <f>IF(AND(ПравилоПовтора="Новый сезон",8-1&gt;MOD(MONTH('03_Сеть'!AN6)-9,12)),'03_Сеть'!AN29*CapacityAge08*МножительДетей,0)</f>
        <v/>
      </c>
      <c r="AO115" s="9">
        <f>IF(AND(ПравилоПовтора="Новый сезон",8-1&gt;MOD(MONTH('03_Сеть'!AO6)-9,12)),'03_Сеть'!AO29*CapacityAge08*МножительДетей,0)</f>
        <v/>
      </c>
      <c r="AP115" s="9">
        <f>IF(AND(ПравилоПовтора="Новый сезон",8-1&gt;MOD(MONTH('03_Сеть'!AP6)-9,12)),'03_Сеть'!AP29*CapacityAge08*МножительДетей,0)</f>
        <v/>
      </c>
      <c r="AQ115" s="9">
        <f>IF(AND(ПравилоПовтора="Новый сезон",8-1&gt;MOD(MONTH('03_Сеть'!AQ6)-9,12)),'03_Сеть'!AQ29*CapacityAge08*МножительДетей,0)</f>
        <v/>
      </c>
      <c r="AR115" s="9">
        <f>IF(AND(ПравилоПовтора="Новый сезон",8-1&gt;MOD(MONTH('03_Сеть'!AR6)-9,12)),'03_Сеть'!AR29*CapacityAge08*МножительДетей,0)</f>
        <v/>
      </c>
      <c r="AS115" s="9">
        <f>IF(AND(ПравилоПовтора="Новый сезон",8-1&gt;MOD(MONTH('03_Сеть'!AS6)-9,12)),'03_Сеть'!AS29*CapacityAge08*МножительДетей,0)</f>
        <v/>
      </c>
      <c r="AT115" s="9">
        <f>IF(AND(ПравилоПовтора="Новый сезон",8-1&gt;MOD(MONTH('03_Сеть'!AT6)-9,12)),'03_Сеть'!AT29*CapacityAge08*МножительДетей,0)</f>
        <v/>
      </c>
      <c r="AU115" s="9">
        <f>IF(AND(ПравилоПовтора="Новый сезон",8-1&gt;MOD(MONTH('03_Сеть'!AU6)-9,12)),'03_Сеть'!AU29*CapacityAge08*МножительДетей,0)</f>
        <v/>
      </c>
      <c r="AV115" s="9">
        <f>IF(AND(ПравилоПовтора="Новый сезон",8-1&gt;MOD(MONTH('03_Сеть'!AV6)-9,12)),'03_Сеть'!AV29*CapacityAge08*МножительДетей,0)</f>
        <v/>
      </c>
      <c r="AW115" s="9">
        <f>IF(AND(ПравилоПовтора="Новый сезон",8-1&gt;MOD(MONTH('03_Сеть'!AW6)-9,12)),'03_Сеть'!AW29*CapacityAge08*МножительДетей,0)</f>
        <v/>
      </c>
      <c r="AX115" s="9">
        <f>IF(AND(ПравилоПовтора="Новый сезон",8-1&gt;MOD(MONTH('03_Сеть'!AX6)-9,12)),'03_Сеть'!AX29*CapacityAge08*МножительДетей,0)</f>
        <v/>
      </c>
      <c r="AY115" s="9">
        <f>IF(AND(ПравилоПовтора="Новый сезон",8-1&gt;MOD(MONTH('03_Сеть'!AY6)-9,12)),'03_Сеть'!AY29*CapacityAge08*МножительДетей,0)</f>
        <v/>
      </c>
      <c r="AZ115" s="9">
        <f>IF(AND(ПравилоПовтора="Новый сезон",8-1&gt;MOD(MONTH('03_Сеть'!AZ6)-9,12)),'03_Сеть'!AZ29*CapacityAge08*МножительДетей,0)</f>
        <v/>
      </c>
      <c r="BA115" s="9">
        <f>IF(AND(ПравилоПовтора="Новый сезон",8-1&gt;MOD(MONTH('03_Сеть'!BA6)-9,12)),'03_Сеть'!BA29*CapacityAge08*МножительДетей,0)</f>
        <v/>
      </c>
      <c r="BB115" s="9">
        <f>IF(AND(ПравилоПовтора="Новый сезон",8-1&gt;MOD(MONTH('03_Сеть'!BB6)-9,12)),'03_Сеть'!BB29*CapacityAge08*МножительДетей,0)</f>
        <v/>
      </c>
      <c r="BC115" s="9">
        <f>IF(AND(ПравилоПовтора="Новый сезон",8-1&gt;MOD(MONTH('03_Сеть'!BC6)-9,12)),'03_Сеть'!BC29*CapacityAge08*МножительДетей,0)</f>
        <v/>
      </c>
      <c r="BD115" s="9">
        <f>IF(AND(ПравилоПовтора="Новый сезон",8-1&gt;MOD(MONTH('03_Сеть'!BD6)-9,12)),'03_Сеть'!BD29*CapacityAge08*МножительДетей,0)</f>
        <v/>
      </c>
      <c r="BE115" s="9">
        <f>IF(AND(ПравилоПовтора="Новый сезон",8-1&gt;MOD(MONTH('03_Сеть'!BE6)-9,12)),'03_Сеть'!BE29*CapacityAge08*МножительДетей,0)</f>
        <v/>
      </c>
      <c r="BF115" s="9">
        <f>IF(AND(ПравилоПовтора="Новый сезон",8-1&gt;MOD(MONTH('03_Сеть'!BF6)-9,12)),'03_Сеть'!BF29*CapacityAge08*МножительДетей,0)</f>
        <v/>
      </c>
      <c r="BG115" s="9">
        <f>IF(AND(ПравилоПовтора="Новый сезон",8-1&gt;MOD(MONTH('03_Сеть'!BG6)-9,12)),'03_Сеть'!BG29*CapacityAge08*МножительДетей,0)</f>
        <v/>
      </c>
      <c r="BH115" s="9">
        <f>IF(AND(ПравилоПовтора="Новый сезон",8-1&gt;MOD(MONTH('03_Сеть'!BH6)-9,12)),'03_Сеть'!BH29*CapacityAge08*МножительДетей,0)</f>
        <v/>
      </c>
      <c r="BI115" s="9">
        <f>IF(AND(ПравилоПовтора="Новый сезон",8-1&gt;MOD(MONTH('03_Сеть'!BI6)-9,12)),'03_Сеть'!BI29*CapacityAge08*МножительДетей,0)</f>
        <v/>
      </c>
      <c r="BJ115" s="9">
        <f>IF(AND(ПравилоПовтора="Новый сезон",8-1&gt;MOD(MONTH('03_Сеть'!BJ6)-9,12)),'03_Сеть'!BJ29*CapacityAge08*МножительДетей,0)</f>
        <v/>
      </c>
      <c r="BK115" s="9">
        <f>IF(AND(ПравилоПовтора="Новый сезон",8-1&gt;MOD(MONTH('03_Сеть'!BK6)-9,12)),'03_Сеть'!BK29*CapacityAge08*МножительДетей,0)</f>
        <v/>
      </c>
      <c r="BL115" s="9">
        <f>IF(AND(ПравилоПовтора="Новый сезон",8-1&gt;MOD(MONTH('03_Сеть'!BL6)-9,12)),'03_Сеть'!BL29*CapacityAge08*МножительДетей,0)</f>
        <v/>
      </c>
      <c r="BM115" s="9">
        <f>IF(AND(ПравилоПовтора="Новый сезон",8-1&gt;MOD(MONTH('03_Сеть'!BM6)-9,12)),'03_Сеть'!BM29*CapacityAge08*МножительДетей,0)</f>
        <v/>
      </c>
      <c r="BN115" s="9">
        <f>IF(AND(ПравилоПовтора="Новый сезон",8-1&gt;MOD(MONTH('03_Сеть'!BN6)-9,12)),'03_Сеть'!BN29*CapacityAge08*МножительДетей,0)</f>
        <v/>
      </c>
      <c r="BO115" s="9">
        <f>IF(AND(ПравилоПовтора="Новый сезон",8-1&gt;MOD(MONTH('03_Сеть'!BO6)-9,12)),'03_Сеть'!BO29*CapacityAge08*МножительДетей,0)</f>
        <v/>
      </c>
      <c r="BP115" s="9">
        <f>IF(AND(ПравилоПовтора="Новый сезон",8-1&gt;MOD(MONTH('03_Сеть'!BP6)-9,12)),'03_Сеть'!BP29*CapacityAge08*МножительДетей,0)</f>
        <v/>
      </c>
      <c r="BQ115" s="9">
        <f>IF(AND(ПравилоПовтора="Новый сезон",8-1&gt;MOD(MONTH('03_Сеть'!BQ6)-9,12)),'03_Сеть'!BQ29*CapacityAge08*МножительДетей,0)</f>
        <v/>
      </c>
      <c r="BR115" s="9">
        <f>IF(AND(ПравилоПовтора="Новый сезон",8-1&gt;MOD(MONTH('03_Сеть'!BR6)-9,12)),'03_Сеть'!BR29*CapacityAge08*МножительДетей,0)</f>
        <v/>
      </c>
      <c r="BS115" s="9">
        <f>IF(AND(ПравилоПовтора="Новый сезон",8-1&gt;MOD(MONTH('03_Сеть'!BS6)-9,12)),'03_Сеть'!BS29*CapacityAge08*МножительДетей,0)</f>
        <v/>
      </c>
      <c r="BT115" s="9">
        <f>IF(AND(ПравилоПовтора="Новый сезон",8-1&gt;MOD(MONTH('03_Сеть'!BT6)-9,12)),'03_Сеть'!BT29*CapacityAge08*МножительДетей,0)</f>
        <v/>
      </c>
      <c r="BU115" s="9">
        <f>IF(AND(ПравилоПовтора="Новый сезон",8-1&gt;MOD(MONTH('03_Сеть'!BU6)-9,12)),'03_Сеть'!BU29*CapacityAge08*МножительДетей,0)</f>
        <v/>
      </c>
      <c r="BV115" s="9">
        <f>IF(AND(ПравилоПовтора="Новый сезон",8-1&gt;MOD(MONTH('03_Сеть'!BV6)-9,12)),'03_Сеть'!BV29*CapacityAge08*МножительДетей,0)</f>
        <v/>
      </c>
      <c r="BW115" s="9">
        <f>IF(AND(ПравилоПовтора="Новый сезон",8-1&gt;MOD(MONTH('03_Сеть'!BW6)-9,12)),'03_Сеть'!BW29*CapacityAge08*МножительДетей,0)</f>
        <v/>
      </c>
      <c r="BX115" s="9">
        <f>IF(AND(ПравилоПовтора="Новый сезон",8-1&gt;MOD(MONTH('03_Сеть'!BX6)-9,12)),'03_Сеть'!BX29*CapacityAge08*МножительДетей,0)</f>
        <v/>
      </c>
      <c r="BY115" s="9">
        <f>IF(AND(ПравилоПовтора="Новый сезон",8-1&gt;MOD(MONTH('03_Сеть'!BY6)-9,12)),'03_Сеть'!BY29*CapacityAge08*МножительДетей,0)</f>
        <v/>
      </c>
    </row>
    <row r="116">
      <c r="B116" t="inlineStr">
        <is>
          <t>9 мес.</t>
        </is>
      </c>
      <c r="C116" t="inlineStr">
        <is>
          <t>чел.</t>
        </is>
      </c>
      <c r="D116" s="117" t="inlineStr"/>
      <c r="E116" s="118">
        <f>W116</f>
        <v/>
      </c>
      <c r="F116" s="118">
        <f>AI116</f>
        <v/>
      </c>
      <c r="G116" s="118">
        <f>AU116</f>
        <v/>
      </c>
      <c r="H116" s="118">
        <f>BG116</f>
        <v/>
      </c>
      <c r="I116" s="118">
        <f>BS116</f>
        <v/>
      </c>
      <c r="J116" s="10">
        <f>BS116</f>
        <v/>
      </c>
      <c r="L116" s="9">
        <f>IF(AND(ПравилоПовтора="Новый сезон",9-1&gt;MOD(MONTH('03_Сеть'!L6)-9,12)),'03_Сеть'!L30*CapacityAge09*МножительДетей,0)</f>
        <v/>
      </c>
      <c r="M116" s="9">
        <f>IF(AND(ПравилоПовтора="Новый сезон",9-1&gt;MOD(MONTH('03_Сеть'!M6)-9,12)),'03_Сеть'!M30*CapacityAge09*МножительДетей,0)</f>
        <v/>
      </c>
      <c r="N116" s="9">
        <f>IF(AND(ПравилоПовтора="Новый сезон",9-1&gt;MOD(MONTH('03_Сеть'!N6)-9,12)),'03_Сеть'!N30*CapacityAge09*МножительДетей,0)</f>
        <v/>
      </c>
      <c r="O116" s="9">
        <f>IF(AND(ПравилоПовтора="Новый сезон",9-1&gt;MOD(MONTH('03_Сеть'!O6)-9,12)),'03_Сеть'!O30*CapacityAge09*МножительДетей,0)</f>
        <v/>
      </c>
      <c r="P116" s="9">
        <f>IF(AND(ПравилоПовтора="Новый сезон",9-1&gt;MOD(MONTH('03_Сеть'!P6)-9,12)),'03_Сеть'!P30*CapacityAge09*МножительДетей,0)</f>
        <v/>
      </c>
      <c r="Q116" s="9">
        <f>IF(AND(ПравилоПовтора="Новый сезон",9-1&gt;MOD(MONTH('03_Сеть'!Q6)-9,12)),'03_Сеть'!Q30*CapacityAge09*МножительДетей,0)</f>
        <v/>
      </c>
      <c r="R116" s="9">
        <f>IF(AND(ПравилоПовтора="Новый сезон",9-1&gt;MOD(MONTH('03_Сеть'!R6)-9,12)),'03_Сеть'!R30*CapacityAge09*МножительДетей,0)</f>
        <v/>
      </c>
      <c r="S116" s="9">
        <f>IF(AND(ПравилоПовтора="Новый сезон",9-1&gt;MOD(MONTH('03_Сеть'!S6)-9,12)),'03_Сеть'!S30*CapacityAge09*МножительДетей,0)</f>
        <v/>
      </c>
      <c r="T116" s="9">
        <f>IF(AND(ПравилоПовтора="Новый сезон",9-1&gt;MOD(MONTH('03_Сеть'!T6)-9,12)),'03_Сеть'!T30*CapacityAge09*МножительДетей,0)</f>
        <v/>
      </c>
      <c r="U116" s="9">
        <f>IF(AND(ПравилоПовтора="Новый сезон",9-1&gt;MOD(MONTH('03_Сеть'!U6)-9,12)),'03_Сеть'!U30*CapacityAge09*МножительДетей,0)</f>
        <v/>
      </c>
      <c r="V116" s="9">
        <f>IF(AND(ПравилоПовтора="Новый сезон",9-1&gt;MOD(MONTH('03_Сеть'!V6)-9,12)),'03_Сеть'!V30*CapacityAge09*МножительДетей,0)</f>
        <v/>
      </c>
      <c r="W116" s="9">
        <f>IF(AND(ПравилоПовтора="Новый сезон",9-1&gt;MOD(MONTH('03_Сеть'!W6)-9,12)),'03_Сеть'!W30*CapacityAge09*МножительДетей,0)</f>
        <v/>
      </c>
      <c r="X116" s="9">
        <f>IF(AND(ПравилоПовтора="Новый сезон",9-1&gt;MOD(MONTH('03_Сеть'!X6)-9,12)),'03_Сеть'!X30*CapacityAge09*МножительДетей,0)</f>
        <v/>
      </c>
      <c r="Y116" s="9">
        <f>IF(AND(ПравилоПовтора="Новый сезон",9-1&gt;MOD(MONTH('03_Сеть'!Y6)-9,12)),'03_Сеть'!Y30*CapacityAge09*МножительДетей,0)</f>
        <v/>
      </c>
      <c r="Z116" s="9">
        <f>IF(AND(ПравилоПовтора="Новый сезон",9-1&gt;MOD(MONTH('03_Сеть'!Z6)-9,12)),'03_Сеть'!Z30*CapacityAge09*МножительДетей,0)</f>
        <v/>
      </c>
      <c r="AA116" s="9">
        <f>IF(AND(ПравилоПовтора="Новый сезон",9-1&gt;MOD(MONTH('03_Сеть'!AA6)-9,12)),'03_Сеть'!AA30*CapacityAge09*МножительДетей,0)</f>
        <v/>
      </c>
      <c r="AB116" s="9">
        <f>IF(AND(ПравилоПовтора="Новый сезон",9-1&gt;MOD(MONTH('03_Сеть'!AB6)-9,12)),'03_Сеть'!AB30*CapacityAge09*МножительДетей,0)</f>
        <v/>
      </c>
      <c r="AC116" s="9">
        <f>IF(AND(ПравилоПовтора="Новый сезон",9-1&gt;MOD(MONTH('03_Сеть'!AC6)-9,12)),'03_Сеть'!AC30*CapacityAge09*МножительДетей,0)</f>
        <v/>
      </c>
      <c r="AD116" s="9">
        <f>IF(AND(ПравилоПовтора="Новый сезон",9-1&gt;MOD(MONTH('03_Сеть'!AD6)-9,12)),'03_Сеть'!AD30*CapacityAge09*МножительДетей,0)</f>
        <v/>
      </c>
      <c r="AE116" s="9">
        <f>IF(AND(ПравилоПовтора="Новый сезон",9-1&gt;MOD(MONTH('03_Сеть'!AE6)-9,12)),'03_Сеть'!AE30*CapacityAge09*МножительДетей,0)</f>
        <v/>
      </c>
      <c r="AF116" s="9">
        <f>IF(AND(ПравилоПовтора="Новый сезон",9-1&gt;MOD(MONTH('03_Сеть'!AF6)-9,12)),'03_Сеть'!AF30*CapacityAge09*МножительДетей,0)</f>
        <v/>
      </c>
      <c r="AG116" s="9">
        <f>IF(AND(ПравилоПовтора="Новый сезон",9-1&gt;MOD(MONTH('03_Сеть'!AG6)-9,12)),'03_Сеть'!AG30*CapacityAge09*МножительДетей,0)</f>
        <v/>
      </c>
      <c r="AH116" s="9">
        <f>IF(AND(ПравилоПовтора="Новый сезон",9-1&gt;MOD(MONTH('03_Сеть'!AH6)-9,12)),'03_Сеть'!AH30*CapacityAge09*МножительДетей,0)</f>
        <v/>
      </c>
      <c r="AI116" s="9">
        <f>IF(AND(ПравилоПовтора="Новый сезон",9-1&gt;MOD(MONTH('03_Сеть'!AI6)-9,12)),'03_Сеть'!AI30*CapacityAge09*МножительДетей,0)</f>
        <v/>
      </c>
      <c r="AJ116" s="9">
        <f>IF(AND(ПравилоПовтора="Новый сезон",9-1&gt;MOD(MONTH('03_Сеть'!AJ6)-9,12)),'03_Сеть'!AJ30*CapacityAge09*МножительДетей,0)</f>
        <v/>
      </c>
      <c r="AK116" s="9">
        <f>IF(AND(ПравилоПовтора="Новый сезон",9-1&gt;MOD(MONTH('03_Сеть'!AK6)-9,12)),'03_Сеть'!AK30*CapacityAge09*МножительДетей,0)</f>
        <v/>
      </c>
      <c r="AL116" s="9">
        <f>IF(AND(ПравилоПовтора="Новый сезон",9-1&gt;MOD(MONTH('03_Сеть'!AL6)-9,12)),'03_Сеть'!AL30*CapacityAge09*МножительДетей,0)</f>
        <v/>
      </c>
      <c r="AM116" s="9">
        <f>IF(AND(ПравилоПовтора="Новый сезон",9-1&gt;MOD(MONTH('03_Сеть'!AM6)-9,12)),'03_Сеть'!AM30*CapacityAge09*МножительДетей,0)</f>
        <v/>
      </c>
      <c r="AN116" s="9">
        <f>IF(AND(ПравилоПовтора="Новый сезон",9-1&gt;MOD(MONTH('03_Сеть'!AN6)-9,12)),'03_Сеть'!AN30*CapacityAge09*МножительДетей,0)</f>
        <v/>
      </c>
      <c r="AO116" s="9">
        <f>IF(AND(ПравилоПовтора="Новый сезон",9-1&gt;MOD(MONTH('03_Сеть'!AO6)-9,12)),'03_Сеть'!AO30*CapacityAge09*МножительДетей,0)</f>
        <v/>
      </c>
      <c r="AP116" s="9">
        <f>IF(AND(ПравилоПовтора="Новый сезон",9-1&gt;MOD(MONTH('03_Сеть'!AP6)-9,12)),'03_Сеть'!AP30*CapacityAge09*МножительДетей,0)</f>
        <v/>
      </c>
      <c r="AQ116" s="9">
        <f>IF(AND(ПравилоПовтора="Новый сезон",9-1&gt;MOD(MONTH('03_Сеть'!AQ6)-9,12)),'03_Сеть'!AQ30*CapacityAge09*МножительДетей,0)</f>
        <v/>
      </c>
      <c r="AR116" s="9">
        <f>IF(AND(ПравилоПовтора="Новый сезон",9-1&gt;MOD(MONTH('03_Сеть'!AR6)-9,12)),'03_Сеть'!AR30*CapacityAge09*МножительДетей,0)</f>
        <v/>
      </c>
      <c r="AS116" s="9">
        <f>IF(AND(ПравилоПовтора="Новый сезон",9-1&gt;MOD(MONTH('03_Сеть'!AS6)-9,12)),'03_Сеть'!AS30*CapacityAge09*МножительДетей,0)</f>
        <v/>
      </c>
      <c r="AT116" s="9">
        <f>IF(AND(ПравилоПовтора="Новый сезон",9-1&gt;MOD(MONTH('03_Сеть'!AT6)-9,12)),'03_Сеть'!AT30*CapacityAge09*МножительДетей,0)</f>
        <v/>
      </c>
      <c r="AU116" s="9">
        <f>IF(AND(ПравилоПовтора="Новый сезон",9-1&gt;MOD(MONTH('03_Сеть'!AU6)-9,12)),'03_Сеть'!AU30*CapacityAge09*МножительДетей,0)</f>
        <v/>
      </c>
      <c r="AV116" s="9">
        <f>IF(AND(ПравилоПовтора="Новый сезон",9-1&gt;MOD(MONTH('03_Сеть'!AV6)-9,12)),'03_Сеть'!AV30*CapacityAge09*МножительДетей,0)</f>
        <v/>
      </c>
      <c r="AW116" s="9">
        <f>IF(AND(ПравилоПовтора="Новый сезон",9-1&gt;MOD(MONTH('03_Сеть'!AW6)-9,12)),'03_Сеть'!AW30*CapacityAge09*МножительДетей,0)</f>
        <v/>
      </c>
      <c r="AX116" s="9">
        <f>IF(AND(ПравилоПовтора="Новый сезон",9-1&gt;MOD(MONTH('03_Сеть'!AX6)-9,12)),'03_Сеть'!AX30*CapacityAge09*МножительДетей,0)</f>
        <v/>
      </c>
      <c r="AY116" s="9">
        <f>IF(AND(ПравилоПовтора="Новый сезон",9-1&gt;MOD(MONTH('03_Сеть'!AY6)-9,12)),'03_Сеть'!AY30*CapacityAge09*МножительДетей,0)</f>
        <v/>
      </c>
      <c r="AZ116" s="9">
        <f>IF(AND(ПравилоПовтора="Новый сезон",9-1&gt;MOD(MONTH('03_Сеть'!AZ6)-9,12)),'03_Сеть'!AZ30*CapacityAge09*МножительДетей,0)</f>
        <v/>
      </c>
      <c r="BA116" s="9">
        <f>IF(AND(ПравилоПовтора="Новый сезон",9-1&gt;MOD(MONTH('03_Сеть'!BA6)-9,12)),'03_Сеть'!BA30*CapacityAge09*МножительДетей,0)</f>
        <v/>
      </c>
      <c r="BB116" s="9">
        <f>IF(AND(ПравилоПовтора="Новый сезон",9-1&gt;MOD(MONTH('03_Сеть'!BB6)-9,12)),'03_Сеть'!BB30*CapacityAge09*МножительДетей,0)</f>
        <v/>
      </c>
      <c r="BC116" s="9">
        <f>IF(AND(ПравилоПовтора="Новый сезон",9-1&gt;MOD(MONTH('03_Сеть'!BC6)-9,12)),'03_Сеть'!BC30*CapacityAge09*МножительДетей,0)</f>
        <v/>
      </c>
      <c r="BD116" s="9">
        <f>IF(AND(ПравилоПовтора="Новый сезон",9-1&gt;MOD(MONTH('03_Сеть'!BD6)-9,12)),'03_Сеть'!BD30*CapacityAge09*МножительДетей,0)</f>
        <v/>
      </c>
      <c r="BE116" s="9">
        <f>IF(AND(ПравилоПовтора="Новый сезон",9-1&gt;MOD(MONTH('03_Сеть'!BE6)-9,12)),'03_Сеть'!BE30*CapacityAge09*МножительДетей,0)</f>
        <v/>
      </c>
      <c r="BF116" s="9">
        <f>IF(AND(ПравилоПовтора="Новый сезон",9-1&gt;MOD(MONTH('03_Сеть'!BF6)-9,12)),'03_Сеть'!BF30*CapacityAge09*МножительДетей,0)</f>
        <v/>
      </c>
      <c r="BG116" s="9">
        <f>IF(AND(ПравилоПовтора="Новый сезон",9-1&gt;MOD(MONTH('03_Сеть'!BG6)-9,12)),'03_Сеть'!BG30*CapacityAge09*МножительДетей,0)</f>
        <v/>
      </c>
      <c r="BH116" s="9">
        <f>IF(AND(ПравилоПовтора="Новый сезон",9-1&gt;MOD(MONTH('03_Сеть'!BH6)-9,12)),'03_Сеть'!BH30*CapacityAge09*МножительДетей,0)</f>
        <v/>
      </c>
      <c r="BI116" s="9">
        <f>IF(AND(ПравилоПовтора="Новый сезон",9-1&gt;MOD(MONTH('03_Сеть'!BI6)-9,12)),'03_Сеть'!BI30*CapacityAge09*МножительДетей,0)</f>
        <v/>
      </c>
      <c r="BJ116" s="9">
        <f>IF(AND(ПравилоПовтора="Новый сезон",9-1&gt;MOD(MONTH('03_Сеть'!BJ6)-9,12)),'03_Сеть'!BJ30*CapacityAge09*МножительДетей,0)</f>
        <v/>
      </c>
      <c r="BK116" s="9">
        <f>IF(AND(ПравилоПовтора="Новый сезон",9-1&gt;MOD(MONTH('03_Сеть'!BK6)-9,12)),'03_Сеть'!BK30*CapacityAge09*МножительДетей,0)</f>
        <v/>
      </c>
      <c r="BL116" s="9">
        <f>IF(AND(ПравилоПовтора="Новый сезон",9-1&gt;MOD(MONTH('03_Сеть'!BL6)-9,12)),'03_Сеть'!BL30*CapacityAge09*МножительДетей,0)</f>
        <v/>
      </c>
      <c r="BM116" s="9">
        <f>IF(AND(ПравилоПовтора="Новый сезон",9-1&gt;MOD(MONTH('03_Сеть'!BM6)-9,12)),'03_Сеть'!BM30*CapacityAge09*МножительДетей,0)</f>
        <v/>
      </c>
      <c r="BN116" s="9">
        <f>IF(AND(ПравилоПовтора="Новый сезон",9-1&gt;MOD(MONTH('03_Сеть'!BN6)-9,12)),'03_Сеть'!BN30*CapacityAge09*МножительДетей,0)</f>
        <v/>
      </c>
      <c r="BO116" s="9">
        <f>IF(AND(ПравилоПовтора="Новый сезон",9-1&gt;MOD(MONTH('03_Сеть'!BO6)-9,12)),'03_Сеть'!BO30*CapacityAge09*МножительДетей,0)</f>
        <v/>
      </c>
      <c r="BP116" s="9">
        <f>IF(AND(ПравилоПовтора="Новый сезон",9-1&gt;MOD(MONTH('03_Сеть'!BP6)-9,12)),'03_Сеть'!BP30*CapacityAge09*МножительДетей,0)</f>
        <v/>
      </c>
      <c r="BQ116" s="9">
        <f>IF(AND(ПравилоПовтора="Новый сезон",9-1&gt;MOD(MONTH('03_Сеть'!BQ6)-9,12)),'03_Сеть'!BQ30*CapacityAge09*МножительДетей,0)</f>
        <v/>
      </c>
      <c r="BR116" s="9">
        <f>IF(AND(ПравилоПовтора="Новый сезон",9-1&gt;MOD(MONTH('03_Сеть'!BR6)-9,12)),'03_Сеть'!BR30*CapacityAge09*МножительДетей,0)</f>
        <v/>
      </c>
      <c r="BS116" s="9">
        <f>IF(AND(ПравилоПовтора="Новый сезон",9-1&gt;MOD(MONTH('03_Сеть'!BS6)-9,12)),'03_Сеть'!BS30*CapacityAge09*МножительДетей,0)</f>
        <v/>
      </c>
      <c r="BT116" s="9">
        <f>IF(AND(ПравилоПовтора="Новый сезон",9-1&gt;MOD(MONTH('03_Сеть'!BT6)-9,12)),'03_Сеть'!BT30*CapacityAge09*МножительДетей,0)</f>
        <v/>
      </c>
      <c r="BU116" s="9">
        <f>IF(AND(ПравилоПовтора="Новый сезон",9-1&gt;MOD(MONTH('03_Сеть'!BU6)-9,12)),'03_Сеть'!BU30*CapacityAge09*МножительДетей,0)</f>
        <v/>
      </c>
      <c r="BV116" s="9">
        <f>IF(AND(ПравилоПовтора="Новый сезон",9-1&gt;MOD(MONTH('03_Сеть'!BV6)-9,12)),'03_Сеть'!BV30*CapacityAge09*МножительДетей,0)</f>
        <v/>
      </c>
      <c r="BW116" s="9">
        <f>IF(AND(ПравилоПовтора="Новый сезон",9-1&gt;MOD(MONTH('03_Сеть'!BW6)-9,12)),'03_Сеть'!BW30*CapacityAge09*МножительДетей,0)</f>
        <v/>
      </c>
      <c r="BX116" s="9">
        <f>IF(AND(ПравилоПовтора="Новый сезон",9-1&gt;MOD(MONTH('03_Сеть'!BX6)-9,12)),'03_Сеть'!BX30*CapacityAge09*МножительДетей,0)</f>
        <v/>
      </c>
      <c r="BY116" s="9">
        <f>IF(AND(ПравилоПовтора="Новый сезон",9-1&gt;MOD(MONTH('03_Сеть'!BY6)-9,12)),'03_Сеть'!BY30*CapacityAge09*МножительДетей,0)</f>
        <v/>
      </c>
    </row>
    <row r="117">
      <c r="B117" t="inlineStr">
        <is>
          <t>10 мес.</t>
        </is>
      </c>
      <c r="C117" t="inlineStr">
        <is>
          <t>чел.</t>
        </is>
      </c>
      <c r="D117" s="117" t="inlineStr"/>
      <c r="E117" s="118">
        <f>W117</f>
        <v/>
      </c>
      <c r="F117" s="118">
        <f>AI117</f>
        <v/>
      </c>
      <c r="G117" s="118">
        <f>AU117</f>
        <v/>
      </c>
      <c r="H117" s="118">
        <f>BG117</f>
        <v/>
      </c>
      <c r="I117" s="118">
        <f>BS117</f>
        <v/>
      </c>
      <c r="J117" s="10">
        <f>BS117</f>
        <v/>
      </c>
      <c r="L117" s="9">
        <f>IF(AND(ПравилоПовтора="Новый сезон",10-1&gt;MOD(MONTH('03_Сеть'!L6)-9,12)),'03_Сеть'!L31*CapacityAge10*МножительДетей,0)</f>
        <v/>
      </c>
      <c r="M117" s="9">
        <f>IF(AND(ПравилоПовтора="Новый сезон",10-1&gt;MOD(MONTH('03_Сеть'!M6)-9,12)),'03_Сеть'!M31*CapacityAge10*МножительДетей,0)</f>
        <v/>
      </c>
      <c r="N117" s="9">
        <f>IF(AND(ПравилоПовтора="Новый сезон",10-1&gt;MOD(MONTH('03_Сеть'!N6)-9,12)),'03_Сеть'!N31*CapacityAge10*МножительДетей,0)</f>
        <v/>
      </c>
      <c r="O117" s="9">
        <f>IF(AND(ПравилоПовтора="Новый сезон",10-1&gt;MOD(MONTH('03_Сеть'!O6)-9,12)),'03_Сеть'!O31*CapacityAge10*МножительДетей,0)</f>
        <v/>
      </c>
      <c r="P117" s="9">
        <f>IF(AND(ПравилоПовтора="Новый сезон",10-1&gt;MOD(MONTH('03_Сеть'!P6)-9,12)),'03_Сеть'!P31*CapacityAge10*МножительДетей,0)</f>
        <v/>
      </c>
      <c r="Q117" s="9">
        <f>IF(AND(ПравилоПовтора="Новый сезон",10-1&gt;MOD(MONTH('03_Сеть'!Q6)-9,12)),'03_Сеть'!Q31*CapacityAge10*МножительДетей,0)</f>
        <v/>
      </c>
      <c r="R117" s="9">
        <f>IF(AND(ПравилоПовтора="Новый сезон",10-1&gt;MOD(MONTH('03_Сеть'!R6)-9,12)),'03_Сеть'!R31*CapacityAge10*МножительДетей,0)</f>
        <v/>
      </c>
      <c r="S117" s="9">
        <f>IF(AND(ПравилоПовтора="Новый сезон",10-1&gt;MOD(MONTH('03_Сеть'!S6)-9,12)),'03_Сеть'!S31*CapacityAge10*МножительДетей,0)</f>
        <v/>
      </c>
      <c r="T117" s="9">
        <f>IF(AND(ПравилоПовтора="Новый сезон",10-1&gt;MOD(MONTH('03_Сеть'!T6)-9,12)),'03_Сеть'!T31*CapacityAge10*МножительДетей,0)</f>
        <v/>
      </c>
      <c r="U117" s="9">
        <f>IF(AND(ПравилоПовтора="Новый сезон",10-1&gt;MOD(MONTH('03_Сеть'!U6)-9,12)),'03_Сеть'!U31*CapacityAge10*МножительДетей,0)</f>
        <v/>
      </c>
      <c r="V117" s="9">
        <f>IF(AND(ПравилоПовтора="Новый сезон",10-1&gt;MOD(MONTH('03_Сеть'!V6)-9,12)),'03_Сеть'!V31*CapacityAge10*МножительДетей,0)</f>
        <v/>
      </c>
      <c r="W117" s="9">
        <f>IF(AND(ПравилоПовтора="Новый сезон",10-1&gt;MOD(MONTH('03_Сеть'!W6)-9,12)),'03_Сеть'!W31*CapacityAge10*МножительДетей,0)</f>
        <v/>
      </c>
      <c r="X117" s="9">
        <f>IF(AND(ПравилоПовтора="Новый сезон",10-1&gt;MOD(MONTH('03_Сеть'!X6)-9,12)),'03_Сеть'!X31*CapacityAge10*МножительДетей,0)</f>
        <v/>
      </c>
      <c r="Y117" s="9">
        <f>IF(AND(ПравилоПовтора="Новый сезон",10-1&gt;MOD(MONTH('03_Сеть'!Y6)-9,12)),'03_Сеть'!Y31*CapacityAge10*МножительДетей,0)</f>
        <v/>
      </c>
      <c r="Z117" s="9">
        <f>IF(AND(ПравилоПовтора="Новый сезон",10-1&gt;MOD(MONTH('03_Сеть'!Z6)-9,12)),'03_Сеть'!Z31*CapacityAge10*МножительДетей,0)</f>
        <v/>
      </c>
      <c r="AA117" s="9">
        <f>IF(AND(ПравилоПовтора="Новый сезон",10-1&gt;MOD(MONTH('03_Сеть'!AA6)-9,12)),'03_Сеть'!AA31*CapacityAge10*МножительДетей,0)</f>
        <v/>
      </c>
      <c r="AB117" s="9">
        <f>IF(AND(ПравилоПовтора="Новый сезон",10-1&gt;MOD(MONTH('03_Сеть'!AB6)-9,12)),'03_Сеть'!AB31*CapacityAge10*МножительДетей,0)</f>
        <v/>
      </c>
      <c r="AC117" s="9">
        <f>IF(AND(ПравилоПовтора="Новый сезон",10-1&gt;MOD(MONTH('03_Сеть'!AC6)-9,12)),'03_Сеть'!AC31*CapacityAge10*МножительДетей,0)</f>
        <v/>
      </c>
      <c r="AD117" s="9">
        <f>IF(AND(ПравилоПовтора="Новый сезон",10-1&gt;MOD(MONTH('03_Сеть'!AD6)-9,12)),'03_Сеть'!AD31*CapacityAge10*МножительДетей,0)</f>
        <v/>
      </c>
      <c r="AE117" s="9">
        <f>IF(AND(ПравилоПовтора="Новый сезон",10-1&gt;MOD(MONTH('03_Сеть'!AE6)-9,12)),'03_Сеть'!AE31*CapacityAge10*МножительДетей,0)</f>
        <v/>
      </c>
      <c r="AF117" s="9">
        <f>IF(AND(ПравилоПовтора="Новый сезон",10-1&gt;MOD(MONTH('03_Сеть'!AF6)-9,12)),'03_Сеть'!AF31*CapacityAge10*МножительДетей,0)</f>
        <v/>
      </c>
      <c r="AG117" s="9">
        <f>IF(AND(ПравилоПовтора="Новый сезон",10-1&gt;MOD(MONTH('03_Сеть'!AG6)-9,12)),'03_Сеть'!AG31*CapacityAge10*МножительДетей,0)</f>
        <v/>
      </c>
      <c r="AH117" s="9">
        <f>IF(AND(ПравилоПовтора="Новый сезон",10-1&gt;MOD(MONTH('03_Сеть'!AH6)-9,12)),'03_Сеть'!AH31*CapacityAge10*МножительДетей,0)</f>
        <v/>
      </c>
      <c r="AI117" s="9">
        <f>IF(AND(ПравилоПовтора="Новый сезон",10-1&gt;MOD(MONTH('03_Сеть'!AI6)-9,12)),'03_Сеть'!AI31*CapacityAge10*МножительДетей,0)</f>
        <v/>
      </c>
      <c r="AJ117" s="9">
        <f>IF(AND(ПравилоПовтора="Новый сезон",10-1&gt;MOD(MONTH('03_Сеть'!AJ6)-9,12)),'03_Сеть'!AJ31*CapacityAge10*МножительДетей,0)</f>
        <v/>
      </c>
      <c r="AK117" s="9">
        <f>IF(AND(ПравилоПовтора="Новый сезон",10-1&gt;MOD(MONTH('03_Сеть'!AK6)-9,12)),'03_Сеть'!AK31*CapacityAge10*МножительДетей,0)</f>
        <v/>
      </c>
      <c r="AL117" s="9">
        <f>IF(AND(ПравилоПовтора="Новый сезон",10-1&gt;MOD(MONTH('03_Сеть'!AL6)-9,12)),'03_Сеть'!AL31*CapacityAge10*МножительДетей,0)</f>
        <v/>
      </c>
      <c r="AM117" s="9">
        <f>IF(AND(ПравилоПовтора="Новый сезон",10-1&gt;MOD(MONTH('03_Сеть'!AM6)-9,12)),'03_Сеть'!AM31*CapacityAge10*МножительДетей,0)</f>
        <v/>
      </c>
      <c r="AN117" s="9">
        <f>IF(AND(ПравилоПовтора="Новый сезон",10-1&gt;MOD(MONTH('03_Сеть'!AN6)-9,12)),'03_Сеть'!AN31*CapacityAge10*МножительДетей,0)</f>
        <v/>
      </c>
      <c r="AO117" s="9">
        <f>IF(AND(ПравилоПовтора="Новый сезон",10-1&gt;MOD(MONTH('03_Сеть'!AO6)-9,12)),'03_Сеть'!AO31*CapacityAge10*МножительДетей,0)</f>
        <v/>
      </c>
      <c r="AP117" s="9">
        <f>IF(AND(ПравилоПовтора="Новый сезон",10-1&gt;MOD(MONTH('03_Сеть'!AP6)-9,12)),'03_Сеть'!AP31*CapacityAge10*МножительДетей,0)</f>
        <v/>
      </c>
      <c r="AQ117" s="9">
        <f>IF(AND(ПравилоПовтора="Новый сезон",10-1&gt;MOD(MONTH('03_Сеть'!AQ6)-9,12)),'03_Сеть'!AQ31*CapacityAge10*МножительДетей,0)</f>
        <v/>
      </c>
      <c r="AR117" s="9">
        <f>IF(AND(ПравилоПовтора="Новый сезон",10-1&gt;MOD(MONTH('03_Сеть'!AR6)-9,12)),'03_Сеть'!AR31*CapacityAge10*МножительДетей,0)</f>
        <v/>
      </c>
      <c r="AS117" s="9">
        <f>IF(AND(ПравилоПовтора="Новый сезон",10-1&gt;MOD(MONTH('03_Сеть'!AS6)-9,12)),'03_Сеть'!AS31*CapacityAge10*МножительДетей,0)</f>
        <v/>
      </c>
      <c r="AT117" s="9">
        <f>IF(AND(ПравилоПовтора="Новый сезон",10-1&gt;MOD(MONTH('03_Сеть'!AT6)-9,12)),'03_Сеть'!AT31*CapacityAge10*МножительДетей,0)</f>
        <v/>
      </c>
      <c r="AU117" s="9">
        <f>IF(AND(ПравилоПовтора="Новый сезон",10-1&gt;MOD(MONTH('03_Сеть'!AU6)-9,12)),'03_Сеть'!AU31*CapacityAge10*МножительДетей,0)</f>
        <v/>
      </c>
      <c r="AV117" s="9">
        <f>IF(AND(ПравилоПовтора="Новый сезон",10-1&gt;MOD(MONTH('03_Сеть'!AV6)-9,12)),'03_Сеть'!AV31*CapacityAge10*МножительДетей,0)</f>
        <v/>
      </c>
      <c r="AW117" s="9">
        <f>IF(AND(ПравилоПовтора="Новый сезон",10-1&gt;MOD(MONTH('03_Сеть'!AW6)-9,12)),'03_Сеть'!AW31*CapacityAge10*МножительДетей,0)</f>
        <v/>
      </c>
      <c r="AX117" s="9">
        <f>IF(AND(ПравилоПовтора="Новый сезон",10-1&gt;MOD(MONTH('03_Сеть'!AX6)-9,12)),'03_Сеть'!AX31*CapacityAge10*МножительДетей,0)</f>
        <v/>
      </c>
      <c r="AY117" s="9">
        <f>IF(AND(ПравилоПовтора="Новый сезон",10-1&gt;MOD(MONTH('03_Сеть'!AY6)-9,12)),'03_Сеть'!AY31*CapacityAge10*МножительДетей,0)</f>
        <v/>
      </c>
      <c r="AZ117" s="9">
        <f>IF(AND(ПравилоПовтора="Новый сезон",10-1&gt;MOD(MONTH('03_Сеть'!AZ6)-9,12)),'03_Сеть'!AZ31*CapacityAge10*МножительДетей,0)</f>
        <v/>
      </c>
      <c r="BA117" s="9">
        <f>IF(AND(ПравилоПовтора="Новый сезон",10-1&gt;MOD(MONTH('03_Сеть'!BA6)-9,12)),'03_Сеть'!BA31*CapacityAge10*МножительДетей,0)</f>
        <v/>
      </c>
      <c r="BB117" s="9">
        <f>IF(AND(ПравилоПовтора="Новый сезон",10-1&gt;MOD(MONTH('03_Сеть'!BB6)-9,12)),'03_Сеть'!BB31*CapacityAge10*МножительДетей,0)</f>
        <v/>
      </c>
      <c r="BC117" s="9">
        <f>IF(AND(ПравилоПовтора="Новый сезон",10-1&gt;MOD(MONTH('03_Сеть'!BC6)-9,12)),'03_Сеть'!BC31*CapacityAge10*МножительДетей,0)</f>
        <v/>
      </c>
      <c r="BD117" s="9">
        <f>IF(AND(ПравилоПовтора="Новый сезон",10-1&gt;MOD(MONTH('03_Сеть'!BD6)-9,12)),'03_Сеть'!BD31*CapacityAge10*МножительДетей,0)</f>
        <v/>
      </c>
      <c r="BE117" s="9">
        <f>IF(AND(ПравилоПовтора="Новый сезон",10-1&gt;MOD(MONTH('03_Сеть'!BE6)-9,12)),'03_Сеть'!BE31*CapacityAge10*МножительДетей,0)</f>
        <v/>
      </c>
      <c r="BF117" s="9">
        <f>IF(AND(ПравилоПовтора="Новый сезон",10-1&gt;MOD(MONTH('03_Сеть'!BF6)-9,12)),'03_Сеть'!BF31*CapacityAge10*МножительДетей,0)</f>
        <v/>
      </c>
      <c r="BG117" s="9">
        <f>IF(AND(ПравилоПовтора="Новый сезон",10-1&gt;MOD(MONTH('03_Сеть'!BG6)-9,12)),'03_Сеть'!BG31*CapacityAge10*МножительДетей,0)</f>
        <v/>
      </c>
      <c r="BH117" s="9">
        <f>IF(AND(ПравилоПовтора="Новый сезон",10-1&gt;MOD(MONTH('03_Сеть'!BH6)-9,12)),'03_Сеть'!BH31*CapacityAge10*МножительДетей,0)</f>
        <v/>
      </c>
      <c r="BI117" s="9">
        <f>IF(AND(ПравилоПовтора="Новый сезон",10-1&gt;MOD(MONTH('03_Сеть'!BI6)-9,12)),'03_Сеть'!BI31*CapacityAge10*МножительДетей,0)</f>
        <v/>
      </c>
      <c r="BJ117" s="9">
        <f>IF(AND(ПравилоПовтора="Новый сезон",10-1&gt;MOD(MONTH('03_Сеть'!BJ6)-9,12)),'03_Сеть'!BJ31*CapacityAge10*МножительДетей,0)</f>
        <v/>
      </c>
      <c r="BK117" s="9">
        <f>IF(AND(ПравилоПовтора="Новый сезон",10-1&gt;MOD(MONTH('03_Сеть'!BK6)-9,12)),'03_Сеть'!BK31*CapacityAge10*МножительДетей,0)</f>
        <v/>
      </c>
      <c r="BL117" s="9">
        <f>IF(AND(ПравилоПовтора="Новый сезон",10-1&gt;MOD(MONTH('03_Сеть'!BL6)-9,12)),'03_Сеть'!BL31*CapacityAge10*МножительДетей,0)</f>
        <v/>
      </c>
      <c r="BM117" s="9">
        <f>IF(AND(ПравилоПовтора="Новый сезон",10-1&gt;MOD(MONTH('03_Сеть'!BM6)-9,12)),'03_Сеть'!BM31*CapacityAge10*МножительДетей,0)</f>
        <v/>
      </c>
      <c r="BN117" s="9">
        <f>IF(AND(ПравилоПовтора="Новый сезон",10-1&gt;MOD(MONTH('03_Сеть'!BN6)-9,12)),'03_Сеть'!BN31*CapacityAge10*МножительДетей,0)</f>
        <v/>
      </c>
      <c r="BO117" s="9">
        <f>IF(AND(ПравилоПовтора="Новый сезон",10-1&gt;MOD(MONTH('03_Сеть'!BO6)-9,12)),'03_Сеть'!BO31*CapacityAge10*МножительДетей,0)</f>
        <v/>
      </c>
      <c r="BP117" s="9">
        <f>IF(AND(ПравилоПовтора="Новый сезон",10-1&gt;MOD(MONTH('03_Сеть'!BP6)-9,12)),'03_Сеть'!BP31*CapacityAge10*МножительДетей,0)</f>
        <v/>
      </c>
      <c r="BQ117" s="9">
        <f>IF(AND(ПравилоПовтора="Новый сезон",10-1&gt;MOD(MONTH('03_Сеть'!BQ6)-9,12)),'03_Сеть'!BQ31*CapacityAge10*МножительДетей,0)</f>
        <v/>
      </c>
      <c r="BR117" s="9">
        <f>IF(AND(ПравилоПовтора="Новый сезон",10-1&gt;MOD(MONTH('03_Сеть'!BR6)-9,12)),'03_Сеть'!BR31*CapacityAge10*МножительДетей,0)</f>
        <v/>
      </c>
      <c r="BS117" s="9">
        <f>IF(AND(ПравилоПовтора="Новый сезон",10-1&gt;MOD(MONTH('03_Сеть'!BS6)-9,12)),'03_Сеть'!BS31*CapacityAge10*МножительДетей,0)</f>
        <v/>
      </c>
      <c r="BT117" s="9">
        <f>IF(AND(ПравилоПовтора="Новый сезон",10-1&gt;MOD(MONTH('03_Сеть'!BT6)-9,12)),'03_Сеть'!BT31*CapacityAge10*МножительДетей,0)</f>
        <v/>
      </c>
      <c r="BU117" s="9">
        <f>IF(AND(ПравилоПовтора="Новый сезон",10-1&gt;MOD(MONTH('03_Сеть'!BU6)-9,12)),'03_Сеть'!BU31*CapacityAge10*МножительДетей,0)</f>
        <v/>
      </c>
      <c r="BV117" s="9">
        <f>IF(AND(ПравилоПовтора="Новый сезон",10-1&gt;MOD(MONTH('03_Сеть'!BV6)-9,12)),'03_Сеть'!BV31*CapacityAge10*МножительДетей,0)</f>
        <v/>
      </c>
      <c r="BW117" s="9">
        <f>IF(AND(ПравилоПовтора="Новый сезон",10-1&gt;MOD(MONTH('03_Сеть'!BW6)-9,12)),'03_Сеть'!BW31*CapacityAge10*МножительДетей,0)</f>
        <v/>
      </c>
      <c r="BX117" s="9">
        <f>IF(AND(ПравилоПовтора="Новый сезон",10-1&gt;MOD(MONTH('03_Сеть'!BX6)-9,12)),'03_Сеть'!BX31*CapacityAge10*МножительДетей,0)</f>
        <v/>
      </c>
      <c r="BY117" s="9">
        <f>IF(AND(ПравилоПовтора="Новый сезон",10-1&gt;MOD(MONTH('03_Сеть'!BY6)-9,12)),'03_Сеть'!BY31*CapacityAge10*МножительДетей,0)</f>
        <v/>
      </c>
    </row>
    <row r="118">
      <c r="B118" t="inlineStr">
        <is>
          <t>11 мес.</t>
        </is>
      </c>
      <c r="C118" t="inlineStr">
        <is>
          <t>чел.</t>
        </is>
      </c>
      <c r="D118" s="117" t="inlineStr"/>
      <c r="E118" s="118">
        <f>W118</f>
        <v/>
      </c>
      <c r="F118" s="118">
        <f>AI118</f>
        <v/>
      </c>
      <c r="G118" s="118">
        <f>AU118</f>
        <v/>
      </c>
      <c r="H118" s="118">
        <f>BG118</f>
        <v/>
      </c>
      <c r="I118" s="118">
        <f>BS118</f>
        <v/>
      </c>
      <c r="J118" s="10">
        <f>BS118</f>
        <v/>
      </c>
      <c r="L118" s="9">
        <f>IF(AND(ПравилоПовтора="Новый сезон",11-1&gt;MOD(MONTH('03_Сеть'!L6)-9,12)),'03_Сеть'!L32*CapacityAge11*МножительДетей,0)</f>
        <v/>
      </c>
      <c r="M118" s="9">
        <f>IF(AND(ПравилоПовтора="Новый сезон",11-1&gt;MOD(MONTH('03_Сеть'!M6)-9,12)),'03_Сеть'!M32*CapacityAge11*МножительДетей,0)</f>
        <v/>
      </c>
      <c r="N118" s="9">
        <f>IF(AND(ПравилоПовтора="Новый сезон",11-1&gt;MOD(MONTH('03_Сеть'!N6)-9,12)),'03_Сеть'!N32*CapacityAge11*МножительДетей,0)</f>
        <v/>
      </c>
      <c r="O118" s="9">
        <f>IF(AND(ПравилоПовтора="Новый сезон",11-1&gt;MOD(MONTH('03_Сеть'!O6)-9,12)),'03_Сеть'!O32*CapacityAge11*МножительДетей,0)</f>
        <v/>
      </c>
      <c r="P118" s="9">
        <f>IF(AND(ПравилоПовтора="Новый сезон",11-1&gt;MOD(MONTH('03_Сеть'!P6)-9,12)),'03_Сеть'!P32*CapacityAge11*МножительДетей,0)</f>
        <v/>
      </c>
      <c r="Q118" s="9">
        <f>IF(AND(ПравилоПовтора="Новый сезон",11-1&gt;MOD(MONTH('03_Сеть'!Q6)-9,12)),'03_Сеть'!Q32*CapacityAge11*МножительДетей,0)</f>
        <v/>
      </c>
      <c r="R118" s="9">
        <f>IF(AND(ПравилоПовтора="Новый сезон",11-1&gt;MOD(MONTH('03_Сеть'!R6)-9,12)),'03_Сеть'!R32*CapacityAge11*МножительДетей,0)</f>
        <v/>
      </c>
      <c r="S118" s="9">
        <f>IF(AND(ПравилоПовтора="Новый сезон",11-1&gt;MOD(MONTH('03_Сеть'!S6)-9,12)),'03_Сеть'!S32*CapacityAge11*МножительДетей,0)</f>
        <v/>
      </c>
      <c r="T118" s="9">
        <f>IF(AND(ПравилоПовтора="Новый сезон",11-1&gt;MOD(MONTH('03_Сеть'!T6)-9,12)),'03_Сеть'!T32*CapacityAge11*МножительДетей,0)</f>
        <v/>
      </c>
      <c r="U118" s="9">
        <f>IF(AND(ПравилоПовтора="Новый сезон",11-1&gt;MOD(MONTH('03_Сеть'!U6)-9,12)),'03_Сеть'!U32*CapacityAge11*МножительДетей,0)</f>
        <v/>
      </c>
      <c r="V118" s="9">
        <f>IF(AND(ПравилоПовтора="Новый сезон",11-1&gt;MOD(MONTH('03_Сеть'!V6)-9,12)),'03_Сеть'!V32*CapacityAge11*МножительДетей,0)</f>
        <v/>
      </c>
      <c r="W118" s="9">
        <f>IF(AND(ПравилоПовтора="Новый сезон",11-1&gt;MOD(MONTH('03_Сеть'!W6)-9,12)),'03_Сеть'!W32*CapacityAge11*МножительДетей,0)</f>
        <v/>
      </c>
      <c r="X118" s="9">
        <f>IF(AND(ПравилоПовтора="Новый сезон",11-1&gt;MOD(MONTH('03_Сеть'!X6)-9,12)),'03_Сеть'!X32*CapacityAge11*МножительДетей,0)</f>
        <v/>
      </c>
      <c r="Y118" s="9">
        <f>IF(AND(ПравилоПовтора="Новый сезон",11-1&gt;MOD(MONTH('03_Сеть'!Y6)-9,12)),'03_Сеть'!Y32*CapacityAge11*МножительДетей,0)</f>
        <v/>
      </c>
      <c r="Z118" s="9">
        <f>IF(AND(ПравилоПовтора="Новый сезон",11-1&gt;MOD(MONTH('03_Сеть'!Z6)-9,12)),'03_Сеть'!Z32*CapacityAge11*МножительДетей,0)</f>
        <v/>
      </c>
      <c r="AA118" s="9">
        <f>IF(AND(ПравилоПовтора="Новый сезон",11-1&gt;MOD(MONTH('03_Сеть'!AA6)-9,12)),'03_Сеть'!AA32*CapacityAge11*МножительДетей,0)</f>
        <v/>
      </c>
      <c r="AB118" s="9">
        <f>IF(AND(ПравилоПовтора="Новый сезон",11-1&gt;MOD(MONTH('03_Сеть'!AB6)-9,12)),'03_Сеть'!AB32*CapacityAge11*МножительДетей,0)</f>
        <v/>
      </c>
      <c r="AC118" s="9">
        <f>IF(AND(ПравилоПовтора="Новый сезон",11-1&gt;MOD(MONTH('03_Сеть'!AC6)-9,12)),'03_Сеть'!AC32*CapacityAge11*МножительДетей,0)</f>
        <v/>
      </c>
      <c r="AD118" s="9">
        <f>IF(AND(ПравилоПовтора="Новый сезон",11-1&gt;MOD(MONTH('03_Сеть'!AD6)-9,12)),'03_Сеть'!AD32*CapacityAge11*МножительДетей,0)</f>
        <v/>
      </c>
      <c r="AE118" s="9">
        <f>IF(AND(ПравилоПовтора="Новый сезон",11-1&gt;MOD(MONTH('03_Сеть'!AE6)-9,12)),'03_Сеть'!AE32*CapacityAge11*МножительДетей,0)</f>
        <v/>
      </c>
      <c r="AF118" s="9">
        <f>IF(AND(ПравилоПовтора="Новый сезон",11-1&gt;MOD(MONTH('03_Сеть'!AF6)-9,12)),'03_Сеть'!AF32*CapacityAge11*МножительДетей,0)</f>
        <v/>
      </c>
      <c r="AG118" s="9">
        <f>IF(AND(ПравилоПовтора="Новый сезон",11-1&gt;MOD(MONTH('03_Сеть'!AG6)-9,12)),'03_Сеть'!AG32*CapacityAge11*МножительДетей,0)</f>
        <v/>
      </c>
      <c r="AH118" s="9">
        <f>IF(AND(ПравилоПовтора="Новый сезон",11-1&gt;MOD(MONTH('03_Сеть'!AH6)-9,12)),'03_Сеть'!AH32*CapacityAge11*МножительДетей,0)</f>
        <v/>
      </c>
      <c r="AI118" s="9">
        <f>IF(AND(ПравилоПовтора="Новый сезон",11-1&gt;MOD(MONTH('03_Сеть'!AI6)-9,12)),'03_Сеть'!AI32*CapacityAge11*МножительДетей,0)</f>
        <v/>
      </c>
      <c r="AJ118" s="9">
        <f>IF(AND(ПравилоПовтора="Новый сезон",11-1&gt;MOD(MONTH('03_Сеть'!AJ6)-9,12)),'03_Сеть'!AJ32*CapacityAge11*МножительДетей,0)</f>
        <v/>
      </c>
      <c r="AK118" s="9">
        <f>IF(AND(ПравилоПовтора="Новый сезон",11-1&gt;MOD(MONTH('03_Сеть'!AK6)-9,12)),'03_Сеть'!AK32*CapacityAge11*МножительДетей,0)</f>
        <v/>
      </c>
      <c r="AL118" s="9">
        <f>IF(AND(ПравилоПовтора="Новый сезон",11-1&gt;MOD(MONTH('03_Сеть'!AL6)-9,12)),'03_Сеть'!AL32*CapacityAge11*МножительДетей,0)</f>
        <v/>
      </c>
      <c r="AM118" s="9">
        <f>IF(AND(ПравилоПовтора="Новый сезон",11-1&gt;MOD(MONTH('03_Сеть'!AM6)-9,12)),'03_Сеть'!AM32*CapacityAge11*МножительДетей,0)</f>
        <v/>
      </c>
      <c r="AN118" s="9">
        <f>IF(AND(ПравилоПовтора="Новый сезон",11-1&gt;MOD(MONTH('03_Сеть'!AN6)-9,12)),'03_Сеть'!AN32*CapacityAge11*МножительДетей,0)</f>
        <v/>
      </c>
      <c r="AO118" s="9">
        <f>IF(AND(ПравилоПовтора="Новый сезон",11-1&gt;MOD(MONTH('03_Сеть'!AO6)-9,12)),'03_Сеть'!AO32*CapacityAge11*МножительДетей,0)</f>
        <v/>
      </c>
      <c r="AP118" s="9">
        <f>IF(AND(ПравилоПовтора="Новый сезон",11-1&gt;MOD(MONTH('03_Сеть'!AP6)-9,12)),'03_Сеть'!AP32*CapacityAge11*МножительДетей,0)</f>
        <v/>
      </c>
      <c r="AQ118" s="9">
        <f>IF(AND(ПравилоПовтора="Новый сезон",11-1&gt;MOD(MONTH('03_Сеть'!AQ6)-9,12)),'03_Сеть'!AQ32*CapacityAge11*МножительДетей,0)</f>
        <v/>
      </c>
      <c r="AR118" s="9">
        <f>IF(AND(ПравилоПовтора="Новый сезон",11-1&gt;MOD(MONTH('03_Сеть'!AR6)-9,12)),'03_Сеть'!AR32*CapacityAge11*МножительДетей,0)</f>
        <v/>
      </c>
      <c r="AS118" s="9">
        <f>IF(AND(ПравилоПовтора="Новый сезон",11-1&gt;MOD(MONTH('03_Сеть'!AS6)-9,12)),'03_Сеть'!AS32*CapacityAge11*МножительДетей,0)</f>
        <v/>
      </c>
      <c r="AT118" s="9">
        <f>IF(AND(ПравилоПовтора="Новый сезон",11-1&gt;MOD(MONTH('03_Сеть'!AT6)-9,12)),'03_Сеть'!AT32*CapacityAge11*МножительДетей,0)</f>
        <v/>
      </c>
      <c r="AU118" s="9">
        <f>IF(AND(ПравилоПовтора="Новый сезон",11-1&gt;MOD(MONTH('03_Сеть'!AU6)-9,12)),'03_Сеть'!AU32*CapacityAge11*МножительДетей,0)</f>
        <v/>
      </c>
      <c r="AV118" s="9">
        <f>IF(AND(ПравилоПовтора="Новый сезон",11-1&gt;MOD(MONTH('03_Сеть'!AV6)-9,12)),'03_Сеть'!AV32*CapacityAge11*МножительДетей,0)</f>
        <v/>
      </c>
      <c r="AW118" s="9">
        <f>IF(AND(ПравилоПовтора="Новый сезон",11-1&gt;MOD(MONTH('03_Сеть'!AW6)-9,12)),'03_Сеть'!AW32*CapacityAge11*МножительДетей,0)</f>
        <v/>
      </c>
      <c r="AX118" s="9">
        <f>IF(AND(ПравилоПовтора="Новый сезон",11-1&gt;MOD(MONTH('03_Сеть'!AX6)-9,12)),'03_Сеть'!AX32*CapacityAge11*МножительДетей,0)</f>
        <v/>
      </c>
      <c r="AY118" s="9">
        <f>IF(AND(ПравилоПовтора="Новый сезон",11-1&gt;MOD(MONTH('03_Сеть'!AY6)-9,12)),'03_Сеть'!AY32*CapacityAge11*МножительДетей,0)</f>
        <v/>
      </c>
      <c r="AZ118" s="9">
        <f>IF(AND(ПравилоПовтора="Новый сезон",11-1&gt;MOD(MONTH('03_Сеть'!AZ6)-9,12)),'03_Сеть'!AZ32*CapacityAge11*МножительДетей,0)</f>
        <v/>
      </c>
      <c r="BA118" s="9">
        <f>IF(AND(ПравилоПовтора="Новый сезон",11-1&gt;MOD(MONTH('03_Сеть'!BA6)-9,12)),'03_Сеть'!BA32*CapacityAge11*МножительДетей,0)</f>
        <v/>
      </c>
      <c r="BB118" s="9">
        <f>IF(AND(ПравилоПовтора="Новый сезон",11-1&gt;MOD(MONTH('03_Сеть'!BB6)-9,12)),'03_Сеть'!BB32*CapacityAge11*МножительДетей,0)</f>
        <v/>
      </c>
      <c r="BC118" s="9">
        <f>IF(AND(ПравилоПовтора="Новый сезон",11-1&gt;MOD(MONTH('03_Сеть'!BC6)-9,12)),'03_Сеть'!BC32*CapacityAge11*МножительДетей,0)</f>
        <v/>
      </c>
      <c r="BD118" s="9">
        <f>IF(AND(ПравилоПовтора="Новый сезон",11-1&gt;MOD(MONTH('03_Сеть'!BD6)-9,12)),'03_Сеть'!BD32*CapacityAge11*МножительДетей,0)</f>
        <v/>
      </c>
      <c r="BE118" s="9">
        <f>IF(AND(ПравилоПовтора="Новый сезон",11-1&gt;MOD(MONTH('03_Сеть'!BE6)-9,12)),'03_Сеть'!BE32*CapacityAge11*МножительДетей,0)</f>
        <v/>
      </c>
      <c r="BF118" s="9">
        <f>IF(AND(ПравилоПовтора="Новый сезон",11-1&gt;MOD(MONTH('03_Сеть'!BF6)-9,12)),'03_Сеть'!BF32*CapacityAge11*МножительДетей,0)</f>
        <v/>
      </c>
      <c r="BG118" s="9">
        <f>IF(AND(ПравилоПовтора="Новый сезон",11-1&gt;MOD(MONTH('03_Сеть'!BG6)-9,12)),'03_Сеть'!BG32*CapacityAge11*МножительДетей,0)</f>
        <v/>
      </c>
      <c r="BH118" s="9">
        <f>IF(AND(ПравилоПовтора="Новый сезон",11-1&gt;MOD(MONTH('03_Сеть'!BH6)-9,12)),'03_Сеть'!BH32*CapacityAge11*МножительДетей,0)</f>
        <v/>
      </c>
      <c r="BI118" s="9">
        <f>IF(AND(ПравилоПовтора="Новый сезон",11-1&gt;MOD(MONTH('03_Сеть'!BI6)-9,12)),'03_Сеть'!BI32*CapacityAge11*МножительДетей,0)</f>
        <v/>
      </c>
      <c r="BJ118" s="9">
        <f>IF(AND(ПравилоПовтора="Новый сезон",11-1&gt;MOD(MONTH('03_Сеть'!BJ6)-9,12)),'03_Сеть'!BJ32*CapacityAge11*МножительДетей,0)</f>
        <v/>
      </c>
      <c r="BK118" s="9">
        <f>IF(AND(ПравилоПовтора="Новый сезон",11-1&gt;MOD(MONTH('03_Сеть'!BK6)-9,12)),'03_Сеть'!BK32*CapacityAge11*МножительДетей,0)</f>
        <v/>
      </c>
      <c r="BL118" s="9">
        <f>IF(AND(ПравилоПовтора="Новый сезон",11-1&gt;MOD(MONTH('03_Сеть'!BL6)-9,12)),'03_Сеть'!BL32*CapacityAge11*МножительДетей,0)</f>
        <v/>
      </c>
      <c r="BM118" s="9">
        <f>IF(AND(ПравилоПовтора="Новый сезон",11-1&gt;MOD(MONTH('03_Сеть'!BM6)-9,12)),'03_Сеть'!BM32*CapacityAge11*МножительДетей,0)</f>
        <v/>
      </c>
      <c r="BN118" s="9">
        <f>IF(AND(ПравилоПовтора="Новый сезон",11-1&gt;MOD(MONTH('03_Сеть'!BN6)-9,12)),'03_Сеть'!BN32*CapacityAge11*МножительДетей,0)</f>
        <v/>
      </c>
      <c r="BO118" s="9">
        <f>IF(AND(ПравилоПовтора="Новый сезон",11-1&gt;MOD(MONTH('03_Сеть'!BO6)-9,12)),'03_Сеть'!BO32*CapacityAge11*МножительДетей,0)</f>
        <v/>
      </c>
      <c r="BP118" s="9">
        <f>IF(AND(ПравилоПовтора="Новый сезон",11-1&gt;MOD(MONTH('03_Сеть'!BP6)-9,12)),'03_Сеть'!BP32*CapacityAge11*МножительДетей,0)</f>
        <v/>
      </c>
      <c r="BQ118" s="9">
        <f>IF(AND(ПравилоПовтора="Новый сезон",11-1&gt;MOD(MONTH('03_Сеть'!BQ6)-9,12)),'03_Сеть'!BQ32*CapacityAge11*МножительДетей,0)</f>
        <v/>
      </c>
      <c r="BR118" s="9">
        <f>IF(AND(ПравилоПовтора="Новый сезон",11-1&gt;MOD(MONTH('03_Сеть'!BR6)-9,12)),'03_Сеть'!BR32*CapacityAge11*МножительДетей,0)</f>
        <v/>
      </c>
      <c r="BS118" s="9">
        <f>IF(AND(ПравилоПовтора="Новый сезон",11-1&gt;MOD(MONTH('03_Сеть'!BS6)-9,12)),'03_Сеть'!BS32*CapacityAge11*МножительДетей,0)</f>
        <v/>
      </c>
      <c r="BT118" s="9">
        <f>IF(AND(ПравилоПовтора="Новый сезон",11-1&gt;MOD(MONTH('03_Сеть'!BT6)-9,12)),'03_Сеть'!BT32*CapacityAge11*МножительДетей,0)</f>
        <v/>
      </c>
      <c r="BU118" s="9">
        <f>IF(AND(ПравилоПовтора="Новый сезон",11-1&gt;MOD(MONTH('03_Сеть'!BU6)-9,12)),'03_Сеть'!BU32*CapacityAge11*МножительДетей,0)</f>
        <v/>
      </c>
      <c r="BV118" s="9">
        <f>IF(AND(ПравилоПовтора="Новый сезон",11-1&gt;MOD(MONTH('03_Сеть'!BV6)-9,12)),'03_Сеть'!BV32*CapacityAge11*МножительДетей,0)</f>
        <v/>
      </c>
      <c r="BW118" s="9">
        <f>IF(AND(ПравилоПовтора="Новый сезон",11-1&gt;MOD(MONTH('03_Сеть'!BW6)-9,12)),'03_Сеть'!BW32*CapacityAge11*МножительДетей,0)</f>
        <v/>
      </c>
      <c r="BX118" s="9">
        <f>IF(AND(ПравилоПовтора="Новый сезон",11-1&gt;MOD(MONTH('03_Сеть'!BX6)-9,12)),'03_Сеть'!BX32*CapacityAge11*МножительДетей,0)</f>
        <v/>
      </c>
      <c r="BY118" s="9">
        <f>IF(AND(ПравилоПовтора="Новый сезон",11-1&gt;MOD(MONTH('03_Сеть'!BY6)-9,12)),'03_Сеть'!BY32*CapacityAge11*МножительДетей,0)</f>
        <v/>
      </c>
    </row>
    <row r="119">
      <c r="B119" t="inlineStr">
        <is>
          <t>12 мес.</t>
        </is>
      </c>
      <c r="C119" t="inlineStr">
        <is>
          <t>чел.</t>
        </is>
      </c>
      <c r="D119" s="117" t="inlineStr"/>
      <c r="E119" s="118">
        <f>W119</f>
        <v/>
      </c>
      <c r="F119" s="118">
        <f>AI119</f>
        <v/>
      </c>
      <c r="G119" s="118">
        <f>AU119</f>
        <v/>
      </c>
      <c r="H119" s="118">
        <f>BG119</f>
        <v/>
      </c>
      <c r="I119" s="118">
        <f>BS119</f>
        <v/>
      </c>
      <c r="J119" s="10">
        <f>BS119</f>
        <v/>
      </c>
      <c r="L119" s="9">
        <f>IF(AND(ПравилоПовтора="Новый сезон",12-1&gt;MOD(MONTH('03_Сеть'!L6)-9,12)),'03_Сеть'!L33*CapacityAge12*МножительДетей,0)</f>
        <v/>
      </c>
      <c r="M119" s="9">
        <f>IF(AND(ПравилоПовтора="Новый сезон",12-1&gt;MOD(MONTH('03_Сеть'!M6)-9,12)),'03_Сеть'!M33*CapacityAge12*МножительДетей,0)</f>
        <v/>
      </c>
      <c r="N119" s="9">
        <f>IF(AND(ПравилоПовтора="Новый сезон",12-1&gt;MOD(MONTH('03_Сеть'!N6)-9,12)),'03_Сеть'!N33*CapacityAge12*МножительДетей,0)</f>
        <v/>
      </c>
      <c r="O119" s="9">
        <f>IF(AND(ПравилоПовтора="Новый сезон",12-1&gt;MOD(MONTH('03_Сеть'!O6)-9,12)),'03_Сеть'!O33*CapacityAge12*МножительДетей,0)</f>
        <v/>
      </c>
      <c r="P119" s="9">
        <f>IF(AND(ПравилоПовтора="Новый сезон",12-1&gt;MOD(MONTH('03_Сеть'!P6)-9,12)),'03_Сеть'!P33*CapacityAge12*МножительДетей,0)</f>
        <v/>
      </c>
      <c r="Q119" s="9">
        <f>IF(AND(ПравилоПовтора="Новый сезон",12-1&gt;MOD(MONTH('03_Сеть'!Q6)-9,12)),'03_Сеть'!Q33*CapacityAge12*МножительДетей,0)</f>
        <v/>
      </c>
      <c r="R119" s="9">
        <f>IF(AND(ПравилоПовтора="Новый сезон",12-1&gt;MOD(MONTH('03_Сеть'!R6)-9,12)),'03_Сеть'!R33*CapacityAge12*МножительДетей,0)</f>
        <v/>
      </c>
      <c r="S119" s="9">
        <f>IF(AND(ПравилоПовтора="Новый сезон",12-1&gt;MOD(MONTH('03_Сеть'!S6)-9,12)),'03_Сеть'!S33*CapacityAge12*МножительДетей,0)</f>
        <v/>
      </c>
      <c r="T119" s="9">
        <f>IF(AND(ПравилоПовтора="Новый сезон",12-1&gt;MOD(MONTH('03_Сеть'!T6)-9,12)),'03_Сеть'!T33*CapacityAge12*МножительДетей,0)</f>
        <v/>
      </c>
      <c r="U119" s="9">
        <f>IF(AND(ПравилоПовтора="Новый сезон",12-1&gt;MOD(MONTH('03_Сеть'!U6)-9,12)),'03_Сеть'!U33*CapacityAge12*МножительДетей,0)</f>
        <v/>
      </c>
      <c r="V119" s="9">
        <f>IF(AND(ПравилоПовтора="Новый сезон",12-1&gt;MOD(MONTH('03_Сеть'!V6)-9,12)),'03_Сеть'!V33*CapacityAge12*МножительДетей,0)</f>
        <v/>
      </c>
      <c r="W119" s="9">
        <f>IF(AND(ПравилоПовтора="Новый сезон",12-1&gt;MOD(MONTH('03_Сеть'!W6)-9,12)),'03_Сеть'!W33*CapacityAge12*МножительДетей,0)</f>
        <v/>
      </c>
      <c r="X119" s="9">
        <f>IF(AND(ПравилоПовтора="Новый сезон",12-1&gt;MOD(MONTH('03_Сеть'!X6)-9,12)),'03_Сеть'!X33*CapacityAge12*МножительДетей,0)</f>
        <v/>
      </c>
      <c r="Y119" s="9">
        <f>IF(AND(ПравилоПовтора="Новый сезон",12-1&gt;MOD(MONTH('03_Сеть'!Y6)-9,12)),'03_Сеть'!Y33*CapacityAge12*МножительДетей,0)</f>
        <v/>
      </c>
      <c r="Z119" s="9">
        <f>IF(AND(ПравилоПовтора="Новый сезон",12-1&gt;MOD(MONTH('03_Сеть'!Z6)-9,12)),'03_Сеть'!Z33*CapacityAge12*МножительДетей,0)</f>
        <v/>
      </c>
      <c r="AA119" s="9">
        <f>IF(AND(ПравилоПовтора="Новый сезон",12-1&gt;MOD(MONTH('03_Сеть'!AA6)-9,12)),'03_Сеть'!AA33*CapacityAge12*МножительДетей,0)</f>
        <v/>
      </c>
      <c r="AB119" s="9">
        <f>IF(AND(ПравилоПовтора="Новый сезон",12-1&gt;MOD(MONTH('03_Сеть'!AB6)-9,12)),'03_Сеть'!AB33*CapacityAge12*МножительДетей,0)</f>
        <v/>
      </c>
      <c r="AC119" s="9">
        <f>IF(AND(ПравилоПовтора="Новый сезон",12-1&gt;MOD(MONTH('03_Сеть'!AC6)-9,12)),'03_Сеть'!AC33*CapacityAge12*МножительДетей,0)</f>
        <v/>
      </c>
      <c r="AD119" s="9">
        <f>IF(AND(ПравилоПовтора="Новый сезон",12-1&gt;MOD(MONTH('03_Сеть'!AD6)-9,12)),'03_Сеть'!AD33*CapacityAge12*МножительДетей,0)</f>
        <v/>
      </c>
      <c r="AE119" s="9">
        <f>IF(AND(ПравилоПовтора="Новый сезон",12-1&gt;MOD(MONTH('03_Сеть'!AE6)-9,12)),'03_Сеть'!AE33*CapacityAge12*МножительДетей,0)</f>
        <v/>
      </c>
      <c r="AF119" s="9">
        <f>IF(AND(ПравилоПовтора="Новый сезон",12-1&gt;MOD(MONTH('03_Сеть'!AF6)-9,12)),'03_Сеть'!AF33*CapacityAge12*МножительДетей,0)</f>
        <v/>
      </c>
      <c r="AG119" s="9">
        <f>IF(AND(ПравилоПовтора="Новый сезон",12-1&gt;MOD(MONTH('03_Сеть'!AG6)-9,12)),'03_Сеть'!AG33*CapacityAge12*МножительДетей,0)</f>
        <v/>
      </c>
      <c r="AH119" s="9">
        <f>IF(AND(ПравилоПовтора="Новый сезон",12-1&gt;MOD(MONTH('03_Сеть'!AH6)-9,12)),'03_Сеть'!AH33*CapacityAge12*МножительДетей,0)</f>
        <v/>
      </c>
      <c r="AI119" s="9">
        <f>IF(AND(ПравилоПовтора="Новый сезон",12-1&gt;MOD(MONTH('03_Сеть'!AI6)-9,12)),'03_Сеть'!AI33*CapacityAge12*МножительДетей,0)</f>
        <v/>
      </c>
      <c r="AJ119" s="9">
        <f>IF(AND(ПравилоПовтора="Новый сезон",12-1&gt;MOD(MONTH('03_Сеть'!AJ6)-9,12)),'03_Сеть'!AJ33*CapacityAge12*МножительДетей,0)</f>
        <v/>
      </c>
      <c r="AK119" s="9">
        <f>IF(AND(ПравилоПовтора="Новый сезон",12-1&gt;MOD(MONTH('03_Сеть'!AK6)-9,12)),'03_Сеть'!AK33*CapacityAge12*МножительДетей,0)</f>
        <v/>
      </c>
      <c r="AL119" s="9">
        <f>IF(AND(ПравилоПовтора="Новый сезон",12-1&gt;MOD(MONTH('03_Сеть'!AL6)-9,12)),'03_Сеть'!AL33*CapacityAge12*МножительДетей,0)</f>
        <v/>
      </c>
      <c r="AM119" s="9">
        <f>IF(AND(ПравилоПовтора="Новый сезон",12-1&gt;MOD(MONTH('03_Сеть'!AM6)-9,12)),'03_Сеть'!AM33*CapacityAge12*МножительДетей,0)</f>
        <v/>
      </c>
      <c r="AN119" s="9">
        <f>IF(AND(ПравилоПовтора="Новый сезон",12-1&gt;MOD(MONTH('03_Сеть'!AN6)-9,12)),'03_Сеть'!AN33*CapacityAge12*МножительДетей,0)</f>
        <v/>
      </c>
      <c r="AO119" s="9">
        <f>IF(AND(ПравилоПовтора="Новый сезон",12-1&gt;MOD(MONTH('03_Сеть'!AO6)-9,12)),'03_Сеть'!AO33*CapacityAge12*МножительДетей,0)</f>
        <v/>
      </c>
      <c r="AP119" s="9">
        <f>IF(AND(ПравилоПовтора="Новый сезон",12-1&gt;MOD(MONTH('03_Сеть'!AP6)-9,12)),'03_Сеть'!AP33*CapacityAge12*МножительДетей,0)</f>
        <v/>
      </c>
      <c r="AQ119" s="9">
        <f>IF(AND(ПравилоПовтора="Новый сезон",12-1&gt;MOD(MONTH('03_Сеть'!AQ6)-9,12)),'03_Сеть'!AQ33*CapacityAge12*МножительДетей,0)</f>
        <v/>
      </c>
      <c r="AR119" s="9">
        <f>IF(AND(ПравилоПовтора="Новый сезон",12-1&gt;MOD(MONTH('03_Сеть'!AR6)-9,12)),'03_Сеть'!AR33*CapacityAge12*МножительДетей,0)</f>
        <v/>
      </c>
      <c r="AS119" s="9">
        <f>IF(AND(ПравилоПовтора="Новый сезон",12-1&gt;MOD(MONTH('03_Сеть'!AS6)-9,12)),'03_Сеть'!AS33*CapacityAge12*МножительДетей,0)</f>
        <v/>
      </c>
      <c r="AT119" s="9">
        <f>IF(AND(ПравилоПовтора="Новый сезон",12-1&gt;MOD(MONTH('03_Сеть'!AT6)-9,12)),'03_Сеть'!AT33*CapacityAge12*МножительДетей,0)</f>
        <v/>
      </c>
      <c r="AU119" s="9">
        <f>IF(AND(ПравилоПовтора="Новый сезон",12-1&gt;MOD(MONTH('03_Сеть'!AU6)-9,12)),'03_Сеть'!AU33*CapacityAge12*МножительДетей,0)</f>
        <v/>
      </c>
      <c r="AV119" s="9">
        <f>IF(AND(ПравилоПовтора="Новый сезон",12-1&gt;MOD(MONTH('03_Сеть'!AV6)-9,12)),'03_Сеть'!AV33*CapacityAge12*МножительДетей,0)</f>
        <v/>
      </c>
      <c r="AW119" s="9">
        <f>IF(AND(ПравилоПовтора="Новый сезон",12-1&gt;MOD(MONTH('03_Сеть'!AW6)-9,12)),'03_Сеть'!AW33*CapacityAge12*МножительДетей,0)</f>
        <v/>
      </c>
      <c r="AX119" s="9">
        <f>IF(AND(ПравилоПовтора="Новый сезон",12-1&gt;MOD(MONTH('03_Сеть'!AX6)-9,12)),'03_Сеть'!AX33*CapacityAge12*МножительДетей,0)</f>
        <v/>
      </c>
      <c r="AY119" s="9">
        <f>IF(AND(ПравилоПовтора="Новый сезон",12-1&gt;MOD(MONTH('03_Сеть'!AY6)-9,12)),'03_Сеть'!AY33*CapacityAge12*МножительДетей,0)</f>
        <v/>
      </c>
      <c r="AZ119" s="9">
        <f>IF(AND(ПравилоПовтора="Новый сезон",12-1&gt;MOD(MONTH('03_Сеть'!AZ6)-9,12)),'03_Сеть'!AZ33*CapacityAge12*МножительДетей,0)</f>
        <v/>
      </c>
      <c r="BA119" s="9">
        <f>IF(AND(ПравилоПовтора="Новый сезон",12-1&gt;MOD(MONTH('03_Сеть'!BA6)-9,12)),'03_Сеть'!BA33*CapacityAge12*МножительДетей,0)</f>
        <v/>
      </c>
      <c r="BB119" s="9">
        <f>IF(AND(ПравилоПовтора="Новый сезон",12-1&gt;MOD(MONTH('03_Сеть'!BB6)-9,12)),'03_Сеть'!BB33*CapacityAge12*МножительДетей,0)</f>
        <v/>
      </c>
      <c r="BC119" s="9">
        <f>IF(AND(ПравилоПовтора="Новый сезон",12-1&gt;MOD(MONTH('03_Сеть'!BC6)-9,12)),'03_Сеть'!BC33*CapacityAge12*МножительДетей,0)</f>
        <v/>
      </c>
      <c r="BD119" s="9">
        <f>IF(AND(ПравилоПовтора="Новый сезон",12-1&gt;MOD(MONTH('03_Сеть'!BD6)-9,12)),'03_Сеть'!BD33*CapacityAge12*МножительДетей,0)</f>
        <v/>
      </c>
      <c r="BE119" s="9">
        <f>IF(AND(ПравилоПовтора="Новый сезон",12-1&gt;MOD(MONTH('03_Сеть'!BE6)-9,12)),'03_Сеть'!BE33*CapacityAge12*МножительДетей,0)</f>
        <v/>
      </c>
      <c r="BF119" s="9">
        <f>IF(AND(ПравилоПовтора="Новый сезон",12-1&gt;MOD(MONTH('03_Сеть'!BF6)-9,12)),'03_Сеть'!BF33*CapacityAge12*МножительДетей,0)</f>
        <v/>
      </c>
      <c r="BG119" s="9">
        <f>IF(AND(ПравилоПовтора="Новый сезон",12-1&gt;MOD(MONTH('03_Сеть'!BG6)-9,12)),'03_Сеть'!BG33*CapacityAge12*МножительДетей,0)</f>
        <v/>
      </c>
      <c r="BH119" s="9">
        <f>IF(AND(ПравилоПовтора="Новый сезон",12-1&gt;MOD(MONTH('03_Сеть'!BH6)-9,12)),'03_Сеть'!BH33*CapacityAge12*МножительДетей,0)</f>
        <v/>
      </c>
      <c r="BI119" s="9">
        <f>IF(AND(ПравилоПовтора="Новый сезон",12-1&gt;MOD(MONTH('03_Сеть'!BI6)-9,12)),'03_Сеть'!BI33*CapacityAge12*МножительДетей,0)</f>
        <v/>
      </c>
      <c r="BJ119" s="9">
        <f>IF(AND(ПравилоПовтора="Новый сезон",12-1&gt;MOD(MONTH('03_Сеть'!BJ6)-9,12)),'03_Сеть'!BJ33*CapacityAge12*МножительДетей,0)</f>
        <v/>
      </c>
      <c r="BK119" s="9">
        <f>IF(AND(ПравилоПовтора="Новый сезон",12-1&gt;MOD(MONTH('03_Сеть'!BK6)-9,12)),'03_Сеть'!BK33*CapacityAge12*МножительДетей,0)</f>
        <v/>
      </c>
      <c r="BL119" s="9">
        <f>IF(AND(ПравилоПовтора="Новый сезон",12-1&gt;MOD(MONTH('03_Сеть'!BL6)-9,12)),'03_Сеть'!BL33*CapacityAge12*МножительДетей,0)</f>
        <v/>
      </c>
      <c r="BM119" s="9">
        <f>IF(AND(ПравилоПовтора="Новый сезон",12-1&gt;MOD(MONTH('03_Сеть'!BM6)-9,12)),'03_Сеть'!BM33*CapacityAge12*МножительДетей,0)</f>
        <v/>
      </c>
      <c r="BN119" s="9">
        <f>IF(AND(ПравилоПовтора="Новый сезон",12-1&gt;MOD(MONTH('03_Сеть'!BN6)-9,12)),'03_Сеть'!BN33*CapacityAge12*МножительДетей,0)</f>
        <v/>
      </c>
      <c r="BO119" s="9">
        <f>IF(AND(ПравилоПовтора="Новый сезон",12-1&gt;MOD(MONTH('03_Сеть'!BO6)-9,12)),'03_Сеть'!BO33*CapacityAge12*МножительДетей,0)</f>
        <v/>
      </c>
      <c r="BP119" s="9">
        <f>IF(AND(ПравилоПовтора="Новый сезон",12-1&gt;MOD(MONTH('03_Сеть'!BP6)-9,12)),'03_Сеть'!BP33*CapacityAge12*МножительДетей,0)</f>
        <v/>
      </c>
      <c r="BQ119" s="9">
        <f>IF(AND(ПравилоПовтора="Новый сезон",12-1&gt;MOD(MONTH('03_Сеть'!BQ6)-9,12)),'03_Сеть'!BQ33*CapacityAge12*МножительДетей,0)</f>
        <v/>
      </c>
      <c r="BR119" s="9">
        <f>IF(AND(ПравилоПовтора="Новый сезон",12-1&gt;MOD(MONTH('03_Сеть'!BR6)-9,12)),'03_Сеть'!BR33*CapacityAge12*МножительДетей,0)</f>
        <v/>
      </c>
      <c r="BS119" s="9">
        <f>IF(AND(ПравилоПовтора="Новый сезон",12-1&gt;MOD(MONTH('03_Сеть'!BS6)-9,12)),'03_Сеть'!BS33*CapacityAge12*МножительДетей,0)</f>
        <v/>
      </c>
      <c r="BT119" s="9">
        <f>IF(AND(ПравилоПовтора="Новый сезон",12-1&gt;MOD(MONTH('03_Сеть'!BT6)-9,12)),'03_Сеть'!BT33*CapacityAge12*МножительДетей,0)</f>
        <v/>
      </c>
      <c r="BU119" s="9">
        <f>IF(AND(ПравилоПовтора="Новый сезон",12-1&gt;MOD(MONTH('03_Сеть'!BU6)-9,12)),'03_Сеть'!BU33*CapacityAge12*МножительДетей,0)</f>
        <v/>
      </c>
      <c r="BV119" s="9">
        <f>IF(AND(ПравилоПовтора="Новый сезон",12-1&gt;MOD(MONTH('03_Сеть'!BV6)-9,12)),'03_Сеть'!BV33*CapacityAge12*МножительДетей,0)</f>
        <v/>
      </c>
      <c r="BW119" s="9">
        <f>IF(AND(ПравилоПовтора="Новый сезон",12-1&gt;MOD(MONTH('03_Сеть'!BW6)-9,12)),'03_Сеть'!BW33*CapacityAge12*МножительДетей,0)</f>
        <v/>
      </c>
      <c r="BX119" s="9">
        <f>IF(AND(ПравилоПовтора="Новый сезон",12-1&gt;MOD(MONTH('03_Сеть'!BX6)-9,12)),'03_Сеть'!BX33*CapacityAge12*МножительДетей,0)</f>
        <v/>
      </c>
      <c r="BY119" s="9">
        <f>IF(AND(ПравилоПовтора="Новый сезон",12-1&gt;MOD(MONTH('03_Сеть'!BY6)-9,12)),'03_Сеть'!BY33*CapacityAge12*МножительДетей,0)</f>
        <v/>
      </c>
    </row>
    <row r="120">
      <c r="B120" t="inlineStr">
        <is>
          <t>13 мес. и старше</t>
        </is>
      </c>
      <c r="C120" t="inlineStr">
        <is>
          <t>чел.</t>
        </is>
      </c>
      <c r="D120" s="117" t="inlineStr">
        <is>
          <t>Школы старше года покупают форму каждый сезон</t>
        </is>
      </c>
      <c r="E120" s="118">
        <f>W120</f>
        <v/>
      </c>
      <c r="F120" s="118">
        <f>AI120</f>
        <v/>
      </c>
      <c r="G120" s="118">
        <f>AU120</f>
        <v/>
      </c>
      <c r="H120" s="118">
        <f>BG120</f>
        <v/>
      </c>
      <c r="I120" s="118">
        <f>BS120</f>
        <v/>
      </c>
      <c r="J120" s="10">
        <f>BS120</f>
        <v/>
      </c>
      <c r="L120" s="9">
        <f>SUMPRODUCT('03_Сеть'!L34:L45,CapacityYear2)*МножительДетей+'03_Сеть'!L46*CapacityAge25*МножительДетей</f>
        <v/>
      </c>
      <c r="M120" s="9">
        <f>SUMPRODUCT('03_Сеть'!M34:M45,CapacityYear2)*МножительДетей+'03_Сеть'!M46*CapacityAge25*МножительДетей</f>
        <v/>
      </c>
      <c r="N120" s="9">
        <f>SUMPRODUCT('03_Сеть'!N34:N45,CapacityYear2)*МножительДетей+'03_Сеть'!N46*CapacityAge25*МножительДетей</f>
        <v/>
      </c>
      <c r="O120" s="9">
        <f>SUMPRODUCT('03_Сеть'!O34:O45,CapacityYear2)*МножительДетей+'03_Сеть'!O46*CapacityAge25*МножительДетей</f>
        <v/>
      </c>
      <c r="P120" s="9">
        <f>SUMPRODUCT('03_Сеть'!P34:P45,CapacityYear2)*МножительДетей+'03_Сеть'!P46*CapacityAge25*МножительДетей</f>
        <v/>
      </c>
      <c r="Q120" s="9">
        <f>SUMPRODUCT('03_Сеть'!Q34:Q45,CapacityYear2)*МножительДетей+'03_Сеть'!Q46*CapacityAge25*МножительДетей</f>
        <v/>
      </c>
      <c r="R120" s="9">
        <f>SUMPRODUCT('03_Сеть'!R34:R45,CapacityYear2)*МножительДетей+'03_Сеть'!R46*CapacityAge25*МножительДетей</f>
        <v/>
      </c>
      <c r="S120" s="9">
        <f>SUMPRODUCT('03_Сеть'!S34:S45,CapacityYear2)*МножительДетей+'03_Сеть'!S46*CapacityAge25*МножительДетей</f>
        <v/>
      </c>
      <c r="T120" s="9">
        <f>SUMPRODUCT('03_Сеть'!T34:T45,CapacityYear2)*МножительДетей+'03_Сеть'!T46*CapacityAge25*МножительДетей</f>
        <v/>
      </c>
      <c r="U120" s="9">
        <f>SUMPRODUCT('03_Сеть'!U34:U45,CapacityYear2)*МножительДетей+'03_Сеть'!U46*CapacityAge25*МножительДетей</f>
        <v/>
      </c>
      <c r="V120" s="9">
        <f>SUMPRODUCT('03_Сеть'!V34:V45,CapacityYear2)*МножительДетей+'03_Сеть'!V46*CapacityAge25*МножительДетей</f>
        <v/>
      </c>
      <c r="W120" s="9">
        <f>SUMPRODUCT('03_Сеть'!W34:W45,CapacityYear2)*МножительДетей+'03_Сеть'!W46*CapacityAge25*МножительДетей</f>
        <v/>
      </c>
      <c r="X120" s="9">
        <f>SUMPRODUCT('03_Сеть'!X34:X45,CapacityYear2)*МножительДетей+'03_Сеть'!X46*CapacityAge25*МножительДетей</f>
        <v/>
      </c>
      <c r="Y120" s="9">
        <f>SUMPRODUCT('03_Сеть'!Y34:Y45,CapacityYear2)*МножительДетей+'03_Сеть'!Y46*CapacityAge25*МножительДетей</f>
        <v/>
      </c>
      <c r="Z120" s="9">
        <f>SUMPRODUCT('03_Сеть'!Z34:Z45,CapacityYear2)*МножительДетей+'03_Сеть'!Z46*CapacityAge25*МножительДетей</f>
        <v/>
      </c>
      <c r="AA120" s="9">
        <f>SUMPRODUCT('03_Сеть'!AA34:AA45,CapacityYear2)*МножительДетей+'03_Сеть'!AA46*CapacityAge25*МножительДетей</f>
        <v/>
      </c>
      <c r="AB120" s="9">
        <f>SUMPRODUCT('03_Сеть'!AB34:AB45,CapacityYear2)*МножительДетей+'03_Сеть'!AB46*CapacityAge25*МножительДетей</f>
        <v/>
      </c>
      <c r="AC120" s="9">
        <f>SUMPRODUCT('03_Сеть'!AC34:AC45,CapacityYear2)*МножительДетей+'03_Сеть'!AC46*CapacityAge25*МножительДетей</f>
        <v/>
      </c>
      <c r="AD120" s="9">
        <f>SUMPRODUCT('03_Сеть'!AD34:AD45,CapacityYear2)*МножительДетей+'03_Сеть'!AD46*CapacityAge25*МножительДетей</f>
        <v/>
      </c>
      <c r="AE120" s="9">
        <f>SUMPRODUCT('03_Сеть'!AE34:AE45,CapacityYear2)*МножительДетей+'03_Сеть'!AE46*CapacityAge25*МножительДетей</f>
        <v/>
      </c>
      <c r="AF120" s="9">
        <f>SUMPRODUCT('03_Сеть'!AF34:AF45,CapacityYear2)*МножительДетей+'03_Сеть'!AF46*CapacityAge25*МножительДетей</f>
        <v/>
      </c>
      <c r="AG120" s="9">
        <f>SUMPRODUCT('03_Сеть'!AG34:AG45,CapacityYear2)*МножительДетей+'03_Сеть'!AG46*CapacityAge25*МножительДетей</f>
        <v/>
      </c>
      <c r="AH120" s="9">
        <f>SUMPRODUCT('03_Сеть'!AH34:AH45,CapacityYear2)*МножительДетей+'03_Сеть'!AH46*CapacityAge25*МножительДетей</f>
        <v/>
      </c>
      <c r="AI120" s="9">
        <f>SUMPRODUCT('03_Сеть'!AI34:AI45,CapacityYear2)*МножительДетей+'03_Сеть'!AI46*CapacityAge25*МножительДетей</f>
        <v/>
      </c>
      <c r="AJ120" s="9">
        <f>SUMPRODUCT('03_Сеть'!AJ34:AJ45,CapacityYear2)*МножительДетей+'03_Сеть'!AJ46*CapacityAge25*МножительДетей</f>
        <v/>
      </c>
      <c r="AK120" s="9">
        <f>SUMPRODUCT('03_Сеть'!AK34:AK45,CapacityYear2)*МножительДетей+'03_Сеть'!AK46*CapacityAge25*МножительДетей</f>
        <v/>
      </c>
      <c r="AL120" s="9">
        <f>SUMPRODUCT('03_Сеть'!AL34:AL45,CapacityYear2)*МножительДетей+'03_Сеть'!AL46*CapacityAge25*МножительДетей</f>
        <v/>
      </c>
      <c r="AM120" s="9">
        <f>SUMPRODUCT('03_Сеть'!AM34:AM45,CapacityYear2)*МножительДетей+'03_Сеть'!AM46*CapacityAge25*МножительДетей</f>
        <v/>
      </c>
      <c r="AN120" s="9">
        <f>SUMPRODUCT('03_Сеть'!AN34:AN45,CapacityYear2)*МножительДетей+'03_Сеть'!AN46*CapacityAge25*МножительДетей</f>
        <v/>
      </c>
      <c r="AO120" s="9">
        <f>SUMPRODUCT('03_Сеть'!AO34:AO45,CapacityYear2)*МножительДетей+'03_Сеть'!AO46*CapacityAge25*МножительДетей</f>
        <v/>
      </c>
      <c r="AP120" s="9">
        <f>SUMPRODUCT('03_Сеть'!AP34:AP45,CapacityYear2)*МножительДетей+'03_Сеть'!AP46*CapacityAge25*МножительДетей</f>
        <v/>
      </c>
      <c r="AQ120" s="9">
        <f>SUMPRODUCT('03_Сеть'!AQ34:AQ45,CapacityYear2)*МножительДетей+'03_Сеть'!AQ46*CapacityAge25*МножительДетей</f>
        <v/>
      </c>
      <c r="AR120" s="9">
        <f>SUMPRODUCT('03_Сеть'!AR34:AR45,CapacityYear2)*МножительДетей+'03_Сеть'!AR46*CapacityAge25*МножительДетей</f>
        <v/>
      </c>
      <c r="AS120" s="9">
        <f>SUMPRODUCT('03_Сеть'!AS34:AS45,CapacityYear2)*МножительДетей+'03_Сеть'!AS46*CapacityAge25*МножительДетей</f>
        <v/>
      </c>
      <c r="AT120" s="9">
        <f>SUMPRODUCT('03_Сеть'!AT34:AT45,CapacityYear2)*МножительДетей+'03_Сеть'!AT46*CapacityAge25*МножительДетей</f>
        <v/>
      </c>
      <c r="AU120" s="9">
        <f>SUMPRODUCT('03_Сеть'!AU34:AU45,CapacityYear2)*МножительДетей+'03_Сеть'!AU46*CapacityAge25*МножительДетей</f>
        <v/>
      </c>
      <c r="AV120" s="9">
        <f>SUMPRODUCT('03_Сеть'!AV34:AV45,CapacityYear2)*МножительДетей+'03_Сеть'!AV46*CapacityAge25*МножительДетей</f>
        <v/>
      </c>
      <c r="AW120" s="9">
        <f>SUMPRODUCT('03_Сеть'!AW34:AW45,CapacityYear2)*МножительДетей+'03_Сеть'!AW46*CapacityAge25*МножительДетей</f>
        <v/>
      </c>
      <c r="AX120" s="9">
        <f>SUMPRODUCT('03_Сеть'!AX34:AX45,CapacityYear2)*МножительДетей+'03_Сеть'!AX46*CapacityAge25*МножительДетей</f>
        <v/>
      </c>
      <c r="AY120" s="9">
        <f>SUMPRODUCT('03_Сеть'!AY34:AY45,CapacityYear2)*МножительДетей+'03_Сеть'!AY46*CapacityAge25*МножительДетей</f>
        <v/>
      </c>
      <c r="AZ120" s="9">
        <f>SUMPRODUCT('03_Сеть'!AZ34:AZ45,CapacityYear2)*МножительДетей+'03_Сеть'!AZ46*CapacityAge25*МножительДетей</f>
        <v/>
      </c>
      <c r="BA120" s="9">
        <f>SUMPRODUCT('03_Сеть'!BA34:BA45,CapacityYear2)*МножительДетей+'03_Сеть'!BA46*CapacityAge25*МножительДетей</f>
        <v/>
      </c>
      <c r="BB120" s="9">
        <f>SUMPRODUCT('03_Сеть'!BB34:BB45,CapacityYear2)*МножительДетей+'03_Сеть'!BB46*CapacityAge25*МножительДетей</f>
        <v/>
      </c>
      <c r="BC120" s="9">
        <f>SUMPRODUCT('03_Сеть'!BC34:BC45,CapacityYear2)*МножительДетей+'03_Сеть'!BC46*CapacityAge25*МножительДетей</f>
        <v/>
      </c>
      <c r="BD120" s="9">
        <f>SUMPRODUCT('03_Сеть'!BD34:BD45,CapacityYear2)*МножительДетей+'03_Сеть'!BD46*CapacityAge25*МножительДетей</f>
        <v/>
      </c>
      <c r="BE120" s="9">
        <f>SUMPRODUCT('03_Сеть'!BE34:BE45,CapacityYear2)*МножительДетей+'03_Сеть'!BE46*CapacityAge25*МножительДетей</f>
        <v/>
      </c>
      <c r="BF120" s="9">
        <f>SUMPRODUCT('03_Сеть'!BF34:BF45,CapacityYear2)*МножительДетей+'03_Сеть'!BF46*CapacityAge25*МножительДетей</f>
        <v/>
      </c>
      <c r="BG120" s="9">
        <f>SUMPRODUCT('03_Сеть'!BG34:BG45,CapacityYear2)*МножительДетей+'03_Сеть'!BG46*CapacityAge25*МножительДетей</f>
        <v/>
      </c>
      <c r="BH120" s="9">
        <f>SUMPRODUCT('03_Сеть'!BH34:BH45,CapacityYear2)*МножительДетей+'03_Сеть'!BH46*CapacityAge25*МножительДетей</f>
        <v/>
      </c>
      <c r="BI120" s="9">
        <f>SUMPRODUCT('03_Сеть'!BI34:BI45,CapacityYear2)*МножительДетей+'03_Сеть'!BI46*CapacityAge25*МножительДетей</f>
        <v/>
      </c>
      <c r="BJ120" s="9">
        <f>SUMPRODUCT('03_Сеть'!BJ34:BJ45,CapacityYear2)*МножительДетей+'03_Сеть'!BJ46*CapacityAge25*МножительДетей</f>
        <v/>
      </c>
      <c r="BK120" s="9">
        <f>SUMPRODUCT('03_Сеть'!BK34:BK45,CapacityYear2)*МножительДетей+'03_Сеть'!BK46*CapacityAge25*МножительДетей</f>
        <v/>
      </c>
      <c r="BL120" s="9">
        <f>SUMPRODUCT('03_Сеть'!BL34:BL45,CapacityYear2)*МножительДетей+'03_Сеть'!BL46*CapacityAge25*МножительДетей</f>
        <v/>
      </c>
      <c r="BM120" s="9">
        <f>SUMPRODUCT('03_Сеть'!BM34:BM45,CapacityYear2)*МножительДетей+'03_Сеть'!BM46*CapacityAge25*МножительДетей</f>
        <v/>
      </c>
      <c r="BN120" s="9">
        <f>SUMPRODUCT('03_Сеть'!BN34:BN45,CapacityYear2)*МножительДетей+'03_Сеть'!BN46*CapacityAge25*МножительДетей</f>
        <v/>
      </c>
      <c r="BO120" s="9">
        <f>SUMPRODUCT('03_Сеть'!BO34:BO45,CapacityYear2)*МножительДетей+'03_Сеть'!BO46*CapacityAge25*МножительДетей</f>
        <v/>
      </c>
      <c r="BP120" s="9">
        <f>SUMPRODUCT('03_Сеть'!BP34:BP45,CapacityYear2)*МножительДетей+'03_Сеть'!BP46*CapacityAge25*МножительДетей</f>
        <v/>
      </c>
      <c r="BQ120" s="9">
        <f>SUMPRODUCT('03_Сеть'!BQ34:BQ45,CapacityYear2)*МножительДетей+'03_Сеть'!BQ46*CapacityAge25*МножительДетей</f>
        <v/>
      </c>
      <c r="BR120" s="9">
        <f>SUMPRODUCT('03_Сеть'!BR34:BR45,CapacityYear2)*МножительДетей+'03_Сеть'!BR46*CapacityAge25*МножительДетей</f>
        <v/>
      </c>
      <c r="BS120" s="9">
        <f>SUMPRODUCT('03_Сеть'!BS34:BS45,CapacityYear2)*МножительДетей+'03_Сеть'!BS46*CapacityAge25*МножительДетей</f>
        <v/>
      </c>
      <c r="BT120" s="9">
        <f>SUMPRODUCT('03_Сеть'!BT34:BT45,CapacityYear2)*МножительДетей+'03_Сеть'!BT46*CapacityAge25*МножительДетей</f>
        <v/>
      </c>
      <c r="BU120" s="9">
        <f>SUMPRODUCT('03_Сеть'!BU34:BU45,CapacityYear2)*МножительДетей+'03_Сеть'!BU46*CapacityAge25*МножительДетей</f>
        <v/>
      </c>
      <c r="BV120" s="9">
        <f>SUMPRODUCT('03_Сеть'!BV34:BV45,CapacityYear2)*МножительДетей+'03_Сеть'!BV46*CapacityAge25*МножительДетей</f>
        <v/>
      </c>
      <c r="BW120" s="9">
        <f>SUMPRODUCT('03_Сеть'!BW34:BW45,CapacityYear2)*МножительДетей+'03_Сеть'!BW46*CapacityAge25*МножительДетей</f>
        <v/>
      </c>
      <c r="BX120" s="9">
        <f>SUMPRODUCT('03_Сеть'!BX34:BX45,CapacityYear2)*МножительДетей+'03_Сеть'!BX46*CapacityAge25*МножительДетей</f>
        <v/>
      </c>
      <c r="BY120" s="9">
        <f>SUMPRODUCT('03_Сеть'!BY34:BY45,CapacityYear2)*МножительДетей+'03_Сеть'!BY46*CapacityAge25*МножительДетей</f>
        <v/>
      </c>
    </row>
    <row r="121">
      <c r="B121" t="inlineStr">
        <is>
          <t>Дети для повторной формы — всего</t>
        </is>
      </c>
      <c r="C121" t="inlineStr">
        <is>
          <t>чел.</t>
        </is>
      </c>
      <c r="D121" s="117" t="inlineStr"/>
      <c r="E121" s="118">
        <f>W121</f>
        <v/>
      </c>
      <c r="F121" s="118">
        <f>AI121</f>
        <v/>
      </c>
      <c r="G121" s="118">
        <f>AU121</f>
        <v/>
      </c>
      <c r="H121" s="118">
        <f>BG121</f>
        <v/>
      </c>
      <c r="I121" s="118">
        <f>BS121</f>
        <v/>
      </c>
      <c r="J121" s="10">
        <f>BS121</f>
        <v/>
      </c>
      <c r="L121" s="9">
        <f>SUM(L108:L119)+L120</f>
        <v/>
      </c>
      <c r="M121" s="9">
        <f>SUM(M108:M119)+M120</f>
        <v/>
      </c>
      <c r="N121" s="9">
        <f>SUM(N108:N119)+N120</f>
        <v/>
      </c>
      <c r="O121" s="9">
        <f>SUM(O108:O119)+O120</f>
        <v/>
      </c>
      <c r="P121" s="9">
        <f>SUM(P108:P119)+P120</f>
        <v/>
      </c>
      <c r="Q121" s="9">
        <f>SUM(Q108:Q119)+Q120</f>
        <v/>
      </c>
      <c r="R121" s="9">
        <f>SUM(R108:R119)+R120</f>
        <v/>
      </c>
      <c r="S121" s="9">
        <f>SUM(S108:S119)+S120</f>
        <v/>
      </c>
      <c r="T121" s="9">
        <f>SUM(T108:T119)+T120</f>
        <v/>
      </c>
      <c r="U121" s="9">
        <f>SUM(U108:U119)+U120</f>
        <v/>
      </c>
      <c r="V121" s="9">
        <f>SUM(V108:V119)+V120</f>
        <v/>
      </c>
      <c r="W121" s="9">
        <f>SUM(W108:W119)+W120</f>
        <v/>
      </c>
      <c r="X121" s="9">
        <f>SUM(X108:X119)+X120</f>
        <v/>
      </c>
      <c r="Y121" s="9">
        <f>SUM(Y108:Y119)+Y120</f>
        <v/>
      </c>
      <c r="Z121" s="9">
        <f>SUM(Z108:Z119)+Z120</f>
        <v/>
      </c>
      <c r="AA121" s="9">
        <f>SUM(AA108:AA119)+AA120</f>
        <v/>
      </c>
      <c r="AB121" s="9">
        <f>SUM(AB108:AB119)+AB120</f>
        <v/>
      </c>
      <c r="AC121" s="9">
        <f>SUM(AC108:AC119)+AC120</f>
        <v/>
      </c>
      <c r="AD121" s="9">
        <f>SUM(AD108:AD119)+AD120</f>
        <v/>
      </c>
      <c r="AE121" s="9">
        <f>SUM(AE108:AE119)+AE120</f>
        <v/>
      </c>
      <c r="AF121" s="9">
        <f>SUM(AF108:AF119)+AF120</f>
        <v/>
      </c>
      <c r="AG121" s="9">
        <f>SUM(AG108:AG119)+AG120</f>
        <v/>
      </c>
      <c r="AH121" s="9">
        <f>SUM(AH108:AH119)+AH120</f>
        <v/>
      </c>
      <c r="AI121" s="9">
        <f>SUM(AI108:AI119)+AI120</f>
        <v/>
      </c>
      <c r="AJ121" s="9">
        <f>SUM(AJ108:AJ119)+AJ120</f>
        <v/>
      </c>
      <c r="AK121" s="9">
        <f>SUM(AK108:AK119)+AK120</f>
        <v/>
      </c>
      <c r="AL121" s="9">
        <f>SUM(AL108:AL119)+AL120</f>
        <v/>
      </c>
      <c r="AM121" s="9">
        <f>SUM(AM108:AM119)+AM120</f>
        <v/>
      </c>
      <c r="AN121" s="9">
        <f>SUM(AN108:AN119)+AN120</f>
        <v/>
      </c>
      <c r="AO121" s="9">
        <f>SUM(AO108:AO119)+AO120</f>
        <v/>
      </c>
      <c r="AP121" s="9">
        <f>SUM(AP108:AP119)+AP120</f>
        <v/>
      </c>
      <c r="AQ121" s="9">
        <f>SUM(AQ108:AQ119)+AQ120</f>
        <v/>
      </c>
      <c r="AR121" s="9">
        <f>SUM(AR108:AR119)+AR120</f>
        <v/>
      </c>
      <c r="AS121" s="9">
        <f>SUM(AS108:AS119)+AS120</f>
        <v/>
      </c>
      <c r="AT121" s="9">
        <f>SUM(AT108:AT119)+AT120</f>
        <v/>
      </c>
      <c r="AU121" s="9">
        <f>SUM(AU108:AU119)+AU120</f>
        <v/>
      </c>
      <c r="AV121" s="9">
        <f>SUM(AV108:AV119)+AV120</f>
        <v/>
      </c>
      <c r="AW121" s="9">
        <f>SUM(AW108:AW119)+AW120</f>
        <v/>
      </c>
      <c r="AX121" s="9">
        <f>SUM(AX108:AX119)+AX120</f>
        <v/>
      </c>
      <c r="AY121" s="9">
        <f>SUM(AY108:AY119)+AY120</f>
        <v/>
      </c>
      <c r="AZ121" s="9">
        <f>SUM(AZ108:AZ119)+AZ120</f>
        <v/>
      </c>
      <c r="BA121" s="9">
        <f>SUM(BA108:BA119)+BA120</f>
        <v/>
      </c>
      <c r="BB121" s="9">
        <f>SUM(BB108:BB119)+BB120</f>
        <v/>
      </c>
      <c r="BC121" s="9">
        <f>SUM(BC108:BC119)+BC120</f>
        <v/>
      </c>
      <c r="BD121" s="9">
        <f>SUM(BD108:BD119)+BD120</f>
        <v/>
      </c>
      <c r="BE121" s="9">
        <f>SUM(BE108:BE119)+BE120</f>
        <v/>
      </c>
      <c r="BF121" s="9">
        <f>SUM(BF108:BF119)+BF120</f>
        <v/>
      </c>
      <c r="BG121" s="9">
        <f>SUM(BG108:BG119)+BG120</f>
        <v/>
      </c>
      <c r="BH121" s="9">
        <f>SUM(BH108:BH119)+BH120</f>
        <v/>
      </c>
      <c r="BI121" s="9">
        <f>SUM(BI108:BI119)+BI120</f>
        <v/>
      </c>
      <c r="BJ121" s="9">
        <f>SUM(BJ108:BJ119)+BJ120</f>
        <v/>
      </c>
      <c r="BK121" s="9">
        <f>SUM(BK108:BK119)+BK120</f>
        <v/>
      </c>
      <c r="BL121" s="9">
        <f>SUM(BL108:BL119)+BL120</f>
        <v/>
      </c>
      <c r="BM121" s="9">
        <f>SUM(BM108:BM119)+BM120</f>
        <v/>
      </c>
      <c r="BN121" s="9">
        <f>SUM(BN108:BN119)+BN120</f>
        <v/>
      </c>
      <c r="BO121" s="9">
        <f>SUM(BO108:BO119)+BO120</f>
        <v/>
      </c>
      <c r="BP121" s="9">
        <f>SUM(BP108:BP119)+BP120</f>
        <v/>
      </c>
      <c r="BQ121" s="9">
        <f>SUM(BQ108:BQ119)+BQ120</f>
        <v/>
      </c>
      <c r="BR121" s="9">
        <f>SUM(BR108:BR119)+BR120</f>
        <v/>
      </c>
      <c r="BS121" s="9">
        <f>SUM(BS108:BS119)+BS120</f>
        <v/>
      </c>
      <c r="BT121" s="9">
        <f>SUM(BT108:BT119)+BT120</f>
        <v/>
      </c>
      <c r="BU121" s="9">
        <f>SUM(BU108:BU119)+BU120</f>
        <v/>
      </c>
      <c r="BV121" s="9">
        <f>SUM(BV108:BV119)+BV120</f>
        <v/>
      </c>
      <c r="BW121" s="9">
        <f>SUM(BW108:BW119)+BW120</f>
        <v/>
      </c>
      <c r="BX121" s="9">
        <f>SUM(BX108:BX119)+BX120</f>
        <v/>
      </c>
      <c r="BY121" s="9">
        <f>SUM(BY108:BY119)+BY120</f>
        <v/>
      </c>
    </row>
    <row r="122">
      <c r="B122" t="inlineStr">
        <is>
          <t>Первичная закупка новых школ, комплекты</t>
        </is>
      </c>
      <c r="C122" t="inlineStr">
        <is>
          <t>шт.</t>
        </is>
      </c>
      <c r="D122" s="117" t="inlineStr">
        <is>
          <t>Комплекты для только что открывшихся школ: закупка растянута на три месяца после открытия</t>
        </is>
      </c>
      <c r="E122" s="118">
        <f>SUM(L122:W122)</f>
        <v/>
      </c>
      <c r="F122" s="118">
        <f>SUM(X122:AI122)</f>
        <v/>
      </c>
      <c r="G122" s="118">
        <f>SUM(AJ122:AU122)</f>
        <v/>
      </c>
      <c r="H122" s="118">
        <f>SUM(AV122:BG122)</f>
        <v/>
      </c>
      <c r="I122" s="118">
        <f>SUM(BH122:BS122)</f>
        <v/>
      </c>
      <c r="J122" s="10">
        <f>SUM(L122:BS122)</f>
        <v/>
      </c>
      <c r="L122" s="9">
        <f>0</f>
        <v/>
      </c>
      <c r="M122" s="9">
        <f>('03_Сеть'!L13*ПервичнаяМес1*КоэффСохранения)*ДетиК12Мес*КоэффМерча</f>
        <v/>
      </c>
      <c r="N122" s="9">
        <f>('03_Сеть'!M13*ПервичнаяМес1*КоэффСохранения+'03_Сеть'!L13*ПервичнаяМес2*КоэффСохранения^2)*ДетиК12Мес*КоэффМерча</f>
        <v/>
      </c>
      <c r="O122" s="9">
        <f>('03_Сеть'!N13*ПервичнаяМес1*КоэффСохранения+'03_Сеть'!M13*ПервичнаяМес2*КоэффСохранения^2+'03_Сеть'!L13*ПервичнаяМес3*КоэффСохранения^3)*ДетиК12Мес*КоэффМерча</f>
        <v/>
      </c>
      <c r="P122" s="9">
        <f>('03_Сеть'!O13*ПервичнаяМес1*КоэффСохранения+'03_Сеть'!N13*ПервичнаяМес2*КоэффСохранения^2+'03_Сеть'!M13*ПервичнаяМес3*КоэффСохранения^3)*ДетиК12Мес*КоэффМерча</f>
        <v/>
      </c>
      <c r="Q122" s="9">
        <f>('03_Сеть'!P13*ПервичнаяМес1*КоэффСохранения+'03_Сеть'!O13*ПервичнаяМес2*КоэффСохранения^2+'03_Сеть'!N13*ПервичнаяМес3*КоэффСохранения^3)*ДетиК12Мес*КоэффМерча</f>
        <v/>
      </c>
      <c r="R122" s="9">
        <f>('03_Сеть'!Q13*ПервичнаяМес1*КоэффСохранения+'03_Сеть'!P13*ПервичнаяМес2*КоэффСохранения^2+'03_Сеть'!O13*ПервичнаяМес3*КоэффСохранения^3)*ДетиК12Мес*КоэффМерча</f>
        <v/>
      </c>
      <c r="S122" s="9">
        <f>('03_Сеть'!R13*ПервичнаяМес1*КоэффСохранения+'03_Сеть'!Q13*ПервичнаяМес2*КоэффСохранения^2+'03_Сеть'!P13*ПервичнаяМес3*КоэффСохранения^3)*ДетиК12Мес*КоэффМерча</f>
        <v/>
      </c>
      <c r="T122" s="9">
        <f>('03_Сеть'!S13*ПервичнаяМес1*КоэффСохранения+'03_Сеть'!R13*ПервичнаяМес2*КоэффСохранения^2+'03_Сеть'!Q13*ПервичнаяМес3*КоэффСохранения^3)*ДетиК12Мес*КоэффМерча</f>
        <v/>
      </c>
      <c r="U122" s="9">
        <f>('03_Сеть'!T13*ПервичнаяМес1*КоэффСохранения+'03_Сеть'!S13*ПервичнаяМес2*КоэффСохранения^2+'03_Сеть'!R13*ПервичнаяМес3*КоэффСохранения^3)*ДетиК12Мес*КоэффМерча</f>
        <v/>
      </c>
      <c r="V122" s="9">
        <f>('03_Сеть'!U13*ПервичнаяМес1*КоэффСохранения+'03_Сеть'!T13*ПервичнаяМес2*КоэффСохранения^2+'03_Сеть'!S13*ПервичнаяМес3*КоэффСохранения^3)*ДетиК12Мес*КоэффМерча</f>
        <v/>
      </c>
      <c r="W122" s="9">
        <f>('03_Сеть'!V13*ПервичнаяМес1*КоэффСохранения+'03_Сеть'!U13*ПервичнаяМес2*КоэффСохранения^2+'03_Сеть'!T13*ПервичнаяМес3*КоэффСохранения^3)*ДетиК12Мес*КоэффМерча</f>
        <v/>
      </c>
      <c r="X122" s="9">
        <f>('03_Сеть'!W13*ПервичнаяМес1*КоэффСохранения+'03_Сеть'!V13*ПервичнаяМес2*КоэффСохранения^2+'03_Сеть'!U13*ПервичнаяМес3*КоэффСохранения^3)*ДетиК12Мес*КоэффМерча</f>
        <v/>
      </c>
      <c r="Y122" s="9">
        <f>('03_Сеть'!X13*ПервичнаяМес1*КоэффСохранения+'03_Сеть'!W13*ПервичнаяМес2*КоэффСохранения^2+'03_Сеть'!V13*ПервичнаяМес3*КоэффСохранения^3)*ДетиК12Мес*КоэффМерча</f>
        <v/>
      </c>
      <c r="Z122" s="9">
        <f>('03_Сеть'!Y13*ПервичнаяМес1*КоэффСохранения+'03_Сеть'!X13*ПервичнаяМес2*КоэффСохранения^2+'03_Сеть'!W13*ПервичнаяМес3*КоэффСохранения^3)*ДетиК12Мес*КоэффМерча</f>
        <v/>
      </c>
      <c r="AA122" s="9">
        <f>('03_Сеть'!Z13*ПервичнаяМес1*КоэффСохранения+'03_Сеть'!Y13*ПервичнаяМес2*КоэффСохранения^2+'03_Сеть'!X13*ПервичнаяМес3*КоэффСохранения^3)*ДетиК12Мес*КоэффМерча</f>
        <v/>
      </c>
      <c r="AB122" s="9">
        <f>('03_Сеть'!AA13*ПервичнаяМес1*КоэффСохранения+'03_Сеть'!Z13*ПервичнаяМес2*КоэффСохранения^2+'03_Сеть'!Y13*ПервичнаяМес3*КоэффСохранения^3)*ДетиК12Мес*КоэффМерча</f>
        <v/>
      </c>
      <c r="AC122" s="9">
        <f>('03_Сеть'!AB13*ПервичнаяМес1*КоэффСохранения+'03_Сеть'!AA13*ПервичнаяМес2*КоэффСохранения^2+'03_Сеть'!Z13*ПервичнаяМес3*КоэффСохранения^3)*ДетиК12Мес*КоэффМерча</f>
        <v/>
      </c>
      <c r="AD122" s="9">
        <f>('03_Сеть'!AC13*ПервичнаяМес1*КоэффСохранения+'03_Сеть'!AB13*ПервичнаяМес2*КоэффСохранения^2+'03_Сеть'!AA13*ПервичнаяМес3*КоэффСохранения^3)*ДетиК12Мес*КоэффМерча</f>
        <v/>
      </c>
      <c r="AE122" s="9">
        <f>('03_Сеть'!AD13*ПервичнаяМес1*КоэффСохранения+'03_Сеть'!AC13*ПервичнаяМес2*КоэффСохранения^2+'03_Сеть'!AB13*ПервичнаяМес3*КоэффСохранения^3)*ДетиК12Мес*КоэффМерча</f>
        <v/>
      </c>
      <c r="AF122" s="9">
        <f>('03_Сеть'!AE13*ПервичнаяМес1*КоэффСохранения+'03_Сеть'!AD13*ПервичнаяМес2*КоэффСохранения^2+'03_Сеть'!AC13*ПервичнаяМес3*КоэффСохранения^3)*ДетиК12Мес*КоэффМерча</f>
        <v/>
      </c>
      <c r="AG122" s="9">
        <f>('03_Сеть'!AF13*ПервичнаяМес1*КоэффСохранения+'03_Сеть'!AE13*ПервичнаяМес2*КоэффСохранения^2+'03_Сеть'!AD13*ПервичнаяМес3*КоэффСохранения^3)*ДетиК12Мес*КоэффМерча</f>
        <v/>
      </c>
      <c r="AH122" s="9">
        <f>('03_Сеть'!AG13*ПервичнаяМес1*КоэффСохранения+'03_Сеть'!AF13*ПервичнаяМес2*КоэффСохранения^2+'03_Сеть'!AE13*ПервичнаяМес3*КоэффСохранения^3)*ДетиК12Мес*КоэффМерча</f>
        <v/>
      </c>
      <c r="AI122" s="9">
        <f>('03_Сеть'!AH13*ПервичнаяМес1*КоэффСохранения+'03_Сеть'!AG13*ПервичнаяМес2*КоэффСохранения^2+'03_Сеть'!AF13*ПервичнаяМес3*КоэффСохранения^3)*ДетиК12Мес*КоэффМерча</f>
        <v/>
      </c>
      <c r="AJ122" s="9">
        <f>('03_Сеть'!AI13*ПервичнаяМес1*КоэффСохранения+'03_Сеть'!AH13*ПервичнаяМес2*КоэффСохранения^2+'03_Сеть'!AG13*ПервичнаяМес3*КоэффСохранения^3)*ДетиК12Мес*КоэффМерча</f>
        <v/>
      </c>
      <c r="AK122" s="9">
        <f>('03_Сеть'!AJ13*ПервичнаяМес1*КоэффСохранения+'03_Сеть'!AI13*ПервичнаяМес2*КоэффСохранения^2+'03_Сеть'!AH13*ПервичнаяМес3*КоэффСохранения^3)*ДетиК12Мес*КоэффМерча</f>
        <v/>
      </c>
      <c r="AL122" s="9">
        <f>('03_Сеть'!AK13*ПервичнаяМес1*КоэффСохранения+'03_Сеть'!AJ13*ПервичнаяМес2*КоэффСохранения^2+'03_Сеть'!AI13*ПервичнаяМес3*КоэффСохранения^3)*ДетиК12Мес*КоэффМерча</f>
        <v/>
      </c>
      <c r="AM122" s="9">
        <f>('03_Сеть'!AL13*ПервичнаяМес1*КоэффСохранения+'03_Сеть'!AK13*ПервичнаяМес2*КоэффСохранения^2+'03_Сеть'!AJ13*ПервичнаяМес3*КоэффСохранения^3)*ДетиК12Мес*КоэффМерча</f>
        <v/>
      </c>
      <c r="AN122" s="9">
        <f>('03_Сеть'!AM13*ПервичнаяМес1*КоэффСохранения+'03_Сеть'!AL13*ПервичнаяМес2*КоэффСохранения^2+'03_Сеть'!AK13*ПервичнаяМес3*КоэффСохранения^3)*ДетиК12Мес*КоэффМерча</f>
        <v/>
      </c>
      <c r="AO122" s="9">
        <f>('03_Сеть'!AN13*ПервичнаяМес1*КоэффСохранения+'03_Сеть'!AM13*ПервичнаяМес2*КоэффСохранения^2+'03_Сеть'!AL13*ПервичнаяМес3*КоэффСохранения^3)*ДетиК12Мес*КоэффМерча</f>
        <v/>
      </c>
      <c r="AP122" s="9">
        <f>('03_Сеть'!AO13*ПервичнаяМес1*КоэффСохранения+'03_Сеть'!AN13*ПервичнаяМес2*КоэффСохранения^2+'03_Сеть'!AM13*ПервичнаяМес3*КоэффСохранения^3)*ДетиК12Мес*КоэффМерча</f>
        <v/>
      </c>
      <c r="AQ122" s="9">
        <f>('03_Сеть'!AP13*ПервичнаяМес1*КоэффСохранения+'03_Сеть'!AO13*ПервичнаяМес2*КоэффСохранения^2+'03_Сеть'!AN13*ПервичнаяМес3*КоэффСохранения^3)*ДетиК12Мес*КоэффМерча</f>
        <v/>
      </c>
      <c r="AR122" s="9">
        <f>('03_Сеть'!AQ13*ПервичнаяМес1*КоэффСохранения+'03_Сеть'!AP13*ПервичнаяМес2*КоэффСохранения^2+'03_Сеть'!AO13*ПервичнаяМес3*КоэффСохранения^3)*ДетиК12Мес*КоэффМерча</f>
        <v/>
      </c>
      <c r="AS122" s="9">
        <f>('03_Сеть'!AR13*ПервичнаяМес1*КоэффСохранения+'03_Сеть'!AQ13*ПервичнаяМес2*КоэффСохранения^2+'03_Сеть'!AP13*ПервичнаяМес3*КоэффСохранения^3)*ДетиК12Мес*КоэффМерча</f>
        <v/>
      </c>
      <c r="AT122" s="9">
        <f>('03_Сеть'!AS13*ПервичнаяМес1*КоэффСохранения+'03_Сеть'!AR13*ПервичнаяМес2*КоэффСохранения^2+'03_Сеть'!AQ13*ПервичнаяМес3*КоэффСохранения^3)*ДетиК12Мес*КоэффМерча</f>
        <v/>
      </c>
      <c r="AU122" s="9">
        <f>('03_Сеть'!AT13*ПервичнаяМес1*КоэффСохранения+'03_Сеть'!AS13*ПервичнаяМес2*КоэффСохранения^2+'03_Сеть'!AR13*ПервичнаяМес3*КоэффСохранения^3)*ДетиК12Мес*КоэффМерча</f>
        <v/>
      </c>
      <c r="AV122" s="9">
        <f>('03_Сеть'!AU13*ПервичнаяМес1*КоэффСохранения+'03_Сеть'!AT13*ПервичнаяМес2*КоэффСохранения^2+'03_Сеть'!AS13*ПервичнаяМес3*КоэффСохранения^3)*ДетиК12Мес*КоэффМерча</f>
        <v/>
      </c>
      <c r="AW122" s="9">
        <f>('03_Сеть'!AV13*ПервичнаяМес1*КоэффСохранения+'03_Сеть'!AU13*ПервичнаяМес2*КоэффСохранения^2+'03_Сеть'!AT13*ПервичнаяМес3*КоэффСохранения^3)*ДетиК12Мес*КоэффМерча</f>
        <v/>
      </c>
      <c r="AX122" s="9">
        <f>('03_Сеть'!AW13*ПервичнаяМес1*КоэффСохранения+'03_Сеть'!AV13*ПервичнаяМес2*КоэффСохранения^2+'03_Сеть'!AU13*ПервичнаяМес3*КоэффСохранения^3)*ДетиК12Мес*КоэффМерча</f>
        <v/>
      </c>
      <c r="AY122" s="9">
        <f>('03_Сеть'!AX13*ПервичнаяМес1*КоэффСохранения+'03_Сеть'!AW13*ПервичнаяМес2*КоэффСохранения^2+'03_Сеть'!AV13*ПервичнаяМес3*КоэффСохранения^3)*ДетиК12Мес*КоэффМерча</f>
        <v/>
      </c>
      <c r="AZ122" s="9">
        <f>('03_Сеть'!AY13*ПервичнаяМес1*КоэффСохранения+'03_Сеть'!AX13*ПервичнаяМес2*КоэффСохранения^2+'03_Сеть'!AW13*ПервичнаяМес3*КоэффСохранения^3)*ДетиК12Мес*КоэффМерча</f>
        <v/>
      </c>
      <c r="BA122" s="9">
        <f>('03_Сеть'!AZ13*ПервичнаяМес1*КоэффСохранения+'03_Сеть'!AY13*ПервичнаяМес2*КоэффСохранения^2+'03_Сеть'!AX13*ПервичнаяМес3*КоэффСохранения^3)*ДетиК12Мес*КоэффМерча</f>
        <v/>
      </c>
      <c r="BB122" s="9">
        <f>('03_Сеть'!BA13*ПервичнаяМес1*КоэффСохранения+'03_Сеть'!AZ13*ПервичнаяМес2*КоэффСохранения^2+'03_Сеть'!AY13*ПервичнаяМес3*КоэффСохранения^3)*ДетиК12Мес*КоэффМерча</f>
        <v/>
      </c>
      <c r="BC122" s="9">
        <f>('03_Сеть'!BB13*ПервичнаяМес1*КоэффСохранения+'03_Сеть'!BA13*ПервичнаяМес2*КоэффСохранения^2+'03_Сеть'!AZ13*ПервичнаяМес3*КоэффСохранения^3)*ДетиК12Мес*КоэффМерча</f>
        <v/>
      </c>
      <c r="BD122" s="9">
        <f>('03_Сеть'!BC13*ПервичнаяМес1*КоэффСохранения+'03_Сеть'!BB13*ПервичнаяМес2*КоэффСохранения^2+'03_Сеть'!BA13*ПервичнаяМес3*КоэффСохранения^3)*ДетиК12Мес*КоэффМерча</f>
        <v/>
      </c>
      <c r="BE122" s="9">
        <f>('03_Сеть'!BD13*ПервичнаяМес1*КоэффСохранения+'03_Сеть'!BC13*ПервичнаяМес2*КоэффСохранения^2+'03_Сеть'!BB13*ПервичнаяМес3*КоэффСохранения^3)*ДетиК12Мес*КоэффМерча</f>
        <v/>
      </c>
      <c r="BF122" s="9">
        <f>('03_Сеть'!BE13*ПервичнаяМес1*КоэффСохранения+'03_Сеть'!BD13*ПервичнаяМес2*КоэффСохранения^2+'03_Сеть'!BC13*ПервичнаяМес3*КоэффСохранения^3)*ДетиК12Мес*КоэффМерча</f>
        <v/>
      </c>
      <c r="BG122" s="9">
        <f>('03_Сеть'!BF13*ПервичнаяМес1*КоэффСохранения+'03_Сеть'!BE13*ПервичнаяМес2*КоэффСохранения^2+'03_Сеть'!BD13*ПервичнаяМес3*КоэффСохранения^3)*ДетиК12Мес*КоэффМерча</f>
        <v/>
      </c>
      <c r="BH122" s="9">
        <f>('03_Сеть'!BG13*ПервичнаяМес1*КоэффСохранения+'03_Сеть'!BF13*ПервичнаяМес2*КоэффСохранения^2+'03_Сеть'!BE13*ПервичнаяМес3*КоэффСохранения^3)*ДетиК12Мес*КоэффМерча</f>
        <v/>
      </c>
      <c r="BI122" s="9">
        <f>('03_Сеть'!BH13*ПервичнаяМес1*КоэффСохранения+'03_Сеть'!BG13*ПервичнаяМес2*КоэффСохранения^2+'03_Сеть'!BF13*ПервичнаяМес3*КоэффСохранения^3)*ДетиК12Мес*КоэффМерча</f>
        <v/>
      </c>
      <c r="BJ122" s="9">
        <f>('03_Сеть'!BI13*ПервичнаяМес1*КоэффСохранения+'03_Сеть'!BH13*ПервичнаяМес2*КоэффСохранения^2+'03_Сеть'!BG13*ПервичнаяМес3*КоэффСохранения^3)*ДетиК12Мес*КоэффМерча</f>
        <v/>
      </c>
      <c r="BK122" s="9">
        <f>('03_Сеть'!BJ13*ПервичнаяМес1*КоэффСохранения+'03_Сеть'!BI13*ПервичнаяМес2*КоэффСохранения^2+'03_Сеть'!BH13*ПервичнаяМес3*КоэффСохранения^3)*ДетиК12Мес*КоэффМерча</f>
        <v/>
      </c>
      <c r="BL122" s="9">
        <f>('03_Сеть'!BK13*ПервичнаяМес1*КоэффСохранения+'03_Сеть'!BJ13*ПервичнаяМес2*КоэффСохранения^2+'03_Сеть'!BI13*ПервичнаяМес3*КоэффСохранения^3)*ДетиК12Мес*КоэффМерча</f>
        <v/>
      </c>
      <c r="BM122" s="9">
        <f>('03_Сеть'!BL13*ПервичнаяМес1*КоэффСохранения+'03_Сеть'!BK13*ПервичнаяМес2*КоэффСохранения^2+'03_Сеть'!BJ13*ПервичнаяМес3*КоэффСохранения^3)*ДетиК12Мес*КоэффМерча</f>
        <v/>
      </c>
      <c r="BN122" s="9">
        <f>('03_Сеть'!BM13*ПервичнаяМес1*КоэффСохранения+'03_Сеть'!BL13*ПервичнаяМес2*КоэффСохранения^2+'03_Сеть'!BK13*ПервичнаяМес3*КоэффСохранения^3)*ДетиК12Мес*КоэффМерча</f>
        <v/>
      </c>
      <c r="BO122" s="9">
        <f>('03_Сеть'!BN13*ПервичнаяМес1*КоэффСохранения+'03_Сеть'!BM13*ПервичнаяМес2*КоэффСохранения^2+'03_Сеть'!BL13*ПервичнаяМес3*КоэффСохранения^3)*ДетиК12Мес*КоэффМерча</f>
        <v/>
      </c>
      <c r="BP122" s="9">
        <f>('03_Сеть'!BO13*ПервичнаяМес1*КоэффСохранения+'03_Сеть'!BN13*ПервичнаяМес2*КоэффСохранения^2+'03_Сеть'!BM13*ПервичнаяМес3*КоэффСохранения^3)*ДетиК12Мес*КоэффМерча</f>
        <v/>
      </c>
      <c r="BQ122" s="9">
        <f>('03_Сеть'!BP13*ПервичнаяМес1*КоэффСохранения+'03_Сеть'!BO13*ПервичнаяМес2*КоэффСохранения^2+'03_Сеть'!BN13*ПервичнаяМес3*КоэффСохранения^3)*ДетиК12Мес*КоэффМерча</f>
        <v/>
      </c>
      <c r="BR122" s="9">
        <f>('03_Сеть'!BQ13*ПервичнаяМес1*КоэффСохранения+'03_Сеть'!BP13*ПервичнаяМес2*КоэффСохранения^2+'03_Сеть'!BO13*ПервичнаяМес3*КоэффСохранения^3)*ДетиК12Мес*КоэффМерча</f>
        <v/>
      </c>
      <c r="BS122" s="9">
        <f>('03_Сеть'!BR13*ПервичнаяМес1*КоэффСохранения+'03_Сеть'!BQ13*ПервичнаяМес2*КоэффСохранения^2+'03_Сеть'!BP13*ПервичнаяМес3*КоэффСохранения^3)*ДетиК12Мес*КоэффМерча</f>
        <v/>
      </c>
      <c r="BT122" s="9">
        <f>('03_Сеть'!BS13*ПервичнаяМес1*КоэффСохранения+'03_Сеть'!BR13*ПервичнаяМес2*КоэффСохранения^2+'03_Сеть'!BQ13*ПервичнаяМес3*КоэффСохранения^3)*ДетиК12Мес*КоэффМерча</f>
        <v/>
      </c>
      <c r="BU122" s="9">
        <f>('03_Сеть'!BT13*ПервичнаяМес1*КоэффСохранения+'03_Сеть'!BS13*ПервичнаяМес2*КоэффСохранения^2+'03_Сеть'!BR13*ПервичнаяМес3*КоэффСохранения^3)*ДетиК12Мес*КоэффМерча</f>
        <v/>
      </c>
      <c r="BV122" s="9">
        <f>('03_Сеть'!BU13*ПервичнаяМес1*КоэффСохранения+'03_Сеть'!BT13*ПервичнаяМес2*КоэффСохранения^2+'03_Сеть'!BS13*ПервичнаяМес3*КоэффСохранения^3)*ДетиК12Мес*КоэффМерча</f>
        <v/>
      </c>
      <c r="BW122" s="9">
        <f>('03_Сеть'!BV13*ПервичнаяМес1*КоэффСохранения+'03_Сеть'!BU13*ПервичнаяМес2*КоэффСохранения^2+'03_Сеть'!BT13*ПервичнаяМес3*КоэффСохранения^3)*ДетиК12Мес*КоэффМерча</f>
        <v/>
      </c>
      <c r="BX122" s="9">
        <f>('03_Сеть'!BW13*ПервичнаяМес1*КоэффСохранения+'03_Сеть'!BV13*ПервичнаяМес2*КоэффСохранения^2+'03_Сеть'!BU13*ПервичнаяМес3*КоэффСохранения^3)*ДетиК12Мес*КоэффМерча</f>
        <v/>
      </c>
      <c r="BY122" s="9">
        <f>('03_Сеть'!BX13*ПервичнаяМес1*КоэффСохранения+'03_Сеть'!BW13*ПервичнаяМес2*КоэффСохранения^2+'03_Сеть'!BV13*ПервичнаяМес3*КоэффСохранения^3)*ДетиК12Мес*КоэффМерча</f>
        <v/>
      </c>
    </row>
    <row r="123">
      <c r="B123" t="inlineStr">
        <is>
          <t>Повторная закупка новых школ, комплекты</t>
        </is>
      </c>
      <c r="C123" t="inlineStr">
        <is>
          <t>шт.</t>
        </is>
      </c>
      <c r="D123" s="117" t="inlineStr"/>
      <c r="E123" s="118">
        <f>SUM(L123:W123)</f>
        <v/>
      </c>
      <c r="F123" s="118">
        <f>SUM(X123:AI123)</f>
        <v/>
      </c>
      <c r="G123" s="118">
        <f>SUM(AJ123:AU123)</f>
        <v/>
      </c>
      <c r="H123" s="118">
        <f>SUM(AV123:BG123)</f>
        <v/>
      </c>
      <c r="I123" s="118">
        <f>SUM(BH123:BS123)</f>
        <v/>
      </c>
      <c r="J123" s="10">
        <f>SUM(L123:BS123)</f>
        <v/>
      </c>
      <c r="L123" s="9">
        <f>L121*КоэффМерча*L105</f>
        <v/>
      </c>
      <c r="M123" s="9">
        <f>M121*КоэффМерча*M105</f>
        <v/>
      </c>
      <c r="N123" s="9">
        <f>N121*КоэффМерча*N105</f>
        <v/>
      </c>
      <c r="O123" s="9">
        <f>O121*КоэффМерча*O105</f>
        <v/>
      </c>
      <c r="P123" s="9">
        <f>P121*КоэффМерча*P105</f>
        <v/>
      </c>
      <c r="Q123" s="9">
        <f>Q121*КоэффМерча*Q105</f>
        <v/>
      </c>
      <c r="R123" s="9">
        <f>R121*КоэффМерча*R105</f>
        <v/>
      </c>
      <c r="S123" s="9">
        <f>S121*КоэффМерча*S105</f>
        <v/>
      </c>
      <c r="T123" s="9">
        <f>T121*КоэффМерча*T105</f>
        <v/>
      </c>
      <c r="U123" s="9">
        <f>U121*КоэффМерча*U105</f>
        <v/>
      </c>
      <c r="V123" s="9">
        <f>V121*КоэффМерча*V105</f>
        <v/>
      </c>
      <c r="W123" s="9">
        <f>W121*КоэффМерча*W105</f>
        <v/>
      </c>
      <c r="X123" s="9">
        <f>X121*КоэффМерча*X105</f>
        <v/>
      </c>
      <c r="Y123" s="9">
        <f>Y121*КоэффМерча*Y105</f>
        <v/>
      </c>
      <c r="Z123" s="9">
        <f>Z121*КоэффМерча*Z105</f>
        <v/>
      </c>
      <c r="AA123" s="9">
        <f>AA121*КоэффМерча*AA105</f>
        <v/>
      </c>
      <c r="AB123" s="9">
        <f>AB121*КоэффМерча*AB105</f>
        <v/>
      </c>
      <c r="AC123" s="9">
        <f>AC121*КоэффМерча*AC105</f>
        <v/>
      </c>
      <c r="AD123" s="9">
        <f>AD121*КоэффМерча*AD105</f>
        <v/>
      </c>
      <c r="AE123" s="9">
        <f>AE121*КоэффМерча*AE105</f>
        <v/>
      </c>
      <c r="AF123" s="9">
        <f>AF121*КоэффМерча*AF105</f>
        <v/>
      </c>
      <c r="AG123" s="9">
        <f>AG121*КоэффМерча*AG105</f>
        <v/>
      </c>
      <c r="AH123" s="9">
        <f>AH121*КоэффМерча*AH105</f>
        <v/>
      </c>
      <c r="AI123" s="9">
        <f>AI121*КоэффМерча*AI105</f>
        <v/>
      </c>
      <c r="AJ123" s="9">
        <f>AJ121*КоэффМерча*AJ105</f>
        <v/>
      </c>
      <c r="AK123" s="9">
        <f>AK121*КоэффМерча*AK105</f>
        <v/>
      </c>
      <c r="AL123" s="9">
        <f>AL121*КоэффМерча*AL105</f>
        <v/>
      </c>
      <c r="AM123" s="9">
        <f>AM121*КоэффМерча*AM105</f>
        <v/>
      </c>
      <c r="AN123" s="9">
        <f>AN121*КоэффМерча*AN105</f>
        <v/>
      </c>
      <c r="AO123" s="9">
        <f>AO121*КоэффМерча*AO105</f>
        <v/>
      </c>
      <c r="AP123" s="9">
        <f>AP121*КоэффМерча*AP105</f>
        <v/>
      </c>
      <c r="AQ123" s="9">
        <f>AQ121*КоэффМерча*AQ105</f>
        <v/>
      </c>
      <c r="AR123" s="9">
        <f>AR121*КоэффМерча*AR105</f>
        <v/>
      </c>
      <c r="AS123" s="9">
        <f>AS121*КоэффМерча*AS105</f>
        <v/>
      </c>
      <c r="AT123" s="9">
        <f>AT121*КоэффМерча*AT105</f>
        <v/>
      </c>
      <c r="AU123" s="9">
        <f>AU121*КоэффМерча*AU105</f>
        <v/>
      </c>
      <c r="AV123" s="9">
        <f>AV121*КоэффМерча*AV105</f>
        <v/>
      </c>
      <c r="AW123" s="9">
        <f>AW121*КоэффМерча*AW105</f>
        <v/>
      </c>
      <c r="AX123" s="9">
        <f>AX121*КоэффМерча*AX105</f>
        <v/>
      </c>
      <c r="AY123" s="9">
        <f>AY121*КоэффМерча*AY105</f>
        <v/>
      </c>
      <c r="AZ123" s="9">
        <f>AZ121*КоэффМерча*AZ105</f>
        <v/>
      </c>
      <c r="BA123" s="9">
        <f>BA121*КоэффМерча*BA105</f>
        <v/>
      </c>
      <c r="BB123" s="9">
        <f>BB121*КоэффМерча*BB105</f>
        <v/>
      </c>
      <c r="BC123" s="9">
        <f>BC121*КоэффМерча*BC105</f>
        <v/>
      </c>
      <c r="BD123" s="9">
        <f>BD121*КоэффМерча*BD105</f>
        <v/>
      </c>
      <c r="BE123" s="9">
        <f>BE121*КоэффМерча*BE105</f>
        <v/>
      </c>
      <c r="BF123" s="9">
        <f>BF121*КоэффМерча*BF105</f>
        <v/>
      </c>
      <c r="BG123" s="9">
        <f>BG121*КоэффМерча*BG105</f>
        <v/>
      </c>
      <c r="BH123" s="9">
        <f>BH121*КоэффМерча*BH105</f>
        <v/>
      </c>
      <c r="BI123" s="9">
        <f>BI121*КоэффМерча*BI105</f>
        <v/>
      </c>
      <c r="BJ123" s="9">
        <f>BJ121*КоэффМерча*BJ105</f>
        <v/>
      </c>
      <c r="BK123" s="9">
        <f>BK121*КоэффМерча*BK105</f>
        <v/>
      </c>
      <c r="BL123" s="9">
        <f>BL121*КоэффМерча*BL105</f>
        <v/>
      </c>
      <c r="BM123" s="9">
        <f>BM121*КоэффМерча*BM105</f>
        <v/>
      </c>
      <c r="BN123" s="9">
        <f>BN121*КоэффМерча*BN105</f>
        <v/>
      </c>
      <c r="BO123" s="9">
        <f>BO121*КоэффМерча*BO105</f>
        <v/>
      </c>
      <c r="BP123" s="9">
        <f>BP121*КоэффМерча*BP105</f>
        <v/>
      </c>
      <c r="BQ123" s="9">
        <f>BQ121*КоэффМерча*BQ105</f>
        <v/>
      </c>
      <c r="BR123" s="9">
        <f>BR121*КоэффМерча*BR105</f>
        <v/>
      </c>
      <c r="BS123" s="9">
        <f>BS121*КоэффМерча*BS105</f>
        <v/>
      </c>
      <c r="BT123" s="9">
        <f>BT121*КоэффМерча*BT105</f>
        <v/>
      </c>
      <c r="BU123" s="9">
        <f>BU121*КоэффМерча*BU105</f>
        <v/>
      </c>
      <c r="BV123" s="9">
        <f>BV121*КоэффМерча*BV105</f>
        <v/>
      </c>
      <c r="BW123" s="9">
        <f>BW121*КоэффМерча*BW105</f>
        <v/>
      </c>
      <c r="BX123" s="9">
        <f>BX121*КоэффМерча*BX105</f>
        <v/>
      </c>
      <c r="BY123" s="9">
        <f>BY121*КоэффМерча*BY105</f>
        <v/>
      </c>
    </row>
    <row r="125">
      <c r="B125" s="115" t="inlineStr">
        <is>
          <t>Мерч: деньги</t>
        </is>
      </c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  <c r="L125" s="116" t="n"/>
      <c r="M125" s="116" t="n"/>
      <c r="N125" s="116" t="n"/>
      <c r="O125" s="116" t="n"/>
      <c r="P125" s="116" t="n"/>
      <c r="Q125" s="116" t="n"/>
      <c r="R125" s="116" t="n"/>
      <c r="S125" s="116" t="n"/>
      <c r="T125" s="116" t="n"/>
      <c r="U125" s="116" t="n"/>
      <c r="V125" s="116" t="n"/>
      <c r="W125" s="116" t="n"/>
      <c r="X125" s="116" t="n"/>
      <c r="Y125" s="116" t="n"/>
      <c r="Z125" s="116" t="n"/>
      <c r="AA125" s="116" t="n"/>
      <c r="AB125" s="116" t="n"/>
      <c r="AC125" s="116" t="n"/>
      <c r="AD125" s="116" t="n"/>
      <c r="AE125" s="116" t="n"/>
      <c r="AF125" s="116" t="n"/>
      <c r="AG125" s="116" t="n"/>
      <c r="AH125" s="116" t="n"/>
      <c r="AI125" s="116" t="n"/>
      <c r="AJ125" s="116" t="n"/>
      <c r="AK125" s="116" t="n"/>
      <c r="AL125" s="116" t="n"/>
      <c r="AM125" s="116" t="n"/>
      <c r="AN125" s="116" t="n"/>
      <c r="AO125" s="116" t="n"/>
      <c r="AP125" s="116" t="n"/>
      <c r="AQ125" s="116" t="n"/>
      <c r="AR125" s="116" t="n"/>
      <c r="AS125" s="116" t="n"/>
      <c r="AT125" s="116" t="n"/>
      <c r="AU125" s="116" t="n"/>
      <c r="AV125" s="116" t="n"/>
      <c r="AW125" s="116" t="n"/>
      <c r="AX125" s="116" t="n"/>
      <c r="AY125" s="116" t="n"/>
      <c r="AZ125" s="116" t="n"/>
      <c r="BA125" s="116" t="n"/>
      <c r="BB125" s="116" t="n"/>
      <c r="BC125" s="116" t="n"/>
      <c r="BD125" s="116" t="n"/>
      <c r="BE125" s="116" t="n"/>
      <c r="BF125" s="116" t="n"/>
      <c r="BG125" s="116" t="n"/>
      <c r="BH125" s="116" t="n"/>
      <c r="BI125" s="116" t="n"/>
      <c r="BJ125" s="116" t="n"/>
      <c r="BK125" s="116" t="n"/>
      <c r="BL125" s="116" t="n"/>
      <c r="BM125" s="116" t="n"/>
      <c r="BN125" s="116" t="n"/>
      <c r="BO125" s="116" t="n"/>
      <c r="BP125" s="116" t="n"/>
      <c r="BQ125" s="116" t="n"/>
      <c r="BR125" s="116" t="n"/>
      <c r="BS125" s="116" t="n"/>
      <c r="BT125" s="116" t="n"/>
      <c r="BU125" s="116" t="n"/>
      <c r="BV125" s="116" t="n"/>
      <c r="BW125" s="116" t="n"/>
      <c r="BX125" s="116" t="n"/>
      <c r="BY125" s="116" t="n"/>
    </row>
    <row r="126">
      <c r="B126" t="inlineStr">
        <is>
          <t>Новые школы — выручка с НДС</t>
        </is>
      </c>
      <c r="C126" t="inlineStr">
        <is>
          <t>₽</t>
        </is>
      </c>
      <c r="D126" s="117" t="inlineStr"/>
      <c r="E126" s="119">
        <f>SUM(L126:W126)</f>
        <v/>
      </c>
      <c r="F126" s="119">
        <f>SUM(X126:AI126)</f>
        <v/>
      </c>
      <c r="G126" s="119">
        <f>SUM(AJ126:AU126)</f>
        <v/>
      </c>
      <c r="H126" s="119">
        <f>SUM(AV126:BG126)</f>
        <v/>
      </c>
      <c r="I126" s="119">
        <f>SUM(BH126:BS126)</f>
        <v/>
      </c>
      <c r="J126" s="5">
        <f>SUM(L126:BS126)</f>
        <v/>
      </c>
      <c r="L126" s="4">
        <f>(L122+L123)*'07_Тарифы'!B$10</f>
        <v/>
      </c>
      <c r="M126" s="4">
        <f>(M122+M123)*'07_Тарифы'!C$10</f>
        <v/>
      </c>
      <c r="N126" s="4">
        <f>(N122+N123)*'07_Тарифы'!D$10</f>
        <v/>
      </c>
      <c r="O126" s="4">
        <f>(O122+O123)*'07_Тарифы'!E$10</f>
        <v/>
      </c>
      <c r="P126" s="4">
        <f>(P122+P123)*'07_Тарифы'!F$10</f>
        <v/>
      </c>
      <c r="Q126" s="4">
        <f>(Q122+Q123)*'07_Тарифы'!G$10</f>
        <v/>
      </c>
      <c r="R126" s="4">
        <f>(R122+R123)*'07_Тарифы'!H$10</f>
        <v/>
      </c>
      <c r="S126" s="4">
        <f>(S122+S123)*'07_Тарифы'!I$10</f>
        <v/>
      </c>
      <c r="T126" s="4">
        <f>(T122+T123)*'07_Тарифы'!J$10</f>
        <v/>
      </c>
      <c r="U126" s="4">
        <f>(U122+U123)*'07_Тарифы'!K$10</f>
        <v/>
      </c>
      <c r="V126" s="4">
        <f>(V122+V123)*'07_Тарифы'!L$10</f>
        <v/>
      </c>
      <c r="W126" s="4">
        <f>(W122+W123)*'07_Тарифы'!M$10</f>
        <v/>
      </c>
      <c r="X126" s="4">
        <f>(X122+X123)*'07_Тарифы'!N$10</f>
        <v/>
      </c>
      <c r="Y126" s="4">
        <f>(Y122+Y123)*'07_Тарифы'!O$10</f>
        <v/>
      </c>
      <c r="Z126" s="4">
        <f>(Z122+Z123)*'07_Тарифы'!P$10</f>
        <v/>
      </c>
      <c r="AA126" s="4">
        <f>(AA122+AA123)*'07_Тарифы'!Q$10</f>
        <v/>
      </c>
      <c r="AB126" s="4">
        <f>(AB122+AB123)*'07_Тарифы'!R$10</f>
        <v/>
      </c>
      <c r="AC126" s="4">
        <f>(AC122+AC123)*'07_Тарифы'!S$10</f>
        <v/>
      </c>
      <c r="AD126" s="4">
        <f>(AD122+AD123)*'07_Тарифы'!T$10</f>
        <v/>
      </c>
      <c r="AE126" s="4">
        <f>(AE122+AE123)*'07_Тарифы'!U$10</f>
        <v/>
      </c>
      <c r="AF126" s="4">
        <f>(AF122+AF123)*'07_Тарифы'!V$10</f>
        <v/>
      </c>
      <c r="AG126" s="4">
        <f>(AG122+AG123)*'07_Тарифы'!W$10</f>
        <v/>
      </c>
      <c r="AH126" s="4">
        <f>(AH122+AH123)*'07_Тарифы'!X$10</f>
        <v/>
      </c>
      <c r="AI126" s="4">
        <f>(AI122+AI123)*'07_Тарифы'!Y$10</f>
        <v/>
      </c>
      <c r="AJ126" s="4">
        <f>(AJ122+AJ123)*'07_Тарифы'!Z$10</f>
        <v/>
      </c>
      <c r="AK126" s="4">
        <f>(AK122+AK123)*'07_Тарифы'!AA$10</f>
        <v/>
      </c>
      <c r="AL126" s="4">
        <f>(AL122+AL123)*'07_Тарифы'!AB$10</f>
        <v/>
      </c>
      <c r="AM126" s="4">
        <f>(AM122+AM123)*'07_Тарифы'!AC$10</f>
        <v/>
      </c>
      <c r="AN126" s="4">
        <f>(AN122+AN123)*'07_Тарифы'!AD$10</f>
        <v/>
      </c>
      <c r="AO126" s="4">
        <f>(AO122+AO123)*'07_Тарифы'!AE$10</f>
        <v/>
      </c>
      <c r="AP126" s="4">
        <f>(AP122+AP123)*'07_Тарифы'!AF$10</f>
        <v/>
      </c>
      <c r="AQ126" s="4">
        <f>(AQ122+AQ123)*'07_Тарифы'!AG$10</f>
        <v/>
      </c>
      <c r="AR126" s="4">
        <f>(AR122+AR123)*'07_Тарифы'!AH$10</f>
        <v/>
      </c>
      <c r="AS126" s="4">
        <f>(AS122+AS123)*'07_Тарифы'!AI$10</f>
        <v/>
      </c>
      <c r="AT126" s="4">
        <f>(AT122+AT123)*'07_Тарифы'!AJ$10</f>
        <v/>
      </c>
      <c r="AU126" s="4">
        <f>(AU122+AU123)*'07_Тарифы'!AK$10</f>
        <v/>
      </c>
      <c r="AV126" s="4">
        <f>(AV122+AV123)*'07_Тарифы'!AL$10</f>
        <v/>
      </c>
      <c r="AW126" s="4">
        <f>(AW122+AW123)*'07_Тарифы'!AM$10</f>
        <v/>
      </c>
      <c r="AX126" s="4">
        <f>(AX122+AX123)*'07_Тарифы'!AN$10</f>
        <v/>
      </c>
      <c r="AY126" s="4">
        <f>(AY122+AY123)*'07_Тарифы'!AO$10</f>
        <v/>
      </c>
      <c r="AZ126" s="4">
        <f>(AZ122+AZ123)*'07_Тарифы'!AP$10</f>
        <v/>
      </c>
      <c r="BA126" s="4">
        <f>(BA122+BA123)*'07_Тарифы'!AQ$10</f>
        <v/>
      </c>
      <c r="BB126" s="4">
        <f>(BB122+BB123)*'07_Тарифы'!AR$10</f>
        <v/>
      </c>
      <c r="BC126" s="4">
        <f>(BC122+BC123)*'07_Тарифы'!AS$10</f>
        <v/>
      </c>
      <c r="BD126" s="4">
        <f>(BD122+BD123)*'07_Тарифы'!AT$10</f>
        <v/>
      </c>
      <c r="BE126" s="4">
        <f>(BE122+BE123)*'07_Тарифы'!AU$10</f>
        <v/>
      </c>
      <c r="BF126" s="4">
        <f>(BF122+BF123)*'07_Тарифы'!AV$10</f>
        <v/>
      </c>
      <c r="BG126" s="4">
        <f>(BG122+BG123)*'07_Тарифы'!AW$10</f>
        <v/>
      </c>
      <c r="BH126" s="4">
        <f>(BH122+BH123)*'07_Тарифы'!AX$10</f>
        <v/>
      </c>
      <c r="BI126" s="4">
        <f>(BI122+BI123)*'07_Тарифы'!AY$10</f>
        <v/>
      </c>
      <c r="BJ126" s="4">
        <f>(BJ122+BJ123)*'07_Тарифы'!AZ$10</f>
        <v/>
      </c>
      <c r="BK126" s="4">
        <f>(BK122+BK123)*'07_Тарифы'!BA$10</f>
        <v/>
      </c>
      <c r="BL126" s="4">
        <f>(BL122+BL123)*'07_Тарифы'!BB$10</f>
        <v/>
      </c>
      <c r="BM126" s="4">
        <f>(BM122+BM123)*'07_Тарифы'!BC$10</f>
        <v/>
      </c>
      <c r="BN126" s="4">
        <f>(BN122+BN123)*'07_Тарифы'!BD$10</f>
        <v/>
      </c>
      <c r="BO126" s="4">
        <f>(BO122+BO123)*'07_Тарифы'!BE$10</f>
        <v/>
      </c>
      <c r="BP126" s="4">
        <f>(BP122+BP123)*'07_Тарифы'!BF$10</f>
        <v/>
      </c>
      <c r="BQ126" s="4">
        <f>(BQ122+BQ123)*'07_Тарифы'!BG$10</f>
        <v/>
      </c>
      <c r="BR126" s="4">
        <f>(BR122+BR123)*'07_Тарифы'!BH$10</f>
        <v/>
      </c>
      <c r="BS126" s="4">
        <f>(BS122+BS123)*'07_Тарифы'!BI$10</f>
        <v/>
      </c>
      <c r="BT126" s="4">
        <f>(BT122+BT123)*'07_Тарифы'!BJ$10</f>
        <v/>
      </c>
      <c r="BU126" s="4">
        <f>(BU122+BU123)*'07_Тарифы'!BK$10</f>
        <v/>
      </c>
      <c r="BV126" s="4">
        <f>(BV122+BV123)*'07_Тарифы'!BL$10</f>
        <v/>
      </c>
      <c r="BW126" s="4">
        <f>(BW122+BW123)*'07_Тарифы'!BM$10</f>
        <v/>
      </c>
      <c r="BX126" s="4">
        <f>(BX122+BX123)*'07_Тарифы'!BN$10</f>
        <v/>
      </c>
      <c r="BY126" s="4">
        <f>(BY122+BY123)*'07_Тарифы'!BO$10</f>
        <v/>
      </c>
    </row>
    <row r="127">
      <c r="B127" t="inlineStr">
        <is>
          <t>Новые школы — COGS</t>
        </is>
      </c>
      <c r="C127" t="inlineStr">
        <is>
          <t>₽</t>
        </is>
      </c>
      <c r="D127" s="117" t="inlineStr"/>
      <c r="E127" s="119">
        <f>SUM(L127:W127)</f>
        <v/>
      </c>
      <c r="F127" s="119">
        <f>SUM(X127:AI127)</f>
        <v/>
      </c>
      <c r="G127" s="119">
        <f>SUM(AJ127:AU127)</f>
        <v/>
      </c>
      <c r="H127" s="119">
        <f>SUM(AV127:BG127)</f>
        <v/>
      </c>
      <c r="I127" s="119">
        <f>SUM(BH127:BS127)</f>
        <v/>
      </c>
      <c r="J127" s="5">
        <f>SUM(L127:BS127)</f>
        <v/>
      </c>
      <c r="L127" s="4">
        <f>(L122+L123)*'07_Тарифы'!B$9</f>
        <v/>
      </c>
      <c r="M127" s="4">
        <f>(M122+M123)*'07_Тарифы'!C$9</f>
        <v/>
      </c>
      <c r="N127" s="4">
        <f>(N122+N123)*'07_Тарифы'!D$9</f>
        <v/>
      </c>
      <c r="O127" s="4">
        <f>(O122+O123)*'07_Тарифы'!E$9</f>
        <v/>
      </c>
      <c r="P127" s="4">
        <f>(P122+P123)*'07_Тарифы'!F$9</f>
        <v/>
      </c>
      <c r="Q127" s="4">
        <f>(Q122+Q123)*'07_Тарифы'!G$9</f>
        <v/>
      </c>
      <c r="R127" s="4">
        <f>(R122+R123)*'07_Тарифы'!H$9</f>
        <v/>
      </c>
      <c r="S127" s="4">
        <f>(S122+S123)*'07_Тарифы'!I$9</f>
        <v/>
      </c>
      <c r="T127" s="4">
        <f>(T122+T123)*'07_Тарифы'!J$9</f>
        <v/>
      </c>
      <c r="U127" s="4">
        <f>(U122+U123)*'07_Тарифы'!K$9</f>
        <v/>
      </c>
      <c r="V127" s="4">
        <f>(V122+V123)*'07_Тарифы'!L$9</f>
        <v/>
      </c>
      <c r="W127" s="4">
        <f>(W122+W123)*'07_Тарифы'!M$9</f>
        <v/>
      </c>
      <c r="X127" s="4">
        <f>(X122+X123)*'07_Тарифы'!N$9</f>
        <v/>
      </c>
      <c r="Y127" s="4">
        <f>(Y122+Y123)*'07_Тарифы'!O$9</f>
        <v/>
      </c>
      <c r="Z127" s="4">
        <f>(Z122+Z123)*'07_Тарифы'!P$9</f>
        <v/>
      </c>
      <c r="AA127" s="4">
        <f>(AA122+AA123)*'07_Тарифы'!Q$9</f>
        <v/>
      </c>
      <c r="AB127" s="4">
        <f>(AB122+AB123)*'07_Тарифы'!R$9</f>
        <v/>
      </c>
      <c r="AC127" s="4">
        <f>(AC122+AC123)*'07_Тарифы'!S$9</f>
        <v/>
      </c>
      <c r="AD127" s="4">
        <f>(AD122+AD123)*'07_Тарифы'!T$9</f>
        <v/>
      </c>
      <c r="AE127" s="4">
        <f>(AE122+AE123)*'07_Тарифы'!U$9</f>
        <v/>
      </c>
      <c r="AF127" s="4">
        <f>(AF122+AF123)*'07_Тарифы'!V$9</f>
        <v/>
      </c>
      <c r="AG127" s="4">
        <f>(AG122+AG123)*'07_Тарифы'!W$9</f>
        <v/>
      </c>
      <c r="AH127" s="4">
        <f>(AH122+AH123)*'07_Тарифы'!X$9</f>
        <v/>
      </c>
      <c r="AI127" s="4">
        <f>(AI122+AI123)*'07_Тарифы'!Y$9</f>
        <v/>
      </c>
      <c r="AJ127" s="4">
        <f>(AJ122+AJ123)*'07_Тарифы'!Z$9</f>
        <v/>
      </c>
      <c r="AK127" s="4">
        <f>(AK122+AK123)*'07_Тарифы'!AA$9</f>
        <v/>
      </c>
      <c r="AL127" s="4">
        <f>(AL122+AL123)*'07_Тарифы'!AB$9</f>
        <v/>
      </c>
      <c r="AM127" s="4">
        <f>(AM122+AM123)*'07_Тарифы'!AC$9</f>
        <v/>
      </c>
      <c r="AN127" s="4">
        <f>(AN122+AN123)*'07_Тарифы'!AD$9</f>
        <v/>
      </c>
      <c r="AO127" s="4">
        <f>(AO122+AO123)*'07_Тарифы'!AE$9</f>
        <v/>
      </c>
      <c r="AP127" s="4">
        <f>(AP122+AP123)*'07_Тарифы'!AF$9</f>
        <v/>
      </c>
      <c r="AQ127" s="4">
        <f>(AQ122+AQ123)*'07_Тарифы'!AG$9</f>
        <v/>
      </c>
      <c r="AR127" s="4">
        <f>(AR122+AR123)*'07_Тарифы'!AH$9</f>
        <v/>
      </c>
      <c r="AS127" s="4">
        <f>(AS122+AS123)*'07_Тарифы'!AI$9</f>
        <v/>
      </c>
      <c r="AT127" s="4">
        <f>(AT122+AT123)*'07_Тарифы'!AJ$9</f>
        <v/>
      </c>
      <c r="AU127" s="4">
        <f>(AU122+AU123)*'07_Тарифы'!AK$9</f>
        <v/>
      </c>
      <c r="AV127" s="4">
        <f>(AV122+AV123)*'07_Тарифы'!AL$9</f>
        <v/>
      </c>
      <c r="AW127" s="4">
        <f>(AW122+AW123)*'07_Тарифы'!AM$9</f>
        <v/>
      </c>
      <c r="AX127" s="4">
        <f>(AX122+AX123)*'07_Тарифы'!AN$9</f>
        <v/>
      </c>
      <c r="AY127" s="4">
        <f>(AY122+AY123)*'07_Тарифы'!AO$9</f>
        <v/>
      </c>
      <c r="AZ127" s="4">
        <f>(AZ122+AZ123)*'07_Тарифы'!AP$9</f>
        <v/>
      </c>
      <c r="BA127" s="4">
        <f>(BA122+BA123)*'07_Тарифы'!AQ$9</f>
        <v/>
      </c>
      <c r="BB127" s="4">
        <f>(BB122+BB123)*'07_Тарифы'!AR$9</f>
        <v/>
      </c>
      <c r="BC127" s="4">
        <f>(BC122+BC123)*'07_Тарифы'!AS$9</f>
        <v/>
      </c>
      <c r="BD127" s="4">
        <f>(BD122+BD123)*'07_Тарифы'!AT$9</f>
        <v/>
      </c>
      <c r="BE127" s="4">
        <f>(BE122+BE123)*'07_Тарифы'!AU$9</f>
        <v/>
      </c>
      <c r="BF127" s="4">
        <f>(BF122+BF123)*'07_Тарифы'!AV$9</f>
        <v/>
      </c>
      <c r="BG127" s="4">
        <f>(BG122+BG123)*'07_Тарифы'!AW$9</f>
        <v/>
      </c>
      <c r="BH127" s="4">
        <f>(BH122+BH123)*'07_Тарифы'!AX$9</f>
        <v/>
      </c>
      <c r="BI127" s="4">
        <f>(BI122+BI123)*'07_Тарифы'!AY$9</f>
        <v/>
      </c>
      <c r="BJ127" s="4">
        <f>(BJ122+BJ123)*'07_Тарифы'!AZ$9</f>
        <v/>
      </c>
      <c r="BK127" s="4">
        <f>(BK122+BK123)*'07_Тарифы'!BA$9</f>
        <v/>
      </c>
      <c r="BL127" s="4">
        <f>(BL122+BL123)*'07_Тарифы'!BB$9</f>
        <v/>
      </c>
      <c r="BM127" s="4">
        <f>(BM122+BM123)*'07_Тарифы'!BC$9</f>
        <v/>
      </c>
      <c r="BN127" s="4">
        <f>(BN122+BN123)*'07_Тарифы'!BD$9</f>
        <v/>
      </c>
      <c r="BO127" s="4">
        <f>(BO122+BO123)*'07_Тарифы'!BE$9</f>
        <v/>
      </c>
      <c r="BP127" s="4">
        <f>(BP122+BP123)*'07_Тарифы'!BF$9</f>
        <v/>
      </c>
      <c r="BQ127" s="4">
        <f>(BQ122+BQ123)*'07_Тарифы'!BG$9</f>
        <v/>
      </c>
      <c r="BR127" s="4">
        <f>(BR122+BR123)*'07_Тарифы'!BH$9</f>
        <v/>
      </c>
      <c r="BS127" s="4">
        <f>(BS122+BS123)*'07_Тарифы'!BI$9</f>
        <v/>
      </c>
      <c r="BT127" s="4">
        <f>(BT122+BT123)*'07_Тарифы'!BJ$9</f>
        <v/>
      </c>
      <c r="BU127" s="4">
        <f>(BU122+BU123)*'07_Тарифы'!BK$9</f>
        <v/>
      </c>
      <c r="BV127" s="4">
        <f>(BV122+BV123)*'07_Тарифы'!BL$9</f>
        <v/>
      </c>
      <c r="BW127" s="4">
        <f>(BW122+BW123)*'07_Тарифы'!BM$9</f>
        <v/>
      </c>
      <c r="BX127" s="4">
        <f>(BX122+BX123)*'07_Тарифы'!BN$9</f>
        <v/>
      </c>
      <c r="BY127" s="4">
        <f>(BY122+BY123)*'07_Тарифы'!BO$9</f>
        <v/>
      </c>
    </row>
    <row r="128">
      <c r="B128" t="inlineStr">
        <is>
          <t>Действующая сеть — выручка с НДС</t>
        </is>
      </c>
      <c r="C128" t="inlineStr">
        <is>
          <t>₽</t>
        </is>
      </c>
      <c r="D128" s="117" t="inlineStr"/>
      <c r="E128" s="119">
        <f>SUM(L128:W128)</f>
        <v/>
      </c>
      <c r="F128" s="119">
        <f>SUM(X128:AI128)</f>
        <v/>
      </c>
      <c r="G128" s="119">
        <f>SUM(AJ128:AU128)</f>
        <v/>
      </c>
      <c r="H128" s="119">
        <f>SUM(AV128:BG128)</f>
        <v/>
      </c>
      <c r="I128" s="119">
        <f>SUM(BH128:BS128)</f>
        <v/>
      </c>
      <c r="J128" s="5">
        <f>SUM(L128:BS128)</f>
        <v/>
      </c>
      <c r="L128" s="4">
        <f>'01_Вводные'!B$100</f>
        <v/>
      </c>
      <c r="M128" s="4">
        <f>'01_Вводные'!C$100</f>
        <v/>
      </c>
      <c r="N128" s="4">
        <f>'01_Вводные'!D$100</f>
        <v/>
      </c>
      <c r="O128" s="4">
        <f>'01_Вводные'!E$100</f>
        <v/>
      </c>
      <c r="P128" s="4">
        <f>P106*'07_Тарифы'!F$10</f>
        <v/>
      </c>
      <c r="Q128" s="4">
        <f>Q106*'07_Тарифы'!G$10</f>
        <v/>
      </c>
      <c r="R128" s="4">
        <f>R106*'07_Тарифы'!H$10</f>
        <v/>
      </c>
      <c r="S128" s="4">
        <f>S106*'07_Тарифы'!I$10</f>
        <v/>
      </c>
      <c r="T128" s="4">
        <f>T106*'07_Тарифы'!J$10</f>
        <v/>
      </c>
      <c r="U128" s="4">
        <f>U106*'07_Тарифы'!K$10</f>
        <v/>
      </c>
      <c r="V128" s="4">
        <f>V106*'07_Тарифы'!L$10</f>
        <v/>
      </c>
      <c r="W128" s="4">
        <f>W106*'07_Тарифы'!M$10</f>
        <v/>
      </c>
      <c r="X128" s="4">
        <f>X106*'07_Тарифы'!N$10</f>
        <v/>
      </c>
      <c r="Y128" s="4">
        <f>Y106*'07_Тарифы'!O$10</f>
        <v/>
      </c>
      <c r="Z128" s="4">
        <f>Z106*'07_Тарифы'!P$10</f>
        <v/>
      </c>
      <c r="AA128" s="4">
        <f>AA106*'07_Тарифы'!Q$10</f>
        <v/>
      </c>
      <c r="AB128" s="4">
        <f>AB106*'07_Тарифы'!R$10</f>
        <v/>
      </c>
      <c r="AC128" s="4">
        <f>AC106*'07_Тарифы'!S$10</f>
        <v/>
      </c>
      <c r="AD128" s="4">
        <f>AD106*'07_Тарифы'!T$10</f>
        <v/>
      </c>
      <c r="AE128" s="4">
        <f>AE106*'07_Тарифы'!U$10</f>
        <v/>
      </c>
      <c r="AF128" s="4">
        <f>AF106*'07_Тарифы'!V$10</f>
        <v/>
      </c>
      <c r="AG128" s="4">
        <f>AG106*'07_Тарифы'!W$10</f>
        <v/>
      </c>
      <c r="AH128" s="4">
        <f>AH106*'07_Тарифы'!X$10</f>
        <v/>
      </c>
      <c r="AI128" s="4">
        <f>AI106*'07_Тарифы'!Y$10</f>
        <v/>
      </c>
      <c r="AJ128" s="4">
        <f>AJ106*'07_Тарифы'!Z$10</f>
        <v/>
      </c>
      <c r="AK128" s="4">
        <f>AK106*'07_Тарифы'!AA$10</f>
        <v/>
      </c>
      <c r="AL128" s="4">
        <f>AL106*'07_Тарифы'!AB$10</f>
        <v/>
      </c>
      <c r="AM128" s="4">
        <f>AM106*'07_Тарифы'!AC$10</f>
        <v/>
      </c>
      <c r="AN128" s="4">
        <f>AN106*'07_Тарифы'!AD$10</f>
        <v/>
      </c>
      <c r="AO128" s="4">
        <f>AO106*'07_Тарифы'!AE$10</f>
        <v/>
      </c>
      <c r="AP128" s="4">
        <f>AP106*'07_Тарифы'!AF$10</f>
        <v/>
      </c>
      <c r="AQ128" s="4">
        <f>AQ106*'07_Тарифы'!AG$10</f>
        <v/>
      </c>
      <c r="AR128" s="4">
        <f>AR106*'07_Тарифы'!AH$10</f>
        <v/>
      </c>
      <c r="AS128" s="4">
        <f>AS106*'07_Тарифы'!AI$10</f>
        <v/>
      </c>
      <c r="AT128" s="4">
        <f>AT106*'07_Тарифы'!AJ$10</f>
        <v/>
      </c>
      <c r="AU128" s="4">
        <f>AU106*'07_Тарифы'!AK$10</f>
        <v/>
      </c>
      <c r="AV128" s="4">
        <f>AV106*'07_Тарифы'!AL$10</f>
        <v/>
      </c>
      <c r="AW128" s="4">
        <f>AW106*'07_Тарифы'!AM$10</f>
        <v/>
      </c>
      <c r="AX128" s="4">
        <f>AX106*'07_Тарифы'!AN$10</f>
        <v/>
      </c>
      <c r="AY128" s="4">
        <f>AY106*'07_Тарифы'!AO$10</f>
        <v/>
      </c>
      <c r="AZ128" s="4">
        <f>AZ106*'07_Тарифы'!AP$10</f>
        <v/>
      </c>
      <c r="BA128" s="4">
        <f>BA106*'07_Тарифы'!AQ$10</f>
        <v/>
      </c>
      <c r="BB128" s="4">
        <f>BB106*'07_Тарифы'!AR$10</f>
        <v/>
      </c>
      <c r="BC128" s="4">
        <f>BC106*'07_Тарифы'!AS$10</f>
        <v/>
      </c>
      <c r="BD128" s="4">
        <f>BD106*'07_Тарифы'!AT$10</f>
        <v/>
      </c>
      <c r="BE128" s="4">
        <f>BE106*'07_Тарифы'!AU$10</f>
        <v/>
      </c>
      <c r="BF128" s="4">
        <f>BF106*'07_Тарифы'!AV$10</f>
        <v/>
      </c>
      <c r="BG128" s="4">
        <f>BG106*'07_Тарифы'!AW$10</f>
        <v/>
      </c>
      <c r="BH128" s="4">
        <f>BH106*'07_Тарифы'!AX$10</f>
        <v/>
      </c>
      <c r="BI128" s="4">
        <f>BI106*'07_Тарифы'!AY$10</f>
        <v/>
      </c>
      <c r="BJ128" s="4">
        <f>BJ106*'07_Тарифы'!AZ$10</f>
        <v/>
      </c>
      <c r="BK128" s="4">
        <f>BK106*'07_Тарифы'!BA$10</f>
        <v/>
      </c>
      <c r="BL128" s="4">
        <f>BL106*'07_Тарифы'!BB$10</f>
        <v/>
      </c>
      <c r="BM128" s="4">
        <f>BM106*'07_Тарифы'!BC$10</f>
        <v/>
      </c>
      <c r="BN128" s="4">
        <f>BN106*'07_Тарифы'!BD$10</f>
        <v/>
      </c>
      <c r="BO128" s="4">
        <f>BO106*'07_Тарифы'!BE$10</f>
        <v/>
      </c>
      <c r="BP128" s="4">
        <f>BP106*'07_Тарифы'!BF$10</f>
        <v/>
      </c>
      <c r="BQ128" s="4">
        <f>BQ106*'07_Тарифы'!BG$10</f>
        <v/>
      </c>
      <c r="BR128" s="4">
        <f>BR106*'07_Тарифы'!BH$10</f>
        <v/>
      </c>
      <c r="BS128" s="4">
        <f>BS106*'07_Тарифы'!BI$10</f>
        <v/>
      </c>
      <c r="BT128" s="4">
        <f>BT106*'07_Тарифы'!BJ$10</f>
        <v/>
      </c>
      <c r="BU128" s="4">
        <f>BU106*'07_Тарифы'!BK$10</f>
        <v/>
      </c>
      <c r="BV128" s="4">
        <f>BV106*'07_Тарифы'!BL$10</f>
        <v/>
      </c>
      <c r="BW128" s="4">
        <f>BW106*'07_Тарифы'!BM$10</f>
        <v/>
      </c>
      <c r="BX128" s="4">
        <f>BX106*'07_Тарифы'!BN$10</f>
        <v/>
      </c>
      <c r="BY128" s="4">
        <f>BY106*'07_Тарифы'!BO$10</f>
        <v/>
      </c>
    </row>
    <row r="129">
      <c r="B129" t="inlineStr">
        <is>
          <t>Действующая сеть — COGS</t>
        </is>
      </c>
      <c r="C129" t="inlineStr">
        <is>
          <t>₽</t>
        </is>
      </c>
      <c r="D129" s="117" t="inlineStr"/>
      <c r="E129" s="119">
        <f>SUM(L129:W129)</f>
        <v/>
      </c>
      <c r="F129" s="119">
        <f>SUM(X129:AI129)</f>
        <v/>
      </c>
      <c r="G129" s="119">
        <f>SUM(AJ129:AU129)</f>
        <v/>
      </c>
      <c r="H129" s="119">
        <f>SUM(AV129:BG129)</f>
        <v/>
      </c>
      <c r="I129" s="119">
        <f>SUM(BH129:BS129)</f>
        <v/>
      </c>
      <c r="J129" s="5">
        <f>SUM(L129:BS129)</f>
        <v/>
      </c>
      <c r="L129" s="4">
        <f>'01_Вводные'!B$101</f>
        <v/>
      </c>
      <c r="M129" s="4">
        <f>'01_Вводные'!C$101</f>
        <v/>
      </c>
      <c r="N129" s="4">
        <f>'01_Вводные'!D$101</f>
        <v/>
      </c>
      <c r="O129" s="4">
        <f>'01_Вводные'!E$101</f>
        <v/>
      </c>
      <c r="P129" s="4">
        <f>P106*'07_Тарифы'!F$9</f>
        <v/>
      </c>
      <c r="Q129" s="4">
        <f>Q106*'07_Тарифы'!G$9</f>
        <v/>
      </c>
      <c r="R129" s="4">
        <f>R106*'07_Тарифы'!H$9</f>
        <v/>
      </c>
      <c r="S129" s="4">
        <f>S106*'07_Тарифы'!I$9</f>
        <v/>
      </c>
      <c r="T129" s="4">
        <f>T106*'07_Тарифы'!J$9</f>
        <v/>
      </c>
      <c r="U129" s="4">
        <f>U106*'07_Тарифы'!K$9</f>
        <v/>
      </c>
      <c r="V129" s="4">
        <f>V106*'07_Тарифы'!L$9</f>
        <v/>
      </c>
      <c r="W129" s="4">
        <f>W106*'07_Тарифы'!M$9</f>
        <v/>
      </c>
      <c r="X129" s="4">
        <f>X106*'07_Тарифы'!N$9</f>
        <v/>
      </c>
      <c r="Y129" s="4">
        <f>Y106*'07_Тарифы'!O$9</f>
        <v/>
      </c>
      <c r="Z129" s="4">
        <f>Z106*'07_Тарифы'!P$9</f>
        <v/>
      </c>
      <c r="AA129" s="4">
        <f>AA106*'07_Тарифы'!Q$9</f>
        <v/>
      </c>
      <c r="AB129" s="4">
        <f>AB106*'07_Тарифы'!R$9</f>
        <v/>
      </c>
      <c r="AC129" s="4">
        <f>AC106*'07_Тарифы'!S$9</f>
        <v/>
      </c>
      <c r="AD129" s="4">
        <f>AD106*'07_Тарифы'!T$9</f>
        <v/>
      </c>
      <c r="AE129" s="4">
        <f>AE106*'07_Тарифы'!U$9</f>
        <v/>
      </c>
      <c r="AF129" s="4">
        <f>AF106*'07_Тарифы'!V$9</f>
        <v/>
      </c>
      <c r="AG129" s="4">
        <f>AG106*'07_Тарифы'!W$9</f>
        <v/>
      </c>
      <c r="AH129" s="4">
        <f>AH106*'07_Тарифы'!X$9</f>
        <v/>
      </c>
      <c r="AI129" s="4">
        <f>AI106*'07_Тарифы'!Y$9</f>
        <v/>
      </c>
      <c r="AJ129" s="4">
        <f>AJ106*'07_Тарифы'!Z$9</f>
        <v/>
      </c>
      <c r="AK129" s="4">
        <f>AK106*'07_Тарифы'!AA$9</f>
        <v/>
      </c>
      <c r="AL129" s="4">
        <f>AL106*'07_Тарифы'!AB$9</f>
        <v/>
      </c>
      <c r="AM129" s="4">
        <f>AM106*'07_Тарифы'!AC$9</f>
        <v/>
      </c>
      <c r="AN129" s="4">
        <f>AN106*'07_Тарифы'!AD$9</f>
        <v/>
      </c>
      <c r="AO129" s="4">
        <f>AO106*'07_Тарифы'!AE$9</f>
        <v/>
      </c>
      <c r="AP129" s="4">
        <f>AP106*'07_Тарифы'!AF$9</f>
        <v/>
      </c>
      <c r="AQ129" s="4">
        <f>AQ106*'07_Тарифы'!AG$9</f>
        <v/>
      </c>
      <c r="AR129" s="4">
        <f>AR106*'07_Тарифы'!AH$9</f>
        <v/>
      </c>
      <c r="AS129" s="4">
        <f>AS106*'07_Тарифы'!AI$9</f>
        <v/>
      </c>
      <c r="AT129" s="4">
        <f>AT106*'07_Тарифы'!AJ$9</f>
        <v/>
      </c>
      <c r="AU129" s="4">
        <f>AU106*'07_Тарифы'!AK$9</f>
        <v/>
      </c>
      <c r="AV129" s="4">
        <f>AV106*'07_Тарифы'!AL$9</f>
        <v/>
      </c>
      <c r="AW129" s="4">
        <f>AW106*'07_Тарифы'!AM$9</f>
        <v/>
      </c>
      <c r="AX129" s="4">
        <f>AX106*'07_Тарифы'!AN$9</f>
        <v/>
      </c>
      <c r="AY129" s="4">
        <f>AY106*'07_Тарифы'!AO$9</f>
        <v/>
      </c>
      <c r="AZ129" s="4">
        <f>AZ106*'07_Тарифы'!AP$9</f>
        <v/>
      </c>
      <c r="BA129" s="4">
        <f>BA106*'07_Тарифы'!AQ$9</f>
        <v/>
      </c>
      <c r="BB129" s="4">
        <f>BB106*'07_Тарифы'!AR$9</f>
        <v/>
      </c>
      <c r="BC129" s="4">
        <f>BC106*'07_Тарифы'!AS$9</f>
        <v/>
      </c>
      <c r="BD129" s="4">
        <f>BD106*'07_Тарифы'!AT$9</f>
        <v/>
      </c>
      <c r="BE129" s="4">
        <f>BE106*'07_Тарифы'!AU$9</f>
        <v/>
      </c>
      <c r="BF129" s="4">
        <f>BF106*'07_Тарифы'!AV$9</f>
        <v/>
      </c>
      <c r="BG129" s="4">
        <f>BG106*'07_Тарифы'!AW$9</f>
        <v/>
      </c>
      <c r="BH129" s="4">
        <f>BH106*'07_Тарифы'!AX$9</f>
        <v/>
      </c>
      <c r="BI129" s="4">
        <f>BI106*'07_Тарифы'!AY$9</f>
        <v/>
      </c>
      <c r="BJ129" s="4">
        <f>BJ106*'07_Тарифы'!AZ$9</f>
        <v/>
      </c>
      <c r="BK129" s="4">
        <f>BK106*'07_Тарифы'!BA$9</f>
        <v/>
      </c>
      <c r="BL129" s="4">
        <f>BL106*'07_Тарифы'!BB$9</f>
        <v/>
      </c>
      <c r="BM129" s="4">
        <f>BM106*'07_Тарифы'!BC$9</f>
        <v/>
      </c>
      <c r="BN129" s="4">
        <f>BN106*'07_Тарифы'!BD$9</f>
        <v/>
      </c>
      <c r="BO129" s="4">
        <f>BO106*'07_Тарифы'!BE$9</f>
        <v/>
      </c>
      <c r="BP129" s="4">
        <f>BP106*'07_Тарифы'!BF$9</f>
        <v/>
      </c>
      <c r="BQ129" s="4">
        <f>BQ106*'07_Тарифы'!BG$9</f>
        <v/>
      </c>
      <c r="BR129" s="4">
        <f>BR106*'07_Тарифы'!BH$9</f>
        <v/>
      </c>
      <c r="BS129" s="4">
        <f>BS106*'07_Тарифы'!BI$9</f>
        <v/>
      </c>
      <c r="BT129" s="4">
        <f>BT106*'07_Тарифы'!BJ$9</f>
        <v/>
      </c>
      <c r="BU129" s="4">
        <f>BU106*'07_Тарифы'!BK$9</f>
        <v/>
      </c>
      <c r="BV129" s="4">
        <f>BV106*'07_Тарифы'!BL$9</f>
        <v/>
      </c>
      <c r="BW129" s="4">
        <f>BW106*'07_Тарифы'!BM$9</f>
        <v/>
      </c>
      <c r="BX129" s="4">
        <f>BX106*'07_Тарифы'!BN$9</f>
        <v/>
      </c>
      <c r="BY129" s="4">
        <f>BY106*'07_Тарифы'!BO$9</f>
        <v/>
      </c>
    </row>
    <row r="130">
      <c r="B130" t="inlineStr">
        <is>
          <t>Выручка мерча, с НДС</t>
        </is>
      </c>
      <c r="C130" t="inlineStr">
        <is>
          <t>₽</t>
        </is>
      </c>
      <c r="D130" s="117" t="inlineStr"/>
      <c r="E130" s="119">
        <f>SUM(L130:W130)</f>
        <v/>
      </c>
      <c r="F130" s="119">
        <f>SUM(X130:AI130)</f>
        <v/>
      </c>
      <c r="G130" s="119">
        <f>SUM(AJ130:AU130)</f>
        <v/>
      </c>
      <c r="H130" s="119">
        <f>SUM(AV130:BG130)</f>
        <v/>
      </c>
      <c r="I130" s="119">
        <f>SUM(BH130:BS130)</f>
        <v/>
      </c>
      <c r="J130" s="5">
        <f>SUM(L130:BS130)</f>
        <v/>
      </c>
      <c r="L130" s="4">
        <f>L128+L126</f>
        <v/>
      </c>
      <c r="M130" s="4">
        <f>M128+M126</f>
        <v/>
      </c>
      <c r="N130" s="4">
        <f>N128+N126</f>
        <v/>
      </c>
      <c r="O130" s="4">
        <f>O128+O126</f>
        <v/>
      </c>
      <c r="P130" s="4">
        <f>P128+P126</f>
        <v/>
      </c>
      <c r="Q130" s="4">
        <f>Q128+Q126</f>
        <v/>
      </c>
      <c r="R130" s="4">
        <f>R128+R126</f>
        <v/>
      </c>
      <c r="S130" s="4">
        <f>S128+S126</f>
        <v/>
      </c>
      <c r="T130" s="4">
        <f>T128+T126</f>
        <v/>
      </c>
      <c r="U130" s="4">
        <f>U128+U126</f>
        <v/>
      </c>
      <c r="V130" s="4">
        <f>V128+V126</f>
        <v/>
      </c>
      <c r="W130" s="4">
        <f>W128+W126</f>
        <v/>
      </c>
      <c r="X130" s="4">
        <f>X128+X126</f>
        <v/>
      </c>
      <c r="Y130" s="4">
        <f>Y128+Y126</f>
        <v/>
      </c>
      <c r="Z130" s="4">
        <f>Z128+Z126</f>
        <v/>
      </c>
      <c r="AA130" s="4">
        <f>AA128+AA126</f>
        <v/>
      </c>
      <c r="AB130" s="4">
        <f>AB128+AB126</f>
        <v/>
      </c>
      <c r="AC130" s="4">
        <f>AC128+AC126</f>
        <v/>
      </c>
      <c r="AD130" s="4">
        <f>AD128+AD126</f>
        <v/>
      </c>
      <c r="AE130" s="4">
        <f>AE128+AE126</f>
        <v/>
      </c>
      <c r="AF130" s="4">
        <f>AF128+AF126</f>
        <v/>
      </c>
      <c r="AG130" s="4">
        <f>AG128+AG126</f>
        <v/>
      </c>
      <c r="AH130" s="4">
        <f>AH128+AH126</f>
        <v/>
      </c>
      <c r="AI130" s="4">
        <f>AI128+AI126</f>
        <v/>
      </c>
      <c r="AJ130" s="4">
        <f>AJ128+AJ126</f>
        <v/>
      </c>
      <c r="AK130" s="4">
        <f>AK128+AK126</f>
        <v/>
      </c>
      <c r="AL130" s="4">
        <f>AL128+AL126</f>
        <v/>
      </c>
      <c r="AM130" s="4">
        <f>AM128+AM126</f>
        <v/>
      </c>
      <c r="AN130" s="4">
        <f>AN128+AN126</f>
        <v/>
      </c>
      <c r="AO130" s="4">
        <f>AO128+AO126</f>
        <v/>
      </c>
      <c r="AP130" s="4">
        <f>AP128+AP126</f>
        <v/>
      </c>
      <c r="AQ130" s="4">
        <f>AQ128+AQ126</f>
        <v/>
      </c>
      <c r="AR130" s="4">
        <f>AR128+AR126</f>
        <v/>
      </c>
      <c r="AS130" s="4">
        <f>AS128+AS126</f>
        <v/>
      </c>
      <c r="AT130" s="4">
        <f>AT128+AT126</f>
        <v/>
      </c>
      <c r="AU130" s="4">
        <f>AU128+AU126</f>
        <v/>
      </c>
      <c r="AV130" s="4">
        <f>AV128+AV126</f>
        <v/>
      </c>
      <c r="AW130" s="4">
        <f>AW128+AW126</f>
        <v/>
      </c>
      <c r="AX130" s="4">
        <f>AX128+AX126</f>
        <v/>
      </c>
      <c r="AY130" s="4">
        <f>AY128+AY126</f>
        <v/>
      </c>
      <c r="AZ130" s="4">
        <f>AZ128+AZ126</f>
        <v/>
      </c>
      <c r="BA130" s="4">
        <f>BA128+BA126</f>
        <v/>
      </c>
      <c r="BB130" s="4">
        <f>BB128+BB126</f>
        <v/>
      </c>
      <c r="BC130" s="4">
        <f>BC128+BC126</f>
        <v/>
      </c>
      <c r="BD130" s="4">
        <f>BD128+BD126</f>
        <v/>
      </c>
      <c r="BE130" s="4">
        <f>BE128+BE126</f>
        <v/>
      </c>
      <c r="BF130" s="4">
        <f>BF128+BF126</f>
        <v/>
      </c>
      <c r="BG130" s="4">
        <f>BG128+BG126</f>
        <v/>
      </c>
      <c r="BH130" s="4">
        <f>BH128+BH126</f>
        <v/>
      </c>
      <c r="BI130" s="4">
        <f>BI128+BI126</f>
        <v/>
      </c>
      <c r="BJ130" s="4">
        <f>BJ128+BJ126</f>
        <v/>
      </c>
      <c r="BK130" s="4">
        <f>BK128+BK126</f>
        <v/>
      </c>
      <c r="BL130" s="4">
        <f>BL128+BL126</f>
        <v/>
      </c>
      <c r="BM130" s="4">
        <f>BM128+BM126</f>
        <v/>
      </c>
      <c r="BN130" s="4">
        <f>BN128+BN126</f>
        <v/>
      </c>
      <c r="BO130" s="4">
        <f>BO128+BO126</f>
        <v/>
      </c>
      <c r="BP130" s="4">
        <f>BP128+BP126</f>
        <v/>
      </c>
      <c r="BQ130" s="4">
        <f>BQ128+BQ126</f>
        <v/>
      </c>
      <c r="BR130" s="4">
        <f>BR128+BR126</f>
        <v/>
      </c>
      <c r="BS130" s="4">
        <f>BS128+BS126</f>
        <v/>
      </c>
      <c r="BT130" s="4">
        <f>BT128+BT126</f>
        <v/>
      </c>
      <c r="BU130" s="4">
        <f>BU128+BU126</f>
        <v/>
      </c>
      <c r="BV130" s="4">
        <f>BV128+BV126</f>
        <v/>
      </c>
      <c r="BW130" s="4">
        <f>BW128+BW126</f>
        <v/>
      </c>
      <c r="BX130" s="4">
        <f>BX128+BX126</f>
        <v/>
      </c>
      <c r="BY130" s="4">
        <f>BY128+BY126</f>
        <v/>
      </c>
    </row>
    <row r="131">
      <c r="B131" s="6" t="inlineStr">
        <is>
          <t>Выручка мерча, без НДС</t>
        </is>
      </c>
      <c r="C131" s="6" t="inlineStr">
        <is>
          <t>₽</t>
        </is>
      </c>
      <c r="D131" s="120" t="inlineStr"/>
      <c r="E131" s="121">
        <f>SUM(L131:W131)</f>
        <v/>
      </c>
      <c r="F131" s="121">
        <f>SUM(X131:AI131)</f>
        <v/>
      </c>
      <c r="G131" s="121">
        <f>SUM(AJ131:AU131)</f>
        <v/>
      </c>
      <c r="H131" s="121">
        <f>SUM(AV131:BG131)</f>
        <v/>
      </c>
      <c r="I131" s="121">
        <f>SUM(BH131:BS131)</f>
        <v/>
      </c>
      <c r="J131" s="8">
        <f>SUM(L131:BS131)</f>
        <v/>
      </c>
      <c r="L131" s="7">
        <f>L130/(1+НДС)</f>
        <v/>
      </c>
      <c r="M131" s="7">
        <f>M130/(1+НДС)</f>
        <v/>
      </c>
      <c r="N131" s="7">
        <f>N130/(1+НДС)</f>
        <v/>
      </c>
      <c r="O131" s="7">
        <f>O130/(1+НДС)</f>
        <v/>
      </c>
      <c r="P131" s="7">
        <f>P130/(1+НДС)</f>
        <v/>
      </c>
      <c r="Q131" s="7">
        <f>Q130/(1+НДС)</f>
        <v/>
      </c>
      <c r="R131" s="7">
        <f>R130/(1+НДС)</f>
        <v/>
      </c>
      <c r="S131" s="7">
        <f>S130/(1+НДС)</f>
        <v/>
      </c>
      <c r="T131" s="7">
        <f>T130/(1+НДС)</f>
        <v/>
      </c>
      <c r="U131" s="7">
        <f>U130/(1+НДС)</f>
        <v/>
      </c>
      <c r="V131" s="7">
        <f>V130/(1+НДС)</f>
        <v/>
      </c>
      <c r="W131" s="7">
        <f>W130/(1+НДС)</f>
        <v/>
      </c>
      <c r="X131" s="7">
        <f>X130/(1+НДС)</f>
        <v/>
      </c>
      <c r="Y131" s="7">
        <f>Y130/(1+НДС)</f>
        <v/>
      </c>
      <c r="Z131" s="7">
        <f>Z130/(1+НДС)</f>
        <v/>
      </c>
      <c r="AA131" s="7">
        <f>AA130/(1+НДС)</f>
        <v/>
      </c>
      <c r="AB131" s="7">
        <f>AB130/(1+НДС)</f>
        <v/>
      </c>
      <c r="AC131" s="7">
        <f>AC130/(1+НДС)</f>
        <v/>
      </c>
      <c r="AD131" s="7">
        <f>AD130/(1+НДС)</f>
        <v/>
      </c>
      <c r="AE131" s="7">
        <f>AE130/(1+НДС)</f>
        <v/>
      </c>
      <c r="AF131" s="7">
        <f>AF130/(1+НДС)</f>
        <v/>
      </c>
      <c r="AG131" s="7">
        <f>AG130/(1+НДС)</f>
        <v/>
      </c>
      <c r="AH131" s="7">
        <f>AH130/(1+НДС)</f>
        <v/>
      </c>
      <c r="AI131" s="7">
        <f>AI130/(1+НДС)</f>
        <v/>
      </c>
      <c r="AJ131" s="7">
        <f>AJ130/(1+НДС)</f>
        <v/>
      </c>
      <c r="AK131" s="7">
        <f>AK130/(1+НДС)</f>
        <v/>
      </c>
      <c r="AL131" s="7">
        <f>AL130/(1+НДС)</f>
        <v/>
      </c>
      <c r="AM131" s="7">
        <f>AM130/(1+НДС)</f>
        <v/>
      </c>
      <c r="AN131" s="7">
        <f>AN130/(1+НДС)</f>
        <v/>
      </c>
      <c r="AO131" s="7">
        <f>AO130/(1+НДС)</f>
        <v/>
      </c>
      <c r="AP131" s="7">
        <f>AP130/(1+НДС)</f>
        <v/>
      </c>
      <c r="AQ131" s="7">
        <f>AQ130/(1+НДС)</f>
        <v/>
      </c>
      <c r="AR131" s="7">
        <f>AR130/(1+НДС)</f>
        <v/>
      </c>
      <c r="AS131" s="7">
        <f>AS130/(1+НДС)</f>
        <v/>
      </c>
      <c r="AT131" s="7">
        <f>AT130/(1+НДС)</f>
        <v/>
      </c>
      <c r="AU131" s="7">
        <f>AU130/(1+НДС)</f>
        <v/>
      </c>
      <c r="AV131" s="7">
        <f>AV130/(1+НДС)</f>
        <v/>
      </c>
      <c r="AW131" s="7">
        <f>AW130/(1+НДС)</f>
        <v/>
      </c>
      <c r="AX131" s="7">
        <f>AX130/(1+НДС)</f>
        <v/>
      </c>
      <c r="AY131" s="7">
        <f>AY130/(1+НДС)</f>
        <v/>
      </c>
      <c r="AZ131" s="7">
        <f>AZ130/(1+НДС)</f>
        <v/>
      </c>
      <c r="BA131" s="7">
        <f>BA130/(1+НДС)</f>
        <v/>
      </c>
      <c r="BB131" s="7">
        <f>BB130/(1+НДС)</f>
        <v/>
      </c>
      <c r="BC131" s="7">
        <f>BC130/(1+НДС)</f>
        <v/>
      </c>
      <c r="BD131" s="7">
        <f>BD130/(1+НДС)</f>
        <v/>
      </c>
      <c r="BE131" s="7">
        <f>BE130/(1+НДС)</f>
        <v/>
      </c>
      <c r="BF131" s="7">
        <f>BF130/(1+НДС)</f>
        <v/>
      </c>
      <c r="BG131" s="7">
        <f>BG130/(1+НДС)</f>
        <v/>
      </c>
      <c r="BH131" s="7">
        <f>BH130/(1+НДС)</f>
        <v/>
      </c>
      <c r="BI131" s="7">
        <f>BI130/(1+НДС)</f>
        <v/>
      </c>
      <c r="BJ131" s="7">
        <f>BJ130/(1+НДС)</f>
        <v/>
      </c>
      <c r="BK131" s="7">
        <f>BK130/(1+НДС)</f>
        <v/>
      </c>
      <c r="BL131" s="7">
        <f>BL130/(1+НДС)</f>
        <v/>
      </c>
      <c r="BM131" s="7">
        <f>BM130/(1+НДС)</f>
        <v/>
      </c>
      <c r="BN131" s="7">
        <f>BN130/(1+НДС)</f>
        <v/>
      </c>
      <c r="BO131" s="7">
        <f>BO130/(1+НДС)</f>
        <v/>
      </c>
      <c r="BP131" s="7">
        <f>BP130/(1+НДС)</f>
        <v/>
      </c>
      <c r="BQ131" s="7">
        <f>BQ130/(1+НДС)</f>
        <v/>
      </c>
      <c r="BR131" s="7">
        <f>BR130/(1+НДС)</f>
        <v/>
      </c>
      <c r="BS131" s="7">
        <f>BS130/(1+НДС)</f>
        <v/>
      </c>
      <c r="BT131" s="7">
        <f>BT130/(1+НДС)</f>
        <v/>
      </c>
      <c r="BU131" s="7">
        <f>BU130/(1+НДС)</f>
        <v/>
      </c>
      <c r="BV131" s="7">
        <f>BV130/(1+НДС)</f>
        <v/>
      </c>
      <c r="BW131" s="7">
        <f>BW130/(1+НДС)</f>
        <v/>
      </c>
      <c r="BX131" s="7">
        <f>BX130/(1+НДС)</f>
        <v/>
      </c>
      <c r="BY131" s="7">
        <f>BY130/(1+НДС)</f>
        <v/>
      </c>
    </row>
    <row r="132">
      <c r="B132" t="inlineStr">
        <is>
          <t>COGS мерча</t>
        </is>
      </c>
      <c r="C132" t="inlineStr">
        <is>
          <t>₽</t>
        </is>
      </c>
      <c r="D132" s="117" t="inlineStr"/>
      <c r="E132" s="119">
        <f>SUM(L132:W132)</f>
        <v/>
      </c>
      <c r="F132" s="119">
        <f>SUM(X132:AI132)</f>
        <v/>
      </c>
      <c r="G132" s="119">
        <f>SUM(AJ132:AU132)</f>
        <v/>
      </c>
      <c r="H132" s="119">
        <f>SUM(AV132:BG132)</f>
        <v/>
      </c>
      <c r="I132" s="119">
        <f>SUM(BH132:BS132)</f>
        <v/>
      </c>
      <c r="J132" s="5">
        <f>SUM(L132:BS132)</f>
        <v/>
      </c>
      <c r="L132" s="4">
        <f>L129+L127</f>
        <v/>
      </c>
      <c r="M132" s="4">
        <f>M129+M127</f>
        <v/>
      </c>
      <c r="N132" s="4">
        <f>N129+N127</f>
        <v/>
      </c>
      <c r="O132" s="4">
        <f>O129+O127</f>
        <v/>
      </c>
      <c r="P132" s="4">
        <f>P129+P127</f>
        <v/>
      </c>
      <c r="Q132" s="4">
        <f>Q129+Q127</f>
        <v/>
      </c>
      <c r="R132" s="4">
        <f>R129+R127</f>
        <v/>
      </c>
      <c r="S132" s="4">
        <f>S129+S127</f>
        <v/>
      </c>
      <c r="T132" s="4">
        <f>T129+T127</f>
        <v/>
      </c>
      <c r="U132" s="4">
        <f>U129+U127</f>
        <v/>
      </c>
      <c r="V132" s="4">
        <f>V129+V127</f>
        <v/>
      </c>
      <c r="W132" s="4">
        <f>W129+W127</f>
        <v/>
      </c>
      <c r="X132" s="4">
        <f>X129+X127</f>
        <v/>
      </c>
      <c r="Y132" s="4">
        <f>Y129+Y127</f>
        <v/>
      </c>
      <c r="Z132" s="4">
        <f>Z129+Z127</f>
        <v/>
      </c>
      <c r="AA132" s="4">
        <f>AA129+AA127</f>
        <v/>
      </c>
      <c r="AB132" s="4">
        <f>AB129+AB127</f>
        <v/>
      </c>
      <c r="AC132" s="4">
        <f>AC129+AC127</f>
        <v/>
      </c>
      <c r="AD132" s="4">
        <f>AD129+AD127</f>
        <v/>
      </c>
      <c r="AE132" s="4">
        <f>AE129+AE127</f>
        <v/>
      </c>
      <c r="AF132" s="4">
        <f>AF129+AF127</f>
        <v/>
      </c>
      <c r="AG132" s="4">
        <f>AG129+AG127</f>
        <v/>
      </c>
      <c r="AH132" s="4">
        <f>AH129+AH127</f>
        <v/>
      </c>
      <c r="AI132" s="4">
        <f>AI129+AI127</f>
        <v/>
      </c>
      <c r="AJ132" s="4">
        <f>AJ129+AJ127</f>
        <v/>
      </c>
      <c r="AK132" s="4">
        <f>AK129+AK127</f>
        <v/>
      </c>
      <c r="AL132" s="4">
        <f>AL129+AL127</f>
        <v/>
      </c>
      <c r="AM132" s="4">
        <f>AM129+AM127</f>
        <v/>
      </c>
      <c r="AN132" s="4">
        <f>AN129+AN127</f>
        <v/>
      </c>
      <c r="AO132" s="4">
        <f>AO129+AO127</f>
        <v/>
      </c>
      <c r="AP132" s="4">
        <f>AP129+AP127</f>
        <v/>
      </c>
      <c r="AQ132" s="4">
        <f>AQ129+AQ127</f>
        <v/>
      </c>
      <c r="AR132" s="4">
        <f>AR129+AR127</f>
        <v/>
      </c>
      <c r="AS132" s="4">
        <f>AS129+AS127</f>
        <v/>
      </c>
      <c r="AT132" s="4">
        <f>AT129+AT127</f>
        <v/>
      </c>
      <c r="AU132" s="4">
        <f>AU129+AU127</f>
        <v/>
      </c>
      <c r="AV132" s="4">
        <f>AV129+AV127</f>
        <v/>
      </c>
      <c r="AW132" s="4">
        <f>AW129+AW127</f>
        <v/>
      </c>
      <c r="AX132" s="4">
        <f>AX129+AX127</f>
        <v/>
      </c>
      <c r="AY132" s="4">
        <f>AY129+AY127</f>
        <v/>
      </c>
      <c r="AZ132" s="4">
        <f>AZ129+AZ127</f>
        <v/>
      </c>
      <c r="BA132" s="4">
        <f>BA129+BA127</f>
        <v/>
      </c>
      <c r="BB132" s="4">
        <f>BB129+BB127</f>
        <v/>
      </c>
      <c r="BC132" s="4">
        <f>BC129+BC127</f>
        <v/>
      </c>
      <c r="BD132" s="4">
        <f>BD129+BD127</f>
        <v/>
      </c>
      <c r="BE132" s="4">
        <f>BE129+BE127</f>
        <v/>
      </c>
      <c r="BF132" s="4">
        <f>BF129+BF127</f>
        <v/>
      </c>
      <c r="BG132" s="4">
        <f>BG129+BG127</f>
        <v/>
      </c>
      <c r="BH132" s="4">
        <f>BH129+BH127</f>
        <v/>
      </c>
      <c r="BI132" s="4">
        <f>BI129+BI127</f>
        <v/>
      </c>
      <c r="BJ132" s="4">
        <f>BJ129+BJ127</f>
        <v/>
      </c>
      <c r="BK132" s="4">
        <f>BK129+BK127</f>
        <v/>
      </c>
      <c r="BL132" s="4">
        <f>BL129+BL127</f>
        <v/>
      </c>
      <c r="BM132" s="4">
        <f>BM129+BM127</f>
        <v/>
      </c>
      <c r="BN132" s="4">
        <f>BN129+BN127</f>
        <v/>
      </c>
      <c r="BO132" s="4">
        <f>BO129+BO127</f>
        <v/>
      </c>
      <c r="BP132" s="4">
        <f>BP129+BP127</f>
        <v/>
      </c>
      <c r="BQ132" s="4">
        <f>BQ129+BQ127</f>
        <v/>
      </c>
      <c r="BR132" s="4">
        <f>BR129+BR127</f>
        <v/>
      </c>
      <c r="BS132" s="4">
        <f>BS129+BS127</f>
        <v/>
      </c>
      <c r="BT132" s="4">
        <f>BT129+BT127</f>
        <v/>
      </c>
      <c r="BU132" s="4">
        <f>BU129+BU127</f>
        <v/>
      </c>
      <c r="BV132" s="4">
        <f>BV129+BV127</f>
        <v/>
      </c>
      <c r="BW132" s="4">
        <f>BW129+BW127</f>
        <v/>
      </c>
      <c r="BX132" s="4">
        <f>BX129+BX127</f>
        <v/>
      </c>
      <c r="BY132" s="4">
        <f>BY129+BY127</f>
        <v/>
      </c>
    </row>
    <row r="133">
      <c r="B133" t="inlineStr">
        <is>
          <t>Логистика, возвраты, брак</t>
        </is>
      </c>
      <c r="C133" t="inlineStr">
        <is>
          <t>₽</t>
        </is>
      </c>
      <c r="D133" s="117" t="inlineStr"/>
      <c r="E133" s="119">
        <f>SUM(L133:W133)</f>
        <v/>
      </c>
      <c r="F133" s="119">
        <f>SUM(X133:AI133)</f>
        <v/>
      </c>
      <c r="G133" s="119">
        <f>SUM(AJ133:AU133)</f>
        <v/>
      </c>
      <c r="H133" s="119">
        <f>SUM(AV133:BG133)</f>
        <v/>
      </c>
      <c r="I133" s="119">
        <f>SUM(BH133:BS133)</f>
        <v/>
      </c>
      <c r="J133" s="5">
        <f>SUM(L133:BS133)</f>
        <v/>
      </c>
      <c r="L133" s="4">
        <f>L131*ЛогистикаМерча</f>
        <v/>
      </c>
      <c r="M133" s="4">
        <f>M131*ЛогистикаМерча</f>
        <v/>
      </c>
      <c r="N133" s="4">
        <f>N131*ЛогистикаМерча</f>
        <v/>
      </c>
      <c r="O133" s="4">
        <f>O131*ЛогистикаМерча</f>
        <v/>
      </c>
      <c r="P133" s="4">
        <f>P131*ЛогистикаМерча</f>
        <v/>
      </c>
      <c r="Q133" s="4">
        <f>Q131*ЛогистикаМерча</f>
        <v/>
      </c>
      <c r="R133" s="4">
        <f>R131*ЛогистикаМерча</f>
        <v/>
      </c>
      <c r="S133" s="4">
        <f>S131*ЛогистикаМерча</f>
        <v/>
      </c>
      <c r="T133" s="4">
        <f>T131*ЛогистикаМерча</f>
        <v/>
      </c>
      <c r="U133" s="4">
        <f>U131*ЛогистикаМерча</f>
        <v/>
      </c>
      <c r="V133" s="4">
        <f>V131*ЛогистикаМерча</f>
        <v/>
      </c>
      <c r="W133" s="4">
        <f>W131*ЛогистикаМерча</f>
        <v/>
      </c>
      <c r="X133" s="4">
        <f>X131*ЛогистикаМерча</f>
        <v/>
      </c>
      <c r="Y133" s="4">
        <f>Y131*ЛогистикаМерча</f>
        <v/>
      </c>
      <c r="Z133" s="4">
        <f>Z131*ЛогистикаМерча</f>
        <v/>
      </c>
      <c r="AA133" s="4">
        <f>AA131*ЛогистикаМерча</f>
        <v/>
      </c>
      <c r="AB133" s="4">
        <f>AB131*ЛогистикаМерча</f>
        <v/>
      </c>
      <c r="AC133" s="4">
        <f>AC131*ЛогистикаМерча</f>
        <v/>
      </c>
      <c r="AD133" s="4">
        <f>AD131*ЛогистикаМерча</f>
        <v/>
      </c>
      <c r="AE133" s="4">
        <f>AE131*ЛогистикаМерча</f>
        <v/>
      </c>
      <c r="AF133" s="4">
        <f>AF131*ЛогистикаМерча</f>
        <v/>
      </c>
      <c r="AG133" s="4">
        <f>AG131*ЛогистикаМерча</f>
        <v/>
      </c>
      <c r="AH133" s="4">
        <f>AH131*ЛогистикаМерча</f>
        <v/>
      </c>
      <c r="AI133" s="4">
        <f>AI131*ЛогистикаМерча</f>
        <v/>
      </c>
      <c r="AJ133" s="4">
        <f>AJ131*ЛогистикаМерча</f>
        <v/>
      </c>
      <c r="AK133" s="4">
        <f>AK131*ЛогистикаМерча</f>
        <v/>
      </c>
      <c r="AL133" s="4">
        <f>AL131*ЛогистикаМерча</f>
        <v/>
      </c>
      <c r="AM133" s="4">
        <f>AM131*ЛогистикаМерча</f>
        <v/>
      </c>
      <c r="AN133" s="4">
        <f>AN131*ЛогистикаМерча</f>
        <v/>
      </c>
      <c r="AO133" s="4">
        <f>AO131*ЛогистикаМерча</f>
        <v/>
      </c>
      <c r="AP133" s="4">
        <f>AP131*ЛогистикаМерча</f>
        <v/>
      </c>
      <c r="AQ133" s="4">
        <f>AQ131*ЛогистикаМерча</f>
        <v/>
      </c>
      <c r="AR133" s="4">
        <f>AR131*ЛогистикаМерча</f>
        <v/>
      </c>
      <c r="AS133" s="4">
        <f>AS131*ЛогистикаМерча</f>
        <v/>
      </c>
      <c r="AT133" s="4">
        <f>AT131*ЛогистикаМерча</f>
        <v/>
      </c>
      <c r="AU133" s="4">
        <f>AU131*ЛогистикаМерча</f>
        <v/>
      </c>
      <c r="AV133" s="4">
        <f>AV131*ЛогистикаМерча</f>
        <v/>
      </c>
      <c r="AW133" s="4">
        <f>AW131*ЛогистикаМерча</f>
        <v/>
      </c>
      <c r="AX133" s="4">
        <f>AX131*ЛогистикаМерча</f>
        <v/>
      </c>
      <c r="AY133" s="4">
        <f>AY131*ЛогистикаМерча</f>
        <v/>
      </c>
      <c r="AZ133" s="4">
        <f>AZ131*ЛогистикаМерча</f>
        <v/>
      </c>
      <c r="BA133" s="4">
        <f>BA131*ЛогистикаМерча</f>
        <v/>
      </c>
      <c r="BB133" s="4">
        <f>BB131*ЛогистикаМерча</f>
        <v/>
      </c>
      <c r="BC133" s="4">
        <f>BC131*ЛогистикаМерча</f>
        <v/>
      </c>
      <c r="BD133" s="4">
        <f>BD131*ЛогистикаМерча</f>
        <v/>
      </c>
      <c r="BE133" s="4">
        <f>BE131*ЛогистикаМерча</f>
        <v/>
      </c>
      <c r="BF133" s="4">
        <f>BF131*ЛогистикаМерча</f>
        <v/>
      </c>
      <c r="BG133" s="4">
        <f>BG131*ЛогистикаМерча</f>
        <v/>
      </c>
      <c r="BH133" s="4">
        <f>BH131*ЛогистикаМерча</f>
        <v/>
      </c>
      <c r="BI133" s="4">
        <f>BI131*ЛогистикаМерча</f>
        <v/>
      </c>
      <c r="BJ133" s="4">
        <f>BJ131*ЛогистикаМерча</f>
        <v/>
      </c>
      <c r="BK133" s="4">
        <f>BK131*ЛогистикаМерча</f>
        <v/>
      </c>
      <c r="BL133" s="4">
        <f>BL131*ЛогистикаМерча</f>
        <v/>
      </c>
      <c r="BM133" s="4">
        <f>BM131*ЛогистикаМерча</f>
        <v/>
      </c>
      <c r="BN133" s="4">
        <f>BN131*ЛогистикаМерча</f>
        <v/>
      </c>
      <c r="BO133" s="4">
        <f>BO131*ЛогистикаМерча</f>
        <v/>
      </c>
      <c r="BP133" s="4">
        <f>BP131*ЛогистикаМерча</f>
        <v/>
      </c>
      <c r="BQ133" s="4">
        <f>BQ131*ЛогистикаМерча</f>
        <v/>
      </c>
      <c r="BR133" s="4">
        <f>BR131*ЛогистикаМерча</f>
        <v/>
      </c>
      <c r="BS133" s="4">
        <f>BS131*ЛогистикаМерча</f>
        <v/>
      </c>
      <c r="BT133" s="4">
        <f>BT131*ЛогистикаМерча</f>
        <v/>
      </c>
      <c r="BU133" s="4">
        <f>BU131*ЛогистикаМерча</f>
        <v/>
      </c>
      <c r="BV133" s="4">
        <f>BV131*ЛогистикаМерча</f>
        <v/>
      </c>
      <c r="BW133" s="4">
        <f>BW131*ЛогистикаМерча</f>
        <v/>
      </c>
      <c r="BX133" s="4">
        <f>BX131*ЛогистикаМерча</f>
        <v/>
      </c>
      <c r="BY133" s="4">
        <f>BY131*ЛогистикаМерча</f>
        <v/>
      </c>
    </row>
    <row r="134">
      <c r="B134" s="6" t="inlineStr">
        <is>
          <t>Прибыль мерча до доли ФК</t>
        </is>
      </c>
      <c r="C134" s="6" t="inlineStr">
        <is>
          <t>₽</t>
        </is>
      </c>
      <c r="D134" s="120" t="inlineStr">
        <is>
          <t>Ниже нуля не опускается: делить убыток с клубом нечем</t>
        </is>
      </c>
      <c r="E134" s="121">
        <f>SUM(L134:W134)</f>
        <v/>
      </c>
      <c r="F134" s="121">
        <f>SUM(X134:AI134)</f>
        <v/>
      </c>
      <c r="G134" s="121">
        <f>SUM(AJ134:AU134)</f>
        <v/>
      </c>
      <c r="H134" s="121">
        <f>SUM(AV134:BG134)</f>
        <v/>
      </c>
      <c r="I134" s="121">
        <f>SUM(BH134:BS134)</f>
        <v/>
      </c>
      <c r="J134" s="8">
        <f>SUM(L134:BS134)</f>
        <v/>
      </c>
      <c r="L134" s="7">
        <f>MAX(0,L131-L132-L133)</f>
        <v/>
      </c>
      <c r="M134" s="7">
        <f>MAX(0,M131-M132-M133)</f>
        <v/>
      </c>
      <c r="N134" s="7">
        <f>MAX(0,N131-N132-N133)</f>
        <v/>
      </c>
      <c r="O134" s="7">
        <f>MAX(0,O131-O132-O133)</f>
        <v/>
      </c>
      <c r="P134" s="7">
        <f>MAX(0,P131-P132-P133)</f>
        <v/>
      </c>
      <c r="Q134" s="7">
        <f>MAX(0,Q131-Q132-Q133)</f>
        <v/>
      </c>
      <c r="R134" s="7">
        <f>MAX(0,R131-R132-R133)</f>
        <v/>
      </c>
      <c r="S134" s="7">
        <f>MAX(0,S131-S132-S133)</f>
        <v/>
      </c>
      <c r="T134" s="7">
        <f>MAX(0,T131-T132-T133)</f>
        <v/>
      </c>
      <c r="U134" s="7">
        <f>MAX(0,U131-U132-U133)</f>
        <v/>
      </c>
      <c r="V134" s="7">
        <f>MAX(0,V131-V132-V133)</f>
        <v/>
      </c>
      <c r="W134" s="7">
        <f>MAX(0,W131-W132-W133)</f>
        <v/>
      </c>
      <c r="X134" s="7">
        <f>MAX(0,X131-X132-X133)</f>
        <v/>
      </c>
      <c r="Y134" s="7">
        <f>MAX(0,Y131-Y132-Y133)</f>
        <v/>
      </c>
      <c r="Z134" s="7">
        <f>MAX(0,Z131-Z132-Z133)</f>
        <v/>
      </c>
      <c r="AA134" s="7">
        <f>MAX(0,AA131-AA132-AA133)</f>
        <v/>
      </c>
      <c r="AB134" s="7">
        <f>MAX(0,AB131-AB132-AB133)</f>
        <v/>
      </c>
      <c r="AC134" s="7">
        <f>MAX(0,AC131-AC132-AC133)</f>
        <v/>
      </c>
      <c r="AD134" s="7">
        <f>MAX(0,AD131-AD132-AD133)</f>
        <v/>
      </c>
      <c r="AE134" s="7">
        <f>MAX(0,AE131-AE132-AE133)</f>
        <v/>
      </c>
      <c r="AF134" s="7">
        <f>MAX(0,AF131-AF132-AF133)</f>
        <v/>
      </c>
      <c r="AG134" s="7">
        <f>MAX(0,AG131-AG132-AG133)</f>
        <v/>
      </c>
      <c r="AH134" s="7">
        <f>MAX(0,AH131-AH132-AH133)</f>
        <v/>
      </c>
      <c r="AI134" s="7">
        <f>MAX(0,AI131-AI132-AI133)</f>
        <v/>
      </c>
      <c r="AJ134" s="7">
        <f>MAX(0,AJ131-AJ132-AJ133)</f>
        <v/>
      </c>
      <c r="AK134" s="7">
        <f>MAX(0,AK131-AK132-AK133)</f>
        <v/>
      </c>
      <c r="AL134" s="7">
        <f>MAX(0,AL131-AL132-AL133)</f>
        <v/>
      </c>
      <c r="AM134" s="7">
        <f>MAX(0,AM131-AM132-AM133)</f>
        <v/>
      </c>
      <c r="AN134" s="7">
        <f>MAX(0,AN131-AN132-AN133)</f>
        <v/>
      </c>
      <c r="AO134" s="7">
        <f>MAX(0,AO131-AO132-AO133)</f>
        <v/>
      </c>
      <c r="AP134" s="7">
        <f>MAX(0,AP131-AP132-AP133)</f>
        <v/>
      </c>
      <c r="AQ134" s="7">
        <f>MAX(0,AQ131-AQ132-AQ133)</f>
        <v/>
      </c>
      <c r="AR134" s="7">
        <f>MAX(0,AR131-AR132-AR133)</f>
        <v/>
      </c>
      <c r="AS134" s="7">
        <f>MAX(0,AS131-AS132-AS133)</f>
        <v/>
      </c>
      <c r="AT134" s="7">
        <f>MAX(0,AT131-AT132-AT133)</f>
        <v/>
      </c>
      <c r="AU134" s="7">
        <f>MAX(0,AU131-AU132-AU133)</f>
        <v/>
      </c>
      <c r="AV134" s="7">
        <f>MAX(0,AV131-AV132-AV133)</f>
        <v/>
      </c>
      <c r="AW134" s="7">
        <f>MAX(0,AW131-AW132-AW133)</f>
        <v/>
      </c>
      <c r="AX134" s="7">
        <f>MAX(0,AX131-AX132-AX133)</f>
        <v/>
      </c>
      <c r="AY134" s="7">
        <f>MAX(0,AY131-AY132-AY133)</f>
        <v/>
      </c>
      <c r="AZ134" s="7">
        <f>MAX(0,AZ131-AZ132-AZ133)</f>
        <v/>
      </c>
      <c r="BA134" s="7">
        <f>MAX(0,BA131-BA132-BA133)</f>
        <v/>
      </c>
      <c r="BB134" s="7">
        <f>MAX(0,BB131-BB132-BB133)</f>
        <v/>
      </c>
      <c r="BC134" s="7">
        <f>MAX(0,BC131-BC132-BC133)</f>
        <v/>
      </c>
      <c r="BD134" s="7">
        <f>MAX(0,BD131-BD132-BD133)</f>
        <v/>
      </c>
      <c r="BE134" s="7">
        <f>MAX(0,BE131-BE132-BE133)</f>
        <v/>
      </c>
      <c r="BF134" s="7">
        <f>MAX(0,BF131-BF132-BF133)</f>
        <v/>
      </c>
      <c r="BG134" s="7">
        <f>MAX(0,BG131-BG132-BG133)</f>
        <v/>
      </c>
      <c r="BH134" s="7">
        <f>MAX(0,BH131-BH132-BH133)</f>
        <v/>
      </c>
      <c r="BI134" s="7">
        <f>MAX(0,BI131-BI132-BI133)</f>
        <v/>
      </c>
      <c r="BJ134" s="7">
        <f>MAX(0,BJ131-BJ132-BJ133)</f>
        <v/>
      </c>
      <c r="BK134" s="7">
        <f>MAX(0,BK131-BK132-BK133)</f>
        <v/>
      </c>
      <c r="BL134" s="7">
        <f>MAX(0,BL131-BL132-BL133)</f>
        <v/>
      </c>
      <c r="BM134" s="7">
        <f>MAX(0,BM131-BM132-BM133)</f>
        <v/>
      </c>
      <c r="BN134" s="7">
        <f>MAX(0,BN131-BN132-BN133)</f>
        <v/>
      </c>
      <c r="BO134" s="7">
        <f>MAX(0,BO131-BO132-BO133)</f>
        <v/>
      </c>
      <c r="BP134" s="7">
        <f>MAX(0,BP131-BP132-BP133)</f>
        <v/>
      </c>
      <c r="BQ134" s="7">
        <f>MAX(0,BQ131-BQ132-BQ133)</f>
        <v/>
      </c>
      <c r="BR134" s="7">
        <f>MAX(0,BR131-BR132-BR133)</f>
        <v/>
      </c>
      <c r="BS134" s="7">
        <f>MAX(0,BS131-BS132-BS133)</f>
        <v/>
      </c>
      <c r="BT134" s="7">
        <f>MAX(0,BT131-BT132-BT133)</f>
        <v/>
      </c>
      <c r="BU134" s="7">
        <f>MAX(0,BU131-BU132-BU133)</f>
        <v/>
      </c>
      <c r="BV134" s="7">
        <f>MAX(0,BV131-BV132-BV133)</f>
        <v/>
      </c>
      <c r="BW134" s="7">
        <f>MAX(0,BW131-BW132-BW133)</f>
        <v/>
      </c>
      <c r="BX134" s="7">
        <f>MAX(0,BX131-BX132-BX133)</f>
        <v/>
      </c>
      <c r="BY134" s="7">
        <f>MAX(0,BY131-BY132-BY133)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Y49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3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30" customHeight="1">
      <c r="B4" s="114" t="inlineStr">
        <is>
          <t>Показатель</t>
        </is>
      </c>
      <c r="C4" s="114" t="inlineStr">
        <is>
          <t>Ед.</t>
        </is>
      </c>
      <c r="D4" s="114" t="inlineStr">
        <is>
          <t>Как считается</t>
        </is>
      </c>
      <c r="E4" s="114" t="inlineStr">
        <is>
          <t>Год 1</t>
        </is>
      </c>
      <c r="F4" s="114" t="inlineStr">
        <is>
          <t>Год 2</t>
        </is>
      </c>
      <c r="G4" s="114" t="inlineStr">
        <is>
          <t>Год 3</t>
        </is>
      </c>
      <c r="H4" s="114" t="inlineStr">
        <is>
          <t>Год 4</t>
        </is>
      </c>
      <c r="I4" s="114" t="inlineStr">
        <is>
          <t>Год 5</t>
        </is>
      </c>
      <c r="J4" s="114" t="inlineStr">
        <is>
          <t>Итого 5 лет</t>
        </is>
      </c>
      <c r="K4" s="114" t="n"/>
      <c r="L4" s="114" t="inlineStr">
        <is>
          <t>М1</t>
        </is>
      </c>
      <c r="M4" s="114" t="inlineStr">
        <is>
          <t>М2</t>
        </is>
      </c>
      <c r="N4" s="114" t="inlineStr">
        <is>
          <t>М3</t>
        </is>
      </c>
      <c r="O4" s="114" t="inlineStr">
        <is>
          <t>М4</t>
        </is>
      </c>
      <c r="P4" s="114" t="inlineStr">
        <is>
          <t>М5</t>
        </is>
      </c>
      <c r="Q4" s="114" t="inlineStr">
        <is>
          <t>М6</t>
        </is>
      </c>
      <c r="R4" s="114" t="inlineStr">
        <is>
          <t>М7</t>
        </is>
      </c>
      <c r="S4" s="114" t="inlineStr">
        <is>
          <t>М8</t>
        </is>
      </c>
      <c r="T4" s="114" t="inlineStr">
        <is>
          <t>М9</t>
        </is>
      </c>
      <c r="U4" s="114" t="inlineStr">
        <is>
          <t>М10</t>
        </is>
      </c>
      <c r="V4" s="114" t="inlineStr">
        <is>
          <t>М11</t>
        </is>
      </c>
      <c r="W4" s="114" t="inlineStr">
        <is>
          <t>М12</t>
        </is>
      </c>
      <c r="X4" s="114" t="inlineStr">
        <is>
          <t>М13</t>
        </is>
      </c>
      <c r="Y4" s="114" t="inlineStr">
        <is>
          <t>М14</t>
        </is>
      </c>
      <c r="Z4" s="114" t="inlineStr">
        <is>
          <t>М15</t>
        </is>
      </c>
      <c r="AA4" s="114" t="inlineStr">
        <is>
          <t>М16</t>
        </is>
      </c>
      <c r="AB4" s="114" t="inlineStr">
        <is>
          <t>М17</t>
        </is>
      </c>
      <c r="AC4" s="114" t="inlineStr">
        <is>
          <t>М18</t>
        </is>
      </c>
      <c r="AD4" s="114" t="inlineStr">
        <is>
          <t>М19</t>
        </is>
      </c>
      <c r="AE4" s="114" t="inlineStr">
        <is>
          <t>М20</t>
        </is>
      </c>
      <c r="AF4" s="114" t="inlineStr">
        <is>
          <t>М21</t>
        </is>
      </c>
      <c r="AG4" s="114" t="inlineStr">
        <is>
          <t>М22</t>
        </is>
      </c>
      <c r="AH4" s="114" t="inlineStr">
        <is>
          <t>М23</t>
        </is>
      </c>
      <c r="AI4" s="114" t="inlineStr">
        <is>
          <t>М24</t>
        </is>
      </c>
      <c r="AJ4" s="114" t="inlineStr">
        <is>
          <t>М25</t>
        </is>
      </c>
      <c r="AK4" s="114" t="inlineStr">
        <is>
          <t>М26</t>
        </is>
      </c>
      <c r="AL4" s="114" t="inlineStr">
        <is>
          <t>М27</t>
        </is>
      </c>
      <c r="AM4" s="114" t="inlineStr">
        <is>
          <t>М28</t>
        </is>
      </c>
      <c r="AN4" s="114" t="inlineStr">
        <is>
          <t>М29</t>
        </is>
      </c>
      <c r="AO4" s="114" t="inlineStr">
        <is>
          <t>М30</t>
        </is>
      </c>
      <c r="AP4" s="114" t="inlineStr">
        <is>
          <t>М31</t>
        </is>
      </c>
      <c r="AQ4" s="114" t="inlineStr">
        <is>
          <t>М32</t>
        </is>
      </c>
      <c r="AR4" s="114" t="inlineStr">
        <is>
          <t>М33</t>
        </is>
      </c>
      <c r="AS4" s="114" t="inlineStr">
        <is>
          <t>М34</t>
        </is>
      </c>
      <c r="AT4" s="114" t="inlineStr">
        <is>
          <t>М35</t>
        </is>
      </c>
      <c r="AU4" s="114" t="inlineStr">
        <is>
          <t>М36</t>
        </is>
      </c>
      <c r="AV4" s="114" t="inlineStr">
        <is>
          <t>М37</t>
        </is>
      </c>
      <c r="AW4" s="114" t="inlineStr">
        <is>
          <t>М38</t>
        </is>
      </c>
      <c r="AX4" s="114" t="inlineStr">
        <is>
          <t>М39</t>
        </is>
      </c>
      <c r="AY4" s="114" t="inlineStr">
        <is>
          <t>М40</t>
        </is>
      </c>
      <c r="AZ4" s="114" t="inlineStr">
        <is>
          <t>М41</t>
        </is>
      </c>
      <c r="BA4" s="114" t="inlineStr">
        <is>
          <t>М42</t>
        </is>
      </c>
      <c r="BB4" s="114" t="inlineStr">
        <is>
          <t>М43</t>
        </is>
      </c>
      <c r="BC4" s="114" t="inlineStr">
        <is>
          <t>М44</t>
        </is>
      </c>
      <c r="BD4" s="114" t="inlineStr">
        <is>
          <t>М45</t>
        </is>
      </c>
      <c r="BE4" s="114" t="inlineStr">
        <is>
          <t>М46</t>
        </is>
      </c>
      <c r="BF4" s="114" t="inlineStr">
        <is>
          <t>М47</t>
        </is>
      </c>
      <c r="BG4" s="114" t="inlineStr">
        <is>
          <t>М48</t>
        </is>
      </c>
      <c r="BH4" s="114" t="inlineStr">
        <is>
          <t>М49</t>
        </is>
      </c>
      <c r="BI4" s="114" t="inlineStr">
        <is>
          <t>М50</t>
        </is>
      </c>
      <c r="BJ4" s="114" t="inlineStr">
        <is>
          <t>М51</t>
        </is>
      </c>
      <c r="BK4" s="114" t="inlineStr">
        <is>
          <t>М52</t>
        </is>
      </c>
      <c r="BL4" s="114" t="inlineStr">
        <is>
          <t>М53</t>
        </is>
      </c>
      <c r="BM4" s="114" t="inlineStr">
        <is>
          <t>М54</t>
        </is>
      </c>
      <c r="BN4" s="114" t="inlineStr">
        <is>
          <t>М55</t>
        </is>
      </c>
      <c r="BO4" s="114" t="inlineStr">
        <is>
          <t>М56</t>
        </is>
      </c>
      <c r="BP4" s="114" t="inlineStr">
        <is>
          <t>М57</t>
        </is>
      </c>
      <c r="BQ4" s="114" t="inlineStr">
        <is>
          <t>М58</t>
        </is>
      </c>
      <c r="BR4" s="114" t="inlineStr">
        <is>
          <t>М59</t>
        </is>
      </c>
      <c r="BS4" s="114" t="inlineStr">
        <is>
          <t>М60</t>
        </is>
      </c>
      <c r="BT4" s="114" t="inlineStr">
        <is>
          <t>тех. 1</t>
        </is>
      </c>
      <c r="BU4" s="114" t="inlineStr">
        <is>
          <t>тех. 2</t>
        </is>
      </c>
      <c r="BV4" s="114" t="inlineStr">
        <is>
          <t>тех. 3</t>
        </is>
      </c>
      <c r="BW4" s="114" t="inlineStr">
        <is>
          <t>тех. 4</t>
        </is>
      </c>
      <c r="BX4" s="114" t="inlineStr">
        <is>
          <t>тех. 5</t>
        </is>
      </c>
      <c r="BY4" s="114" t="inlineStr">
        <is>
          <t>тех. 6</t>
        </is>
      </c>
    </row>
    <row r="5">
      <c r="B5" s="115" t="inlineStr">
        <is>
          <t>Оклады</t>
        </is>
      </c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  <c r="P5" s="116" t="n"/>
      <c r="Q5" s="116" t="n"/>
      <c r="R5" s="116" t="n"/>
      <c r="S5" s="116" t="n"/>
      <c r="T5" s="116" t="n"/>
      <c r="U5" s="116" t="n"/>
      <c r="V5" s="116" t="n"/>
      <c r="W5" s="116" t="n"/>
      <c r="X5" s="116" t="n"/>
      <c r="Y5" s="116" t="n"/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116" t="n"/>
      <c r="AT5" s="116" t="n"/>
      <c r="AU5" s="116" t="n"/>
      <c r="AV5" s="116" t="n"/>
      <c r="AW5" s="116" t="n"/>
      <c r="AX5" s="116" t="n"/>
      <c r="AY5" s="116" t="n"/>
      <c r="AZ5" s="116" t="n"/>
      <c r="BA5" s="116" t="n"/>
      <c r="BB5" s="116" t="n"/>
      <c r="BC5" s="116" t="n"/>
      <c r="BD5" s="116" t="n"/>
      <c r="BE5" s="116" t="n"/>
      <c r="BF5" s="116" t="n"/>
      <c r="BG5" s="116" t="n"/>
      <c r="BH5" s="116" t="n"/>
      <c r="BI5" s="116" t="n"/>
      <c r="BJ5" s="116" t="n"/>
      <c r="BK5" s="116" t="n"/>
      <c r="BL5" s="116" t="n"/>
      <c r="BM5" s="116" t="n"/>
      <c r="BN5" s="116" t="n"/>
      <c r="BO5" s="116" t="n"/>
      <c r="BP5" s="116" t="n"/>
      <c r="BQ5" s="116" t="n"/>
      <c r="BR5" s="116" t="n"/>
      <c r="BS5" s="116" t="n"/>
      <c r="BT5" s="116" t="n"/>
      <c r="BU5" s="116" t="n"/>
      <c r="BV5" s="116" t="n"/>
      <c r="BW5" s="116" t="n"/>
      <c r="BX5" s="116" t="n"/>
      <c r="BY5" s="116" t="n"/>
    </row>
    <row r="6">
      <c r="B6" t="inlineStr">
        <is>
          <t>Индекс окладов</t>
        </is>
      </c>
      <c r="C6" t="inlineStr">
        <is>
          <t>коэфф.</t>
        </is>
      </c>
      <c r="D6" s="117" t="inlineStr">
        <is>
          <t>Оклады индексируются каждое 1 сентября</t>
        </is>
      </c>
      <c r="E6" s="131">
        <f>W6</f>
        <v/>
      </c>
      <c r="F6" s="131">
        <f>AI6</f>
        <v/>
      </c>
      <c r="G6" s="131">
        <f>AU6</f>
        <v/>
      </c>
      <c r="H6" s="131">
        <f>BG6</f>
        <v/>
      </c>
      <c r="I6" s="131">
        <f>BS6</f>
        <v/>
      </c>
      <c r="J6" s="132">
        <f>BS6</f>
        <v/>
      </c>
      <c r="L6" s="133">
        <f>(1+ИнфляцияЗарплат)^MAX(0,YEAR('03_Сеть'!L6)-YEAR(ДатаИндексацииЗП)+IF(MONTH('03_Сеть'!L6)&gt;=MONTH(ДатаИндексацииЗП),1,0))</f>
        <v/>
      </c>
      <c r="M6" s="133">
        <f>(1+ИнфляцияЗарплат)^MAX(0,YEAR('03_Сеть'!M6)-YEAR(ДатаИндексацииЗП)+IF(MONTH('03_Сеть'!M6)&gt;=MONTH(ДатаИндексацииЗП),1,0))</f>
        <v/>
      </c>
      <c r="N6" s="133">
        <f>(1+ИнфляцияЗарплат)^MAX(0,YEAR('03_Сеть'!N6)-YEAR(ДатаИндексацииЗП)+IF(MONTH('03_Сеть'!N6)&gt;=MONTH(ДатаИндексацииЗП),1,0))</f>
        <v/>
      </c>
      <c r="O6" s="133">
        <f>(1+ИнфляцияЗарплат)^MAX(0,YEAR('03_Сеть'!O6)-YEAR(ДатаИндексацииЗП)+IF(MONTH('03_Сеть'!O6)&gt;=MONTH(ДатаИндексацииЗП),1,0))</f>
        <v/>
      </c>
      <c r="P6" s="133">
        <f>(1+ИнфляцияЗарплат)^MAX(0,YEAR('03_Сеть'!P6)-YEAR(ДатаИндексацииЗП)+IF(MONTH('03_Сеть'!P6)&gt;=MONTH(ДатаИндексацииЗП),1,0))</f>
        <v/>
      </c>
      <c r="Q6" s="133">
        <f>(1+ИнфляцияЗарплат)^MAX(0,YEAR('03_Сеть'!Q6)-YEAR(ДатаИндексацииЗП)+IF(MONTH('03_Сеть'!Q6)&gt;=MONTH(ДатаИндексацииЗП),1,0))</f>
        <v/>
      </c>
      <c r="R6" s="133">
        <f>(1+ИнфляцияЗарплат)^MAX(0,YEAR('03_Сеть'!R6)-YEAR(ДатаИндексацииЗП)+IF(MONTH('03_Сеть'!R6)&gt;=MONTH(ДатаИндексацииЗП),1,0))</f>
        <v/>
      </c>
      <c r="S6" s="133">
        <f>(1+ИнфляцияЗарплат)^MAX(0,YEAR('03_Сеть'!S6)-YEAR(ДатаИндексацииЗП)+IF(MONTH('03_Сеть'!S6)&gt;=MONTH(ДатаИндексацииЗП),1,0))</f>
        <v/>
      </c>
      <c r="T6" s="133">
        <f>(1+ИнфляцияЗарплат)^MAX(0,YEAR('03_Сеть'!T6)-YEAR(ДатаИндексацииЗП)+IF(MONTH('03_Сеть'!T6)&gt;=MONTH(ДатаИндексацииЗП),1,0))</f>
        <v/>
      </c>
      <c r="U6" s="133">
        <f>(1+ИнфляцияЗарплат)^MAX(0,YEAR('03_Сеть'!U6)-YEAR(ДатаИндексацииЗП)+IF(MONTH('03_Сеть'!U6)&gt;=MONTH(ДатаИндексацииЗП),1,0))</f>
        <v/>
      </c>
      <c r="V6" s="133">
        <f>(1+ИнфляцияЗарплат)^MAX(0,YEAR('03_Сеть'!V6)-YEAR(ДатаИндексацииЗП)+IF(MONTH('03_Сеть'!V6)&gt;=MONTH(ДатаИндексацииЗП),1,0))</f>
        <v/>
      </c>
      <c r="W6" s="133">
        <f>(1+ИнфляцияЗарплат)^MAX(0,YEAR('03_Сеть'!W6)-YEAR(ДатаИндексацииЗП)+IF(MONTH('03_Сеть'!W6)&gt;=MONTH(ДатаИндексацииЗП),1,0))</f>
        <v/>
      </c>
      <c r="X6" s="133">
        <f>(1+ИнфляцияЗарплат)^MAX(0,YEAR('03_Сеть'!X6)-YEAR(ДатаИндексацииЗП)+IF(MONTH('03_Сеть'!X6)&gt;=MONTH(ДатаИндексацииЗП),1,0))</f>
        <v/>
      </c>
      <c r="Y6" s="133">
        <f>(1+ИнфляцияЗарплат)^MAX(0,YEAR('03_Сеть'!Y6)-YEAR(ДатаИндексацииЗП)+IF(MONTH('03_Сеть'!Y6)&gt;=MONTH(ДатаИндексацииЗП),1,0))</f>
        <v/>
      </c>
      <c r="Z6" s="133">
        <f>(1+ИнфляцияЗарплат)^MAX(0,YEAR('03_Сеть'!Z6)-YEAR(ДатаИндексацииЗП)+IF(MONTH('03_Сеть'!Z6)&gt;=MONTH(ДатаИндексацииЗП),1,0))</f>
        <v/>
      </c>
      <c r="AA6" s="133">
        <f>(1+ИнфляцияЗарплат)^MAX(0,YEAR('03_Сеть'!AA6)-YEAR(ДатаИндексацииЗП)+IF(MONTH('03_Сеть'!AA6)&gt;=MONTH(ДатаИндексацииЗП),1,0))</f>
        <v/>
      </c>
      <c r="AB6" s="133">
        <f>(1+ИнфляцияЗарплат)^MAX(0,YEAR('03_Сеть'!AB6)-YEAR(ДатаИндексацииЗП)+IF(MONTH('03_Сеть'!AB6)&gt;=MONTH(ДатаИндексацииЗП),1,0))</f>
        <v/>
      </c>
      <c r="AC6" s="133">
        <f>(1+ИнфляцияЗарплат)^MAX(0,YEAR('03_Сеть'!AC6)-YEAR(ДатаИндексацииЗП)+IF(MONTH('03_Сеть'!AC6)&gt;=MONTH(ДатаИндексацииЗП),1,0))</f>
        <v/>
      </c>
      <c r="AD6" s="133">
        <f>(1+ИнфляцияЗарплат)^MAX(0,YEAR('03_Сеть'!AD6)-YEAR(ДатаИндексацииЗП)+IF(MONTH('03_Сеть'!AD6)&gt;=MONTH(ДатаИндексацииЗП),1,0))</f>
        <v/>
      </c>
      <c r="AE6" s="133">
        <f>(1+ИнфляцияЗарплат)^MAX(0,YEAR('03_Сеть'!AE6)-YEAR(ДатаИндексацииЗП)+IF(MONTH('03_Сеть'!AE6)&gt;=MONTH(ДатаИндексацииЗП),1,0))</f>
        <v/>
      </c>
      <c r="AF6" s="133">
        <f>(1+ИнфляцияЗарплат)^MAX(0,YEAR('03_Сеть'!AF6)-YEAR(ДатаИндексацииЗП)+IF(MONTH('03_Сеть'!AF6)&gt;=MONTH(ДатаИндексацииЗП),1,0))</f>
        <v/>
      </c>
      <c r="AG6" s="133">
        <f>(1+ИнфляцияЗарплат)^MAX(0,YEAR('03_Сеть'!AG6)-YEAR(ДатаИндексацииЗП)+IF(MONTH('03_Сеть'!AG6)&gt;=MONTH(ДатаИндексацииЗП),1,0))</f>
        <v/>
      </c>
      <c r="AH6" s="133">
        <f>(1+ИнфляцияЗарплат)^MAX(0,YEAR('03_Сеть'!AH6)-YEAR(ДатаИндексацииЗП)+IF(MONTH('03_Сеть'!AH6)&gt;=MONTH(ДатаИндексацииЗП),1,0))</f>
        <v/>
      </c>
      <c r="AI6" s="133">
        <f>(1+ИнфляцияЗарплат)^MAX(0,YEAR('03_Сеть'!AI6)-YEAR(ДатаИндексацииЗП)+IF(MONTH('03_Сеть'!AI6)&gt;=MONTH(ДатаИндексацииЗП),1,0))</f>
        <v/>
      </c>
      <c r="AJ6" s="133">
        <f>(1+ИнфляцияЗарплат)^MAX(0,YEAR('03_Сеть'!AJ6)-YEAR(ДатаИндексацииЗП)+IF(MONTH('03_Сеть'!AJ6)&gt;=MONTH(ДатаИндексацииЗП),1,0))</f>
        <v/>
      </c>
      <c r="AK6" s="133">
        <f>(1+ИнфляцияЗарплат)^MAX(0,YEAR('03_Сеть'!AK6)-YEAR(ДатаИндексацииЗП)+IF(MONTH('03_Сеть'!AK6)&gt;=MONTH(ДатаИндексацииЗП),1,0))</f>
        <v/>
      </c>
      <c r="AL6" s="133">
        <f>(1+ИнфляцияЗарплат)^MAX(0,YEAR('03_Сеть'!AL6)-YEAR(ДатаИндексацииЗП)+IF(MONTH('03_Сеть'!AL6)&gt;=MONTH(ДатаИндексацииЗП),1,0))</f>
        <v/>
      </c>
      <c r="AM6" s="133">
        <f>(1+ИнфляцияЗарплат)^MAX(0,YEAR('03_Сеть'!AM6)-YEAR(ДатаИндексацииЗП)+IF(MONTH('03_Сеть'!AM6)&gt;=MONTH(ДатаИндексацииЗП),1,0))</f>
        <v/>
      </c>
      <c r="AN6" s="133">
        <f>(1+ИнфляцияЗарплат)^MAX(0,YEAR('03_Сеть'!AN6)-YEAR(ДатаИндексацииЗП)+IF(MONTH('03_Сеть'!AN6)&gt;=MONTH(ДатаИндексацииЗП),1,0))</f>
        <v/>
      </c>
      <c r="AO6" s="133">
        <f>(1+ИнфляцияЗарплат)^MAX(0,YEAR('03_Сеть'!AO6)-YEAR(ДатаИндексацииЗП)+IF(MONTH('03_Сеть'!AO6)&gt;=MONTH(ДатаИндексацииЗП),1,0))</f>
        <v/>
      </c>
      <c r="AP6" s="133">
        <f>(1+ИнфляцияЗарплат)^MAX(0,YEAR('03_Сеть'!AP6)-YEAR(ДатаИндексацииЗП)+IF(MONTH('03_Сеть'!AP6)&gt;=MONTH(ДатаИндексацииЗП),1,0))</f>
        <v/>
      </c>
      <c r="AQ6" s="133">
        <f>(1+ИнфляцияЗарплат)^MAX(0,YEAR('03_Сеть'!AQ6)-YEAR(ДатаИндексацииЗП)+IF(MONTH('03_Сеть'!AQ6)&gt;=MONTH(ДатаИндексацииЗП),1,0))</f>
        <v/>
      </c>
      <c r="AR6" s="133">
        <f>(1+ИнфляцияЗарплат)^MAX(0,YEAR('03_Сеть'!AR6)-YEAR(ДатаИндексацииЗП)+IF(MONTH('03_Сеть'!AR6)&gt;=MONTH(ДатаИндексацииЗП),1,0))</f>
        <v/>
      </c>
      <c r="AS6" s="133">
        <f>(1+ИнфляцияЗарплат)^MAX(0,YEAR('03_Сеть'!AS6)-YEAR(ДатаИндексацииЗП)+IF(MONTH('03_Сеть'!AS6)&gt;=MONTH(ДатаИндексацииЗП),1,0))</f>
        <v/>
      </c>
      <c r="AT6" s="133">
        <f>(1+ИнфляцияЗарплат)^MAX(0,YEAR('03_Сеть'!AT6)-YEAR(ДатаИндексацииЗП)+IF(MONTH('03_Сеть'!AT6)&gt;=MONTH(ДатаИндексацииЗП),1,0))</f>
        <v/>
      </c>
      <c r="AU6" s="133">
        <f>(1+ИнфляцияЗарплат)^MAX(0,YEAR('03_Сеть'!AU6)-YEAR(ДатаИндексацииЗП)+IF(MONTH('03_Сеть'!AU6)&gt;=MONTH(ДатаИндексацииЗП),1,0))</f>
        <v/>
      </c>
      <c r="AV6" s="133">
        <f>(1+ИнфляцияЗарплат)^MAX(0,YEAR('03_Сеть'!AV6)-YEAR(ДатаИндексацииЗП)+IF(MONTH('03_Сеть'!AV6)&gt;=MONTH(ДатаИндексацииЗП),1,0))</f>
        <v/>
      </c>
      <c r="AW6" s="133">
        <f>(1+ИнфляцияЗарплат)^MAX(0,YEAR('03_Сеть'!AW6)-YEAR(ДатаИндексацииЗП)+IF(MONTH('03_Сеть'!AW6)&gt;=MONTH(ДатаИндексацииЗП),1,0))</f>
        <v/>
      </c>
      <c r="AX6" s="133">
        <f>(1+ИнфляцияЗарплат)^MAX(0,YEAR('03_Сеть'!AX6)-YEAR(ДатаИндексацииЗП)+IF(MONTH('03_Сеть'!AX6)&gt;=MONTH(ДатаИндексацииЗП),1,0))</f>
        <v/>
      </c>
      <c r="AY6" s="133">
        <f>(1+ИнфляцияЗарплат)^MAX(0,YEAR('03_Сеть'!AY6)-YEAR(ДатаИндексацииЗП)+IF(MONTH('03_Сеть'!AY6)&gt;=MONTH(ДатаИндексацииЗП),1,0))</f>
        <v/>
      </c>
      <c r="AZ6" s="133">
        <f>(1+ИнфляцияЗарплат)^MAX(0,YEAR('03_Сеть'!AZ6)-YEAR(ДатаИндексацииЗП)+IF(MONTH('03_Сеть'!AZ6)&gt;=MONTH(ДатаИндексацииЗП),1,0))</f>
        <v/>
      </c>
      <c r="BA6" s="133">
        <f>(1+ИнфляцияЗарплат)^MAX(0,YEAR('03_Сеть'!BA6)-YEAR(ДатаИндексацииЗП)+IF(MONTH('03_Сеть'!BA6)&gt;=MONTH(ДатаИндексацииЗП),1,0))</f>
        <v/>
      </c>
      <c r="BB6" s="133">
        <f>(1+ИнфляцияЗарплат)^MAX(0,YEAR('03_Сеть'!BB6)-YEAR(ДатаИндексацииЗП)+IF(MONTH('03_Сеть'!BB6)&gt;=MONTH(ДатаИндексацииЗП),1,0))</f>
        <v/>
      </c>
      <c r="BC6" s="133">
        <f>(1+ИнфляцияЗарплат)^MAX(0,YEAR('03_Сеть'!BC6)-YEAR(ДатаИндексацииЗП)+IF(MONTH('03_Сеть'!BC6)&gt;=MONTH(ДатаИндексацииЗП),1,0))</f>
        <v/>
      </c>
      <c r="BD6" s="133">
        <f>(1+ИнфляцияЗарплат)^MAX(0,YEAR('03_Сеть'!BD6)-YEAR(ДатаИндексацииЗП)+IF(MONTH('03_Сеть'!BD6)&gt;=MONTH(ДатаИндексацииЗП),1,0))</f>
        <v/>
      </c>
      <c r="BE6" s="133">
        <f>(1+ИнфляцияЗарплат)^MAX(0,YEAR('03_Сеть'!BE6)-YEAR(ДатаИндексацииЗП)+IF(MONTH('03_Сеть'!BE6)&gt;=MONTH(ДатаИндексацииЗП),1,0))</f>
        <v/>
      </c>
      <c r="BF6" s="133">
        <f>(1+ИнфляцияЗарплат)^MAX(0,YEAR('03_Сеть'!BF6)-YEAR(ДатаИндексацииЗП)+IF(MONTH('03_Сеть'!BF6)&gt;=MONTH(ДатаИндексацииЗП),1,0))</f>
        <v/>
      </c>
      <c r="BG6" s="133">
        <f>(1+ИнфляцияЗарплат)^MAX(0,YEAR('03_Сеть'!BG6)-YEAR(ДатаИндексацииЗП)+IF(MONTH('03_Сеть'!BG6)&gt;=MONTH(ДатаИндексацииЗП),1,0))</f>
        <v/>
      </c>
      <c r="BH6" s="133">
        <f>(1+ИнфляцияЗарплат)^MAX(0,YEAR('03_Сеть'!BH6)-YEAR(ДатаИндексацииЗП)+IF(MONTH('03_Сеть'!BH6)&gt;=MONTH(ДатаИндексацииЗП),1,0))</f>
        <v/>
      </c>
      <c r="BI6" s="133">
        <f>(1+ИнфляцияЗарплат)^MAX(0,YEAR('03_Сеть'!BI6)-YEAR(ДатаИндексацииЗП)+IF(MONTH('03_Сеть'!BI6)&gt;=MONTH(ДатаИндексацииЗП),1,0))</f>
        <v/>
      </c>
      <c r="BJ6" s="133">
        <f>(1+ИнфляцияЗарплат)^MAX(0,YEAR('03_Сеть'!BJ6)-YEAR(ДатаИндексацииЗП)+IF(MONTH('03_Сеть'!BJ6)&gt;=MONTH(ДатаИндексацииЗП),1,0))</f>
        <v/>
      </c>
      <c r="BK6" s="133">
        <f>(1+ИнфляцияЗарплат)^MAX(0,YEAR('03_Сеть'!BK6)-YEAR(ДатаИндексацииЗП)+IF(MONTH('03_Сеть'!BK6)&gt;=MONTH(ДатаИндексацииЗП),1,0))</f>
        <v/>
      </c>
      <c r="BL6" s="133">
        <f>(1+ИнфляцияЗарплат)^MAX(0,YEAR('03_Сеть'!BL6)-YEAR(ДатаИндексацииЗП)+IF(MONTH('03_Сеть'!BL6)&gt;=MONTH(ДатаИндексацииЗП),1,0))</f>
        <v/>
      </c>
      <c r="BM6" s="133">
        <f>(1+ИнфляцияЗарплат)^MAX(0,YEAR('03_Сеть'!BM6)-YEAR(ДатаИндексацииЗП)+IF(MONTH('03_Сеть'!BM6)&gt;=MONTH(ДатаИндексацииЗП),1,0))</f>
        <v/>
      </c>
      <c r="BN6" s="133">
        <f>(1+ИнфляцияЗарплат)^MAX(0,YEAR('03_Сеть'!BN6)-YEAR(ДатаИндексацииЗП)+IF(MONTH('03_Сеть'!BN6)&gt;=MONTH(ДатаИндексацииЗП),1,0))</f>
        <v/>
      </c>
      <c r="BO6" s="133">
        <f>(1+ИнфляцияЗарплат)^MAX(0,YEAR('03_Сеть'!BO6)-YEAR(ДатаИндексацииЗП)+IF(MONTH('03_Сеть'!BO6)&gt;=MONTH(ДатаИндексацииЗП),1,0))</f>
        <v/>
      </c>
      <c r="BP6" s="133">
        <f>(1+ИнфляцияЗарплат)^MAX(0,YEAR('03_Сеть'!BP6)-YEAR(ДатаИндексацииЗП)+IF(MONTH('03_Сеть'!BP6)&gt;=MONTH(ДатаИндексацииЗП),1,0))</f>
        <v/>
      </c>
      <c r="BQ6" s="133">
        <f>(1+ИнфляцияЗарплат)^MAX(0,YEAR('03_Сеть'!BQ6)-YEAR(ДатаИндексацииЗП)+IF(MONTH('03_Сеть'!BQ6)&gt;=MONTH(ДатаИндексацииЗП),1,0))</f>
        <v/>
      </c>
      <c r="BR6" s="133">
        <f>(1+ИнфляцияЗарплат)^MAX(0,YEAR('03_Сеть'!BR6)-YEAR(ДатаИндексацииЗП)+IF(MONTH('03_Сеть'!BR6)&gt;=MONTH(ДатаИндексацииЗП),1,0))</f>
        <v/>
      </c>
      <c r="BS6" s="133">
        <f>(1+ИнфляцияЗарплат)^MAX(0,YEAR('03_Сеть'!BS6)-YEAR(ДатаИндексацииЗП)+IF(MONTH('03_Сеть'!BS6)&gt;=MONTH(ДатаИндексацииЗП),1,0))</f>
        <v/>
      </c>
      <c r="BT6" s="133">
        <f>(1+ИнфляцияЗарплат)^MAX(0,YEAR('03_Сеть'!BT6)-YEAR(ДатаИндексацииЗП)+IF(MONTH('03_Сеть'!BT6)&gt;=MONTH(ДатаИндексацииЗП),1,0))</f>
        <v/>
      </c>
      <c r="BU6" s="133">
        <f>(1+ИнфляцияЗарплат)^MAX(0,YEAR('03_Сеть'!BU6)-YEAR(ДатаИндексацииЗП)+IF(MONTH('03_Сеть'!BU6)&gt;=MONTH(ДатаИндексацииЗП),1,0))</f>
        <v/>
      </c>
      <c r="BV6" s="133">
        <f>(1+ИнфляцияЗарплат)^MAX(0,YEAR('03_Сеть'!BV6)-YEAR(ДатаИндексацииЗП)+IF(MONTH('03_Сеть'!BV6)&gt;=MONTH(ДатаИндексацииЗП),1,0))</f>
        <v/>
      </c>
      <c r="BW6" s="133">
        <f>(1+ИнфляцияЗарплат)^MAX(0,YEAR('03_Сеть'!BW6)-YEAR(ДатаИндексацииЗП)+IF(MONTH('03_Сеть'!BW6)&gt;=MONTH(ДатаИндексацииЗП),1,0))</f>
        <v/>
      </c>
      <c r="BX6" s="133">
        <f>(1+ИнфляцияЗарплат)^MAX(0,YEAR('03_Сеть'!BX6)-YEAR(ДатаИндексацииЗП)+IF(MONTH('03_Сеть'!BX6)&gt;=MONTH(ДатаИндексацииЗП),1,0))</f>
        <v/>
      </c>
      <c r="BY6" s="133">
        <f>(1+ИнфляцияЗарплат)^MAX(0,YEAR('03_Сеть'!BY6)-YEAR(ДатаИндексацииЗП)+IF(MONTH('03_Сеть'!BY6)&gt;=MONTH(ДатаИндексацииЗП),1,0))</f>
        <v/>
      </c>
    </row>
    <row r="7">
      <c r="B7" t="inlineStr">
        <is>
          <t>Повышение оклада ГД</t>
        </is>
      </c>
      <c r="C7" t="inlineStr">
        <is>
          <t>₽</t>
        </is>
      </c>
      <c r="D7" s="117" t="inlineStr">
        <is>
          <t>Прибавка генеральному директору с назначенной даты</t>
        </is>
      </c>
      <c r="E7" s="119">
        <f>SUM(L7:W7)</f>
        <v/>
      </c>
      <c r="F7" s="119">
        <f>SUM(X7:AI7)</f>
        <v/>
      </c>
      <c r="G7" s="119">
        <f>SUM(AJ7:AU7)</f>
        <v/>
      </c>
      <c r="H7" s="119">
        <f>SUM(AV7:BG7)</f>
        <v/>
      </c>
      <c r="I7" s="119">
        <f>SUM(BH7:BS7)</f>
        <v/>
      </c>
      <c r="J7" s="5">
        <f>SUM(L7:BS7)</f>
        <v/>
      </c>
      <c r="L7" s="4">
        <f>IF('03_Сеть'!L6&gt;=ДатаПовышенияГД,ПовышениеГД/NetGross*(1+ИнфляцияЗарплат)^MAX(0,YEAR('03_Сеть'!L6)-YEAR(ДатаПовышенияГД)+IF(MONTH('03_Сеть'!L6)&gt;=9,1,0)-IF(MONTH(ДатаПовышенияГД)&gt;=9,1,0)),0)</f>
        <v/>
      </c>
      <c r="M7" s="4">
        <f>IF('03_Сеть'!M6&gt;=ДатаПовышенияГД,ПовышениеГД/NetGross*(1+ИнфляцияЗарплат)^MAX(0,YEAR('03_Сеть'!M6)-YEAR(ДатаПовышенияГД)+IF(MONTH('03_Сеть'!M6)&gt;=9,1,0)-IF(MONTH(ДатаПовышенияГД)&gt;=9,1,0)),0)</f>
        <v/>
      </c>
      <c r="N7" s="4">
        <f>IF('03_Сеть'!N6&gt;=ДатаПовышенияГД,ПовышениеГД/NetGross*(1+ИнфляцияЗарплат)^MAX(0,YEAR('03_Сеть'!N6)-YEAR(ДатаПовышенияГД)+IF(MONTH('03_Сеть'!N6)&gt;=9,1,0)-IF(MONTH(ДатаПовышенияГД)&gt;=9,1,0)),0)</f>
        <v/>
      </c>
      <c r="O7" s="4">
        <f>IF('03_Сеть'!O6&gt;=ДатаПовышенияГД,ПовышениеГД/NetGross*(1+ИнфляцияЗарплат)^MAX(0,YEAR('03_Сеть'!O6)-YEAR(ДатаПовышенияГД)+IF(MONTH('03_Сеть'!O6)&gt;=9,1,0)-IF(MONTH(ДатаПовышенияГД)&gt;=9,1,0)),0)</f>
        <v/>
      </c>
      <c r="P7" s="4">
        <f>IF('03_Сеть'!P6&gt;=ДатаПовышенияГД,ПовышениеГД/NetGross*(1+ИнфляцияЗарплат)^MAX(0,YEAR('03_Сеть'!P6)-YEAR(ДатаПовышенияГД)+IF(MONTH('03_Сеть'!P6)&gt;=9,1,0)-IF(MONTH(ДатаПовышенияГД)&gt;=9,1,0)),0)</f>
        <v/>
      </c>
      <c r="Q7" s="4">
        <f>IF('03_Сеть'!Q6&gt;=ДатаПовышенияГД,ПовышениеГД/NetGross*(1+ИнфляцияЗарплат)^MAX(0,YEAR('03_Сеть'!Q6)-YEAR(ДатаПовышенияГД)+IF(MONTH('03_Сеть'!Q6)&gt;=9,1,0)-IF(MONTH(ДатаПовышенияГД)&gt;=9,1,0)),0)</f>
        <v/>
      </c>
      <c r="R7" s="4">
        <f>IF('03_Сеть'!R6&gt;=ДатаПовышенияГД,ПовышениеГД/NetGross*(1+ИнфляцияЗарплат)^MAX(0,YEAR('03_Сеть'!R6)-YEAR(ДатаПовышенияГД)+IF(MONTH('03_Сеть'!R6)&gt;=9,1,0)-IF(MONTH(ДатаПовышенияГД)&gt;=9,1,0)),0)</f>
        <v/>
      </c>
      <c r="S7" s="4">
        <f>IF('03_Сеть'!S6&gt;=ДатаПовышенияГД,ПовышениеГД/NetGross*(1+ИнфляцияЗарплат)^MAX(0,YEAR('03_Сеть'!S6)-YEAR(ДатаПовышенияГД)+IF(MONTH('03_Сеть'!S6)&gt;=9,1,0)-IF(MONTH(ДатаПовышенияГД)&gt;=9,1,0)),0)</f>
        <v/>
      </c>
      <c r="T7" s="4">
        <f>IF('03_Сеть'!T6&gt;=ДатаПовышенияГД,ПовышениеГД/NetGross*(1+ИнфляцияЗарплат)^MAX(0,YEAR('03_Сеть'!T6)-YEAR(ДатаПовышенияГД)+IF(MONTH('03_Сеть'!T6)&gt;=9,1,0)-IF(MONTH(ДатаПовышенияГД)&gt;=9,1,0)),0)</f>
        <v/>
      </c>
      <c r="U7" s="4">
        <f>IF('03_Сеть'!U6&gt;=ДатаПовышенияГД,ПовышениеГД/NetGross*(1+ИнфляцияЗарплат)^MAX(0,YEAR('03_Сеть'!U6)-YEAR(ДатаПовышенияГД)+IF(MONTH('03_Сеть'!U6)&gt;=9,1,0)-IF(MONTH(ДатаПовышенияГД)&gt;=9,1,0)),0)</f>
        <v/>
      </c>
      <c r="V7" s="4">
        <f>IF('03_Сеть'!V6&gt;=ДатаПовышенияГД,ПовышениеГД/NetGross*(1+ИнфляцияЗарплат)^MAX(0,YEAR('03_Сеть'!V6)-YEAR(ДатаПовышенияГД)+IF(MONTH('03_Сеть'!V6)&gt;=9,1,0)-IF(MONTH(ДатаПовышенияГД)&gt;=9,1,0)),0)</f>
        <v/>
      </c>
      <c r="W7" s="4">
        <f>IF('03_Сеть'!W6&gt;=ДатаПовышенияГД,ПовышениеГД/NetGross*(1+ИнфляцияЗарплат)^MAX(0,YEAR('03_Сеть'!W6)-YEAR(ДатаПовышенияГД)+IF(MONTH('03_Сеть'!W6)&gt;=9,1,0)-IF(MONTH(ДатаПовышенияГД)&gt;=9,1,0)),0)</f>
        <v/>
      </c>
      <c r="X7" s="4">
        <f>IF('03_Сеть'!X6&gt;=ДатаПовышенияГД,ПовышениеГД/NetGross*(1+ИнфляцияЗарплат)^MAX(0,YEAR('03_Сеть'!X6)-YEAR(ДатаПовышенияГД)+IF(MONTH('03_Сеть'!X6)&gt;=9,1,0)-IF(MONTH(ДатаПовышенияГД)&gt;=9,1,0)),0)</f>
        <v/>
      </c>
      <c r="Y7" s="4">
        <f>IF('03_Сеть'!Y6&gt;=ДатаПовышенияГД,ПовышениеГД/NetGross*(1+ИнфляцияЗарплат)^MAX(0,YEAR('03_Сеть'!Y6)-YEAR(ДатаПовышенияГД)+IF(MONTH('03_Сеть'!Y6)&gt;=9,1,0)-IF(MONTH(ДатаПовышенияГД)&gt;=9,1,0)),0)</f>
        <v/>
      </c>
      <c r="Z7" s="4">
        <f>IF('03_Сеть'!Z6&gt;=ДатаПовышенияГД,ПовышениеГД/NetGross*(1+ИнфляцияЗарплат)^MAX(0,YEAR('03_Сеть'!Z6)-YEAR(ДатаПовышенияГД)+IF(MONTH('03_Сеть'!Z6)&gt;=9,1,0)-IF(MONTH(ДатаПовышенияГД)&gt;=9,1,0)),0)</f>
        <v/>
      </c>
      <c r="AA7" s="4">
        <f>IF('03_Сеть'!AA6&gt;=ДатаПовышенияГД,ПовышениеГД/NetGross*(1+ИнфляцияЗарплат)^MAX(0,YEAR('03_Сеть'!AA6)-YEAR(ДатаПовышенияГД)+IF(MONTH('03_Сеть'!AA6)&gt;=9,1,0)-IF(MONTH(ДатаПовышенияГД)&gt;=9,1,0)),0)</f>
        <v/>
      </c>
      <c r="AB7" s="4">
        <f>IF('03_Сеть'!AB6&gt;=ДатаПовышенияГД,ПовышениеГД/NetGross*(1+ИнфляцияЗарплат)^MAX(0,YEAR('03_Сеть'!AB6)-YEAR(ДатаПовышенияГД)+IF(MONTH('03_Сеть'!AB6)&gt;=9,1,0)-IF(MONTH(ДатаПовышенияГД)&gt;=9,1,0)),0)</f>
        <v/>
      </c>
      <c r="AC7" s="4">
        <f>IF('03_Сеть'!AC6&gt;=ДатаПовышенияГД,ПовышениеГД/NetGross*(1+ИнфляцияЗарплат)^MAX(0,YEAR('03_Сеть'!AC6)-YEAR(ДатаПовышенияГД)+IF(MONTH('03_Сеть'!AC6)&gt;=9,1,0)-IF(MONTH(ДатаПовышенияГД)&gt;=9,1,0)),0)</f>
        <v/>
      </c>
      <c r="AD7" s="4">
        <f>IF('03_Сеть'!AD6&gt;=ДатаПовышенияГД,ПовышениеГД/NetGross*(1+ИнфляцияЗарплат)^MAX(0,YEAR('03_Сеть'!AD6)-YEAR(ДатаПовышенияГД)+IF(MONTH('03_Сеть'!AD6)&gt;=9,1,0)-IF(MONTH(ДатаПовышенияГД)&gt;=9,1,0)),0)</f>
        <v/>
      </c>
      <c r="AE7" s="4">
        <f>IF('03_Сеть'!AE6&gt;=ДатаПовышенияГД,ПовышениеГД/NetGross*(1+ИнфляцияЗарплат)^MAX(0,YEAR('03_Сеть'!AE6)-YEAR(ДатаПовышенияГД)+IF(MONTH('03_Сеть'!AE6)&gt;=9,1,0)-IF(MONTH(ДатаПовышенияГД)&gt;=9,1,0)),0)</f>
        <v/>
      </c>
      <c r="AF7" s="4">
        <f>IF('03_Сеть'!AF6&gt;=ДатаПовышенияГД,ПовышениеГД/NetGross*(1+ИнфляцияЗарплат)^MAX(0,YEAR('03_Сеть'!AF6)-YEAR(ДатаПовышенияГД)+IF(MONTH('03_Сеть'!AF6)&gt;=9,1,0)-IF(MONTH(ДатаПовышенияГД)&gt;=9,1,0)),0)</f>
        <v/>
      </c>
      <c r="AG7" s="4">
        <f>IF('03_Сеть'!AG6&gt;=ДатаПовышенияГД,ПовышениеГД/NetGross*(1+ИнфляцияЗарплат)^MAX(0,YEAR('03_Сеть'!AG6)-YEAR(ДатаПовышенияГД)+IF(MONTH('03_Сеть'!AG6)&gt;=9,1,0)-IF(MONTH(ДатаПовышенияГД)&gt;=9,1,0)),0)</f>
        <v/>
      </c>
      <c r="AH7" s="4">
        <f>IF('03_Сеть'!AH6&gt;=ДатаПовышенияГД,ПовышениеГД/NetGross*(1+ИнфляцияЗарплат)^MAX(0,YEAR('03_Сеть'!AH6)-YEAR(ДатаПовышенияГД)+IF(MONTH('03_Сеть'!AH6)&gt;=9,1,0)-IF(MONTH(ДатаПовышенияГД)&gt;=9,1,0)),0)</f>
        <v/>
      </c>
      <c r="AI7" s="4">
        <f>IF('03_Сеть'!AI6&gt;=ДатаПовышенияГД,ПовышениеГД/NetGross*(1+ИнфляцияЗарплат)^MAX(0,YEAR('03_Сеть'!AI6)-YEAR(ДатаПовышенияГД)+IF(MONTH('03_Сеть'!AI6)&gt;=9,1,0)-IF(MONTH(ДатаПовышенияГД)&gt;=9,1,0)),0)</f>
        <v/>
      </c>
      <c r="AJ7" s="4">
        <f>IF('03_Сеть'!AJ6&gt;=ДатаПовышенияГД,ПовышениеГД/NetGross*(1+ИнфляцияЗарплат)^MAX(0,YEAR('03_Сеть'!AJ6)-YEAR(ДатаПовышенияГД)+IF(MONTH('03_Сеть'!AJ6)&gt;=9,1,0)-IF(MONTH(ДатаПовышенияГД)&gt;=9,1,0)),0)</f>
        <v/>
      </c>
      <c r="AK7" s="4">
        <f>IF('03_Сеть'!AK6&gt;=ДатаПовышенияГД,ПовышениеГД/NetGross*(1+ИнфляцияЗарплат)^MAX(0,YEAR('03_Сеть'!AK6)-YEAR(ДатаПовышенияГД)+IF(MONTH('03_Сеть'!AK6)&gt;=9,1,0)-IF(MONTH(ДатаПовышенияГД)&gt;=9,1,0)),0)</f>
        <v/>
      </c>
      <c r="AL7" s="4">
        <f>IF('03_Сеть'!AL6&gt;=ДатаПовышенияГД,ПовышениеГД/NetGross*(1+ИнфляцияЗарплат)^MAX(0,YEAR('03_Сеть'!AL6)-YEAR(ДатаПовышенияГД)+IF(MONTH('03_Сеть'!AL6)&gt;=9,1,0)-IF(MONTH(ДатаПовышенияГД)&gt;=9,1,0)),0)</f>
        <v/>
      </c>
      <c r="AM7" s="4">
        <f>IF('03_Сеть'!AM6&gt;=ДатаПовышенияГД,ПовышениеГД/NetGross*(1+ИнфляцияЗарплат)^MAX(0,YEAR('03_Сеть'!AM6)-YEAR(ДатаПовышенияГД)+IF(MONTH('03_Сеть'!AM6)&gt;=9,1,0)-IF(MONTH(ДатаПовышенияГД)&gt;=9,1,0)),0)</f>
        <v/>
      </c>
      <c r="AN7" s="4">
        <f>IF('03_Сеть'!AN6&gt;=ДатаПовышенияГД,ПовышениеГД/NetGross*(1+ИнфляцияЗарплат)^MAX(0,YEAR('03_Сеть'!AN6)-YEAR(ДатаПовышенияГД)+IF(MONTH('03_Сеть'!AN6)&gt;=9,1,0)-IF(MONTH(ДатаПовышенияГД)&gt;=9,1,0)),0)</f>
        <v/>
      </c>
      <c r="AO7" s="4">
        <f>IF('03_Сеть'!AO6&gt;=ДатаПовышенияГД,ПовышениеГД/NetGross*(1+ИнфляцияЗарплат)^MAX(0,YEAR('03_Сеть'!AO6)-YEAR(ДатаПовышенияГД)+IF(MONTH('03_Сеть'!AO6)&gt;=9,1,0)-IF(MONTH(ДатаПовышенияГД)&gt;=9,1,0)),0)</f>
        <v/>
      </c>
      <c r="AP7" s="4">
        <f>IF('03_Сеть'!AP6&gt;=ДатаПовышенияГД,ПовышениеГД/NetGross*(1+ИнфляцияЗарплат)^MAX(0,YEAR('03_Сеть'!AP6)-YEAR(ДатаПовышенияГД)+IF(MONTH('03_Сеть'!AP6)&gt;=9,1,0)-IF(MONTH(ДатаПовышенияГД)&gt;=9,1,0)),0)</f>
        <v/>
      </c>
      <c r="AQ7" s="4">
        <f>IF('03_Сеть'!AQ6&gt;=ДатаПовышенияГД,ПовышениеГД/NetGross*(1+ИнфляцияЗарплат)^MAX(0,YEAR('03_Сеть'!AQ6)-YEAR(ДатаПовышенияГД)+IF(MONTH('03_Сеть'!AQ6)&gt;=9,1,0)-IF(MONTH(ДатаПовышенияГД)&gt;=9,1,0)),0)</f>
        <v/>
      </c>
      <c r="AR7" s="4">
        <f>IF('03_Сеть'!AR6&gt;=ДатаПовышенияГД,ПовышениеГД/NetGross*(1+ИнфляцияЗарплат)^MAX(0,YEAR('03_Сеть'!AR6)-YEAR(ДатаПовышенияГД)+IF(MONTH('03_Сеть'!AR6)&gt;=9,1,0)-IF(MONTH(ДатаПовышенияГД)&gt;=9,1,0)),0)</f>
        <v/>
      </c>
      <c r="AS7" s="4">
        <f>IF('03_Сеть'!AS6&gt;=ДатаПовышенияГД,ПовышениеГД/NetGross*(1+ИнфляцияЗарплат)^MAX(0,YEAR('03_Сеть'!AS6)-YEAR(ДатаПовышенияГД)+IF(MONTH('03_Сеть'!AS6)&gt;=9,1,0)-IF(MONTH(ДатаПовышенияГД)&gt;=9,1,0)),0)</f>
        <v/>
      </c>
      <c r="AT7" s="4">
        <f>IF('03_Сеть'!AT6&gt;=ДатаПовышенияГД,ПовышениеГД/NetGross*(1+ИнфляцияЗарплат)^MAX(0,YEAR('03_Сеть'!AT6)-YEAR(ДатаПовышенияГД)+IF(MONTH('03_Сеть'!AT6)&gt;=9,1,0)-IF(MONTH(ДатаПовышенияГД)&gt;=9,1,0)),0)</f>
        <v/>
      </c>
      <c r="AU7" s="4">
        <f>IF('03_Сеть'!AU6&gt;=ДатаПовышенияГД,ПовышениеГД/NetGross*(1+ИнфляцияЗарплат)^MAX(0,YEAR('03_Сеть'!AU6)-YEAR(ДатаПовышенияГД)+IF(MONTH('03_Сеть'!AU6)&gt;=9,1,0)-IF(MONTH(ДатаПовышенияГД)&gt;=9,1,0)),0)</f>
        <v/>
      </c>
      <c r="AV7" s="4">
        <f>IF('03_Сеть'!AV6&gt;=ДатаПовышенияГД,ПовышениеГД/NetGross*(1+ИнфляцияЗарплат)^MAX(0,YEAR('03_Сеть'!AV6)-YEAR(ДатаПовышенияГД)+IF(MONTH('03_Сеть'!AV6)&gt;=9,1,0)-IF(MONTH(ДатаПовышенияГД)&gt;=9,1,0)),0)</f>
        <v/>
      </c>
      <c r="AW7" s="4">
        <f>IF('03_Сеть'!AW6&gt;=ДатаПовышенияГД,ПовышениеГД/NetGross*(1+ИнфляцияЗарплат)^MAX(0,YEAR('03_Сеть'!AW6)-YEAR(ДатаПовышенияГД)+IF(MONTH('03_Сеть'!AW6)&gt;=9,1,0)-IF(MONTH(ДатаПовышенияГД)&gt;=9,1,0)),0)</f>
        <v/>
      </c>
      <c r="AX7" s="4">
        <f>IF('03_Сеть'!AX6&gt;=ДатаПовышенияГД,ПовышениеГД/NetGross*(1+ИнфляцияЗарплат)^MAX(0,YEAR('03_Сеть'!AX6)-YEAR(ДатаПовышенияГД)+IF(MONTH('03_Сеть'!AX6)&gt;=9,1,0)-IF(MONTH(ДатаПовышенияГД)&gt;=9,1,0)),0)</f>
        <v/>
      </c>
      <c r="AY7" s="4">
        <f>IF('03_Сеть'!AY6&gt;=ДатаПовышенияГД,ПовышениеГД/NetGross*(1+ИнфляцияЗарплат)^MAX(0,YEAR('03_Сеть'!AY6)-YEAR(ДатаПовышенияГД)+IF(MONTH('03_Сеть'!AY6)&gt;=9,1,0)-IF(MONTH(ДатаПовышенияГД)&gt;=9,1,0)),0)</f>
        <v/>
      </c>
      <c r="AZ7" s="4">
        <f>IF('03_Сеть'!AZ6&gt;=ДатаПовышенияГД,ПовышениеГД/NetGross*(1+ИнфляцияЗарплат)^MAX(0,YEAR('03_Сеть'!AZ6)-YEAR(ДатаПовышенияГД)+IF(MONTH('03_Сеть'!AZ6)&gt;=9,1,0)-IF(MONTH(ДатаПовышенияГД)&gt;=9,1,0)),0)</f>
        <v/>
      </c>
      <c r="BA7" s="4">
        <f>IF('03_Сеть'!BA6&gt;=ДатаПовышенияГД,ПовышениеГД/NetGross*(1+ИнфляцияЗарплат)^MAX(0,YEAR('03_Сеть'!BA6)-YEAR(ДатаПовышенияГД)+IF(MONTH('03_Сеть'!BA6)&gt;=9,1,0)-IF(MONTH(ДатаПовышенияГД)&gt;=9,1,0)),0)</f>
        <v/>
      </c>
      <c r="BB7" s="4">
        <f>IF('03_Сеть'!BB6&gt;=ДатаПовышенияГД,ПовышениеГД/NetGross*(1+ИнфляцияЗарплат)^MAX(0,YEAR('03_Сеть'!BB6)-YEAR(ДатаПовышенияГД)+IF(MONTH('03_Сеть'!BB6)&gt;=9,1,0)-IF(MONTH(ДатаПовышенияГД)&gt;=9,1,0)),0)</f>
        <v/>
      </c>
      <c r="BC7" s="4">
        <f>IF('03_Сеть'!BC6&gt;=ДатаПовышенияГД,ПовышениеГД/NetGross*(1+ИнфляцияЗарплат)^MAX(0,YEAR('03_Сеть'!BC6)-YEAR(ДатаПовышенияГД)+IF(MONTH('03_Сеть'!BC6)&gt;=9,1,0)-IF(MONTH(ДатаПовышенияГД)&gt;=9,1,0)),0)</f>
        <v/>
      </c>
      <c r="BD7" s="4">
        <f>IF('03_Сеть'!BD6&gt;=ДатаПовышенияГД,ПовышениеГД/NetGross*(1+ИнфляцияЗарплат)^MAX(0,YEAR('03_Сеть'!BD6)-YEAR(ДатаПовышенияГД)+IF(MONTH('03_Сеть'!BD6)&gt;=9,1,0)-IF(MONTH(ДатаПовышенияГД)&gt;=9,1,0)),0)</f>
        <v/>
      </c>
      <c r="BE7" s="4">
        <f>IF('03_Сеть'!BE6&gt;=ДатаПовышенияГД,ПовышениеГД/NetGross*(1+ИнфляцияЗарплат)^MAX(0,YEAR('03_Сеть'!BE6)-YEAR(ДатаПовышенияГД)+IF(MONTH('03_Сеть'!BE6)&gt;=9,1,0)-IF(MONTH(ДатаПовышенияГД)&gt;=9,1,0)),0)</f>
        <v/>
      </c>
      <c r="BF7" s="4">
        <f>IF('03_Сеть'!BF6&gt;=ДатаПовышенияГД,ПовышениеГД/NetGross*(1+ИнфляцияЗарплат)^MAX(0,YEAR('03_Сеть'!BF6)-YEAR(ДатаПовышенияГД)+IF(MONTH('03_Сеть'!BF6)&gt;=9,1,0)-IF(MONTH(ДатаПовышенияГД)&gt;=9,1,0)),0)</f>
        <v/>
      </c>
      <c r="BG7" s="4">
        <f>IF('03_Сеть'!BG6&gt;=ДатаПовышенияГД,ПовышениеГД/NetGross*(1+ИнфляцияЗарплат)^MAX(0,YEAR('03_Сеть'!BG6)-YEAR(ДатаПовышенияГД)+IF(MONTH('03_Сеть'!BG6)&gt;=9,1,0)-IF(MONTH(ДатаПовышенияГД)&gt;=9,1,0)),0)</f>
        <v/>
      </c>
      <c r="BH7" s="4">
        <f>IF('03_Сеть'!BH6&gt;=ДатаПовышенияГД,ПовышениеГД/NetGross*(1+ИнфляцияЗарплат)^MAX(0,YEAR('03_Сеть'!BH6)-YEAR(ДатаПовышенияГД)+IF(MONTH('03_Сеть'!BH6)&gt;=9,1,0)-IF(MONTH(ДатаПовышенияГД)&gt;=9,1,0)),0)</f>
        <v/>
      </c>
      <c r="BI7" s="4">
        <f>IF('03_Сеть'!BI6&gt;=ДатаПовышенияГД,ПовышениеГД/NetGross*(1+ИнфляцияЗарплат)^MAX(0,YEAR('03_Сеть'!BI6)-YEAR(ДатаПовышенияГД)+IF(MONTH('03_Сеть'!BI6)&gt;=9,1,0)-IF(MONTH(ДатаПовышенияГД)&gt;=9,1,0)),0)</f>
        <v/>
      </c>
      <c r="BJ7" s="4">
        <f>IF('03_Сеть'!BJ6&gt;=ДатаПовышенияГД,ПовышениеГД/NetGross*(1+ИнфляцияЗарплат)^MAX(0,YEAR('03_Сеть'!BJ6)-YEAR(ДатаПовышенияГД)+IF(MONTH('03_Сеть'!BJ6)&gt;=9,1,0)-IF(MONTH(ДатаПовышенияГД)&gt;=9,1,0)),0)</f>
        <v/>
      </c>
      <c r="BK7" s="4">
        <f>IF('03_Сеть'!BK6&gt;=ДатаПовышенияГД,ПовышениеГД/NetGross*(1+ИнфляцияЗарплат)^MAX(0,YEAR('03_Сеть'!BK6)-YEAR(ДатаПовышенияГД)+IF(MONTH('03_Сеть'!BK6)&gt;=9,1,0)-IF(MONTH(ДатаПовышенияГД)&gt;=9,1,0)),0)</f>
        <v/>
      </c>
      <c r="BL7" s="4">
        <f>IF('03_Сеть'!BL6&gt;=ДатаПовышенияГД,ПовышениеГД/NetGross*(1+ИнфляцияЗарплат)^MAX(0,YEAR('03_Сеть'!BL6)-YEAR(ДатаПовышенияГД)+IF(MONTH('03_Сеть'!BL6)&gt;=9,1,0)-IF(MONTH(ДатаПовышенияГД)&gt;=9,1,0)),0)</f>
        <v/>
      </c>
      <c r="BM7" s="4">
        <f>IF('03_Сеть'!BM6&gt;=ДатаПовышенияГД,ПовышениеГД/NetGross*(1+ИнфляцияЗарплат)^MAX(0,YEAR('03_Сеть'!BM6)-YEAR(ДатаПовышенияГД)+IF(MONTH('03_Сеть'!BM6)&gt;=9,1,0)-IF(MONTH(ДатаПовышенияГД)&gt;=9,1,0)),0)</f>
        <v/>
      </c>
      <c r="BN7" s="4">
        <f>IF('03_Сеть'!BN6&gt;=ДатаПовышенияГД,ПовышениеГД/NetGross*(1+ИнфляцияЗарплат)^MAX(0,YEAR('03_Сеть'!BN6)-YEAR(ДатаПовышенияГД)+IF(MONTH('03_Сеть'!BN6)&gt;=9,1,0)-IF(MONTH(ДатаПовышенияГД)&gt;=9,1,0)),0)</f>
        <v/>
      </c>
      <c r="BO7" s="4">
        <f>IF('03_Сеть'!BO6&gt;=ДатаПовышенияГД,ПовышениеГД/NetGross*(1+ИнфляцияЗарплат)^MAX(0,YEAR('03_Сеть'!BO6)-YEAR(ДатаПовышенияГД)+IF(MONTH('03_Сеть'!BO6)&gt;=9,1,0)-IF(MONTH(ДатаПовышенияГД)&gt;=9,1,0)),0)</f>
        <v/>
      </c>
      <c r="BP7" s="4">
        <f>IF('03_Сеть'!BP6&gt;=ДатаПовышенияГД,ПовышениеГД/NetGross*(1+ИнфляцияЗарплат)^MAX(0,YEAR('03_Сеть'!BP6)-YEAR(ДатаПовышенияГД)+IF(MONTH('03_Сеть'!BP6)&gt;=9,1,0)-IF(MONTH(ДатаПовышенияГД)&gt;=9,1,0)),0)</f>
        <v/>
      </c>
      <c r="BQ7" s="4">
        <f>IF('03_Сеть'!BQ6&gt;=ДатаПовышенияГД,ПовышениеГД/NetGross*(1+ИнфляцияЗарплат)^MAX(0,YEAR('03_Сеть'!BQ6)-YEAR(ДатаПовышенияГД)+IF(MONTH('03_Сеть'!BQ6)&gt;=9,1,0)-IF(MONTH(ДатаПовышенияГД)&gt;=9,1,0)),0)</f>
        <v/>
      </c>
      <c r="BR7" s="4">
        <f>IF('03_Сеть'!BR6&gt;=ДатаПовышенияГД,ПовышениеГД/NetGross*(1+ИнфляцияЗарплат)^MAX(0,YEAR('03_Сеть'!BR6)-YEAR(ДатаПовышенияГД)+IF(MONTH('03_Сеть'!BR6)&gt;=9,1,0)-IF(MONTH(ДатаПовышенияГД)&gt;=9,1,0)),0)</f>
        <v/>
      </c>
      <c r="BS7" s="4">
        <f>IF('03_Сеть'!BS6&gt;=ДатаПовышенияГД,ПовышениеГД/NetGross*(1+ИнфляцияЗарплат)^MAX(0,YEAR('03_Сеть'!BS6)-YEAR(ДатаПовышенияГД)+IF(MONTH('03_Сеть'!BS6)&gt;=9,1,0)-IF(MONTH(ДатаПовышенияГД)&gt;=9,1,0)),0)</f>
        <v/>
      </c>
      <c r="BT7" s="4">
        <f>IF('03_Сеть'!BT6&gt;=ДатаПовышенияГД,ПовышениеГД/NetGross*(1+ИнфляцияЗарплат)^MAX(0,YEAR('03_Сеть'!BT6)-YEAR(ДатаПовышенияГД)+IF(MONTH('03_Сеть'!BT6)&gt;=9,1,0)-IF(MONTH(ДатаПовышенияГД)&gt;=9,1,0)),0)</f>
        <v/>
      </c>
      <c r="BU7" s="4">
        <f>IF('03_Сеть'!BU6&gt;=ДатаПовышенияГД,ПовышениеГД/NetGross*(1+ИнфляцияЗарплат)^MAX(0,YEAR('03_Сеть'!BU6)-YEAR(ДатаПовышенияГД)+IF(MONTH('03_Сеть'!BU6)&gt;=9,1,0)-IF(MONTH(ДатаПовышенияГД)&gt;=9,1,0)),0)</f>
        <v/>
      </c>
      <c r="BV7" s="4">
        <f>IF('03_Сеть'!BV6&gt;=ДатаПовышенияГД,ПовышениеГД/NetGross*(1+ИнфляцияЗарплат)^MAX(0,YEAR('03_Сеть'!BV6)-YEAR(ДатаПовышенияГД)+IF(MONTH('03_Сеть'!BV6)&gt;=9,1,0)-IF(MONTH(ДатаПовышенияГД)&gt;=9,1,0)),0)</f>
        <v/>
      </c>
      <c r="BW7" s="4">
        <f>IF('03_Сеть'!BW6&gt;=ДатаПовышенияГД,ПовышениеГД/NetGross*(1+ИнфляцияЗарплат)^MAX(0,YEAR('03_Сеть'!BW6)-YEAR(ДатаПовышенияГД)+IF(MONTH('03_Сеть'!BW6)&gt;=9,1,0)-IF(MONTH(ДатаПовышенияГД)&gt;=9,1,0)),0)</f>
        <v/>
      </c>
      <c r="BX7" s="4">
        <f>IF('03_Сеть'!BX6&gt;=ДатаПовышенияГД,ПовышениеГД/NetGross*(1+ИнфляцияЗарплат)^MAX(0,YEAR('03_Сеть'!BX6)-YEAR(ДатаПовышенияГД)+IF(MONTH('03_Сеть'!BX6)&gt;=9,1,0)-IF(MONTH(ДатаПовышенияГД)&gt;=9,1,0)),0)</f>
        <v/>
      </c>
      <c r="BY7" s="4">
        <f>IF('03_Сеть'!BY6&gt;=ДатаПовышенияГД,ПовышениеГД/NetGross*(1+ИнфляцияЗарплат)^MAX(0,YEAR('03_Сеть'!BY6)-YEAR(ДатаПовышенияГД)+IF(MONTH('03_Сеть'!BY6)&gt;=9,1,0)-IF(MONTH(ДатаПовышенияГД)&gt;=9,1,0)),0)</f>
        <v/>
      </c>
    </row>
    <row r="8">
      <c r="B8" t="inlineStr">
        <is>
          <t>ФОТ ядра, gross</t>
        </is>
      </c>
      <c r="C8" t="inlineStr">
        <is>
          <t>₽</t>
        </is>
      </c>
      <c r="D8" s="117" t="inlineStr">
        <is>
          <t>Действующие сотрудники с индексацией</t>
        </is>
      </c>
      <c r="E8" s="119">
        <f>SUM(L8:W8)</f>
        <v/>
      </c>
      <c r="F8" s="119">
        <f>SUM(X8:AI8)</f>
        <v/>
      </c>
      <c r="G8" s="119">
        <f>SUM(AJ8:AU8)</f>
        <v/>
      </c>
      <c r="H8" s="119">
        <f>SUM(AV8:BG8)</f>
        <v/>
      </c>
      <c r="I8" s="119">
        <f>SUM(BH8:BS8)</f>
        <v/>
      </c>
      <c r="J8" s="5">
        <f>SUM(L8:BS8)</f>
        <v/>
      </c>
      <c r="L8" s="4">
        <f>ФОТЯдра*L6+L7</f>
        <v/>
      </c>
      <c r="M8" s="4">
        <f>ФОТЯдра*M6+M7</f>
        <v/>
      </c>
      <c r="N8" s="4">
        <f>ФОТЯдра*N6+N7</f>
        <v/>
      </c>
      <c r="O8" s="4">
        <f>ФОТЯдра*O6+O7</f>
        <v/>
      </c>
      <c r="P8" s="4">
        <f>ФОТЯдра*P6+P7</f>
        <v/>
      </c>
      <c r="Q8" s="4">
        <f>ФОТЯдра*Q6+Q7</f>
        <v/>
      </c>
      <c r="R8" s="4">
        <f>ФОТЯдра*R6+R7</f>
        <v/>
      </c>
      <c r="S8" s="4">
        <f>ФОТЯдра*S6+S7</f>
        <v/>
      </c>
      <c r="T8" s="4">
        <f>ФОТЯдра*T6+T7</f>
        <v/>
      </c>
      <c r="U8" s="4">
        <f>ФОТЯдра*U6+U7</f>
        <v/>
      </c>
      <c r="V8" s="4">
        <f>ФОТЯдра*V6+V7</f>
        <v/>
      </c>
      <c r="W8" s="4">
        <f>ФОТЯдра*W6+W7</f>
        <v/>
      </c>
      <c r="X8" s="4">
        <f>ФОТЯдра*X6+X7</f>
        <v/>
      </c>
      <c r="Y8" s="4">
        <f>ФОТЯдра*Y6+Y7</f>
        <v/>
      </c>
      <c r="Z8" s="4">
        <f>ФОТЯдра*Z6+Z7</f>
        <v/>
      </c>
      <c r="AA8" s="4">
        <f>ФОТЯдра*AA6+AA7</f>
        <v/>
      </c>
      <c r="AB8" s="4">
        <f>ФОТЯдра*AB6+AB7</f>
        <v/>
      </c>
      <c r="AC8" s="4">
        <f>ФОТЯдра*AC6+AC7</f>
        <v/>
      </c>
      <c r="AD8" s="4">
        <f>ФОТЯдра*AD6+AD7</f>
        <v/>
      </c>
      <c r="AE8" s="4">
        <f>ФОТЯдра*AE6+AE7</f>
        <v/>
      </c>
      <c r="AF8" s="4">
        <f>ФОТЯдра*AF6+AF7</f>
        <v/>
      </c>
      <c r="AG8" s="4">
        <f>ФОТЯдра*AG6+AG7</f>
        <v/>
      </c>
      <c r="AH8" s="4">
        <f>ФОТЯдра*AH6+AH7</f>
        <v/>
      </c>
      <c r="AI8" s="4">
        <f>ФОТЯдра*AI6+AI7</f>
        <v/>
      </c>
      <c r="AJ8" s="4">
        <f>ФОТЯдра*AJ6+AJ7</f>
        <v/>
      </c>
      <c r="AK8" s="4">
        <f>ФОТЯдра*AK6+AK7</f>
        <v/>
      </c>
      <c r="AL8" s="4">
        <f>ФОТЯдра*AL6+AL7</f>
        <v/>
      </c>
      <c r="AM8" s="4">
        <f>ФОТЯдра*AM6+AM7</f>
        <v/>
      </c>
      <c r="AN8" s="4">
        <f>ФОТЯдра*AN6+AN7</f>
        <v/>
      </c>
      <c r="AO8" s="4">
        <f>ФОТЯдра*AO6+AO7</f>
        <v/>
      </c>
      <c r="AP8" s="4">
        <f>ФОТЯдра*AP6+AP7</f>
        <v/>
      </c>
      <c r="AQ8" s="4">
        <f>ФОТЯдра*AQ6+AQ7</f>
        <v/>
      </c>
      <c r="AR8" s="4">
        <f>ФОТЯдра*AR6+AR7</f>
        <v/>
      </c>
      <c r="AS8" s="4">
        <f>ФОТЯдра*AS6+AS7</f>
        <v/>
      </c>
      <c r="AT8" s="4">
        <f>ФОТЯдра*AT6+AT7</f>
        <v/>
      </c>
      <c r="AU8" s="4">
        <f>ФОТЯдра*AU6+AU7</f>
        <v/>
      </c>
      <c r="AV8" s="4">
        <f>ФОТЯдра*AV6+AV7</f>
        <v/>
      </c>
      <c r="AW8" s="4">
        <f>ФОТЯдра*AW6+AW7</f>
        <v/>
      </c>
      <c r="AX8" s="4">
        <f>ФОТЯдра*AX6+AX7</f>
        <v/>
      </c>
      <c r="AY8" s="4">
        <f>ФОТЯдра*AY6+AY7</f>
        <v/>
      </c>
      <c r="AZ8" s="4">
        <f>ФОТЯдра*AZ6+AZ7</f>
        <v/>
      </c>
      <c r="BA8" s="4">
        <f>ФОТЯдра*BA6+BA7</f>
        <v/>
      </c>
      <c r="BB8" s="4">
        <f>ФОТЯдра*BB6+BB7</f>
        <v/>
      </c>
      <c r="BC8" s="4">
        <f>ФОТЯдра*BC6+BC7</f>
        <v/>
      </c>
      <c r="BD8" s="4">
        <f>ФОТЯдра*BD6+BD7</f>
        <v/>
      </c>
      <c r="BE8" s="4">
        <f>ФОТЯдра*BE6+BE7</f>
        <v/>
      </c>
      <c r="BF8" s="4">
        <f>ФОТЯдра*BF6+BF7</f>
        <v/>
      </c>
      <c r="BG8" s="4">
        <f>ФОТЯдра*BG6+BG7</f>
        <v/>
      </c>
      <c r="BH8" s="4">
        <f>ФОТЯдра*BH6+BH7</f>
        <v/>
      </c>
      <c r="BI8" s="4">
        <f>ФОТЯдра*BI6+BI7</f>
        <v/>
      </c>
      <c r="BJ8" s="4">
        <f>ФОТЯдра*BJ6+BJ7</f>
        <v/>
      </c>
      <c r="BK8" s="4">
        <f>ФОТЯдра*BK6+BK7</f>
        <v/>
      </c>
      <c r="BL8" s="4">
        <f>ФОТЯдра*BL6+BL7</f>
        <v/>
      </c>
      <c r="BM8" s="4">
        <f>ФОТЯдра*BM6+BM7</f>
        <v/>
      </c>
      <c r="BN8" s="4">
        <f>ФОТЯдра*BN6+BN7</f>
        <v/>
      </c>
      <c r="BO8" s="4">
        <f>ФОТЯдра*BO6+BO7</f>
        <v/>
      </c>
      <c r="BP8" s="4">
        <f>ФОТЯдра*BP6+BP7</f>
        <v/>
      </c>
      <c r="BQ8" s="4">
        <f>ФОТЯдра*BQ6+BQ7</f>
        <v/>
      </c>
      <c r="BR8" s="4">
        <f>ФОТЯдра*BR6+BR7</f>
        <v/>
      </c>
      <c r="BS8" s="4">
        <f>ФОТЯдра*BS6+BS7</f>
        <v/>
      </c>
      <c r="BT8" s="4">
        <f>ФОТЯдра*BT6+BT7</f>
        <v/>
      </c>
      <c r="BU8" s="4">
        <f>ФОТЯдра*BU6+BU7</f>
        <v/>
      </c>
      <c r="BV8" s="4">
        <f>ФОТЯдра*BV6+BV7</f>
        <v/>
      </c>
      <c r="BW8" s="4">
        <f>ФОТЯдра*BW6+BW7</f>
        <v/>
      </c>
      <c r="BX8" s="4">
        <f>ФОТЯдра*BX6+BX7</f>
        <v/>
      </c>
      <c r="BY8" s="4">
        <f>ФОТЯдра*BY6+BY7</f>
        <v/>
      </c>
    </row>
    <row r="9">
      <c r="B9" t="inlineStr">
        <is>
          <t>Офис-менеджер, gross</t>
        </is>
      </c>
      <c r="C9" t="inlineStr">
        <is>
          <t>₽</t>
        </is>
      </c>
      <c r="D9" s="117" t="inlineStr">
        <is>
          <t>Выходит с назначенной даты</t>
        </is>
      </c>
      <c r="E9" s="119">
        <f>SUM(L9:W9)</f>
        <v/>
      </c>
      <c r="F9" s="119">
        <f>SUM(X9:AI9)</f>
        <v/>
      </c>
      <c r="G9" s="119">
        <f>SUM(AJ9:AU9)</f>
        <v/>
      </c>
      <c r="H9" s="119">
        <f>SUM(AV9:BG9)</f>
        <v/>
      </c>
      <c r="I9" s="119">
        <f>SUM(BH9:BS9)</f>
        <v/>
      </c>
      <c r="J9" s="5">
        <f>SUM(L9:BS9)</f>
        <v/>
      </c>
      <c r="L9" s="4">
        <f>IF('03_Сеть'!L6&gt;=ДатаОфисМенеджера,ОфисМенеджерNet/NetGross*L6,0)</f>
        <v/>
      </c>
      <c r="M9" s="4">
        <f>IF('03_Сеть'!M6&gt;=ДатаОфисМенеджера,ОфисМенеджерNet/NetGross*M6,0)</f>
        <v/>
      </c>
      <c r="N9" s="4">
        <f>IF('03_Сеть'!N6&gt;=ДатаОфисМенеджера,ОфисМенеджерNet/NetGross*N6,0)</f>
        <v/>
      </c>
      <c r="O9" s="4">
        <f>IF('03_Сеть'!O6&gt;=ДатаОфисМенеджера,ОфисМенеджерNet/NetGross*O6,0)</f>
        <v/>
      </c>
      <c r="P9" s="4">
        <f>IF('03_Сеть'!P6&gt;=ДатаОфисМенеджера,ОфисМенеджерNet/NetGross*P6,0)</f>
        <v/>
      </c>
      <c r="Q9" s="4">
        <f>IF('03_Сеть'!Q6&gt;=ДатаОфисМенеджера,ОфисМенеджерNet/NetGross*Q6,0)</f>
        <v/>
      </c>
      <c r="R9" s="4">
        <f>IF('03_Сеть'!R6&gt;=ДатаОфисМенеджера,ОфисМенеджерNet/NetGross*R6,0)</f>
        <v/>
      </c>
      <c r="S9" s="4">
        <f>IF('03_Сеть'!S6&gt;=ДатаОфисМенеджера,ОфисМенеджерNet/NetGross*S6,0)</f>
        <v/>
      </c>
      <c r="T9" s="4">
        <f>IF('03_Сеть'!T6&gt;=ДатаОфисМенеджера,ОфисМенеджерNet/NetGross*T6,0)</f>
        <v/>
      </c>
      <c r="U9" s="4">
        <f>IF('03_Сеть'!U6&gt;=ДатаОфисМенеджера,ОфисМенеджерNet/NetGross*U6,0)</f>
        <v/>
      </c>
      <c r="V9" s="4">
        <f>IF('03_Сеть'!V6&gt;=ДатаОфисМенеджера,ОфисМенеджерNet/NetGross*V6,0)</f>
        <v/>
      </c>
      <c r="W9" s="4">
        <f>IF('03_Сеть'!W6&gt;=ДатаОфисМенеджера,ОфисМенеджерNet/NetGross*W6,0)</f>
        <v/>
      </c>
      <c r="X9" s="4">
        <f>IF('03_Сеть'!X6&gt;=ДатаОфисМенеджера,ОфисМенеджерNet/NetGross*X6,0)</f>
        <v/>
      </c>
      <c r="Y9" s="4">
        <f>IF('03_Сеть'!Y6&gt;=ДатаОфисМенеджера,ОфисМенеджерNet/NetGross*Y6,0)</f>
        <v/>
      </c>
      <c r="Z9" s="4">
        <f>IF('03_Сеть'!Z6&gt;=ДатаОфисМенеджера,ОфисМенеджерNet/NetGross*Z6,0)</f>
        <v/>
      </c>
      <c r="AA9" s="4">
        <f>IF('03_Сеть'!AA6&gt;=ДатаОфисМенеджера,ОфисМенеджерNet/NetGross*AA6,0)</f>
        <v/>
      </c>
      <c r="AB9" s="4">
        <f>IF('03_Сеть'!AB6&gt;=ДатаОфисМенеджера,ОфисМенеджерNet/NetGross*AB6,0)</f>
        <v/>
      </c>
      <c r="AC9" s="4">
        <f>IF('03_Сеть'!AC6&gt;=ДатаОфисМенеджера,ОфисМенеджерNet/NetGross*AC6,0)</f>
        <v/>
      </c>
      <c r="AD9" s="4">
        <f>IF('03_Сеть'!AD6&gt;=ДатаОфисМенеджера,ОфисМенеджерNet/NetGross*AD6,0)</f>
        <v/>
      </c>
      <c r="AE9" s="4">
        <f>IF('03_Сеть'!AE6&gt;=ДатаОфисМенеджера,ОфисМенеджерNet/NetGross*AE6,0)</f>
        <v/>
      </c>
      <c r="AF9" s="4">
        <f>IF('03_Сеть'!AF6&gt;=ДатаОфисМенеджера,ОфисМенеджерNet/NetGross*AF6,0)</f>
        <v/>
      </c>
      <c r="AG9" s="4">
        <f>IF('03_Сеть'!AG6&gt;=ДатаОфисМенеджера,ОфисМенеджерNet/NetGross*AG6,0)</f>
        <v/>
      </c>
      <c r="AH9" s="4">
        <f>IF('03_Сеть'!AH6&gt;=ДатаОфисМенеджера,ОфисМенеджерNet/NetGross*AH6,0)</f>
        <v/>
      </c>
      <c r="AI9" s="4">
        <f>IF('03_Сеть'!AI6&gt;=ДатаОфисМенеджера,ОфисМенеджерNet/NetGross*AI6,0)</f>
        <v/>
      </c>
      <c r="AJ9" s="4">
        <f>IF('03_Сеть'!AJ6&gt;=ДатаОфисМенеджера,ОфисМенеджерNet/NetGross*AJ6,0)</f>
        <v/>
      </c>
      <c r="AK9" s="4">
        <f>IF('03_Сеть'!AK6&gt;=ДатаОфисМенеджера,ОфисМенеджерNet/NetGross*AK6,0)</f>
        <v/>
      </c>
      <c r="AL9" s="4">
        <f>IF('03_Сеть'!AL6&gt;=ДатаОфисМенеджера,ОфисМенеджерNet/NetGross*AL6,0)</f>
        <v/>
      </c>
      <c r="AM9" s="4">
        <f>IF('03_Сеть'!AM6&gt;=ДатаОфисМенеджера,ОфисМенеджерNet/NetGross*AM6,0)</f>
        <v/>
      </c>
      <c r="AN9" s="4">
        <f>IF('03_Сеть'!AN6&gt;=ДатаОфисМенеджера,ОфисМенеджерNet/NetGross*AN6,0)</f>
        <v/>
      </c>
      <c r="AO9" s="4">
        <f>IF('03_Сеть'!AO6&gt;=ДатаОфисМенеджера,ОфисМенеджерNet/NetGross*AO6,0)</f>
        <v/>
      </c>
      <c r="AP9" s="4">
        <f>IF('03_Сеть'!AP6&gt;=ДатаОфисМенеджера,ОфисМенеджерNet/NetGross*AP6,0)</f>
        <v/>
      </c>
      <c r="AQ9" s="4">
        <f>IF('03_Сеть'!AQ6&gt;=ДатаОфисМенеджера,ОфисМенеджерNet/NetGross*AQ6,0)</f>
        <v/>
      </c>
      <c r="AR9" s="4">
        <f>IF('03_Сеть'!AR6&gt;=ДатаОфисМенеджера,ОфисМенеджерNet/NetGross*AR6,0)</f>
        <v/>
      </c>
      <c r="AS9" s="4">
        <f>IF('03_Сеть'!AS6&gt;=ДатаОфисМенеджера,ОфисМенеджерNet/NetGross*AS6,0)</f>
        <v/>
      </c>
      <c r="AT9" s="4">
        <f>IF('03_Сеть'!AT6&gt;=ДатаОфисМенеджера,ОфисМенеджерNet/NetGross*AT6,0)</f>
        <v/>
      </c>
      <c r="AU9" s="4">
        <f>IF('03_Сеть'!AU6&gt;=ДатаОфисМенеджера,ОфисМенеджерNet/NetGross*AU6,0)</f>
        <v/>
      </c>
      <c r="AV9" s="4">
        <f>IF('03_Сеть'!AV6&gt;=ДатаОфисМенеджера,ОфисМенеджерNet/NetGross*AV6,0)</f>
        <v/>
      </c>
      <c r="AW9" s="4">
        <f>IF('03_Сеть'!AW6&gt;=ДатаОфисМенеджера,ОфисМенеджерNet/NetGross*AW6,0)</f>
        <v/>
      </c>
      <c r="AX9" s="4">
        <f>IF('03_Сеть'!AX6&gt;=ДатаОфисМенеджера,ОфисМенеджерNet/NetGross*AX6,0)</f>
        <v/>
      </c>
      <c r="AY9" s="4">
        <f>IF('03_Сеть'!AY6&gt;=ДатаОфисМенеджера,ОфисМенеджерNet/NetGross*AY6,0)</f>
        <v/>
      </c>
      <c r="AZ9" s="4">
        <f>IF('03_Сеть'!AZ6&gt;=ДатаОфисМенеджера,ОфисМенеджерNet/NetGross*AZ6,0)</f>
        <v/>
      </c>
      <c r="BA9" s="4">
        <f>IF('03_Сеть'!BA6&gt;=ДатаОфисМенеджера,ОфисМенеджерNet/NetGross*BA6,0)</f>
        <v/>
      </c>
      <c r="BB9" s="4">
        <f>IF('03_Сеть'!BB6&gt;=ДатаОфисМенеджера,ОфисМенеджерNet/NetGross*BB6,0)</f>
        <v/>
      </c>
      <c r="BC9" s="4">
        <f>IF('03_Сеть'!BC6&gt;=ДатаОфисМенеджера,ОфисМенеджерNet/NetGross*BC6,0)</f>
        <v/>
      </c>
      <c r="BD9" s="4">
        <f>IF('03_Сеть'!BD6&gt;=ДатаОфисМенеджера,ОфисМенеджерNet/NetGross*BD6,0)</f>
        <v/>
      </c>
      <c r="BE9" s="4">
        <f>IF('03_Сеть'!BE6&gt;=ДатаОфисМенеджера,ОфисМенеджерNet/NetGross*BE6,0)</f>
        <v/>
      </c>
      <c r="BF9" s="4">
        <f>IF('03_Сеть'!BF6&gt;=ДатаОфисМенеджера,ОфисМенеджерNet/NetGross*BF6,0)</f>
        <v/>
      </c>
      <c r="BG9" s="4">
        <f>IF('03_Сеть'!BG6&gt;=ДатаОфисМенеджера,ОфисМенеджерNet/NetGross*BG6,0)</f>
        <v/>
      </c>
      <c r="BH9" s="4">
        <f>IF('03_Сеть'!BH6&gt;=ДатаОфисМенеджера,ОфисМенеджерNet/NetGross*BH6,0)</f>
        <v/>
      </c>
      <c r="BI9" s="4">
        <f>IF('03_Сеть'!BI6&gt;=ДатаОфисМенеджера,ОфисМенеджерNet/NetGross*BI6,0)</f>
        <v/>
      </c>
      <c r="BJ9" s="4">
        <f>IF('03_Сеть'!BJ6&gt;=ДатаОфисМенеджера,ОфисМенеджерNet/NetGross*BJ6,0)</f>
        <v/>
      </c>
      <c r="BK9" s="4">
        <f>IF('03_Сеть'!BK6&gt;=ДатаОфисМенеджера,ОфисМенеджерNet/NetGross*BK6,0)</f>
        <v/>
      </c>
      <c r="BL9" s="4">
        <f>IF('03_Сеть'!BL6&gt;=ДатаОфисМенеджера,ОфисМенеджерNet/NetGross*BL6,0)</f>
        <v/>
      </c>
      <c r="BM9" s="4">
        <f>IF('03_Сеть'!BM6&gt;=ДатаОфисМенеджера,ОфисМенеджерNet/NetGross*BM6,0)</f>
        <v/>
      </c>
      <c r="BN9" s="4">
        <f>IF('03_Сеть'!BN6&gt;=ДатаОфисМенеджера,ОфисМенеджерNet/NetGross*BN6,0)</f>
        <v/>
      </c>
      <c r="BO9" s="4">
        <f>IF('03_Сеть'!BO6&gt;=ДатаОфисМенеджера,ОфисМенеджерNet/NetGross*BO6,0)</f>
        <v/>
      </c>
      <c r="BP9" s="4">
        <f>IF('03_Сеть'!BP6&gt;=ДатаОфисМенеджера,ОфисМенеджерNet/NetGross*BP6,0)</f>
        <v/>
      </c>
      <c r="BQ9" s="4">
        <f>IF('03_Сеть'!BQ6&gt;=ДатаОфисМенеджера,ОфисМенеджерNet/NetGross*BQ6,0)</f>
        <v/>
      </c>
      <c r="BR9" s="4">
        <f>IF('03_Сеть'!BR6&gt;=ДатаОфисМенеджера,ОфисМенеджерNet/NetGross*BR6,0)</f>
        <v/>
      </c>
      <c r="BS9" s="4">
        <f>IF('03_Сеть'!BS6&gt;=ДатаОфисМенеджера,ОфисМенеджерNet/NetGross*BS6,0)</f>
        <v/>
      </c>
      <c r="BT9" s="4">
        <f>IF('03_Сеть'!BT6&gt;=ДатаОфисМенеджера,ОфисМенеджерNet/NetGross*BT6,0)</f>
        <v/>
      </c>
      <c r="BU9" s="4">
        <f>IF('03_Сеть'!BU6&gt;=ДатаОфисМенеджера,ОфисМенеджерNet/NetGross*BU6,0)</f>
        <v/>
      </c>
      <c r="BV9" s="4">
        <f>IF('03_Сеть'!BV6&gt;=ДатаОфисМенеджера,ОфисМенеджерNet/NetGross*BV6,0)</f>
        <v/>
      </c>
      <c r="BW9" s="4">
        <f>IF('03_Сеть'!BW6&gt;=ДатаОфисМенеджера,ОфисМенеджерNet/NetGross*BW6,0)</f>
        <v/>
      </c>
      <c r="BX9" s="4">
        <f>IF('03_Сеть'!BX6&gt;=ДатаОфисМенеджера,ОфисМенеджерNet/NetGross*BX6,0)</f>
        <v/>
      </c>
      <c r="BY9" s="4">
        <f>IF('03_Сеть'!BY6&gt;=ДатаОфисМенеджера,ОфисМенеджерNet/NetGross*BY6,0)</f>
        <v/>
      </c>
    </row>
    <row r="10">
      <c r="B10" t="inlineStr">
        <is>
          <t>SMM-специалист, gross</t>
        </is>
      </c>
      <c r="C10" t="inlineStr">
        <is>
          <t>₽</t>
        </is>
      </c>
      <c r="D10" s="117" t="inlineStr"/>
      <c r="E10" s="119">
        <f>SUM(L10:W10)</f>
        <v/>
      </c>
      <c r="F10" s="119">
        <f>SUM(X10:AI10)</f>
        <v/>
      </c>
      <c r="G10" s="119">
        <f>SUM(AJ10:AU10)</f>
        <v/>
      </c>
      <c r="H10" s="119">
        <f>SUM(AV10:BG10)</f>
        <v/>
      </c>
      <c r="I10" s="119">
        <f>SUM(BH10:BS10)</f>
        <v/>
      </c>
      <c r="J10" s="5">
        <f>SUM(L10:BS10)</f>
        <v/>
      </c>
      <c r="L10" s="4">
        <f>IF('03_Сеть'!L6&gt;=ДатаSMM,SMMNet/NetGross*(1+ИнфляцияЗарплат)^MAX(0,YEAR('03_Сеть'!L6)-YEAR(ДатаSMM)+IF(MONTH('03_Сеть'!L6)&gt;=9,1,0)-IF(MONTH(ДатаSMM)&gt;=9,1,0)),0)</f>
        <v/>
      </c>
      <c r="M10" s="4">
        <f>IF('03_Сеть'!M6&gt;=ДатаSMM,SMMNet/NetGross*(1+ИнфляцияЗарплат)^MAX(0,YEAR('03_Сеть'!M6)-YEAR(ДатаSMM)+IF(MONTH('03_Сеть'!M6)&gt;=9,1,0)-IF(MONTH(ДатаSMM)&gt;=9,1,0)),0)</f>
        <v/>
      </c>
      <c r="N10" s="4">
        <f>IF('03_Сеть'!N6&gt;=ДатаSMM,SMMNet/NetGross*(1+ИнфляцияЗарплат)^MAX(0,YEAR('03_Сеть'!N6)-YEAR(ДатаSMM)+IF(MONTH('03_Сеть'!N6)&gt;=9,1,0)-IF(MONTH(ДатаSMM)&gt;=9,1,0)),0)</f>
        <v/>
      </c>
      <c r="O10" s="4">
        <f>IF('03_Сеть'!O6&gt;=ДатаSMM,SMMNet/NetGross*(1+ИнфляцияЗарплат)^MAX(0,YEAR('03_Сеть'!O6)-YEAR(ДатаSMM)+IF(MONTH('03_Сеть'!O6)&gt;=9,1,0)-IF(MONTH(ДатаSMM)&gt;=9,1,0)),0)</f>
        <v/>
      </c>
      <c r="P10" s="4">
        <f>IF('03_Сеть'!P6&gt;=ДатаSMM,SMMNet/NetGross*(1+ИнфляцияЗарплат)^MAX(0,YEAR('03_Сеть'!P6)-YEAR(ДатаSMM)+IF(MONTH('03_Сеть'!P6)&gt;=9,1,0)-IF(MONTH(ДатаSMM)&gt;=9,1,0)),0)</f>
        <v/>
      </c>
      <c r="Q10" s="4">
        <f>IF('03_Сеть'!Q6&gt;=ДатаSMM,SMMNet/NetGross*(1+ИнфляцияЗарплат)^MAX(0,YEAR('03_Сеть'!Q6)-YEAR(ДатаSMM)+IF(MONTH('03_Сеть'!Q6)&gt;=9,1,0)-IF(MONTH(ДатаSMM)&gt;=9,1,0)),0)</f>
        <v/>
      </c>
      <c r="R10" s="4">
        <f>IF('03_Сеть'!R6&gt;=ДатаSMM,SMMNet/NetGross*(1+ИнфляцияЗарплат)^MAX(0,YEAR('03_Сеть'!R6)-YEAR(ДатаSMM)+IF(MONTH('03_Сеть'!R6)&gt;=9,1,0)-IF(MONTH(ДатаSMM)&gt;=9,1,0)),0)</f>
        <v/>
      </c>
      <c r="S10" s="4">
        <f>IF('03_Сеть'!S6&gt;=ДатаSMM,SMMNet/NetGross*(1+ИнфляцияЗарплат)^MAX(0,YEAR('03_Сеть'!S6)-YEAR(ДатаSMM)+IF(MONTH('03_Сеть'!S6)&gt;=9,1,0)-IF(MONTH(ДатаSMM)&gt;=9,1,0)),0)</f>
        <v/>
      </c>
      <c r="T10" s="4">
        <f>IF('03_Сеть'!T6&gt;=ДатаSMM,SMMNet/NetGross*(1+ИнфляцияЗарплат)^MAX(0,YEAR('03_Сеть'!T6)-YEAR(ДатаSMM)+IF(MONTH('03_Сеть'!T6)&gt;=9,1,0)-IF(MONTH(ДатаSMM)&gt;=9,1,0)),0)</f>
        <v/>
      </c>
      <c r="U10" s="4">
        <f>IF('03_Сеть'!U6&gt;=ДатаSMM,SMMNet/NetGross*(1+ИнфляцияЗарплат)^MAX(0,YEAR('03_Сеть'!U6)-YEAR(ДатаSMM)+IF(MONTH('03_Сеть'!U6)&gt;=9,1,0)-IF(MONTH(ДатаSMM)&gt;=9,1,0)),0)</f>
        <v/>
      </c>
      <c r="V10" s="4">
        <f>IF('03_Сеть'!V6&gt;=ДатаSMM,SMMNet/NetGross*(1+ИнфляцияЗарплат)^MAX(0,YEAR('03_Сеть'!V6)-YEAR(ДатаSMM)+IF(MONTH('03_Сеть'!V6)&gt;=9,1,0)-IF(MONTH(ДатаSMM)&gt;=9,1,0)),0)</f>
        <v/>
      </c>
      <c r="W10" s="4">
        <f>IF('03_Сеть'!W6&gt;=ДатаSMM,SMMNet/NetGross*(1+ИнфляцияЗарплат)^MAX(0,YEAR('03_Сеть'!W6)-YEAR(ДатаSMM)+IF(MONTH('03_Сеть'!W6)&gt;=9,1,0)-IF(MONTH(ДатаSMM)&gt;=9,1,0)),0)</f>
        <v/>
      </c>
      <c r="X10" s="4">
        <f>IF('03_Сеть'!X6&gt;=ДатаSMM,SMMNet/NetGross*(1+ИнфляцияЗарплат)^MAX(0,YEAR('03_Сеть'!X6)-YEAR(ДатаSMM)+IF(MONTH('03_Сеть'!X6)&gt;=9,1,0)-IF(MONTH(ДатаSMM)&gt;=9,1,0)),0)</f>
        <v/>
      </c>
      <c r="Y10" s="4">
        <f>IF('03_Сеть'!Y6&gt;=ДатаSMM,SMMNet/NetGross*(1+ИнфляцияЗарплат)^MAX(0,YEAR('03_Сеть'!Y6)-YEAR(ДатаSMM)+IF(MONTH('03_Сеть'!Y6)&gt;=9,1,0)-IF(MONTH(ДатаSMM)&gt;=9,1,0)),0)</f>
        <v/>
      </c>
      <c r="Z10" s="4">
        <f>IF('03_Сеть'!Z6&gt;=ДатаSMM,SMMNet/NetGross*(1+ИнфляцияЗарплат)^MAX(0,YEAR('03_Сеть'!Z6)-YEAR(ДатаSMM)+IF(MONTH('03_Сеть'!Z6)&gt;=9,1,0)-IF(MONTH(ДатаSMM)&gt;=9,1,0)),0)</f>
        <v/>
      </c>
      <c r="AA10" s="4">
        <f>IF('03_Сеть'!AA6&gt;=ДатаSMM,SMMNet/NetGross*(1+ИнфляцияЗарплат)^MAX(0,YEAR('03_Сеть'!AA6)-YEAR(ДатаSMM)+IF(MONTH('03_Сеть'!AA6)&gt;=9,1,0)-IF(MONTH(ДатаSMM)&gt;=9,1,0)),0)</f>
        <v/>
      </c>
      <c r="AB10" s="4">
        <f>IF('03_Сеть'!AB6&gt;=ДатаSMM,SMMNet/NetGross*(1+ИнфляцияЗарплат)^MAX(0,YEAR('03_Сеть'!AB6)-YEAR(ДатаSMM)+IF(MONTH('03_Сеть'!AB6)&gt;=9,1,0)-IF(MONTH(ДатаSMM)&gt;=9,1,0)),0)</f>
        <v/>
      </c>
      <c r="AC10" s="4">
        <f>IF('03_Сеть'!AC6&gt;=ДатаSMM,SMMNet/NetGross*(1+ИнфляцияЗарплат)^MAX(0,YEAR('03_Сеть'!AC6)-YEAR(ДатаSMM)+IF(MONTH('03_Сеть'!AC6)&gt;=9,1,0)-IF(MONTH(ДатаSMM)&gt;=9,1,0)),0)</f>
        <v/>
      </c>
      <c r="AD10" s="4">
        <f>IF('03_Сеть'!AD6&gt;=ДатаSMM,SMMNet/NetGross*(1+ИнфляцияЗарплат)^MAX(0,YEAR('03_Сеть'!AD6)-YEAR(ДатаSMM)+IF(MONTH('03_Сеть'!AD6)&gt;=9,1,0)-IF(MONTH(ДатаSMM)&gt;=9,1,0)),0)</f>
        <v/>
      </c>
      <c r="AE10" s="4">
        <f>IF('03_Сеть'!AE6&gt;=ДатаSMM,SMMNet/NetGross*(1+ИнфляцияЗарплат)^MAX(0,YEAR('03_Сеть'!AE6)-YEAR(ДатаSMM)+IF(MONTH('03_Сеть'!AE6)&gt;=9,1,0)-IF(MONTH(ДатаSMM)&gt;=9,1,0)),0)</f>
        <v/>
      </c>
      <c r="AF10" s="4">
        <f>IF('03_Сеть'!AF6&gt;=ДатаSMM,SMMNet/NetGross*(1+ИнфляцияЗарплат)^MAX(0,YEAR('03_Сеть'!AF6)-YEAR(ДатаSMM)+IF(MONTH('03_Сеть'!AF6)&gt;=9,1,0)-IF(MONTH(ДатаSMM)&gt;=9,1,0)),0)</f>
        <v/>
      </c>
      <c r="AG10" s="4">
        <f>IF('03_Сеть'!AG6&gt;=ДатаSMM,SMMNet/NetGross*(1+ИнфляцияЗарплат)^MAX(0,YEAR('03_Сеть'!AG6)-YEAR(ДатаSMM)+IF(MONTH('03_Сеть'!AG6)&gt;=9,1,0)-IF(MONTH(ДатаSMM)&gt;=9,1,0)),0)</f>
        <v/>
      </c>
      <c r="AH10" s="4">
        <f>IF('03_Сеть'!AH6&gt;=ДатаSMM,SMMNet/NetGross*(1+ИнфляцияЗарплат)^MAX(0,YEAR('03_Сеть'!AH6)-YEAR(ДатаSMM)+IF(MONTH('03_Сеть'!AH6)&gt;=9,1,0)-IF(MONTH(ДатаSMM)&gt;=9,1,0)),0)</f>
        <v/>
      </c>
      <c r="AI10" s="4">
        <f>IF('03_Сеть'!AI6&gt;=ДатаSMM,SMMNet/NetGross*(1+ИнфляцияЗарплат)^MAX(0,YEAR('03_Сеть'!AI6)-YEAR(ДатаSMM)+IF(MONTH('03_Сеть'!AI6)&gt;=9,1,0)-IF(MONTH(ДатаSMM)&gt;=9,1,0)),0)</f>
        <v/>
      </c>
      <c r="AJ10" s="4">
        <f>IF('03_Сеть'!AJ6&gt;=ДатаSMM,SMMNet/NetGross*(1+ИнфляцияЗарплат)^MAX(0,YEAR('03_Сеть'!AJ6)-YEAR(ДатаSMM)+IF(MONTH('03_Сеть'!AJ6)&gt;=9,1,0)-IF(MONTH(ДатаSMM)&gt;=9,1,0)),0)</f>
        <v/>
      </c>
      <c r="AK10" s="4">
        <f>IF('03_Сеть'!AK6&gt;=ДатаSMM,SMMNet/NetGross*(1+ИнфляцияЗарплат)^MAX(0,YEAR('03_Сеть'!AK6)-YEAR(ДатаSMM)+IF(MONTH('03_Сеть'!AK6)&gt;=9,1,0)-IF(MONTH(ДатаSMM)&gt;=9,1,0)),0)</f>
        <v/>
      </c>
      <c r="AL10" s="4">
        <f>IF('03_Сеть'!AL6&gt;=ДатаSMM,SMMNet/NetGross*(1+ИнфляцияЗарплат)^MAX(0,YEAR('03_Сеть'!AL6)-YEAR(ДатаSMM)+IF(MONTH('03_Сеть'!AL6)&gt;=9,1,0)-IF(MONTH(ДатаSMM)&gt;=9,1,0)),0)</f>
        <v/>
      </c>
      <c r="AM10" s="4">
        <f>IF('03_Сеть'!AM6&gt;=ДатаSMM,SMMNet/NetGross*(1+ИнфляцияЗарплат)^MAX(0,YEAR('03_Сеть'!AM6)-YEAR(ДатаSMM)+IF(MONTH('03_Сеть'!AM6)&gt;=9,1,0)-IF(MONTH(ДатаSMM)&gt;=9,1,0)),0)</f>
        <v/>
      </c>
      <c r="AN10" s="4">
        <f>IF('03_Сеть'!AN6&gt;=ДатаSMM,SMMNet/NetGross*(1+ИнфляцияЗарплат)^MAX(0,YEAR('03_Сеть'!AN6)-YEAR(ДатаSMM)+IF(MONTH('03_Сеть'!AN6)&gt;=9,1,0)-IF(MONTH(ДатаSMM)&gt;=9,1,0)),0)</f>
        <v/>
      </c>
      <c r="AO10" s="4">
        <f>IF('03_Сеть'!AO6&gt;=ДатаSMM,SMMNet/NetGross*(1+ИнфляцияЗарплат)^MAX(0,YEAR('03_Сеть'!AO6)-YEAR(ДатаSMM)+IF(MONTH('03_Сеть'!AO6)&gt;=9,1,0)-IF(MONTH(ДатаSMM)&gt;=9,1,0)),0)</f>
        <v/>
      </c>
      <c r="AP10" s="4">
        <f>IF('03_Сеть'!AP6&gt;=ДатаSMM,SMMNet/NetGross*(1+ИнфляцияЗарплат)^MAX(0,YEAR('03_Сеть'!AP6)-YEAR(ДатаSMM)+IF(MONTH('03_Сеть'!AP6)&gt;=9,1,0)-IF(MONTH(ДатаSMM)&gt;=9,1,0)),0)</f>
        <v/>
      </c>
      <c r="AQ10" s="4">
        <f>IF('03_Сеть'!AQ6&gt;=ДатаSMM,SMMNet/NetGross*(1+ИнфляцияЗарплат)^MAX(0,YEAR('03_Сеть'!AQ6)-YEAR(ДатаSMM)+IF(MONTH('03_Сеть'!AQ6)&gt;=9,1,0)-IF(MONTH(ДатаSMM)&gt;=9,1,0)),0)</f>
        <v/>
      </c>
      <c r="AR10" s="4">
        <f>IF('03_Сеть'!AR6&gt;=ДатаSMM,SMMNet/NetGross*(1+ИнфляцияЗарплат)^MAX(0,YEAR('03_Сеть'!AR6)-YEAR(ДатаSMM)+IF(MONTH('03_Сеть'!AR6)&gt;=9,1,0)-IF(MONTH(ДатаSMM)&gt;=9,1,0)),0)</f>
        <v/>
      </c>
      <c r="AS10" s="4">
        <f>IF('03_Сеть'!AS6&gt;=ДатаSMM,SMMNet/NetGross*(1+ИнфляцияЗарплат)^MAX(0,YEAR('03_Сеть'!AS6)-YEAR(ДатаSMM)+IF(MONTH('03_Сеть'!AS6)&gt;=9,1,0)-IF(MONTH(ДатаSMM)&gt;=9,1,0)),0)</f>
        <v/>
      </c>
      <c r="AT10" s="4">
        <f>IF('03_Сеть'!AT6&gt;=ДатаSMM,SMMNet/NetGross*(1+ИнфляцияЗарплат)^MAX(0,YEAR('03_Сеть'!AT6)-YEAR(ДатаSMM)+IF(MONTH('03_Сеть'!AT6)&gt;=9,1,0)-IF(MONTH(ДатаSMM)&gt;=9,1,0)),0)</f>
        <v/>
      </c>
      <c r="AU10" s="4">
        <f>IF('03_Сеть'!AU6&gt;=ДатаSMM,SMMNet/NetGross*(1+ИнфляцияЗарплат)^MAX(0,YEAR('03_Сеть'!AU6)-YEAR(ДатаSMM)+IF(MONTH('03_Сеть'!AU6)&gt;=9,1,0)-IF(MONTH(ДатаSMM)&gt;=9,1,0)),0)</f>
        <v/>
      </c>
      <c r="AV10" s="4">
        <f>IF('03_Сеть'!AV6&gt;=ДатаSMM,SMMNet/NetGross*(1+ИнфляцияЗарплат)^MAX(0,YEAR('03_Сеть'!AV6)-YEAR(ДатаSMM)+IF(MONTH('03_Сеть'!AV6)&gt;=9,1,0)-IF(MONTH(ДатаSMM)&gt;=9,1,0)),0)</f>
        <v/>
      </c>
      <c r="AW10" s="4">
        <f>IF('03_Сеть'!AW6&gt;=ДатаSMM,SMMNet/NetGross*(1+ИнфляцияЗарплат)^MAX(0,YEAR('03_Сеть'!AW6)-YEAR(ДатаSMM)+IF(MONTH('03_Сеть'!AW6)&gt;=9,1,0)-IF(MONTH(ДатаSMM)&gt;=9,1,0)),0)</f>
        <v/>
      </c>
      <c r="AX10" s="4">
        <f>IF('03_Сеть'!AX6&gt;=ДатаSMM,SMMNet/NetGross*(1+ИнфляцияЗарплат)^MAX(0,YEAR('03_Сеть'!AX6)-YEAR(ДатаSMM)+IF(MONTH('03_Сеть'!AX6)&gt;=9,1,0)-IF(MONTH(ДатаSMM)&gt;=9,1,0)),0)</f>
        <v/>
      </c>
      <c r="AY10" s="4">
        <f>IF('03_Сеть'!AY6&gt;=ДатаSMM,SMMNet/NetGross*(1+ИнфляцияЗарплат)^MAX(0,YEAR('03_Сеть'!AY6)-YEAR(ДатаSMM)+IF(MONTH('03_Сеть'!AY6)&gt;=9,1,0)-IF(MONTH(ДатаSMM)&gt;=9,1,0)),0)</f>
        <v/>
      </c>
      <c r="AZ10" s="4">
        <f>IF('03_Сеть'!AZ6&gt;=ДатаSMM,SMMNet/NetGross*(1+ИнфляцияЗарплат)^MAX(0,YEAR('03_Сеть'!AZ6)-YEAR(ДатаSMM)+IF(MONTH('03_Сеть'!AZ6)&gt;=9,1,0)-IF(MONTH(ДатаSMM)&gt;=9,1,0)),0)</f>
        <v/>
      </c>
      <c r="BA10" s="4">
        <f>IF('03_Сеть'!BA6&gt;=ДатаSMM,SMMNet/NetGross*(1+ИнфляцияЗарплат)^MAX(0,YEAR('03_Сеть'!BA6)-YEAR(ДатаSMM)+IF(MONTH('03_Сеть'!BA6)&gt;=9,1,0)-IF(MONTH(ДатаSMM)&gt;=9,1,0)),0)</f>
        <v/>
      </c>
      <c r="BB10" s="4">
        <f>IF('03_Сеть'!BB6&gt;=ДатаSMM,SMMNet/NetGross*(1+ИнфляцияЗарплат)^MAX(0,YEAR('03_Сеть'!BB6)-YEAR(ДатаSMM)+IF(MONTH('03_Сеть'!BB6)&gt;=9,1,0)-IF(MONTH(ДатаSMM)&gt;=9,1,0)),0)</f>
        <v/>
      </c>
      <c r="BC10" s="4">
        <f>IF('03_Сеть'!BC6&gt;=ДатаSMM,SMMNet/NetGross*(1+ИнфляцияЗарплат)^MAX(0,YEAR('03_Сеть'!BC6)-YEAR(ДатаSMM)+IF(MONTH('03_Сеть'!BC6)&gt;=9,1,0)-IF(MONTH(ДатаSMM)&gt;=9,1,0)),0)</f>
        <v/>
      </c>
      <c r="BD10" s="4">
        <f>IF('03_Сеть'!BD6&gt;=ДатаSMM,SMMNet/NetGross*(1+ИнфляцияЗарплат)^MAX(0,YEAR('03_Сеть'!BD6)-YEAR(ДатаSMM)+IF(MONTH('03_Сеть'!BD6)&gt;=9,1,0)-IF(MONTH(ДатаSMM)&gt;=9,1,0)),0)</f>
        <v/>
      </c>
      <c r="BE10" s="4">
        <f>IF('03_Сеть'!BE6&gt;=ДатаSMM,SMMNet/NetGross*(1+ИнфляцияЗарплат)^MAX(0,YEAR('03_Сеть'!BE6)-YEAR(ДатаSMM)+IF(MONTH('03_Сеть'!BE6)&gt;=9,1,0)-IF(MONTH(ДатаSMM)&gt;=9,1,0)),0)</f>
        <v/>
      </c>
      <c r="BF10" s="4">
        <f>IF('03_Сеть'!BF6&gt;=ДатаSMM,SMMNet/NetGross*(1+ИнфляцияЗарплат)^MAX(0,YEAR('03_Сеть'!BF6)-YEAR(ДатаSMM)+IF(MONTH('03_Сеть'!BF6)&gt;=9,1,0)-IF(MONTH(ДатаSMM)&gt;=9,1,0)),0)</f>
        <v/>
      </c>
      <c r="BG10" s="4">
        <f>IF('03_Сеть'!BG6&gt;=ДатаSMM,SMMNet/NetGross*(1+ИнфляцияЗарплат)^MAX(0,YEAR('03_Сеть'!BG6)-YEAR(ДатаSMM)+IF(MONTH('03_Сеть'!BG6)&gt;=9,1,0)-IF(MONTH(ДатаSMM)&gt;=9,1,0)),0)</f>
        <v/>
      </c>
      <c r="BH10" s="4">
        <f>IF('03_Сеть'!BH6&gt;=ДатаSMM,SMMNet/NetGross*(1+ИнфляцияЗарплат)^MAX(0,YEAR('03_Сеть'!BH6)-YEAR(ДатаSMM)+IF(MONTH('03_Сеть'!BH6)&gt;=9,1,0)-IF(MONTH(ДатаSMM)&gt;=9,1,0)),0)</f>
        <v/>
      </c>
      <c r="BI10" s="4">
        <f>IF('03_Сеть'!BI6&gt;=ДатаSMM,SMMNet/NetGross*(1+ИнфляцияЗарплат)^MAX(0,YEAR('03_Сеть'!BI6)-YEAR(ДатаSMM)+IF(MONTH('03_Сеть'!BI6)&gt;=9,1,0)-IF(MONTH(ДатаSMM)&gt;=9,1,0)),0)</f>
        <v/>
      </c>
      <c r="BJ10" s="4">
        <f>IF('03_Сеть'!BJ6&gt;=ДатаSMM,SMMNet/NetGross*(1+ИнфляцияЗарплат)^MAX(0,YEAR('03_Сеть'!BJ6)-YEAR(ДатаSMM)+IF(MONTH('03_Сеть'!BJ6)&gt;=9,1,0)-IF(MONTH(ДатаSMM)&gt;=9,1,0)),0)</f>
        <v/>
      </c>
      <c r="BK10" s="4">
        <f>IF('03_Сеть'!BK6&gt;=ДатаSMM,SMMNet/NetGross*(1+ИнфляцияЗарплат)^MAX(0,YEAR('03_Сеть'!BK6)-YEAR(ДатаSMM)+IF(MONTH('03_Сеть'!BK6)&gt;=9,1,0)-IF(MONTH(ДатаSMM)&gt;=9,1,0)),0)</f>
        <v/>
      </c>
      <c r="BL10" s="4">
        <f>IF('03_Сеть'!BL6&gt;=ДатаSMM,SMMNet/NetGross*(1+ИнфляцияЗарплат)^MAX(0,YEAR('03_Сеть'!BL6)-YEAR(ДатаSMM)+IF(MONTH('03_Сеть'!BL6)&gt;=9,1,0)-IF(MONTH(ДатаSMM)&gt;=9,1,0)),0)</f>
        <v/>
      </c>
      <c r="BM10" s="4">
        <f>IF('03_Сеть'!BM6&gt;=ДатаSMM,SMMNet/NetGross*(1+ИнфляцияЗарплат)^MAX(0,YEAR('03_Сеть'!BM6)-YEAR(ДатаSMM)+IF(MONTH('03_Сеть'!BM6)&gt;=9,1,0)-IF(MONTH(ДатаSMM)&gt;=9,1,0)),0)</f>
        <v/>
      </c>
      <c r="BN10" s="4">
        <f>IF('03_Сеть'!BN6&gt;=ДатаSMM,SMMNet/NetGross*(1+ИнфляцияЗарплат)^MAX(0,YEAR('03_Сеть'!BN6)-YEAR(ДатаSMM)+IF(MONTH('03_Сеть'!BN6)&gt;=9,1,0)-IF(MONTH(ДатаSMM)&gt;=9,1,0)),0)</f>
        <v/>
      </c>
      <c r="BO10" s="4">
        <f>IF('03_Сеть'!BO6&gt;=ДатаSMM,SMMNet/NetGross*(1+ИнфляцияЗарплат)^MAX(0,YEAR('03_Сеть'!BO6)-YEAR(ДатаSMM)+IF(MONTH('03_Сеть'!BO6)&gt;=9,1,0)-IF(MONTH(ДатаSMM)&gt;=9,1,0)),0)</f>
        <v/>
      </c>
      <c r="BP10" s="4">
        <f>IF('03_Сеть'!BP6&gt;=ДатаSMM,SMMNet/NetGross*(1+ИнфляцияЗарплат)^MAX(0,YEAR('03_Сеть'!BP6)-YEAR(ДатаSMM)+IF(MONTH('03_Сеть'!BP6)&gt;=9,1,0)-IF(MONTH(ДатаSMM)&gt;=9,1,0)),0)</f>
        <v/>
      </c>
      <c r="BQ10" s="4">
        <f>IF('03_Сеть'!BQ6&gt;=ДатаSMM,SMMNet/NetGross*(1+ИнфляцияЗарплат)^MAX(0,YEAR('03_Сеть'!BQ6)-YEAR(ДатаSMM)+IF(MONTH('03_Сеть'!BQ6)&gt;=9,1,0)-IF(MONTH(ДатаSMM)&gt;=9,1,0)),0)</f>
        <v/>
      </c>
      <c r="BR10" s="4">
        <f>IF('03_Сеть'!BR6&gt;=ДатаSMM,SMMNet/NetGross*(1+ИнфляцияЗарплат)^MAX(0,YEAR('03_Сеть'!BR6)-YEAR(ДатаSMM)+IF(MONTH('03_Сеть'!BR6)&gt;=9,1,0)-IF(MONTH(ДатаSMM)&gt;=9,1,0)),0)</f>
        <v/>
      </c>
      <c r="BS10" s="4">
        <f>IF('03_Сеть'!BS6&gt;=ДатаSMM,SMMNet/NetGross*(1+ИнфляцияЗарплат)^MAX(0,YEAR('03_Сеть'!BS6)-YEAR(ДатаSMM)+IF(MONTH('03_Сеть'!BS6)&gt;=9,1,0)-IF(MONTH(ДатаSMM)&gt;=9,1,0)),0)</f>
        <v/>
      </c>
      <c r="BT10" s="4">
        <f>IF('03_Сеть'!BT6&gt;=ДатаSMM,SMMNet/NetGross*(1+ИнфляцияЗарплат)^MAX(0,YEAR('03_Сеть'!BT6)-YEAR(ДатаSMM)+IF(MONTH('03_Сеть'!BT6)&gt;=9,1,0)-IF(MONTH(ДатаSMM)&gt;=9,1,0)),0)</f>
        <v/>
      </c>
      <c r="BU10" s="4">
        <f>IF('03_Сеть'!BU6&gt;=ДатаSMM,SMMNet/NetGross*(1+ИнфляцияЗарплат)^MAX(0,YEAR('03_Сеть'!BU6)-YEAR(ДатаSMM)+IF(MONTH('03_Сеть'!BU6)&gt;=9,1,0)-IF(MONTH(ДатаSMM)&gt;=9,1,0)),0)</f>
        <v/>
      </c>
      <c r="BV10" s="4">
        <f>IF('03_Сеть'!BV6&gt;=ДатаSMM,SMMNet/NetGross*(1+ИнфляцияЗарплат)^MAX(0,YEAR('03_Сеть'!BV6)-YEAR(ДатаSMM)+IF(MONTH('03_Сеть'!BV6)&gt;=9,1,0)-IF(MONTH(ДатаSMM)&gt;=9,1,0)),0)</f>
        <v/>
      </c>
      <c r="BW10" s="4">
        <f>IF('03_Сеть'!BW6&gt;=ДатаSMM,SMMNet/NetGross*(1+ИнфляцияЗарплат)^MAX(0,YEAR('03_Сеть'!BW6)-YEAR(ДатаSMM)+IF(MONTH('03_Сеть'!BW6)&gt;=9,1,0)-IF(MONTH(ДатаSMM)&gt;=9,1,0)),0)</f>
        <v/>
      </c>
      <c r="BX10" s="4">
        <f>IF('03_Сеть'!BX6&gt;=ДатаSMM,SMMNet/NetGross*(1+ИнфляцияЗарплат)^MAX(0,YEAR('03_Сеть'!BX6)-YEAR(ДатаSMM)+IF(MONTH('03_Сеть'!BX6)&gt;=9,1,0)-IF(MONTH(ДатаSMM)&gt;=9,1,0)),0)</f>
        <v/>
      </c>
      <c r="BY10" s="4">
        <f>IF('03_Сеть'!BY6&gt;=ДатаSMM,SMMNet/NetGross*(1+ИнфляцияЗарплат)^MAX(0,YEAR('03_Сеть'!BY6)-YEAR(ДатаSMM)+IF(MONTH('03_Сеть'!BY6)&gt;=9,1,0)-IF(MONTH(ДатаSMM)&gt;=9,1,0)),0)</f>
        <v/>
      </c>
    </row>
    <row r="11">
      <c r="B11" t="inlineStr">
        <is>
          <t>Доп. менеджеры развития</t>
        </is>
      </c>
      <c r="C11" t="inlineStr">
        <is>
          <t>чел.</t>
        </is>
      </c>
      <c r="D11" s="117" t="inlineStr">
        <is>
          <t>Новый менеджер на каждые 35 партнёров</t>
        </is>
      </c>
      <c r="E11" s="118">
        <f>W11</f>
        <v/>
      </c>
      <c r="F11" s="118">
        <f>AI11</f>
        <v/>
      </c>
      <c r="G11" s="118">
        <f>AU11</f>
        <v/>
      </c>
      <c r="H11" s="118">
        <f>BG11</f>
        <v/>
      </c>
      <c r="I11" s="118">
        <f>BS11</f>
        <v/>
      </c>
      <c r="J11" s="10">
        <f>BS11</f>
        <v/>
      </c>
      <c r="L11" s="9">
        <f>MAX(0,MAX(БазовыхМенеджеров,INT('03_Сеть'!L60/ЮрлицНаМенеджера)+1)-БазовыхМенеджеров)</f>
        <v/>
      </c>
      <c r="M11" s="9">
        <f>MAX(0,MAX(БазовыхМенеджеров,INT('03_Сеть'!M60/ЮрлицНаМенеджера)+1)-БазовыхМенеджеров)</f>
        <v/>
      </c>
      <c r="N11" s="9">
        <f>MAX(0,MAX(БазовыхМенеджеров,INT('03_Сеть'!N60/ЮрлицНаМенеджера)+1)-БазовыхМенеджеров)</f>
        <v/>
      </c>
      <c r="O11" s="9">
        <f>MAX(0,MAX(БазовыхМенеджеров,INT('03_Сеть'!O60/ЮрлицНаМенеджера)+1)-БазовыхМенеджеров)</f>
        <v/>
      </c>
      <c r="P11" s="9">
        <f>MAX(0,MAX(БазовыхМенеджеров,INT('03_Сеть'!P60/ЮрлицНаМенеджера)+1)-БазовыхМенеджеров)</f>
        <v/>
      </c>
      <c r="Q11" s="9">
        <f>MAX(0,MAX(БазовыхМенеджеров,INT('03_Сеть'!Q60/ЮрлицНаМенеджера)+1)-БазовыхМенеджеров)</f>
        <v/>
      </c>
      <c r="R11" s="9">
        <f>MAX(0,MAX(БазовыхМенеджеров,INT('03_Сеть'!R60/ЮрлицНаМенеджера)+1)-БазовыхМенеджеров)</f>
        <v/>
      </c>
      <c r="S11" s="9">
        <f>MAX(0,MAX(БазовыхМенеджеров,INT('03_Сеть'!S60/ЮрлицНаМенеджера)+1)-БазовыхМенеджеров)</f>
        <v/>
      </c>
      <c r="T11" s="9">
        <f>MAX(0,MAX(БазовыхМенеджеров,INT('03_Сеть'!T60/ЮрлицНаМенеджера)+1)-БазовыхМенеджеров)</f>
        <v/>
      </c>
      <c r="U11" s="9">
        <f>MAX(0,MAX(БазовыхМенеджеров,INT('03_Сеть'!U60/ЮрлицНаМенеджера)+1)-БазовыхМенеджеров)</f>
        <v/>
      </c>
      <c r="V11" s="9">
        <f>MAX(0,MAX(БазовыхМенеджеров,INT('03_Сеть'!V60/ЮрлицНаМенеджера)+1)-БазовыхМенеджеров)</f>
        <v/>
      </c>
      <c r="W11" s="9">
        <f>MAX(0,MAX(БазовыхМенеджеров,INT('03_Сеть'!W60/ЮрлицНаМенеджера)+1)-БазовыхМенеджеров)</f>
        <v/>
      </c>
      <c r="X11" s="9">
        <f>MAX(0,MAX(БазовыхМенеджеров,INT('03_Сеть'!X60/ЮрлицНаМенеджера)+1)-БазовыхМенеджеров)</f>
        <v/>
      </c>
      <c r="Y11" s="9">
        <f>MAX(0,MAX(БазовыхМенеджеров,INT('03_Сеть'!Y60/ЮрлицНаМенеджера)+1)-БазовыхМенеджеров)</f>
        <v/>
      </c>
      <c r="Z11" s="9">
        <f>MAX(0,MAX(БазовыхМенеджеров,INT('03_Сеть'!Z60/ЮрлицНаМенеджера)+1)-БазовыхМенеджеров)</f>
        <v/>
      </c>
      <c r="AA11" s="9">
        <f>MAX(0,MAX(БазовыхМенеджеров,INT('03_Сеть'!AA60/ЮрлицНаМенеджера)+1)-БазовыхМенеджеров)</f>
        <v/>
      </c>
      <c r="AB11" s="9">
        <f>MAX(0,MAX(БазовыхМенеджеров,INT('03_Сеть'!AB60/ЮрлицНаМенеджера)+1)-БазовыхМенеджеров)</f>
        <v/>
      </c>
      <c r="AC11" s="9">
        <f>MAX(0,MAX(БазовыхМенеджеров,INT('03_Сеть'!AC60/ЮрлицНаМенеджера)+1)-БазовыхМенеджеров)</f>
        <v/>
      </c>
      <c r="AD11" s="9">
        <f>MAX(0,MAX(БазовыхМенеджеров,INT('03_Сеть'!AD60/ЮрлицНаМенеджера)+1)-БазовыхМенеджеров)</f>
        <v/>
      </c>
      <c r="AE11" s="9">
        <f>MAX(0,MAX(БазовыхМенеджеров,INT('03_Сеть'!AE60/ЮрлицНаМенеджера)+1)-БазовыхМенеджеров)</f>
        <v/>
      </c>
      <c r="AF11" s="9">
        <f>MAX(0,MAX(БазовыхМенеджеров,INT('03_Сеть'!AF60/ЮрлицНаМенеджера)+1)-БазовыхМенеджеров)</f>
        <v/>
      </c>
      <c r="AG11" s="9">
        <f>MAX(0,MAX(БазовыхМенеджеров,INT('03_Сеть'!AG60/ЮрлицНаМенеджера)+1)-БазовыхМенеджеров)</f>
        <v/>
      </c>
      <c r="AH11" s="9">
        <f>MAX(0,MAX(БазовыхМенеджеров,INT('03_Сеть'!AH60/ЮрлицНаМенеджера)+1)-БазовыхМенеджеров)</f>
        <v/>
      </c>
      <c r="AI11" s="9">
        <f>MAX(0,MAX(БазовыхМенеджеров,INT('03_Сеть'!AI60/ЮрлицНаМенеджера)+1)-БазовыхМенеджеров)</f>
        <v/>
      </c>
      <c r="AJ11" s="9">
        <f>MAX(0,MAX(БазовыхМенеджеров,INT('03_Сеть'!AJ60/ЮрлицНаМенеджера)+1)-БазовыхМенеджеров)</f>
        <v/>
      </c>
      <c r="AK11" s="9">
        <f>MAX(0,MAX(БазовыхМенеджеров,INT('03_Сеть'!AK60/ЮрлицНаМенеджера)+1)-БазовыхМенеджеров)</f>
        <v/>
      </c>
      <c r="AL11" s="9">
        <f>MAX(0,MAX(БазовыхМенеджеров,INT('03_Сеть'!AL60/ЮрлицНаМенеджера)+1)-БазовыхМенеджеров)</f>
        <v/>
      </c>
      <c r="AM11" s="9">
        <f>MAX(0,MAX(БазовыхМенеджеров,INT('03_Сеть'!AM60/ЮрлицНаМенеджера)+1)-БазовыхМенеджеров)</f>
        <v/>
      </c>
      <c r="AN11" s="9">
        <f>MAX(0,MAX(БазовыхМенеджеров,INT('03_Сеть'!AN60/ЮрлицНаМенеджера)+1)-БазовыхМенеджеров)</f>
        <v/>
      </c>
      <c r="AO11" s="9">
        <f>MAX(0,MAX(БазовыхМенеджеров,INT('03_Сеть'!AO60/ЮрлицНаМенеджера)+1)-БазовыхМенеджеров)</f>
        <v/>
      </c>
      <c r="AP11" s="9">
        <f>MAX(0,MAX(БазовыхМенеджеров,INT('03_Сеть'!AP60/ЮрлицНаМенеджера)+1)-БазовыхМенеджеров)</f>
        <v/>
      </c>
      <c r="AQ11" s="9">
        <f>MAX(0,MAX(БазовыхМенеджеров,INT('03_Сеть'!AQ60/ЮрлицНаМенеджера)+1)-БазовыхМенеджеров)</f>
        <v/>
      </c>
      <c r="AR11" s="9">
        <f>MAX(0,MAX(БазовыхМенеджеров,INT('03_Сеть'!AR60/ЮрлицНаМенеджера)+1)-БазовыхМенеджеров)</f>
        <v/>
      </c>
      <c r="AS11" s="9">
        <f>MAX(0,MAX(БазовыхМенеджеров,INT('03_Сеть'!AS60/ЮрлицНаМенеджера)+1)-БазовыхМенеджеров)</f>
        <v/>
      </c>
      <c r="AT11" s="9">
        <f>MAX(0,MAX(БазовыхМенеджеров,INT('03_Сеть'!AT60/ЮрлицНаМенеджера)+1)-БазовыхМенеджеров)</f>
        <v/>
      </c>
      <c r="AU11" s="9">
        <f>MAX(0,MAX(БазовыхМенеджеров,INT('03_Сеть'!AU60/ЮрлицНаМенеджера)+1)-БазовыхМенеджеров)</f>
        <v/>
      </c>
      <c r="AV11" s="9">
        <f>MAX(0,MAX(БазовыхМенеджеров,INT('03_Сеть'!AV60/ЮрлицНаМенеджера)+1)-БазовыхМенеджеров)</f>
        <v/>
      </c>
      <c r="AW11" s="9">
        <f>MAX(0,MAX(БазовыхМенеджеров,INT('03_Сеть'!AW60/ЮрлицНаМенеджера)+1)-БазовыхМенеджеров)</f>
        <v/>
      </c>
      <c r="AX11" s="9">
        <f>MAX(0,MAX(БазовыхМенеджеров,INT('03_Сеть'!AX60/ЮрлицНаМенеджера)+1)-БазовыхМенеджеров)</f>
        <v/>
      </c>
      <c r="AY11" s="9">
        <f>MAX(0,MAX(БазовыхМенеджеров,INT('03_Сеть'!AY60/ЮрлицНаМенеджера)+1)-БазовыхМенеджеров)</f>
        <v/>
      </c>
      <c r="AZ11" s="9">
        <f>MAX(0,MAX(БазовыхМенеджеров,INT('03_Сеть'!AZ60/ЮрлицНаМенеджера)+1)-БазовыхМенеджеров)</f>
        <v/>
      </c>
      <c r="BA11" s="9">
        <f>MAX(0,MAX(БазовыхМенеджеров,INT('03_Сеть'!BA60/ЮрлицНаМенеджера)+1)-БазовыхМенеджеров)</f>
        <v/>
      </c>
      <c r="BB11" s="9">
        <f>MAX(0,MAX(БазовыхМенеджеров,INT('03_Сеть'!BB60/ЮрлицНаМенеджера)+1)-БазовыхМенеджеров)</f>
        <v/>
      </c>
      <c r="BC11" s="9">
        <f>MAX(0,MAX(БазовыхМенеджеров,INT('03_Сеть'!BC60/ЮрлицНаМенеджера)+1)-БазовыхМенеджеров)</f>
        <v/>
      </c>
      <c r="BD11" s="9">
        <f>MAX(0,MAX(БазовыхМенеджеров,INT('03_Сеть'!BD60/ЮрлицНаМенеджера)+1)-БазовыхМенеджеров)</f>
        <v/>
      </c>
      <c r="BE11" s="9">
        <f>MAX(0,MAX(БазовыхМенеджеров,INT('03_Сеть'!BE60/ЮрлицНаМенеджера)+1)-БазовыхМенеджеров)</f>
        <v/>
      </c>
      <c r="BF11" s="9">
        <f>MAX(0,MAX(БазовыхМенеджеров,INT('03_Сеть'!BF60/ЮрлицНаМенеджера)+1)-БазовыхМенеджеров)</f>
        <v/>
      </c>
      <c r="BG11" s="9">
        <f>MAX(0,MAX(БазовыхМенеджеров,INT('03_Сеть'!BG60/ЮрлицНаМенеджера)+1)-БазовыхМенеджеров)</f>
        <v/>
      </c>
      <c r="BH11" s="9">
        <f>MAX(0,MAX(БазовыхМенеджеров,INT('03_Сеть'!BH60/ЮрлицНаМенеджера)+1)-БазовыхМенеджеров)</f>
        <v/>
      </c>
      <c r="BI11" s="9">
        <f>MAX(0,MAX(БазовыхМенеджеров,INT('03_Сеть'!BI60/ЮрлицНаМенеджера)+1)-БазовыхМенеджеров)</f>
        <v/>
      </c>
      <c r="BJ11" s="9">
        <f>MAX(0,MAX(БазовыхМенеджеров,INT('03_Сеть'!BJ60/ЮрлицНаМенеджера)+1)-БазовыхМенеджеров)</f>
        <v/>
      </c>
      <c r="BK11" s="9">
        <f>MAX(0,MAX(БазовыхМенеджеров,INT('03_Сеть'!BK60/ЮрлицНаМенеджера)+1)-БазовыхМенеджеров)</f>
        <v/>
      </c>
      <c r="BL11" s="9">
        <f>MAX(0,MAX(БазовыхМенеджеров,INT('03_Сеть'!BL60/ЮрлицНаМенеджера)+1)-БазовыхМенеджеров)</f>
        <v/>
      </c>
      <c r="BM11" s="9">
        <f>MAX(0,MAX(БазовыхМенеджеров,INT('03_Сеть'!BM60/ЮрлицНаМенеджера)+1)-БазовыхМенеджеров)</f>
        <v/>
      </c>
      <c r="BN11" s="9">
        <f>MAX(0,MAX(БазовыхМенеджеров,INT('03_Сеть'!BN60/ЮрлицНаМенеджера)+1)-БазовыхМенеджеров)</f>
        <v/>
      </c>
      <c r="BO11" s="9">
        <f>MAX(0,MAX(БазовыхМенеджеров,INT('03_Сеть'!BO60/ЮрлицНаМенеджера)+1)-БазовыхМенеджеров)</f>
        <v/>
      </c>
      <c r="BP11" s="9">
        <f>MAX(0,MAX(БазовыхМенеджеров,INT('03_Сеть'!BP60/ЮрлицНаМенеджера)+1)-БазовыхМенеджеров)</f>
        <v/>
      </c>
      <c r="BQ11" s="9">
        <f>MAX(0,MAX(БазовыхМенеджеров,INT('03_Сеть'!BQ60/ЮрлицНаМенеджера)+1)-БазовыхМенеджеров)</f>
        <v/>
      </c>
      <c r="BR11" s="9">
        <f>MAX(0,MAX(БазовыхМенеджеров,INT('03_Сеть'!BR60/ЮрлицНаМенеджера)+1)-БазовыхМенеджеров)</f>
        <v/>
      </c>
      <c r="BS11" s="9">
        <f>MAX(0,MAX(БазовыхМенеджеров,INT('03_Сеть'!BS60/ЮрлицНаМенеджера)+1)-БазовыхМенеджеров)</f>
        <v/>
      </c>
      <c r="BT11" s="9">
        <f>MAX(0,MAX(БазовыхМенеджеров,INT('03_Сеть'!BT60/ЮрлицНаМенеджера)+1)-БазовыхМенеджеров)</f>
        <v/>
      </c>
      <c r="BU11" s="9">
        <f>MAX(0,MAX(БазовыхМенеджеров,INT('03_Сеть'!BU60/ЮрлицНаМенеджера)+1)-БазовыхМенеджеров)</f>
        <v/>
      </c>
      <c r="BV11" s="9">
        <f>MAX(0,MAX(БазовыхМенеджеров,INT('03_Сеть'!BV60/ЮрлицНаМенеджера)+1)-БазовыхМенеджеров)</f>
        <v/>
      </c>
      <c r="BW11" s="9">
        <f>MAX(0,MAX(БазовыхМенеджеров,INT('03_Сеть'!BW60/ЮрлицНаМенеджера)+1)-БазовыхМенеджеров)</f>
        <v/>
      </c>
      <c r="BX11" s="9">
        <f>MAX(0,MAX(БазовыхМенеджеров,INT('03_Сеть'!BX60/ЮрлицНаМенеджера)+1)-БазовыхМенеджеров)</f>
        <v/>
      </c>
      <c r="BY11" s="9">
        <f>MAX(0,MAX(БазовыхМенеджеров,INT('03_Сеть'!BY60/ЮрлицНаМенеджера)+1)-БазовыхМенеджеров)</f>
        <v/>
      </c>
    </row>
    <row r="12">
      <c r="B12" t="inlineStr">
        <is>
          <t>Доп. менеджеры, gross</t>
        </is>
      </c>
      <c r="C12" t="inlineStr">
        <is>
          <t>₽</t>
        </is>
      </c>
      <c r="D12" s="117" t="inlineStr"/>
      <c r="E12" s="119">
        <f>SUM(L12:W12)</f>
        <v/>
      </c>
      <c r="F12" s="119">
        <f>SUM(X12:AI12)</f>
        <v/>
      </c>
      <c r="G12" s="119">
        <f>SUM(AJ12:AU12)</f>
        <v/>
      </c>
      <c r="H12" s="119">
        <f>SUM(AV12:BG12)</f>
        <v/>
      </c>
      <c r="I12" s="119">
        <f>SUM(BH12:BS12)</f>
        <v/>
      </c>
      <c r="J12" s="5">
        <f>SUM(L12:BS12)</f>
        <v/>
      </c>
      <c r="L12" s="4">
        <f>L11*ОкладМенеджера*L6</f>
        <v/>
      </c>
      <c r="M12" s="4">
        <f>M11*ОкладМенеджера*M6</f>
        <v/>
      </c>
      <c r="N12" s="4">
        <f>N11*ОкладМенеджера*N6</f>
        <v/>
      </c>
      <c r="O12" s="4">
        <f>O11*ОкладМенеджера*O6</f>
        <v/>
      </c>
      <c r="P12" s="4">
        <f>P11*ОкладМенеджера*P6</f>
        <v/>
      </c>
      <c r="Q12" s="4">
        <f>Q11*ОкладМенеджера*Q6</f>
        <v/>
      </c>
      <c r="R12" s="4">
        <f>R11*ОкладМенеджера*R6</f>
        <v/>
      </c>
      <c r="S12" s="4">
        <f>S11*ОкладМенеджера*S6</f>
        <v/>
      </c>
      <c r="T12" s="4">
        <f>T11*ОкладМенеджера*T6</f>
        <v/>
      </c>
      <c r="U12" s="4">
        <f>U11*ОкладМенеджера*U6</f>
        <v/>
      </c>
      <c r="V12" s="4">
        <f>V11*ОкладМенеджера*V6</f>
        <v/>
      </c>
      <c r="W12" s="4">
        <f>W11*ОкладМенеджера*W6</f>
        <v/>
      </c>
      <c r="X12" s="4">
        <f>X11*ОкладМенеджера*X6</f>
        <v/>
      </c>
      <c r="Y12" s="4">
        <f>Y11*ОкладМенеджера*Y6</f>
        <v/>
      </c>
      <c r="Z12" s="4">
        <f>Z11*ОкладМенеджера*Z6</f>
        <v/>
      </c>
      <c r="AA12" s="4">
        <f>AA11*ОкладМенеджера*AA6</f>
        <v/>
      </c>
      <c r="AB12" s="4">
        <f>AB11*ОкладМенеджера*AB6</f>
        <v/>
      </c>
      <c r="AC12" s="4">
        <f>AC11*ОкладМенеджера*AC6</f>
        <v/>
      </c>
      <c r="AD12" s="4">
        <f>AD11*ОкладМенеджера*AD6</f>
        <v/>
      </c>
      <c r="AE12" s="4">
        <f>AE11*ОкладМенеджера*AE6</f>
        <v/>
      </c>
      <c r="AF12" s="4">
        <f>AF11*ОкладМенеджера*AF6</f>
        <v/>
      </c>
      <c r="AG12" s="4">
        <f>AG11*ОкладМенеджера*AG6</f>
        <v/>
      </c>
      <c r="AH12" s="4">
        <f>AH11*ОкладМенеджера*AH6</f>
        <v/>
      </c>
      <c r="AI12" s="4">
        <f>AI11*ОкладМенеджера*AI6</f>
        <v/>
      </c>
      <c r="AJ12" s="4">
        <f>AJ11*ОкладМенеджера*AJ6</f>
        <v/>
      </c>
      <c r="AK12" s="4">
        <f>AK11*ОкладМенеджера*AK6</f>
        <v/>
      </c>
      <c r="AL12" s="4">
        <f>AL11*ОкладМенеджера*AL6</f>
        <v/>
      </c>
      <c r="AM12" s="4">
        <f>AM11*ОкладМенеджера*AM6</f>
        <v/>
      </c>
      <c r="AN12" s="4">
        <f>AN11*ОкладМенеджера*AN6</f>
        <v/>
      </c>
      <c r="AO12" s="4">
        <f>AO11*ОкладМенеджера*AO6</f>
        <v/>
      </c>
      <c r="AP12" s="4">
        <f>AP11*ОкладМенеджера*AP6</f>
        <v/>
      </c>
      <c r="AQ12" s="4">
        <f>AQ11*ОкладМенеджера*AQ6</f>
        <v/>
      </c>
      <c r="AR12" s="4">
        <f>AR11*ОкладМенеджера*AR6</f>
        <v/>
      </c>
      <c r="AS12" s="4">
        <f>AS11*ОкладМенеджера*AS6</f>
        <v/>
      </c>
      <c r="AT12" s="4">
        <f>AT11*ОкладМенеджера*AT6</f>
        <v/>
      </c>
      <c r="AU12" s="4">
        <f>AU11*ОкладМенеджера*AU6</f>
        <v/>
      </c>
      <c r="AV12" s="4">
        <f>AV11*ОкладМенеджера*AV6</f>
        <v/>
      </c>
      <c r="AW12" s="4">
        <f>AW11*ОкладМенеджера*AW6</f>
        <v/>
      </c>
      <c r="AX12" s="4">
        <f>AX11*ОкладМенеджера*AX6</f>
        <v/>
      </c>
      <c r="AY12" s="4">
        <f>AY11*ОкладМенеджера*AY6</f>
        <v/>
      </c>
      <c r="AZ12" s="4">
        <f>AZ11*ОкладМенеджера*AZ6</f>
        <v/>
      </c>
      <c r="BA12" s="4">
        <f>BA11*ОкладМенеджера*BA6</f>
        <v/>
      </c>
      <c r="BB12" s="4">
        <f>BB11*ОкладМенеджера*BB6</f>
        <v/>
      </c>
      <c r="BC12" s="4">
        <f>BC11*ОкладМенеджера*BC6</f>
        <v/>
      </c>
      <c r="BD12" s="4">
        <f>BD11*ОкладМенеджера*BD6</f>
        <v/>
      </c>
      <c r="BE12" s="4">
        <f>BE11*ОкладМенеджера*BE6</f>
        <v/>
      </c>
      <c r="BF12" s="4">
        <f>BF11*ОкладМенеджера*BF6</f>
        <v/>
      </c>
      <c r="BG12" s="4">
        <f>BG11*ОкладМенеджера*BG6</f>
        <v/>
      </c>
      <c r="BH12" s="4">
        <f>BH11*ОкладМенеджера*BH6</f>
        <v/>
      </c>
      <c r="BI12" s="4">
        <f>BI11*ОкладМенеджера*BI6</f>
        <v/>
      </c>
      <c r="BJ12" s="4">
        <f>BJ11*ОкладМенеджера*BJ6</f>
        <v/>
      </c>
      <c r="BK12" s="4">
        <f>BK11*ОкладМенеджера*BK6</f>
        <v/>
      </c>
      <c r="BL12" s="4">
        <f>BL11*ОкладМенеджера*BL6</f>
        <v/>
      </c>
      <c r="BM12" s="4">
        <f>BM11*ОкладМенеджера*BM6</f>
        <v/>
      </c>
      <c r="BN12" s="4">
        <f>BN11*ОкладМенеджера*BN6</f>
        <v/>
      </c>
      <c r="BO12" s="4">
        <f>BO11*ОкладМенеджера*BO6</f>
        <v/>
      </c>
      <c r="BP12" s="4">
        <f>BP11*ОкладМенеджера*BP6</f>
        <v/>
      </c>
      <c r="BQ12" s="4">
        <f>BQ11*ОкладМенеджера*BQ6</f>
        <v/>
      </c>
      <c r="BR12" s="4">
        <f>BR11*ОкладМенеджера*BR6</f>
        <v/>
      </c>
      <c r="BS12" s="4">
        <f>BS11*ОкладМенеджера*BS6</f>
        <v/>
      </c>
      <c r="BT12" s="4">
        <f>BT11*ОкладМенеджера*BT6</f>
        <v/>
      </c>
      <c r="BU12" s="4">
        <f>BU11*ОкладМенеджера*BU6</f>
        <v/>
      </c>
      <c r="BV12" s="4">
        <f>BV11*ОкладМенеджера*BV6</f>
        <v/>
      </c>
      <c r="BW12" s="4">
        <f>BW11*ОкладМенеджера*BW6</f>
        <v/>
      </c>
      <c r="BX12" s="4">
        <f>BX11*ОкладМенеджера*BX6</f>
        <v/>
      </c>
      <c r="BY12" s="4">
        <f>BY11*ОкладМенеджера*BY6</f>
        <v/>
      </c>
    </row>
    <row r="13">
      <c r="B13" s="6" t="inlineStr">
        <is>
          <t>Все оклады, gross</t>
        </is>
      </c>
      <c r="C13" s="6" t="inlineStr">
        <is>
          <t>₽</t>
        </is>
      </c>
      <c r="D13" s="120" t="inlineStr"/>
      <c r="E13" s="121">
        <f>SUM(L13:W13)</f>
        <v/>
      </c>
      <c r="F13" s="121">
        <f>SUM(X13:AI13)</f>
        <v/>
      </c>
      <c r="G13" s="121">
        <f>SUM(AJ13:AU13)</f>
        <v/>
      </c>
      <c r="H13" s="121">
        <f>SUM(AV13:BG13)</f>
        <v/>
      </c>
      <c r="I13" s="121">
        <f>SUM(BH13:BS13)</f>
        <v/>
      </c>
      <c r="J13" s="8">
        <f>SUM(L13:BS13)</f>
        <v/>
      </c>
      <c r="L13" s="7">
        <f>L8+L9+L10+L12</f>
        <v/>
      </c>
      <c r="M13" s="7">
        <f>M8+M9+M10+M12</f>
        <v/>
      </c>
      <c r="N13" s="7">
        <f>N8+N9+N10+N12</f>
        <v/>
      </c>
      <c r="O13" s="7">
        <f>O8+O9+O10+O12</f>
        <v/>
      </c>
      <c r="P13" s="7">
        <f>P8+P9+P10+P12</f>
        <v/>
      </c>
      <c r="Q13" s="7">
        <f>Q8+Q9+Q10+Q12</f>
        <v/>
      </c>
      <c r="R13" s="7">
        <f>R8+R9+R10+R12</f>
        <v/>
      </c>
      <c r="S13" s="7">
        <f>S8+S9+S10+S12</f>
        <v/>
      </c>
      <c r="T13" s="7">
        <f>T8+T9+T10+T12</f>
        <v/>
      </c>
      <c r="U13" s="7">
        <f>U8+U9+U10+U12</f>
        <v/>
      </c>
      <c r="V13" s="7">
        <f>V8+V9+V10+V12</f>
        <v/>
      </c>
      <c r="W13" s="7">
        <f>W8+W9+W10+W12</f>
        <v/>
      </c>
      <c r="X13" s="7">
        <f>X8+X9+X10+X12</f>
        <v/>
      </c>
      <c r="Y13" s="7">
        <f>Y8+Y9+Y10+Y12</f>
        <v/>
      </c>
      <c r="Z13" s="7">
        <f>Z8+Z9+Z10+Z12</f>
        <v/>
      </c>
      <c r="AA13" s="7">
        <f>AA8+AA9+AA10+AA12</f>
        <v/>
      </c>
      <c r="AB13" s="7">
        <f>AB8+AB9+AB10+AB12</f>
        <v/>
      </c>
      <c r="AC13" s="7">
        <f>AC8+AC9+AC10+AC12</f>
        <v/>
      </c>
      <c r="AD13" s="7">
        <f>AD8+AD9+AD10+AD12</f>
        <v/>
      </c>
      <c r="AE13" s="7">
        <f>AE8+AE9+AE10+AE12</f>
        <v/>
      </c>
      <c r="AF13" s="7">
        <f>AF8+AF9+AF10+AF12</f>
        <v/>
      </c>
      <c r="AG13" s="7">
        <f>AG8+AG9+AG10+AG12</f>
        <v/>
      </c>
      <c r="AH13" s="7">
        <f>AH8+AH9+AH10+AH12</f>
        <v/>
      </c>
      <c r="AI13" s="7">
        <f>AI8+AI9+AI10+AI12</f>
        <v/>
      </c>
      <c r="AJ13" s="7">
        <f>AJ8+AJ9+AJ10+AJ12</f>
        <v/>
      </c>
      <c r="AK13" s="7">
        <f>AK8+AK9+AK10+AK12</f>
        <v/>
      </c>
      <c r="AL13" s="7">
        <f>AL8+AL9+AL10+AL12</f>
        <v/>
      </c>
      <c r="AM13" s="7">
        <f>AM8+AM9+AM10+AM12</f>
        <v/>
      </c>
      <c r="AN13" s="7">
        <f>AN8+AN9+AN10+AN12</f>
        <v/>
      </c>
      <c r="AO13" s="7">
        <f>AO8+AO9+AO10+AO12</f>
        <v/>
      </c>
      <c r="AP13" s="7">
        <f>AP8+AP9+AP10+AP12</f>
        <v/>
      </c>
      <c r="AQ13" s="7">
        <f>AQ8+AQ9+AQ10+AQ12</f>
        <v/>
      </c>
      <c r="AR13" s="7">
        <f>AR8+AR9+AR10+AR12</f>
        <v/>
      </c>
      <c r="AS13" s="7">
        <f>AS8+AS9+AS10+AS12</f>
        <v/>
      </c>
      <c r="AT13" s="7">
        <f>AT8+AT9+AT10+AT12</f>
        <v/>
      </c>
      <c r="AU13" s="7">
        <f>AU8+AU9+AU10+AU12</f>
        <v/>
      </c>
      <c r="AV13" s="7">
        <f>AV8+AV9+AV10+AV12</f>
        <v/>
      </c>
      <c r="AW13" s="7">
        <f>AW8+AW9+AW10+AW12</f>
        <v/>
      </c>
      <c r="AX13" s="7">
        <f>AX8+AX9+AX10+AX12</f>
        <v/>
      </c>
      <c r="AY13" s="7">
        <f>AY8+AY9+AY10+AY12</f>
        <v/>
      </c>
      <c r="AZ13" s="7">
        <f>AZ8+AZ9+AZ10+AZ12</f>
        <v/>
      </c>
      <c r="BA13" s="7">
        <f>BA8+BA9+BA10+BA12</f>
        <v/>
      </c>
      <c r="BB13" s="7">
        <f>BB8+BB9+BB10+BB12</f>
        <v/>
      </c>
      <c r="BC13" s="7">
        <f>BC8+BC9+BC10+BC12</f>
        <v/>
      </c>
      <c r="BD13" s="7">
        <f>BD8+BD9+BD10+BD12</f>
        <v/>
      </c>
      <c r="BE13" s="7">
        <f>BE8+BE9+BE10+BE12</f>
        <v/>
      </c>
      <c r="BF13" s="7">
        <f>BF8+BF9+BF10+BF12</f>
        <v/>
      </c>
      <c r="BG13" s="7">
        <f>BG8+BG9+BG10+BG12</f>
        <v/>
      </c>
      <c r="BH13" s="7">
        <f>BH8+BH9+BH10+BH12</f>
        <v/>
      </c>
      <c r="BI13" s="7">
        <f>BI8+BI9+BI10+BI12</f>
        <v/>
      </c>
      <c r="BJ13" s="7">
        <f>BJ8+BJ9+BJ10+BJ12</f>
        <v/>
      </c>
      <c r="BK13" s="7">
        <f>BK8+BK9+BK10+BK12</f>
        <v/>
      </c>
      <c r="BL13" s="7">
        <f>BL8+BL9+BL10+BL12</f>
        <v/>
      </c>
      <c r="BM13" s="7">
        <f>BM8+BM9+BM10+BM12</f>
        <v/>
      </c>
      <c r="BN13" s="7">
        <f>BN8+BN9+BN10+BN12</f>
        <v/>
      </c>
      <c r="BO13" s="7">
        <f>BO8+BO9+BO10+BO12</f>
        <v/>
      </c>
      <c r="BP13" s="7">
        <f>BP8+BP9+BP10+BP12</f>
        <v/>
      </c>
      <c r="BQ13" s="7">
        <f>BQ8+BQ9+BQ10+BQ12</f>
        <v/>
      </c>
      <c r="BR13" s="7">
        <f>BR8+BR9+BR10+BR12</f>
        <v/>
      </c>
      <c r="BS13" s="7">
        <f>BS8+BS9+BS10+BS12</f>
        <v/>
      </c>
      <c r="BT13" s="7">
        <f>BT8+BT9+BT10+BT12</f>
        <v/>
      </c>
      <c r="BU13" s="7">
        <f>BU8+BU9+BU10+BU12</f>
        <v/>
      </c>
      <c r="BV13" s="7">
        <f>BV8+BV9+BV10+BV12</f>
        <v/>
      </c>
      <c r="BW13" s="7">
        <f>BW8+BW9+BW10+BW12</f>
        <v/>
      </c>
      <c r="BX13" s="7">
        <f>BX8+BX9+BX10+BX12</f>
        <v/>
      </c>
      <c r="BY13" s="7">
        <f>BY8+BY9+BY10+BY12</f>
        <v/>
      </c>
    </row>
    <row r="14">
      <c r="B14" t="inlineStr">
        <is>
          <t>Страховые взносы на оклады</t>
        </is>
      </c>
      <c r="C14" t="inlineStr">
        <is>
          <t>₽</t>
        </is>
      </c>
      <c r="D14" s="117" t="inlineStr"/>
      <c r="E14" s="119">
        <f>SUM(L14:W14)</f>
        <v/>
      </c>
      <c r="F14" s="119">
        <f>SUM(X14:AI14)</f>
        <v/>
      </c>
      <c r="G14" s="119">
        <f>SUM(AJ14:AU14)</f>
        <v/>
      </c>
      <c r="H14" s="119">
        <f>SUM(AV14:BG14)</f>
        <v/>
      </c>
      <c r="I14" s="119">
        <f>SUM(BH14:BS14)</f>
        <v/>
      </c>
      <c r="J14" s="5">
        <f>SUM(L14:BS14)</f>
        <v/>
      </c>
      <c r="L14" s="4">
        <f>L13*СтраховыеВзносы</f>
        <v/>
      </c>
      <c r="M14" s="4">
        <f>M13*СтраховыеВзносы</f>
        <v/>
      </c>
      <c r="N14" s="4">
        <f>N13*СтраховыеВзносы</f>
        <v/>
      </c>
      <c r="O14" s="4">
        <f>O13*СтраховыеВзносы</f>
        <v/>
      </c>
      <c r="P14" s="4">
        <f>P13*СтраховыеВзносы</f>
        <v/>
      </c>
      <c r="Q14" s="4">
        <f>Q13*СтраховыеВзносы</f>
        <v/>
      </c>
      <c r="R14" s="4">
        <f>R13*СтраховыеВзносы</f>
        <v/>
      </c>
      <c r="S14" s="4">
        <f>S13*СтраховыеВзносы</f>
        <v/>
      </c>
      <c r="T14" s="4">
        <f>T13*СтраховыеВзносы</f>
        <v/>
      </c>
      <c r="U14" s="4">
        <f>U13*СтраховыеВзносы</f>
        <v/>
      </c>
      <c r="V14" s="4">
        <f>V13*СтраховыеВзносы</f>
        <v/>
      </c>
      <c r="W14" s="4">
        <f>W13*СтраховыеВзносы</f>
        <v/>
      </c>
      <c r="X14" s="4">
        <f>X13*СтраховыеВзносы</f>
        <v/>
      </c>
      <c r="Y14" s="4">
        <f>Y13*СтраховыеВзносы</f>
        <v/>
      </c>
      <c r="Z14" s="4">
        <f>Z13*СтраховыеВзносы</f>
        <v/>
      </c>
      <c r="AA14" s="4">
        <f>AA13*СтраховыеВзносы</f>
        <v/>
      </c>
      <c r="AB14" s="4">
        <f>AB13*СтраховыеВзносы</f>
        <v/>
      </c>
      <c r="AC14" s="4">
        <f>AC13*СтраховыеВзносы</f>
        <v/>
      </c>
      <c r="AD14" s="4">
        <f>AD13*СтраховыеВзносы</f>
        <v/>
      </c>
      <c r="AE14" s="4">
        <f>AE13*СтраховыеВзносы</f>
        <v/>
      </c>
      <c r="AF14" s="4">
        <f>AF13*СтраховыеВзносы</f>
        <v/>
      </c>
      <c r="AG14" s="4">
        <f>AG13*СтраховыеВзносы</f>
        <v/>
      </c>
      <c r="AH14" s="4">
        <f>AH13*СтраховыеВзносы</f>
        <v/>
      </c>
      <c r="AI14" s="4">
        <f>AI13*СтраховыеВзносы</f>
        <v/>
      </c>
      <c r="AJ14" s="4">
        <f>AJ13*СтраховыеВзносы</f>
        <v/>
      </c>
      <c r="AK14" s="4">
        <f>AK13*СтраховыеВзносы</f>
        <v/>
      </c>
      <c r="AL14" s="4">
        <f>AL13*СтраховыеВзносы</f>
        <v/>
      </c>
      <c r="AM14" s="4">
        <f>AM13*СтраховыеВзносы</f>
        <v/>
      </c>
      <c r="AN14" s="4">
        <f>AN13*СтраховыеВзносы</f>
        <v/>
      </c>
      <c r="AO14" s="4">
        <f>AO13*СтраховыеВзносы</f>
        <v/>
      </c>
      <c r="AP14" s="4">
        <f>AP13*СтраховыеВзносы</f>
        <v/>
      </c>
      <c r="AQ14" s="4">
        <f>AQ13*СтраховыеВзносы</f>
        <v/>
      </c>
      <c r="AR14" s="4">
        <f>AR13*СтраховыеВзносы</f>
        <v/>
      </c>
      <c r="AS14" s="4">
        <f>AS13*СтраховыеВзносы</f>
        <v/>
      </c>
      <c r="AT14" s="4">
        <f>AT13*СтраховыеВзносы</f>
        <v/>
      </c>
      <c r="AU14" s="4">
        <f>AU13*СтраховыеВзносы</f>
        <v/>
      </c>
      <c r="AV14" s="4">
        <f>AV13*СтраховыеВзносы</f>
        <v/>
      </c>
      <c r="AW14" s="4">
        <f>AW13*СтраховыеВзносы</f>
        <v/>
      </c>
      <c r="AX14" s="4">
        <f>AX13*СтраховыеВзносы</f>
        <v/>
      </c>
      <c r="AY14" s="4">
        <f>AY13*СтраховыеВзносы</f>
        <v/>
      </c>
      <c r="AZ14" s="4">
        <f>AZ13*СтраховыеВзносы</f>
        <v/>
      </c>
      <c r="BA14" s="4">
        <f>BA13*СтраховыеВзносы</f>
        <v/>
      </c>
      <c r="BB14" s="4">
        <f>BB13*СтраховыеВзносы</f>
        <v/>
      </c>
      <c r="BC14" s="4">
        <f>BC13*СтраховыеВзносы</f>
        <v/>
      </c>
      <c r="BD14" s="4">
        <f>BD13*СтраховыеВзносы</f>
        <v/>
      </c>
      <c r="BE14" s="4">
        <f>BE13*СтраховыеВзносы</f>
        <v/>
      </c>
      <c r="BF14" s="4">
        <f>BF13*СтраховыеВзносы</f>
        <v/>
      </c>
      <c r="BG14" s="4">
        <f>BG13*СтраховыеВзносы</f>
        <v/>
      </c>
      <c r="BH14" s="4">
        <f>BH13*СтраховыеВзносы</f>
        <v/>
      </c>
      <c r="BI14" s="4">
        <f>BI13*СтраховыеВзносы</f>
        <v/>
      </c>
      <c r="BJ14" s="4">
        <f>BJ13*СтраховыеВзносы</f>
        <v/>
      </c>
      <c r="BK14" s="4">
        <f>BK13*СтраховыеВзносы</f>
        <v/>
      </c>
      <c r="BL14" s="4">
        <f>BL13*СтраховыеВзносы</f>
        <v/>
      </c>
      <c r="BM14" s="4">
        <f>BM13*СтраховыеВзносы</f>
        <v/>
      </c>
      <c r="BN14" s="4">
        <f>BN13*СтраховыеВзносы</f>
        <v/>
      </c>
      <c r="BO14" s="4">
        <f>BO13*СтраховыеВзносы</f>
        <v/>
      </c>
      <c r="BP14" s="4">
        <f>BP13*СтраховыеВзносы</f>
        <v/>
      </c>
      <c r="BQ14" s="4">
        <f>BQ13*СтраховыеВзносы</f>
        <v/>
      </c>
      <c r="BR14" s="4">
        <f>BR13*СтраховыеВзносы</f>
        <v/>
      </c>
      <c r="BS14" s="4">
        <f>BS13*СтраховыеВзносы</f>
        <v/>
      </c>
      <c r="BT14" s="4">
        <f>BT13*СтраховыеВзносы</f>
        <v/>
      </c>
      <c r="BU14" s="4">
        <f>BU13*СтраховыеВзносы</f>
        <v/>
      </c>
      <c r="BV14" s="4">
        <f>BV13*СтраховыеВзносы</f>
        <v/>
      </c>
      <c r="BW14" s="4">
        <f>BW13*СтраховыеВзносы</f>
        <v/>
      </c>
      <c r="BX14" s="4">
        <f>BX13*СтраховыеВзносы</f>
        <v/>
      </c>
      <c r="BY14" s="4">
        <f>BY13*СтраховыеВзносы</f>
        <v/>
      </c>
    </row>
    <row r="16">
      <c r="B16" s="115" t="inlineStr">
        <is>
          <t>Премии</t>
        </is>
      </c>
      <c r="C16" s="116" t="n"/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W16" s="116" t="n"/>
      <c r="AX16" s="116" t="n"/>
      <c r="AY16" s="116" t="n"/>
      <c r="AZ16" s="116" t="n"/>
      <c r="BA16" s="116" t="n"/>
      <c r="BB16" s="116" t="n"/>
      <c r="BC16" s="116" t="n"/>
      <c r="BD16" s="116" t="n"/>
      <c r="BE16" s="116" t="n"/>
      <c r="BF16" s="116" t="n"/>
      <c r="BG16" s="116" t="n"/>
      <c r="BH16" s="116" t="n"/>
      <c r="BI16" s="116" t="n"/>
      <c r="BJ16" s="116" t="n"/>
      <c r="BK16" s="116" t="n"/>
      <c r="BL16" s="116" t="n"/>
      <c r="BM16" s="116" t="n"/>
      <c r="BN16" s="116" t="n"/>
      <c r="BO16" s="116" t="n"/>
      <c r="BP16" s="116" t="n"/>
      <c r="BQ16" s="116" t="n"/>
      <c r="BR16" s="116" t="n"/>
      <c r="BS16" s="116" t="n"/>
      <c r="BT16" s="116" t="n"/>
      <c r="BU16" s="116" t="n"/>
      <c r="BV16" s="116" t="n"/>
      <c r="BW16" s="116" t="n"/>
      <c r="BX16" s="116" t="n"/>
      <c r="BY16" s="116" t="n"/>
    </row>
    <row r="17">
      <c r="B17" t="inlineStr">
        <is>
          <t>Премия развития, gross</t>
        </is>
      </c>
      <c r="C17" t="inlineStr">
        <is>
          <t>₽</t>
        </is>
      </c>
      <c r="D17" s="117" t="inlineStr">
        <is>
          <t>Всем менеджерам развития и проектному менеджеру</t>
        </is>
      </c>
      <c r="E17" s="119">
        <f>SUM(L17:W17)</f>
        <v/>
      </c>
      <c r="F17" s="119">
        <f>SUM(X17:AI17)</f>
        <v/>
      </c>
      <c r="G17" s="119">
        <f>SUM(AJ17:AU17)</f>
        <v/>
      </c>
      <c r="H17" s="119">
        <f>SUM(AV17:BG17)</f>
        <v/>
      </c>
      <c r="I17" s="119">
        <f>SUM(BH17:BS17)</f>
        <v/>
      </c>
      <c r="J17" s="5">
        <f>SUM(L17:BS17)</f>
        <v/>
      </c>
      <c r="L17" s="4">
        <f>(БазовыхМенеджеров+L11+1)*IF('03_Сеть'!L6&lt;ДатаПремииРазвития,ПремияРазвитияДо,ПремияРазвитияС)/NetGross</f>
        <v/>
      </c>
      <c r="M17" s="4">
        <f>(БазовыхМенеджеров+M11+1)*IF('03_Сеть'!M6&lt;ДатаПремииРазвития,ПремияРазвитияДо,ПремияРазвитияС)/NetGross</f>
        <v/>
      </c>
      <c r="N17" s="4">
        <f>(БазовыхМенеджеров+N11+1)*IF('03_Сеть'!N6&lt;ДатаПремииРазвития,ПремияРазвитияДо,ПремияРазвитияС)/NetGross</f>
        <v/>
      </c>
      <c r="O17" s="4">
        <f>(БазовыхМенеджеров+O11+1)*IF('03_Сеть'!O6&lt;ДатаПремииРазвития,ПремияРазвитияДо,ПремияРазвитияС)/NetGross</f>
        <v/>
      </c>
      <c r="P17" s="4">
        <f>(БазовыхМенеджеров+P11+1)*IF('03_Сеть'!P6&lt;ДатаПремииРазвития,ПремияРазвитияДо,ПремияРазвитияС)/NetGross</f>
        <v/>
      </c>
      <c r="Q17" s="4">
        <f>(БазовыхМенеджеров+Q11+1)*IF('03_Сеть'!Q6&lt;ДатаПремииРазвития,ПремияРазвитияДо,ПремияРазвитияС)/NetGross</f>
        <v/>
      </c>
      <c r="R17" s="4">
        <f>(БазовыхМенеджеров+R11+1)*IF('03_Сеть'!R6&lt;ДатаПремииРазвития,ПремияРазвитияДо,ПремияРазвитияС)/NetGross</f>
        <v/>
      </c>
      <c r="S17" s="4">
        <f>(БазовыхМенеджеров+S11+1)*IF('03_Сеть'!S6&lt;ДатаПремииРазвития,ПремияРазвитияДо,ПремияРазвитияС)/NetGross</f>
        <v/>
      </c>
      <c r="T17" s="4">
        <f>(БазовыхМенеджеров+T11+1)*IF('03_Сеть'!T6&lt;ДатаПремииРазвития,ПремияРазвитияДо,ПремияРазвитияС)/NetGross</f>
        <v/>
      </c>
      <c r="U17" s="4">
        <f>(БазовыхМенеджеров+U11+1)*IF('03_Сеть'!U6&lt;ДатаПремииРазвития,ПремияРазвитияДо,ПремияРазвитияС)/NetGross</f>
        <v/>
      </c>
      <c r="V17" s="4">
        <f>(БазовыхМенеджеров+V11+1)*IF('03_Сеть'!V6&lt;ДатаПремииРазвития,ПремияРазвитияДо,ПремияРазвитияС)/NetGross</f>
        <v/>
      </c>
      <c r="W17" s="4">
        <f>(БазовыхМенеджеров+W11+1)*IF('03_Сеть'!W6&lt;ДатаПремииРазвития,ПремияРазвитияДо,ПремияРазвитияС)/NetGross</f>
        <v/>
      </c>
      <c r="X17" s="4">
        <f>(БазовыхМенеджеров+X11+1)*IF('03_Сеть'!X6&lt;ДатаПремииРазвития,ПремияРазвитияДо,ПремияРазвитияС)/NetGross</f>
        <v/>
      </c>
      <c r="Y17" s="4">
        <f>(БазовыхМенеджеров+Y11+1)*IF('03_Сеть'!Y6&lt;ДатаПремииРазвития,ПремияРазвитияДо,ПремияРазвитияС)/NetGross</f>
        <v/>
      </c>
      <c r="Z17" s="4">
        <f>(БазовыхМенеджеров+Z11+1)*IF('03_Сеть'!Z6&lt;ДатаПремииРазвития,ПремияРазвитияДо,ПремияРазвитияС)/NetGross</f>
        <v/>
      </c>
      <c r="AA17" s="4">
        <f>(БазовыхМенеджеров+AA11+1)*IF('03_Сеть'!AA6&lt;ДатаПремииРазвития,ПремияРазвитияДо,ПремияРазвитияС)/NetGross</f>
        <v/>
      </c>
      <c r="AB17" s="4">
        <f>(БазовыхМенеджеров+AB11+1)*IF('03_Сеть'!AB6&lt;ДатаПремииРазвития,ПремияРазвитияДо,ПремияРазвитияС)/NetGross</f>
        <v/>
      </c>
      <c r="AC17" s="4">
        <f>(БазовыхМенеджеров+AC11+1)*IF('03_Сеть'!AC6&lt;ДатаПремииРазвития,ПремияРазвитияДо,ПремияРазвитияС)/NetGross</f>
        <v/>
      </c>
      <c r="AD17" s="4">
        <f>(БазовыхМенеджеров+AD11+1)*IF('03_Сеть'!AD6&lt;ДатаПремииРазвития,ПремияРазвитияДо,ПремияРазвитияС)/NetGross</f>
        <v/>
      </c>
      <c r="AE17" s="4">
        <f>(БазовыхМенеджеров+AE11+1)*IF('03_Сеть'!AE6&lt;ДатаПремииРазвития,ПремияРазвитияДо,ПремияРазвитияС)/NetGross</f>
        <v/>
      </c>
      <c r="AF17" s="4">
        <f>(БазовыхМенеджеров+AF11+1)*IF('03_Сеть'!AF6&lt;ДатаПремииРазвития,ПремияРазвитияДо,ПремияРазвитияС)/NetGross</f>
        <v/>
      </c>
      <c r="AG17" s="4">
        <f>(БазовыхМенеджеров+AG11+1)*IF('03_Сеть'!AG6&lt;ДатаПремииРазвития,ПремияРазвитияДо,ПремияРазвитияС)/NetGross</f>
        <v/>
      </c>
      <c r="AH17" s="4">
        <f>(БазовыхМенеджеров+AH11+1)*IF('03_Сеть'!AH6&lt;ДатаПремииРазвития,ПремияРазвитияДо,ПремияРазвитияС)/NetGross</f>
        <v/>
      </c>
      <c r="AI17" s="4">
        <f>(БазовыхМенеджеров+AI11+1)*IF('03_Сеть'!AI6&lt;ДатаПремииРазвития,ПремияРазвитияДо,ПремияРазвитияС)/NetGross</f>
        <v/>
      </c>
      <c r="AJ17" s="4">
        <f>(БазовыхМенеджеров+AJ11+1)*IF('03_Сеть'!AJ6&lt;ДатаПремииРазвития,ПремияРазвитияДо,ПремияРазвитияС)/NetGross</f>
        <v/>
      </c>
      <c r="AK17" s="4">
        <f>(БазовыхМенеджеров+AK11+1)*IF('03_Сеть'!AK6&lt;ДатаПремииРазвития,ПремияРазвитияДо,ПремияРазвитияС)/NetGross</f>
        <v/>
      </c>
      <c r="AL17" s="4">
        <f>(БазовыхМенеджеров+AL11+1)*IF('03_Сеть'!AL6&lt;ДатаПремииРазвития,ПремияРазвитияДо,ПремияРазвитияС)/NetGross</f>
        <v/>
      </c>
      <c r="AM17" s="4">
        <f>(БазовыхМенеджеров+AM11+1)*IF('03_Сеть'!AM6&lt;ДатаПремииРазвития,ПремияРазвитияДо,ПремияРазвитияС)/NetGross</f>
        <v/>
      </c>
      <c r="AN17" s="4">
        <f>(БазовыхМенеджеров+AN11+1)*IF('03_Сеть'!AN6&lt;ДатаПремииРазвития,ПремияРазвитияДо,ПремияРазвитияС)/NetGross</f>
        <v/>
      </c>
      <c r="AO17" s="4">
        <f>(БазовыхМенеджеров+AO11+1)*IF('03_Сеть'!AO6&lt;ДатаПремииРазвития,ПремияРазвитияДо,ПремияРазвитияС)/NetGross</f>
        <v/>
      </c>
      <c r="AP17" s="4">
        <f>(БазовыхМенеджеров+AP11+1)*IF('03_Сеть'!AP6&lt;ДатаПремииРазвития,ПремияРазвитияДо,ПремияРазвитияС)/NetGross</f>
        <v/>
      </c>
      <c r="AQ17" s="4">
        <f>(БазовыхМенеджеров+AQ11+1)*IF('03_Сеть'!AQ6&lt;ДатаПремииРазвития,ПремияРазвитияДо,ПремияРазвитияС)/NetGross</f>
        <v/>
      </c>
      <c r="AR17" s="4">
        <f>(БазовыхМенеджеров+AR11+1)*IF('03_Сеть'!AR6&lt;ДатаПремииРазвития,ПремияРазвитияДо,ПремияРазвитияС)/NetGross</f>
        <v/>
      </c>
      <c r="AS17" s="4">
        <f>(БазовыхМенеджеров+AS11+1)*IF('03_Сеть'!AS6&lt;ДатаПремииРазвития,ПремияРазвитияДо,ПремияРазвитияС)/NetGross</f>
        <v/>
      </c>
      <c r="AT17" s="4">
        <f>(БазовыхМенеджеров+AT11+1)*IF('03_Сеть'!AT6&lt;ДатаПремииРазвития,ПремияРазвитияДо,ПремияРазвитияС)/NetGross</f>
        <v/>
      </c>
      <c r="AU17" s="4">
        <f>(БазовыхМенеджеров+AU11+1)*IF('03_Сеть'!AU6&lt;ДатаПремииРазвития,ПремияРазвитияДо,ПремияРазвитияС)/NetGross</f>
        <v/>
      </c>
      <c r="AV17" s="4">
        <f>(БазовыхМенеджеров+AV11+1)*IF('03_Сеть'!AV6&lt;ДатаПремииРазвития,ПремияРазвитияДо,ПремияРазвитияС)/NetGross</f>
        <v/>
      </c>
      <c r="AW17" s="4">
        <f>(БазовыхМенеджеров+AW11+1)*IF('03_Сеть'!AW6&lt;ДатаПремииРазвития,ПремияРазвитияДо,ПремияРазвитияС)/NetGross</f>
        <v/>
      </c>
      <c r="AX17" s="4">
        <f>(БазовыхМенеджеров+AX11+1)*IF('03_Сеть'!AX6&lt;ДатаПремииРазвития,ПремияРазвитияДо,ПремияРазвитияС)/NetGross</f>
        <v/>
      </c>
      <c r="AY17" s="4">
        <f>(БазовыхМенеджеров+AY11+1)*IF('03_Сеть'!AY6&lt;ДатаПремииРазвития,ПремияРазвитияДо,ПремияРазвитияС)/NetGross</f>
        <v/>
      </c>
      <c r="AZ17" s="4">
        <f>(БазовыхМенеджеров+AZ11+1)*IF('03_Сеть'!AZ6&lt;ДатаПремииРазвития,ПремияРазвитияДо,ПремияРазвитияС)/NetGross</f>
        <v/>
      </c>
      <c r="BA17" s="4">
        <f>(БазовыхМенеджеров+BA11+1)*IF('03_Сеть'!BA6&lt;ДатаПремииРазвития,ПремияРазвитияДо,ПремияРазвитияС)/NetGross</f>
        <v/>
      </c>
      <c r="BB17" s="4">
        <f>(БазовыхМенеджеров+BB11+1)*IF('03_Сеть'!BB6&lt;ДатаПремииРазвития,ПремияРазвитияДо,ПремияРазвитияС)/NetGross</f>
        <v/>
      </c>
      <c r="BC17" s="4">
        <f>(БазовыхМенеджеров+BC11+1)*IF('03_Сеть'!BC6&lt;ДатаПремииРазвития,ПремияРазвитияДо,ПремияРазвитияС)/NetGross</f>
        <v/>
      </c>
      <c r="BD17" s="4">
        <f>(БазовыхМенеджеров+BD11+1)*IF('03_Сеть'!BD6&lt;ДатаПремииРазвития,ПремияРазвитияДо,ПремияРазвитияС)/NetGross</f>
        <v/>
      </c>
      <c r="BE17" s="4">
        <f>(БазовыхМенеджеров+BE11+1)*IF('03_Сеть'!BE6&lt;ДатаПремииРазвития,ПремияРазвитияДо,ПремияРазвитияС)/NetGross</f>
        <v/>
      </c>
      <c r="BF17" s="4">
        <f>(БазовыхМенеджеров+BF11+1)*IF('03_Сеть'!BF6&lt;ДатаПремииРазвития,ПремияРазвитияДо,ПремияРазвитияС)/NetGross</f>
        <v/>
      </c>
      <c r="BG17" s="4">
        <f>(БазовыхМенеджеров+BG11+1)*IF('03_Сеть'!BG6&lt;ДатаПремииРазвития,ПремияРазвитияДо,ПремияРазвитияС)/NetGross</f>
        <v/>
      </c>
      <c r="BH17" s="4">
        <f>(БазовыхМенеджеров+BH11+1)*IF('03_Сеть'!BH6&lt;ДатаПремииРазвития,ПремияРазвитияДо,ПремияРазвитияС)/NetGross</f>
        <v/>
      </c>
      <c r="BI17" s="4">
        <f>(БазовыхМенеджеров+BI11+1)*IF('03_Сеть'!BI6&lt;ДатаПремииРазвития,ПремияРазвитияДо,ПремияРазвитияС)/NetGross</f>
        <v/>
      </c>
      <c r="BJ17" s="4">
        <f>(БазовыхМенеджеров+BJ11+1)*IF('03_Сеть'!BJ6&lt;ДатаПремииРазвития,ПремияРазвитияДо,ПремияРазвитияС)/NetGross</f>
        <v/>
      </c>
      <c r="BK17" s="4">
        <f>(БазовыхМенеджеров+BK11+1)*IF('03_Сеть'!BK6&lt;ДатаПремииРазвития,ПремияРазвитияДо,ПремияРазвитияС)/NetGross</f>
        <v/>
      </c>
      <c r="BL17" s="4">
        <f>(БазовыхМенеджеров+BL11+1)*IF('03_Сеть'!BL6&lt;ДатаПремииРазвития,ПремияРазвитияДо,ПремияРазвитияС)/NetGross</f>
        <v/>
      </c>
      <c r="BM17" s="4">
        <f>(БазовыхМенеджеров+BM11+1)*IF('03_Сеть'!BM6&lt;ДатаПремииРазвития,ПремияРазвитияДо,ПремияРазвитияС)/NetGross</f>
        <v/>
      </c>
      <c r="BN17" s="4">
        <f>(БазовыхМенеджеров+BN11+1)*IF('03_Сеть'!BN6&lt;ДатаПремииРазвития,ПремияРазвитияДо,ПремияРазвитияС)/NetGross</f>
        <v/>
      </c>
      <c r="BO17" s="4">
        <f>(БазовыхМенеджеров+BO11+1)*IF('03_Сеть'!BO6&lt;ДатаПремииРазвития,ПремияРазвитияДо,ПремияРазвитияС)/NetGross</f>
        <v/>
      </c>
      <c r="BP17" s="4">
        <f>(БазовыхМенеджеров+BP11+1)*IF('03_Сеть'!BP6&lt;ДатаПремииРазвития,ПремияРазвитияДо,ПремияРазвитияС)/NetGross</f>
        <v/>
      </c>
      <c r="BQ17" s="4">
        <f>(БазовыхМенеджеров+BQ11+1)*IF('03_Сеть'!BQ6&lt;ДатаПремииРазвития,ПремияРазвитияДо,ПремияРазвитияС)/NetGross</f>
        <v/>
      </c>
      <c r="BR17" s="4">
        <f>(БазовыхМенеджеров+BR11+1)*IF('03_Сеть'!BR6&lt;ДатаПремииРазвития,ПремияРазвитияДо,ПремияРазвитияС)/NetGross</f>
        <v/>
      </c>
      <c r="BS17" s="4">
        <f>(БазовыхМенеджеров+BS11+1)*IF('03_Сеть'!BS6&lt;ДатаПремииРазвития,ПремияРазвитияДо,ПремияРазвитияС)/NetGross</f>
        <v/>
      </c>
      <c r="BT17" s="4">
        <f>(БазовыхМенеджеров+BT11+1)*IF('03_Сеть'!BT6&lt;ДатаПремииРазвития,ПремияРазвитияДо,ПремияРазвитияС)/NetGross</f>
        <v/>
      </c>
      <c r="BU17" s="4">
        <f>(БазовыхМенеджеров+BU11+1)*IF('03_Сеть'!BU6&lt;ДатаПремииРазвития,ПремияРазвитияДо,ПремияРазвитияС)/NetGross</f>
        <v/>
      </c>
      <c r="BV17" s="4">
        <f>(БазовыхМенеджеров+BV11+1)*IF('03_Сеть'!BV6&lt;ДатаПремииРазвития,ПремияРазвитияДо,ПремияРазвитияС)/NetGross</f>
        <v/>
      </c>
      <c r="BW17" s="4">
        <f>(БазовыхМенеджеров+BW11+1)*IF('03_Сеть'!BW6&lt;ДатаПремииРазвития,ПремияРазвитияДо,ПремияРазвитияС)/NetGross</f>
        <v/>
      </c>
      <c r="BX17" s="4">
        <f>(БазовыхМенеджеров+BX11+1)*IF('03_Сеть'!BX6&lt;ДатаПремииРазвития,ПремияРазвитияДо,ПремияРазвитияС)/NetGross</f>
        <v/>
      </c>
      <c r="BY17" s="4">
        <f>(БазовыхМенеджеров+BY11+1)*IF('03_Сеть'!BY6&lt;ДатаПремииРазвития,ПремияРазвитияДо,ПремияРазвитияС)/NetGross</f>
        <v/>
      </c>
    </row>
    <row r="18">
      <c r="B18" t="inlineStr">
        <is>
          <t>Взносы на премию развития</t>
        </is>
      </c>
      <c r="C18" t="inlineStr">
        <is>
          <t>₽</t>
        </is>
      </c>
      <c r="D18" s="117" t="inlineStr"/>
      <c r="E18" s="119">
        <f>SUM(L18:W18)</f>
        <v/>
      </c>
      <c r="F18" s="119">
        <f>SUM(X18:AI18)</f>
        <v/>
      </c>
      <c r="G18" s="119">
        <f>SUM(AJ18:AU18)</f>
        <v/>
      </c>
      <c r="H18" s="119">
        <f>SUM(AV18:BG18)</f>
        <v/>
      </c>
      <c r="I18" s="119">
        <f>SUM(BH18:BS18)</f>
        <v/>
      </c>
      <c r="J18" s="5">
        <f>SUM(L18:BS18)</f>
        <v/>
      </c>
      <c r="L18" s="4">
        <f>L17*СтраховыеВзносы</f>
        <v/>
      </c>
      <c r="M18" s="4">
        <f>M17*СтраховыеВзносы</f>
        <v/>
      </c>
      <c r="N18" s="4">
        <f>N17*СтраховыеВзносы</f>
        <v/>
      </c>
      <c r="O18" s="4">
        <f>O17*СтраховыеВзносы</f>
        <v/>
      </c>
      <c r="P18" s="4">
        <f>P17*СтраховыеВзносы</f>
        <v/>
      </c>
      <c r="Q18" s="4">
        <f>Q17*СтраховыеВзносы</f>
        <v/>
      </c>
      <c r="R18" s="4">
        <f>R17*СтраховыеВзносы</f>
        <v/>
      </c>
      <c r="S18" s="4">
        <f>S17*СтраховыеВзносы</f>
        <v/>
      </c>
      <c r="T18" s="4">
        <f>T17*СтраховыеВзносы</f>
        <v/>
      </c>
      <c r="U18" s="4">
        <f>U17*СтраховыеВзносы</f>
        <v/>
      </c>
      <c r="V18" s="4">
        <f>V17*СтраховыеВзносы</f>
        <v/>
      </c>
      <c r="W18" s="4">
        <f>W17*СтраховыеВзносы</f>
        <v/>
      </c>
      <c r="X18" s="4">
        <f>X17*СтраховыеВзносы</f>
        <v/>
      </c>
      <c r="Y18" s="4">
        <f>Y17*СтраховыеВзносы</f>
        <v/>
      </c>
      <c r="Z18" s="4">
        <f>Z17*СтраховыеВзносы</f>
        <v/>
      </c>
      <c r="AA18" s="4">
        <f>AA17*СтраховыеВзносы</f>
        <v/>
      </c>
      <c r="AB18" s="4">
        <f>AB17*СтраховыеВзносы</f>
        <v/>
      </c>
      <c r="AC18" s="4">
        <f>AC17*СтраховыеВзносы</f>
        <v/>
      </c>
      <c r="AD18" s="4">
        <f>AD17*СтраховыеВзносы</f>
        <v/>
      </c>
      <c r="AE18" s="4">
        <f>AE17*СтраховыеВзносы</f>
        <v/>
      </c>
      <c r="AF18" s="4">
        <f>AF17*СтраховыеВзносы</f>
        <v/>
      </c>
      <c r="AG18" s="4">
        <f>AG17*СтраховыеВзносы</f>
        <v/>
      </c>
      <c r="AH18" s="4">
        <f>AH17*СтраховыеВзносы</f>
        <v/>
      </c>
      <c r="AI18" s="4">
        <f>AI17*СтраховыеВзносы</f>
        <v/>
      </c>
      <c r="AJ18" s="4">
        <f>AJ17*СтраховыеВзносы</f>
        <v/>
      </c>
      <c r="AK18" s="4">
        <f>AK17*СтраховыеВзносы</f>
        <v/>
      </c>
      <c r="AL18" s="4">
        <f>AL17*СтраховыеВзносы</f>
        <v/>
      </c>
      <c r="AM18" s="4">
        <f>AM17*СтраховыеВзносы</f>
        <v/>
      </c>
      <c r="AN18" s="4">
        <f>AN17*СтраховыеВзносы</f>
        <v/>
      </c>
      <c r="AO18" s="4">
        <f>AO17*СтраховыеВзносы</f>
        <v/>
      </c>
      <c r="AP18" s="4">
        <f>AP17*СтраховыеВзносы</f>
        <v/>
      </c>
      <c r="AQ18" s="4">
        <f>AQ17*СтраховыеВзносы</f>
        <v/>
      </c>
      <c r="AR18" s="4">
        <f>AR17*СтраховыеВзносы</f>
        <v/>
      </c>
      <c r="AS18" s="4">
        <f>AS17*СтраховыеВзносы</f>
        <v/>
      </c>
      <c r="AT18" s="4">
        <f>AT17*СтраховыеВзносы</f>
        <v/>
      </c>
      <c r="AU18" s="4">
        <f>AU17*СтраховыеВзносы</f>
        <v/>
      </c>
      <c r="AV18" s="4">
        <f>AV17*СтраховыеВзносы</f>
        <v/>
      </c>
      <c r="AW18" s="4">
        <f>AW17*СтраховыеВзносы</f>
        <v/>
      </c>
      <c r="AX18" s="4">
        <f>AX17*СтраховыеВзносы</f>
        <v/>
      </c>
      <c r="AY18" s="4">
        <f>AY17*СтраховыеВзносы</f>
        <v/>
      </c>
      <c r="AZ18" s="4">
        <f>AZ17*СтраховыеВзносы</f>
        <v/>
      </c>
      <c r="BA18" s="4">
        <f>BA17*СтраховыеВзносы</f>
        <v/>
      </c>
      <c r="BB18" s="4">
        <f>BB17*СтраховыеВзносы</f>
        <v/>
      </c>
      <c r="BC18" s="4">
        <f>BC17*СтраховыеВзносы</f>
        <v/>
      </c>
      <c r="BD18" s="4">
        <f>BD17*СтраховыеВзносы</f>
        <v/>
      </c>
      <c r="BE18" s="4">
        <f>BE17*СтраховыеВзносы</f>
        <v/>
      </c>
      <c r="BF18" s="4">
        <f>BF17*СтраховыеВзносы</f>
        <v/>
      </c>
      <c r="BG18" s="4">
        <f>BG17*СтраховыеВзносы</f>
        <v/>
      </c>
      <c r="BH18" s="4">
        <f>BH17*СтраховыеВзносы</f>
        <v/>
      </c>
      <c r="BI18" s="4">
        <f>BI17*СтраховыеВзносы</f>
        <v/>
      </c>
      <c r="BJ18" s="4">
        <f>BJ17*СтраховыеВзносы</f>
        <v/>
      </c>
      <c r="BK18" s="4">
        <f>BK17*СтраховыеВзносы</f>
        <v/>
      </c>
      <c r="BL18" s="4">
        <f>BL17*СтраховыеВзносы</f>
        <v/>
      </c>
      <c r="BM18" s="4">
        <f>BM17*СтраховыеВзносы</f>
        <v/>
      </c>
      <c r="BN18" s="4">
        <f>BN17*СтраховыеВзносы</f>
        <v/>
      </c>
      <c r="BO18" s="4">
        <f>BO17*СтраховыеВзносы</f>
        <v/>
      </c>
      <c r="BP18" s="4">
        <f>BP17*СтраховыеВзносы</f>
        <v/>
      </c>
      <c r="BQ18" s="4">
        <f>BQ17*СтраховыеВзносы</f>
        <v/>
      </c>
      <c r="BR18" s="4">
        <f>BR17*СтраховыеВзносы</f>
        <v/>
      </c>
      <c r="BS18" s="4">
        <f>BS17*СтраховыеВзносы</f>
        <v/>
      </c>
      <c r="BT18" s="4">
        <f>BT17*СтраховыеВзносы</f>
        <v/>
      </c>
      <c r="BU18" s="4">
        <f>BU17*СтраховыеВзносы</f>
        <v/>
      </c>
      <c r="BV18" s="4">
        <f>BV17*СтраховыеВзносы</f>
        <v/>
      </c>
      <c r="BW18" s="4">
        <f>BW17*СтраховыеВзносы</f>
        <v/>
      </c>
      <c r="BX18" s="4">
        <f>BX17*СтраховыеВзносы</f>
        <v/>
      </c>
      <c r="BY18" s="4">
        <f>BY17*СтраховыеВзносы</f>
        <v/>
      </c>
    </row>
    <row r="19">
      <c r="B19" t="inlineStr">
        <is>
          <t>Премия Евгения, gross</t>
        </is>
      </c>
      <c r="C19" t="inlineStr">
        <is>
          <t>₽</t>
        </is>
      </c>
      <c r="D19" s="117" t="inlineStr">
        <is>
          <t>4% от паушальных месяца, если продаж две и больше</t>
        </is>
      </c>
      <c r="E19" s="119">
        <f>SUM(L19:W19)</f>
        <v/>
      </c>
      <c r="F19" s="119">
        <f>SUM(X19:AI19)</f>
        <v/>
      </c>
      <c r="G19" s="119">
        <f>SUM(AJ19:AU19)</f>
        <v/>
      </c>
      <c r="H19" s="119">
        <f>SUM(AV19:BG19)</f>
        <v/>
      </c>
      <c r="I19" s="119">
        <f>SUM(BH19:BS19)</f>
        <v/>
      </c>
      <c r="J19" s="5">
        <f>SUM(L19:BS19)</f>
        <v/>
      </c>
      <c r="L19" s="4">
        <f>IF('03_Сеть'!L12&gt;=2,'04_Доходы'!L13*ПремияЕвгения,0)</f>
        <v/>
      </c>
      <c r="M19" s="4">
        <f>IF('03_Сеть'!M12&gt;=2,'04_Доходы'!M13*ПремияЕвгения,0)</f>
        <v/>
      </c>
      <c r="N19" s="4">
        <f>IF('03_Сеть'!N12&gt;=2,'04_Доходы'!N13*ПремияЕвгения,0)</f>
        <v/>
      </c>
      <c r="O19" s="4">
        <f>IF('03_Сеть'!O12&gt;=2,'04_Доходы'!O13*ПремияЕвгения,0)</f>
        <v/>
      </c>
      <c r="P19" s="4">
        <f>IF('03_Сеть'!P12&gt;=2,'04_Доходы'!P13*ПремияЕвгения,0)</f>
        <v/>
      </c>
      <c r="Q19" s="4">
        <f>IF('03_Сеть'!Q12&gt;=2,'04_Доходы'!Q13*ПремияЕвгения,0)</f>
        <v/>
      </c>
      <c r="R19" s="4">
        <f>IF('03_Сеть'!R12&gt;=2,'04_Доходы'!R13*ПремияЕвгения,0)</f>
        <v/>
      </c>
      <c r="S19" s="4">
        <f>IF('03_Сеть'!S12&gt;=2,'04_Доходы'!S13*ПремияЕвгения,0)</f>
        <v/>
      </c>
      <c r="T19" s="4">
        <f>IF('03_Сеть'!T12&gt;=2,'04_Доходы'!T13*ПремияЕвгения,0)</f>
        <v/>
      </c>
      <c r="U19" s="4">
        <f>IF('03_Сеть'!U12&gt;=2,'04_Доходы'!U13*ПремияЕвгения,0)</f>
        <v/>
      </c>
      <c r="V19" s="4">
        <f>IF('03_Сеть'!V12&gt;=2,'04_Доходы'!V13*ПремияЕвгения,0)</f>
        <v/>
      </c>
      <c r="W19" s="4">
        <f>IF('03_Сеть'!W12&gt;=2,'04_Доходы'!W13*ПремияЕвгения,0)</f>
        <v/>
      </c>
      <c r="X19" s="4">
        <f>IF('03_Сеть'!X12&gt;=2,'04_Доходы'!X13*ПремияЕвгения,0)</f>
        <v/>
      </c>
      <c r="Y19" s="4">
        <f>IF('03_Сеть'!Y12&gt;=2,'04_Доходы'!Y13*ПремияЕвгения,0)</f>
        <v/>
      </c>
      <c r="Z19" s="4">
        <f>IF('03_Сеть'!Z12&gt;=2,'04_Доходы'!Z13*ПремияЕвгения,0)</f>
        <v/>
      </c>
      <c r="AA19" s="4">
        <f>IF('03_Сеть'!AA12&gt;=2,'04_Доходы'!AA13*ПремияЕвгения,0)</f>
        <v/>
      </c>
      <c r="AB19" s="4">
        <f>IF('03_Сеть'!AB12&gt;=2,'04_Доходы'!AB13*ПремияЕвгения,0)</f>
        <v/>
      </c>
      <c r="AC19" s="4">
        <f>IF('03_Сеть'!AC12&gt;=2,'04_Доходы'!AC13*ПремияЕвгения,0)</f>
        <v/>
      </c>
      <c r="AD19" s="4">
        <f>IF('03_Сеть'!AD12&gt;=2,'04_Доходы'!AD13*ПремияЕвгения,0)</f>
        <v/>
      </c>
      <c r="AE19" s="4">
        <f>IF('03_Сеть'!AE12&gt;=2,'04_Доходы'!AE13*ПремияЕвгения,0)</f>
        <v/>
      </c>
      <c r="AF19" s="4">
        <f>IF('03_Сеть'!AF12&gt;=2,'04_Доходы'!AF13*ПремияЕвгения,0)</f>
        <v/>
      </c>
      <c r="AG19" s="4">
        <f>IF('03_Сеть'!AG12&gt;=2,'04_Доходы'!AG13*ПремияЕвгения,0)</f>
        <v/>
      </c>
      <c r="AH19" s="4">
        <f>IF('03_Сеть'!AH12&gt;=2,'04_Доходы'!AH13*ПремияЕвгения,0)</f>
        <v/>
      </c>
      <c r="AI19" s="4">
        <f>IF('03_Сеть'!AI12&gt;=2,'04_Доходы'!AI13*ПремияЕвгения,0)</f>
        <v/>
      </c>
      <c r="AJ19" s="4">
        <f>IF('03_Сеть'!AJ12&gt;=2,'04_Доходы'!AJ13*ПремияЕвгения,0)</f>
        <v/>
      </c>
      <c r="AK19" s="4">
        <f>IF('03_Сеть'!AK12&gt;=2,'04_Доходы'!AK13*ПремияЕвгения,0)</f>
        <v/>
      </c>
      <c r="AL19" s="4">
        <f>IF('03_Сеть'!AL12&gt;=2,'04_Доходы'!AL13*ПремияЕвгения,0)</f>
        <v/>
      </c>
      <c r="AM19" s="4">
        <f>IF('03_Сеть'!AM12&gt;=2,'04_Доходы'!AM13*ПремияЕвгения,0)</f>
        <v/>
      </c>
      <c r="AN19" s="4">
        <f>IF('03_Сеть'!AN12&gt;=2,'04_Доходы'!AN13*ПремияЕвгения,0)</f>
        <v/>
      </c>
      <c r="AO19" s="4">
        <f>IF('03_Сеть'!AO12&gt;=2,'04_Доходы'!AO13*ПремияЕвгения,0)</f>
        <v/>
      </c>
      <c r="AP19" s="4">
        <f>IF('03_Сеть'!AP12&gt;=2,'04_Доходы'!AP13*ПремияЕвгения,0)</f>
        <v/>
      </c>
      <c r="AQ19" s="4">
        <f>IF('03_Сеть'!AQ12&gt;=2,'04_Доходы'!AQ13*ПремияЕвгения,0)</f>
        <v/>
      </c>
      <c r="AR19" s="4">
        <f>IF('03_Сеть'!AR12&gt;=2,'04_Доходы'!AR13*ПремияЕвгения,0)</f>
        <v/>
      </c>
      <c r="AS19" s="4">
        <f>IF('03_Сеть'!AS12&gt;=2,'04_Доходы'!AS13*ПремияЕвгения,0)</f>
        <v/>
      </c>
      <c r="AT19" s="4">
        <f>IF('03_Сеть'!AT12&gt;=2,'04_Доходы'!AT13*ПремияЕвгения,0)</f>
        <v/>
      </c>
      <c r="AU19" s="4">
        <f>IF('03_Сеть'!AU12&gt;=2,'04_Доходы'!AU13*ПремияЕвгения,0)</f>
        <v/>
      </c>
      <c r="AV19" s="4">
        <f>IF('03_Сеть'!AV12&gt;=2,'04_Доходы'!AV13*ПремияЕвгения,0)</f>
        <v/>
      </c>
      <c r="AW19" s="4">
        <f>IF('03_Сеть'!AW12&gt;=2,'04_Доходы'!AW13*ПремияЕвгения,0)</f>
        <v/>
      </c>
      <c r="AX19" s="4">
        <f>IF('03_Сеть'!AX12&gt;=2,'04_Доходы'!AX13*ПремияЕвгения,0)</f>
        <v/>
      </c>
      <c r="AY19" s="4">
        <f>IF('03_Сеть'!AY12&gt;=2,'04_Доходы'!AY13*ПремияЕвгения,0)</f>
        <v/>
      </c>
      <c r="AZ19" s="4">
        <f>IF('03_Сеть'!AZ12&gt;=2,'04_Доходы'!AZ13*ПремияЕвгения,0)</f>
        <v/>
      </c>
      <c r="BA19" s="4">
        <f>IF('03_Сеть'!BA12&gt;=2,'04_Доходы'!BA13*ПремияЕвгения,0)</f>
        <v/>
      </c>
      <c r="BB19" s="4">
        <f>IF('03_Сеть'!BB12&gt;=2,'04_Доходы'!BB13*ПремияЕвгения,0)</f>
        <v/>
      </c>
      <c r="BC19" s="4">
        <f>IF('03_Сеть'!BC12&gt;=2,'04_Доходы'!BC13*ПремияЕвгения,0)</f>
        <v/>
      </c>
      <c r="BD19" s="4">
        <f>IF('03_Сеть'!BD12&gt;=2,'04_Доходы'!BD13*ПремияЕвгения,0)</f>
        <v/>
      </c>
      <c r="BE19" s="4">
        <f>IF('03_Сеть'!BE12&gt;=2,'04_Доходы'!BE13*ПремияЕвгения,0)</f>
        <v/>
      </c>
      <c r="BF19" s="4">
        <f>IF('03_Сеть'!BF12&gt;=2,'04_Доходы'!BF13*ПремияЕвгения,0)</f>
        <v/>
      </c>
      <c r="BG19" s="4">
        <f>IF('03_Сеть'!BG12&gt;=2,'04_Доходы'!BG13*ПремияЕвгения,0)</f>
        <v/>
      </c>
      <c r="BH19" s="4">
        <f>IF('03_Сеть'!BH12&gt;=2,'04_Доходы'!BH13*ПремияЕвгения,0)</f>
        <v/>
      </c>
      <c r="BI19" s="4">
        <f>IF('03_Сеть'!BI12&gt;=2,'04_Доходы'!BI13*ПремияЕвгения,0)</f>
        <v/>
      </c>
      <c r="BJ19" s="4">
        <f>IF('03_Сеть'!BJ12&gt;=2,'04_Доходы'!BJ13*ПремияЕвгения,0)</f>
        <v/>
      </c>
      <c r="BK19" s="4">
        <f>IF('03_Сеть'!BK12&gt;=2,'04_Доходы'!BK13*ПремияЕвгения,0)</f>
        <v/>
      </c>
      <c r="BL19" s="4">
        <f>IF('03_Сеть'!BL12&gt;=2,'04_Доходы'!BL13*ПремияЕвгения,0)</f>
        <v/>
      </c>
      <c r="BM19" s="4">
        <f>IF('03_Сеть'!BM12&gt;=2,'04_Доходы'!BM13*ПремияЕвгения,0)</f>
        <v/>
      </c>
      <c r="BN19" s="4">
        <f>IF('03_Сеть'!BN12&gt;=2,'04_Доходы'!BN13*ПремияЕвгения,0)</f>
        <v/>
      </c>
      <c r="BO19" s="4">
        <f>IF('03_Сеть'!BO12&gt;=2,'04_Доходы'!BO13*ПремияЕвгения,0)</f>
        <v/>
      </c>
      <c r="BP19" s="4">
        <f>IF('03_Сеть'!BP12&gt;=2,'04_Доходы'!BP13*ПремияЕвгения,0)</f>
        <v/>
      </c>
      <c r="BQ19" s="4">
        <f>IF('03_Сеть'!BQ12&gt;=2,'04_Доходы'!BQ13*ПремияЕвгения,0)</f>
        <v/>
      </c>
      <c r="BR19" s="4">
        <f>IF('03_Сеть'!BR12&gt;=2,'04_Доходы'!BR13*ПремияЕвгения,0)</f>
        <v/>
      </c>
      <c r="BS19" s="4">
        <f>IF('03_Сеть'!BS12&gt;=2,'04_Доходы'!BS13*ПремияЕвгения,0)</f>
        <v/>
      </c>
      <c r="BT19" s="4">
        <f>IF('03_Сеть'!BT12&gt;=2,'04_Доходы'!BT13*ПремияЕвгения,0)</f>
        <v/>
      </c>
      <c r="BU19" s="4">
        <f>IF('03_Сеть'!BU12&gt;=2,'04_Доходы'!BU13*ПремияЕвгения,0)</f>
        <v/>
      </c>
      <c r="BV19" s="4">
        <f>IF('03_Сеть'!BV12&gt;=2,'04_Доходы'!BV13*ПремияЕвгения,0)</f>
        <v/>
      </c>
      <c r="BW19" s="4">
        <f>IF('03_Сеть'!BW12&gt;=2,'04_Доходы'!BW13*ПремияЕвгения,0)</f>
        <v/>
      </c>
      <c r="BX19" s="4">
        <f>IF('03_Сеть'!BX12&gt;=2,'04_Доходы'!BX13*ПремияЕвгения,0)</f>
        <v/>
      </c>
      <c r="BY19" s="4">
        <f>IF('03_Сеть'!BY12&gt;=2,'04_Доходы'!BY13*ПремияЕвгения,0)</f>
        <v/>
      </c>
    </row>
    <row r="20">
      <c r="B20" t="inlineStr">
        <is>
          <t>Взносы на премию Евгения</t>
        </is>
      </c>
      <c r="C20" t="inlineStr">
        <is>
          <t>₽</t>
        </is>
      </c>
      <c r="D20" s="117" t="inlineStr"/>
      <c r="E20" s="119">
        <f>SUM(L20:W20)</f>
        <v/>
      </c>
      <c r="F20" s="119">
        <f>SUM(X20:AI20)</f>
        <v/>
      </c>
      <c r="G20" s="119">
        <f>SUM(AJ20:AU20)</f>
        <v/>
      </c>
      <c r="H20" s="119">
        <f>SUM(AV20:BG20)</f>
        <v/>
      </c>
      <c r="I20" s="119">
        <f>SUM(BH20:BS20)</f>
        <v/>
      </c>
      <c r="J20" s="5">
        <f>SUM(L20:BS20)</f>
        <v/>
      </c>
      <c r="L20" s="4">
        <f>L19*СтраховыеВзносы</f>
        <v/>
      </c>
      <c r="M20" s="4">
        <f>M19*СтраховыеВзносы</f>
        <v/>
      </c>
      <c r="N20" s="4">
        <f>N19*СтраховыеВзносы</f>
        <v/>
      </c>
      <c r="O20" s="4">
        <f>O19*СтраховыеВзносы</f>
        <v/>
      </c>
      <c r="P20" s="4">
        <f>P19*СтраховыеВзносы</f>
        <v/>
      </c>
      <c r="Q20" s="4">
        <f>Q19*СтраховыеВзносы</f>
        <v/>
      </c>
      <c r="R20" s="4">
        <f>R19*СтраховыеВзносы</f>
        <v/>
      </c>
      <c r="S20" s="4">
        <f>S19*СтраховыеВзносы</f>
        <v/>
      </c>
      <c r="T20" s="4">
        <f>T19*СтраховыеВзносы</f>
        <v/>
      </c>
      <c r="U20" s="4">
        <f>U19*СтраховыеВзносы</f>
        <v/>
      </c>
      <c r="V20" s="4">
        <f>V19*СтраховыеВзносы</f>
        <v/>
      </c>
      <c r="W20" s="4">
        <f>W19*СтраховыеВзносы</f>
        <v/>
      </c>
      <c r="X20" s="4">
        <f>X19*СтраховыеВзносы</f>
        <v/>
      </c>
      <c r="Y20" s="4">
        <f>Y19*СтраховыеВзносы</f>
        <v/>
      </c>
      <c r="Z20" s="4">
        <f>Z19*СтраховыеВзносы</f>
        <v/>
      </c>
      <c r="AA20" s="4">
        <f>AA19*СтраховыеВзносы</f>
        <v/>
      </c>
      <c r="AB20" s="4">
        <f>AB19*СтраховыеВзносы</f>
        <v/>
      </c>
      <c r="AC20" s="4">
        <f>AC19*СтраховыеВзносы</f>
        <v/>
      </c>
      <c r="AD20" s="4">
        <f>AD19*СтраховыеВзносы</f>
        <v/>
      </c>
      <c r="AE20" s="4">
        <f>AE19*СтраховыеВзносы</f>
        <v/>
      </c>
      <c r="AF20" s="4">
        <f>AF19*СтраховыеВзносы</f>
        <v/>
      </c>
      <c r="AG20" s="4">
        <f>AG19*СтраховыеВзносы</f>
        <v/>
      </c>
      <c r="AH20" s="4">
        <f>AH19*СтраховыеВзносы</f>
        <v/>
      </c>
      <c r="AI20" s="4">
        <f>AI19*СтраховыеВзносы</f>
        <v/>
      </c>
      <c r="AJ20" s="4">
        <f>AJ19*СтраховыеВзносы</f>
        <v/>
      </c>
      <c r="AK20" s="4">
        <f>AK19*СтраховыеВзносы</f>
        <v/>
      </c>
      <c r="AL20" s="4">
        <f>AL19*СтраховыеВзносы</f>
        <v/>
      </c>
      <c r="AM20" s="4">
        <f>AM19*СтраховыеВзносы</f>
        <v/>
      </c>
      <c r="AN20" s="4">
        <f>AN19*СтраховыеВзносы</f>
        <v/>
      </c>
      <c r="AO20" s="4">
        <f>AO19*СтраховыеВзносы</f>
        <v/>
      </c>
      <c r="AP20" s="4">
        <f>AP19*СтраховыеВзносы</f>
        <v/>
      </c>
      <c r="AQ20" s="4">
        <f>AQ19*СтраховыеВзносы</f>
        <v/>
      </c>
      <c r="AR20" s="4">
        <f>AR19*СтраховыеВзносы</f>
        <v/>
      </c>
      <c r="AS20" s="4">
        <f>AS19*СтраховыеВзносы</f>
        <v/>
      </c>
      <c r="AT20" s="4">
        <f>AT19*СтраховыеВзносы</f>
        <v/>
      </c>
      <c r="AU20" s="4">
        <f>AU19*СтраховыеВзносы</f>
        <v/>
      </c>
      <c r="AV20" s="4">
        <f>AV19*СтраховыеВзносы</f>
        <v/>
      </c>
      <c r="AW20" s="4">
        <f>AW19*СтраховыеВзносы</f>
        <v/>
      </c>
      <c r="AX20" s="4">
        <f>AX19*СтраховыеВзносы</f>
        <v/>
      </c>
      <c r="AY20" s="4">
        <f>AY19*СтраховыеВзносы</f>
        <v/>
      </c>
      <c r="AZ20" s="4">
        <f>AZ19*СтраховыеВзносы</f>
        <v/>
      </c>
      <c r="BA20" s="4">
        <f>BA19*СтраховыеВзносы</f>
        <v/>
      </c>
      <c r="BB20" s="4">
        <f>BB19*СтраховыеВзносы</f>
        <v/>
      </c>
      <c r="BC20" s="4">
        <f>BC19*СтраховыеВзносы</f>
        <v/>
      </c>
      <c r="BD20" s="4">
        <f>BD19*СтраховыеВзносы</f>
        <v/>
      </c>
      <c r="BE20" s="4">
        <f>BE19*СтраховыеВзносы</f>
        <v/>
      </c>
      <c r="BF20" s="4">
        <f>BF19*СтраховыеВзносы</f>
        <v/>
      </c>
      <c r="BG20" s="4">
        <f>BG19*СтраховыеВзносы</f>
        <v/>
      </c>
      <c r="BH20" s="4">
        <f>BH19*СтраховыеВзносы</f>
        <v/>
      </c>
      <c r="BI20" s="4">
        <f>BI19*СтраховыеВзносы</f>
        <v/>
      </c>
      <c r="BJ20" s="4">
        <f>BJ19*СтраховыеВзносы</f>
        <v/>
      </c>
      <c r="BK20" s="4">
        <f>BK19*СтраховыеВзносы</f>
        <v/>
      </c>
      <c r="BL20" s="4">
        <f>BL19*СтраховыеВзносы</f>
        <v/>
      </c>
      <c r="BM20" s="4">
        <f>BM19*СтраховыеВзносы</f>
        <v/>
      </c>
      <c r="BN20" s="4">
        <f>BN19*СтраховыеВзносы</f>
        <v/>
      </c>
      <c r="BO20" s="4">
        <f>BO19*СтраховыеВзносы</f>
        <v/>
      </c>
      <c r="BP20" s="4">
        <f>BP19*СтраховыеВзносы</f>
        <v/>
      </c>
      <c r="BQ20" s="4">
        <f>BQ19*СтраховыеВзносы</f>
        <v/>
      </c>
      <c r="BR20" s="4">
        <f>BR19*СтраховыеВзносы</f>
        <v/>
      </c>
      <c r="BS20" s="4">
        <f>BS19*СтраховыеВзносы</f>
        <v/>
      </c>
      <c r="BT20" s="4">
        <f>BT19*СтраховыеВзносы</f>
        <v/>
      </c>
      <c r="BU20" s="4">
        <f>BU19*СтраховыеВзносы</f>
        <v/>
      </c>
      <c r="BV20" s="4">
        <f>BV19*СтраховыеВзносы</f>
        <v/>
      </c>
      <c r="BW20" s="4">
        <f>BW19*СтраховыеВзносы</f>
        <v/>
      </c>
      <c r="BX20" s="4">
        <f>BX19*СтраховыеВзносы</f>
        <v/>
      </c>
      <c r="BY20" s="4">
        <f>BY19*СтраховыеВзносы</f>
        <v/>
      </c>
    </row>
    <row r="21">
      <c r="B21" t="inlineStr">
        <is>
          <t>Временный продавец</t>
        </is>
      </c>
      <c r="C21" t="inlineStr">
        <is>
          <t>₽</t>
        </is>
      </c>
      <c r="D21" s="117" t="inlineStr">
        <is>
          <t>Подключается при пяти продажах за месяц</t>
        </is>
      </c>
      <c r="E21" s="119">
        <f>SUM(L21:W21)</f>
        <v/>
      </c>
      <c r="F21" s="119">
        <f>SUM(X21:AI21)</f>
        <v/>
      </c>
      <c r="G21" s="119">
        <f>SUM(AJ21:AU21)</f>
        <v/>
      </c>
      <c r="H21" s="119">
        <f>SUM(AV21:BG21)</f>
        <v/>
      </c>
      <c r="I21" s="119">
        <f>SUM(BH21:BS21)</f>
        <v/>
      </c>
      <c r="J21" s="5">
        <f>SUM(L21:BS21)</f>
        <v/>
      </c>
      <c r="L21" s="4">
        <f>IF('03_Сеть'!L12&gt;=ТриггерПродавца,IF(СтатусПродавца="ИП",ПродавецФикс+'04_Доходы'!L13*ПродавецБонус,(ПродавецФикс/NetGross+'04_Доходы'!L13*ПродавецБонус)*(1+СтраховыеВзносы)),0)</f>
        <v/>
      </c>
      <c r="M21" s="4">
        <f>IF('03_Сеть'!M12&gt;=ТриггерПродавца,IF(СтатусПродавца="ИП",ПродавецФикс+'04_Доходы'!M13*ПродавецБонус,(ПродавецФикс/NetGross+'04_Доходы'!M13*ПродавецБонус)*(1+СтраховыеВзносы)),0)</f>
        <v/>
      </c>
      <c r="N21" s="4">
        <f>IF('03_Сеть'!N12&gt;=ТриггерПродавца,IF(СтатусПродавца="ИП",ПродавецФикс+'04_Доходы'!N13*ПродавецБонус,(ПродавецФикс/NetGross+'04_Доходы'!N13*ПродавецБонус)*(1+СтраховыеВзносы)),0)</f>
        <v/>
      </c>
      <c r="O21" s="4">
        <f>IF('03_Сеть'!O12&gt;=ТриггерПродавца,IF(СтатусПродавца="ИП",ПродавецФикс+'04_Доходы'!O13*ПродавецБонус,(ПродавецФикс/NetGross+'04_Доходы'!O13*ПродавецБонус)*(1+СтраховыеВзносы)),0)</f>
        <v/>
      </c>
      <c r="P21" s="4">
        <f>IF('03_Сеть'!P12&gt;=ТриггерПродавца,IF(СтатусПродавца="ИП",ПродавецФикс+'04_Доходы'!P13*ПродавецБонус,(ПродавецФикс/NetGross+'04_Доходы'!P13*ПродавецБонус)*(1+СтраховыеВзносы)),0)</f>
        <v/>
      </c>
      <c r="Q21" s="4">
        <f>IF('03_Сеть'!Q12&gt;=ТриггерПродавца,IF(СтатусПродавца="ИП",ПродавецФикс+'04_Доходы'!Q13*ПродавецБонус,(ПродавецФикс/NetGross+'04_Доходы'!Q13*ПродавецБонус)*(1+СтраховыеВзносы)),0)</f>
        <v/>
      </c>
      <c r="R21" s="4">
        <f>IF('03_Сеть'!R12&gt;=ТриггерПродавца,IF(СтатусПродавца="ИП",ПродавецФикс+'04_Доходы'!R13*ПродавецБонус,(ПродавецФикс/NetGross+'04_Доходы'!R13*ПродавецБонус)*(1+СтраховыеВзносы)),0)</f>
        <v/>
      </c>
      <c r="S21" s="4">
        <f>IF('03_Сеть'!S12&gt;=ТриггерПродавца,IF(СтатусПродавца="ИП",ПродавецФикс+'04_Доходы'!S13*ПродавецБонус,(ПродавецФикс/NetGross+'04_Доходы'!S13*ПродавецБонус)*(1+СтраховыеВзносы)),0)</f>
        <v/>
      </c>
      <c r="T21" s="4">
        <f>IF('03_Сеть'!T12&gt;=ТриггерПродавца,IF(СтатусПродавца="ИП",ПродавецФикс+'04_Доходы'!T13*ПродавецБонус,(ПродавецФикс/NetGross+'04_Доходы'!T13*ПродавецБонус)*(1+СтраховыеВзносы)),0)</f>
        <v/>
      </c>
      <c r="U21" s="4">
        <f>IF('03_Сеть'!U12&gt;=ТриггерПродавца,IF(СтатусПродавца="ИП",ПродавецФикс+'04_Доходы'!U13*ПродавецБонус,(ПродавецФикс/NetGross+'04_Доходы'!U13*ПродавецБонус)*(1+СтраховыеВзносы)),0)</f>
        <v/>
      </c>
      <c r="V21" s="4">
        <f>IF('03_Сеть'!V12&gt;=ТриггерПродавца,IF(СтатусПродавца="ИП",ПродавецФикс+'04_Доходы'!V13*ПродавецБонус,(ПродавецФикс/NetGross+'04_Доходы'!V13*ПродавецБонус)*(1+СтраховыеВзносы)),0)</f>
        <v/>
      </c>
      <c r="W21" s="4">
        <f>IF('03_Сеть'!W12&gt;=ТриггерПродавца,IF(СтатусПродавца="ИП",ПродавецФикс+'04_Доходы'!W13*ПродавецБонус,(ПродавецФикс/NetGross+'04_Доходы'!W13*ПродавецБонус)*(1+СтраховыеВзносы)),0)</f>
        <v/>
      </c>
      <c r="X21" s="4">
        <f>IF('03_Сеть'!X12&gt;=ТриггерПродавца,IF(СтатусПродавца="ИП",ПродавецФикс+'04_Доходы'!X13*ПродавецБонус,(ПродавецФикс/NetGross+'04_Доходы'!X13*ПродавецБонус)*(1+СтраховыеВзносы)),0)</f>
        <v/>
      </c>
      <c r="Y21" s="4">
        <f>IF('03_Сеть'!Y12&gt;=ТриггерПродавца,IF(СтатусПродавца="ИП",ПродавецФикс+'04_Доходы'!Y13*ПродавецБонус,(ПродавецФикс/NetGross+'04_Доходы'!Y13*ПродавецБонус)*(1+СтраховыеВзносы)),0)</f>
        <v/>
      </c>
      <c r="Z21" s="4">
        <f>IF('03_Сеть'!Z12&gt;=ТриггерПродавца,IF(СтатусПродавца="ИП",ПродавецФикс+'04_Доходы'!Z13*ПродавецБонус,(ПродавецФикс/NetGross+'04_Доходы'!Z13*ПродавецБонус)*(1+СтраховыеВзносы)),0)</f>
        <v/>
      </c>
      <c r="AA21" s="4">
        <f>IF('03_Сеть'!AA12&gt;=ТриггерПродавца,IF(СтатусПродавца="ИП",ПродавецФикс+'04_Доходы'!AA13*ПродавецБонус,(ПродавецФикс/NetGross+'04_Доходы'!AA13*ПродавецБонус)*(1+СтраховыеВзносы)),0)</f>
        <v/>
      </c>
      <c r="AB21" s="4">
        <f>IF('03_Сеть'!AB12&gt;=ТриггерПродавца,IF(СтатусПродавца="ИП",ПродавецФикс+'04_Доходы'!AB13*ПродавецБонус,(ПродавецФикс/NetGross+'04_Доходы'!AB13*ПродавецБонус)*(1+СтраховыеВзносы)),0)</f>
        <v/>
      </c>
      <c r="AC21" s="4">
        <f>IF('03_Сеть'!AC12&gt;=ТриггерПродавца,IF(СтатусПродавца="ИП",ПродавецФикс+'04_Доходы'!AC13*ПродавецБонус,(ПродавецФикс/NetGross+'04_Доходы'!AC13*ПродавецБонус)*(1+СтраховыеВзносы)),0)</f>
        <v/>
      </c>
      <c r="AD21" s="4">
        <f>IF('03_Сеть'!AD12&gt;=ТриггерПродавца,IF(СтатусПродавца="ИП",ПродавецФикс+'04_Доходы'!AD13*ПродавецБонус,(ПродавецФикс/NetGross+'04_Доходы'!AD13*ПродавецБонус)*(1+СтраховыеВзносы)),0)</f>
        <v/>
      </c>
      <c r="AE21" s="4">
        <f>IF('03_Сеть'!AE12&gt;=ТриггерПродавца,IF(СтатусПродавца="ИП",ПродавецФикс+'04_Доходы'!AE13*ПродавецБонус,(ПродавецФикс/NetGross+'04_Доходы'!AE13*ПродавецБонус)*(1+СтраховыеВзносы)),0)</f>
        <v/>
      </c>
      <c r="AF21" s="4">
        <f>IF('03_Сеть'!AF12&gt;=ТриггерПродавца,IF(СтатусПродавца="ИП",ПродавецФикс+'04_Доходы'!AF13*ПродавецБонус,(ПродавецФикс/NetGross+'04_Доходы'!AF13*ПродавецБонус)*(1+СтраховыеВзносы)),0)</f>
        <v/>
      </c>
      <c r="AG21" s="4">
        <f>IF('03_Сеть'!AG12&gt;=ТриггерПродавца,IF(СтатусПродавца="ИП",ПродавецФикс+'04_Доходы'!AG13*ПродавецБонус,(ПродавецФикс/NetGross+'04_Доходы'!AG13*ПродавецБонус)*(1+СтраховыеВзносы)),0)</f>
        <v/>
      </c>
      <c r="AH21" s="4">
        <f>IF('03_Сеть'!AH12&gt;=ТриггерПродавца,IF(СтатусПродавца="ИП",ПродавецФикс+'04_Доходы'!AH13*ПродавецБонус,(ПродавецФикс/NetGross+'04_Доходы'!AH13*ПродавецБонус)*(1+СтраховыеВзносы)),0)</f>
        <v/>
      </c>
      <c r="AI21" s="4">
        <f>IF('03_Сеть'!AI12&gt;=ТриггерПродавца,IF(СтатусПродавца="ИП",ПродавецФикс+'04_Доходы'!AI13*ПродавецБонус,(ПродавецФикс/NetGross+'04_Доходы'!AI13*ПродавецБонус)*(1+СтраховыеВзносы)),0)</f>
        <v/>
      </c>
      <c r="AJ21" s="4">
        <f>IF('03_Сеть'!AJ12&gt;=ТриггерПродавца,IF(СтатусПродавца="ИП",ПродавецФикс+'04_Доходы'!AJ13*ПродавецБонус,(ПродавецФикс/NetGross+'04_Доходы'!AJ13*ПродавецБонус)*(1+СтраховыеВзносы)),0)</f>
        <v/>
      </c>
      <c r="AK21" s="4">
        <f>IF('03_Сеть'!AK12&gt;=ТриггерПродавца,IF(СтатусПродавца="ИП",ПродавецФикс+'04_Доходы'!AK13*ПродавецБонус,(ПродавецФикс/NetGross+'04_Доходы'!AK13*ПродавецБонус)*(1+СтраховыеВзносы)),0)</f>
        <v/>
      </c>
      <c r="AL21" s="4">
        <f>IF('03_Сеть'!AL12&gt;=ТриггерПродавца,IF(СтатусПродавца="ИП",ПродавецФикс+'04_Доходы'!AL13*ПродавецБонус,(ПродавецФикс/NetGross+'04_Доходы'!AL13*ПродавецБонус)*(1+СтраховыеВзносы)),0)</f>
        <v/>
      </c>
      <c r="AM21" s="4">
        <f>IF('03_Сеть'!AM12&gt;=ТриггерПродавца,IF(СтатусПродавца="ИП",ПродавецФикс+'04_Доходы'!AM13*ПродавецБонус,(ПродавецФикс/NetGross+'04_Доходы'!AM13*ПродавецБонус)*(1+СтраховыеВзносы)),0)</f>
        <v/>
      </c>
      <c r="AN21" s="4">
        <f>IF('03_Сеть'!AN12&gt;=ТриггерПродавца,IF(СтатусПродавца="ИП",ПродавецФикс+'04_Доходы'!AN13*ПродавецБонус,(ПродавецФикс/NetGross+'04_Доходы'!AN13*ПродавецБонус)*(1+СтраховыеВзносы)),0)</f>
        <v/>
      </c>
      <c r="AO21" s="4">
        <f>IF('03_Сеть'!AO12&gt;=ТриггерПродавца,IF(СтатусПродавца="ИП",ПродавецФикс+'04_Доходы'!AO13*ПродавецБонус,(ПродавецФикс/NetGross+'04_Доходы'!AO13*ПродавецБонус)*(1+СтраховыеВзносы)),0)</f>
        <v/>
      </c>
      <c r="AP21" s="4">
        <f>IF('03_Сеть'!AP12&gt;=ТриггерПродавца,IF(СтатусПродавца="ИП",ПродавецФикс+'04_Доходы'!AP13*ПродавецБонус,(ПродавецФикс/NetGross+'04_Доходы'!AP13*ПродавецБонус)*(1+СтраховыеВзносы)),0)</f>
        <v/>
      </c>
      <c r="AQ21" s="4">
        <f>IF('03_Сеть'!AQ12&gt;=ТриггерПродавца,IF(СтатусПродавца="ИП",ПродавецФикс+'04_Доходы'!AQ13*ПродавецБонус,(ПродавецФикс/NetGross+'04_Доходы'!AQ13*ПродавецБонус)*(1+СтраховыеВзносы)),0)</f>
        <v/>
      </c>
      <c r="AR21" s="4">
        <f>IF('03_Сеть'!AR12&gt;=ТриггерПродавца,IF(СтатусПродавца="ИП",ПродавецФикс+'04_Доходы'!AR13*ПродавецБонус,(ПродавецФикс/NetGross+'04_Доходы'!AR13*ПродавецБонус)*(1+СтраховыеВзносы)),0)</f>
        <v/>
      </c>
      <c r="AS21" s="4">
        <f>IF('03_Сеть'!AS12&gt;=ТриггерПродавца,IF(СтатусПродавца="ИП",ПродавецФикс+'04_Доходы'!AS13*ПродавецБонус,(ПродавецФикс/NetGross+'04_Доходы'!AS13*ПродавецБонус)*(1+СтраховыеВзносы)),0)</f>
        <v/>
      </c>
      <c r="AT21" s="4">
        <f>IF('03_Сеть'!AT12&gt;=ТриггерПродавца,IF(СтатусПродавца="ИП",ПродавецФикс+'04_Доходы'!AT13*ПродавецБонус,(ПродавецФикс/NetGross+'04_Доходы'!AT13*ПродавецБонус)*(1+СтраховыеВзносы)),0)</f>
        <v/>
      </c>
      <c r="AU21" s="4">
        <f>IF('03_Сеть'!AU12&gt;=ТриггерПродавца,IF(СтатусПродавца="ИП",ПродавецФикс+'04_Доходы'!AU13*ПродавецБонус,(ПродавецФикс/NetGross+'04_Доходы'!AU13*ПродавецБонус)*(1+СтраховыеВзносы)),0)</f>
        <v/>
      </c>
      <c r="AV21" s="4">
        <f>IF('03_Сеть'!AV12&gt;=ТриггерПродавца,IF(СтатусПродавца="ИП",ПродавецФикс+'04_Доходы'!AV13*ПродавецБонус,(ПродавецФикс/NetGross+'04_Доходы'!AV13*ПродавецБонус)*(1+СтраховыеВзносы)),0)</f>
        <v/>
      </c>
      <c r="AW21" s="4">
        <f>IF('03_Сеть'!AW12&gt;=ТриггерПродавца,IF(СтатусПродавца="ИП",ПродавецФикс+'04_Доходы'!AW13*ПродавецБонус,(ПродавецФикс/NetGross+'04_Доходы'!AW13*ПродавецБонус)*(1+СтраховыеВзносы)),0)</f>
        <v/>
      </c>
      <c r="AX21" s="4">
        <f>IF('03_Сеть'!AX12&gt;=ТриггерПродавца,IF(СтатусПродавца="ИП",ПродавецФикс+'04_Доходы'!AX13*ПродавецБонус,(ПродавецФикс/NetGross+'04_Доходы'!AX13*ПродавецБонус)*(1+СтраховыеВзносы)),0)</f>
        <v/>
      </c>
      <c r="AY21" s="4">
        <f>IF('03_Сеть'!AY12&gt;=ТриггерПродавца,IF(СтатусПродавца="ИП",ПродавецФикс+'04_Доходы'!AY13*ПродавецБонус,(ПродавецФикс/NetGross+'04_Доходы'!AY13*ПродавецБонус)*(1+СтраховыеВзносы)),0)</f>
        <v/>
      </c>
      <c r="AZ21" s="4">
        <f>IF('03_Сеть'!AZ12&gt;=ТриггерПродавца,IF(СтатусПродавца="ИП",ПродавецФикс+'04_Доходы'!AZ13*ПродавецБонус,(ПродавецФикс/NetGross+'04_Доходы'!AZ13*ПродавецБонус)*(1+СтраховыеВзносы)),0)</f>
        <v/>
      </c>
      <c r="BA21" s="4">
        <f>IF('03_Сеть'!BA12&gt;=ТриггерПродавца,IF(СтатусПродавца="ИП",ПродавецФикс+'04_Доходы'!BA13*ПродавецБонус,(ПродавецФикс/NetGross+'04_Доходы'!BA13*ПродавецБонус)*(1+СтраховыеВзносы)),0)</f>
        <v/>
      </c>
      <c r="BB21" s="4">
        <f>IF('03_Сеть'!BB12&gt;=ТриггерПродавца,IF(СтатусПродавца="ИП",ПродавецФикс+'04_Доходы'!BB13*ПродавецБонус,(ПродавецФикс/NetGross+'04_Доходы'!BB13*ПродавецБонус)*(1+СтраховыеВзносы)),0)</f>
        <v/>
      </c>
      <c r="BC21" s="4">
        <f>IF('03_Сеть'!BC12&gt;=ТриггерПродавца,IF(СтатусПродавца="ИП",ПродавецФикс+'04_Доходы'!BC13*ПродавецБонус,(ПродавецФикс/NetGross+'04_Доходы'!BC13*ПродавецБонус)*(1+СтраховыеВзносы)),0)</f>
        <v/>
      </c>
      <c r="BD21" s="4">
        <f>IF('03_Сеть'!BD12&gt;=ТриггерПродавца,IF(СтатусПродавца="ИП",ПродавецФикс+'04_Доходы'!BD13*ПродавецБонус,(ПродавецФикс/NetGross+'04_Доходы'!BD13*ПродавецБонус)*(1+СтраховыеВзносы)),0)</f>
        <v/>
      </c>
      <c r="BE21" s="4">
        <f>IF('03_Сеть'!BE12&gt;=ТриггерПродавца,IF(СтатусПродавца="ИП",ПродавецФикс+'04_Доходы'!BE13*ПродавецБонус,(ПродавецФикс/NetGross+'04_Доходы'!BE13*ПродавецБонус)*(1+СтраховыеВзносы)),0)</f>
        <v/>
      </c>
      <c r="BF21" s="4">
        <f>IF('03_Сеть'!BF12&gt;=ТриггерПродавца,IF(СтатусПродавца="ИП",ПродавецФикс+'04_Доходы'!BF13*ПродавецБонус,(ПродавецФикс/NetGross+'04_Доходы'!BF13*ПродавецБонус)*(1+СтраховыеВзносы)),0)</f>
        <v/>
      </c>
      <c r="BG21" s="4">
        <f>IF('03_Сеть'!BG12&gt;=ТриггерПродавца,IF(СтатусПродавца="ИП",ПродавецФикс+'04_Доходы'!BG13*ПродавецБонус,(ПродавецФикс/NetGross+'04_Доходы'!BG13*ПродавецБонус)*(1+СтраховыеВзносы)),0)</f>
        <v/>
      </c>
      <c r="BH21" s="4">
        <f>IF('03_Сеть'!BH12&gt;=ТриггерПродавца,IF(СтатусПродавца="ИП",ПродавецФикс+'04_Доходы'!BH13*ПродавецБонус,(ПродавецФикс/NetGross+'04_Доходы'!BH13*ПродавецБонус)*(1+СтраховыеВзносы)),0)</f>
        <v/>
      </c>
      <c r="BI21" s="4">
        <f>IF('03_Сеть'!BI12&gt;=ТриггерПродавца,IF(СтатусПродавца="ИП",ПродавецФикс+'04_Доходы'!BI13*ПродавецБонус,(ПродавецФикс/NetGross+'04_Доходы'!BI13*ПродавецБонус)*(1+СтраховыеВзносы)),0)</f>
        <v/>
      </c>
      <c r="BJ21" s="4">
        <f>IF('03_Сеть'!BJ12&gt;=ТриггерПродавца,IF(СтатусПродавца="ИП",ПродавецФикс+'04_Доходы'!BJ13*ПродавецБонус,(ПродавецФикс/NetGross+'04_Доходы'!BJ13*ПродавецБонус)*(1+СтраховыеВзносы)),0)</f>
        <v/>
      </c>
      <c r="BK21" s="4">
        <f>IF('03_Сеть'!BK12&gt;=ТриггерПродавца,IF(СтатусПродавца="ИП",ПродавецФикс+'04_Доходы'!BK13*ПродавецБонус,(ПродавецФикс/NetGross+'04_Доходы'!BK13*ПродавецБонус)*(1+СтраховыеВзносы)),0)</f>
        <v/>
      </c>
      <c r="BL21" s="4">
        <f>IF('03_Сеть'!BL12&gt;=ТриггерПродавца,IF(СтатусПродавца="ИП",ПродавецФикс+'04_Доходы'!BL13*ПродавецБонус,(ПродавецФикс/NetGross+'04_Доходы'!BL13*ПродавецБонус)*(1+СтраховыеВзносы)),0)</f>
        <v/>
      </c>
      <c r="BM21" s="4">
        <f>IF('03_Сеть'!BM12&gt;=ТриггерПродавца,IF(СтатусПродавца="ИП",ПродавецФикс+'04_Доходы'!BM13*ПродавецБонус,(ПродавецФикс/NetGross+'04_Доходы'!BM13*ПродавецБонус)*(1+СтраховыеВзносы)),0)</f>
        <v/>
      </c>
      <c r="BN21" s="4">
        <f>IF('03_Сеть'!BN12&gt;=ТриггерПродавца,IF(СтатусПродавца="ИП",ПродавецФикс+'04_Доходы'!BN13*ПродавецБонус,(ПродавецФикс/NetGross+'04_Доходы'!BN13*ПродавецБонус)*(1+СтраховыеВзносы)),0)</f>
        <v/>
      </c>
      <c r="BO21" s="4">
        <f>IF('03_Сеть'!BO12&gt;=ТриггерПродавца,IF(СтатусПродавца="ИП",ПродавецФикс+'04_Доходы'!BO13*ПродавецБонус,(ПродавецФикс/NetGross+'04_Доходы'!BO13*ПродавецБонус)*(1+СтраховыеВзносы)),0)</f>
        <v/>
      </c>
      <c r="BP21" s="4">
        <f>IF('03_Сеть'!BP12&gt;=ТриггерПродавца,IF(СтатусПродавца="ИП",ПродавецФикс+'04_Доходы'!BP13*ПродавецБонус,(ПродавецФикс/NetGross+'04_Доходы'!BP13*ПродавецБонус)*(1+СтраховыеВзносы)),0)</f>
        <v/>
      </c>
      <c r="BQ21" s="4">
        <f>IF('03_Сеть'!BQ12&gt;=ТриггерПродавца,IF(СтатусПродавца="ИП",ПродавецФикс+'04_Доходы'!BQ13*ПродавецБонус,(ПродавецФикс/NetGross+'04_Доходы'!BQ13*ПродавецБонус)*(1+СтраховыеВзносы)),0)</f>
        <v/>
      </c>
      <c r="BR21" s="4">
        <f>IF('03_Сеть'!BR12&gt;=ТриггерПродавца,IF(СтатусПродавца="ИП",ПродавецФикс+'04_Доходы'!BR13*ПродавецБонус,(ПродавецФикс/NetGross+'04_Доходы'!BR13*ПродавецБонус)*(1+СтраховыеВзносы)),0)</f>
        <v/>
      </c>
      <c r="BS21" s="4">
        <f>IF('03_Сеть'!BS12&gt;=ТриггерПродавца,IF(СтатусПродавца="ИП",ПродавецФикс+'04_Доходы'!BS13*ПродавецБонус,(ПродавецФикс/NetGross+'04_Доходы'!BS13*ПродавецБонус)*(1+СтраховыеВзносы)),0)</f>
        <v/>
      </c>
      <c r="BT21" s="4">
        <f>IF('03_Сеть'!BT12&gt;=ТриггерПродавца,IF(СтатусПродавца="ИП",ПродавецФикс+'04_Доходы'!BT13*ПродавецБонус,(ПродавецФикс/NetGross+'04_Доходы'!BT13*ПродавецБонус)*(1+СтраховыеВзносы)),0)</f>
        <v/>
      </c>
      <c r="BU21" s="4">
        <f>IF('03_Сеть'!BU12&gt;=ТриггерПродавца,IF(СтатусПродавца="ИП",ПродавецФикс+'04_Доходы'!BU13*ПродавецБонус,(ПродавецФикс/NetGross+'04_Доходы'!BU13*ПродавецБонус)*(1+СтраховыеВзносы)),0)</f>
        <v/>
      </c>
      <c r="BV21" s="4">
        <f>IF('03_Сеть'!BV12&gt;=ТриггерПродавца,IF(СтатусПродавца="ИП",ПродавецФикс+'04_Доходы'!BV13*ПродавецБонус,(ПродавецФикс/NetGross+'04_Доходы'!BV13*ПродавецБонус)*(1+СтраховыеВзносы)),0)</f>
        <v/>
      </c>
      <c r="BW21" s="4">
        <f>IF('03_Сеть'!BW12&gt;=ТриггерПродавца,IF(СтатусПродавца="ИП",ПродавецФикс+'04_Доходы'!BW13*ПродавецБонус,(ПродавецФикс/NetGross+'04_Доходы'!BW13*ПродавецБонус)*(1+СтраховыеВзносы)),0)</f>
        <v/>
      </c>
      <c r="BX21" s="4">
        <f>IF('03_Сеть'!BX12&gt;=ТриггерПродавца,IF(СтатусПродавца="ИП",ПродавецФикс+'04_Доходы'!BX13*ПродавецБонус,(ПродавецФикс/NetGross+'04_Доходы'!BX13*ПродавецБонус)*(1+СтраховыеВзносы)),0)</f>
        <v/>
      </c>
      <c r="BY21" s="4">
        <f>IF('03_Сеть'!BY12&gt;=ТриггерПродавца,IF(СтатусПродавца="ИП",ПродавецФикс+'04_Доходы'!BY13*ПродавецБонус,(ПродавецФикс/NetGross+'04_Доходы'!BY13*ПродавецБонус)*(1+СтраховыеВзносы)),0)</f>
        <v/>
      </c>
    </row>
    <row r="22">
      <c r="B22" t="inlineStr">
        <is>
          <t>Квартальная премия, gross</t>
        </is>
      </c>
      <c r="C22" t="inlineStr">
        <is>
          <t>₽</t>
        </is>
      </c>
      <c r="D22" s="117" t="inlineStr">
        <is>
          <t>Раз в квартал, 60% месячного оклада</t>
        </is>
      </c>
      <c r="E22" s="119">
        <f>SUM(L22:W22)</f>
        <v/>
      </c>
      <c r="F22" s="119">
        <f>SUM(X22:AI22)</f>
        <v/>
      </c>
      <c r="G22" s="119">
        <f>SUM(AJ22:AU22)</f>
        <v/>
      </c>
      <c r="H22" s="119">
        <f>SUM(AV22:BG22)</f>
        <v/>
      </c>
      <c r="I22" s="119">
        <f>SUM(BH22:BS22)</f>
        <v/>
      </c>
      <c r="J22" s="5">
        <f>SUM(L22:BS22)</f>
        <v/>
      </c>
      <c r="L22" s="4">
        <f>IF(AND('03_Сеть'!L6&gt;=ДатаКвартальных,MOD(MONTH('03_Сеть'!L6),3)=0),(БазаКвартальной*L6+IF(ПремияГДвБазе="Да",L7,0)+L9+L10)*КвартальнаяПремия,0)</f>
        <v/>
      </c>
      <c r="M22" s="4">
        <f>IF(AND('03_Сеть'!M6&gt;=ДатаКвартальных,MOD(MONTH('03_Сеть'!M6),3)=0),(БазаКвартальной*M6+IF(ПремияГДвБазе="Да",M7,0)+M9+M10)*КвартальнаяПремия,0)</f>
        <v/>
      </c>
      <c r="N22" s="4">
        <f>IF(AND('03_Сеть'!N6&gt;=ДатаКвартальных,MOD(MONTH('03_Сеть'!N6),3)=0),(БазаКвартальной*N6+IF(ПремияГДвБазе="Да",N7,0)+N9+N10)*КвартальнаяПремия,0)</f>
        <v/>
      </c>
      <c r="O22" s="4">
        <f>IF(AND('03_Сеть'!O6&gt;=ДатаКвартальных,MOD(MONTH('03_Сеть'!O6),3)=0),(БазаКвартальной*O6+IF(ПремияГДвБазе="Да",O7,0)+O9+O10)*КвартальнаяПремия,0)</f>
        <v/>
      </c>
      <c r="P22" s="4">
        <f>IF(AND('03_Сеть'!P6&gt;=ДатаКвартальных,MOD(MONTH('03_Сеть'!P6),3)=0),(БазаКвартальной*P6+IF(ПремияГДвБазе="Да",P7,0)+P9+P10)*КвартальнаяПремия,0)</f>
        <v/>
      </c>
      <c r="Q22" s="4">
        <f>IF(AND('03_Сеть'!Q6&gt;=ДатаКвартальных,MOD(MONTH('03_Сеть'!Q6),3)=0),(БазаКвартальной*Q6+IF(ПремияГДвБазе="Да",Q7,0)+Q9+Q10)*КвартальнаяПремия,0)</f>
        <v/>
      </c>
      <c r="R22" s="4">
        <f>IF(AND('03_Сеть'!R6&gt;=ДатаКвартальных,MOD(MONTH('03_Сеть'!R6),3)=0),(БазаКвартальной*R6+IF(ПремияГДвБазе="Да",R7,0)+R9+R10)*КвартальнаяПремия,0)</f>
        <v/>
      </c>
      <c r="S22" s="4">
        <f>IF(AND('03_Сеть'!S6&gt;=ДатаКвартальных,MOD(MONTH('03_Сеть'!S6),3)=0),(БазаКвартальной*S6+IF(ПремияГДвБазе="Да",S7,0)+S9+S10)*КвартальнаяПремия,0)</f>
        <v/>
      </c>
      <c r="T22" s="4">
        <f>IF(AND('03_Сеть'!T6&gt;=ДатаКвартальных,MOD(MONTH('03_Сеть'!T6),3)=0),(БазаКвартальной*T6+IF(ПремияГДвБазе="Да",T7,0)+T9+T10)*КвартальнаяПремия,0)</f>
        <v/>
      </c>
      <c r="U22" s="4">
        <f>IF(AND('03_Сеть'!U6&gt;=ДатаКвартальных,MOD(MONTH('03_Сеть'!U6),3)=0),(БазаКвартальной*U6+IF(ПремияГДвБазе="Да",U7,0)+U9+U10)*КвартальнаяПремия,0)</f>
        <v/>
      </c>
      <c r="V22" s="4">
        <f>IF(AND('03_Сеть'!V6&gt;=ДатаКвартальных,MOD(MONTH('03_Сеть'!V6),3)=0),(БазаКвартальной*V6+IF(ПремияГДвБазе="Да",V7,0)+V9+V10)*КвартальнаяПремия,0)</f>
        <v/>
      </c>
      <c r="W22" s="4">
        <f>IF(AND('03_Сеть'!W6&gt;=ДатаКвартальных,MOD(MONTH('03_Сеть'!W6),3)=0),(БазаКвартальной*W6+IF(ПремияГДвБазе="Да",W7,0)+W9+W10)*КвартальнаяПремия,0)</f>
        <v/>
      </c>
      <c r="X22" s="4">
        <f>IF(AND('03_Сеть'!X6&gt;=ДатаКвартальных,MOD(MONTH('03_Сеть'!X6),3)=0),(БазаКвартальной*X6+IF(ПремияГДвБазе="Да",X7,0)+X9+X10)*КвартальнаяПремия,0)</f>
        <v/>
      </c>
      <c r="Y22" s="4">
        <f>IF(AND('03_Сеть'!Y6&gt;=ДатаКвартальных,MOD(MONTH('03_Сеть'!Y6),3)=0),(БазаКвартальной*Y6+IF(ПремияГДвБазе="Да",Y7,0)+Y9+Y10)*КвартальнаяПремия,0)</f>
        <v/>
      </c>
      <c r="Z22" s="4">
        <f>IF(AND('03_Сеть'!Z6&gt;=ДатаКвартальных,MOD(MONTH('03_Сеть'!Z6),3)=0),(БазаКвартальной*Z6+IF(ПремияГДвБазе="Да",Z7,0)+Z9+Z10)*КвартальнаяПремия,0)</f>
        <v/>
      </c>
      <c r="AA22" s="4">
        <f>IF(AND('03_Сеть'!AA6&gt;=ДатаКвартальных,MOD(MONTH('03_Сеть'!AA6),3)=0),(БазаКвартальной*AA6+IF(ПремияГДвБазе="Да",AA7,0)+AA9+AA10)*КвартальнаяПремия,0)</f>
        <v/>
      </c>
      <c r="AB22" s="4">
        <f>IF(AND('03_Сеть'!AB6&gt;=ДатаКвартальных,MOD(MONTH('03_Сеть'!AB6),3)=0),(БазаКвартальной*AB6+IF(ПремияГДвБазе="Да",AB7,0)+AB9+AB10)*КвартальнаяПремия,0)</f>
        <v/>
      </c>
      <c r="AC22" s="4">
        <f>IF(AND('03_Сеть'!AC6&gt;=ДатаКвартальных,MOD(MONTH('03_Сеть'!AC6),3)=0),(БазаКвартальной*AC6+IF(ПремияГДвБазе="Да",AC7,0)+AC9+AC10)*КвартальнаяПремия,0)</f>
        <v/>
      </c>
      <c r="AD22" s="4">
        <f>IF(AND('03_Сеть'!AD6&gt;=ДатаКвартальных,MOD(MONTH('03_Сеть'!AD6),3)=0),(БазаКвартальной*AD6+IF(ПремияГДвБазе="Да",AD7,0)+AD9+AD10)*КвартальнаяПремия,0)</f>
        <v/>
      </c>
      <c r="AE22" s="4">
        <f>IF(AND('03_Сеть'!AE6&gt;=ДатаКвартальных,MOD(MONTH('03_Сеть'!AE6),3)=0),(БазаКвартальной*AE6+IF(ПремияГДвБазе="Да",AE7,0)+AE9+AE10)*КвартальнаяПремия,0)</f>
        <v/>
      </c>
      <c r="AF22" s="4">
        <f>IF(AND('03_Сеть'!AF6&gt;=ДатаКвартальных,MOD(MONTH('03_Сеть'!AF6),3)=0),(БазаКвартальной*AF6+IF(ПремияГДвБазе="Да",AF7,0)+AF9+AF10)*КвартальнаяПремия,0)</f>
        <v/>
      </c>
      <c r="AG22" s="4">
        <f>IF(AND('03_Сеть'!AG6&gt;=ДатаКвартальных,MOD(MONTH('03_Сеть'!AG6),3)=0),(БазаКвартальной*AG6+IF(ПремияГДвБазе="Да",AG7,0)+AG9+AG10)*КвартальнаяПремия,0)</f>
        <v/>
      </c>
      <c r="AH22" s="4">
        <f>IF(AND('03_Сеть'!AH6&gt;=ДатаКвартальных,MOD(MONTH('03_Сеть'!AH6),3)=0),(БазаКвартальной*AH6+IF(ПремияГДвБазе="Да",AH7,0)+AH9+AH10)*КвартальнаяПремия,0)</f>
        <v/>
      </c>
      <c r="AI22" s="4">
        <f>IF(AND('03_Сеть'!AI6&gt;=ДатаКвартальных,MOD(MONTH('03_Сеть'!AI6),3)=0),(БазаКвартальной*AI6+IF(ПремияГДвБазе="Да",AI7,0)+AI9+AI10)*КвартальнаяПремия,0)</f>
        <v/>
      </c>
      <c r="AJ22" s="4">
        <f>IF(AND('03_Сеть'!AJ6&gt;=ДатаКвартальных,MOD(MONTH('03_Сеть'!AJ6),3)=0),(БазаКвартальной*AJ6+IF(ПремияГДвБазе="Да",AJ7,0)+AJ9+AJ10)*КвартальнаяПремия,0)</f>
        <v/>
      </c>
      <c r="AK22" s="4">
        <f>IF(AND('03_Сеть'!AK6&gt;=ДатаКвартальных,MOD(MONTH('03_Сеть'!AK6),3)=0),(БазаКвартальной*AK6+IF(ПремияГДвБазе="Да",AK7,0)+AK9+AK10)*КвартальнаяПремия,0)</f>
        <v/>
      </c>
      <c r="AL22" s="4">
        <f>IF(AND('03_Сеть'!AL6&gt;=ДатаКвартальных,MOD(MONTH('03_Сеть'!AL6),3)=0),(БазаКвартальной*AL6+IF(ПремияГДвБазе="Да",AL7,0)+AL9+AL10)*КвартальнаяПремия,0)</f>
        <v/>
      </c>
      <c r="AM22" s="4">
        <f>IF(AND('03_Сеть'!AM6&gt;=ДатаКвартальных,MOD(MONTH('03_Сеть'!AM6),3)=0),(БазаКвартальной*AM6+IF(ПремияГДвБазе="Да",AM7,0)+AM9+AM10)*КвартальнаяПремия,0)</f>
        <v/>
      </c>
      <c r="AN22" s="4">
        <f>IF(AND('03_Сеть'!AN6&gt;=ДатаКвартальных,MOD(MONTH('03_Сеть'!AN6),3)=0),(БазаКвартальной*AN6+IF(ПремияГДвБазе="Да",AN7,0)+AN9+AN10)*КвартальнаяПремия,0)</f>
        <v/>
      </c>
      <c r="AO22" s="4">
        <f>IF(AND('03_Сеть'!AO6&gt;=ДатаКвартальных,MOD(MONTH('03_Сеть'!AO6),3)=0),(БазаКвартальной*AO6+IF(ПремияГДвБазе="Да",AO7,0)+AO9+AO10)*КвартальнаяПремия,0)</f>
        <v/>
      </c>
      <c r="AP22" s="4">
        <f>IF(AND('03_Сеть'!AP6&gt;=ДатаКвартальных,MOD(MONTH('03_Сеть'!AP6),3)=0),(БазаКвартальной*AP6+IF(ПремияГДвБазе="Да",AP7,0)+AP9+AP10)*КвартальнаяПремия,0)</f>
        <v/>
      </c>
      <c r="AQ22" s="4">
        <f>IF(AND('03_Сеть'!AQ6&gt;=ДатаКвартальных,MOD(MONTH('03_Сеть'!AQ6),3)=0),(БазаКвартальной*AQ6+IF(ПремияГДвБазе="Да",AQ7,0)+AQ9+AQ10)*КвартальнаяПремия,0)</f>
        <v/>
      </c>
      <c r="AR22" s="4">
        <f>IF(AND('03_Сеть'!AR6&gt;=ДатаКвартальных,MOD(MONTH('03_Сеть'!AR6),3)=0),(БазаКвартальной*AR6+IF(ПремияГДвБазе="Да",AR7,0)+AR9+AR10)*КвартальнаяПремия,0)</f>
        <v/>
      </c>
      <c r="AS22" s="4">
        <f>IF(AND('03_Сеть'!AS6&gt;=ДатаКвартальных,MOD(MONTH('03_Сеть'!AS6),3)=0),(БазаКвартальной*AS6+IF(ПремияГДвБазе="Да",AS7,0)+AS9+AS10)*КвартальнаяПремия,0)</f>
        <v/>
      </c>
      <c r="AT22" s="4">
        <f>IF(AND('03_Сеть'!AT6&gt;=ДатаКвартальных,MOD(MONTH('03_Сеть'!AT6),3)=0),(БазаКвартальной*AT6+IF(ПремияГДвБазе="Да",AT7,0)+AT9+AT10)*КвартальнаяПремия,0)</f>
        <v/>
      </c>
      <c r="AU22" s="4">
        <f>IF(AND('03_Сеть'!AU6&gt;=ДатаКвартальных,MOD(MONTH('03_Сеть'!AU6),3)=0),(БазаКвартальной*AU6+IF(ПремияГДвБазе="Да",AU7,0)+AU9+AU10)*КвартальнаяПремия,0)</f>
        <v/>
      </c>
      <c r="AV22" s="4">
        <f>IF(AND('03_Сеть'!AV6&gt;=ДатаКвартальных,MOD(MONTH('03_Сеть'!AV6),3)=0),(БазаКвартальной*AV6+IF(ПремияГДвБазе="Да",AV7,0)+AV9+AV10)*КвартальнаяПремия,0)</f>
        <v/>
      </c>
      <c r="AW22" s="4">
        <f>IF(AND('03_Сеть'!AW6&gt;=ДатаКвартальных,MOD(MONTH('03_Сеть'!AW6),3)=0),(БазаКвартальной*AW6+IF(ПремияГДвБазе="Да",AW7,0)+AW9+AW10)*КвартальнаяПремия,0)</f>
        <v/>
      </c>
      <c r="AX22" s="4">
        <f>IF(AND('03_Сеть'!AX6&gt;=ДатаКвартальных,MOD(MONTH('03_Сеть'!AX6),3)=0),(БазаКвартальной*AX6+IF(ПремияГДвБазе="Да",AX7,0)+AX9+AX10)*КвартальнаяПремия,0)</f>
        <v/>
      </c>
      <c r="AY22" s="4">
        <f>IF(AND('03_Сеть'!AY6&gt;=ДатаКвартальных,MOD(MONTH('03_Сеть'!AY6),3)=0),(БазаКвартальной*AY6+IF(ПремияГДвБазе="Да",AY7,0)+AY9+AY10)*КвартальнаяПремия,0)</f>
        <v/>
      </c>
      <c r="AZ22" s="4">
        <f>IF(AND('03_Сеть'!AZ6&gt;=ДатаКвартальных,MOD(MONTH('03_Сеть'!AZ6),3)=0),(БазаКвартальной*AZ6+IF(ПремияГДвБазе="Да",AZ7,0)+AZ9+AZ10)*КвартальнаяПремия,0)</f>
        <v/>
      </c>
      <c r="BA22" s="4">
        <f>IF(AND('03_Сеть'!BA6&gt;=ДатаКвартальных,MOD(MONTH('03_Сеть'!BA6),3)=0),(БазаКвартальной*BA6+IF(ПремияГДвБазе="Да",BA7,0)+BA9+BA10)*КвартальнаяПремия,0)</f>
        <v/>
      </c>
      <c r="BB22" s="4">
        <f>IF(AND('03_Сеть'!BB6&gt;=ДатаКвартальных,MOD(MONTH('03_Сеть'!BB6),3)=0),(БазаКвартальной*BB6+IF(ПремияГДвБазе="Да",BB7,0)+BB9+BB10)*КвартальнаяПремия,0)</f>
        <v/>
      </c>
      <c r="BC22" s="4">
        <f>IF(AND('03_Сеть'!BC6&gt;=ДатаКвартальных,MOD(MONTH('03_Сеть'!BC6),3)=0),(БазаКвартальной*BC6+IF(ПремияГДвБазе="Да",BC7,0)+BC9+BC10)*КвартальнаяПремия,0)</f>
        <v/>
      </c>
      <c r="BD22" s="4">
        <f>IF(AND('03_Сеть'!BD6&gt;=ДатаКвартальных,MOD(MONTH('03_Сеть'!BD6),3)=0),(БазаКвартальной*BD6+IF(ПремияГДвБазе="Да",BD7,0)+BD9+BD10)*КвартальнаяПремия,0)</f>
        <v/>
      </c>
      <c r="BE22" s="4">
        <f>IF(AND('03_Сеть'!BE6&gt;=ДатаКвартальных,MOD(MONTH('03_Сеть'!BE6),3)=0),(БазаКвартальной*BE6+IF(ПремияГДвБазе="Да",BE7,0)+BE9+BE10)*КвартальнаяПремия,0)</f>
        <v/>
      </c>
      <c r="BF22" s="4">
        <f>IF(AND('03_Сеть'!BF6&gt;=ДатаКвартальных,MOD(MONTH('03_Сеть'!BF6),3)=0),(БазаКвартальной*BF6+IF(ПремияГДвБазе="Да",BF7,0)+BF9+BF10)*КвартальнаяПремия,0)</f>
        <v/>
      </c>
      <c r="BG22" s="4">
        <f>IF(AND('03_Сеть'!BG6&gt;=ДатаКвартальных,MOD(MONTH('03_Сеть'!BG6),3)=0),(БазаКвартальной*BG6+IF(ПремияГДвБазе="Да",BG7,0)+BG9+BG10)*КвартальнаяПремия,0)</f>
        <v/>
      </c>
      <c r="BH22" s="4">
        <f>IF(AND('03_Сеть'!BH6&gt;=ДатаКвартальных,MOD(MONTH('03_Сеть'!BH6),3)=0),(БазаКвартальной*BH6+IF(ПремияГДвБазе="Да",BH7,0)+BH9+BH10)*КвартальнаяПремия,0)</f>
        <v/>
      </c>
      <c r="BI22" s="4">
        <f>IF(AND('03_Сеть'!BI6&gt;=ДатаКвартальных,MOD(MONTH('03_Сеть'!BI6),3)=0),(БазаКвартальной*BI6+IF(ПремияГДвБазе="Да",BI7,0)+BI9+BI10)*КвартальнаяПремия,0)</f>
        <v/>
      </c>
      <c r="BJ22" s="4">
        <f>IF(AND('03_Сеть'!BJ6&gt;=ДатаКвартальных,MOD(MONTH('03_Сеть'!BJ6),3)=0),(БазаКвартальной*BJ6+IF(ПремияГДвБазе="Да",BJ7,0)+BJ9+BJ10)*КвартальнаяПремия,0)</f>
        <v/>
      </c>
      <c r="BK22" s="4">
        <f>IF(AND('03_Сеть'!BK6&gt;=ДатаКвартальных,MOD(MONTH('03_Сеть'!BK6),3)=0),(БазаКвартальной*BK6+IF(ПремияГДвБазе="Да",BK7,0)+BK9+BK10)*КвартальнаяПремия,0)</f>
        <v/>
      </c>
      <c r="BL22" s="4">
        <f>IF(AND('03_Сеть'!BL6&gt;=ДатаКвартальных,MOD(MONTH('03_Сеть'!BL6),3)=0),(БазаКвартальной*BL6+IF(ПремияГДвБазе="Да",BL7,0)+BL9+BL10)*КвартальнаяПремия,0)</f>
        <v/>
      </c>
      <c r="BM22" s="4">
        <f>IF(AND('03_Сеть'!BM6&gt;=ДатаКвартальных,MOD(MONTH('03_Сеть'!BM6),3)=0),(БазаКвартальной*BM6+IF(ПремияГДвБазе="Да",BM7,0)+BM9+BM10)*КвартальнаяПремия,0)</f>
        <v/>
      </c>
      <c r="BN22" s="4">
        <f>IF(AND('03_Сеть'!BN6&gt;=ДатаКвартальных,MOD(MONTH('03_Сеть'!BN6),3)=0),(БазаКвартальной*BN6+IF(ПремияГДвБазе="Да",BN7,0)+BN9+BN10)*КвартальнаяПремия,0)</f>
        <v/>
      </c>
      <c r="BO22" s="4">
        <f>IF(AND('03_Сеть'!BO6&gt;=ДатаКвартальных,MOD(MONTH('03_Сеть'!BO6),3)=0),(БазаКвартальной*BO6+IF(ПремияГДвБазе="Да",BO7,0)+BO9+BO10)*КвартальнаяПремия,0)</f>
        <v/>
      </c>
      <c r="BP22" s="4">
        <f>IF(AND('03_Сеть'!BP6&gt;=ДатаКвартальных,MOD(MONTH('03_Сеть'!BP6),3)=0),(БазаКвартальной*BP6+IF(ПремияГДвБазе="Да",BP7,0)+BP9+BP10)*КвартальнаяПремия,0)</f>
        <v/>
      </c>
      <c r="BQ22" s="4">
        <f>IF(AND('03_Сеть'!BQ6&gt;=ДатаКвартальных,MOD(MONTH('03_Сеть'!BQ6),3)=0),(БазаКвартальной*BQ6+IF(ПремияГДвБазе="Да",BQ7,0)+BQ9+BQ10)*КвартальнаяПремия,0)</f>
        <v/>
      </c>
      <c r="BR22" s="4">
        <f>IF(AND('03_Сеть'!BR6&gt;=ДатаКвартальных,MOD(MONTH('03_Сеть'!BR6),3)=0),(БазаКвартальной*BR6+IF(ПремияГДвБазе="Да",BR7,0)+BR9+BR10)*КвартальнаяПремия,0)</f>
        <v/>
      </c>
      <c r="BS22" s="4">
        <f>IF(AND('03_Сеть'!BS6&gt;=ДатаКвартальных,MOD(MONTH('03_Сеть'!BS6),3)=0),(БазаКвартальной*BS6+IF(ПремияГДвБазе="Да",BS7,0)+BS9+BS10)*КвартальнаяПремия,0)</f>
        <v/>
      </c>
      <c r="BT22" s="4">
        <f>IF(AND('03_Сеть'!BT6&gt;=ДатаКвартальных,MOD(MONTH('03_Сеть'!BT6),3)=0),(БазаКвартальной*BT6+IF(ПремияГДвБазе="Да",BT7,0)+BT9+BT10)*КвартальнаяПремия,0)</f>
        <v/>
      </c>
      <c r="BU22" s="4">
        <f>IF(AND('03_Сеть'!BU6&gt;=ДатаКвартальных,MOD(MONTH('03_Сеть'!BU6),3)=0),(БазаКвартальной*BU6+IF(ПремияГДвБазе="Да",BU7,0)+BU9+BU10)*КвартальнаяПремия,0)</f>
        <v/>
      </c>
      <c r="BV22" s="4">
        <f>IF(AND('03_Сеть'!BV6&gt;=ДатаКвартальных,MOD(MONTH('03_Сеть'!BV6),3)=0),(БазаКвартальной*BV6+IF(ПремияГДвБазе="Да",BV7,0)+BV9+BV10)*КвартальнаяПремия,0)</f>
        <v/>
      </c>
      <c r="BW22" s="4">
        <f>IF(AND('03_Сеть'!BW6&gt;=ДатаКвартальных,MOD(MONTH('03_Сеть'!BW6),3)=0),(БазаКвартальной*BW6+IF(ПремияГДвБазе="Да",BW7,0)+BW9+BW10)*КвартальнаяПремия,0)</f>
        <v/>
      </c>
      <c r="BX22" s="4">
        <f>IF(AND('03_Сеть'!BX6&gt;=ДатаКвартальных,MOD(MONTH('03_Сеть'!BX6),3)=0),(БазаКвартальной*BX6+IF(ПремияГДвБазе="Да",BX7,0)+BX9+BX10)*КвартальнаяПремия,0)</f>
        <v/>
      </c>
      <c r="BY22" s="4">
        <f>IF(AND('03_Сеть'!BY6&gt;=ДатаКвартальных,MOD(MONTH('03_Сеть'!BY6),3)=0),(БазаКвартальной*BY6+IF(ПремияГДвБазе="Да",BY7,0)+BY9+BY10)*КвартальнаяПремия,0)</f>
        <v/>
      </c>
    </row>
    <row r="23">
      <c r="B23" t="inlineStr">
        <is>
          <t>Взносы на квартальную премию</t>
        </is>
      </c>
      <c r="C23" t="inlineStr">
        <is>
          <t>₽</t>
        </is>
      </c>
      <c r="D23" s="117" t="inlineStr"/>
      <c r="E23" s="119">
        <f>SUM(L23:W23)</f>
        <v/>
      </c>
      <c r="F23" s="119">
        <f>SUM(X23:AI23)</f>
        <v/>
      </c>
      <c r="G23" s="119">
        <f>SUM(AJ23:AU23)</f>
        <v/>
      </c>
      <c r="H23" s="119">
        <f>SUM(AV23:BG23)</f>
        <v/>
      </c>
      <c r="I23" s="119">
        <f>SUM(BH23:BS23)</f>
        <v/>
      </c>
      <c r="J23" s="5">
        <f>SUM(L23:BS23)</f>
        <v/>
      </c>
      <c r="L23" s="4">
        <f>L22*СтраховыеВзносы</f>
        <v/>
      </c>
      <c r="M23" s="4">
        <f>M22*СтраховыеВзносы</f>
        <v/>
      </c>
      <c r="N23" s="4">
        <f>N22*СтраховыеВзносы</f>
        <v/>
      </c>
      <c r="O23" s="4">
        <f>O22*СтраховыеВзносы</f>
        <v/>
      </c>
      <c r="P23" s="4">
        <f>P22*СтраховыеВзносы</f>
        <v/>
      </c>
      <c r="Q23" s="4">
        <f>Q22*СтраховыеВзносы</f>
        <v/>
      </c>
      <c r="R23" s="4">
        <f>R22*СтраховыеВзносы</f>
        <v/>
      </c>
      <c r="S23" s="4">
        <f>S22*СтраховыеВзносы</f>
        <v/>
      </c>
      <c r="T23" s="4">
        <f>T22*СтраховыеВзносы</f>
        <v/>
      </c>
      <c r="U23" s="4">
        <f>U22*СтраховыеВзносы</f>
        <v/>
      </c>
      <c r="V23" s="4">
        <f>V22*СтраховыеВзносы</f>
        <v/>
      </c>
      <c r="W23" s="4">
        <f>W22*СтраховыеВзносы</f>
        <v/>
      </c>
      <c r="X23" s="4">
        <f>X22*СтраховыеВзносы</f>
        <v/>
      </c>
      <c r="Y23" s="4">
        <f>Y22*СтраховыеВзносы</f>
        <v/>
      </c>
      <c r="Z23" s="4">
        <f>Z22*СтраховыеВзносы</f>
        <v/>
      </c>
      <c r="AA23" s="4">
        <f>AA22*СтраховыеВзносы</f>
        <v/>
      </c>
      <c r="AB23" s="4">
        <f>AB22*СтраховыеВзносы</f>
        <v/>
      </c>
      <c r="AC23" s="4">
        <f>AC22*СтраховыеВзносы</f>
        <v/>
      </c>
      <c r="AD23" s="4">
        <f>AD22*СтраховыеВзносы</f>
        <v/>
      </c>
      <c r="AE23" s="4">
        <f>AE22*СтраховыеВзносы</f>
        <v/>
      </c>
      <c r="AF23" s="4">
        <f>AF22*СтраховыеВзносы</f>
        <v/>
      </c>
      <c r="AG23" s="4">
        <f>AG22*СтраховыеВзносы</f>
        <v/>
      </c>
      <c r="AH23" s="4">
        <f>AH22*СтраховыеВзносы</f>
        <v/>
      </c>
      <c r="AI23" s="4">
        <f>AI22*СтраховыеВзносы</f>
        <v/>
      </c>
      <c r="AJ23" s="4">
        <f>AJ22*СтраховыеВзносы</f>
        <v/>
      </c>
      <c r="AK23" s="4">
        <f>AK22*СтраховыеВзносы</f>
        <v/>
      </c>
      <c r="AL23" s="4">
        <f>AL22*СтраховыеВзносы</f>
        <v/>
      </c>
      <c r="AM23" s="4">
        <f>AM22*СтраховыеВзносы</f>
        <v/>
      </c>
      <c r="AN23" s="4">
        <f>AN22*СтраховыеВзносы</f>
        <v/>
      </c>
      <c r="AO23" s="4">
        <f>AO22*СтраховыеВзносы</f>
        <v/>
      </c>
      <c r="AP23" s="4">
        <f>AP22*СтраховыеВзносы</f>
        <v/>
      </c>
      <c r="AQ23" s="4">
        <f>AQ22*СтраховыеВзносы</f>
        <v/>
      </c>
      <c r="AR23" s="4">
        <f>AR22*СтраховыеВзносы</f>
        <v/>
      </c>
      <c r="AS23" s="4">
        <f>AS22*СтраховыеВзносы</f>
        <v/>
      </c>
      <c r="AT23" s="4">
        <f>AT22*СтраховыеВзносы</f>
        <v/>
      </c>
      <c r="AU23" s="4">
        <f>AU22*СтраховыеВзносы</f>
        <v/>
      </c>
      <c r="AV23" s="4">
        <f>AV22*СтраховыеВзносы</f>
        <v/>
      </c>
      <c r="AW23" s="4">
        <f>AW22*СтраховыеВзносы</f>
        <v/>
      </c>
      <c r="AX23" s="4">
        <f>AX22*СтраховыеВзносы</f>
        <v/>
      </c>
      <c r="AY23" s="4">
        <f>AY22*СтраховыеВзносы</f>
        <v/>
      </c>
      <c r="AZ23" s="4">
        <f>AZ22*СтраховыеВзносы</f>
        <v/>
      </c>
      <c r="BA23" s="4">
        <f>BA22*СтраховыеВзносы</f>
        <v/>
      </c>
      <c r="BB23" s="4">
        <f>BB22*СтраховыеВзносы</f>
        <v/>
      </c>
      <c r="BC23" s="4">
        <f>BC22*СтраховыеВзносы</f>
        <v/>
      </c>
      <c r="BD23" s="4">
        <f>BD22*СтраховыеВзносы</f>
        <v/>
      </c>
      <c r="BE23" s="4">
        <f>BE22*СтраховыеВзносы</f>
        <v/>
      </c>
      <c r="BF23" s="4">
        <f>BF22*СтраховыеВзносы</f>
        <v/>
      </c>
      <c r="BG23" s="4">
        <f>BG22*СтраховыеВзносы</f>
        <v/>
      </c>
      <c r="BH23" s="4">
        <f>BH22*СтраховыеВзносы</f>
        <v/>
      </c>
      <c r="BI23" s="4">
        <f>BI22*СтраховыеВзносы</f>
        <v/>
      </c>
      <c r="BJ23" s="4">
        <f>BJ22*СтраховыеВзносы</f>
        <v/>
      </c>
      <c r="BK23" s="4">
        <f>BK22*СтраховыеВзносы</f>
        <v/>
      </c>
      <c r="BL23" s="4">
        <f>BL22*СтраховыеВзносы</f>
        <v/>
      </c>
      <c r="BM23" s="4">
        <f>BM22*СтраховыеВзносы</f>
        <v/>
      </c>
      <c r="BN23" s="4">
        <f>BN22*СтраховыеВзносы</f>
        <v/>
      </c>
      <c r="BO23" s="4">
        <f>BO22*СтраховыеВзносы</f>
        <v/>
      </c>
      <c r="BP23" s="4">
        <f>BP22*СтраховыеВзносы</f>
        <v/>
      </c>
      <c r="BQ23" s="4">
        <f>BQ22*СтраховыеВзносы</f>
        <v/>
      </c>
      <c r="BR23" s="4">
        <f>BR22*СтраховыеВзносы</f>
        <v/>
      </c>
      <c r="BS23" s="4">
        <f>BS22*СтраховыеВзносы</f>
        <v/>
      </c>
      <c r="BT23" s="4">
        <f>BT22*СтраховыеВзносы</f>
        <v/>
      </c>
      <c r="BU23" s="4">
        <f>BU22*СтраховыеВзносы</f>
        <v/>
      </c>
      <c r="BV23" s="4">
        <f>BV22*СтраховыеВзносы</f>
        <v/>
      </c>
      <c r="BW23" s="4">
        <f>BW22*СтраховыеВзносы</f>
        <v/>
      </c>
      <c r="BX23" s="4">
        <f>BX22*СтраховыеВзносы</f>
        <v/>
      </c>
      <c r="BY23" s="4">
        <f>BY22*СтраховыеВзносы</f>
        <v/>
      </c>
    </row>
    <row r="25">
      <c r="B25" s="115" t="inlineStr">
        <is>
          <t>Разовые кадровые расходы</t>
        </is>
      </c>
      <c r="C25" s="116" t="n"/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  <c r="AO25" s="116" t="n"/>
      <c r="AP25" s="116" t="n"/>
      <c r="AQ25" s="116" t="n"/>
      <c r="AR25" s="116" t="n"/>
      <c r="AS25" s="116" t="n"/>
      <c r="AT25" s="116" t="n"/>
      <c r="AU25" s="116" t="n"/>
      <c r="AV25" s="116" t="n"/>
      <c r="AW25" s="116" t="n"/>
      <c r="AX25" s="116" t="n"/>
      <c r="AY25" s="116" t="n"/>
      <c r="AZ25" s="116" t="n"/>
      <c r="BA25" s="116" t="n"/>
      <c r="BB25" s="116" t="n"/>
      <c r="BC25" s="116" t="n"/>
      <c r="BD25" s="116" t="n"/>
      <c r="BE25" s="116" t="n"/>
      <c r="BF25" s="116" t="n"/>
      <c r="BG25" s="116" t="n"/>
      <c r="BH25" s="116" t="n"/>
      <c r="BI25" s="116" t="n"/>
      <c r="BJ25" s="116" t="n"/>
      <c r="BK25" s="116" t="n"/>
      <c r="BL25" s="116" t="n"/>
      <c r="BM25" s="116" t="n"/>
      <c r="BN25" s="116" t="n"/>
      <c r="BO25" s="116" t="n"/>
      <c r="BP25" s="116" t="n"/>
      <c r="BQ25" s="116" t="n"/>
      <c r="BR25" s="116" t="n"/>
      <c r="BS25" s="116" t="n"/>
      <c r="BT25" s="116" t="n"/>
      <c r="BU25" s="116" t="n"/>
      <c r="BV25" s="116" t="n"/>
      <c r="BW25" s="116" t="n"/>
      <c r="BX25" s="116" t="n"/>
      <c r="BY25" s="116" t="n"/>
    </row>
    <row r="26">
      <c r="B26" t="inlineStr">
        <is>
          <t>Комиссия кадрового агентства</t>
        </is>
      </c>
      <c r="C26" t="inlineStr">
        <is>
          <t>₽</t>
        </is>
      </c>
      <c r="D26" s="117" t="inlineStr">
        <is>
          <t>Один оклад за каждую новую штатную единицу</t>
        </is>
      </c>
      <c r="E26" s="119">
        <f>SUM(L26:W26)</f>
        <v/>
      </c>
      <c r="F26" s="119">
        <f>SUM(X26:AI26)</f>
        <v/>
      </c>
      <c r="G26" s="119">
        <f>SUM(AJ26:AU26)</f>
        <v/>
      </c>
      <c r="H26" s="119">
        <f>SUM(AV26:BG26)</f>
        <v/>
      </c>
      <c r="I26" s="119">
        <f>SUM(BH26:BS26)</f>
        <v/>
      </c>
      <c r="J26" s="5">
        <f>SUM(L26:BS26)</f>
        <v/>
      </c>
      <c r="L26" s="4">
        <f>(MAX(0,$L11)*ОкладМенеджера*$L6+IF('03_Сеть'!L6=ДатаОфисМенеджера,ОфисМенеджерNet/NetGross,0)+IF('03_Сеть'!L6=ДатаSMM,SMMNet/NetGross,0))*КомиссияАгентства</f>
        <v/>
      </c>
      <c r="M26" s="4">
        <f>(MAX(0,M11-L11)*ОкладМенеджера*M6+IF('03_Сеть'!M6=ДатаОфисМенеджера,ОфисМенеджерNet/NetGross,0)+IF('03_Сеть'!M6=ДатаSMM,SMMNet/NetGross,0))*КомиссияАгентства</f>
        <v/>
      </c>
      <c r="N26" s="4">
        <f>(MAX(0,N11-M11)*ОкладМенеджера*N6+IF('03_Сеть'!N6=ДатаОфисМенеджера,ОфисМенеджерNet/NetGross,0)+IF('03_Сеть'!N6=ДатаSMM,SMMNet/NetGross,0))*КомиссияАгентства</f>
        <v/>
      </c>
      <c r="O26" s="4">
        <f>(MAX(0,O11-N11)*ОкладМенеджера*O6+IF('03_Сеть'!O6=ДатаОфисМенеджера,ОфисМенеджерNet/NetGross,0)+IF('03_Сеть'!O6=ДатаSMM,SMMNet/NetGross,0))*КомиссияАгентства</f>
        <v/>
      </c>
      <c r="P26" s="4">
        <f>(MAX(0,P11-O11)*ОкладМенеджера*P6+IF('03_Сеть'!P6=ДатаОфисМенеджера,ОфисМенеджерNet/NetGross,0)+IF('03_Сеть'!P6=ДатаSMM,SMMNet/NetGross,0))*КомиссияАгентства</f>
        <v/>
      </c>
      <c r="Q26" s="4">
        <f>(MAX(0,Q11-P11)*ОкладМенеджера*Q6+IF('03_Сеть'!Q6=ДатаОфисМенеджера,ОфисМенеджерNet/NetGross,0)+IF('03_Сеть'!Q6=ДатаSMM,SMMNet/NetGross,0))*КомиссияАгентства</f>
        <v/>
      </c>
      <c r="R26" s="4">
        <f>(MAX(0,R11-Q11)*ОкладМенеджера*R6+IF('03_Сеть'!R6=ДатаОфисМенеджера,ОфисМенеджерNet/NetGross,0)+IF('03_Сеть'!R6=ДатаSMM,SMMNet/NetGross,0))*КомиссияАгентства</f>
        <v/>
      </c>
      <c r="S26" s="4">
        <f>(MAX(0,S11-R11)*ОкладМенеджера*S6+IF('03_Сеть'!S6=ДатаОфисМенеджера,ОфисМенеджерNet/NetGross,0)+IF('03_Сеть'!S6=ДатаSMM,SMMNet/NetGross,0))*КомиссияАгентства</f>
        <v/>
      </c>
      <c r="T26" s="4">
        <f>(MAX(0,T11-S11)*ОкладМенеджера*T6+IF('03_Сеть'!T6=ДатаОфисМенеджера,ОфисМенеджерNet/NetGross,0)+IF('03_Сеть'!T6=ДатаSMM,SMMNet/NetGross,0))*КомиссияАгентства</f>
        <v/>
      </c>
      <c r="U26" s="4">
        <f>(MAX(0,U11-T11)*ОкладМенеджера*U6+IF('03_Сеть'!U6=ДатаОфисМенеджера,ОфисМенеджерNet/NetGross,0)+IF('03_Сеть'!U6=ДатаSMM,SMMNet/NetGross,0))*КомиссияАгентства</f>
        <v/>
      </c>
      <c r="V26" s="4">
        <f>(MAX(0,V11-U11)*ОкладМенеджера*V6+IF('03_Сеть'!V6=ДатаОфисМенеджера,ОфисМенеджерNet/NetGross,0)+IF('03_Сеть'!V6=ДатаSMM,SMMNet/NetGross,0))*КомиссияАгентства</f>
        <v/>
      </c>
      <c r="W26" s="4">
        <f>(MAX(0,W11-V11)*ОкладМенеджера*W6+IF('03_Сеть'!W6=ДатаОфисМенеджера,ОфисМенеджерNet/NetGross,0)+IF('03_Сеть'!W6=ДатаSMM,SMMNet/NetGross,0))*КомиссияАгентства</f>
        <v/>
      </c>
      <c r="X26" s="4">
        <f>(MAX(0,X11-W11)*ОкладМенеджера*X6+IF('03_Сеть'!X6=ДатаОфисМенеджера,ОфисМенеджерNet/NetGross,0)+IF('03_Сеть'!X6=ДатаSMM,SMMNet/NetGross,0))*КомиссияАгентства</f>
        <v/>
      </c>
      <c r="Y26" s="4">
        <f>(MAX(0,Y11-X11)*ОкладМенеджера*Y6+IF('03_Сеть'!Y6=ДатаОфисМенеджера,ОфисМенеджерNet/NetGross,0)+IF('03_Сеть'!Y6=ДатаSMM,SMMNet/NetGross,0))*КомиссияАгентства</f>
        <v/>
      </c>
      <c r="Z26" s="4">
        <f>(MAX(0,Z11-Y11)*ОкладМенеджера*Z6+IF('03_Сеть'!Z6=ДатаОфисМенеджера,ОфисМенеджерNet/NetGross,0)+IF('03_Сеть'!Z6=ДатаSMM,SMMNet/NetGross,0))*КомиссияАгентства</f>
        <v/>
      </c>
      <c r="AA26" s="4">
        <f>(MAX(0,AA11-Z11)*ОкладМенеджера*AA6+IF('03_Сеть'!AA6=ДатаОфисМенеджера,ОфисМенеджерNet/NetGross,0)+IF('03_Сеть'!AA6=ДатаSMM,SMMNet/NetGross,0))*КомиссияАгентства</f>
        <v/>
      </c>
      <c r="AB26" s="4">
        <f>(MAX(0,AB11-AA11)*ОкладМенеджера*AB6+IF('03_Сеть'!AB6=ДатаОфисМенеджера,ОфисМенеджерNet/NetGross,0)+IF('03_Сеть'!AB6=ДатаSMM,SMMNet/NetGross,0))*КомиссияАгентства</f>
        <v/>
      </c>
      <c r="AC26" s="4">
        <f>(MAX(0,AC11-AB11)*ОкладМенеджера*AC6+IF('03_Сеть'!AC6=ДатаОфисМенеджера,ОфисМенеджерNet/NetGross,0)+IF('03_Сеть'!AC6=ДатаSMM,SMMNet/NetGross,0))*КомиссияАгентства</f>
        <v/>
      </c>
      <c r="AD26" s="4">
        <f>(MAX(0,AD11-AC11)*ОкладМенеджера*AD6+IF('03_Сеть'!AD6=ДатаОфисМенеджера,ОфисМенеджерNet/NetGross,0)+IF('03_Сеть'!AD6=ДатаSMM,SMMNet/NetGross,0))*КомиссияАгентства</f>
        <v/>
      </c>
      <c r="AE26" s="4">
        <f>(MAX(0,AE11-AD11)*ОкладМенеджера*AE6+IF('03_Сеть'!AE6=ДатаОфисМенеджера,ОфисМенеджерNet/NetGross,0)+IF('03_Сеть'!AE6=ДатаSMM,SMMNet/NetGross,0))*КомиссияАгентства</f>
        <v/>
      </c>
      <c r="AF26" s="4">
        <f>(MAX(0,AF11-AE11)*ОкладМенеджера*AF6+IF('03_Сеть'!AF6=ДатаОфисМенеджера,ОфисМенеджерNet/NetGross,0)+IF('03_Сеть'!AF6=ДатаSMM,SMMNet/NetGross,0))*КомиссияАгентства</f>
        <v/>
      </c>
      <c r="AG26" s="4">
        <f>(MAX(0,AG11-AF11)*ОкладМенеджера*AG6+IF('03_Сеть'!AG6=ДатаОфисМенеджера,ОфисМенеджерNet/NetGross,0)+IF('03_Сеть'!AG6=ДатаSMM,SMMNet/NetGross,0))*КомиссияАгентства</f>
        <v/>
      </c>
      <c r="AH26" s="4">
        <f>(MAX(0,AH11-AG11)*ОкладМенеджера*AH6+IF('03_Сеть'!AH6=ДатаОфисМенеджера,ОфисМенеджерNet/NetGross,0)+IF('03_Сеть'!AH6=ДатаSMM,SMMNet/NetGross,0))*КомиссияАгентства</f>
        <v/>
      </c>
      <c r="AI26" s="4">
        <f>(MAX(0,AI11-AH11)*ОкладМенеджера*AI6+IF('03_Сеть'!AI6=ДатаОфисМенеджера,ОфисМенеджерNet/NetGross,0)+IF('03_Сеть'!AI6=ДатаSMM,SMMNet/NetGross,0))*КомиссияАгентства</f>
        <v/>
      </c>
      <c r="AJ26" s="4">
        <f>(MAX(0,AJ11-AI11)*ОкладМенеджера*AJ6+IF('03_Сеть'!AJ6=ДатаОфисМенеджера,ОфисМенеджерNet/NetGross,0)+IF('03_Сеть'!AJ6=ДатаSMM,SMMNet/NetGross,0))*КомиссияАгентства</f>
        <v/>
      </c>
      <c r="AK26" s="4">
        <f>(MAX(0,AK11-AJ11)*ОкладМенеджера*AK6+IF('03_Сеть'!AK6=ДатаОфисМенеджера,ОфисМенеджерNet/NetGross,0)+IF('03_Сеть'!AK6=ДатаSMM,SMMNet/NetGross,0))*КомиссияАгентства</f>
        <v/>
      </c>
      <c r="AL26" s="4">
        <f>(MAX(0,AL11-AK11)*ОкладМенеджера*AL6+IF('03_Сеть'!AL6=ДатаОфисМенеджера,ОфисМенеджерNet/NetGross,0)+IF('03_Сеть'!AL6=ДатаSMM,SMMNet/NetGross,0))*КомиссияАгентства</f>
        <v/>
      </c>
      <c r="AM26" s="4">
        <f>(MAX(0,AM11-AL11)*ОкладМенеджера*AM6+IF('03_Сеть'!AM6=ДатаОфисМенеджера,ОфисМенеджерNet/NetGross,0)+IF('03_Сеть'!AM6=ДатаSMM,SMMNet/NetGross,0))*КомиссияАгентства</f>
        <v/>
      </c>
      <c r="AN26" s="4">
        <f>(MAX(0,AN11-AM11)*ОкладМенеджера*AN6+IF('03_Сеть'!AN6=ДатаОфисМенеджера,ОфисМенеджерNet/NetGross,0)+IF('03_Сеть'!AN6=ДатаSMM,SMMNet/NetGross,0))*КомиссияАгентства</f>
        <v/>
      </c>
      <c r="AO26" s="4">
        <f>(MAX(0,AO11-AN11)*ОкладМенеджера*AO6+IF('03_Сеть'!AO6=ДатаОфисМенеджера,ОфисМенеджерNet/NetGross,0)+IF('03_Сеть'!AO6=ДатаSMM,SMMNet/NetGross,0))*КомиссияАгентства</f>
        <v/>
      </c>
      <c r="AP26" s="4">
        <f>(MAX(0,AP11-AO11)*ОкладМенеджера*AP6+IF('03_Сеть'!AP6=ДатаОфисМенеджера,ОфисМенеджерNet/NetGross,0)+IF('03_Сеть'!AP6=ДатаSMM,SMMNet/NetGross,0))*КомиссияАгентства</f>
        <v/>
      </c>
      <c r="AQ26" s="4">
        <f>(MAX(0,AQ11-AP11)*ОкладМенеджера*AQ6+IF('03_Сеть'!AQ6=ДатаОфисМенеджера,ОфисМенеджерNet/NetGross,0)+IF('03_Сеть'!AQ6=ДатаSMM,SMMNet/NetGross,0))*КомиссияАгентства</f>
        <v/>
      </c>
      <c r="AR26" s="4">
        <f>(MAX(0,AR11-AQ11)*ОкладМенеджера*AR6+IF('03_Сеть'!AR6=ДатаОфисМенеджера,ОфисМенеджерNet/NetGross,0)+IF('03_Сеть'!AR6=ДатаSMM,SMMNet/NetGross,0))*КомиссияАгентства</f>
        <v/>
      </c>
      <c r="AS26" s="4">
        <f>(MAX(0,AS11-AR11)*ОкладМенеджера*AS6+IF('03_Сеть'!AS6=ДатаОфисМенеджера,ОфисМенеджерNet/NetGross,0)+IF('03_Сеть'!AS6=ДатаSMM,SMMNet/NetGross,0))*КомиссияАгентства</f>
        <v/>
      </c>
      <c r="AT26" s="4">
        <f>(MAX(0,AT11-AS11)*ОкладМенеджера*AT6+IF('03_Сеть'!AT6=ДатаОфисМенеджера,ОфисМенеджерNet/NetGross,0)+IF('03_Сеть'!AT6=ДатаSMM,SMMNet/NetGross,0))*КомиссияАгентства</f>
        <v/>
      </c>
      <c r="AU26" s="4">
        <f>(MAX(0,AU11-AT11)*ОкладМенеджера*AU6+IF('03_Сеть'!AU6=ДатаОфисМенеджера,ОфисМенеджерNet/NetGross,0)+IF('03_Сеть'!AU6=ДатаSMM,SMMNet/NetGross,0))*КомиссияАгентства</f>
        <v/>
      </c>
      <c r="AV26" s="4">
        <f>(MAX(0,AV11-AU11)*ОкладМенеджера*AV6+IF('03_Сеть'!AV6=ДатаОфисМенеджера,ОфисМенеджерNet/NetGross,0)+IF('03_Сеть'!AV6=ДатаSMM,SMMNet/NetGross,0))*КомиссияАгентства</f>
        <v/>
      </c>
      <c r="AW26" s="4">
        <f>(MAX(0,AW11-AV11)*ОкладМенеджера*AW6+IF('03_Сеть'!AW6=ДатаОфисМенеджера,ОфисМенеджерNet/NetGross,0)+IF('03_Сеть'!AW6=ДатаSMM,SMMNet/NetGross,0))*КомиссияАгентства</f>
        <v/>
      </c>
      <c r="AX26" s="4">
        <f>(MAX(0,AX11-AW11)*ОкладМенеджера*AX6+IF('03_Сеть'!AX6=ДатаОфисМенеджера,ОфисМенеджерNet/NetGross,0)+IF('03_Сеть'!AX6=ДатаSMM,SMMNet/NetGross,0))*КомиссияАгентства</f>
        <v/>
      </c>
      <c r="AY26" s="4">
        <f>(MAX(0,AY11-AX11)*ОкладМенеджера*AY6+IF('03_Сеть'!AY6=ДатаОфисМенеджера,ОфисМенеджерNet/NetGross,0)+IF('03_Сеть'!AY6=ДатаSMM,SMMNet/NetGross,0))*КомиссияАгентства</f>
        <v/>
      </c>
      <c r="AZ26" s="4">
        <f>(MAX(0,AZ11-AY11)*ОкладМенеджера*AZ6+IF('03_Сеть'!AZ6=ДатаОфисМенеджера,ОфисМенеджерNet/NetGross,0)+IF('03_Сеть'!AZ6=ДатаSMM,SMMNet/NetGross,0))*КомиссияАгентства</f>
        <v/>
      </c>
      <c r="BA26" s="4">
        <f>(MAX(0,BA11-AZ11)*ОкладМенеджера*BA6+IF('03_Сеть'!BA6=ДатаОфисМенеджера,ОфисМенеджерNet/NetGross,0)+IF('03_Сеть'!BA6=ДатаSMM,SMMNet/NetGross,0))*КомиссияАгентства</f>
        <v/>
      </c>
      <c r="BB26" s="4">
        <f>(MAX(0,BB11-BA11)*ОкладМенеджера*BB6+IF('03_Сеть'!BB6=ДатаОфисМенеджера,ОфисМенеджерNet/NetGross,0)+IF('03_Сеть'!BB6=ДатаSMM,SMMNet/NetGross,0))*КомиссияАгентства</f>
        <v/>
      </c>
      <c r="BC26" s="4">
        <f>(MAX(0,BC11-BB11)*ОкладМенеджера*BC6+IF('03_Сеть'!BC6=ДатаОфисМенеджера,ОфисМенеджерNet/NetGross,0)+IF('03_Сеть'!BC6=ДатаSMM,SMMNet/NetGross,0))*КомиссияАгентства</f>
        <v/>
      </c>
      <c r="BD26" s="4">
        <f>(MAX(0,BD11-BC11)*ОкладМенеджера*BD6+IF('03_Сеть'!BD6=ДатаОфисМенеджера,ОфисМенеджерNet/NetGross,0)+IF('03_Сеть'!BD6=ДатаSMM,SMMNet/NetGross,0))*КомиссияАгентства</f>
        <v/>
      </c>
      <c r="BE26" s="4">
        <f>(MAX(0,BE11-BD11)*ОкладМенеджера*BE6+IF('03_Сеть'!BE6=ДатаОфисМенеджера,ОфисМенеджерNet/NetGross,0)+IF('03_Сеть'!BE6=ДатаSMM,SMMNet/NetGross,0))*КомиссияАгентства</f>
        <v/>
      </c>
      <c r="BF26" s="4">
        <f>(MAX(0,BF11-BE11)*ОкладМенеджера*BF6+IF('03_Сеть'!BF6=ДатаОфисМенеджера,ОфисМенеджерNet/NetGross,0)+IF('03_Сеть'!BF6=ДатаSMM,SMMNet/NetGross,0))*КомиссияАгентства</f>
        <v/>
      </c>
      <c r="BG26" s="4">
        <f>(MAX(0,BG11-BF11)*ОкладМенеджера*BG6+IF('03_Сеть'!BG6=ДатаОфисМенеджера,ОфисМенеджерNet/NetGross,0)+IF('03_Сеть'!BG6=ДатаSMM,SMMNet/NetGross,0))*КомиссияАгентства</f>
        <v/>
      </c>
      <c r="BH26" s="4">
        <f>(MAX(0,BH11-BG11)*ОкладМенеджера*BH6+IF('03_Сеть'!BH6=ДатаОфисМенеджера,ОфисМенеджерNet/NetGross,0)+IF('03_Сеть'!BH6=ДатаSMM,SMMNet/NetGross,0))*КомиссияАгентства</f>
        <v/>
      </c>
      <c r="BI26" s="4">
        <f>(MAX(0,BI11-BH11)*ОкладМенеджера*BI6+IF('03_Сеть'!BI6=ДатаОфисМенеджера,ОфисМенеджерNet/NetGross,0)+IF('03_Сеть'!BI6=ДатаSMM,SMMNet/NetGross,0))*КомиссияАгентства</f>
        <v/>
      </c>
      <c r="BJ26" s="4">
        <f>(MAX(0,BJ11-BI11)*ОкладМенеджера*BJ6+IF('03_Сеть'!BJ6=ДатаОфисМенеджера,ОфисМенеджерNet/NetGross,0)+IF('03_Сеть'!BJ6=ДатаSMM,SMMNet/NetGross,0))*КомиссияАгентства</f>
        <v/>
      </c>
      <c r="BK26" s="4">
        <f>(MAX(0,BK11-BJ11)*ОкладМенеджера*BK6+IF('03_Сеть'!BK6=ДатаОфисМенеджера,ОфисМенеджерNet/NetGross,0)+IF('03_Сеть'!BK6=ДатаSMM,SMMNet/NetGross,0))*КомиссияАгентства</f>
        <v/>
      </c>
      <c r="BL26" s="4">
        <f>(MAX(0,BL11-BK11)*ОкладМенеджера*BL6+IF('03_Сеть'!BL6=ДатаОфисМенеджера,ОфисМенеджерNet/NetGross,0)+IF('03_Сеть'!BL6=ДатаSMM,SMMNet/NetGross,0))*КомиссияАгентства</f>
        <v/>
      </c>
      <c r="BM26" s="4">
        <f>(MAX(0,BM11-BL11)*ОкладМенеджера*BM6+IF('03_Сеть'!BM6=ДатаОфисМенеджера,ОфисМенеджерNet/NetGross,0)+IF('03_Сеть'!BM6=ДатаSMM,SMMNet/NetGross,0))*КомиссияАгентства</f>
        <v/>
      </c>
      <c r="BN26" s="4">
        <f>(MAX(0,BN11-BM11)*ОкладМенеджера*BN6+IF('03_Сеть'!BN6=ДатаОфисМенеджера,ОфисМенеджерNet/NetGross,0)+IF('03_Сеть'!BN6=ДатаSMM,SMMNet/NetGross,0))*КомиссияАгентства</f>
        <v/>
      </c>
      <c r="BO26" s="4">
        <f>(MAX(0,BO11-BN11)*ОкладМенеджера*BO6+IF('03_Сеть'!BO6=ДатаОфисМенеджера,ОфисМенеджерNet/NetGross,0)+IF('03_Сеть'!BO6=ДатаSMM,SMMNet/NetGross,0))*КомиссияАгентства</f>
        <v/>
      </c>
      <c r="BP26" s="4">
        <f>(MAX(0,BP11-BO11)*ОкладМенеджера*BP6+IF('03_Сеть'!BP6=ДатаОфисМенеджера,ОфисМенеджерNet/NetGross,0)+IF('03_Сеть'!BP6=ДатаSMM,SMMNet/NetGross,0))*КомиссияАгентства</f>
        <v/>
      </c>
      <c r="BQ26" s="4">
        <f>(MAX(0,BQ11-BP11)*ОкладМенеджера*BQ6+IF('03_Сеть'!BQ6=ДатаОфисМенеджера,ОфисМенеджерNet/NetGross,0)+IF('03_Сеть'!BQ6=ДатаSMM,SMMNet/NetGross,0))*КомиссияАгентства</f>
        <v/>
      </c>
      <c r="BR26" s="4">
        <f>(MAX(0,BR11-BQ11)*ОкладМенеджера*BR6+IF('03_Сеть'!BR6=ДатаОфисМенеджера,ОфисМенеджерNet/NetGross,0)+IF('03_Сеть'!BR6=ДатаSMM,SMMNet/NetGross,0))*КомиссияАгентства</f>
        <v/>
      </c>
      <c r="BS26" s="4">
        <f>(MAX(0,BS11-BR11)*ОкладМенеджера*BS6+IF('03_Сеть'!BS6=ДатаОфисМенеджера,ОфисМенеджерNet/NetGross,0)+IF('03_Сеть'!BS6=ДатаSMM,SMMNet/NetGross,0))*КомиссияАгентства</f>
        <v/>
      </c>
      <c r="BT26" s="4">
        <f>(MAX(0,BT11-BS11)*ОкладМенеджера*BT6+IF('03_Сеть'!BT6=ДатаОфисМенеджера,ОфисМенеджерNet/NetGross,0)+IF('03_Сеть'!BT6=ДатаSMM,SMMNet/NetGross,0))*КомиссияАгентства</f>
        <v/>
      </c>
      <c r="BU26" s="4">
        <f>(MAX(0,BU11-BT11)*ОкладМенеджера*BU6+IF('03_Сеть'!BU6=ДатаОфисМенеджера,ОфисМенеджерNet/NetGross,0)+IF('03_Сеть'!BU6=ДатаSMM,SMMNet/NetGross,0))*КомиссияАгентства</f>
        <v/>
      </c>
      <c r="BV26" s="4">
        <f>(MAX(0,BV11-BU11)*ОкладМенеджера*BV6+IF('03_Сеть'!BV6=ДатаОфисМенеджера,ОфисМенеджерNet/NetGross,0)+IF('03_Сеть'!BV6=ДатаSMM,SMMNet/NetGross,0))*КомиссияАгентства</f>
        <v/>
      </c>
      <c r="BW26" s="4">
        <f>(MAX(0,BW11-BV11)*ОкладМенеджера*BW6+IF('03_Сеть'!BW6=ДатаОфисМенеджера,ОфисМенеджерNet/NetGross,0)+IF('03_Сеть'!BW6=ДатаSMM,SMMNet/NetGross,0))*КомиссияАгентства</f>
        <v/>
      </c>
      <c r="BX26" s="4">
        <f>(MAX(0,BX11-BW11)*ОкладМенеджера*BX6+IF('03_Сеть'!BX6=ДатаОфисМенеджера,ОфисМенеджерNet/NetGross,0)+IF('03_Сеть'!BX6=ДатаSMM,SMMNet/NetGross,0))*КомиссияАгентства</f>
        <v/>
      </c>
      <c r="BY26" s="4">
        <f>(MAX(0,BY11-BX11)*ОкладМенеджера*BY6+IF('03_Сеть'!BY6=ДатаОфисМенеджера,ОфисМенеджерNet/NetGross,0)+IF('03_Сеть'!BY6=ДатаSMM,SMMNet/NetGross,0))*КомиссияАгентства</f>
        <v/>
      </c>
    </row>
    <row r="27">
      <c r="B27" t="inlineStr">
        <is>
          <t>Замена директора маркетинга</t>
        </is>
      </c>
      <c r="C27" t="inlineStr">
        <is>
          <t>₽</t>
        </is>
      </c>
      <c r="D27" s="117" t="inlineStr"/>
      <c r="E27" s="119">
        <f>SUM(L27:W27)</f>
        <v/>
      </c>
      <c r="F27" s="119">
        <f>SUM(X27:AI27)</f>
        <v/>
      </c>
      <c r="G27" s="119">
        <f>SUM(AJ27:AU27)</f>
        <v/>
      </c>
      <c r="H27" s="119">
        <f>SUM(AV27:BG27)</f>
        <v/>
      </c>
      <c r="I27" s="119">
        <f>SUM(BH27:BS27)</f>
        <v/>
      </c>
      <c r="J27" s="5">
        <f>SUM(L27:BS27)</f>
        <v/>
      </c>
      <c r="L27" s="4">
        <f>IF('03_Сеть'!L6=ДатаЗаменыДиректора,ЗаменаДиректора,0)</f>
        <v/>
      </c>
      <c r="M27" s="4">
        <f>IF('03_Сеть'!M6=ДатаЗаменыДиректора,ЗаменаДиректора,0)</f>
        <v/>
      </c>
      <c r="N27" s="4">
        <f>IF('03_Сеть'!N6=ДатаЗаменыДиректора,ЗаменаДиректора,0)</f>
        <v/>
      </c>
      <c r="O27" s="4">
        <f>IF('03_Сеть'!O6=ДатаЗаменыДиректора,ЗаменаДиректора,0)</f>
        <v/>
      </c>
      <c r="P27" s="4">
        <f>IF('03_Сеть'!P6=ДатаЗаменыДиректора,ЗаменаДиректора,0)</f>
        <v/>
      </c>
      <c r="Q27" s="4">
        <f>IF('03_Сеть'!Q6=ДатаЗаменыДиректора,ЗаменаДиректора,0)</f>
        <v/>
      </c>
      <c r="R27" s="4">
        <f>IF('03_Сеть'!R6=ДатаЗаменыДиректора,ЗаменаДиректора,0)</f>
        <v/>
      </c>
      <c r="S27" s="4">
        <f>IF('03_Сеть'!S6=ДатаЗаменыДиректора,ЗаменаДиректора,0)</f>
        <v/>
      </c>
      <c r="T27" s="4">
        <f>IF('03_Сеть'!T6=ДатаЗаменыДиректора,ЗаменаДиректора,0)</f>
        <v/>
      </c>
      <c r="U27" s="4">
        <f>IF('03_Сеть'!U6=ДатаЗаменыДиректора,ЗаменаДиректора,0)</f>
        <v/>
      </c>
      <c r="V27" s="4">
        <f>IF('03_Сеть'!V6=ДатаЗаменыДиректора,ЗаменаДиректора,0)</f>
        <v/>
      </c>
      <c r="W27" s="4">
        <f>IF('03_Сеть'!W6=ДатаЗаменыДиректора,ЗаменаДиректора,0)</f>
        <v/>
      </c>
      <c r="X27" s="4">
        <f>IF('03_Сеть'!X6=ДатаЗаменыДиректора,ЗаменаДиректора,0)</f>
        <v/>
      </c>
      <c r="Y27" s="4">
        <f>IF('03_Сеть'!Y6=ДатаЗаменыДиректора,ЗаменаДиректора,0)</f>
        <v/>
      </c>
      <c r="Z27" s="4">
        <f>IF('03_Сеть'!Z6=ДатаЗаменыДиректора,ЗаменаДиректора,0)</f>
        <v/>
      </c>
      <c r="AA27" s="4">
        <f>IF('03_Сеть'!AA6=ДатаЗаменыДиректора,ЗаменаДиректора,0)</f>
        <v/>
      </c>
      <c r="AB27" s="4">
        <f>IF('03_Сеть'!AB6=ДатаЗаменыДиректора,ЗаменаДиректора,0)</f>
        <v/>
      </c>
      <c r="AC27" s="4">
        <f>IF('03_Сеть'!AC6=ДатаЗаменыДиректора,ЗаменаДиректора,0)</f>
        <v/>
      </c>
      <c r="AD27" s="4">
        <f>IF('03_Сеть'!AD6=ДатаЗаменыДиректора,ЗаменаДиректора,0)</f>
        <v/>
      </c>
      <c r="AE27" s="4">
        <f>IF('03_Сеть'!AE6=ДатаЗаменыДиректора,ЗаменаДиректора,0)</f>
        <v/>
      </c>
      <c r="AF27" s="4">
        <f>IF('03_Сеть'!AF6=ДатаЗаменыДиректора,ЗаменаДиректора,0)</f>
        <v/>
      </c>
      <c r="AG27" s="4">
        <f>IF('03_Сеть'!AG6=ДатаЗаменыДиректора,ЗаменаДиректора,0)</f>
        <v/>
      </c>
      <c r="AH27" s="4">
        <f>IF('03_Сеть'!AH6=ДатаЗаменыДиректора,ЗаменаДиректора,0)</f>
        <v/>
      </c>
      <c r="AI27" s="4">
        <f>IF('03_Сеть'!AI6=ДатаЗаменыДиректора,ЗаменаДиректора,0)</f>
        <v/>
      </c>
      <c r="AJ27" s="4">
        <f>IF('03_Сеть'!AJ6=ДатаЗаменыДиректора,ЗаменаДиректора,0)</f>
        <v/>
      </c>
      <c r="AK27" s="4">
        <f>IF('03_Сеть'!AK6=ДатаЗаменыДиректора,ЗаменаДиректора,0)</f>
        <v/>
      </c>
      <c r="AL27" s="4">
        <f>IF('03_Сеть'!AL6=ДатаЗаменыДиректора,ЗаменаДиректора,0)</f>
        <v/>
      </c>
      <c r="AM27" s="4">
        <f>IF('03_Сеть'!AM6=ДатаЗаменыДиректора,ЗаменаДиректора,0)</f>
        <v/>
      </c>
      <c r="AN27" s="4">
        <f>IF('03_Сеть'!AN6=ДатаЗаменыДиректора,ЗаменаДиректора,0)</f>
        <v/>
      </c>
      <c r="AO27" s="4">
        <f>IF('03_Сеть'!AO6=ДатаЗаменыДиректора,ЗаменаДиректора,0)</f>
        <v/>
      </c>
      <c r="AP27" s="4">
        <f>IF('03_Сеть'!AP6=ДатаЗаменыДиректора,ЗаменаДиректора,0)</f>
        <v/>
      </c>
      <c r="AQ27" s="4">
        <f>IF('03_Сеть'!AQ6=ДатаЗаменыДиректора,ЗаменаДиректора,0)</f>
        <v/>
      </c>
      <c r="AR27" s="4">
        <f>IF('03_Сеть'!AR6=ДатаЗаменыДиректора,ЗаменаДиректора,0)</f>
        <v/>
      </c>
      <c r="AS27" s="4">
        <f>IF('03_Сеть'!AS6=ДатаЗаменыДиректора,ЗаменаДиректора,0)</f>
        <v/>
      </c>
      <c r="AT27" s="4">
        <f>IF('03_Сеть'!AT6=ДатаЗаменыДиректора,ЗаменаДиректора,0)</f>
        <v/>
      </c>
      <c r="AU27" s="4">
        <f>IF('03_Сеть'!AU6=ДатаЗаменыДиректора,ЗаменаДиректора,0)</f>
        <v/>
      </c>
      <c r="AV27" s="4">
        <f>IF('03_Сеть'!AV6=ДатаЗаменыДиректора,ЗаменаДиректора,0)</f>
        <v/>
      </c>
      <c r="AW27" s="4">
        <f>IF('03_Сеть'!AW6=ДатаЗаменыДиректора,ЗаменаДиректора,0)</f>
        <v/>
      </c>
      <c r="AX27" s="4">
        <f>IF('03_Сеть'!AX6=ДатаЗаменыДиректора,ЗаменаДиректора,0)</f>
        <v/>
      </c>
      <c r="AY27" s="4">
        <f>IF('03_Сеть'!AY6=ДатаЗаменыДиректора,ЗаменаДиректора,0)</f>
        <v/>
      </c>
      <c r="AZ27" s="4">
        <f>IF('03_Сеть'!AZ6=ДатаЗаменыДиректора,ЗаменаДиректора,0)</f>
        <v/>
      </c>
      <c r="BA27" s="4">
        <f>IF('03_Сеть'!BA6=ДатаЗаменыДиректора,ЗаменаДиректора,0)</f>
        <v/>
      </c>
      <c r="BB27" s="4">
        <f>IF('03_Сеть'!BB6=ДатаЗаменыДиректора,ЗаменаДиректора,0)</f>
        <v/>
      </c>
      <c r="BC27" s="4">
        <f>IF('03_Сеть'!BC6=ДатаЗаменыДиректора,ЗаменаДиректора,0)</f>
        <v/>
      </c>
      <c r="BD27" s="4">
        <f>IF('03_Сеть'!BD6=ДатаЗаменыДиректора,ЗаменаДиректора,0)</f>
        <v/>
      </c>
      <c r="BE27" s="4">
        <f>IF('03_Сеть'!BE6=ДатаЗаменыДиректора,ЗаменаДиректора,0)</f>
        <v/>
      </c>
      <c r="BF27" s="4">
        <f>IF('03_Сеть'!BF6=ДатаЗаменыДиректора,ЗаменаДиректора,0)</f>
        <v/>
      </c>
      <c r="BG27" s="4">
        <f>IF('03_Сеть'!BG6=ДатаЗаменыДиректора,ЗаменаДиректора,0)</f>
        <v/>
      </c>
      <c r="BH27" s="4">
        <f>IF('03_Сеть'!BH6=ДатаЗаменыДиректора,ЗаменаДиректора,0)</f>
        <v/>
      </c>
      <c r="BI27" s="4">
        <f>IF('03_Сеть'!BI6=ДатаЗаменыДиректора,ЗаменаДиректора,0)</f>
        <v/>
      </c>
      <c r="BJ27" s="4">
        <f>IF('03_Сеть'!BJ6=ДатаЗаменыДиректора,ЗаменаДиректора,0)</f>
        <v/>
      </c>
      <c r="BK27" s="4">
        <f>IF('03_Сеть'!BK6=ДатаЗаменыДиректора,ЗаменаДиректора,0)</f>
        <v/>
      </c>
      <c r="BL27" s="4">
        <f>IF('03_Сеть'!BL6=ДатаЗаменыДиректора,ЗаменаДиректора,0)</f>
        <v/>
      </c>
      <c r="BM27" s="4">
        <f>IF('03_Сеть'!BM6=ДатаЗаменыДиректора,ЗаменаДиректора,0)</f>
        <v/>
      </c>
      <c r="BN27" s="4">
        <f>IF('03_Сеть'!BN6=ДатаЗаменыДиректора,ЗаменаДиректора,0)</f>
        <v/>
      </c>
      <c r="BO27" s="4">
        <f>IF('03_Сеть'!BO6=ДатаЗаменыДиректора,ЗаменаДиректора,0)</f>
        <v/>
      </c>
      <c r="BP27" s="4">
        <f>IF('03_Сеть'!BP6=ДатаЗаменыДиректора,ЗаменаДиректора,0)</f>
        <v/>
      </c>
      <c r="BQ27" s="4">
        <f>IF('03_Сеть'!BQ6=ДатаЗаменыДиректора,ЗаменаДиректора,0)</f>
        <v/>
      </c>
      <c r="BR27" s="4">
        <f>IF('03_Сеть'!BR6=ДатаЗаменыДиректора,ЗаменаДиректора,0)</f>
        <v/>
      </c>
      <c r="BS27" s="4">
        <f>IF('03_Сеть'!BS6=ДатаЗаменыДиректора,ЗаменаДиректора,0)</f>
        <v/>
      </c>
      <c r="BT27" s="4">
        <f>IF('03_Сеть'!BT6=ДатаЗаменыДиректора,ЗаменаДиректора,0)</f>
        <v/>
      </c>
      <c r="BU27" s="4">
        <f>IF('03_Сеть'!BU6=ДатаЗаменыДиректора,ЗаменаДиректора,0)</f>
        <v/>
      </c>
      <c r="BV27" s="4">
        <f>IF('03_Сеть'!BV6=ДатаЗаменыДиректора,ЗаменаДиректора,0)</f>
        <v/>
      </c>
      <c r="BW27" s="4">
        <f>IF('03_Сеть'!BW6=ДатаЗаменыДиректора,ЗаменаДиректора,0)</f>
        <v/>
      </c>
      <c r="BX27" s="4">
        <f>IF('03_Сеть'!BX6=ДатаЗаменыДиректора,ЗаменаДиректора,0)</f>
        <v/>
      </c>
      <c r="BY27" s="4">
        <f>IF('03_Сеть'!BY6=ДатаЗаменыДиректора,ЗаменаДиректора,0)</f>
        <v/>
      </c>
    </row>
    <row r="28">
      <c r="B28" t="inlineStr">
        <is>
          <t>Резерв на ротацию кадров</t>
        </is>
      </c>
      <c r="C28" t="inlineStr">
        <is>
          <t>₽</t>
        </is>
      </c>
      <c r="D28" s="117" t="inlineStr">
        <is>
          <t>Раз в год</t>
        </is>
      </c>
      <c r="E28" s="119">
        <f>SUM(L28:W28)</f>
        <v/>
      </c>
      <c r="F28" s="119">
        <f>SUM(X28:AI28)</f>
        <v/>
      </c>
      <c r="G28" s="119">
        <f>SUM(AJ28:AU28)</f>
        <v/>
      </c>
      <c r="H28" s="119">
        <f>SUM(AV28:BG28)</f>
        <v/>
      </c>
      <c r="I28" s="119">
        <f>SUM(BH28:BS28)</f>
        <v/>
      </c>
      <c r="J28" s="5">
        <f>SUM(L28:BS28)</f>
        <v/>
      </c>
      <c r="L28" s="4">
        <f>IF(MONTH('03_Сеть'!L6)=МесяцРезерва,'07_Тарифы'!B$14,0)</f>
        <v/>
      </c>
      <c r="M28" s="4">
        <f>IF(MONTH('03_Сеть'!M6)=МесяцРезерва,'07_Тарифы'!C$14,0)</f>
        <v/>
      </c>
      <c r="N28" s="4">
        <f>IF(MONTH('03_Сеть'!N6)=МесяцРезерва,'07_Тарифы'!D$14,0)</f>
        <v/>
      </c>
      <c r="O28" s="4">
        <f>IF(MONTH('03_Сеть'!O6)=МесяцРезерва,'07_Тарифы'!E$14,0)</f>
        <v/>
      </c>
      <c r="P28" s="4">
        <f>IF(MONTH('03_Сеть'!P6)=МесяцРезерва,'07_Тарифы'!F$14,0)</f>
        <v/>
      </c>
      <c r="Q28" s="4">
        <f>IF(MONTH('03_Сеть'!Q6)=МесяцРезерва,'07_Тарифы'!G$14,0)</f>
        <v/>
      </c>
      <c r="R28" s="4">
        <f>IF(MONTH('03_Сеть'!R6)=МесяцРезерва,'07_Тарифы'!H$14,0)</f>
        <v/>
      </c>
      <c r="S28" s="4">
        <f>IF(MONTH('03_Сеть'!S6)=МесяцРезерва,'07_Тарифы'!I$14,0)</f>
        <v/>
      </c>
      <c r="T28" s="4">
        <f>IF(MONTH('03_Сеть'!T6)=МесяцРезерва,'07_Тарифы'!J$14,0)</f>
        <v/>
      </c>
      <c r="U28" s="4">
        <f>IF(MONTH('03_Сеть'!U6)=МесяцРезерва,'07_Тарифы'!K$14,0)</f>
        <v/>
      </c>
      <c r="V28" s="4">
        <f>IF(MONTH('03_Сеть'!V6)=МесяцРезерва,'07_Тарифы'!L$14,0)</f>
        <v/>
      </c>
      <c r="W28" s="4">
        <f>IF(MONTH('03_Сеть'!W6)=МесяцРезерва,'07_Тарифы'!M$14,0)</f>
        <v/>
      </c>
      <c r="X28" s="4">
        <f>IF(MONTH('03_Сеть'!X6)=МесяцРезерва,'07_Тарифы'!N$14,0)</f>
        <v/>
      </c>
      <c r="Y28" s="4">
        <f>IF(MONTH('03_Сеть'!Y6)=МесяцРезерва,'07_Тарифы'!O$14,0)</f>
        <v/>
      </c>
      <c r="Z28" s="4">
        <f>IF(MONTH('03_Сеть'!Z6)=МесяцРезерва,'07_Тарифы'!P$14,0)</f>
        <v/>
      </c>
      <c r="AA28" s="4">
        <f>IF(MONTH('03_Сеть'!AA6)=МесяцРезерва,'07_Тарифы'!Q$14,0)</f>
        <v/>
      </c>
      <c r="AB28" s="4">
        <f>IF(MONTH('03_Сеть'!AB6)=МесяцРезерва,'07_Тарифы'!R$14,0)</f>
        <v/>
      </c>
      <c r="AC28" s="4">
        <f>IF(MONTH('03_Сеть'!AC6)=МесяцРезерва,'07_Тарифы'!S$14,0)</f>
        <v/>
      </c>
      <c r="AD28" s="4">
        <f>IF(MONTH('03_Сеть'!AD6)=МесяцРезерва,'07_Тарифы'!T$14,0)</f>
        <v/>
      </c>
      <c r="AE28" s="4">
        <f>IF(MONTH('03_Сеть'!AE6)=МесяцРезерва,'07_Тарифы'!U$14,0)</f>
        <v/>
      </c>
      <c r="AF28" s="4">
        <f>IF(MONTH('03_Сеть'!AF6)=МесяцРезерва,'07_Тарифы'!V$14,0)</f>
        <v/>
      </c>
      <c r="AG28" s="4">
        <f>IF(MONTH('03_Сеть'!AG6)=МесяцРезерва,'07_Тарифы'!W$14,0)</f>
        <v/>
      </c>
      <c r="AH28" s="4">
        <f>IF(MONTH('03_Сеть'!AH6)=МесяцРезерва,'07_Тарифы'!X$14,0)</f>
        <v/>
      </c>
      <c r="AI28" s="4">
        <f>IF(MONTH('03_Сеть'!AI6)=МесяцРезерва,'07_Тарифы'!Y$14,0)</f>
        <v/>
      </c>
      <c r="AJ28" s="4">
        <f>IF(MONTH('03_Сеть'!AJ6)=МесяцРезерва,'07_Тарифы'!Z$14,0)</f>
        <v/>
      </c>
      <c r="AK28" s="4">
        <f>IF(MONTH('03_Сеть'!AK6)=МесяцРезерва,'07_Тарифы'!AA$14,0)</f>
        <v/>
      </c>
      <c r="AL28" s="4">
        <f>IF(MONTH('03_Сеть'!AL6)=МесяцРезерва,'07_Тарифы'!AB$14,0)</f>
        <v/>
      </c>
      <c r="AM28" s="4">
        <f>IF(MONTH('03_Сеть'!AM6)=МесяцРезерва,'07_Тарифы'!AC$14,0)</f>
        <v/>
      </c>
      <c r="AN28" s="4">
        <f>IF(MONTH('03_Сеть'!AN6)=МесяцРезерва,'07_Тарифы'!AD$14,0)</f>
        <v/>
      </c>
      <c r="AO28" s="4">
        <f>IF(MONTH('03_Сеть'!AO6)=МесяцРезерва,'07_Тарифы'!AE$14,0)</f>
        <v/>
      </c>
      <c r="AP28" s="4">
        <f>IF(MONTH('03_Сеть'!AP6)=МесяцРезерва,'07_Тарифы'!AF$14,0)</f>
        <v/>
      </c>
      <c r="AQ28" s="4">
        <f>IF(MONTH('03_Сеть'!AQ6)=МесяцРезерва,'07_Тарифы'!AG$14,0)</f>
        <v/>
      </c>
      <c r="AR28" s="4">
        <f>IF(MONTH('03_Сеть'!AR6)=МесяцРезерва,'07_Тарифы'!AH$14,0)</f>
        <v/>
      </c>
      <c r="AS28" s="4">
        <f>IF(MONTH('03_Сеть'!AS6)=МесяцРезерва,'07_Тарифы'!AI$14,0)</f>
        <v/>
      </c>
      <c r="AT28" s="4">
        <f>IF(MONTH('03_Сеть'!AT6)=МесяцРезерва,'07_Тарифы'!AJ$14,0)</f>
        <v/>
      </c>
      <c r="AU28" s="4">
        <f>IF(MONTH('03_Сеть'!AU6)=МесяцРезерва,'07_Тарифы'!AK$14,0)</f>
        <v/>
      </c>
      <c r="AV28" s="4">
        <f>IF(MONTH('03_Сеть'!AV6)=МесяцРезерва,'07_Тарифы'!AL$14,0)</f>
        <v/>
      </c>
      <c r="AW28" s="4">
        <f>IF(MONTH('03_Сеть'!AW6)=МесяцРезерва,'07_Тарифы'!AM$14,0)</f>
        <v/>
      </c>
      <c r="AX28" s="4">
        <f>IF(MONTH('03_Сеть'!AX6)=МесяцРезерва,'07_Тарифы'!AN$14,0)</f>
        <v/>
      </c>
      <c r="AY28" s="4">
        <f>IF(MONTH('03_Сеть'!AY6)=МесяцРезерва,'07_Тарифы'!AO$14,0)</f>
        <v/>
      </c>
      <c r="AZ28" s="4">
        <f>IF(MONTH('03_Сеть'!AZ6)=МесяцРезерва,'07_Тарифы'!AP$14,0)</f>
        <v/>
      </c>
      <c r="BA28" s="4">
        <f>IF(MONTH('03_Сеть'!BA6)=МесяцРезерва,'07_Тарифы'!AQ$14,0)</f>
        <v/>
      </c>
      <c r="BB28" s="4">
        <f>IF(MONTH('03_Сеть'!BB6)=МесяцРезерва,'07_Тарифы'!AR$14,0)</f>
        <v/>
      </c>
      <c r="BC28" s="4">
        <f>IF(MONTH('03_Сеть'!BC6)=МесяцРезерва,'07_Тарифы'!AS$14,0)</f>
        <v/>
      </c>
      <c r="BD28" s="4">
        <f>IF(MONTH('03_Сеть'!BD6)=МесяцРезерва,'07_Тарифы'!AT$14,0)</f>
        <v/>
      </c>
      <c r="BE28" s="4">
        <f>IF(MONTH('03_Сеть'!BE6)=МесяцРезерва,'07_Тарифы'!AU$14,0)</f>
        <v/>
      </c>
      <c r="BF28" s="4">
        <f>IF(MONTH('03_Сеть'!BF6)=МесяцРезерва,'07_Тарифы'!AV$14,0)</f>
        <v/>
      </c>
      <c r="BG28" s="4">
        <f>IF(MONTH('03_Сеть'!BG6)=МесяцРезерва,'07_Тарифы'!AW$14,0)</f>
        <v/>
      </c>
      <c r="BH28" s="4">
        <f>IF(MONTH('03_Сеть'!BH6)=МесяцРезерва,'07_Тарифы'!AX$14,0)</f>
        <v/>
      </c>
      <c r="BI28" s="4">
        <f>IF(MONTH('03_Сеть'!BI6)=МесяцРезерва,'07_Тарифы'!AY$14,0)</f>
        <v/>
      </c>
      <c r="BJ28" s="4">
        <f>IF(MONTH('03_Сеть'!BJ6)=МесяцРезерва,'07_Тарифы'!AZ$14,0)</f>
        <v/>
      </c>
      <c r="BK28" s="4">
        <f>IF(MONTH('03_Сеть'!BK6)=МесяцРезерва,'07_Тарифы'!BA$14,0)</f>
        <v/>
      </c>
      <c r="BL28" s="4">
        <f>IF(MONTH('03_Сеть'!BL6)=МесяцРезерва,'07_Тарифы'!BB$14,0)</f>
        <v/>
      </c>
      <c r="BM28" s="4">
        <f>IF(MONTH('03_Сеть'!BM6)=МесяцРезерва,'07_Тарифы'!BC$14,0)</f>
        <v/>
      </c>
      <c r="BN28" s="4">
        <f>IF(MONTH('03_Сеть'!BN6)=МесяцРезерва,'07_Тарифы'!BD$14,0)</f>
        <v/>
      </c>
      <c r="BO28" s="4">
        <f>IF(MONTH('03_Сеть'!BO6)=МесяцРезерва,'07_Тарифы'!BE$14,0)</f>
        <v/>
      </c>
      <c r="BP28" s="4">
        <f>IF(MONTH('03_Сеть'!BP6)=МесяцРезерва,'07_Тарифы'!BF$14,0)</f>
        <v/>
      </c>
      <c r="BQ28" s="4">
        <f>IF(MONTH('03_Сеть'!BQ6)=МесяцРезерва,'07_Тарифы'!BG$14,0)</f>
        <v/>
      </c>
      <c r="BR28" s="4">
        <f>IF(MONTH('03_Сеть'!BR6)=МесяцРезерва,'07_Тарифы'!BH$14,0)</f>
        <v/>
      </c>
      <c r="BS28" s="4">
        <f>IF(MONTH('03_Сеть'!BS6)=МесяцРезерва,'07_Тарифы'!BI$14,0)</f>
        <v/>
      </c>
      <c r="BT28" s="4">
        <f>IF(MONTH('03_Сеть'!BT6)=МесяцРезерва,'07_Тарифы'!BJ$14,0)</f>
        <v/>
      </c>
      <c r="BU28" s="4">
        <f>IF(MONTH('03_Сеть'!BU6)=МесяцРезерва,'07_Тарифы'!BK$14,0)</f>
        <v/>
      </c>
      <c r="BV28" s="4">
        <f>IF(MONTH('03_Сеть'!BV6)=МесяцРезерва,'07_Тарифы'!BL$14,0)</f>
        <v/>
      </c>
      <c r="BW28" s="4">
        <f>IF(MONTH('03_Сеть'!BW6)=МесяцРезерва,'07_Тарифы'!BM$14,0)</f>
        <v/>
      </c>
      <c r="BX28" s="4">
        <f>IF(MONTH('03_Сеть'!BX6)=МесяцРезерва,'07_Тарифы'!BN$14,0)</f>
        <v/>
      </c>
      <c r="BY28" s="4">
        <f>IF(MONTH('03_Сеть'!BY6)=МесяцРезерва,'07_Тарифы'!BO$14,0)</f>
        <v/>
      </c>
    </row>
    <row r="29">
      <c r="B29" s="6" t="inlineStr">
        <is>
          <t>ФОТ и кадровые расходы — всего</t>
        </is>
      </c>
      <c r="C29" s="6" t="inlineStr">
        <is>
          <t>₽</t>
        </is>
      </c>
      <c r="D29" s="120" t="inlineStr"/>
      <c r="E29" s="121">
        <f>SUM(L29:W29)</f>
        <v/>
      </c>
      <c r="F29" s="121">
        <f>SUM(X29:AI29)</f>
        <v/>
      </c>
      <c r="G29" s="121">
        <f>SUM(AJ29:AU29)</f>
        <v/>
      </c>
      <c r="H29" s="121">
        <f>SUM(AV29:BG29)</f>
        <v/>
      </c>
      <c r="I29" s="121">
        <f>SUM(BH29:BS29)</f>
        <v/>
      </c>
      <c r="J29" s="8">
        <f>SUM(L29:BS29)</f>
        <v/>
      </c>
      <c r="L29" s="7">
        <f>SUM(L13,L14,L17,L18,L19,L20,L21,L22,L23,L26,L27,L28)</f>
        <v/>
      </c>
      <c r="M29" s="7">
        <f>SUM(M13,M14,M17,M18,M19,M20,M21,M22,M23,M26,M27,M28)</f>
        <v/>
      </c>
      <c r="N29" s="7">
        <f>SUM(N13,N14,N17,N18,N19,N20,N21,N22,N23,N26,N27,N28)</f>
        <v/>
      </c>
      <c r="O29" s="7">
        <f>SUM(O13,O14,O17,O18,O19,O20,O21,O22,O23,O26,O27,O28)</f>
        <v/>
      </c>
      <c r="P29" s="7">
        <f>SUM(P13,P14,P17,P18,P19,P20,P21,P22,P23,P26,P27,P28)</f>
        <v/>
      </c>
      <c r="Q29" s="7">
        <f>SUM(Q13,Q14,Q17,Q18,Q19,Q20,Q21,Q22,Q23,Q26,Q27,Q28)</f>
        <v/>
      </c>
      <c r="R29" s="7">
        <f>SUM(R13,R14,R17,R18,R19,R20,R21,R22,R23,R26,R27,R28)</f>
        <v/>
      </c>
      <c r="S29" s="7">
        <f>SUM(S13,S14,S17,S18,S19,S20,S21,S22,S23,S26,S27,S28)</f>
        <v/>
      </c>
      <c r="T29" s="7">
        <f>SUM(T13,T14,T17,T18,T19,T20,T21,T22,T23,T26,T27,T28)</f>
        <v/>
      </c>
      <c r="U29" s="7">
        <f>SUM(U13,U14,U17,U18,U19,U20,U21,U22,U23,U26,U27,U28)</f>
        <v/>
      </c>
      <c r="V29" s="7">
        <f>SUM(V13,V14,V17,V18,V19,V20,V21,V22,V23,V26,V27,V28)</f>
        <v/>
      </c>
      <c r="W29" s="7">
        <f>SUM(W13,W14,W17,W18,W19,W20,W21,W22,W23,W26,W27,W28)</f>
        <v/>
      </c>
      <c r="X29" s="7">
        <f>SUM(X13,X14,X17,X18,X19,X20,X21,X22,X23,X26,X27,X28)</f>
        <v/>
      </c>
      <c r="Y29" s="7">
        <f>SUM(Y13,Y14,Y17,Y18,Y19,Y20,Y21,Y22,Y23,Y26,Y27,Y28)</f>
        <v/>
      </c>
      <c r="Z29" s="7">
        <f>SUM(Z13,Z14,Z17,Z18,Z19,Z20,Z21,Z22,Z23,Z26,Z27,Z28)</f>
        <v/>
      </c>
      <c r="AA29" s="7">
        <f>SUM(AA13,AA14,AA17,AA18,AA19,AA20,AA21,AA22,AA23,AA26,AA27,AA28)</f>
        <v/>
      </c>
      <c r="AB29" s="7">
        <f>SUM(AB13,AB14,AB17,AB18,AB19,AB20,AB21,AB22,AB23,AB26,AB27,AB28)</f>
        <v/>
      </c>
      <c r="AC29" s="7">
        <f>SUM(AC13,AC14,AC17,AC18,AC19,AC20,AC21,AC22,AC23,AC26,AC27,AC28)</f>
        <v/>
      </c>
      <c r="AD29" s="7">
        <f>SUM(AD13,AD14,AD17,AD18,AD19,AD20,AD21,AD22,AD23,AD26,AD27,AD28)</f>
        <v/>
      </c>
      <c r="AE29" s="7">
        <f>SUM(AE13,AE14,AE17,AE18,AE19,AE20,AE21,AE22,AE23,AE26,AE27,AE28)</f>
        <v/>
      </c>
      <c r="AF29" s="7">
        <f>SUM(AF13,AF14,AF17,AF18,AF19,AF20,AF21,AF22,AF23,AF26,AF27,AF28)</f>
        <v/>
      </c>
      <c r="AG29" s="7">
        <f>SUM(AG13,AG14,AG17,AG18,AG19,AG20,AG21,AG22,AG23,AG26,AG27,AG28)</f>
        <v/>
      </c>
      <c r="AH29" s="7">
        <f>SUM(AH13,AH14,AH17,AH18,AH19,AH20,AH21,AH22,AH23,AH26,AH27,AH28)</f>
        <v/>
      </c>
      <c r="AI29" s="7">
        <f>SUM(AI13,AI14,AI17,AI18,AI19,AI20,AI21,AI22,AI23,AI26,AI27,AI28)</f>
        <v/>
      </c>
      <c r="AJ29" s="7">
        <f>SUM(AJ13,AJ14,AJ17,AJ18,AJ19,AJ20,AJ21,AJ22,AJ23,AJ26,AJ27,AJ28)</f>
        <v/>
      </c>
      <c r="AK29" s="7">
        <f>SUM(AK13,AK14,AK17,AK18,AK19,AK20,AK21,AK22,AK23,AK26,AK27,AK28)</f>
        <v/>
      </c>
      <c r="AL29" s="7">
        <f>SUM(AL13,AL14,AL17,AL18,AL19,AL20,AL21,AL22,AL23,AL26,AL27,AL28)</f>
        <v/>
      </c>
      <c r="AM29" s="7">
        <f>SUM(AM13,AM14,AM17,AM18,AM19,AM20,AM21,AM22,AM23,AM26,AM27,AM28)</f>
        <v/>
      </c>
      <c r="AN29" s="7">
        <f>SUM(AN13,AN14,AN17,AN18,AN19,AN20,AN21,AN22,AN23,AN26,AN27,AN28)</f>
        <v/>
      </c>
      <c r="AO29" s="7">
        <f>SUM(AO13,AO14,AO17,AO18,AO19,AO20,AO21,AO22,AO23,AO26,AO27,AO28)</f>
        <v/>
      </c>
      <c r="AP29" s="7">
        <f>SUM(AP13,AP14,AP17,AP18,AP19,AP20,AP21,AP22,AP23,AP26,AP27,AP28)</f>
        <v/>
      </c>
      <c r="AQ29" s="7">
        <f>SUM(AQ13,AQ14,AQ17,AQ18,AQ19,AQ20,AQ21,AQ22,AQ23,AQ26,AQ27,AQ28)</f>
        <v/>
      </c>
      <c r="AR29" s="7">
        <f>SUM(AR13,AR14,AR17,AR18,AR19,AR20,AR21,AR22,AR23,AR26,AR27,AR28)</f>
        <v/>
      </c>
      <c r="AS29" s="7">
        <f>SUM(AS13,AS14,AS17,AS18,AS19,AS20,AS21,AS22,AS23,AS26,AS27,AS28)</f>
        <v/>
      </c>
      <c r="AT29" s="7">
        <f>SUM(AT13,AT14,AT17,AT18,AT19,AT20,AT21,AT22,AT23,AT26,AT27,AT28)</f>
        <v/>
      </c>
      <c r="AU29" s="7">
        <f>SUM(AU13,AU14,AU17,AU18,AU19,AU20,AU21,AU22,AU23,AU26,AU27,AU28)</f>
        <v/>
      </c>
      <c r="AV29" s="7">
        <f>SUM(AV13,AV14,AV17,AV18,AV19,AV20,AV21,AV22,AV23,AV26,AV27,AV28)</f>
        <v/>
      </c>
      <c r="AW29" s="7">
        <f>SUM(AW13,AW14,AW17,AW18,AW19,AW20,AW21,AW22,AW23,AW26,AW27,AW28)</f>
        <v/>
      </c>
      <c r="AX29" s="7">
        <f>SUM(AX13,AX14,AX17,AX18,AX19,AX20,AX21,AX22,AX23,AX26,AX27,AX28)</f>
        <v/>
      </c>
      <c r="AY29" s="7">
        <f>SUM(AY13,AY14,AY17,AY18,AY19,AY20,AY21,AY22,AY23,AY26,AY27,AY28)</f>
        <v/>
      </c>
      <c r="AZ29" s="7">
        <f>SUM(AZ13,AZ14,AZ17,AZ18,AZ19,AZ20,AZ21,AZ22,AZ23,AZ26,AZ27,AZ28)</f>
        <v/>
      </c>
      <c r="BA29" s="7">
        <f>SUM(BA13,BA14,BA17,BA18,BA19,BA20,BA21,BA22,BA23,BA26,BA27,BA28)</f>
        <v/>
      </c>
      <c r="BB29" s="7">
        <f>SUM(BB13,BB14,BB17,BB18,BB19,BB20,BB21,BB22,BB23,BB26,BB27,BB28)</f>
        <v/>
      </c>
      <c r="BC29" s="7">
        <f>SUM(BC13,BC14,BC17,BC18,BC19,BC20,BC21,BC22,BC23,BC26,BC27,BC28)</f>
        <v/>
      </c>
      <c r="BD29" s="7">
        <f>SUM(BD13,BD14,BD17,BD18,BD19,BD20,BD21,BD22,BD23,BD26,BD27,BD28)</f>
        <v/>
      </c>
      <c r="BE29" s="7">
        <f>SUM(BE13,BE14,BE17,BE18,BE19,BE20,BE21,BE22,BE23,BE26,BE27,BE28)</f>
        <v/>
      </c>
      <c r="BF29" s="7">
        <f>SUM(BF13,BF14,BF17,BF18,BF19,BF20,BF21,BF22,BF23,BF26,BF27,BF28)</f>
        <v/>
      </c>
      <c r="BG29" s="7">
        <f>SUM(BG13,BG14,BG17,BG18,BG19,BG20,BG21,BG22,BG23,BG26,BG27,BG28)</f>
        <v/>
      </c>
      <c r="BH29" s="7">
        <f>SUM(BH13,BH14,BH17,BH18,BH19,BH20,BH21,BH22,BH23,BH26,BH27,BH28)</f>
        <v/>
      </c>
      <c r="BI29" s="7">
        <f>SUM(BI13,BI14,BI17,BI18,BI19,BI20,BI21,BI22,BI23,BI26,BI27,BI28)</f>
        <v/>
      </c>
      <c r="BJ29" s="7">
        <f>SUM(BJ13,BJ14,BJ17,BJ18,BJ19,BJ20,BJ21,BJ22,BJ23,BJ26,BJ27,BJ28)</f>
        <v/>
      </c>
      <c r="BK29" s="7">
        <f>SUM(BK13,BK14,BK17,BK18,BK19,BK20,BK21,BK22,BK23,BK26,BK27,BK28)</f>
        <v/>
      </c>
      <c r="BL29" s="7">
        <f>SUM(BL13,BL14,BL17,BL18,BL19,BL20,BL21,BL22,BL23,BL26,BL27,BL28)</f>
        <v/>
      </c>
      <c r="BM29" s="7">
        <f>SUM(BM13,BM14,BM17,BM18,BM19,BM20,BM21,BM22,BM23,BM26,BM27,BM28)</f>
        <v/>
      </c>
      <c r="BN29" s="7">
        <f>SUM(BN13,BN14,BN17,BN18,BN19,BN20,BN21,BN22,BN23,BN26,BN27,BN28)</f>
        <v/>
      </c>
      <c r="BO29" s="7">
        <f>SUM(BO13,BO14,BO17,BO18,BO19,BO20,BO21,BO22,BO23,BO26,BO27,BO28)</f>
        <v/>
      </c>
      <c r="BP29" s="7">
        <f>SUM(BP13,BP14,BP17,BP18,BP19,BP20,BP21,BP22,BP23,BP26,BP27,BP28)</f>
        <v/>
      </c>
      <c r="BQ29" s="7">
        <f>SUM(BQ13,BQ14,BQ17,BQ18,BQ19,BQ20,BQ21,BQ22,BQ23,BQ26,BQ27,BQ28)</f>
        <v/>
      </c>
      <c r="BR29" s="7">
        <f>SUM(BR13,BR14,BR17,BR18,BR19,BR20,BR21,BR22,BR23,BR26,BR27,BR28)</f>
        <v/>
      </c>
      <c r="BS29" s="7">
        <f>SUM(BS13,BS14,BS17,BS18,BS19,BS20,BS21,BS22,BS23,BS26,BS27,BS28)</f>
        <v/>
      </c>
      <c r="BT29" s="7">
        <f>SUM(BT13,BT14,BT17,BT18,BT19,BT20,BT21,BT22,BT23,BT26,BT27,BT28)</f>
        <v/>
      </c>
      <c r="BU29" s="7">
        <f>SUM(BU13,BU14,BU17,BU18,BU19,BU20,BU21,BU22,BU23,BU26,BU27,BU28)</f>
        <v/>
      </c>
      <c r="BV29" s="7">
        <f>SUM(BV13,BV14,BV17,BV18,BV19,BV20,BV21,BV22,BV23,BV26,BV27,BV28)</f>
        <v/>
      </c>
      <c r="BW29" s="7">
        <f>SUM(BW13,BW14,BW17,BW18,BW19,BW20,BW21,BW22,BW23,BW26,BW27,BW28)</f>
        <v/>
      </c>
      <c r="BX29" s="7">
        <f>SUM(BX13,BX14,BX17,BX18,BX19,BX20,BX21,BX22,BX23,BX26,BX27,BX28)</f>
        <v/>
      </c>
      <c r="BY29" s="7">
        <f>SUM(BY13,BY14,BY17,BY18,BY19,BY20,BY21,BY22,BY23,BY26,BY27,BY28)</f>
        <v/>
      </c>
    </row>
    <row r="31">
      <c r="B31" s="115" t="inlineStr">
        <is>
          <t>Операционные расходы</t>
        </is>
      </c>
      <c r="C31" s="116" t="n"/>
      <c r="D31" s="116" t="n"/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16" t="n"/>
      <c r="T31" s="116" t="n"/>
      <c r="U31" s="116" t="n"/>
      <c r="V31" s="116" t="n"/>
      <c r="W31" s="116" t="n"/>
      <c r="X31" s="116" t="n"/>
      <c r="Y31" s="116" t="n"/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  <c r="AO31" s="116" t="n"/>
      <c r="AP31" s="116" t="n"/>
      <c r="AQ31" s="116" t="n"/>
      <c r="AR31" s="116" t="n"/>
      <c r="AS31" s="116" t="n"/>
      <c r="AT31" s="116" t="n"/>
      <c r="AU31" s="116" t="n"/>
      <c r="AV31" s="116" t="n"/>
      <c r="AW31" s="116" t="n"/>
      <c r="AX31" s="116" t="n"/>
      <c r="AY31" s="116" t="n"/>
      <c r="AZ31" s="116" t="n"/>
      <c r="BA31" s="116" t="n"/>
      <c r="BB31" s="116" t="n"/>
      <c r="BC31" s="116" t="n"/>
      <c r="BD31" s="116" t="n"/>
      <c r="BE31" s="116" t="n"/>
      <c r="BF31" s="116" t="n"/>
      <c r="BG31" s="116" t="n"/>
      <c r="BH31" s="116" t="n"/>
      <c r="BI31" s="116" t="n"/>
      <c r="BJ31" s="116" t="n"/>
      <c r="BK31" s="116" t="n"/>
      <c r="BL31" s="116" t="n"/>
      <c r="BM31" s="116" t="n"/>
      <c r="BN31" s="116" t="n"/>
      <c r="BO31" s="116" t="n"/>
      <c r="BP31" s="116" t="n"/>
      <c r="BQ31" s="116" t="n"/>
      <c r="BR31" s="116" t="n"/>
      <c r="BS31" s="116" t="n"/>
      <c r="BT31" s="116" t="n"/>
      <c r="BU31" s="116" t="n"/>
      <c r="BV31" s="116" t="n"/>
      <c r="BW31" s="116" t="n"/>
      <c r="BX31" s="116" t="n"/>
      <c r="BY31" s="116" t="n"/>
    </row>
    <row r="32">
      <c r="B32" t="inlineStr">
        <is>
          <t>Подключения школ к ERP</t>
        </is>
      </c>
      <c r="C32" t="inlineStr">
        <is>
          <t>шт.</t>
        </is>
      </c>
      <c r="D32" s="117" t="inlineStr">
        <is>
          <t>Подключение — отдельное событие после открытия</t>
        </is>
      </c>
      <c r="E32" s="118">
        <f>SUM(L32:W32)</f>
        <v/>
      </c>
      <c r="F32" s="118">
        <f>SUM(X32:AI32)</f>
        <v/>
      </c>
      <c r="G32" s="118">
        <f>SUM(AJ32:AU32)</f>
        <v/>
      </c>
      <c r="H32" s="118">
        <f>SUM(AV32:BG32)</f>
        <v/>
      </c>
      <c r="I32" s="118">
        <f>SUM(BH32:BS32)</f>
        <v/>
      </c>
      <c r="J32" s="10">
        <f>SUM(L32:BS32)</f>
        <v/>
      </c>
      <c r="L32" s="9">
        <f>IF(1-ЛагERP&lt;1,0,INDEX('03_Сеть'!$L13:$BY13,1,1-ЛагERP)*КоэффСохранения^ЛагERP)</f>
        <v/>
      </c>
      <c r="M32" s="9">
        <f>IF(2-ЛагERP&lt;1,0,INDEX('03_Сеть'!$L13:$BY13,1,2-ЛагERP)*КоэффСохранения^ЛагERP)</f>
        <v/>
      </c>
      <c r="N32" s="9">
        <f>IF(3-ЛагERP&lt;1,0,INDEX('03_Сеть'!$L13:$BY13,1,3-ЛагERP)*КоэффСохранения^ЛагERP)</f>
        <v/>
      </c>
      <c r="O32" s="9">
        <f>IF(4-ЛагERP&lt;1,0,INDEX('03_Сеть'!$L13:$BY13,1,4-ЛагERP)*КоэффСохранения^ЛагERP)</f>
        <v/>
      </c>
      <c r="P32" s="9">
        <f>IF(5-ЛагERP&lt;1,0,INDEX('03_Сеть'!$L13:$BY13,1,5-ЛагERP)*КоэффСохранения^ЛагERP)</f>
        <v/>
      </c>
      <c r="Q32" s="9">
        <f>IF(6-ЛагERP&lt;1,0,INDEX('03_Сеть'!$L13:$BY13,1,6-ЛагERP)*КоэффСохранения^ЛагERP)</f>
        <v/>
      </c>
      <c r="R32" s="9">
        <f>IF(7-ЛагERP&lt;1,0,INDEX('03_Сеть'!$L13:$BY13,1,7-ЛагERP)*КоэффСохранения^ЛагERP)</f>
        <v/>
      </c>
      <c r="S32" s="9">
        <f>IF(8-ЛагERP&lt;1,0,INDEX('03_Сеть'!$L13:$BY13,1,8-ЛагERP)*КоэффСохранения^ЛагERP)</f>
        <v/>
      </c>
      <c r="T32" s="9">
        <f>IF(9-ЛагERP&lt;1,0,INDEX('03_Сеть'!$L13:$BY13,1,9-ЛагERP)*КоэффСохранения^ЛагERP)</f>
        <v/>
      </c>
      <c r="U32" s="9">
        <f>IF(10-ЛагERP&lt;1,0,INDEX('03_Сеть'!$L13:$BY13,1,10-ЛагERP)*КоэффСохранения^ЛагERP)</f>
        <v/>
      </c>
      <c r="V32" s="9">
        <f>IF(11-ЛагERP&lt;1,0,INDEX('03_Сеть'!$L13:$BY13,1,11-ЛагERP)*КоэффСохранения^ЛагERP)</f>
        <v/>
      </c>
      <c r="W32" s="9">
        <f>IF(12-ЛагERP&lt;1,0,INDEX('03_Сеть'!$L13:$BY13,1,12-ЛагERP)*КоэффСохранения^ЛагERP)</f>
        <v/>
      </c>
      <c r="X32" s="9">
        <f>IF(13-ЛагERP&lt;1,0,INDEX('03_Сеть'!$L13:$BY13,1,13-ЛагERP)*КоэффСохранения^ЛагERP)</f>
        <v/>
      </c>
      <c r="Y32" s="9">
        <f>IF(14-ЛагERP&lt;1,0,INDEX('03_Сеть'!$L13:$BY13,1,14-ЛагERP)*КоэффСохранения^ЛагERP)</f>
        <v/>
      </c>
      <c r="Z32" s="9">
        <f>IF(15-ЛагERP&lt;1,0,INDEX('03_Сеть'!$L13:$BY13,1,15-ЛагERP)*КоэффСохранения^ЛагERP)</f>
        <v/>
      </c>
      <c r="AA32" s="9">
        <f>IF(16-ЛагERP&lt;1,0,INDEX('03_Сеть'!$L13:$BY13,1,16-ЛагERP)*КоэффСохранения^ЛагERP)</f>
        <v/>
      </c>
      <c r="AB32" s="9">
        <f>IF(17-ЛагERP&lt;1,0,INDEX('03_Сеть'!$L13:$BY13,1,17-ЛагERP)*КоэффСохранения^ЛагERP)</f>
        <v/>
      </c>
      <c r="AC32" s="9">
        <f>IF(18-ЛагERP&lt;1,0,INDEX('03_Сеть'!$L13:$BY13,1,18-ЛагERP)*КоэффСохранения^ЛагERP)</f>
        <v/>
      </c>
      <c r="AD32" s="9">
        <f>IF(19-ЛагERP&lt;1,0,INDEX('03_Сеть'!$L13:$BY13,1,19-ЛагERP)*КоэффСохранения^ЛагERP)</f>
        <v/>
      </c>
      <c r="AE32" s="9">
        <f>IF(20-ЛагERP&lt;1,0,INDEX('03_Сеть'!$L13:$BY13,1,20-ЛагERP)*КоэффСохранения^ЛагERP)</f>
        <v/>
      </c>
      <c r="AF32" s="9">
        <f>IF(21-ЛагERP&lt;1,0,INDEX('03_Сеть'!$L13:$BY13,1,21-ЛагERP)*КоэффСохранения^ЛагERP)</f>
        <v/>
      </c>
      <c r="AG32" s="9">
        <f>IF(22-ЛагERP&lt;1,0,INDEX('03_Сеть'!$L13:$BY13,1,22-ЛагERP)*КоэффСохранения^ЛагERP)</f>
        <v/>
      </c>
      <c r="AH32" s="9">
        <f>IF(23-ЛагERP&lt;1,0,INDEX('03_Сеть'!$L13:$BY13,1,23-ЛагERP)*КоэффСохранения^ЛагERP)</f>
        <v/>
      </c>
      <c r="AI32" s="9">
        <f>IF(24-ЛагERP&lt;1,0,INDEX('03_Сеть'!$L13:$BY13,1,24-ЛагERP)*КоэффСохранения^ЛагERP)</f>
        <v/>
      </c>
      <c r="AJ32" s="9">
        <f>IF(25-ЛагERP&lt;1,0,INDEX('03_Сеть'!$L13:$BY13,1,25-ЛагERP)*КоэффСохранения^ЛагERP)</f>
        <v/>
      </c>
      <c r="AK32" s="9">
        <f>IF(26-ЛагERP&lt;1,0,INDEX('03_Сеть'!$L13:$BY13,1,26-ЛагERP)*КоэффСохранения^ЛагERP)</f>
        <v/>
      </c>
      <c r="AL32" s="9">
        <f>IF(27-ЛагERP&lt;1,0,INDEX('03_Сеть'!$L13:$BY13,1,27-ЛагERP)*КоэффСохранения^ЛагERP)</f>
        <v/>
      </c>
      <c r="AM32" s="9">
        <f>IF(28-ЛагERP&lt;1,0,INDEX('03_Сеть'!$L13:$BY13,1,28-ЛагERP)*КоэффСохранения^ЛагERP)</f>
        <v/>
      </c>
      <c r="AN32" s="9">
        <f>IF(29-ЛагERP&lt;1,0,INDEX('03_Сеть'!$L13:$BY13,1,29-ЛагERP)*КоэффСохранения^ЛагERP)</f>
        <v/>
      </c>
      <c r="AO32" s="9">
        <f>IF(30-ЛагERP&lt;1,0,INDEX('03_Сеть'!$L13:$BY13,1,30-ЛагERP)*КоэффСохранения^ЛагERP)</f>
        <v/>
      </c>
      <c r="AP32" s="9">
        <f>IF(31-ЛагERP&lt;1,0,INDEX('03_Сеть'!$L13:$BY13,1,31-ЛагERP)*КоэффСохранения^ЛагERP)</f>
        <v/>
      </c>
      <c r="AQ32" s="9">
        <f>IF(32-ЛагERP&lt;1,0,INDEX('03_Сеть'!$L13:$BY13,1,32-ЛагERP)*КоэффСохранения^ЛагERP)</f>
        <v/>
      </c>
      <c r="AR32" s="9">
        <f>IF(33-ЛагERP&lt;1,0,INDEX('03_Сеть'!$L13:$BY13,1,33-ЛагERP)*КоэффСохранения^ЛагERP)</f>
        <v/>
      </c>
      <c r="AS32" s="9">
        <f>IF(34-ЛагERP&lt;1,0,INDEX('03_Сеть'!$L13:$BY13,1,34-ЛагERP)*КоэффСохранения^ЛагERP)</f>
        <v/>
      </c>
      <c r="AT32" s="9">
        <f>IF(35-ЛагERP&lt;1,0,INDEX('03_Сеть'!$L13:$BY13,1,35-ЛагERP)*КоэффСохранения^ЛагERP)</f>
        <v/>
      </c>
      <c r="AU32" s="9">
        <f>IF(36-ЛагERP&lt;1,0,INDEX('03_Сеть'!$L13:$BY13,1,36-ЛагERP)*КоэффСохранения^ЛагERP)</f>
        <v/>
      </c>
      <c r="AV32" s="9">
        <f>IF(37-ЛагERP&lt;1,0,INDEX('03_Сеть'!$L13:$BY13,1,37-ЛагERP)*КоэффСохранения^ЛагERP)</f>
        <v/>
      </c>
      <c r="AW32" s="9">
        <f>IF(38-ЛагERP&lt;1,0,INDEX('03_Сеть'!$L13:$BY13,1,38-ЛагERP)*КоэффСохранения^ЛагERP)</f>
        <v/>
      </c>
      <c r="AX32" s="9">
        <f>IF(39-ЛагERP&lt;1,0,INDEX('03_Сеть'!$L13:$BY13,1,39-ЛагERP)*КоэффСохранения^ЛагERP)</f>
        <v/>
      </c>
      <c r="AY32" s="9">
        <f>IF(40-ЛагERP&lt;1,0,INDEX('03_Сеть'!$L13:$BY13,1,40-ЛагERP)*КоэффСохранения^ЛагERP)</f>
        <v/>
      </c>
      <c r="AZ32" s="9">
        <f>IF(41-ЛагERP&lt;1,0,INDEX('03_Сеть'!$L13:$BY13,1,41-ЛагERP)*КоэффСохранения^ЛагERP)</f>
        <v/>
      </c>
      <c r="BA32" s="9">
        <f>IF(42-ЛагERP&lt;1,0,INDEX('03_Сеть'!$L13:$BY13,1,42-ЛагERP)*КоэффСохранения^ЛагERP)</f>
        <v/>
      </c>
      <c r="BB32" s="9">
        <f>IF(43-ЛагERP&lt;1,0,INDEX('03_Сеть'!$L13:$BY13,1,43-ЛагERP)*КоэффСохранения^ЛагERP)</f>
        <v/>
      </c>
      <c r="BC32" s="9">
        <f>IF(44-ЛагERP&lt;1,0,INDEX('03_Сеть'!$L13:$BY13,1,44-ЛагERP)*КоэффСохранения^ЛагERP)</f>
        <v/>
      </c>
      <c r="BD32" s="9">
        <f>IF(45-ЛагERP&lt;1,0,INDEX('03_Сеть'!$L13:$BY13,1,45-ЛагERP)*КоэффСохранения^ЛагERP)</f>
        <v/>
      </c>
      <c r="BE32" s="9">
        <f>IF(46-ЛагERP&lt;1,0,INDEX('03_Сеть'!$L13:$BY13,1,46-ЛагERP)*КоэффСохранения^ЛагERP)</f>
        <v/>
      </c>
      <c r="BF32" s="9">
        <f>IF(47-ЛагERP&lt;1,0,INDEX('03_Сеть'!$L13:$BY13,1,47-ЛагERP)*КоэффСохранения^ЛагERP)</f>
        <v/>
      </c>
      <c r="BG32" s="9">
        <f>IF(48-ЛагERP&lt;1,0,INDEX('03_Сеть'!$L13:$BY13,1,48-ЛагERP)*КоэффСохранения^ЛагERP)</f>
        <v/>
      </c>
      <c r="BH32" s="9">
        <f>IF(49-ЛагERP&lt;1,0,INDEX('03_Сеть'!$L13:$BY13,1,49-ЛагERP)*КоэффСохранения^ЛагERP)</f>
        <v/>
      </c>
      <c r="BI32" s="9">
        <f>IF(50-ЛагERP&lt;1,0,INDEX('03_Сеть'!$L13:$BY13,1,50-ЛагERP)*КоэффСохранения^ЛагERP)</f>
        <v/>
      </c>
      <c r="BJ32" s="9">
        <f>IF(51-ЛагERP&lt;1,0,INDEX('03_Сеть'!$L13:$BY13,1,51-ЛагERP)*КоэффСохранения^ЛагERP)</f>
        <v/>
      </c>
      <c r="BK32" s="9">
        <f>IF(52-ЛагERP&lt;1,0,INDEX('03_Сеть'!$L13:$BY13,1,52-ЛагERP)*КоэффСохранения^ЛагERP)</f>
        <v/>
      </c>
      <c r="BL32" s="9">
        <f>IF(53-ЛагERP&lt;1,0,INDEX('03_Сеть'!$L13:$BY13,1,53-ЛагERP)*КоэффСохранения^ЛагERP)</f>
        <v/>
      </c>
      <c r="BM32" s="9">
        <f>IF(54-ЛагERP&lt;1,0,INDEX('03_Сеть'!$L13:$BY13,1,54-ЛагERP)*КоэффСохранения^ЛагERP)</f>
        <v/>
      </c>
      <c r="BN32" s="9">
        <f>IF(55-ЛагERP&lt;1,0,INDEX('03_Сеть'!$L13:$BY13,1,55-ЛагERP)*КоэффСохранения^ЛагERP)</f>
        <v/>
      </c>
      <c r="BO32" s="9">
        <f>IF(56-ЛагERP&lt;1,0,INDEX('03_Сеть'!$L13:$BY13,1,56-ЛагERP)*КоэффСохранения^ЛагERP)</f>
        <v/>
      </c>
      <c r="BP32" s="9">
        <f>IF(57-ЛагERP&lt;1,0,INDEX('03_Сеть'!$L13:$BY13,1,57-ЛагERP)*КоэффСохранения^ЛагERP)</f>
        <v/>
      </c>
      <c r="BQ32" s="9">
        <f>IF(58-ЛагERP&lt;1,0,INDEX('03_Сеть'!$L13:$BY13,1,58-ЛагERP)*КоэффСохранения^ЛагERP)</f>
        <v/>
      </c>
      <c r="BR32" s="9">
        <f>IF(59-ЛагERP&lt;1,0,INDEX('03_Сеть'!$L13:$BY13,1,59-ЛагERP)*КоэффСохранения^ЛагERP)</f>
        <v/>
      </c>
      <c r="BS32" s="9">
        <f>IF(60-ЛагERP&lt;1,0,INDEX('03_Сеть'!$L13:$BY13,1,60-ЛагERP)*КоэффСохранения^ЛагERP)</f>
        <v/>
      </c>
      <c r="BT32" s="9">
        <f>IF(61-ЛагERP&lt;1,0,INDEX('03_Сеть'!$L13:$BY13,1,61-ЛагERP)*КоэффСохранения^ЛагERP)</f>
        <v/>
      </c>
      <c r="BU32" s="9">
        <f>IF(62-ЛагERP&lt;1,0,INDEX('03_Сеть'!$L13:$BY13,1,62-ЛагERP)*КоэффСохранения^ЛагERP)</f>
        <v/>
      </c>
      <c r="BV32" s="9">
        <f>IF(63-ЛагERP&lt;1,0,INDEX('03_Сеть'!$L13:$BY13,1,63-ЛагERP)*КоэффСохранения^ЛагERP)</f>
        <v/>
      </c>
      <c r="BW32" s="9">
        <f>IF(64-ЛагERP&lt;1,0,INDEX('03_Сеть'!$L13:$BY13,1,64-ЛагERP)*КоэффСохранения^ЛагERP)</f>
        <v/>
      </c>
      <c r="BX32" s="9">
        <f>IF(65-ЛагERP&lt;1,0,INDEX('03_Сеть'!$L13:$BY13,1,65-ЛагERP)*КоэффСохранения^ЛагERP)</f>
        <v/>
      </c>
      <c r="BY32" s="9">
        <f>IF(66-ЛагERP&lt;1,0,INDEX('03_Сеть'!$L13:$BY13,1,66-ЛагERP)*КоэффСохранения^ЛагERP)</f>
        <v/>
      </c>
    </row>
    <row r="33">
      <c r="B33" t="inlineStr">
        <is>
          <t>Новых школ в ERP</t>
        </is>
      </c>
      <c r="C33" t="inlineStr">
        <is>
          <t>шт.</t>
        </is>
      </c>
      <c r="D33" s="117" t="inlineStr"/>
      <c r="E33" s="118">
        <f>W33</f>
        <v/>
      </c>
      <c r="F33" s="118">
        <f>AI33</f>
        <v/>
      </c>
      <c r="G33" s="118">
        <f>AU33</f>
        <v/>
      </c>
      <c r="H33" s="118">
        <f>BG33</f>
        <v/>
      </c>
      <c r="I33" s="118">
        <f>BS33</f>
        <v/>
      </c>
      <c r="J33" s="10">
        <f>BS33</f>
        <v/>
      </c>
      <c r="L33" s="9">
        <f>$L32</f>
        <v/>
      </c>
      <c r="M33" s="9">
        <f>L33*КоэффСохранения+M32</f>
        <v/>
      </c>
      <c r="N33" s="9">
        <f>M33*КоэффСохранения+N32</f>
        <v/>
      </c>
      <c r="O33" s="9">
        <f>N33*КоэффСохранения+O32</f>
        <v/>
      </c>
      <c r="P33" s="9">
        <f>O33*КоэффСохранения+P32</f>
        <v/>
      </c>
      <c r="Q33" s="9">
        <f>P33*КоэффСохранения+Q32</f>
        <v/>
      </c>
      <c r="R33" s="9">
        <f>Q33*КоэффСохранения+R32</f>
        <v/>
      </c>
      <c r="S33" s="9">
        <f>R33*КоэффСохранения+S32</f>
        <v/>
      </c>
      <c r="T33" s="9">
        <f>S33*КоэффСохранения+T32</f>
        <v/>
      </c>
      <c r="U33" s="9">
        <f>T33*КоэффСохранения+U32</f>
        <v/>
      </c>
      <c r="V33" s="9">
        <f>U33*КоэффСохранения+V32</f>
        <v/>
      </c>
      <c r="W33" s="9">
        <f>V33*КоэффСохранения+W32</f>
        <v/>
      </c>
      <c r="X33" s="9">
        <f>W33*КоэффСохранения+X32</f>
        <v/>
      </c>
      <c r="Y33" s="9">
        <f>X33*КоэффСохранения+Y32</f>
        <v/>
      </c>
      <c r="Z33" s="9">
        <f>Y33*КоэффСохранения+Z32</f>
        <v/>
      </c>
      <c r="AA33" s="9">
        <f>Z33*КоэффСохранения+AA32</f>
        <v/>
      </c>
      <c r="AB33" s="9">
        <f>AA33*КоэффСохранения+AB32</f>
        <v/>
      </c>
      <c r="AC33" s="9">
        <f>AB33*КоэффСохранения+AC32</f>
        <v/>
      </c>
      <c r="AD33" s="9">
        <f>AC33*КоэффСохранения+AD32</f>
        <v/>
      </c>
      <c r="AE33" s="9">
        <f>AD33*КоэффСохранения+AE32</f>
        <v/>
      </c>
      <c r="AF33" s="9">
        <f>AE33*КоэффСохранения+AF32</f>
        <v/>
      </c>
      <c r="AG33" s="9">
        <f>AF33*КоэффСохранения+AG32</f>
        <v/>
      </c>
      <c r="AH33" s="9">
        <f>AG33*КоэффСохранения+AH32</f>
        <v/>
      </c>
      <c r="AI33" s="9">
        <f>AH33*КоэффСохранения+AI32</f>
        <v/>
      </c>
      <c r="AJ33" s="9">
        <f>AI33*КоэффСохранения+AJ32</f>
        <v/>
      </c>
      <c r="AK33" s="9">
        <f>AJ33*КоэффСохранения+AK32</f>
        <v/>
      </c>
      <c r="AL33" s="9">
        <f>AK33*КоэффСохранения+AL32</f>
        <v/>
      </c>
      <c r="AM33" s="9">
        <f>AL33*КоэффСохранения+AM32</f>
        <v/>
      </c>
      <c r="AN33" s="9">
        <f>AM33*КоэффСохранения+AN32</f>
        <v/>
      </c>
      <c r="AO33" s="9">
        <f>AN33*КоэффСохранения+AO32</f>
        <v/>
      </c>
      <c r="AP33" s="9">
        <f>AO33*КоэффСохранения+AP32</f>
        <v/>
      </c>
      <c r="AQ33" s="9">
        <f>AP33*КоэффСохранения+AQ32</f>
        <v/>
      </c>
      <c r="AR33" s="9">
        <f>AQ33*КоэффСохранения+AR32</f>
        <v/>
      </c>
      <c r="AS33" s="9">
        <f>AR33*КоэффСохранения+AS32</f>
        <v/>
      </c>
      <c r="AT33" s="9">
        <f>AS33*КоэффСохранения+AT32</f>
        <v/>
      </c>
      <c r="AU33" s="9">
        <f>AT33*КоэффСохранения+AU32</f>
        <v/>
      </c>
      <c r="AV33" s="9">
        <f>AU33*КоэффСохранения+AV32</f>
        <v/>
      </c>
      <c r="AW33" s="9">
        <f>AV33*КоэффСохранения+AW32</f>
        <v/>
      </c>
      <c r="AX33" s="9">
        <f>AW33*КоэффСохранения+AX32</f>
        <v/>
      </c>
      <c r="AY33" s="9">
        <f>AX33*КоэффСохранения+AY32</f>
        <v/>
      </c>
      <c r="AZ33" s="9">
        <f>AY33*КоэффСохранения+AZ32</f>
        <v/>
      </c>
      <c r="BA33" s="9">
        <f>AZ33*КоэффСохранения+BA32</f>
        <v/>
      </c>
      <c r="BB33" s="9">
        <f>BA33*КоэффСохранения+BB32</f>
        <v/>
      </c>
      <c r="BC33" s="9">
        <f>BB33*КоэффСохранения+BC32</f>
        <v/>
      </c>
      <c r="BD33" s="9">
        <f>BC33*КоэффСохранения+BD32</f>
        <v/>
      </c>
      <c r="BE33" s="9">
        <f>BD33*КоэффСохранения+BE32</f>
        <v/>
      </c>
      <c r="BF33" s="9">
        <f>BE33*КоэффСохранения+BF32</f>
        <v/>
      </c>
      <c r="BG33" s="9">
        <f>BF33*КоэффСохранения+BG32</f>
        <v/>
      </c>
      <c r="BH33" s="9">
        <f>BG33*КоэффСохранения+BH32</f>
        <v/>
      </c>
      <c r="BI33" s="9">
        <f>BH33*КоэффСохранения+BI32</f>
        <v/>
      </c>
      <c r="BJ33" s="9">
        <f>BI33*КоэффСохранения+BJ32</f>
        <v/>
      </c>
      <c r="BK33" s="9">
        <f>BJ33*КоэффСохранения+BK32</f>
        <v/>
      </c>
      <c r="BL33" s="9">
        <f>BK33*КоэффСохранения+BL32</f>
        <v/>
      </c>
      <c r="BM33" s="9">
        <f>BL33*КоэффСохранения+BM32</f>
        <v/>
      </c>
      <c r="BN33" s="9">
        <f>BM33*КоэффСохранения+BN32</f>
        <v/>
      </c>
      <c r="BO33" s="9">
        <f>BN33*КоэффСохранения+BO32</f>
        <v/>
      </c>
      <c r="BP33" s="9">
        <f>BO33*КоэффСохранения+BP32</f>
        <v/>
      </c>
      <c r="BQ33" s="9">
        <f>BP33*КоэффСохранения+BQ32</f>
        <v/>
      </c>
      <c r="BR33" s="9">
        <f>BQ33*КоэффСохранения+BR32</f>
        <v/>
      </c>
      <c r="BS33" s="9">
        <f>BR33*КоэффСохранения+BS32</f>
        <v/>
      </c>
      <c r="BT33" s="9">
        <f>BS33*КоэффСохранения+BT32</f>
        <v/>
      </c>
      <c r="BU33" s="9">
        <f>BT33*КоэффСохранения+BU32</f>
        <v/>
      </c>
      <c r="BV33" s="9">
        <f>BU33*КоэффСохранения+BV32</f>
        <v/>
      </c>
      <c r="BW33" s="9">
        <f>BV33*КоэффСохранения+BW32</f>
        <v/>
      </c>
      <c r="BX33" s="9">
        <f>BW33*КоэффСохранения+BX32</f>
        <v/>
      </c>
      <c r="BY33" s="9">
        <f>BX33*КоэффСохранения+BY32</f>
        <v/>
      </c>
    </row>
    <row r="34">
      <c r="B34" t="inlineStr">
        <is>
          <t>ERP</t>
        </is>
      </c>
      <c r="C34" t="inlineStr">
        <is>
          <t>₽</t>
        </is>
      </c>
      <c r="D34" s="117" t="inlineStr">
        <is>
          <t>База плюс по 3 тыс. за каждую школу сверх базы</t>
        </is>
      </c>
      <c r="E34" s="119">
        <f>SUM(L34:W34)</f>
        <v/>
      </c>
      <c r="F34" s="119">
        <f>SUM(X34:AI34)</f>
        <v/>
      </c>
      <c r="G34" s="119">
        <f>SUM(AJ34:AU34)</f>
        <v/>
      </c>
      <c r="H34" s="119">
        <f>SUM(AV34:BG34)</f>
        <v/>
      </c>
      <c r="I34" s="119">
        <f>SUM(BH34:BS34)</f>
        <v/>
      </c>
      <c r="J34" s="5">
        <f>SUM(L34:BS34)</f>
        <v/>
      </c>
      <c r="L34" s="4">
        <f>(ERPБаза+(MAX(0,'03_Сеть'!L17-ERPШколВБазе)+L33)*ERPНаШколу)*'04_Доходы'!L6</f>
        <v/>
      </c>
      <c r="M34" s="4">
        <f>(ERPБаза+(MAX(0,'03_Сеть'!M17-ERPШколВБазе)+M33)*ERPНаШколу)*'04_Доходы'!M6</f>
        <v/>
      </c>
      <c r="N34" s="4">
        <f>(ERPБаза+(MAX(0,'03_Сеть'!N17-ERPШколВБазе)+N33)*ERPНаШколу)*'04_Доходы'!N6</f>
        <v/>
      </c>
      <c r="O34" s="4">
        <f>(ERPБаза+(MAX(0,'03_Сеть'!O17-ERPШколВБазе)+O33)*ERPНаШколу)*'04_Доходы'!O6</f>
        <v/>
      </c>
      <c r="P34" s="4">
        <f>(ERPБаза+(MAX(0,'03_Сеть'!P17-ERPШколВБазе)+P33)*ERPНаШколу)*'04_Доходы'!P6</f>
        <v/>
      </c>
      <c r="Q34" s="4">
        <f>(ERPБаза+(MAX(0,'03_Сеть'!Q17-ERPШколВБазе)+Q33)*ERPНаШколу)*'04_Доходы'!Q6</f>
        <v/>
      </c>
      <c r="R34" s="4">
        <f>(ERPБаза+(MAX(0,'03_Сеть'!R17-ERPШколВБазе)+R33)*ERPНаШколу)*'04_Доходы'!R6</f>
        <v/>
      </c>
      <c r="S34" s="4">
        <f>(ERPБаза+(MAX(0,'03_Сеть'!S17-ERPШколВБазе)+S33)*ERPНаШколу)*'04_Доходы'!S6</f>
        <v/>
      </c>
      <c r="T34" s="4">
        <f>(ERPБаза+(MAX(0,'03_Сеть'!T17-ERPШколВБазе)+T33)*ERPНаШколу)*'04_Доходы'!T6</f>
        <v/>
      </c>
      <c r="U34" s="4">
        <f>(ERPБаза+(MAX(0,'03_Сеть'!U17-ERPШколВБазе)+U33)*ERPНаШколу)*'04_Доходы'!U6</f>
        <v/>
      </c>
      <c r="V34" s="4">
        <f>(ERPБаза+(MAX(0,'03_Сеть'!V17-ERPШколВБазе)+V33)*ERPНаШколу)*'04_Доходы'!V6</f>
        <v/>
      </c>
      <c r="W34" s="4">
        <f>(ERPБаза+(MAX(0,'03_Сеть'!W17-ERPШколВБазе)+W33)*ERPНаШколу)*'04_Доходы'!W6</f>
        <v/>
      </c>
      <c r="X34" s="4">
        <f>(ERPБаза+(MAX(0,'03_Сеть'!X17-ERPШколВБазе)+X33)*ERPНаШколу)*'04_Доходы'!X6</f>
        <v/>
      </c>
      <c r="Y34" s="4">
        <f>(ERPБаза+(MAX(0,'03_Сеть'!Y17-ERPШколВБазе)+Y33)*ERPНаШколу)*'04_Доходы'!Y6</f>
        <v/>
      </c>
      <c r="Z34" s="4">
        <f>(ERPБаза+(MAX(0,'03_Сеть'!Z17-ERPШколВБазе)+Z33)*ERPНаШколу)*'04_Доходы'!Z6</f>
        <v/>
      </c>
      <c r="AA34" s="4">
        <f>(ERPБаза+(MAX(0,'03_Сеть'!AA17-ERPШколВБазе)+AA33)*ERPНаШколу)*'04_Доходы'!AA6</f>
        <v/>
      </c>
      <c r="AB34" s="4">
        <f>(ERPБаза+(MAX(0,'03_Сеть'!AB17-ERPШколВБазе)+AB33)*ERPНаШколу)*'04_Доходы'!AB6</f>
        <v/>
      </c>
      <c r="AC34" s="4">
        <f>(ERPБаза+(MAX(0,'03_Сеть'!AC17-ERPШколВБазе)+AC33)*ERPНаШколу)*'04_Доходы'!AC6</f>
        <v/>
      </c>
      <c r="AD34" s="4">
        <f>(ERPБаза+(MAX(0,'03_Сеть'!AD17-ERPШколВБазе)+AD33)*ERPНаШколу)*'04_Доходы'!AD6</f>
        <v/>
      </c>
      <c r="AE34" s="4">
        <f>(ERPБаза+(MAX(0,'03_Сеть'!AE17-ERPШколВБазе)+AE33)*ERPНаШколу)*'04_Доходы'!AE6</f>
        <v/>
      </c>
      <c r="AF34" s="4">
        <f>(ERPБаза+(MAX(0,'03_Сеть'!AF17-ERPШколВБазе)+AF33)*ERPНаШколу)*'04_Доходы'!AF6</f>
        <v/>
      </c>
      <c r="AG34" s="4">
        <f>(ERPБаза+(MAX(0,'03_Сеть'!AG17-ERPШколВБазе)+AG33)*ERPНаШколу)*'04_Доходы'!AG6</f>
        <v/>
      </c>
      <c r="AH34" s="4">
        <f>(ERPБаза+(MAX(0,'03_Сеть'!AH17-ERPШколВБазе)+AH33)*ERPНаШколу)*'04_Доходы'!AH6</f>
        <v/>
      </c>
      <c r="AI34" s="4">
        <f>(ERPБаза+(MAX(0,'03_Сеть'!AI17-ERPШколВБазе)+AI33)*ERPНаШколу)*'04_Доходы'!AI6</f>
        <v/>
      </c>
      <c r="AJ34" s="4">
        <f>(ERPБаза+(MAX(0,'03_Сеть'!AJ17-ERPШколВБазе)+AJ33)*ERPНаШколу)*'04_Доходы'!AJ6</f>
        <v/>
      </c>
      <c r="AK34" s="4">
        <f>(ERPБаза+(MAX(0,'03_Сеть'!AK17-ERPШколВБазе)+AK33)*ERPНаШколу)*'04_Доходы'!AK6</f>
        <v/>
      </c>
      <c r="AL34" s="4">
        <f>(ERPБаза+(MAX(0,'03_Сеть'!AL17-ERPШколВБазе)+AL33)*ERPНаШколу)*'04_Доходы'!AL6</f>
        <v/>
      </c>
      <c r="AM34" s="4">
        <f>(ERPБаза+(MAX(0,'03_Сеть'!AM17-ERPШколВБазе)+AM33)*ERPНаШколу)*'04_Доходы'!AM6</f>
        <v/>
      </c>
      <c r="AN34" s="4">
        <f>(ERPБаза+(MAX(0,'03_Сеть'!AN17-ERPШколВБазе)+AN33)*ERPНаШколу)*'04_Доходы'!AN6</f>
        <v/>
      </c>
      <c r="AO34" s="4">
        <f>(ERPБаза+(MAX(0,'03_Сеть'!AO17-ERPШколВБазе)+AO33)*ERPНаШколу)*'04_Доходы'!AO6</f>
        <v/>
      </c>
      <c r="AP34" s="4">
        <f>(ERPБаза+(MAX(0,'03_Сеть'!AP17-ERPШколВБазе)+AP33)*ERPНаШколу)*'04_Доходы'!AP6</f>
        <v/>
      </c>
      <c r="AQ34" s="4">
        <f>(ERPБаза+(MAX(0,'03_Сеть'!AQ17-ERPШколВБазе)+AQ33)*ERPНаШколу)*'04_Доходы'!AQ6</f>
        <v/>
      </c>
      <c r="AR34" s="4">
        <f>(ERPБаза+(MAX(0,'03_Сеть'!AR17-ERPШколВБазе)+AR33)*ERPНаШколу)*'04_Доходы'!AR6</f>
        <v/>
      </c>
      <c r="AS34" s="4">
        <f>(ERPБаза+(MAX(0,'03_Сеть'!AS17-ERPШколВБазе)+AS33)*ERPНаШколу)*'04_Доходы'!AS6</f>
        <v/>
      </c>
      <c r="AT34" s="4">
        <f>(ERPБаза+(MAX(0,'03_Сеть'!AT17-ERPШколВБазе)+AT33)*ERPНаШколу)*'04_Доходы'!AT6</f>
        <v/>
      </c>
      <c r="AU34" s="4">
        <f>(ERPБаза+(MAX(0,'03_Сеть'!AU17-ERPШколВБазе)+AU33)*ERPНаШколу)*'04_Доходы'!AU6</f>
        <v/>
      </c>
      <c r="AV34" s="4">
        <f>(ERPБаза+(MAX(0,'03_Сеть'!AV17-ERPШколВБазе)+AV33)*ERPНаШколу)*'04_Доходы'!AV6</f>
        <v/>
      </c>
      <c r="AW34" s="4">
        <f>(ERPБаза+(MAX(0,'03_Сеть'!AW17-ERPШколВБазе)+AW33)*ERPНаШколу)*'04_Доходы'!AW6</f>
        <v/>
      </c>
      <c r="AX34" s="4">
        <f>(ERPБаза+(MAX(0,'03_Сеть'!AX17-ERPШколВБазе)+AX33)*ERPНаШколу)*'04_Доходы'!AX6</f>
        <v/>
      </c>
      <c r="AY34" s="4">
        <f>(ERPБаза+(MAX(0,'03_Сеть'!AY17-ERPШколВБазе)+AY33)*ERPНаШколу)*'04_Доходы'!AY6</f>
        <v/>
      </c>
      <c r="AZ34" s="4">
        <f>(ERPБаза+(MAX(0,'03_Сеть'!AZ17-ERPШколВБазе)+AZ33)*ERPНаШколу)*'04_Доходы'!AZ6</f>
        <v/>
      </c>
      <c r="BA34" s="4">
        <f>(ERPБаза+(MAX(0,'03_Сеть'!BA17-ERPШколВБазе)+BA33)*ERPНаШколу)*'04_Доходы'!BA6</f>
        <v/>
      </c>
      <c r="BB34" s="4">
        <f>(ERPБаза+(MAX(0,'03_Сеть'!BB17-ERPШколВБазе)+BB33)*ERPНаШколу)*'04_Доходы'!BB6</f>
        <v/>
      </c>
      <c r="BC34" s="4">
        <f>(ERPБаза+(MAX(0,'03_Сеть'!BC17-ERPШколВБазе)+BC33)*ERPНаШколу)*'04_Доходы'!BC6</f>
        <v/>
      </c>
      <c r="BD34" s="4">
        <f>(ERPБаза+(MAX(0,'03_Сеть'!BD17-ERPШколВБазе)+BD33)*ERPНаШколу)*'04_Доходы'!BD6</f>
        <v/>
      </c>
      <c r="BE34" s="4">
        <f>(ERPБаза+(MAX(0,'03_Сеть'!BE17-ERPШколВБазе)+BE33)*ERPНаШколу)*'04_Доходы'!BE6</f>
        <v/>
      </c>
      <c r="BF34" s="4">
        <f>(ERPБаза+(MAX(0,'03_Сеть'!BF17-ERPШколВБазе)+BF33)*ERPНаШколу)*'04_Доходы'!BF6</f>
        <v/>
      </c>
      <c r="BG34" s="4">
        <f>(ERPБаза+(MAX(0,'03_Сеть'!BG17-ERPШколВБазе)+BG33)*ERPНаШколу)*'04_Доходы'!BG6</f>
        <v/>
      </c>
      <c r="BH34" s="4">
        <f>(ERPБаза+(MAX(0,'03_Сеть'!BH17-ERPШколВБазе)+BH33)*ERPНаШколу)*'04_Доходы'!BH6</f>
        <v/>
      </c>
      <c r="BI34" s="4">
        <f>(ERPБаза+(MAX(0,'03_Сеть'!BI17-ERPШколВБазе)+BI33)*ERPНаШколу)*'04_Доходы'!BI6</f>
        <v/>
      </c>
      <c r="BJ34" s="4">
        <f>(ERPБаза+(MAX(0,'03_Сеть'!BJ17-ERPШколВБазе)+BJ33)*ERPНаШколу)*'04_Доходы'!BJ6</f>
        <v/>
      </c>
      <c r="BK34" s="4">
        <f>(ERPБаза+(MAX(0,'03_Сеть'!BK17-ERPШколВБазе)+BK33)*ERPНаШколу)*'04_Доходы'!BK6</f>
        <v/>
      </c>
      <c r="BL34" s="4">
        <f>(ERPБаза+(MAX(0,'03_Сеть'!BL17-ERPШколВБазе)+BL33)*ERPНаШколу)*'04_Доходы'!BL6</f>
        <v/>
      </c>
      <c r="BM34" s="4">
        <f>(ERPБаза+(MAX(0,'03_Сеть'!BM17-ERPШколВБазе)+BM33)*ERPНаШколу)*'04_Доходы'!BM6</f>
        <v/>
      </c>
      <c r="BN34" s="4">
        <f>(ERPБаза+(MAX(0,'03_Сеть'!BN17-ERPШколВБазе)+BN33)*ERPНаШколу)*'04_Доходы'!BN6</f>
        <v/>
      </c>
      <c r="BO34" s="4">
        <f>(ERPБаза+(MAX(0,'03_Сеть'!BO17-ERPШколВБазе)+BO33)*ERPНаШколу)*'04_Доходы'!BO6</f>
        <v/>
      </c>
      <c r="BP34" s="4">
        <f>(ERPБаза+(MAX(0,'03_Сеть'!BP17-ERPШколВБазе)+BP33)*ERPНаШколу)*'04_Доходы'!BP6</f>
        <v/>
      </c>
      <c r="BQ34" s="4">
        <f>(ERPБаза+(MAX(0,'03_Сеть'!BQ17-ERPШколВБазе)+BQ33)*ERPНаШколу)*'04_Доходы'!BQ6</f>
        <v/>
      </c>
      <c r="BR34" s="4">
        <f>(ERPБаза+(MAX(0,'03_Сеть'!BR17-ERPШколВБазе)+BR33)*ERPНаШколу)*'04_Доходы'!BR6</f>
        <v/>
      </c>
      <c r="BS34" s="4">
        <f>(ERPБаза+(MAX(0,'03_Сеть'!BS17-ERPШколВБазе)+BS33)*ERPНаШколу)*'04_Доходы'!BS6</f>
        <v/>
      </c>
      <c r="BT34" s="4">
        <f>(ERPБаза+(MAX(0,'03_Сеть'!BT17-ERPШколВБазе)+BT33)*ERPНаШколу)*'04_Доходы'!BT6</f>
        <v/>
      </c>
      <c r="BU34" s="4">
        <f>(ERPБаза+(MAX(0,'03_Сеть'!BU17-ERPШколВБазе)+BU33)*ERPНаШколу)*'04_Доходы'!BU6</f>
        <v/>
      </c>
      <c r="BV34" s="4">
        <f>(ERPБаза+(MAX(0,'03_Сеть'!BV17-ERPШколВБазе)+BV33)*ERPНаШколу)*'04_Доходы'!BV6</f>
        <v/>
      </c>
      <c r="BW34" s="4">
        <f>(ERPБаза+(MAX(0,'03_Сеть'!BW17-ERPШколВБазе)+BW33)*ERPНаШколу)*'04_Доходы'!BW6</f>
        <v/>
      </c>
      <c r="BX34" s="4">
        <f>(ERPБаза+(MAX(0,'03_Сеть'!BX17-ERPШколВБазе)+BX33)*ERPНаШколу)*'04_Доходы'!BX6</f>
        <v/>
      </c>
      <c r="BY34" s="4">
        <f>(ERPБаза+(MAX(0,'03_Сеть'!BY17-ERPШколВБазе)+BY33)*ERPНаШколу)*'04_Доходы'!BY6</f>
        <v/>
      </c>
    </row>
    <row r="35">
      <c r="B35" t="inlineStr">
        <is>
          <t>Офис, аренда, уборка, парковка</t>
        </is>
      </c>
      <c r="C35" t="inlineStr">
        <is>
          <t>₽</t>
        </is>
      </c>
      <c r="D35" s="117" t="inlineStr">
        <is>
          <t>До фактического переезда не меняется</t>
        </is>
      </c>
      <c r="E35" s="119">
        <f>SUM(L35:W35)</f>
        <v/>
      </c>
      <c r="F35" s="119">
        <f>SUM(X35:AI35)</f>
        <v/>
      </c>
      <c r="G35" s="119">
        <f>SUM(AJ35:AU35)</f>
        <v/>
      </c>
      <c r="H35" s="119">
        <f>SUM(AV35:BG35)</f>
        <v/>
      </c>
      <c r="I35" s="119">
        <f>SUM(BH35:BS35)</f>
        <v/>
      </c>
      <c r="J35" s="5">
        <f>SUM(L35:BS35)</f>
        <v/>
      </c>
      <c r="L35" s="4">
        <f>Офис</f>
        <v/>
      </c>
      <c r="M35" s="4">
        <f>Офис</f>
        <v/>
      </c>
      <c r="N35" s="4">
        <f>Офис</f>
        <v/>
      </c>
      <c r="O35" s="4">
        <f>Офис</f>
        <v/>
      </c>
      <c r="P35" s="4">
        <f>Офис</f>
        <v/>
      </c>
      <c r="Q35" s="4">
        <f>Офис</f>
        <v/>
      </c>
      <c r="R35" s="4">
        <f>Офис</f>
        <v/>
      </c>
      <c r="S35" s="4">
        <f>Офис</f>
        <v/>
      </c>
      <c r="T35" s="4">
        <f>Офис</f>
        <v/>
      </c>
      <c r="U35" s="4">
        <f>Офис</f>
        <v/>
      </c>
      <c r="V35" s="4">
        <f>Офис</f>
        <v/>
      </c>
      <c r="W35" s="4">
        <f>Офис</f>
        <v/>
      </c>
      <c r="X35" s="4">
        <f>Офис</f>
        <v/>
      </c>
      <c r="Y35" s="4">
        <f>Офис</f>
        <v/>
      </c>
      <c r="Z35" s="4">
        <f>Офис</f>
        <v/>
      </c>
      <c r="AA35" s="4">
        <f>Офис</f>
        <v/>
      </c>
      <c r="AB35" s="4">
        <f>Офис</f>
        <v/>
      </c>
      <c r="AC35" s="4">
        <f>Офис</f>
        <v/>
      </c>
      <c r="AD35" s="4">
        <f>Офис</f>
        <v/>
      </c>
      <c r="AE35" s="4">
        <f>Офис</f>
        <v/>
      </c>
      <c r="AF35" s="4">
        <f>Офис</f>
        <v/>
      </c>
      <c r="AG35" s="4">
        <f>Офис</f>
        <v/>
      </c>
      <c r="AH35" s="4">
        <f>Офис</f>
        <v/>
      </c>
      <c r="AI35" s="4">
        <f>Офис</f>
        <v/>
      </c>
      <c r="AJ35" s="4">
        <f>Офис</f>
        <v/>
      </c>
      <c r="AK35" s="4">
        <f>Офис</f>
        <v/>
      </c>
      <c r="AL35" s="4">
        <f>Офис</f>
        <v/>
      </c>
      <c r="AM35" s="4">
        <f>Офис</f>
        <v/>
      </c>
      <c r="AN35" s="4">
        <f>Офис</f>
        <v/>
      </c>
      <c r="AO35" s="4">
        <f>Офис</f>
        <v/>
      </c>
      <c r="AP35" s="4">
        <f>Офис</f>
        <v/>
      </c>
      <c r="AQ35" s="4">
        <f>Офис</f>
        <v/>
      </c>
      <c r="AR35" s="4">
        <f>Офис</f>
        <v/>
      </c>
      <c r="AS35" s="4">
        <f>Офис</f>
        <v/>
      </c>
      <c r="AT35" s="4">
        <f>Офис</f>
        <v/>
      </c>
      <c r="AU35" s="4">
        <f>Офис</f>
        <v/>
      </c>
      <c r="AV35" s="4">
        <f>Офис</f>
        <v/>
      </c>
      <c r="AW35" s="4">
        <f>Офис</f>
        <v/>
      </c>
      <c r="AX35" s="4">
        <f>Офис</f>
        <v/>
      </c>
      <c r="AY35" s="4">
        <f>Офис</f>
        <v/>
      </c>
      <c r="AZ35" s="4">
        <f>Офис</f>
        <v/>
      </c>
      <c r="BA35" s="4">
        <f>Офис</f>
        <v/>
      </c>
      <c r="BB35" s="4">
        <f>Офис</f>
        <v/>
      </c>
      <c r="BC35" s="4">
        <f>Офис</f>
        <v/>
      </c>
      <c r="BD35" s="4">
        <f>Офис</f>
        <v/>
      </c>
      <c r="BE35" s="4">
        <f>Офис</f>
        <v/>
      </c>
      <c r="BF35" s="4">
        <f>Офис</f>
        <v/>
      </c>
      <c r="BG35" s="4">
        <f>Офис</f>
        <v/>
      </c>
      <c r="BH35" s="4">
        <f>Офис</f>
        <v/>
      </c>
      <c r="BI35" s="4">
        <f>Офис</f>
        <v/>
      </c>
      <c r="BJ35" s="4">
        <f>Офис</f>
        <v/>
      </c>
      <c r="BK35" s="4">
        <f>Офис</f>
        <v/>
      </c>
      <c r="BL35" s="4">
        <f>Офис</f>
        <v/>
      </c>
      <c r="BM35" s="4">
        <f>Офис</f>
        <v/>
      </c>
      <c r="BN35" s="4">
        <f>Офис</f>
        <v/>
      </c>
      <c r="BO35" s="4">
        <f>Офис</f>
        <v/>
      </c>
      <c r="BP35" s="4">
        <f>Офис</f>
        <v/>
      </c>
      <c r="BQ35" s="4">
        <f>Офис</f>
        <v/>
      </c>
      <c r="BR35" s="4">
        <f>Офис</f>
        <v/>
      </c>
      <c r="BS35" s="4">
        <f>Офис</f>
        <v/>
      </c>
      <c r="BT35" s="4">
        <f>Офис</f>
        <v/>
      </c>
      <c r="BU35" s="4">
        <f>Офис</f>
        <v/>
      </c>
      <c r="BV35" s="4">
        <f>Офис</f>
        <v/>
      </c>
      <c r="BW35" s="4">
        <f>Офис</f>
        <v/>
      </c>
      <c r="BX35" s="4">
        <f>Офис</f>
        <v/>
      </c>
      <c r="BY35" s="4">
        <f>Офис</f>
        <v/>
      </c>
    </row>
    <row r="36">
      <c r="B36" t="inlineStr">
        <is>
          <t>Юристы, аудит, бухгалтерия</t>
        </is>
      </c>
      <c r="C36" t="inlineStr">
        <is>
          <t>₽</t>
        </is>
      </c>
      <c r="D36" s="117" t="inlineStr"/>
      <c r="E36" s="119">
        <f>SUM(L36:W36)</f>
        <v/>
      </c>
      <c r="F36" s="119">
        <f>SUM(X36:AI36)</f>
        <v/>
      </c>
      <c r="G36" s="119">
        <f>SUM(AJ36:AU36)</f>
        <v/>
      </c>
      <c r="H36" s="119">
        <f>SUM(AV36:BG36)</f>
        <v/>
      </c>
      <c r="I36" s="119">
        <f>SUM(BH36:BS36)</f>
        <v/>
      </c>
      <c r="J36" s="5">
        <f>SUM(L36:BS36)</f>
        <v/>
      </c>
      <c r="L36" s="4">
        <f>Юристы*'04_Доходы'!L6</f>
        <v/>
      </c>
      <c r="M36" s="4">
        <f>Юристы*'04_Доходы'!M6</f>
        <v/>
      </c>
      <c r="N36" s="4">
        <f>Юристы*'04_Доходы'!N6</f>
        <v/>
      </c>
      <c r="O36" s="4">
        <f>Юристы*'04_Доходы'!O6</f>
        <v/>
      </c>
      <c r="P36" s="4">
        <f>Юристы*'04_Доходы'!P6</f>
        <v/>
      </c>
      <c r="Q36" s="4">
        <f>Юристы*'04_Доходы'!Q6</f>
        <v/>
      </c>
      <c r="R36" s="4">
        <f>Юристы*'04_Доходы'!R6</f>
        <v/>
      </c>
      <c r="S36" s="4">
        <f>Юристы*'04_Доходы'!S6</f>
        <v/>
      </c>
      <c r="T36" s="4">
        <f>Юристы*'04_Доходы'!T6</f>
        <v/>
      </c>
      <c r="U36" s="4">
        <f>Юристы*'04_Доходы'!U6</f>
        <v/>
      </c>
      <c r="V36" s="4">
        <f>Юристы*'04_Доходы'!V6</f>
        <v/>
      </c>
      <c r="W36" s="4">
        <f>Юристы*'04_Доходы'!W6</f>
        <v/>
      </c>
      <c r="X36" s="4">
        <f>Юристы*'04_Доходы'!X6</f>
        <v/>
      </c>
      <c r="Y36" s="4">
        <f>Юристы*'04_Доходы'!Y6</f>
        <v/>
      </c>
      <c r="Z36" s="4">
        <f>Юристы*'04_Доходы'!Z6</f>
        <v/>
      </c>
      <c r="AA36" s="4">
        <f>Юристы*'04_Доходы'!AA6</f>
        <v/>
      </c>
      <c r="AB36" s="4">
        <f>Юристы*'04_Доходы'!AB6</f>
        <v/>
      </c>
      <c r="AC36" s="4">
        <f>Юристы*'04_Доходы'!AC6</f>
        <v/>
      </c>
      <c r="AD36" s="4">
        <f>Юристы*'04_Доходы'!AD6</f>
        <v/>
      </c>
      <c r="AE36" s="4">
        <f>Юристы*'04_Доходы'!AE6</f>
        <v/>
      </c>
      <c r="AF36" s="4">
        <f>Юристы*'04_Доходы'!AF6</f>
        <v/>
      </c>
      <c r="AG36" s="4">
        <f>Юристы*'04_Доходы'!AG6</f>
        <v/>
      </c>
      <c r="AH36" s="4">
        <f>Юристы*'04_Доходы'!AH6</f>
        <v/>
      </c>
      <c r="AI36" s="4">
        <f>Юристы*'04_Доходы'!AI6</f>
        <v/>
      </c>
      <c r="AJ36" s="4">
        <f>Юристы*'04_Доходы'!AJ6</f>
        <v/>
      </c>
      <c r="AK36" s="4">
        <f>Юристы*'04_Доходы'!AK6</f>
        <v/>
      </c>
      <c r="AL36" s="4">
        <f>Юристы*'04_Доходы'!AL6</f>
        <v/>
      </c>
      <c r="AM36" s="4">
        <f>Юристы*'04_Доходы'!AM6</f>
        <v/>
      </c>
      <c r="AN36" s="4">
        <f>Юристы*'04_Доходы'!AN6</f>
        <v/>
      </c>
      <c r="AO36" s="4">
        <f>Юристы*'04_Доходы'!AO6</f>
        <v/>
      </c>
      <c r="AP36" s="4">
        <f>Юристы*'04_Доходы'!AP6</f>
        <v/>
      </c>
      <c r="AQ36" s="4">
        <f>Юристы*'04_Доходы'!AQ6</f>
        <v/>
      </c>
      <c r="AR36" s="4">
        <f>Юристы*'04_Доходы'!AR6</f>
        <v/>
      </c>
      <c r="AS36" s="4">
        <f>Юристы*'04_Доходы'!AS6</f>
        <v/>
      </c>
      <c r="AT36" s="4">
        <f>Юристы*'04_Доходы'!AT6</f>
        <v/>
      </c>
      <c r="AU36" s="4">
        <f>Юристы*'04_Доходы'!AU6</f>
        <v/>
      </c>
      <c r="AV36" s="4">
        <f>Юристы*'04_Доходы'!AV6</f>
        <v/>
      </c>
      <c r="AW36" s="4">
        <f>Юристы*'04_Доходы'!AW6</f>
        <v/>
      </c>
      <c r="AX36" s="4">
        <f>Юристы*'04_Доходы'!AX6</f>
        <v/>
      </c>
      <c r="AY36" s="4">
        <f>Юристы*'04_Доходы'!AY6</f>
        <v/>
      </c>
      <c r="AZ36" s="4">
        <f>Юристы*'04_Доходы'!AZ6</f>
        <v/>
      </c>
      <c r="BA36" s="4">
        <f>Юристы*'04_Доходы'!BA6</f>
        <v/>
      </c>
      <c r="BB36" s="4">
        <f>Юристы*'04_Доходы'!BB6</f>
        <v/>
      </c>
      <c r="BC36" s="4">
        <f>Юристы*'04_Доходы'!BC6</f>
        <v/>
      </c>
      <c r="BD36" s="4">
        <f>Юристы*'04_Доходы'!BD6</f>
        <v/>
      </c>
      <c r="BE36" s="4">
        <f>Юристы*'04_Доходы'!BE6</f>
        <v/>
      </c>
      <c r="BF36" s="4">
        <f>Юристы*'04_Доходы'!BF6</f>
        <v/>
      </c>
      <c r="BG36" s="4">
        <f>Юристы*'04_Доходы'!BG6</f>
        <v/>
      </c>
      <c r="BH36" s="4">
        <f>Юристы*'04_Доходы'!BH6</f>
        <v/>
      </c>
      <c r="BI36" s="4">
        <f>Юристы*'04_Доходы'!BI6</f>
        <v/>
      </c>
      <c r="BJ36" s="4">
        <f>Юристы*'04_Доходы'!BJ6</f>
        <v/>
      </c>
      <c r="BK36" s="4">
        <f>Юристы*'04_Доходы'!BK6</f>
        <v/>
      </c>
      <c r="BL36" s="4">
        <f>Юристы*'04_Доходы'!BL6</f>
        <v/>
      </c>
      <c r="BM36" s="4">
        <f>Юристы*'04_Доходы'!BM6</f>
        <v/>
      </c>
      <c r="BN36" s="4">
        <f>Юристы*'04_Доходы'!BN6</f>
        <v/>
      </c>
      <c r="BO36" s="4">
        <f>Юристы*'04_Доходы'!BO6</f>
        <v/>
      </c>
      <c r="BP36" s="4">
        <f>Юристы*'04_Доходы'!BP6</f>
        <v/>
      </c>
      <c r="BQ36" s="4">
        <f>Юристы*'04_Доходы'!BQ6</f>
        <v/>
      </c>
      <c r="BR36" s="4">
        <f>Юристы*'04_Доходы'!BR6</f>
        <v/>
      </c>
      <c r="BS36" s="4">
        <f>Юристы*'04_Доходы'!BS6</f>
        <v/>
      </c>
      <c r="BT36" s="4">
        <f>Юристы*'04_Доходы'!BT6</f>
        <v/>
      </c>
      <c r="BU36" s="4">
        <f>Юристы*'04_Доходы'!BU6</f>
        <v/>
      </c>
      <c r="BV36" s="4">
        <f>Юристы*'04_Доходы'!BV6</f>
        <v/>
      </c>
      <c r="BW36" s="4">
        <f>Юристы*'04_Доходы'!BW6</f>
        <v/>
      </c>
      <c r="BX36" s="4">
        <f>Юристы*'04_Доходы'!BX6</f>
        <v/>
      </c>
      <c r="BY36" s="4">
        <f>Юристы*'04_Доходы'!BY6</f>
        <v/>
      </c>
    </row>
    <row r="37">
      <c r="B37" t="inlineStr">
        <is>
          <t>Прочие IT</t>
        </is>
      </c>
      <c r="C37" t="inlineStr">
        <is>
          <t>₽</t>
        </is>
      </c>
      <c r="D37" s="117" t="inlineStr"/>
      <c r="E37" s="119">
        <f>SUM(L37:W37)</f>
        <v/>
      </c>
      <c r="F37" s="119">
        <f>SUM(X37:AI37)</f>
        <v/>
      </c>
      <c r="G37" s="119">
        <f>SUM(AJ37:AU37)</f>
        <v/>
      </c>
      <c r="H37" s="119">
        <f>SUM(AV37:BG37)</f>
        <v/>
      </c>
      <c r="I37" s="119">
        <f>SUM(BH37:BS37)</f>
        <v/>
      </c>
      <c r="J37" s="5">
        <f>SUM(L37:BS37)</f>
        <v/>
      </c>
      <c r="L37" s="4">
        <f>ПрочиеIT*'04_Доходы'!L6</f>
        <v/>
      </c>
      <c r="M37" s="4">
        <f>ПрочиеIT*'04_Доходы'!M6</f>
        <v/>
      </c>
      <c r="N37" s="4">
        <f>ПрочиеIT*'04_Доходы'!N6</f>
        <v/>
      </c>
      <c r="O37" s="4">
        <f>ПрочиеIT*'04_Доходы'!O6</f>
        <v/>
      </c>
      <c r="P37" s="4">
        <f>ПрочиеIT*'04_Доходы'!P6</f>
        <v/>
      </c>
      <c r="Q37" s="4">
        <f>ПрочиеIT*'04_Доходы'!Q6</f>
        <v/>
      </c>
      <c r="R37" s="4">
        <f>ПрочиеIT*'04_Доходы'!R6</f>
        <v/>
      </c>
      <c r="S37" s="4">
        <f>ПрочиеIT*'04_Доходы'!S6</f>
        <v/>
      </c>
      <c r="T37" s="4">
        <f>ПрочиеIT*'04_Доходы'!T6</f>
        <v/>
      </c>
      <c r="U37" s="4">
        <f>ПрочиеIT*'04_Доходы'!U6</f>
        <v/>
      </c>
      <c r="V37" s="4">
        <f>ПрочиеIT*'04_Доходы'!V6</f>
        <v/>
      </c>
      <c r="W37" s="4">
        <f>ПрочиеIT*'04_Доходы'!W6</f>
        <v/>
      </c>
      <c r="X37" s="4">
        <f>ПрочиеIT*'04_Доходы'!X6</f>
        <v/>
      </c>
      <c r="Y37" s="4">
        <f>ПрочиеIT*'04_Доходы'!Y6</f>
        <v/>
      </c>
      <c r="Z37" s="4">
        <f>ПрочиеIT*'04_Доходы'!Z6</f>
        <v/>
      </c>
      <c r="AA37" s="4">
        <f>ПрочиеIT*'04_Доходы'!AA6</f>
        <v/>
      </c>
      <c r="AB37" s="4">
        <f>ПрочиеIT*'04_Доходы'!AB6</f>
        <v/>
      </c>
      <c r="AC37" s="4">
        <f>ПрочиеIT*'04_Доходы'!AC6</f>
        <v/>
      </c>
      <c r="AD37" s="4">
        <f>ПрочиеIT*'04_Доходы'!AD6</f>
        <v/>
      </c>
      <c r="AE37" s="4">
        <f>ПрочиеIT*'04_Доходы'!AE6</f>
        <v/>
      </c>
      <c r="AF37" s="4">
        <f>ПрочиеIT*'04_Доходы'!AF6</f>
        <v/>
      </c>
      <c r="AG37" s="4">
        <f>ПрочиеIT*'04_Доходы'!AG6</f>
        <v/>
      </c>
      <c r="AH37" s="4">
        <f>ПрочиеIT*'04_Доходы'!AH6</f>
        <v/>
      </c>
      <c r="AI37" s="4">
        <f>ПрочиеIT*'04_Доходы'!AI6</f>
        <v/>
      </c>
      <c r="AJ37" s="4">
        <f>ПрочиеIT*'04_Доходы'!AJ6</f>
        <v/>
      </c>
      <c r="AK37" s="4">
        <f>ПрочиеIT*'04_Доходы'!AK6</f>
        <v/>
      </c>
      <c r="AL37" s="4">
        <f>ПрочиеIT*'04_Доходы'!AL6</f>
        <v/>
      </c>
      <c r="AM37" s="4">
        <f>ПрочиеIT*'04_Доходы'!AM6</f>
        <v/>
      </c>
      <c r="AN37" s="4">
        <f>ПрочиеIT*'04_Доходы'!AN6</f>
        <v/>
      </c>
      <c r="AO37" s="4">
        <f>ПрочиеIT*'04_Доходы'!AO6</f>
        <v/>
      </c>
      <c r="AP37" s="4">
        <f>ПрочиеIT*'04_Доходы'!AP6</f>
        <v/>
      </c>
      <c r="AQ37" s="4">
        <f>ПрочиеIT*'04_Доходы'!AQ6</f>
        <v/>
      </c>
      <c r="AR37" s="4">
        <f>ПрочиеIT*'04_Доходы'!AR6</f>
        <v/>
      </c>
      <c r="AS37" s="4">
        <f>ПрочиеIT*'04_Доходы'!AS6</f>
        <v/>
      </c>
      <c r="AT37" s="4">
        <f>ПрочиеIT*'04_Доходы'!AT6</f>
        <v/>
      </c>
      <c r="AU37" s="4">
        <f>ПрочиеIT*'04_Доходы'!AU6</f>
        <v/>
      </c>
      <c r="AV37" s="4">
        <f>ПрочиеIT*'04_Доходы'!AV6</f>
        <v/>
      </c>
      <c r="AW37" s="4">
        <f>ПрочиеIT*'04_Доходы'!AW6</f>
        <v/>
      </c>
      <c r="AX37" s="4">
        <f>ПрочиеIT*'04_Доходы'!AX6</f>
        <v/>
      </c>
      <c r="AY37" s="4">
        <f>ПрочиеIT*'04_Доходы'!AY6</f>
        <v/>
      </c>
      <c r="AZ37" s="4">
        <f>ПрочиеIT*'04_Доходы'!AZ6</f>
        <v/>
      </c>
      <c r="BA37" s="4">
        <f>ПрочиеIT*'04_Доходы'!BA6</f>
        <v/>
      </c>
      <c r="BB37" s="4">
        <f>ПрочиеIT*'04_Доходы'!BB6</f>
        <v/>
      </c>
      <c r="BC37" s="4">
        <f>ПрочиеIT*'04_Доходы'!BC6</f>
        <v/>
      </c>
      <c r="BD37" s="4">
        <f>ПрочиеIT*'04_Доходы'!BD6</f>
        <v/>
      </c>
      <c r="BE37" s="4">
        <f>ПрочиеIT*'04_Доходы'!BE6</f>
        <v/>
      </c>
      <c r="BF37" s="4">
        <f>ПрочиеIT*'04_Доходы'!BF6</f>
        <v/>
      </c>
      <c r="BG37" s="4">
        <f>ПрочиеIT*'04_Доходы'!BG6</f>
        <v/>
      </c>
      <c r="BH37" s="4">
        <f>ПрочиеIT*'04_Доходы'!BH6</f>
        <v/>
      </c>
      <c r="BI37" s="4">
        <f>ПрочиеIT*'04_Доходы'!BI6</f>
        <v/>
      </c>
      <c r="BJ37" s="4">
        <f>ПрочиеIT*'04_Доходы'!BJ6</f>
        <v/>
      </c>
      <c r="BK37" s="4">
        <f>ПрочиеIT*'04_Доходы'!BK6</f>
        <v/>
      </c>
      <c r="BL37" s="4">
        <f>ПрочиеIT*'04_Доходы'!BL6</f>
        <v/>
      </c>
      <c r="BM37" s="4">
        <f>ПрочиеIT*'04_Доходы'!BM6</f>
        <v/>
      </c>
      <c r="BN37" s="4">
        <f>ПрочиеIT*'04_Доходы'!BN6</f>
        <v/>
      </c>
      <c r="BO37" s="4">
        <f>ПрочиеIT*'04_Доходы'!BO6</f>
        <v/>
      </c>
      <c r="BP37" s="4">
        <f>ПрочиеIT*'04_Доходы'!BP6</f>
        <v/>
      </c>
      <c r="BQ37" s="4">
        <f>ПрочиеIT*'04_Доходы'!BQ6</f>
        <v/>
      </c>
      <c r="BR37" s="4">
        <f>ПрочиеIT*'04_Доходы'!BR6</f>
        <v/>
      </c>
      <c r="BS37" s="4">
        <f>ПрочиеIT*'04_Доходы'!BS6</f>
        <v/>
      </c>
      <c r="BT37" s="4">
        <f>ПрочиеIT*'04_Доходы'!BT6</f>
        <v/>
      </c>
      <c r="BU37" s="4">
        <f>ПрочиеIT*'04_Доходы'!BU6</f>
        <v/>
      </c>
      <c r="BV37" s="4">
        <f>ПрочиеIT*'04_Доходы'!BV6</f>
        <v/>
      </c>
      <c r="BW37" s="4">
        <f>ПрочиеIT*'04_Доходы'!BW6</f>
        <v/>
      </c>
      <c r="BX37" s="4">
        <f>ПрочиеIT*'04_Доходы'!BX6</f>
        <v/>
      </c>
      <c r="BY37" s="4">
        <f>ПрочиеIT*'04_Доходы'!BY6</f>
        <v/>
      </c>
    </row>
    <row r="38">
      <c r="B38" t="inlineStr">
        <is>
          <t>SMM и подрядчики</t>
        </is>
      </c>
      <c r="C38" t="inlineStr">
        <is>
          <t>₽</t>
        </is>
      </c>
      <c r="D38" s="117" t="inlineStr">
        <is>
          <t>После выхода штатного SMM тариф подрядчиков меняется</t>
        </is>
      </c>
      <c r="E38" s="119">
        <f>SUM(L38:W38)</f>
        <v/>
      </c>
      <c r="F38" s="119">
        <f>SUM(X38:AI38)</f>
        <v/>
      </c>
      <c r="G38" s="119">
        <f>SUM(AJ38:AU38)</f>
        <v/>
      </c>
      <c r="H38" s="119">
        <f>SUM(AV38:BG38)</f>
        <v/>
      </c>
      <c r="I38" s="119">
        <f>SUM(BH38:BS38)</f>
        <v/>
      </c>
      <c r="J38" s="5">
        <f>SUM(L38:BS38)</f>
        <v/>
      </c>
      <c r="L38" s="4">
        <f>'07_Тарифы'!B$13</f>
        <v/>
      </c>
      <c r="M38" s="4">
        <f>'07_Тарифы'!C$13</f>
        <v/>
      </c>
      <c r="N38" s="4">
        <f>'07_Тарифы'!D$13</f>
        <v/>
      </c>
      <c r="O38" s="4">
        <f>'07_Тарифы'!E$13</f>
        <v/>
      </c>
      <c r="P38" s="4">
        <f>'07_Тарифы'!F$13</f>
        <v/>
      </c>
      <c r="Q38" s="4">
        <f>'07_Тарифы'!G$13</f>
        <v/>
      </c>
      <c r="R38" s="4">
        <f>'07_Тарифы'!H$13</f>
        <v/>
      </c>
      <c r="S38" s="4">
        <f>'07_Тарифы'!I$13</f>
        <v/>
      </c>
      <c r="T38" s="4">
        <f>'07_Тарифы'!J$13</f>
        <v/>
      </c>
      <c r="U38" s="4">
        <f>'07_Тарифы'!K$13</f>
        <v/>
      </c>
      <c r="V38" s="4">
        <f>'07_Тарифы'!L$13</f>
        <v/>
      </c>
      <c r="W38" s="4">
        <f>'07_Тарифы'!M$13</f>
        <v/>
      </c>
      <c r="X38" s="4">
        <f>'07_Тарифы'!N$13</f>
        <v/>
      </c>
      <c r="Y38" s="4">
        <f>'07_Тарифы'!O$13</f>
        <v/>
      </c>
      <c r="Z38" s="4">
        <f>'07_Тарифы'!P$13</f>
        <v/>
      </c>
      <c r="AA38" s="4">
        <f>'07_Тарифы'!Q$13</f>
        <v/>
      </c>
      <c r="AB38" s="4">
        <f>'07_Тарифы'!R$13</f>
        <v/>
      </c>
      <c r="AC38" s="4">
        <f>'07_Тарифы'!S$13</f>
        <v/>
      </c>
      <c r="AD38" s="4">
        <f>'07_Тарифы'!T$13</f>
        <v/>
      </c>
      <c r="AE38" s="4">
        <f>'07_Тарифы'!U$13</f>
        <v/>
      </c>
      <c r="AF38" s="4">
        <f>'07_Тарифы'!V$13</f>
        <v/>
      </c>
      <c r="AG38" s="4">
        <f>'07_Тарифы'!W$13</f>
        <v/>
      </c>
      <c r="AH38" s="4">
        <f>'07_Тарифы'!X$13</f>
        <v/>
      </c>
      <c r="AI38" s="4">
        <f>'07_Тарифы'!Y$13</f>
        <v/>
      </c>
      <c r="AJ38" s="4">
        <f>'07_Тарифы'!Z$13</f>
        <v/>
      </c>
      <c r="AK38" s="4">
        <f>'07_Тарифы'!AA$13</f>
        <v/>
      </c>
      <c r="AL38" s="4">
        <f>'07_Тарифы'!AB$13</f>
        <v/>
      </c>
      <c r="AM38" s="4">
        <f>'07_Тарифы'!AC$13</f>
        <v/>
      </c>
      <c r="AN38" s="4">
        <f>'07_Тарифы'!AD$13</f>
        <v/>
      </c>
      <c r="AO38" s="4">
        <f>'07_Тарифы'!AE$13</f>
        <v/>
      </c>
      <c r="AP38" s="4">
        <f>'07_Тарифы'!AF$13</f>
        <v/>
      </c>
      <c r="AQ38" s="4">
        <f>'07_Тарифы'!AG$13</f>
        <v/>
      </c>
      <c r="AR38" s="4">
        <f>'07_Тарифы'!AH$13</f>
        <v/>
      </c>
      <c r="AS38" s="4">
        <f>'07_Тарифы'!AI$13</f>
        <v/>
      </c>
      <c r="AT38" s="4">
        <f>'07_Тарифы'!AJ$13</f>
        <v/>
      </c>
      <c r="AU38" s="4">
        <f>'07_Тарифы'!AK$13</f>
        <v/>
      </c>
      <c r="AV38" s="4">
        <f>'07_Тарифы'!AL$13</f>
        <v/>
      </c>
      <c r="AW38" s="4">
        <f>'07_Тарифы'!AM$13</f>
        <v/>
      </c>
      <c r="AX38" s="4">
        <f>'07_Тарифы'!AN$13</f>
        <v/>
      </c>
      <c r="AY38" s="4">
        <f>'07_Тарифы'!AO$13</f>
        <v/>
      </c>
      <c r="AZ38" s="4">
        <f>'07_Тарифы'!AP$13</f>
        <v/>
      </c>
      <c r="BA38" s="4">
        <f>'07_Тарифы'!AQ$13</f>
        <v/>
      </c>
      <c r="BB38" s="4">
        <f>'07_Тарифы'!AR$13</f>
        <v/>
      </c>
      <c r="BC38" s="4">
        <f>'07_Тарифы'!AS$13</f>
        <v/>
      </c>
      <c r="BD38" s="4">
        <f>'07_Тарифы'!AT$13</f>
        <v/>
      </c>
      <c r="BE38" s="4">
        <f>'07_Тарифы'!AU$13</f>
        <v/>
      </c>
      <c r="BF38" s="4">
        <f>'07_Тарифы'!AV$13</f>
        <v/>
      </c>
      <c r="BG38" s="4">
        <f>'07_Тарифы'!AW$13</f>
        <v/>
      </c>
      <c r="BH38" s="4">
        <f>'07_Тарифы'!AX$13</f>
        <v/>
      </c>
      <c r="BI38" s="4">
        <f>'07_Тарифы'!AY$13</f>
        <v/>
      </c>
      <c r="BJ38" s="4">
        <f>'07_Тарифы'!AZ$13</f>
        <v/>
      </c>
      <c r="BK38" s="4">
        <f>'07_Тарифы'!BA$13</f>
        <v/>
      </c>
      <c r="BL38" s="4">
        <f>'07_Тарифы'!BB$13</f>
        <v/>
      </c>
      <c r="BM38" s="4">
        <f>'07_Тарифы'!BC$13</f>
        <v/>
      </c>
      <c r="BN38" s="4">
        <f>'07_Тарифы'!BD$13</f>
        <v/>
      </c>
      <c r="BO38" s="4">
        <f>'07_Тарифы'!BE$13</f>
        <v/>
      </c>
      <c r="BP38" s="4">
        <f>'07_Тарифы'!BF$13</f>
        <v/>
      </c>
      <c r="BQ38" s="4">
        <f>'07_Тарифы'!BG$13</f>
        <v/>
      </c>
      <c r="BR38" s="4">
        <f>'07_Тарифы'!BH$13</f>
        <v/>
      </c>
      <c r="BS38" s="4">
        <f>'07_Тарифы'!BI$13</f>
        <v/>
      </c>
      <c r="BT38" s="4">
        <f>'07_Тарифы'!BJ$13</f>
        <v/>
      </c>
      <c r="BU38" s="4">
        <f>'07_Тарифы'!BK$13</f>
        <v/>
      </c>
      <c r="BV38" s="4">
        <f>'07_Тарифы'!BL$13</f>
        <v/>
      </c>
      <c r="BW38" s="4">
        <f>'07_Тарифы'!BM$13</f>
        <v/>
      </c>
      <c r="BX38" s="4">
        <f>'07_Тарифы'!BN$13</f>
        <v/>
      </c>
      <c r="BY38" s="4">
        <f>'07_Тарифы'!BO$13</f>
        <v/>
      </c>
    </row>
    <row r="39">
      <c r="B39" t="inlineStr">
        <is>
          <t>Месяц оплаты рекламы за эти продажи</t>
        </is>
      </c>
      <c r="C39" t="inlineStr">
        <is>
          <t>дата</t>
        </is>
      </c>
      <c r="D39" s="117" t="inlineStr">
        <is>
          <t>Обычно за два месяца до продажи; для октября 2026 — за один</t>
        </is>
      </c>
      <c r="E39" s="124">
        <f>W39</f>
        <v/>
      </c>
      <c r="F39" s="124">
        <f>AI39</f>
        <v/>
      </c>
      <c r="G39" s="124">
        <f>AU39</f>
        <v/>
      </c>
      <c r="H39" s="124">
        <f>BG39</f>
        <v/>
      </c>
      <c r="I39" s="124">
        <f>BS39</f>
        <v/>
      </c>
      <c r="J39" s="125">
        <f>BS39</f>
        <v/>
      </c>
      <c r="L39" s="126">
        <f>DATE(YEAR('03_Сеть'!L6),MONTH('03_Сеть'!L6)-IF('03_Сеть'!L6=ДатаОсобогоЛага,ОсобыйЛаг,ЛагТаргета),1)</f>
        <v/>
      </c>
      <c r="M39" s="126">
        <f>DATE(YEAR('03_Сеть'!M6),MONTH('03_Сеть'!M6)-IF('03_Сеть'!M6=ДатаОсобогоЛага,ОсобыйЛаг,ЛагТаргета),1)</f>
        <v/>
      </c>
      <c r="N39" s="126">
        <f>DATE(YEAR('03_Сеть'!N6),MONTH('03_Сеть'!N6)-IF('03_Сеть'!N6=ДатаОсобогоЛага,ОсобыйЛаг,ЛагТаргета),1)</f>
        <v/>
      </c>
      <c r="O39" s="126">
        <f>DATE(YEAR('03_Сеть'!O6),MONTH('03_Сеть'!O6)-IF('03_Сеть'!O6=ДатаОсобогоЛага,ОсобыйЛаг,ЛагТаргета),1)</f>
        <v/>
      </c>
      <c r="P39" s="126">
        <f>DATE(YEAR('03_Сеть'!P6),MONTH('03_Сеть'!P6)-IF('03_Сеть'!P6=ДатаОсобогоЛага,ОсобыйЛаг,ЛагТаргета),1)</f>
        <v/>
      </c>
      <c r="Q39" s="126">
        <f>DATE(YEAR('03_Сеть'!Q6),MONTH('03_Сеть'!Q6)-IF('03_Сеть'!Q6=ДатаОсобогоЛага,ОсобыйЛаг,ЛагТаргета),1)</f>
        <v/>
      </c>
      <c r="R39" s="126">
        <f>DATE(YEAR('03_Сеть'!R6),MONTH('03_Сеть'!R6)-IF('03_Сеть'!R6=ДатаОсобогоЛага,ОсобыйЛаг,ЛагТаргета),1)</f>
        <v/>
      </c>
      <c r="S39" s="126">
        <f>DATE(YEAR('03_Сеть'!S6),MONTH('03_Сеть'!S6)-IF('03_Сеть'!S6=ДатаОсобогоЛага,ОсобыйЛаг,ЛагТаргета),1)</f>
        <v/>
      </c>
      <c r="T39" s="126">
        <f>DATE(YEAR('03_Сеть'!T6),MONTH('03_Сеть'!T6)-IF('03_Сеть'!T6=ДатаОсобогоЛага,ОсобыйЛаг,ЛагТаргета),1)</f>
        <v/>
      </c>
      <c r="U39" s="126">
        <f>DATE(YEAR('03_Сеть'!U6),MONTH('03_Сеть'!U6)-IF('03_Сеть'!U6=ДатаОсобогоЛага,ОсобыйЛаг,ЛагТаргета),1)</f>
        <v/>
      </c>
      <c r="V39" s="126">
        <f>DATE(YEAR('03_Сеть'!V6),MONTH('03_Сеть'!V6)-IF('03_Сеть'!V6=ДатаОсобогоЛага,ОсобыйЛаг,ЛагТаргета),1)</f>
        <v/>
      </c>
      <c r="W39" s="126">
        <f>DATE(YEAR('03_Сеть'!W6),MONTH('03_Сеть'!W6)-IF('03_Сеть'!W6=ДатаОсобогоЛага,ОсобыйЛаг,ЛагТаргета),1)</f>
        <v/>
      </c>
      <c r="X39" s="126">
        <f>DATE(YEAR('03_Сеть'!X6),MONTH('03_Сеть'!X6)-IF('03_Сеть'!X6=ДатаОсобогоЛага,ОсобыйЛаг,ЛагТаргета),1)</f>
        <v/>
      </c>
      <c r="Y39" s="126">
        <f>DATE(YEAR('03_Сеть'!Y6),MONTH('03_Сеть'!Y6)-IF('03_Сеть'!Y6=ДатаОсобогоЛага,ОсобыйЛаг,ЛагТаргета),1)</f>
        <v/>
      </c>
      <c r="Z39" s="126">
        <f>DATE(YEAR('03_Сеть'!Z6),MONTH('03_Сеть'!Z6)-IF('03_Сеть'!Z6=ДатаОсобогоЛага,ОсобыйЛаг,ЛагТаргета),1)</f>
        <v/>
      </c>
      <c r="AA39" s="126">
        <f>DATE(YEAR('03_Сеть'!AA6),MONTH('03_Сеть'!AA6)-IF('03_Сеть'!AA6=ДатаОсобогоЛага,ОсобыйЛаг,ЛагТаргета),1)</f>
        <v/>
      </c>
      <c r="AB39" s="126">
        <f>DATE(YEAR('03_Сеть'!AB6),MONTH('03_Сеть'!AB6)-IF('03_Сеть'!AB6=ДатаОсобогоЛага,ОсобыйЛаг,ЛагТаргета),1)</f>
        <v/>
      </c>
      <c r="AC39" s="126">
        <f>DATE(YEAR('03_Сеть'!AC6),MONTH('03_Сеть'!AC6)-IF('03_Сеть'!AC6=ДатаОсобогоЛага,ОсобыйЛаг,ЛагТаргета),1)</f>
        <v/>
      </c>
      <c r="AD39" s="126">
        <f>DATE(YEAR('03_Сеть'!AD6),MONTH('03_Сеть'!AD6)-IF('03_Сеть'!AD6=ДатаОсобогоЛага,ОсобыйЛаг,ЛагТаргета),1)</f>
        <v/>
      </c>
      <c r="AE39" s="126">
        <f>DATE(YEAR('03_Сеть'!AE6),MONTH('03_Сеть'!AE6)-IF('03_Сеть'!AE6=ДатаОсобогоЛага,ОсобыйЛаг,ЛагТаргета),1)</f>
        <v/>
      </c>
      <c r="AF39" s="126">
        <f>DATE(YEAR('03_Сеть'!AF6),MONTH('03_Сеть'!AF6)-IF('03_Сеть'!AF6=ДатаОсобогоЛага,ОсобыйЛаг,ЛагТаргета),1)</f>
        <v/>
      </c>
      <c r="AG39" s="126">
        <f>DATE(YEAR('03_Сеть'!AG6),MONTH('03_Сеть'!AG6)-IF('03_Сеть'!AG6=ДатаОсобогоЛага,ОсобыйЛаг,ЛагТаргета),1)</f>
        <v/>
      </c>
      <c r="AH39" s="126">
        <f>DATE(YEAR('03_Сеть'!AH6),MONTH('03_Сеть'!AH6)-IF('03_Сеть'!AH6=ДатаОсобогоЛага,ОсобыйЛаг,ЛагТаргета),1)</f>
        <v/>
      </c>
      <c r="AI39" s="126">
        <f>DATE(YEAR('03_Сеть'!AI6),MONTH('03_Сеть'!AI6)-IF('03_Сеть'!AI6=ДатаОсобогоЛага,ОсобыйЛаг,ЛагТаргета),1)</f>
        <v/>
      </c>
      <c r="AJ39" s="126">
        <f>DATE(YEAR('03_Сеть'!AJ6),MONTH('03_Сеть'!AJ6)-IF('03_Сеть'!AJ6=ДатаОсобогоЛага,ОсобыйЛаг,ЛагТаргета),1)</f>
        <v/>
      </c>
      <c r="AK39" s="126">
        <f>DATE(YEAR('03_Сеть'!AK6),MONTH('03_Сеть'!AK6)-IF('03_Сеть'!AK6=ДатаОсобогоЛага,ОсобыйЛаг,ЛагТаргета),1)</f>
        <v/>
      </c>
      <c r="AL39" s="126">
        <f>DATE(YEAR('03_Сеть'!AL6),MONTH('03_Сеть'!AL6)-IF('03_Сеть'!AL6=ДатаОсобогоЛага,ОсобыйЛаг,ЛагТаргета),1)</f>
        <v/>
      </c>
      <c r="AM39" s="126">
        <f>DATE(YEAR('03_Сеть'!AM6),MONTH('03_Сеть'!AM6)-IF('03_Сеть'!AM6=ДатаОсобогоЛага,ОсобыйЛаг,ЛагТаргета),1)</f>
        <v/>
      </c>
      <c r="AN39" s="126">
        <f>DATE(YEAR('03_Сеть'!AN6),MONTH('03_Сеть'!AN6)-IF('03_Сеть'!AN6=ДатаОсобогоЛага,ОсобыйЛаг,ЛагТаргета),1)</f>
        <v/>
      </c>
      <c r="AO39" s="126">
        <f>DATE(YEAR('03_Сеть'!AO6),MONTH('03_Сеть'!AO6)-IF('03_Сеть'!AO6=ДатаОсобогоЛага,ОсобыйЛаг,ЛагТаргета),1)</f>
        <v/>
      </c>
      <c r="AP39" s="126">
        <f>DATE(YEAR('03_Сеть'!AP6),MONTH('03_Сеть'!AP6)-IF('03_Сеть'!AP6=ДатаОсобогоЛага,ОсобыйЛаг,ЛагТаргета),1)</f>
        <v/>
      </c>
      <c r="AQ39" s="126">
        <f>DATE(YEAR('03_Сеть'!AQ6),MONTH('03_Сеть'!AQ6)-IF('03_Сеть'!AQ6=ДатаОсобогоЛага,ОсобыйЛаг,ЛагТаргета),1)</f>
        <v/>
      </c>
      <c r="AR39" s="126">
        <f>DATE(YEAR('03_Сеть'!AR6),MONTH('03_Сеть'!AR6)-IF('03_Сеть'!AR6=ДатаОсобогоЛага,ОсобыйЛаг,ЛагТаргета),1)</f>
        <v/>
      </c>
      <c r="AS39" s="126">
        <f>DATE(YEAR('03_Сеть'!AS6),MONTH('03_Сеть'!AS6)-IF('03_Сеть'!AS6=ДатаОсобогоЛага,ОсобыйЛаг,ЛагТаргета),1)</f>
        <v/>
      </c>
      <c r="AT39" s="126">
        <f>DATE(YEAR('03_Сеть'!AT6),MONTH('03_Сеть'!AT6)-IF('03_Сеть'!AT6=ДатаОсобогоЛага,ОсобыйЛаг,ЛагТаргета),1)</f>
        <v/>
      </c>
      <c r="AU39" s="126">
        <f>DATE(YEAR('03_Сеть'!AU6),MONTH('03_Сеть'!AU6)-IF('03_Сеть'!AU6=ДатаОсобогоЛага,ОсобыйЛаг,ЛагТаргета),1)</f>
        <v/>
      </c>
      <c r="AV39" s="126">
        <f>DATE(YEAR('03_Сеть'!AV6),MONTH('03_Сеть'!AV6)-IF('03_Сеть'!AV6=ДатаОсобогоЛага,ОсобыйЛаг,ЛагТаргета),1)</f>
        <v/>
      </c>
      <c r="AW39" s="126">
        <f>DATE(YEAR('03_Сеть'!AW6),MONTH('03_Сеть'!AW6)-IF('03_Сеть'!AW6=ДатаОсобогоЛага,ОсобыйЛаг,ЛагТаргета),1)</f>
        <v/>
      </c>
      <c r="AX39" s="126">
        <f>DATE(YEAR('03_Сеть'!AX6),MONTH('03_Сеть'!AX6)-IF('03_Сеть'!AX6=ДатаОсобогоЛага,ОсобыйЛаг,ЛагТаргета),1)</f>
        <v/>
      </c>
      <c r="AY39" s="126">
        <f>DATE(YEAR('03_Сеть'!AY6),MONTH('03_Сеть'!AY6)-IF('03_Сеть'!AY6=ДатаОсобогоЛага,ОсобыйЛаг,ЛагТаргета),1)</f>
        <v/>
      </c>
      <c r="AZ39" s="126">
        <f>DATE(YEAR('03_Сеть'!AZ6),MONTH('03_Сеть'!AZ6)-IF('03_Сеть'!AZ6=ДатаОсобогоЛага,ОсобыйЛаг,ЛагТаргета),1)</f>
        <v/>
      </c>
      <c r="BA39" s="126">
        <f>DATE(YEAR('03_Сеть'!BA6),MONTH('03_Сеть'!BA6)-IF('03_Сеть'!BA6=ДатаОсобогоЛага,ОсобыйЛаг,ЛагТаргета),1)</f>
        <v/>
      </c>
      <c r="BB39" s="126">
        <f>DATE(YEAR('03_Сеть'!BB6),MONTH('03_Сеть'!BB6)-IF('03_Сеть'!BB6=ДатаОсобогоЛага,ОсобыйЛаг,ЛагТаргета),1)</f>
        <v/>
      </c>
      <c r="BC39" s="126">
        <f>DATE(YEAR('03_Сеть'!BC6),MONTH('03_Сеть'!BC6)-IF('03_Сеть'!BC6=ДатаОсобогоЛага,ОсобыйЛаг,ЛагТаргета),1)</f>
        <v/>
      </c>
      <c r="BD39" s="126">
        <f>DATE(YEAR('03_Сеть'!BD6),MONTH('03_Сеть'!BD6)-IF('03_Сеть'!BD6=ДатаОсобогоЛага,ОсобыйЛаг,ЛагТаргета),1)</f>
        <v/>
      </c>
      <c r="BE39" s="126">
        <f>DATE(YEAR('03_Сеть'!BE6),MONTH('03_Сеть'!BE6)-IF('03_Сеть'!BE6=ДатаОсобогоЛага,ОсобыйЛаг,ЛагТаргета),1)</f>
        <v/>
      </c>
      <c r="BF39" s="126">
        <f>DATE(YEAR('03_Сеть'!BF6),MONTH('03_Сеть'!BF6)-IF('03_Сеть'!BF6=ДатаОсобогоЛага,ОсобыйЛаг,ЛагТаргета),1)</f>
        <v/>
      </c>
      <c r="BG39" s="126">
        <f>DATE(YEAR('03_Сеть'!BG6),MONTH('03_Сеть'!BG6)-IF('03_Сеть'!BG6=ДатаОсобогоЛага,ОсобыйЛаг,ЛагТаргета),1)</f>
        <v/>
      </c>
      <c r="BH39" s="126">
        <f>DATE(YEAR('03_Сеть'!BH6),MONTH('03_Сеть'!BH6)-IF('03_Сеть'!BH6=ДатаОсобогоЛага,ОсобыйЛаг,ЛагТаргета),1)</f>
        <v/>
      </c>
      <c r="BI39" s="126">
        <f>DATE(YEAR('03_Сеть'!BI6),MONTH('03_Сеть'!BI6)-IF('03_Сеть'!BI6=ДатаОсобогоЛага,ОсобыйЛаг,ЛагТаргета),1)</f>
        <v/>
      </c>
      <c r="BJ39" s="126">
        <f>DATE(YEAR('03_Сеть'!BJ6),MONTH('03_Сеть'!BJ6)-IF('03_Сеть'!BJ6=ДатаОсобогоЛага,ОсобыйЛаг,ЛагТаргета),1)</f>
        <v/>
      </c>
      <c r="BK39" s="126">
        <f>DATE(YEAR('03_Сеть'!BK6),MONTH('03_Сеть'!BK6)-IF('03_Сеть'!BK6=ДатаОсобогоЛага,ОсобыйЛаг,ЛагТаргета),1)</f>
        <v/>
      </c>
      <c r="BL39" s="126">
        <f>DATE(YEAR('03_Сеть'!BL6),MONTH('03_Сеть'!BL6)-IF('03_Сеть'!BL6=ДатаОсобогоЛага,ОсобыйЛаг,ЛагТаргета),1)</f>
        <v/>
      </c>
      <c r="BM39" s="126">
        <f>DATE(YEAR('03_Сеть'!BM6),MONTH('03_Сеть'!BM6)-IF('03_Сеть'!BM6=ДатаОсобогоЛага,ОсобыйЛаг,ЛагТаргета),1)</f>
        <v/>
      </c>
      <c r="BN39" s="126">
        <f>DATE(YEAR('03_Сеть'!BN6),MONTH('03_Сеть'!BN6)-IF('03_Сеть'!BN6=ДатаОсобогоЛага,ОсобыйЛаг,ЛагТаргета),1)</f>
        <v/>
      </c>
      <c r="BO39" s="126">
        <f>DATE(YEAR('03_Сеть'!BO6),MONTH('03_Сеть'!BO6)-IF('03_Сеть'!BO6=ДатаОсобогоЛага,ОсобыйЛаг,ЛагТаргета),1)</f>
        <v/>
      </c>
      <c r="BP39" s="126">
        <f>DATE(YEAR('03_Сеть'!BP6),MONTH('03_Сеть'!BP6)-IF('03_Сеть'!BP6=ДатаОсобогоЛага,ОсобыйЛаг,ЛагТаргета),1)</f>
        <v/>
      </c>
      <c r="BQ39" s="126">
        <f>DATE(YEAR('03_Сеть'!BQ6),MONTH('03_Сеть'!BQ6)-IF('03_Сеть'!BQ6=ДатаОсобогоЛага,ОсобыйЛаг,ЛагТаргета),1)</f>
        <v/>
      </c>
      <c r="BR39" s="126">
        <f>DATE(YEAR('03_Сеть'!BR6),MONTH('03_Сеть'!BR6)-IF('03_Сеть'!BR6=ДатаОсобогоЛага,ОсобыйЛаг,ЛагТаргета),1)</f>
        <v/>
      </c>
      <c r="BS39" s="126">
        <f>DATE(YEAR('03_Сеть'!BS6),MONTH('03_Сеть'!BS6)-IF('03_Сеть'!BS6=ДатаОсобогоЛага,ОсобыйЛаг,ЛагТаргета),1)</f>
        <v/>
      </c>
      <c r="BT39" s="126">
        <f>DATE(YEAR('03_Сеть'!BT6),MONTH('03_Сеть'!BT6)-IF('03_Сеть'!BT6=ДатаОсобогоЛага,ОсобыйЛаг,ЛагТаргета),1)</f>
        <v/>
      </c>
      <c r="BU39" s="126">
        <f>DATE(YEAR('03_Сеть'!BU6),MONTH('03_Сеть'!BU6)-IF('03_Сеть'!BU6=ДатаОсобогоЛага,ОсобыйЛаг,ЛагТаргета),1)</f>
        <v/>
      </c>
      <c r="BV39" s="126">
        <f>DATE(YEAR('03_Сеть'!BV6),MONTH('03_Сеть'!BV6)-IF('03_Сеть'!BV6=ДатаОсобогоЛага,ОсобыйЛаг,ЛагТаргета),1)</f>
        <v/>
      </c>
      <c r="BW39" s="126">
        <f>DATE(YEAR('03_Сеть'!BW6),MONTH('03_Сеть'!BW6)-IF('03_Сеть'!BW6=ДатаОсобогоЛага,ОсобыйЛаг,ЛагТаргета),1)</f>
        <v/>
      </c>
      <c r="BX39" s="126">
        <f>DATE(YEAR('03_Сеть'!BX6),MONTH('03_Сеть'!BX6)-IF('03_Сеть'!BX6=ДатаОсобогоЛага,ОсобыйЛаг,ЛагТаргета),1)</f>
        <v/>
      </c>
      <c r="BY39" s="126">
        <f>DATE(YEAR('03_Сеть'!BY6),MONTH('03_Сеть'!BY6)-IF('03_Сеть'!BY6=ДатаОсобогоЛага,ОсобыйЛаг,ЛагТаргета),1)</f>
        <v/>
      </c>
    </row>
    <row r="40">
      <c r="B40" t="inlineStr">
        <is>
          <t>Таргет на будущие продажи</t>
        </is>
      </c>
      <c r="C40" t="inlineStr">
        <is>
          <t>₽</t>
        </is>
      </c>
      <c r="D40" s="117" t="inlineStr">
        <is>
          <t>Собираем все продажи, чью рекламу оплачиваем в этом месяце</t>
        </is>
      </c>
      <c r="E40" s="119">
        <f>SUM(L40:W40)</f>
        <v/>
      </c>
      <c r="F40" s="119">
        <f>SUM(X40:AI40)</f>
        <v/>
      </c>
      <c r="G40" s="119">
        <f>SUM(AJ40:AU40)</f>
        <v/>
      </c>
      <c r="H40" s="119">
        <f>SUM(AV40:BG40)</f>
        <v/>
      </c>
      <c r="I40" s="119">
        <f>SUM(BH40:BS40)</f>
        <v/>
      </c>
      <c r="J40" s="5">
        <f>SUM(L40:BS40)</f>
        <v/>
      </c>
      <c r="L40" s="4">
        <f>SUMIF($L39:$BY39,'03_Сеть'!L6,'03_Сеть'!$L12:$BY12)*'07_Тарифы'!B$11</f>
        <v/>
      </c>
      <c r="M40" s="4">
        <f>SUMIF($L39:$BY39,'03_Сеть'!M6,'03_Сеть'!$L12:$BY12)*'07_Тарифы'!C$11</f>
        <v/>
      </c>
      <c r="N40" s="4">
        <f>SUMIF($L39:$BY39,'03_Сеть'!N6,'03_Сеть'!$L12:$BY12)*'07_Тарифы'!D$11</f>
        <v/>
      </c>
      <c r="O40" s="4">
        <f>SUMIF($L39:$BY39,'03_Сеть'!O6,'03_Сеть'!$L12:$BY12)*'07_Тарифы'!E$11</f>
        <v/>
      </c>
      <c r="P40" s="4">
        <f>SUMIF($L39:$BY39,'03_Сеть'!P6,'03_Сеть'!$L12:$BY12)*'07_Тарифы'!F$11</f>
        <v/>
      </c>
      <c r="Q40" s="4">
        <f>SUMIF($L39:$BY39,'03_Сеть'!Q6,'03_Сеть'!$L12:$BY12)*'07_Тарифы'!G$11</f>
        <v/>
      </c>
      <c r="R40" s="4">
        <f>SUMIF($L39:$BY39,'03_Сеть'!R6,'03_Сеть'!$L12:$BY12)*'07_Тарифы'!H$11</f>
        <v/>
      </c>
      <c r="S40" s="4">
        <f>SUMIF($L39:$BY39,'03_Сеть'!S6,'03_Сеть'!$L12:$BY12)*'07_Тарифы'!I$11</f>
        <v/>
      </c>
      <c r="T40" s="4">
        <f>SUMIF($L39:$BY39,'03_Сеть'!T6,'03_Сеть'!$L12:$BY12)*'07_Тарифы'!J$11</f>
        <v/>
      </c>
      <c r="U40" s="4">
        <f>SUMIF($L39:$BY39,'03_Сеть'!U6,'03_Сеть'!$L12:$BY12)*'07_Тарифы'!K$11</f>
        <v/>
      </c>
      <c r="V40" s="4">
        <f>SUMIF($L39:$BY39,'03_Сеть'!V6,'03_Сеть'!$L12:$BY12)*'07_Тарифы'!L$11</f>
        <v/>
      </c>
      <c r="W40" s="4">
        <f>SUMIF($L39:$BY39,'03_Сеть'!W6,'03_Сеть'!$L12:$BY12)*'07_Тарифы'!M$11</f>
        <v/>
      </c>
      <c r="X40" s="4">
        <f>SUMIF($L39:$BY39,'03_Сеть'!X6,'03_Сеть'!$L12:$BY12)*'07_Тарифы'!N$11</f>
        <v/>
      </c>
      <c r="Y40" s="4">
        <f>SUMIF($L39:$BY39,'03_Сеть'!Y6,'03_Сеть'!$L12:$BY12)*'07_Тарифы'!O$11</f>
        <v/>
      </c>
      <c r="Z40" s="4">
        <f>SUMIF($L39:$BY39,'03_Сеть'!Z6,'03_Сеть'!$L12:$BY12)*'07_Тарифы'!P$11</f>
        <v/>
      </c>
      <c r="AA40" s="4">
        <f>SUMIF($L39:$BY39,'03_Сеть'!AA6,'03_Сеть'!$L12:$BY12)*'07_Тарифы'!Q$11</f>
        <v/>
      </c>
      <c r="AB40" s="4">
        <f>SUMIF($L39:$BY39,'03_Сеть'!AB6,'03_Сеть'!$L12:$BY12)*'07_Тарифы'!R$11</f>
        <v/>
      </c>
      <c r="AC40" s="4">
        <f>SUMIF($L39:$BY39,'03_Сеть'!AC6,'03_Сеть'!$L12:$BY12)*'07_Тарифы'!S$11</f>
        <v/>
      </c>
      <c r="AD40" s="4">
        <f>SUMIF($L39:$BY39,'03_Сеть'!AD6,'03_Сеть'!$L12:$BY12)*'07_Тарифы'!T$11</f>
        <v/>
      </c>
      <c r="AE40" s="4">
        <f>SUMIF($L39:$BY39,'03_Сеть'!AE6,'03_Сеть'!$L12:$BY12)*'07_Тарифы'!U$11</f>
        <v/>
      </c>
      <c r="AF40" s="4">
        <f>SUMIF($L39:$BY39,'03_Сеть'!AF6,'03_Сеть'!$L12:$BY12)*'07_Тарифы'!V$11</f>
        <v/>
      </c>
      <c r="AG40" s="4">
        <f>SUMIF($L39:$BY39,'03_Сеть'!AG6,'03_Сеть'!$L12:$BY12)*'07_Тарифы'!W$11</f>
        <v/>
      </c>
      <c r="AH40" s="4">
        <f>SUMIF($L39:$BY39,'03_Сеть'!AH6,'03_Сеть'!$L12:$BY12)*'07_Тарифы'!X$11</f>
        <v/>
      </c>
      <c r="AI40" s="4">
        <f>SUMIF($L39:$BY39,'03_Сеть'!AI6,'03_Сеть'!$L12:$BY12)*'07_Тарифы'!Y$11</f>
        <v/>
      </c>
      <c r="AJ40" s="4">
        <f>SUMIF($L39:$BY39,'03_Сеть'!AJ6,'03_Сеть'!$L12:$BY12)*'07_Тарифы'!Z$11</f>
        <v/>
      </c>
      <c r="AK40" s="4">
        <f>SUMIF($L39:$BY39,'03_Сеть'!AK6,'03_Сеть'!$L12:$BY12)*'07_Тарифы'!AA$11</f>
        <v/>
      </c>
      <c r="AL40" s="4">
        <f>SUMIF($L39:$BY39,'03_Сеть'!AL6,'03_Сеть'!$L12:$BY12)*'07_Тарифы'!AB$11</f>
        <v/>
      </c>
      <c r="AM40" s="4">
        <f>SUMIF($L39:$BY39,'03_Сеть'!AM6,'03_Сеть'!$L12:$BY12)*'07_Тарифы'!AC$11</f>
        <v/>
      </c>
      <c r="AN40" s="4">
        <f>SUMIF($L39:$BY39,'03_Сеть'!AN6,'03_Сеть'!$L12:$BY12)*'07_Тарифы'!AD$11</f>
        <v/>
      </c>
      <c r="AO40" s="4">
        <f>SUMIF($L39:$BY39,'03_Сеть'!AO6,'03_Сеть'!$L12:$BY12)*'07_Тарифы'!AE$11</f>
        <v/>
      </c>
      <c r="AP40" s="4">
        <f>SUMIF($L39:$BY39,'03_Сеть'!AP6,'03_Сеть'!$L12:$BY12)*'07_Тарифы'!AF$11</f>
        <v/>
      </c>
      <c r="AQ40" s="4">
        <f>SUMIF($L39:$BY39,'03_Сеть'!AQ6,'03_Сеть'!$L12:$BY12)*'07_Тарифы'!AG$11</f>
        <v/>
      </c>
      <c r="AR40" s="4">
        <f>SUMIF($L39:$BY39,'03_Сеть'!AR6,'03_Сеть'!$L12:$BY12)*'07_Тарифы'!AH$11</f>
        <v/>
      </c>
      <c r="AS40" s="4">
        <f>SUMIF($L39:$BY39,'03_Сеть'!AS6,'03_Сеть'!$L12:$BY12)*'07_Тарифы'!AI$11</f>
        <v/>
      </c>
      <c r="AT40" s="4">
        <f>SUMIF($L39:$BY39,'03_Сеть'!AT6,'03_Сеть'!$L12:$BY12)*'07_Тарифы'!AJ$11</f>
        <v/>
      </c>
      <c r="AU40" s="4">
        <f>SUMIF($L39:$BY39,'03_Сеть'!AU6,'03_Сеть'!$L12:$BY12)*'07_Тарифы'!AK$11</f>
        <v/>
      </c>
      <c r="AV40" s="4">
        <f>SUMIF($L39:$BY39,'03_Сеть'!AV6,'03_Сеть'!$L12:$BY12)*'07_Тарифы'!AL$11</f>
        <v/>
      </c>
      <c r="AW40" s="4">
        <f>SUMIF($L39:$BY39,'03_Сеть'!AW6,'03_Сеть'!$L12:$BY12)*'07_Тарифы'!AM$11</f>
        <v/>
      </c>
      <c r="AX40" s="4">
        <f>SUMIF($L39:$BY39,'03_Сеть'!AX6,'03_Сеть'!$L12:$BY12)*'07_Тарифы'!AN$11</f>
        <v/>
      </c>
      <c r="AY40" s="4">
        <f>SUMIF($L39:$BY39,'03_Сеть'!AY6,'03_Сеть'!$L12:$BY12)*'07_Тарифы'!AO$11</f>
        <v/>
      </c>
      <c r="AZ40" s="4">
        <f>SUMIF($L39:$BY39,'03_Сеть'!AZ6,'03_Сеть'!$L12:$BY12)*'07_Тарифы'!AP$11</f>
        <v/>
      </c>
      <c r="BA40" s="4">
        <f>SUMIF($L39:$BY39,'03_Сеть'!BA6,'03_Сеть'!$L12:$BY12)*'07_Тарифы'!AQ$11</f>
        <v/>
      </c>
      <c r="BB40" s="4">
        <f>SUMIF($L39:$BY39,'03_Сеть'!BB6,'03_Сеть'!$L12:$BY12)*'07_Тарифы'!AR$11</f>
        <v/>
      </c>
      <c r="BC40" s="4">
        <f>SUMIF($L39:$BY39,'03_Сеть'!BC6,'03_Сеть'!$L12:$BY12)*'07_Тарифы'!AS$11</f>
        <v/>
      </c>
      <c r="BD40" s="4">
        <f>SUMIF($L39:$BY39,'03_Сеть'!BD6,'03_Сеть'!$L12:$BY12)*'07_Тарифы'!AT$11</f>
        <v/>
      </c>
      <c r="BE40" s="4">
        <f>SUMIF($L39:$BY39,'03_Сеть'!BE6,'03_Сеть'!$L12:$BY12)*'07_Тарифы'!AU$11</f>
        <v/>
      </c>
      <c r="BF40" s="4">
        <f>SUMIF($L39:$BY39,'03_Сеть'!BF6,'03_Сеть'!$L12:$BY12)*'07_Тарифы'!AV$11</f>
        <v/>
      </c>
      <c r="BG40" s="4">
        <f>SUMIF($L39:$BY39,'03_Сеть'!BG6,'03_Сеть'!$L12:$BY12)*'07_Тарифы'!AW$11</f>
        <v/>
      </c>
      <c r="BH40" s="4">
        <f>SUMIF($L39:$BY39,'03_Сеть'!BH6,'03_Сеть'!$L12:$BY12)*'07_Тарифы'!AX$11</f>
        <v/>
      </c>
      <c r="BI40" s="4">
        <f>SUMIF($L39:$BY39,'03_Сеть'!BI6,'03_Сеть'!$L12:$BY12)*'07_Тарифы'!AY$11</f>
        <v/>
      </c>
      <c r="BJ40" s="4">
        <f>SUMIF($L39:$BY39,'03_Сеть'!BJ6,'03_Сеть'!$L12:$BY12)*'07_Тарифы'!AZ$11</f>
        <v/>
      </c>
      <c r="BK40" s="4">
        <f>SUMIF($L39:$BY39,'03_Сеть'!BK6,'03_Сеть'!$L12:$BY12)*'07_Тарифы'!BA$11</f>
        <v/>
      </c>
      <c r="BL40" s="4">
        <f>SUMIF($L39:$BY39,'03_Сеть'!BL6,'03_Сеть'!$L12:$BY12)*'07_Тарифы'!BB$11</f>
        <v/>
      </c>
      <c r="BM40" s="4">
        <f>SUMIF($L39:$BY39,'03_Сеть'!BM6,'03_Сеть'!$L12:$BY12)*'07_Тарифы'!BC$11</f>
        <v/>
      </c>
      <c r="BN40" s="4">
        <f>SUMIF($L39:$BY39,'03_Сеть'!BN6,'03_Сеть'!$L12:$BY12)*'07_Тарифы'!BD$11</f>
        <v/>
      </c>
      <c r="BO40" s="4">
        <f>SUMIF($L39:$BY39,'03_Сеть'!BO6,'03_Сеть'!$L12:$BY12)*'07_Тарифы'!BE$11</f>
        <v/>
      </c>
      <c r="BP40" s="4">
        <f>SUMIF($L39:$BY39,'03_Сеть'!BP6,'03_Сеть'!$L12:$BY12)*'07_Тарифы'!BF$11</f>
        <v/>
      </c>
      <c r="BQ40" s="4">
        <f>SUMIF($L39:$BY39,'03_Сеть'!BQ6,'03_Сеть'!$L12:$BY12)*'07_Тарифы'!BG$11</f>
        <v/>
      </c>
      <c r="BR40" s="4">
        <f>SUMIF($L39:$BY39,'03_Сеть'!BR6,'03_Сеть'!$L12:$BY12)*'07_Тарифы'!BH$11</f>
        <v/>
      </c>
      <c r="BS40" s="4">
        <f>SUMIF($L39:$BY39,'03_Сеть'!BS6,'03_Сеть'!$L12:$BY12)*'07_Тарифы'!BI$11</f>
        <v/>
      </c>
      <c r="BT40" s="4">
        <f>SUMIF($L39:$BY39,'03_Сеть'!BT6,'03_Сеть'!$L12:$BY12)*'07_Тарифы'!BJ$11</f>
        <v/>
      </c>
      <c r="BU40" s="4">
        <f>SUMIF($L39:$BY39,'03_Сеть'!BU6,'03_Сеть'!$L12:$BY12)*'07_Тарифы'!BK$11</f>
        <v/>
      </c>
      <c r="BV40" s="4">
        <f>SUMIF($L39:$BY39,'03_Сеть'!BV6,'03_Сеть'!$L12:$BY12)*'07_Тарифы'!BL$11</f>
        <v/>
      </c>
      <c r="BW40" s="4">
        <f>SUMIF($L39:$BY39,'03_Сеть'!BW6,'03_Сеть'!$L12:$BY12)*'07_Тарифы'!BM$11</f>
        <v/>
      </c>
      <c r="BX40" s="4">
        <f>SUMIF($L39:$BY39,'03_Сеть'!BX6,'03_Сеть'!$L12:$BY12)*'07_Тарифы'!BN$11</f>
        <v/>
      </c>
      <c r="BY40" s="4">
        <f>SUMIF($L39:$BY39,'03_Сеть'!BY6,'03_Сеть'!$L12:$BY12)*'07_Тарифы'!BO$11</f>
        <v/>
      </c>
    </row>
    <row r="41">
      <c r="B41" t="inlineStr">
        <is>
          <t>БИБОСС, TopFranchise, Forbes</t>
        </is>
      </c>
      <c r="C41" t="inlineStr">
        <is>
          <t>₽</t>
        </is>
      </c>
      <c r="D41" s="117" t="inlineStr">
        <is>
          <t>Ежегодные размещения</t>
        </is>
      </c>
      <c r="E41" s="119">
        <f>SUM(L41:W41)</f>
        <v/>
      </c>
      <c r="F41" s="119">
        <f>SUM(X41:AI41)</f>
        <v/>
      </c>
      <c r="G41" s="119">
        <f>SUM(AJ41:AU41)</f>
        <v/>
      </c>
      <c r="H41" s="119">
        <f>SUM(AV41:BG41)</f>
        <v/>
      </c>
      <c r="I41" s="119">
        <f>SUM(BH41:BS41)</f>
        <v/>
      </c>
      <c r="J41" s="5">
        <f>SUM(L41:BS41)</f>
        <v/>
      </c>
      <c r="L41" s="4">
        <f>(IF(MONTH('03_Сеть'!L6)=МесяцБИБОСС,СуммаБИБОСС,0)+IF(MONTH('03_Сеть'!L6)=МесяцTopFranchise,СуммаTopFranchise,0)+IF(MONTH('03_Сеть'!L6)=МесяцForbes,СуммаForbes,0))*'04_Доходы'!L6</f>
        <v/>
      </c>
      <c r="M41" s="4">
        <f>(IF(MONTH('03_Сеть'!M6)=МесяцБИБОСС,СуммаБИБОСС,0)+IF(MONTH('03_Сеть'!M6)=МесяцTopFranchise,СуммаTopFranchise,0)+IF(MONTH('03_Сеть'!M6)=МесяцForbes,СуммаForbes,0))*'04_Доходы'!M6</f>
        <v/>
      </c>
      <c r="N41" s="4">
        <f>(IF(MONTH('03_Сеть'!N6)=МесяцБИБОСС,СуммаБИБОСС,0)+IF(MONTH('03_Сеть'!N6)=МесяцTopFranchise,СуммаTopFranchise,0)+IF(MONTH('03_Сеть'!N6)=МесяцForbes,СуммаForbes,0))*'04_Доходы'!N6</f>
        <v/>
      </c>
      <c r="O41" s="4">
        <f>(IF(MONTH('03_Сеть'!O6)=МесяцБИБОСС,СуммаБИБОСС,0)+IF(MONTH('03_Сеть'!O6)=МесяцTopFranchise,СуммаTopFranchise,0)+IF(MONTH('03_Сеть'!O6)=МесяцForbes,СуммаForbes,0))*'04_Доходы'!O6</f>
        <v/>
      </c>
      <c r="P41" s="4">
        <f>(IF(MONTH('03_Сеть'!P6)=МесяцБИБОСС,СуммаБИБОСС,0)+IF(MONTH('03_Сеть'!P6)=МесяцTopFranchise,СуммаTopFranchise,0)+IF(MONTH('03_Сеть'!P6)=МесяцForbes,СуммаForbes,0))*'04_Доходы'!P6</f>
        <v/>
      </c>
      <c r="Q41" s="4">
        <f>(IF(MONTH('03_Сеть'!Q6)=МесяцБИБОСС,СуммаБИБОСС,0)+IF(MONTH('03_Сеть'!Q6)=МесяцTopFranchise,СуммаTopFranchise,0)+IF(MONTH('03_Сеть'!Q6)=МесяцForbes,СуммаForbes,0))*'04_Доходы'!Q6</f>
        <v/>
      </c>
      <c r="R41" s="4">
        <f>(IF(MONTH('03_Сеть'!R6)=МесяцБИБОСС,СуммаБИБОСС,0)+IF(MONTH('03_Сеть'!R6)=МесяцTopFranchise,СуммаTopFranchise,0)+IF(MONTH('03_Сеть'!R6)=МесяцForbes,СуммаForbes,0))*'04_Доходы'!R6</f>
        <v/>
      </c>
      <c r="S41" s="4">
        <f>(IF(MONTH('03_Сеть'!S6)=МесяцБИБОСС,СуммаБИБОСС,0)+IF(MONTH('03_Сеть'!S6)=МесяцTopFranchise,СуммаTopFranchise,0)+IF(MONTH('03_Сеть'!S6)=МесяцForbes,СуммаForbes,0))*'04_Доходы'!S6</f>
        <v/>
      </c>
      <c r="T41" s="4">
        <f>(IF(MONTH('03_Сеть'!T6)=МесяцБИБОСС,СуммаБИБОСС,0)+IF(MONTH('03_Сеть'!T6)=МесяцTopFranchise,СуммаTopFranchise,0)+IF(MONTH('03_Сеть'!T6)=МесяцForbes,СуммаForbes,0))*'04_Доходы'!T6</f>
        <v/>
      </c>
      <c r="U41" s="4">
        <f>(IF(MONTH('03_Сеть'!U6)=МесяцБИБОСС,СуммаБИБОСС,0)+IF(MONTH('03_Сеть'!U6)=МесяцTopFranchise,СуммаTopFranchise,0)+IF(MONTH('03_Сеть'!U6)=МесяцForbes,СуммаForbes,0))*'04_Доходы'!U6</f>
        <v/>
      </c>
      <c r="V41" s="4">
        <f>(IF(MONTH('03_Сеть'!V6)=МесяцБИБОСС,СуммаБИБОСС,0)+IF(MONTH('03_Сеть'!V6)=МесяцTopFranchise,СуммаTopFranchise,0)+IF(MONTH('03_Сеть'!V6)=МесяцForbes,СуммаForbes,0))*'04_Доходы'!V6</f>
        <v/>
      </c>
      <c r="W41" s="4">
        <f>(IF(MONTH('03_Сеть'!W6)=МесяцБИБОСС,СуммаБИБОСС,0)+IF(MONTH('03_Сеть'!W6)=МесяцTopFranchise,СуммаTopFranchise,0)+IF(MONTH('03_Сеть'!W6)=МесяцForbes,СуммаForbes,0))*'04_Доходы'!W6</f>
        <v/>
      </c>
      <c r="X41" s="4">
        <f>(IF(MONTH('03_Сеть'!X6)=МесяцБИБОСС,СуммаБИБОСС,0)+IF(MONTH('03_Сеть'!X6)=МесяцTopFranchise,СуммаTopFranchise,0)+IF(MONTH('03_Сеть'!X6)=МесяцForbes,СуммаForbes,0))*'04_Доходы'!X6</f>
        <v/>
      </c>
      <c r="Y41" s="4">
        <f>(IF(MONTH('03_Сеть'!Y6)=МесяцБИБОСС,СуммаБИБОСС,0)+IF(MONTH('03_Сеть'!Y6)=МесяцTopFranchise,СуммаTopFranchise,0)+IF(MONTH('03_Сеть'!Y6)=МесяцForbes,СуммаForbes,0))*'04_Доходы'!Y6</f>
        <v/>
      </c>
      <c r="Z41" s="4">
        <f>(IF(MONTH('03_Сеть'!Z6)=МесяцБИБОСС,СуммаБИБОСС,0)+IF(MONTH('03_Сеть'!Z6)=МесяцTopFranchise,СуммаTopFranchise,0)+IF(MONTH('03_Сеть'!Z6)=МесяцForbes,СуммаForbes,0))*'04_Доходы'!Z6</f>
        <v/>
      </c>
      <c r="AA41" s="4">
        <f>(IF(MONTH('03_Сеть'!AA6)=МесяцБИБОСС,СуммаБИБОСС,0)+IF(MONTH('03_Сеть'!AA6)=МесяцTopFranchise,СуммаTopFranchise,0)+IF(MONTH('03_Сеть'!AA6)=МесяцForbes,СуммаForbes,0))*'04_Доходы'!AA6</f>
        <v/>
      </c>
      <c r="AB41" s="4">
        <f>(IF(MONTH('03_Сеть'!AB6)=МесяцБИБОСС,СуммаБИБОСС,0)+IF(MONTH('03_Сеть'!AB6)=МесяцTopFranchise,СуммаTopFranchise,0)+IF(MONTH('03_Сеть'!AB6)=МесяцForbes,СуммаForbes,0))*'04_Доходы'!AB6</f>
        <v/>
      </c>
      <c r="AC41" s="4">
        <f>(IF(MONTH('03_Сеть'!AC6)=МесяцБИБОСС,СуммаБИБОСС,0)+IF(MONTH('03_Сеть'!AC6)=МесяцTopFranchise,СуммаTopFranchise,0)+IF(MONTH('03_Сеть'!AC6)=МесяцForbes,СуммаForbes,0))*'04_Доходы'!AC6</f>
        <v/>
      </c>
      <c r="AD41" s="4">
        <f>(IF(MONTH('03_Сеть'!AD6)=МесяцБИБОСС,СуммаБИБОСС,0)+IF(MONTH('03_Сеть'!AD6)=МесяцTopFranchise,СуммаTopFranchise,0)+IF(MONTH('03_Сеть'!AD6)=МесяцForbes,СуммаForbes,0))*'04_Доходы'!AD6</f>
        <v/>
      </c>
      <c r="AE41" s="4">
        <f>(IF(MONTH('03_Сеть'!AE6)=МесяцБИБОСС,СуммаБИБОСС,0)+IF(MONTH('03_Сеть'!AE6)=МесяцTopFranchise,СуммаTopFranchise,0)+IF(MONTH('03_Сеть'!AE6)=МесяцForbes,СуммаForbes,0))*'04_Доходы'!AE6</f>
        <v/>
      </c>
      <c r="AF41" s="4">
        <f>(IF(MONTH('03_Сеть'!AF6)=МесяцБИБОСС,СуммаБИБОСС,0)+IF(MONTH('03_Сеть'!AF6)=МесяцTopFranchise,СуммаTopFranchise,0)+IF(MONTH('03_Сеть'!AF6)=МесяцForbes,СуммаForbes,0))*'04_Доходы'!AF6</f>
        <v/>
      </c>
      <c r="AG41" s="4">
        <f>(IF(MONTH('03_Сеть'!AG6)=МесяцБИБОСС,СуммаБИБОСС,0)+IF(MONTH('03_Сеть'!AG6)=МесяцTopFranchise,СуммаTopFranchise,0)+IF(MONTH('03_Сеть'!AG6)=МесяцForbes,СуммаForbes,0))*'04_Доходы'!AG6</f>
        <v/>
      </c>
      <c r="AH41" s="4">
        <f>(IF(MONTH('03_Сеть'!AH6)=МесяцБИБОСС,СуммаБИБОСС,0)+IF(MONTH('03_Сеть'!AH6)=МесяцTopFranchise,СуммаTopFranchise,0)+IF(MONTH('03_Сеть'!AH6)=МесяцForbes,СуммаForbes,0))*'04_Доходы'!AH6</f>
        <v/>
      </c>
      <c r="AI41" s="4">
        <f>(IF(MONTH('03_Сеть'!AI6)=МесяцБИБОСС,СуммаБИБОСС,0)+IF(MONTH('03_Сеть'!AI6)=МесяцTopFranchise,СуммаTopFranchise,0)+IF(MONTH('03_Сеть'!AI6)=МесяцForbes,СуммаForbes,0))*'04_Доходы'!AI6</f>
        <v/>
      </c>
      <c r="AJ41" s="4">
        <f>(IF(MONTH('03_Сеть'!AJ6)=МесяцБИБОСС,СуммаБИБОСС,0)+IF(MONTH('03_Сеть'!AJ6)=МесяцTopFranchise,СуммаTopFranchise,0)+IF(MONTH('03_Сеть'!AJ6)=МесяцForbes,СуммаForbes,0))*'04_Доходы'!AJ6</f>
        <v/>
      </c>
      <c r="AK41" s="4">
        <f>(IF(MONTH('03_Сеть'!AK6)=МесяцБИБОСС,СуммаБИБОСС,0)+IF(MONTH('03_Сеть'!AK6)=МесяцTopFranchise,СуммаTopFranchise,0)+IF(MONTH('03_Сеть'!AK6)=МесяцForbes,СуммаForbes,0))*'04_Доходы'!AK6</f>
        <v/>
      </c>
      <c r="AL41" s="4">
        <f>(IF(MONTH('03_Сеть'!AL6)=МесяцБИБОСС,СуммаБИБОСС,0)+IF(MONTH('03_Сеть'!AL6)=МесяцTopFranchise,СуммаTopFranchise,0)+IF(MONTH('03_Сеть'!AL6)=МесяцForbes,СуммаForbes,0))*'04_Доходы'!AL6</f>
        <v/>
      </c>
      <c r="AM41" s="4">
        <f>(IF(MONTH('03_Сеть'!AM6)=МесяцБИБОСС,СуммаБИБОСС,0)+IF(MONTH('03_Сеть'!AM6)=МесяцTopFranchise,СуммаTopFranchise,0)+IF(MONTH('03_Сеть'!AM6)=МесяцForbes,СуммаForbes,0))*'04_Доходы'!AM6</f>
        <v/>
      </c>
      <c r="AN41" s="4">
        <f>(IF(MONTH('03_Сеть'!AN6)=МесяцБИБОСС,СуммаБИБОСС,0)+IF(MONTH('03_Сеть'!AN6)=МесяцTopFranchise,СуммаTopFranchise,0)+IF(MONTH('03_Сеть'!AN6)=МесяцForbes,СуммаForbes,0))*'04_Доходы'!AN6</f>
        <v/>
      </c>
      <c r="AO41" s="4">
        <f>(IF(MONTH('03_Сеть'!AO6)=МесяцБИБОСС,СуммаБИБОСС,0)+IF(MONTH('03_Сеть'!AO6)=МесяцTopFranchise,СуммаTopFranchise,0)+IF(MONTH('03_Сеть'!AO6)=МесяцForbes,СуммаForbes,0))*'04_Доходы'!AO6</f>
        <v/>
      </c>
      <c r="AP41" s="4">
        <f>(IF(MONTH('03_Сеть'!AP6)=МесяцБИБОСС,СуммаБИБОСС,0)+IF(MONTH('03_Сеть'!AP6)=МесяцTopFranchise,СуммаTopFranchise,0)+IF(MONTH('03_Сеть'!AP6)=МесяцForbes,СуммаForbes,0))*'04_Доходы'!AP6</f>
        <v/>
      </c>
      <c r="AQ41" s="4">
        <f>(IF(MONTH('03_Сеть'!AQ6)=МесяцБИБОСС,СуммаБИБОСС,0)+IF(MONTH('03_Сеть'!AQ6)=МесяцTopFranchise,СуммаTopFranchise,0)+IF(MONTH('03_Сеть'!AQ6)=МесяцForbes,СуммаForbes,0))*'04_Доходы'!AQ6</f>
        <v/>
      </c>
      <c r="AR41" s="4">
        <f>(IF(MONTH('03_Сеть'!AR6)=МесяцБИБОСС,СуммаБИБОСС,0)+IF(MONTH('03_Сеть'!AR6)=МесяцTopFranchise,СуммаTopFranchise,0)+IF(MONTH('03_Сеть'!AR6)=МесяцForbes,СуммаForbes,0))*'04_Доходы'!AR6</f>
        <v/>
      </c>
      <c r="AS41" s="4">
        <f>(IF(MONTH('03_Сеть'!AS6)=МесяцБИБОСС,СуммаБИБОСС,0)+IF(MONTH('03_Сеть'!AS6)=МесяцTopFranchise,СуммаTopFranchise,0)+IF(MONTH('03_Сеть'!AS6)=МесяцForbes,СуммаForbes,0))*'04_Доходы'!AS6</f>
        <v/>
      </c>
      <c r="AT41" s="4">
        <f>(IF(MONTH('03_Сеть'!AT6)=МесяцБИБОСС,СуммаБИБОСС,0)+IF(MONTH('03_Сеть'!AT6)=МесяцTopFranchise,СуммаTopFranchise,0)+IF(MONTH('03_Сеть'!AT6)=МесяцForbes,СуммаForbes,0))*'04_Доходы'!AT6</f>
        <v/>
      </c>
      <c r="AU41" s="4">
        <f>(IF(MONTH('03_Сеть'!AU6)=МесяцБИБОСС,СуммаБИБОСС,0)+IF(MONTH('03_Сеть'!AU6)=МесяцTopFranchise,СуммаTopFranchise,0)+IF(MONTH('03_Сеть'!AU6)=МесяцForbes,СуммаForbes,0))*'04_Доходы'!AU6</f>
        <v/>
      </c>
      <c r="AV41" s="4">
        <f>(IF(MONTH('03_Сеть'!AV6)=МесяцБИБОСС,СуммаБИБОСС,0)+IF(MONTH('03_Сеть'!AV6)=МесяцTopFranchise,СуммаTopFranchise,0)+IF(MONTH('03_Сеть'!AV6)=МесяцForbes,СуммаForbes,0))*'04_Доходы'!AV6</f>
        <v/>
      </c>
      <c r="AW41" s="4">
        <f>(IF(MONTH('03_Сеть'!AW6)=МесяцБИБОСС,СуммаБИБОСС,0)+IF(MONTH('03_Сеть'!AW6)=МесяцTopFranchise,СуммаTopFranchise,0)+IF(MONTH('03_Сеть'!AW6)=МесяцForbes,СуммаForbes,0))*'04_Доходы'!AW6</f>
        <v/>
      </c>
      <c r="AX41" s="4">
        <f>(IF(MONTH('03_Сеть'!AX6)=МесяцБИБОСС,СуммаБИБОСС,0)+IF(MONTH('03_Сеть'!AX6)=МесяцTopFranchise,СуммаTopFranchise,0)+IF(MONTH('03_Сеть'!AX6)=МесяцForbes,СуммаForbes,0))*'04_Доходы'!AX6</f>
        <v/>
      </c>
      <c r="AY41" s="4">
        <f>(IF(MONTH('03_Сеть'!AY6)=МесяцБИБОСС,СуммаБИБОСС,0)+IF(MONTH('03_Сеть'!AY6)=МесяцTopFranchise,СуммаTopFranchise,0)+IF(MONTH('03_Сеть'!AY6)=МесяцForbes,СуммаForbes,0))*'04_Доходы'!AY6</f>
        <v/>
      </c>
      <c r="AZ41" s="4">
        <f>(IF(MONTH('03_Сеть'!AZ6)=МесяцБИБОСС,СуммаБИБОСС,0)+IF(MONTH('03_Сеть'!AZ6)=МесяцTopFranchise,СуммаTopFranchise,0)+IF(MONTH('03_Сеть'!AZ6)=МесяцForbes,СуммаForbes,0))*'04_Доходы'!AZ6</f>
        <v/>
      </c>
      <c r="BA41" s="4">
        <f>(IF(MONTH('03_Сеть'!BA6)=МесяцБИБОСС,СуммаБИБОСС,0)+IF(MONTH('03_Сеть'!BA6)=МесяцTopFranchise,СуммаTopFranchise,0)+IF(MONTH('03_Сеть'!BA6)=МесяцForbes,СуммаForbes,0))*'04_Доходы'!BA6</f>
        <v/>
      </c>
      <c r="BB41" s="4">
        <f>(IF(MONTH('03_Сеть'!BB6)=МесяцБИБОСС,СуммаБИБОСС,0)+IF(MONTH('03_Сеть'!BB6)=МесяцTopFranchise,СуммаTopFranchise,0)+IF(MONTH('03_Сеть'!BB6)=МесяцForbes,СуммаForbes,0))*'04_Доходы'!BB6</f>
        <v/>
      </c>
      <c r="BC41" s="4">
        <f>(IF(MONTH('03_Сеть'!BC6)=МесяцБИБОСС,СуммаБИБОСС,0)+IF(MONTH('03_Сеть'!BC6)=МесяцTopFranchise,СуммаTopFranchise,0)+IF(MONTH('03_Сеть'!BC6)=МесяцForbes,СуммаForbes,0))*'04_Доходы'!BC6</f>
        <v/>
      </c>
      <c r="BD41" s="4">
        <f>(IF(MONTH('03_Сеть'!BD6)=МесяцБИБОСС,СуммаБИБОСС,0)+IF(MONTH('03_Сеть'!BD6)=МесяцTopFranchise,СуммаTopFranchise,0)+IF(MONTH('03_Сеть'!BD6)=МесяцForbes,СуммаForbes,0))*'04_Доходы'!BD6</f>
        <v/>
      </c>
      <c r="BE41" s="4">
        <f>(IF(MONTH('03_Сеть'!BE6)=МесяцБИБОСС,СуммаБИБОСС,0)+IF(MONTH('03_Сеть'!BE6)=МесяцTopFranchise,СуммаTopFranchise,0)+IF(MONTH('03_Сеть'!BE6)=МесяцForbes,СуммаForbes,0))*'04_Доходы'!BE6</f>
        <v/>
      </c>
      <c r="BF41" s="4">
        <f>(IF(MONTH('03_Сеть'!BF6)=МесяцБИБОСС,СуммаБИБОСС,0)+IF(MONTH('03_Сеть'!BF6)=МесяцTopFranchise,СуммаTopFranchise,0)+IF(MONTH('03_Сеть'!BF6)=МесяцForbes,СуммаForbes,0))*'04_Доходы'!BF6</f>
        <v/>
      </c>
      <c r="BG41" s="4">
        <f>(IF(MONTH('03_Сеть'!BG6)=МесяцБИБОСС,СуммаБИБОСС,0)+IF(MONTH('03_Сеть'!BG6)=МесяцTopFranchise,СуммаTopFranchise,0)+IF(MONTH('03_Сеть'!BG6)=МесяцForbes,СуммаForbes,0))*'04_Доходы'!BG6</f>
        <v/>
      </c>
      <c r="BH41" s="4">
        <f>(IF(MONTH('03_Сеть'!BH6)=МесяцБИБОСС,СуммаБИБОСС,0)+IF(MONTH('03_Сеть'!BH6)=МесяцTopFranchise,СуммаTopFranchise,0)+IF(MONTH('03_Сеть'!BH6)=МесяцForbes,СуммаForbes,0))*'04_Доходы'!BH6</f>
        <v/>
      </c>
      <c r="BI41" s="4">
        <f>(IF(MONTH('03_Сеть'!BI6)=МесяцБИБОСС,СуммаБИБОСС,0)+IF(MONTH('03_Сеть'!BI6)=МесяцTopFranchise,СуммаTopFranchise,0)+IF(MONTH('03_Сеть'!BI6)=МесяцForbes,СуммаForbes,0))*'04_Доходы'!BI6</f>
        <v/>
      </c>
      <c r="BJ41" s="4">
        <f>(IF(MONTH('03_Сеть'!BJ6)=МесяцБИБОСС,СуммаБИБОСС,0)+IF(MONTH('03_Сеть'!BJ6)=МесяцTopFranchise,СуммаTopFranchise,0)+IF(MONTH('03_Сеть'!BJ6)=МесяцForbes,СуммаForbes,0))*'04_Доходы'!BJ6</f>
        <v/>
      </c>
      <c r="BK41" s="4">
        <f>(IF(MONTH('03_Сеть'!BK6)=МесяцБИБОСС,СуммаБИБОСС,0)+IF(MONTH('03_Сеть'!BK6)=МесяцTopFranchise,СуммаTopFranchise,0)+IF(MONTH('03_Сеть'!BK6)=МесяцForbes,СуммаForbes,0))*'04_Доходы'!BK6</f>
        <v/>
      </c>
      <c r="BL41" s="4">
        <f>(IF(MONTH('03_Сеть'!BL6)=МесяцБИБОСС,СуммаБИБОСС,0)+IF(MONTH('03_Сеть'!BL6)=МесяцTopFranchise,СуммаTopFranchise,0)+IF(MONTH('03_Сеть'!BL6)=МесяцForbes,СуммаForbes,0))*'04_Доходы'!BL6</f>
        <v/>
      </c>
      <c r="BM41" s="4">
        <f>(IF(MONTH('03_Сеть'!BM6)=МесяцБИБОСС,СуммаБИБОСС,0)+IF(MONTH('03_Сеть'!BM6)=МесяцTopFranchise,СуммаTopFranchise,0)+IF(MONTH('03_Сеть'!BM6)=МесяцForbes,СуммаForbes,0))*'04_Доходы'!BM6</f>
        <v/>
      </c>
      <c r="BN41" s="4">
        <f>(IF(MONTH('03_Сеть'!BN6)=МесяцБИБОСС,СуммаБИБОСС,0)+IF(MONTH('03_Сеть'!BN6)=МесяцTopFranchise,СуммаTopFranchise,0)+IF(MONTH('03_Сеть'!BN6)=МесяцForbes,СуммаForbes,0))*'04_Доходы'!BN6</f>
        <v/>
      </c>
      <c r="BO41" s="4">
        <f>(IF(MONTH('03_Сеть'!BO6)=МесяцБИБОСС,СуммаБИБОСС,0)+IF(MONTH('03_Сеть'!BO6)=МесяцTopFranchise,СуммаTopFranchise,0)+IF(MONTH('03_Сеть'!BO6)=МесяцForbes,СуммаForbes,0))*'04_Доходы'!BO6</f>
        <v/>
      </c>
      <c r="BP41" s="4">
        <f>(IF(MONTH('03_Сеть'!BP6)=МесяцБИБОСС,СуммаБИБОСС,0)+IF(MONTH('03_Сеть'!BP6)=МесяцTopFranchise,СуммаTopFranchise,0)+IF(MONTH('03_Сеть'!BP6)=МесяцForbes,СуммаForbes,0))*'04_Доходы'!BP6</f>
        <v/>
      </c>
      <c r="BQ41" s="4">
        <f>(IF(MONTH('03_Сеть'!BQ6)=МесяцБИБОСС,СуммаБИБОСС,0)+IF(MONTH('03_Сеть'!BQ6)=МесяцTopFranchise,СуммаTopFranchise,0)+IF(MONTH('03_Сеть'!BQ6)=МесяцForbes,СуммаForbes,0))*'04_Доходы'!BQ6</f>
        <v/>
      </c>
      <c r="BR41" s="4">
        <f>(IF(MONTH('03_Сеть'!BR6)=МесяцБИБОСС,СуммаБИБОСС,0)+IF(MONTH('03_Сеть'!BR6)=МесяцTopFranchise,СуммаTopFranchise,0)+IF(MONTH('03_Сеть'!BR6)=МесяцForbes,СуммаForbes,0))*'04_Доходы'!BR6</f>
        <v/>
      </c>
      <c r="BS41" s="4">
        <f>(IF(MONTH('03_Сеть'!BS6)=МесяцБИБОСС,СуммаБИБОСС,0)+IF(MONTH('03_Сеть'!BS6)=МесяцTopFranchise,СуммаTopFranchise,0)+IF(MONTH('03_Сеть'!BS6)=МесяцForbes,СуммаForbes,0))*'04_Доходы'!BS6</f>
        <v/>
      </c>
      <c r="BT41" s="4">
        <f>(IF(MONTH('03_Сеть'!BT6)=МесяцБИБОСС,СуммаБИБОСС,0)+IF(MONTH('03_Сеть'!BT6)=МесяцTopFranchise,СуммаTopFranchise,0)+IF(MONTH('03_Сеть'!BT6)=МесяцForbes,СуммаForbes,0))*'04_Доходы'!BT6</f>
        <v/>
      </c>
      <c r="BU41" s="4">
        <f>(IF(MONTH('03_Сеть'!BU6)=МесяцБИБОСС,СуммаБИБОСС,0)+IF(MONTH('03_Сеть'!BU6)=МесяцTopFranchise,СуммаTopFranchise,0)+IF(MONTH('03_Сеть'!BU6)=МесяцForbes,СуммаForbes,0))*'04_Доходы'!BU6</f>
        <v/>
      </c>
      <c r="BV41" s="4">
        <f>(IF(MONTH('03_Сеть'!BV6)=МесяцБИБОСС,СуммаБИБОСС,0)+IF(MONTH('03_Сеть'!BV6)=МесяцTopFranchise,СуммаTopFranchise,0)+IF(MONTH('03_Сеть'!BV6)=МесяцForbes,СуммаForbes,0))*'04_Доходы'!BV6</f>
        <v/>
      </c>
      <c r="BW41" s="4">
        <f>(IF(MONTH('03_Сеть'!BW6)=МесяцБИБОСС,СуммаБИБОСС,0)+IF(MONTH('03_Сеть'!BW6)=МесяцTopFranchise,СуммаTopFranchise,0)+IF(MONTH('03_Сеть'!BW6)=МесяцForbes,СуммаForbes,0))*'04_Доходы'!BW6</f>
        <v/>
      </c>
      <c r="BX41" s="4">
        <f>(IF(MONTH('03_Сеть'!BX6)=МесяцБИБОСС,СуммаБИБОСС,0)+IF(MONTH('03_Сеть'!BX6)=МесяцTopFranchise,СуммаTopFranchise,0)+IF(MONTH('03_Сеть'!BX6)=МесяцForbes,СуммаForbes,0))*'04_Доходы'!BX6</f>
        <v/>
      </c>
      <c r="BY41" s="4">
        <f>(IF(MONTH('03_Сеть'!BY6)=МесяцБИБОСС,СуммаБИБОСС,0)+IF(MONTH('03_Сеть'!BY6)=МесяцTopFranchise,СуммаTopFranchise,0)+IF(MONTH('03_Сеть'!BY6)=МесяцForbes,СуммаForbes,0))*'04_Доходы'!BY6</f>
        <v/>
      </c>
    </row>
    <row r="42">
      <c r="B42" t="inlineStr">
        <is>
          <t>Маркетинг привлечения — всего</t>
        </is>
      </c>
      <c r="C42" t="inlineStr">
        <is>
          <t>₽</t>
        </is>
      </c>
      <c r="D42" s="117" t="inlineStr"/>
      <c r="E42" s="119">
        <f>SUM(L42:W42)</f>
        <v/>
      </c>
      <c r="F42" s="119">
        <f>SUM(X42:AI42)</f>
        <v/>
      </c>
      <c r="G42" s="119">
        <f>SUM(AJ42:AU42)</f>
        <v/>
      </c>
      <c r="H42" s="119">
        <f>SUM(AV42:BG42)</f>
        <v/>
      </c>
      <c r="I42" s="119">
        <f>SUM(BH42:BS42)</f>
        <v/>
      </c>
      <c r="J42" s="5">
        <f>SUM(L42:BS42)</f>
        <v/>
      </c>
      <c r="L42" s="4">
        <f>L40+L41</f>
        <v/>
      </c>
      <c r="M42" s="4">
        <f>M40+M41</f>
        <v/>
      </c>
      <c r="N42" s="4">
        <f>N40+N41</f>
        <v/>
      </c>
      <c r="O42" s="4">
        <f>O40+O41</f>
        <v/>
      </c>
      <c r="P42" s="4">
        <f>P40+P41</f>
        <v/>
      </c>
      <c r="Q42" s="4">
        <f>Q40+Q41</f>
        <v/>
      </c>
      <c r="R42" s="4">
        <f>R40+R41</f>
        <v/>
      </c>
      <c r="S42" s="4">
        <f>S40+S41</f>
        <v/>
      </c>
      <c r="T42" s="4">
        <f>T40+T41</f>
        <v/>
      </c>
      <c r="U42" s="4">
        <f>U40+U41</f>
        <v/>
      </c>
      <c r="V42" s="4">
        <f>V40+V41</f>
        <v/>
      </c>
      <c r="W42" s="4">
        <f>W40+W41</f>
        <v/>
      </c>
      <c r="X42" s="4">
        <f>X40+X41</f>
        <v/>
      </c>
      <c r="Y42" s="4">
        <f>Y40+Y41</f>
        <v/>
      </c>
      <c r="Z42" s="4">
        <f>Z40+Z41</f>
        <v/>
      </c>
      <c r="AA42" s="4">
        <f>AA40+AA41</f>
        <v/>
      </c>
      <c r="AB42" s="4">
        <f>AB40+AB41</f>
        <v/>
      </c>
      <c r="AC42" s="4">
        <f>AC40+AC41</f>
        <v/>
      </c>
      <c r="AD42" s="4">
        <f>AD40+AD41</f>
        <v/>
      </c>
      <c r="AE42" s="4">
        <f>AE40+AE41</f>
        <v/>
      </c>
      <c r="AF42" s="4">
        <f>AF40+AF41</f>
        <v/>
      </c>
      <c r="AG42" s="4">
        <f>AG40+AG41</f>
        <v/>
      </c>
      <c r="AH42" s="4">
        <f>AH40+AH41</f>
        <v/>
      </c>
      <c r="AI42" s="4">
        <f>AI40+AI41</f>
        <v/>
      </c>
      <c r="AJ42" s="4">
        <f>AJ40+AJ41</f>
        <v/>
      </c>
      <c r="AK42" s="4">
        <f>AK40+AK41</f>
        <v/>
      </c>
      <c r="AL42" s="4">
        <f>AL40+AL41</f>
        <v/>
      </c>
      <c r="AM42" s="4">
        <f>AM40+AM41</f>
        <v/>
      </c>
      <c r="AN42" s="4">
        <f>AN40+AN41</f>
        <v/>
      </c>
      <c r="AO42" s="4">
        <f>AO40+AO41</f>
        <v/>
      </c>
      <c r="AP42" s="4">
        <f>AP40+AP41</f>
        <v/>
      </c>
      <c r="AQ42" s="4">
        <f>AQ40+AQ41</f>
        <v/>
      </c>
      <c r="AR42" s="4">
        <f>AR40+AR41</f>
        <v/>
      </c>
      <c r="AS42" s="4">
        <f>AS40+AS41</f>
        <v/>
      </c>
      <c r="AT42" s="4">
        <f>AT40+AT41</f>
        <v/>
      </c>
      <c r="AU42" s="4">
        <f>AU40+AU41</f>
        <v/>
      </c>
      <c r="AV42" s="4">
        <f>AV40+AV41</f>
        <v/>
      </c>
      <c r="AW42" s="4">
        <f>AW40+AW41</f>
        <v/>
      </c>
      <c r="AX42" s="4">
        <f>AX40+AX41</f>
        <v/>
      </c>
      <c r="AY42" s="4">
        <f>AY40+AY41</f>
        <v/>
      </c>
      <c r="AZ42" s="4">
        <f>AZ40+AZ41</f>
        <v/>
      </c>
      <c r="BA42" s="4">
        <f>BA40+BA41</f>
        <v/>
      </c>
      <c r="BB42" s="4">
        <f>BB40+BB41</f>
        <v/>
      </c>
      <c r="BC42" s="4">
        <f>BC40+BC41</f>
        <v/>
      </c>
      <c r="BD42" s="4">
        <f>BD40+BD41</f>
        <v/>
      </c>
      <c r="BE42" s="4">
        <f>BE40+BE41</f>
        <v/>
      </c>
      <c r="BF42" s="4">
        <f>BF40+BF41</f>
        <v/>
      </c>
      <c r="BG42" s="4">
        <f>BG40+BG41</f>
        <v/>
      </c>
      <c r="BH42" s="4">
        <f>BH40+BH41</f>
        <v/>
      </c>
      <c r="BI42" s="4">
        <f>BI40+BI41</f>
        <v/>
      </c>
      <c r="BJ42" s="4">
        <f>BJ40+BJ41</f>
        <v/>
      </c>
      <c r="BK42" s="4">
        <f>BK40+BK41</f>
        <v/>
      </c>
      <c r="BL42" s="4">
        <f>BL40+BL41</f>
        <v/>
      </c>
      <c r="BM42" s="4">
        <f>BM40+BM41</f>
        <v/>
      </c>
      <c r="BN42" s="4">
        <f>BN40+BN41</f>
        <v/>
      </c>
      <c r="BO42" s="4">
        <f>BO40+BO41</f>
        <v/>
      </c>
      <c r="BP42" s="4">
        <f>BP40+BP41</f>
        <v/>
      </c>
      <c r="BQ42" s="4">
        <f>BQ40+BQ41</f>
        <v/>
      </c>
      <c r="BR42" s="4">
        <f>BR40+BR41</f>
        <v/>
      </c>
      <c r="BS42" s="4">
        <f>BS40+BS41</f>
        <v/>
      </c>
      <c r="BT42" s="4">
        <f>BT40+BT41</f>
        <v/>
      </c>
      <c r="BU42" s="4">
        <f>BU40+BU41</f>
        <v/>
      </c>
      <c r="BV42" s="4">
        <f>BV40+BV41</f>
        <v/>
      </c>
      <c r="BW42" s="4">
        <f>BW40+BW41</f>
        <v/>
      </c>
      <c r="BX42" s="4">
        <f>BX40+BX41</f>
        <v/>
      </c>
      <c r="BY42" s="4">
        <f>BY40+BY41</f>
        <v/>
      </c>
    </row>
    <row r="43">
      <c r="B43" s="6" t="inlineStr">
        <is>
          <t>OPEX — всего</t>
        </is>
      </c>
      <c r="C43" s="6" t="inlineStr">
        <is>
          <t>₽</t>
        </is>
      </c>
      <c r="D43" s="120" t="inlineStr"/>
      <c r="E43" s="121">
        <f>SUM(L43:W43)</f>
        <v/>
      </c>
      <c r="F43" s="121">
        <f>SUM(X43:AI43)</f>
        <v/>
      </c>
      <c r="G43" s="121">
        <f>SUM(AJ43:AU43)</f>
        <v/>
      </c>
      <c r="H43" s="121">
        <f>SUM(AV43:BG43)</f>
        <v/>
      </c>
      <c r="I43" s="121">
        <f>SUM(BH43:BS43)</f>
        <v/>
      </c>
      <c r="J43" s="8">
        <f>SUM(L43:BS43)</f>
        <v/>
      </c>
      <c r="L43" s="7">
        <f>L29+L34+L35+L36+L37+L38+L42</f>
        <v/>
      </c>
      <c r="M43" s="7">
        <f>M29+M34+M35+M36+M37+M38+M42</f>
        <v/>
      </c>
      <c r="N43" s="7">
        <f>N29+N34+N35+N36+N37+N38+N42</f>
        <v/>
      </c>
      <c r="O43" s="7">
        <f>O29+O34+O35+O36+O37+O38+O42</f>
        <v/>
      </c>
      <c r="P43" s="7">
        <f>P29+P34+P35+P36+P37+P38+P42</f>
        <v/>
      </c>
      <c r="Q43" s="7">
        <f>Q29+Q34+Q35+Q36+Q37+Q38+Q42</f>
        <v/>
      </c>
      <c r="R43" s="7">
        <f>R29+R34+R35+R36+R37+R38+R42</f>
        <v/>
      </c>
      <c r="S43" s="7">
        <f>S29+S34+S35+S36+S37+S38+S42</f>
        <v/>
      </c>
      <c r="T43" s="7">
        <f>T29+T34+T35+T36+T37+T38+T42</f>
        <v/>
      </c>
      <c r="U43" s="7">
        <f>U29+U34+U35+U36+U37+U38+U42</f>
        <v/>
      </c>
      <c r="V43" s="7">
        <f>V29+V34+V35+V36+V37+V38+V42</f>
        <v/>
      </c>
      <c r="W43" s="7">
        <f>W29+W34+W35+W36+W37+W38+W42</f>
        <v/>
      </c>
      <c r="X43" s="7">
        <f>X29+X34+X35+X36+X37+X38+X42</f>
        <v/>
      </c>
      <c r="Y43" s="7">
        <f>Y29+Y34+Y35+Y36+Y37+Y38+Y42</f>
        <v/>
      </c>
      <c r="Z43" s="7">
        <f>Z29+Z34+Z35+Z36+Z37+Z38+Z42</f>
        <v/>
      </c>
      <c r="AA43" s="7">
        <f>AA29+AA34+AA35+AA36+AA37+AA38+AA42</f>
        <v/>
      </c>
      <c r="AB43" s="7">
        <f>AB29+AB34+AB35+AB36+AB37+AB38+AB42</f>
        <v/>
      </c>
      <c r="AC43" s="7">
        <f>AC29+AC34+AC35+AC36+AC37+AC38+AC42</f>
        <v/>
      </c>
      <c r="AD43" s="7">
        <f>AD29+AD34+AD35+AD36+AD37+AD38+AD42</f>
        <v/>
      </c>
      <c r="AE43" s="7">
        <f>AE29+AE34+AE35+AE36+AE37+AE38+AE42</f>
        <v/>
      </c>
      <c r="AF43" s="7">
        <f>AF29+AF34+AF35+AF36+AF37+AF38+AF42</f>
        <v/>
      </c>
      <c r="AG43" s="7">
        <f>AG29+AG34+AG35+AG36+AG37+AG38+AG42</f>
        <v/>
      </c>
      <c r="AH43" s="7">
        <f>AH29+AH34+AH35+AH36+AH37+AH38+AH42</f>
        <v/>
      </c>
      <c r="AI43" s="7">
        <f>AI29+AI34+AI35+AI36+AI37+AI38+AI42</f>
        <v/>
      </c>
      <c r="AJ43" s="7">
        <f>AJ29+AJ34+AJ35+AJ36+AJ37+AJ38+AJ42</f>
        <v/>
      </c>
      <c r="AK43" s="7">
        <f>AK29+AK34+AK35+AK36+AK37+AK38+AK42</f>
        <v/>
      </c>
      <c r="AL43" s="7">
        <f>AL29+AL34+AL35+AL36+AL37+AL38+AL42</f>
        <v/>
      </c>
      <c r="AM43" s="7">
        <f>AM29+AM34+AM35+AM36+AM37+AM38+AM42</f>
        <v/>
      </c>
      <c r="AN43" s="7">
        <f>AN29+AN34+AN35+AN36+AN37+AN38+AN42</f>
        <v/>
      </c>
      <c r="AO43" s="7">
        <f>AO29+AO34+AO35+AO36+AO37+AO38+AO42</f>
        <v/>
      </c>
      <c r="AP43" s="7">
        <f>AP29+AP34+AP35+AP36+AP37+AP38+AP42</f>
        <v/>
      </c>
      <c r="AQ43" s="7">
        <f>AQ29+AQ34+AQ35+AQ36+AQ37+AQ38+AQ42</f>
        <v/>
      </c>
      <c r="AR43" s="7">
        <f>AR29+AR34+AR35+AR36+AR37+AR38+AR42</f>
        <v/>
      </c>
      <c r="AS43" s="7">
        <f>AS29+AS34+AS35+AS36+AS37+AS38+AS42</f>
        <v/>
      </c>
      <c r="AT43" s="7">
        <f>AT29+AT34+AT35+AT36+AT37+AT38+AT42</f>
        <v/>
      </c>
      <c r="AU43" s="7">
        <f>AU29+AU34+AU35+AU36+AU37+AU38+AU42</f>
        <v/>
      </c>
      <c r="AV43" s="7">
        <f>AV29+AV34+AV35+AV36+AV37+AV38+AV42</f>
        <v/>
      </c>
      <c r="AW43" s="7">
        <f>AW29+AW34+AW35+AW36+AW37+AW38+AW42</f>
        <v/>
      </c>
      <c r="AX43" s="7">
        <f>AX29+AX34+AX35+AX36+AX37+AX38+AX42</f>
        <v/>
      </c>
      <c r="AY43" s="7">
        <f>AY29+AY34+AY35+AY36+AY37+AY38+AY42</f>
        <v/>
      </c>
      <c r="AZ43" s="7">
        <f>AZ29+AZ34+AZ35+AZ36+AZ37+AZ38+AZ42</f>
        <v/>
      </c>
      <c r="BA43" s="7">
        <f>BA29+BA34+BA35+BA36+BA37+BA38+BA42</f>
        <v/>
      </c>
      <c r="BB43" s="7">
        <f>BB29+BB34+BB35+BB36+BB37+BB38+BB42</f>
        <v/>
      </c>
      <c r="BC43" s="7">
        <f>BC29+BC34+BC35+BC36+BC37+BC38+BC42</f>
        <v/>
      </c>
      <c r="BD43" s="7">
        <f>BD29+BD34+BD35+BD36+BD37+BD38+BD42</f>
        <v/>
      </c>
      <c r="BE43" s="7">
        <f>BE29+BE34+BE35+BE36+BE37+BE38+BE42</f>
        <v/>
      </c>
      <c r="BF43" s="7">
        <f>BF29+BF34+BF35+BF36+BF37+BF38+BF42</f>
        <v/>
      </c>
      <c r="BG43" s="7">
        <f>BG29+BG34+BG35+BG36+BG37+BG38+BG42</f>
        <v/>
      </c>
      <c r="BH43" s="7">
        <f>BH29+BH34+BH35+BH36+BH37+BH38+BH42</f>
        <v/>
      </c>
      <c r="BI43" s="7">
        <f>BI29+BI34+BI35+BI36+BI37+BI38+BI42</f>
        <v/>
      </c>
      <c r="BJ43" s="7">
        <f>BJ29+BJ34+BJ35+BJ36+BJ37+BJ38+BJ42</f>
        <v/>
      </c>
      <c r="BK43" s="7">
        <f>BK29+BK34+BK35+BK36+BK37+BK38+BK42</f>
        <v/>
      </c>
      <c r="BL43" s="7">
        <f>BL29+BL34+BL35+BL36+BL37+BL38+BL42</f>
        <v/>
      </c>
      <c r="BM43" s="7">
        <f>BM29+BM34+BM35+BM36+BM37+BM38+BM42</f>
        <v/>
      </c>
      <c r="BN43" s="7">
        <f>BN29+BN34+BN35+BN36+BN37+BN38+BN42</f>
        <v/>
      </c>
      <c r="BO43" s="7">
        <f>BO29+BO34+BO35+BO36+BO37+BO38+BO42</f>
        <v/>
      </c>
      <c r="BP43" s="7">
        <f>BP29+BP34+BP35+BP36+BP37+BP38+BP42</f>
        <v/>
      </c>
      <c r="BQ43" s="7">
        <f>BQ29+BQ34+BQ35+BQ36+BQ37+BQ38+BQ42</f>
        <v/>
      </c>
      <c r="BR43" s="7">
        <f>BR29+BR34+BR35+BR36+BR37+BR38+BR42</f>
        <v/>
      </c>
      <c r="BS43" s="7">
        <f>BS29+BS34+BS35+BS36+BS37+BS38+BS42</f>
        <v/>
      </c>
      <c r="BT43" s="7">
        <f>BT29+BT34+BT35+BT36+BT37+BT38+BT42</f>
        <v/>
      </c>
      <c r="BU43" s="7">
        <f>BU29+BU34+BU35+BU36+BU37+BU38+BU42</f>
        <v/>
      </c>
      <c r="BV43" s="7">
        <f>BV29+BV34+BV35+BV36+BV37+BV38+BV42</f>
        <v/>
      </c>
      <c r="BW43" s="7">
        <f>BW29+BW34+BW35+BW36+BW37+BW38+BW42</f>
        <v/>
      </c>
      <c r="BX43" s="7">
        <f>BX29+BX34+BX35+BX36+BX37+BX38+BX42</f>
        <v/>
      </c>
      <c r="BY43" s="7">
        <f>BY29+BY34+BY35+BY36+BY37+BY38+BY42</f>
        <v/>
      </c>
    </row>
    <row r="45">
      <c r="B45" s="115" t="inlineStr">
        <is>
          <t>Выплаты футбольному клубу</t>
        </is>
      </c>
      <c r="C45" s="116" t="n"/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R45" s="116" t="n"/>
      <c r="S45" s="116" t="n"/>
      <c r="T45" s="116" t="n"/>
      <c r="U45" s="116" t="n"/>
      <c r="V45" s="116" t="n"/>
      <c r="W45" s="116" t="n"/>
      <c r="X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AO45" s="116" t="n"/>
      <c r="AP45" s="116" t="n"/>
      <c r="AQ45" s="116" t="n"/>
      <c r="AR45" s="116" t="n"/>
      <c r="AS45" s="116" t="n"/>
      <c r="AT45" s="116" t="n"/>
      <c r="AU45" s="116" t="n"/>
      <c r="AV45" s="116" t="n"/>
      <c r="AW45" s="116" t="n"/>
      <c r="AX45" s="116" t="n"/>
      <c r="AY45" s="116" t="n"/>
      <c r="AZ45" s="116" t="n"/>
      <c r="BA45" s="116" t="n"/>
      <c r="BB45" s="116" t="n"/>
      <c r="BC45" s="116" t="n"/>
      <c r="BD45" s="116" t="n"/>
      <c r="BE45" s="116" t="n"/>
      <c r="BF45" s="116" t="n"/>
      <c r="BG45" s="116" t="n"/>
      <c r="BH45" s="116" t="n"/>
      <c r="BI45" s="116" t="n"/>
      <c r="BJ45" s="116" t="n"/>
      <c r="BK45" s="116" t="n"/>
      <c r="BL45" s="116" t="n"/>
      <c r="BM45" s="116" t="n"/>
      <c r="BN45" s="116" t="n"/>
      <c r="BO45" s="116" t="n"/>
      <c r="BP45" s="116" t="n"/>
      <c r="BQ45" s="116" t="n"/>
      <c r="BR45" s="116" t="n"/>
      <c r="BS45" s="116" t="n"/>
      <c r="BT45" s="116" t="n"/>
      <c r="BU45" s="116" t="n"/>
      <c r="BV45" s="116" t="n"/>
      <c r="BW45" s="116" t="n"/>
      <c r="BX45" s="116" t="n"/>
      <c r="BY45" s="116" t="n"/>
    </row>
    <row r="46">
      <c r="B46" t="inlineStr">
        <is>
          <t>Начислено ФК: паушальные</t>
        </is>
      </c>
      <c r="C46" t="inlineStr">
        <is>
          <t>₽</t>
        </is>
      </c>
      <c r="D46" s="117" t="inlineStr"/>
      <c r="E46" s="119">
        <f>SUM(L46:W46)</f>
        <v/>
      </c>
      <c r="F46" s="119">
        <f>SUM(X46:AI46)</f>
        <v/>
      </c>
      <c r="G46" s="119">
        <f>SUM(AJ46:AU46)</f>
        <v/>
      </c>
      <c r="H46" s="119">
        <f>SUM(AV46:BG46)</f>
        <v/>
      </c>
      <c r="I46" s="119">
        <f>SUM(BH46:BS46)</f>
        <v/>
      </c>
      <c r="J46" s="5">
        <f>SUM(L46:BS46)</f>
        <v/>
      </c>
      <c r="L46" s="4">
        <f>'04_Доходы'!L13*ДоляФКПаушальные</f>
        <v/>
      </c>
      <c r="M46" s="4">
        <f>'04_Доходы'!M13*ДоляФКПаушальные</f>
        <v/>
      </c>
      <c r="N46" s="4">
        <f>'04_Доходы'!N13*ДоляФКПаушальные</f>
        <v/>
      </c>
      <c r="O46" s="4">
        <f>'04_Доходы'!O13*ДоляФКПаушальные</f>
        <v/>
      </c>
      <c r="P46" s="4">
        <f>'04_Доходы'!P13*ДоляФКПаушальные</f>
        <v/>
      </c>
      <c r="Q46" s="4">
        <f>'04_Доходы'!Q13*ДоляФКПаушальные</f>
        <v/>
      </c>
      <c r="R46" s="4">
        <f>'04_Доходы'!R13*ДоляФКПаушальные</f>
        <v/>
      </c>
      <c r="S46" s="4">
        <f>'04_Доходы'!S13*ДоляФКПаушальные</f>
        <v/>
      </c>
      <c r="T46" s="4">
        <f>'04_Доходы'!T13*ДоляФКПаушальные</f>
        <v/>
      </c>
      <c r="U46" s="4">
        <f>'04_Доходы'!U13*ДоляФКПаушальные</f>
        <v/>
      </c>
      <c r="V46" s="4">
        <f>'04_Доходы'!V13*ДоляФКПаушальные</f>
        <v/>
      </c>
      <c r="W46" s="4">
        <f>'04_Доходы'!W13*ДоляФКПаушальные</f>
        <v/>
      </c>
      <c r="X46" s="4">
        <f>'04_Доходы'!X13*ДоляФКПаушальные</f>
        <v/>
      </c>
      <c r="Y46" s="4">
        <f>'04_Доходы'!Y13*ДоляФКПаушальные</f>
        <v/>
      </c>
      <c r="Z46" s="4">
        <f>'04_Доходы'!Z13*ДоляФКПаушальные</f>
        <v/>
      </c>
      <c r="AA46" s="4">
        <f>'04_Доходы'!AA13*ДоляФКПаушальные</f>
        <v/>
      </c>
      <c r="AB46" s="4">
        <f>'04_Доходы'!AB13*ДоляФКПаушальные</f>
        <v/>
      </c>
      <c r="AC46" s="4">
        <f>'04_Доходы'!AC13*ДоляФКПаушальные</f>
        <v/>
      </c>
      <c r="AD46" s="4">
        <f>'04_Доходы'!AD13*ДоляФКПаушальные</f>
        <v/>
      </c>
      <c r="AE46" s="4">
        <f>'04_Доходы'!AE13*ДоляФКПаушальные</f>
        <v/>
      </c>
      <c r="AF46" s="4">
        <f>'04_Доходы'!AF13*ДоляФКПаушальные</f>
        <v/>
      </c>
      <c r="AG46" s="4">
        <f>'04_Доходы'!AG13*ДоляФКПаушальные</f>
        <v/>
      </c>
      <c r="AH46" s="4">
        <f>'04_Доходы'!AH13*ДоляФКПаушальные</f>
        <v/>
      </c>
      <c r="AI46" s="4">
        <f>'04_Доходы'!AI13*ДоляФКПаушальные</f>
        <v/>
      </c>
      <c r="AJ46" s="4">
        <f>'04_Доходы'!AJ13*ДоляФКПаушальные</f>
        <v/>
      </c>
      <c r="AK46" s="4">
        <f>'04_Доходы'!AK13*ДоляФКПаушальные</f>
        <v/>
      </c>
      <c r="AL46" s="4">
        <f>'04_Доходы'!AL13*ДоляФКПаушальные</f>
        <v/>
      </c>
      <c r="AM46" s="4">
        <f>'04_Доходы'!AM13*ДоляФКПаушальные</f>
        <v/>
      </c>
      <c r="AN46" s="4">
        <f>'04_Доходы'!AN13*ДоляФКПаушальные</f>
        <v/>
      </c>
      <c r="AO46" s="4">
        <f>'04_Доходы'!AO13*ДоляФКПаушальные</f>
        <v/>
      </c>
      <c r="AP46" s="4">
        <f>'04_Доходы'!AP13*ДоляФКПаушальные</f>
        <v/>
      </c>
      <c r="AQ46" s="4">
        <f>'04_Доходы'!AQ13*ДоляФКПаушальные</f>
        <v/>
      </c>
      <c r="AR46" s="4">
        <f>'04_Доходы'!AR13*ДоляФКПаушальные</f>
        <v/>
      </c>
      <c r="AS46" s="4">
        <f>'04_Доходы'!AS13*ДоляФКПаушальные</f>
        <v/>
      </c>
      <c r="AT46" s="4">
        <f>'04_Доходы'!AT13*ДоляФКПаушальные</f>
        <v/>
      </c>
      <c r="AU46" s="4">
        <f>'04_Доходы'!AU13*ДоляФКПаушальные</f>
        <v/>
      </c>
      <c r="AV46" s="4">
        <f>'04_Доходы'!AV13*ДоляФКПаушальные</f>
        <v/>
      </c>
      <c r="AW46" s="4">
        <f>'04_Доходы'!AW13*ДоляФКПаушальные</f>
        <v/>
      </c>
      <c r="AX46" s="4">
        <f>'04_Доходы'!AX13*ДоляФКПаушальные</f>
        <v/>
      </c>
      <c r="AY46" s="4">
        <f>'04_Доходы'!AY13*ДоляФКПаушальные</f>
        <v/>
      </c>
      <c r="AZ46" s="4">
        <f>'04_Доходы'!AZ13*ДоляФКПаушальные</f>
        <v/>
      </c>
      <c r="BA46" s="4">
        <f>'04_Доходы'!BA13*ДоляФКПаушальные</f>
        <v/>
      </c>
      <c r="BB46" s="4">
        <f>'04_Доходы'!BB13*ДоляФКПаушальные</f>
        <v/>
      </c>
      <c r="BC46" s="4">
        <f>'04_Доходы'!BC13*ДоляФКПаушальные</f>
        <v/>
      </c>
      <c r="BD46" s="4">
        <f>'04_Доходы'!BD13*ДоляФКПаушальные</f>
        <v/>
      </c>
      <c r="BE46" s="4">
        <f>'04_Доходы'!BE13*ДоляФКПаушальные</f>
        <v/>
      </c>
      <c r="BF46" s="4">
        <f>'04_Доходы'!BF13*ДоляФКПаушальные</f>
        <v/>
      </c>
      <c r="BG46" s="4">
        <f>'04_Доходы'!BG13*ДоляФКПаушальные</f>
        <v/>
      </c>
      <c r="BH46" s="4">
        <f>'04_Доходы'!BH13*ДоляФКПаушальные</f>
        <v/>
      </c>
      <c r="BI46" s="4">
        <f>'04_Доходы'!BI13*ДоляФКПаушальные</f>
        <v/>
      </c>
      <c r="BJ46" s="4">
        <f>'04_Доходы'!BJ13*ДоляФКПаушальные</f>
        <v/>
      </c>
      <c r="BK46" s="4">
        <f>'04_Доходы'!BK13*ДоляФКПаушальные</f>
        <v/>
      </c>
      <c r="BL46" s="4">
        <f>'04_Доходы'!BL13*ДоляФКПаушальные</f>
        <v/>
      </c>
      <c r="BM46" s="4">
        <f>'04_Доходы'!BM13*ДоляФКПаушальные</f>
        <v/>
      </c>
      <c r="BN46" s="4">
        <f>'04_Доходы'!BN13*ДоляФКПаушальные</f>
        <v/>
      </c>
      <c r="BO46" s="4">
        <f>'04_Доходы'!BO13*ДоляФКПаушальные</f>
        <v/>
      </c>
      <c r="BP46" s="4">
        <f>'04_Доходы'!BP13*ДоляФКПаушальные</f>
        <v/>
      </c>
      <c r="BQ46" s="4">
        <f>'04_Доходы'!BQ13*ДоляФКПаушальные</f>
        <v/>
      </c>
      <c r="BR46" s="4">
        <f>'04_Доходы'!BR13*ДоляФКПаушальные</f>
        <v/>
      </c>
      <c r="BS46" s="4">
        <f>'04_Доходы'!BS13*ДоляФКПаушальные</f>
        <v/>
      </c>
      <c r="BT46" s="4">
        <f>'04_Доходы'!BT13*ДоляФКПаушальные</f>
        <v/>
      </c>
      <c r="BU46" s="4">
        <f>'04_Доходы'!BU13*ДоляФКПаушальные</f>
        <v/>
      </c>
      <c r="BV46" s="4">
        <f>'04_Доходы'!BV13*ДоляФКПаушальные</f>
        <v/>
      </c>
      <c r="BW46" s="4">
        <f>'04_Доходы'!BW13*ДоляФКПаушальные</f>
        <v/>
      </c>
      <c r="BX46" s="4">
        <f>'04_Доходы'!BX13*ДоляФКПаушальные</f>
        <v/>
      </c>
      <c r="BY46" s="4">
        <f>'04_Доходы'!BY13*ДоляФКПаушальные</f>
        <v/>
      </c>
    </row>
    <row r="47">
      <c r="B47" t="inlineStr">
        <is>
          <t>Начислено ФК: роялти</t>
        </is>
      </c>
      <c r="C47" t="inlineStr">
        <is>
          <t>₽</t>
        </is>
      </c>
      <c r="D47" s="117" t="inlineStr"/>
      <c r="E47" s="119">
        <f>SUM(L47:W47)</f>
        <v/>
      </c>
      <c r="F47" s="119">
        <f>SUM(X47:AI47)</f>
        <v/>
      </c>
      <c r="G47" s="119">
        <f>SUM(AJ47:AU47)</f>
        <v/>
      </c>
      <c r="H47" s="119">
        <f>SUM(AV47:BG47)</f>
        <v/>
      </c>
      <c r="I47" s="119">
        <f>SUM(BH47:BS47)</f>
        <v/>
      </c>
      <c r="J47" s="5">
        <f>SUM(L47:BS47)</f>
        <v/>
      </c>
      <c r="L47" s="4">
        <f>'04_Доходы'!L102/(1+НДС)*ДоляФКРоялти</f>
        <v/>
      </c>
      <c r="M47" s="4">
        <f>'04_Доходы'!M102/(1+НДС)*ДоляФКРоялти</f>
        <v/>
      </c>
      <c r="N47" s="4">
        <f>'04_Доходы'!N102/(1+НДС)*ДоляФКРоялти</f>
        <v/>
      </c>
      <c r="O47" s="4">
        <f>'04_Доходы'!O102/(1+НДС)*ДоляФКРоялти</f>
        <v/>
      </c>
      <c r="P47" s="4">
        <f>'04_Доходы'!P102/(1+НДС)*ДоляФКРоялти</f>
        <v/>
      </c>
      <c r="Q47" s="4">
        <f>'04_Доходы'!Q102/(1+НДС)*ДоляФКРоялти</f>
        <v/>
      </c>
      <c r="R47" s="4">
        <f>'04_Доходы'!R102/(1+НДС)*ДоляФКРоялти</f>
        <v/>
      </c>
      <c r="S47" s="4">
        <f>'04_Доходы'!S102/(1+НДС)*ДоляФКРоялти</f>
        <v/>
      </c>
      <c r="T47" s="4">
        <f>'04_Доходы'!T102/(1+НДС)*ДоляФКРоялти</f>
        <v/>
      </c>
      <c r="U47" s="4">
        <f>'04_Доходы'!U102/(1+НДС)*ДоляФКРоялти</f>
        <v/>
      </c>
      <c r="V47" s="4">
        <f>'04_Доходы'!V102/(1+НДС)*ДоляФКРоялти</f>
        <v/>
      </c>
      <c r="W47" s="4">
        <f>'04_Доходы'!W102/(1+НДС)*ДоляФКРоялти</f>
        <v/>
      </c>
      <c r="X47" s="4">
        <f>'04_Доходы'!X102/(1+НДС)*ДоляФКРоялти</f>
        <v/>
      </c>
      <c r="Y47" s="4">
        <f>'04_Доходы'!Y102/(1+НДС)*ДоляФКРоялти</f>
        <v/>
      </c>
      <c r="Z47" s="4">
        <f>'04_Доходы'!Z102/(1+НДС)*ДоляФКРоялти</f>
        <v/>
      </c>
      <c r="AA47" s="4">
        <f>'04_Доходы'!AA102/(1+НДС)*ДоляФКРоялти</f>
        <v/>
      </c>
      <c r="AB47" s="4">
        <f>'04_Доходы'!AB102/(1+НДС)*ДоляФКРоялти</f>
        <v/>
      </c>
      <c r="AC47" s="4">
        <f>'04_Доходы'!AC102/(1+НДС)*ДоляФКРоялти</f>
        <v/>
      </c>
      <c r="AD47" s="4">
        <f>'04_Доходы'!AD102/(1+НДС)*ДоляФКРоялти</f>
        <v/>
      </c>
      <c r="AE47" s="4">
        <f>'04_Доходы'!AE102/(1+НДС)*ДоляФКРоялти</f>
        <v/>
      </c>
      <c r="AF47" s="4">
        <f>'04_Доходы'!AF102/(1+НДС)*ДоляФКРоялти</f>
        <v/>
      </c>
      <c r="AG47" s="4">
        <f>'04_Доходы'!AG102/(1+НДС)*ДоляФКРоялти</f>
        <v/>
      </c>
      <c r="AH47" s="4">
        <f>'04_Доходы'!AH102/(1+НДС)*ДоляФКРоялти</f>
        <v/>
      </c>
      <c r="AI47" s="4">
        <f>'04_Доходы'!AI102/(1+НДС)*ДоляФКРоялти</f>
        <v/>
      </c>
      <c r="AJ47" s="4">
        <f>'04_Доходы'!AJ102/(1+НДС)*ДоляФКРоялти</f>
        <v/>
      </c>
      <c r="AK47" s="4">
        <f>'04_Доходы'!AK102/(1+НДС)*ДоляФКРоялти</f>
        <v/>
      </c>
      <c r="AL47" s="4">
        <f>'04_Доходы'!AL102/(1+НДС)*ДоляФКРоялти</f>
        <v/>
      </c>
      <c r="AM47" s="4">
        <f>'04_Доходы'!AM102/(1+НДС)*ДоляФКРоялти</f>
        <v/>
      </c>
      <c r="AN47" s="4">
        <f>'04_Доходы'!AN102/(1+НДС)*ДоляФКРоялти</f>
        <v/>
      </c>
      <c r="AO47" s="4">
        <f>'04_Доходы'!AO102/(1+НДС)*ДоляФКРоялти</f>
        <v/>
      </c>
      <c r="AP47" s="4">
        <f>'04_Доходы'!AP102/(1+НДС)*ДоляФКРоялти</f>
        <v/>
      </c>
      <c r="AQ47" s="4">
        <f>'04_Доходы'!AQ102/(1+НДС)*ДоляФКРоялти</f>
        <v/>
      </c>
      <c r="AR47" s="4">
        <f>'04_Доходы'!AR102/(1+НДС)*ДоляФКРоялти</f>
        <v/>
      </c>
      <c r="AS47" s="4">
        <f>'04_Доходы'!AS102/(1+НДС)*ДоляФКРоялти</f>
        <v/>
      </c>
      <c r="AT47" s="4">
        <f>'04_Доходы'!AT102/(1+НДС)*ДоляФКРоялти</f>
        <v/>
      </c>
      <c r="AU47" s="4">
        <f>'04_Доходы'!AU102/(1+НДС)*ДоляФКРоялти</f>
        <v/>
      </c>
      <c r="AV47" s="4">
        <f>'04_Доходы'!AV102/(1+НДС)*ДоляФКРоялти</f>
        <v/>
      </c>
      <c r="AW47" s="4">
        <f>'04_Доходы'!AW102/(1+НДС)*ДоляФКРоялти</f>
        <v/>
      </c>
      <c r="AX47" s="4">
        <f>'04_Доходы'!AX102/(1+НДС)*ДоляФКРоялти</f>
        <v/>
      </c>
      <c r="AY47" s="4">
        <f>'04_Доходы'!AY102/(1+НДС)*ДоляФКРоялти</f>
        <v/>
      </c>
      <c r="AZ47" s="4">
        <f>'04_Доходы'!AZ102/(1+НДС)*ДоляФКРоялти</f>
        <v/>
      </c>
      <c r="BA47" s="4">
        <f>'04_Доходы'!BA102/(1+НДС)*ДоляФКРоялти</f>
        <v/>
      </c>
      <c r="BB47" s="4">
        <f>'04_Доходы'!BB102/(1+НДС)*ДоляФКРоялти</f>
        <v/>
      </c>
      <c r="BC47" s="4">
        <f>'04_Доходы'!BC102/(1+НДС)*ДоляФКРоялти</f>
        <v/>
      </c>
      <c r="BD47" s="4">
        <f>'04_Доходы'!BD102/(1+НДС)*ДоляФКРоялти</f>
        <v/>
      </c>
      <c r="BE47" s="4">
        <f>'04_Доходы'!BE102/(1+НДС)*ДоляФКРоялти</f>
        <v/>
      </c>
      <c r="BF47" s="4">
        <f>'04_Доходы'!BF102/(1+НДС)*ДоляФКРоялти</f>
        <v/>
      </c>
      <c r="BG47" s="4">
        <f>'04_Доходы'!BG102/(1+НДС)*ДоляФКРоялти</f>
        <v/>
      </c>
      <c r="BH47" s="4">
        <f>'04_Доходы'!BH102/(1+НДС)*ДоляФКРоялти</f>
        <v/>
      </c>
      <c r="BI47" s="4">
        <f>'04_Доходы'!BI102/(1+НДС)*ДоляФКРоялти</f>
        <v/>
      </c>
      <c r="BJ47" s="4">
        <f>'04_Доходы'!BJ102/(1+НДС)*ДоляФКРоялти</f>
        <v/>
      </c>
      <c r="BK47" s="4">
        <f>'04_Доходы'!BK102/(1+НДС)*ДоляФКРоялти</f>
        <v/>
      </c>
      <c r="BL47" s="4">
        <f>'04_Доходы'!BL102/(1+НДС)*ДоляФКРоялти</f>
        <v/>
      </c>
      <c r="BM47" s="4">
        <f>'04_Доходы'!BM102/(1+НДС)*ДоляФКРоялти</f>
        <v/>
      </c>
      <c r="BN47" s="4">
        <f>'04_Доходы'!BN102/(1+НДС)*ДоляФКРоялти</f>
        <v/>
      </c>
      <c r="BO47" s="4">
        <f>'04_Доходы'!BO102/(1+НДС)*ДоляФКРоялти</f>
        <v/>
      </c>
      <c r="BP47" s="4">
        <f>'04_Доходы'!BP102/(1+НДС)*ДоляФКРоялти</f>
        <v/>
      </c>
      <c r="BQ47" s="4">
        <f>'04_Доходы'!BQ102/(1+НДС)*ДоляФКРоялти</f>
        <v/>
      </c>
      <c r="BR47" s="4">
        <f>'04_Доходы'!BR102/(1+НДС)*ДоляФКРоялти</f>
        <v/>
      </c>
      <c r="BS47" s="4">
        <f>'04_Доходы'!BS102/(1+НДС)*ДоляФКРоялти</f>
        <v/>
      </c>
      <c r="BT47" s="4">
        <f>'04_Доходы'!BT102/(1+НДС)*ДоляФКРоялти</f>
        <v/>
      </c>
      <c r="BU47" s="4">
        <f>'04_Доходы'!BU102/(1+НДС)*ДоляФКРоялти</f>
        <v/>
      </c>
      <c r="BV47" s="4">
        <f>'04_Доходы'!BV102/(1+НДС)*ДоляФКРоялти</f>
        <v/>
      </c>
      <c r="BW47" s="4">
        <f>'04_Доходы'!BW102/(1+НДС)*ДоляФКРоялти</f>
        <v/>
      </c>
      <c r="BX47" s="4">
        <f>'04_Доходы'!BX102/(1+НДС)*ДоляФКРоялти</f>
        <v/>
      </c>
      <c r="BY47" s="4">
        <f>'04_Доходы'!BY102/(1+НДС)*ДоляФКРоялти</f>
        <v/>
      </c>
    </row>
    <row r="48">
      <c r="B48" t="inlineStr">
        <is>
          <t>Начислено ФК: прибыль мерча</t>
        </is>
      </c>
      <c r="C48" t="inlineStr">
        <is>
          <t>₽</t>
        </is>
      </c>
      <c r="D48" s="117" t="inlineStr"/>
      <c r="E48" s="119">
        <f>SUM(L48:W48)</f>
        <v/>
      </c>
      <c r="F48" s="119">
        <f>SUM(X48:AI48)</f>
        <v/>
      </c>
      <c r="G48" s="119">
        <f>SUM(AJ48:AU48)</f>
        <v/>
      </c>
      <c r="H48" s="119">
        <f>SUM(AV48:BG48)</f>
        <v/>
      </c>
      <c r="I48" s="119">
        <f>SUM(BH48:BS48)</f>
        <v/>
      </c>
      <c r="J48" s="5">
        <f>SUM(L48:BS48)</f>
        <v/>
      </c>
      <c r="L48" s="4">
        <f>'04_Доходы'!L134*ДоляФКМерч</f>
        <v/>
      </c>
      <c r="M48" s="4">
        <f>'04_Доходы'!M134*ДоляФКМерч</f>
        <v/>
      </c>
      <c r="N48" s="4">
        <f>'04_Доходы'!N134*ДоляФКМерч</f>
        <v/>
      </c>
      <c r="O48" s="4">
        <f>'04_Доходы'!O134*ДоляФКМерч</f>
        <v/>
      </c>
      <c r="P48" s="4">
        <f>'04_Доходы'!P134*ДоляФКМерч</f>
        <v/>
      </c>
      <c r="Q48" s="4">
        <f>'04_Доходы'!Q134*ДоляФКМерч</f>
        <v/>
      </c>
      <c r="R48" s="4">
        <f>'04_Доходы'!R134*ДоляФКМерч</f>
        <v/>
      </c>
      <c r="S48" s="4">
        <f>'04_Доходы'!S134*ДоляФКМерч</f>
        <v/>
      </c>
      <c r="T48" s="4">
        <f>'04_Доходы'!T134*ДоляФКМерч</f>
        <v/>
      </c>
      <c r="U48" s="4">
        <f>'04_Доходы'!U134*ДоляФКМерч</f>
        <v/>
      </c>
      <c r="V48" s="4">
        <f>'04_Доходы'!V134*ДоляФКМерч</f>
        <v/>
      </c>
      <c r="W48" s="4">
        <f>'04_Доходы'!W134*ДоляФКМерч</f>
        <v/>
      </c>
      <c r="X48" s="4">
        <f>'04_Доходы'!X134*ДоляФКМерч</f>
        <v/>
      </c>
      <c r="Y48" s="4">
        <f>'04_Доходы'!Y134*ДоляФКМерч</f>
        <v/>
      </c>
      <c r="Z48" s="4">
        <f>'04_Доходы'!Z134*ДоляФКМерч</f>
        <v/>
      </c>
      <c r="AA48" s="4">
        <f>'04_Доходы'!AA134*ДоляФКМерч</f>
        <v/>
      </c>
      <c r="AB48" s="4">
        <f>'04_Доходы'!AB134*ДоляФКМерч</f>
        <v/>
      </c>
      <c r="AC48" s="4">
        <f>'04_Доходы'!AC134*ДоляФКМерч</f>
        <v/>
      </c>
      <c r="AD48" s="4">
        <f>'04_Доходы'!AD134*ДоляФКМерч</f>
        <v/>
      </c>
      <c r="AE48" s="4">
        <f>'04_Доходы'!AE134*ДоляФКМерч</f>
        <v/>
      </c>
      <c r="AF48" s="4">
        <f>'04_Доходы'!AF134*ДоляФКМерч</f>
        <v/>
      </c>
      <c r="AG48" s="4">
        <f>'04_Доходы'!AG134*ДоляФКМерч</f>
        <v/>
      </c>
      <c r="AH48" s="4">
        <f>'04_Доходы'!AH134*ДоляФКМерч</f>
        <v/>
      </c>
      <c r="AI48" s="4">
        <f>'04_Доходы'!AI134*ДоляФКМерч</f>
        <v/>
      </c>
      <c r="AJ48" s="4">
        <f>'04_Доходы'!AJ134*ДоляФКМерч</f>
        <v/>
      </c>
      <c r="AK48" s="4">
        <f>'04_Доходы'!AK134*ДоляФКМерч</f>
        <v/>
      </c>
      <c r="AL48" s="4">
        <f>'04_Доходы'!AL134*ДоляФКМерч</f>
        <v/>
      </c>
      <c r="AM48" s="4">
        <f>'04_Доходы'!AM134*ДоляФКМерч</f>
        <v/>
      </c>
      <c r="AN48" s="4">
        <f>'04_Доходы'!AN134*ДоляФКМерч</f>
        <v/>
      </c>
      <c r="AO48" s="4">
        <f>'04_Доходы'!AO134*ДоляФКМерч</f>
        <v/>
      </c>
      <c r="AP48" s="4">
        <f>'04_Доходы'!AP134*ДоляФКМерч</f>
        <v/>
      </c>
      <c r="AQ48" s="4">
        <f>'04_Доходы'!AQ134*ДоляФКМерч</f>
        <v/>
      </c>
      <c r="AR48" s="4">
        <f>'04_Доходы'!AR134*ДоляФКМерч</f>
        <v/>
      </c>
      <c r="AS48" s="4">
        <f>'04_Доходы'!AS134*ДоляФКМерч</f>
        <v/>
      </c>
      <c r="AT48" s="4">
        <f>'04_Доходы'!AT134*ДоляФКМерч</f>
        <v/>
      </c>
      <c r="AU48" s="4">
        <f>'04_Доходы'!AU134*ДоляФКМерч</f>
        <v/>
      </c>
      <c r="AV48" s="4">
        <f>'04_Доходы'!AV134*ДоляФКМерч</f>
        <v/>
      </c>
      <c r="AW48" s="4">
        <f>'04_Доходы'!AW134*ДоляФКМерч</f>
        <v/>
      </c>
      <c r="AX48" s="4">
        <f>'04_Доходы'!AX134*ДоляФКМерч</f>
        <v/>
      </c>
      <c r="AY48" s="4">
        <f>'04_Доходы'!AY134*ДоляФКМерч</f>
        <v/>
      </c>
      <c r="AZ48" s="4">
        <f>'04_Доходы'!AZ134*ДоляФКМерч</f>
        <v/>
      </c>
      <c r="BA48" s="4">
        <f>'04_Доходы'!BA134*ДоляФКМерч</f>
        <v/>
      </c>
      <c r="BB48" s="4">
        <f>'04_Доходы'!BB134*ДоляФКМерч</f>
        <v/>
      </c>
      <c r="BC48" s="4">
        <f>'04_Доходы'!BC134*ДоляФКМерч</f>
        <v/>
      </c>
      <c r="BD48" s="4">
        <f>'04_Доходы'!BD134*ДоляФКМерч</f>
        <v/>
      </c>
      <c r="BE48" s="4">
        <f>'04_Доходы'!BE134*ДоляФКМерч</f>
        <v/>
      </c>
      <c r="BF48" s="4">
        <f>'04_Доходы'!BF134*ДоляФКМерч</f>
        <v/>
      </c>
      <c r="BG48" s="4">
        <f>'04_Доходы'!BG134*ДоляФКМерч</f>
        <v/>
      </c>
      <c r="BH48" s="4">
        <f>'04_Доходы'!BH134*ДоляФКМерч</f>
        <v/>
      </c>
      <c r="BI48" s="4">
        <f>'04_Доходы'!BI134*ДоляФКМерч</f>
        <v/>
      </c>
      <c r="BJ48" s="4">
        <f>'04_Доходы'!BJ134*ДоляФКМерч</f>
        <v/>
      </c>
      <c r="BK48" s="4">
        <f>'04_Доходы'!BK134*ДоляФКМерч</f>
        <v/>
      </c>
      <c r="BL48" s="4">
        <f>'04_Доходы'!BL134*ДоляФКМерч</f>
        <v/>
      </c>
      <c r="BM48" s="4">
        <f>'04_Доходы'!BM134*ДоляФКМерч</f>
        <v/>
      </c>
      <c r="BN48" s="4">
        <f>'04_Доходы'!BN134*ДоляФКМерч</f>
        <v/>
      </c>
      <c r="BO48" s="4">
        <f>'04_Доходы'!BO134*ДоляФКМерч</f>
        <v/>
      </c>
      <c r="BP48" s="4">
        <f>'04_Доходы'!BP134*ДоляФКМерч</f>
        <v/>
      </c>
      <c r="BQ48" s="4">
        <f>'04_Доходы'!BQ134*ДоляФКМерч</f>
        <v/>
      </c>
      <c r="BR48" s="4">
        <f>'04_Доходы'!BR134*ДоляФКМерч</f>
        <v/>
      </c>
      <c r="BS48" s="4">
        <f>'04_Доходы'!BS134*ДоляФКМерч</f>
        <v/>
      </c>
      <c r="BT48" s="4">
        <f>'04_Доходы'!BT134*ДоляФКМерч</f>
        <v/>
      </c>
      <c r="BU48" s="4">
        <f>'04_Доходы'!BU134*ДоляФКМерч</f>
        <v/>
      </c>
      <c r="BV48" s="4">
        <f>'04_Доходы'!BV134*ДоляФКМерч</f>
        <v/>
      </c>
      <c r="BW48" s="4">
        <f>'04_Доходы'!BW134*ДоляФКМерч</f>
        <v/>
      </c>
      <c r="BX48" s="4">
        <f>'04_Доходы'!BX134*ДоляФКМерч</f>
        <v/>
      </c>
      <c r="BY48" s="4">
        <f>'04_Доходы'!BY134*ДоляФКМерч</f>
        <v/>
      </c>
    </row>
    <row r="49">
      <c r="B49" s="6" t="inlineStr">
        <is>
          <t>Начислено ФК — всего</t>
        </is>
      </c>
      <c r="C49" s="6" t="inlineStr">
        <is>
          <t>₽</t>
        </is>
      </c>
      <c r="D49" s="120" t="inlineStr"/>
      <c r="E49" s="121">
        <f>SUM(L49:W49)</f>
        <v/>
      </c>
      <c r="F49" s="121">
        <f>SUM(X49:AI49)</f>
        <v/>
      </c>
      <c r="G49" s="121">
        <f>SUM(AJ49:AU49)</f>
        <v/>
      </c>
      <c r="H49" s="121">
        <f>SUM(AV49:BG49)</f>
        <v/>
      </c>
      <c r="I49" s="121">
        <f>SUM(BH49:BS49)</f>
        <v/>
      </c>
      <c r="J49" s="8">
        <f>SUM(L49:BS49)</f>
        <v/>
      </c>
      <c r="L49" s="7">
        <f>L46+L47+L48</f>
        <v/>
      </c>
      <c r="M49" s="7">
        <f>M46+M47+M48</f>
        <v/>
      </c>
      <c r="N49" s="7">
        <f>N46+N47+N48</f>
        <v/>
      </c>
      <c r="O49" s="7">
        <f>O46+O47+O48</f>
        <v/>
      </c>
      <c r="P49" s="7">
        <f>P46+P47+P48</f>
        <v/>
      </c>
      <c r="Q49" s="7">
        <f>Q46+Q47+Q48</f>
        <v/>
      </c>
      <c r="R49" s="7">
        <f>R46+R47+R48</f>
        <v/>
      </c>
      <c r="S49" s="7">
        <f>S46+S47+S48</f>
        <v/>
      </c>
      <c r="T49" s="7">
        <f>T46+T47+T48</f>
        <v/>
      </c>
      <c r="U49" s="7">
        <f>U46+U47+U48</f>
        <v/>
      </c>
      <c r="V49" s="7">
        <f>V46+V47+V48</f>
        <v/>
      </c>
      <c r="W49" s="7">
        <f>W46+W47+W48</f>
        <v/>
      </c>
      <c r="X49" s="7">
        <f>X46+X47+X48</f>
        <v/>
      </c>
      <c r="Y49" s="7">
        <f>Y46+Y47+Y48</f>
        <v/>
      </c>
      <c r="Z49" s="7">
        <f>Z46+Z47+Z48</f>
        <v/>
      </c>
      <c r="AA49" s="7">
        <f>AA46+AA47+AA48</f>
        <v/>
      </c>
      <c r="AB49" s="7">
        <f>AB46+AB47+AB48</f>
        <v/>
      </c>
      <c r="AC49" s="7">
        <f>AC46+AC47+AC48</f>
        <v/>
      </c>
      <c r="AD49" s="7">
        <f>AD46+AD47+AD48</f>
        <v/>
      </c>
      <c r="AE49" s="7">
        <f>AE46+AE47+AE48</f>
        <v/>
      </c>
      <c r="AF49" s="7">
        <f>AF46+AF47+AF48</f>
        <v/>
      </c>
      <c r="AG49" s="7">
        <f>AG46+AG47+AG48</f>
        <v/>
      </c>
      <c r="AH49" s="7">
        <f>AH46+AH47+AH48</f>
        <v/>
      </c>
      <c r="AI49" s="7">
        <f>AI46+AI47+AI48</f>
        <v/>
      </c>
      <c r="AJ49" s="7">
        <f>AJ46+AJ47+AJ48</f>
        <v/>
      </c>
      <c r="AK49" s="7">
        <f>AK46+AK47+AK48</f>
        <v/>
      </c>
      <c r="AL49" s="7">
        <f>AL46+AL47+AL48</f>
        <v/>
      </c>
      <c r="AM49" s="7">
        <f>AM46+AM47+AM48</f>
        <v/>
      </c>
      <c r="AN49" s="7">
        <f>AN46+AN47+AN48</f>
        <v/>
      </c>
      <c r="AO49" s="7">
        <f>AO46+AO47+AO48</f>
        <v/>
      </c>
      <c r="AP49" s="7">
        <f>AP46+AP47+AP48</f>
        <v/>
      </c>
      <c r="AQ49" s="7">
        <f>AQ46+AQ47+AQ48</f>
        <v/>
      </c>
      <c r="AR49" s="7">
        <f>AR46+AR47+AR48</f>
        <v/>
      </c>
      <c r="AS49" s="7">
        <f>AS46+AS47+AS48</f>
        <v/>
      </c>
      <c r="AT49" s="7">
        <f>AT46+AT47+AT48</f>
        <v/>
      </c>
      <c r="AU49" s="7">
        <f>AU46+AU47+AU48</f>
        <v/>
      </c>
      <c r="AV49" s="7">
        <f>AV46+AV47+AV48</f>
        <v/>
      </c>
      <c r="AW49" s="7">
        <f>AW46+AW47+AW48</f>
        <v/>
      </c>
      <c r="AX49" s="7">
        <f>AX46+AX47+AX48</f>
        <v/>
      </c>
      <c r="AY49" s="7">
        <f>AY46+AY47+AY48</f>
        <v/>
      </c>
      <c r="AZ49" s="7">
        <f>AZ46+AZ47+AZ48</f>
        <v/>
      </c>
      <c r="BA49" s="7">
        <f>BA46+BA47+BA48</f>
        <v/>
      </c>
      <c r="BB49" s="7">
        <f>BB46+BB47+BB48</f>
        <v/>
      </c>
      <c r="BC49" s="7">
        <f>BC46+BC47+BC48</f>
        <v/>
      </c>
      <c r="BD49" s="7">
        <f>BD46+BD47+BD48</f>
        <v/>
      </c>
      <c r="BE49" s="7">
        <f>BE46+BE47+BE48</f>
        <v/>
      </c>
      <c r="BF49" s="7">
        <f>BF46+BF47+BF48</f>
        <v/>
      </c>
      <c r="BG49" s="7">
        <f>BG46+BG47+BG48</f>
        <v/>
      </c>
      <c r="BH49" s="7">
        <f>BH46+BH47+BH48</f>
        <v/>
      </c>
      <c r="BI49" s="7">
        <f>BI46+BI47+BI48</f>
        <v/>
      </c>
      <c r="BJ49" s="7">
        <f>BJ46+BJ47+BJ48</f>
        <v/>
      </c>
      <c r="BK49" s="7">
        <f>BK46+BK47+BK48</f>
        <v/>
      </c>
      <c r="BL49" s="7">
        <f>BL46+BL47+BL48</f>
        <v/>
      </c>
      <c r="BM49" s="7">
        <f>BM46+BM47+BM48</f>
        <v/>
      </c>
      <c r="BN49" s="7">
        <f>BN46+BN47+BN48</f>
        <v/>
      </c>
      <c r="BO49" s="7">
        <f>BO46+BO47+BO48</f>
        <v/>
      </c>
      <c r="BP49" s="7">
        <f>BP46+BP47+BP48</f>
        <v/>
      </c>
      <c r="BQ49" s="7">
        <f>BQ46+BQ47+BQ48</f>
        <v/>
      </c>
      <c r="BR49" s="7">
        <f>BR46+BR47+BR48</f>
        <v/>
      </c>
      <c r="BS49" s="7">
        <f>BS46+BS47+BS48</f>
        <v/>
      </c>
      <c r="BT49" s="7">
        <f>BT46+BT47+BT48</f>
        <v/>
      </c>
      <c r="BU49" s="7">
        <f>BU46+BU47+BU48</f>
        <v/>
      </c>
      <c r="BV49" s="7">
        <f>BV46+BV47+BV48</f>
        <v/>
      </c>
      <c r="BW49" s="7">
        <f>BW46+BW47+BW48</f>
        <v/>
      </c>
      <c r="BX49" s="7">
        <f>BX46+BX47+BX48</f>
        <v/>
      </c>
      <c r="BY49" s="7">
        <f>BY46+BY47+BY48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Y27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3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3"/>
    <row r="4" ht="30" customHeight="1">
      <c r="B4" s="114" t="inlineStr">
        <is>
          <t>Показатель</t>
        </is>
      </c>
      <c r="C4" s="114" t="inlineStr">
        <is>
          <t>Ед.</t>
        </is>
      </c>
      <c r="D4" s="114" t="inlineStr">
        <is>
          <t>Как считается</t>
        </is>
      </c>
      <c r="E4" s="114" t="inlineStr">
        <is>
          <t>Год 1</t>
        </is>
      </c>
      <c r="F4" s="114" t="inlineStr">
        <is>
          <t>Год 2</t>
        </is>
      </c>
      <c r="G4" s="114" t="inlineStr">
        <is>
          <t>Год 3</t>
        </is>
      </c>
      <c r="H4" s="114" t="inlineStr">
        <is>
          <t>Год 4</t>
        </is>
      </c>
      <c r="I4" s="114" t="inlineStr">
        <is>
          <t>Год 5</t>
        </is>
      </c>
      <c r="J4" s="114" t="inlineStr">
        <is>
          <t>Итого 5 лет</t>
        </is>
      </c>
      <c r="K4" s="114" t="n"/>
      <c r="L4" s="114" t="inlineStr">
        <is>
          <t>М1</t>
        </is>
      </c>
      <c r="M4" s="114" t="inlineStr">
        <is>
          <t>М2</t>
        </is>
      </c>
      <c r="N4" s="114" t="inlineStr">
        <is>
          <t>М3</t>
        </is>
      </c>
      <c r="O4" s="114" t="inlineStr">
        <is>
          <t>М4</t>
        </is>
      </c>
      <c r="P4" s="114" t="inlineStr">
        <is>
          <t>М5</t>
        </is>
      </c>
      <c r="Q4" s="114" t="inlineStr">
        <is>
          <t>М6</t>
        </is>
      </c>
      <c r="R4" s="114" t="inlineStr">
        <is>
          <t>М7</t>
        </is>
      </c>
      <c r="S4" s="114" t="inlineStr">
        <is>
          <t>М8</t>
        </is>
      </c>
      <c r="T4" s="114" t="inlineStr">
        <is>
          <t>М9</t>
        </is>
      </c>
      <c r="U4" s="114" t="inlineStr">
        <is>
          <t>М10</t>
        </is>
      </c>
      <c r="V4" s="114" t="inlineStr">
        <is>
          <t>М11</t>
        </is>
      </c>
      <c r="W4" s="114" t="inlineStr">
        <is>
          <t>М12</t>
        </is>
      </c>
      <c r="X4" s="114" t="inlineStr">
        <is>
          <t>М13</t>
        </is>
      </c>
      <c r="Y4" s="114" t="inlineStr">
        <is>
          <t>М14</t>
        </is>
      </c>
      <c r="Z4" s="114" t="inlineStr">
        <is>
          <t>М15</t>
        </is>
      </c>
      <c r="AA4" s="114" t="inlineStr">
        <is>
          <t>М16</t>
        </is>
      </c>
      <c r="AB4" s="114" t="inlineStr">
        <is>
          <t>М17</t>
        </is>
      </c>
      <c r="AC4" s="114" t="inlineStr">
        <is>
          <t>М18</t>
        </is>
      </c>
      <c r="AD4" s="114" t="inlineStr">
        <is>
          <t>М19</t>
        </is>
      </c>
      <c r="AE4" s="114" t="inlineStr">
        <is>
          <t>М20</t>
        </is>
      </c>
      <c r="AF4" s="114" t="inlineStr">
        <is>
          <t>М21</t>
        </is>
      </c>
      <c r="AG4" s="114" t="inlineStr">
        <is>
          <t>М22</t>
        </is>
      </c>
      <c r="AH4" s="114" t="inlineStr">
        <is>
          <t>М23</t>
        </is>
      </c>
      <c r="AI4" s="114" t="inlineStr">
        <is>
          <t>М24</t>
        </is>
      </c>
      <c r="AJ4" s="114" t="inlineStr">
        <is>
          <t>М25</t>
        </is>
      </c>
      <c r="AK4" s="114" t="inlineStr">
        <is>
          <t>М26</t>
        </is>
      </c>
      <c r="AL4" s="114" t="inlineStr">
        <is>
          <t>М27</t>
        </is>
      </c>
      <c r="AM4" s="114" t="inlineStr">
        <is>
          <t>М28</t>
        </is>
      </c>
      <c r="AN4" s="114" t="inlineStr">
        <is>
          <t>М29</t>
        </is>
      </c>
      <c r="AO4" s="114" t="inlineStr">
        <is>
          <t>М30</t>
        </is>
      </c>
      <c r="AP4" s="114" t="inlineStr">
        <is>
          <t>М31</t>
        </is>
      </c>
      <c r="AQ4" s="114" t="inlineStr">
        <is>
          <t>М32</t>
        </is>
      </c>
      <c r="AR4" s="114" t="inlineStr">
        <is>
          <t>М33</t>
        </is>
      </c>
      <c r="AS4" s="114" t="inlineStr">
        <is>
          <t>М34</t>
        </is>
      </c>
      <c r="AT4" s="114" t="inlineStr">
        <is>
          <t>М35</t>
        </is>
      </c>
      <c r="AU4" s="114" t="inlineStr">
        <is>
          <t>М36</t>
        </is>
      </c>
      <c r="AV4" s="114" t="inlineStr">
        <is>
          <t>М37</t>
        </is>
      </c>
      <c r="AW4" s="114" t="inlineStr">
        <is>
          <t>М38</t>
        </is>
      </c>
      <c r="AX4" s="114" t="inlineStr">
        <is>
          <t>М39</t>
        </is>
      </c>
      <c r="AY4" s="114" t="inlineStr">
        <is>
          <t>М40</t>
        </is>
      </c>
      <c r="AZ4" s="114" t="inlineStr">
        <is>
          <t>М41</t>
        </is>
      </c>
      <c r="BA4" s="114" t="inlineStr">
        <is>
          <t>М42</t>
        </is>
      </c>
      <c r="BB4" s="114" t="inlineStr">
        <is>
          <t>М43</t>
        </is>
      </c>
      <c r="BC4" s="114" t="inlineStr">
        <is>
          <t>М44</t>
        </is>
      </c>
      <c r="BD4" s="114" t="inlineStr">
        <is>
          <t>М45</t>
        </is>
      </c>
      <c r="BE4" s="114" t="inlineStr">
        <is>
          <t>М46</t>
        </is>
      </c>
      <c r="BF4" s="114" t="inlineStr">
        <is>
          <t>М47</t>
        </is>
      </c>
      <c r="BG4" s="114" t="inlineStr">
        <is>
          <t>М48</t>
        </is>
      </c>
      <c r="BH4" s="114" t="inlineStr">
        <is>
          <t>М49</t>
        </is>
      </c>
      <c r="BI4" s="114" t="inlineStr">
        <is>
          <t>М50</t>
        </is>
      </c>
      <c r="BJ4" s="114" t="inlineStr">
        <is>
          <t>М51</t>
        </is>
      </c>
      <c r="BK4" s="114" t="inlineStr">
        <is>
          <t>М52</t>
        </is>
      </c>
      <c r="BL4" s="114" t="inlineStr">
        <is>
          <t>М53</t>
        </is>
      </c>
      <c r="BM4" s="114" t="inlineStr">
        <is>
          <t>М54</t>
        </is>
      </c>
      <c r="BN4" s="114" t="inlineStr">
        <is>
          <t>М55</t>
        </is>
      </c>
      <c r="BO4" s="114" t="inlineStr">
        <is>
          <t>М56</t>
        </is>
      </c>
      <c r="BP4" s="114" t="inlineStr">
        <is>
          <t>М57</t>
        </is>
      </c>
      <c r="BQ4" s="114" t="inlineStr">
        <is>
          <t>М58</t>
        </is>
      </c>
      <c r="BR4" s="114" t="inlineStr">
        <is>
          <t>М59</t>
        </is>
      </c>
      <c r="BS4" s="114" t="inlineStr">
        <is>
          <t>М60</t>
        </is>
      </c>
      <c r="BT4" s="114" t="inlineStr">
        <is>
          <t>тех. 1</t>
        </is>
      </c>
      <c r="BU4" s="114" t="inlineStr">
        <is>
          <t>тех. 2</t>
        </is>
      </c>
      <c r="BV4" s="114" t="inlineStr">
        <is>
          <t>тех. 3</t>
        </is>
      </c>
      <c r="BW4" s="114" t="inlineStr">
        <is>
          <t>тех. 4</t>
        </is>
      </c>
      <c r="BX4" s="114" t="inlineStr">
        <is>
          <t>тех. 5</t>
        </is>
      </c>
      <c r="BY4" s="114" t="inlineStr">
        <is>
          <t>тех. 6</t>
        </is>
      </c>
    </row>
    <row r="5">
      <c r="B5" s="115" t="inlineStr">
        <is>
          <t>Товарный запас</t>
        </is>
      </c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  <c r="P5" s="116" t="n"/>
      <c r="Q5" s="116" t="n"/>
      <c r="R5" s="116" t="n"/>
      <c r="S5" s="116" t="n"/>
      <c r="T5" s="116" t="n"/>
      <c r="U5" s="116" t="n"/>
      <c r="V5" s="116" t="n"/>
      <c r="W5" s="116" t="n"/>
      <c r="X5" s="116" t="n"/>
      <c r="Y5" s="116" t="n"/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116" t="n"/>
      <c r="AT5" s="116" t="n"/>
      <c r="AU5" s="116" t="n"/>
      <c r="AV5" s="116" t="n"/>
      <c r="AW5" s="116" t="n"/>
      <c r="AX5" s="116" t="n"/>
      <c r="AY5" s="116" t="n"/>
      <c r="AZ5" s="116" t="n"/>
      <c r="BA5" s="116" t="n"/>
      <c r="BB5" s="116" t="n"/>
      <c r="BC5" s="116" t="n"/>
      <c r="BD5" s="116" t="n"/>
      <c r="BE5" s="116" t="n"/>
      <c r="BF5" s="116" t="n"/>
      <c r="BG5" s="116" t="n"/>
      <c r="BH5" s="116" t="n"/>
      <c r="BI5" s="116" t="n"/>
      <c r="BJ5" s="116" t="n"/>
      <c r="BK5" s="116" t="n"/>
      <c r="BL5" s="116" t="n"/>
      <c r="BM5" s="116" t="n"/>
      <c r="BN5" s="116" t="n"/>
      <c r="BO5" s="116" t="n"/>
      <c r="BP5" s="116" t="n"/>
      <c r="BQ5" s="116" t="n"/>
      <c r="BR5" s="116" t="n"/>
      <c r="BS5" s="116" t="n"/>
      <c r="BT5" s="116" t="n"/>
      <c r="BU5" s="116" t="n"/>
      <c r="BV5" s="116" t="n"/>
      <c r="BW5" s="116" t="n"/>
      <c r="BX5" s="116" t="n"/>
      <c r="BY5" s="116" t="n"/>
    </row>
    <row r="6">
      <c r="B6" t="inlineStr">
        <is>
          <t>Склад на начало</t>
        </is>
      </c>
      <c r="C6" t="inlineStr">
        <is>
          <t>₽</t>
        </is>
      </c>
      <c r="D6" s="117" t="inlineStr">
        <is>
          <t>Остаток предыдущего месяца</t>
        </is>
      </c>
      <c r="E6" s="119">
        <f>W6</f>
        <v/>
      </c>
      <c r="F6" s="119">
        <f>AI6</f>
        <v/>
      </c>
      <c r="G6" s="119">
        <f>AU6</f>
        <v/>
      </c>
      <c r="H6" s="119">
        <f>BG6</f>
        <v/>
      </c>
      <c r="I6" s="119">
        <f>BS6</f>
        <v/>
      </c>
      <c r="J6" s="5">
        <f>BS6</f>
        <v/>
      </c>
      <c r="L6" s="4">
        <f>СкладСтарт</f>
        <v/>
      </c>
      <c r="M6" s="4">
        <f>L10</f>
        <v/>
      </c>
      <c r="N6" s="4">
        <f>M10</f>
        <v/>
      </c>
      <c r="O6" s="4">
        <f>N10</f>
        <v/>
      </c>
      <c r="P6" s="4">
        <f>O10</f>
        <v/>
      </c>
      <c r="Q6" s="4">
        <f>P10</f>
        <v/>
      </c>
      <c r="R6" s="4">
        <f>Q10</f>
        <v/>
      </c>
      <c r="S6" s="4">
        <f>R10</f>
        <v/>
      </c>
      <c r="T6" s="4">
        <f>S10</f>
        <v/>
      </c>
      <c r="U6" s="4">
        <f>T10</f>
        <v/>
      </c>
      <c r="V6" s="4">
        <f>U10</f>
        <v/>
      </c>
      <c r="W6" s="4">
        <f>V10</f>
        <v/>
      </c>
      <c r="X6" s="4">
        <f>W10</f>
        <v/>
      </c>
      <c r="Y6" s="4">
        <f>X10</f>
        <v/>
      </c>
      <c r="Z6" s="4">
        <f>Y10</f>
        <v/>
      </c>
      <c r="AA6" s="4">
        <f>Z10</f>
        <v/>
      </c>
      <c r="AB6" s="4">
        <f>AA10</f>
        <v/>
      </c>
      <c r="AC6" s="4">
        <f>AB10</f>
        <v/>
      </c>
      <c r="AD6" s="4">
        <f>AC10</f>
        <v/>
      </c>
      <c r="AE6" s="4">
        <f>AD10</f>
        <v/>
      </c>
      <c r="AF6" s="4">
        <f>AE10</f>
        <v/>
      </c>
      <c r="AG6" s="4">
        <f>AF10</f>
        <v/>
      </c>
      <c r="AH6" s="4">
        <f>AG10</f>
        <v/>
      </c>
      <c r="AI6" s="4">
        <f>AH10</f>
        <v/>
      </c>
      <c r="AJ6" s="4">
        <f>AI10</f>
        <v/>
      </c>
      <c r="AK6" s="4">
        <f>AJ10</f>
        <v/>
      </c>
      <c r="AL6" s="4">
        <f>AK10</f>
        <v/>
      </c>
      <c r="AM6" s="4">
        <f>AL10</f>
        <v/>
      </c>
      <c r="AN6" s="4">
        <f>AM10</f>
        <v/>
      </c>
      <c r="AO6" s="4">
        <f>AN10</f>
        <v/>
      </c>
      <c r="AP6" s="4">
        <f>AO10</f>
        <v/>
      </c>
      <c r="AQ6" s="4">
        <f>AP10</f>
        <v/>
      </c>
      <c r="AR6" s="4">
        <f>AQ10</f>
        <v/>
      </c>
      <c r="AS6" s="4">
        <f>AR10</f>
        <v/>
      </c>
      <c r="AT6" s="4">
        <f>AS10</f>
        <v/>
      </c>
      <c r="AU6" s="4">
        <f>AT10</f>
        <v/>
      </c>
      <c r="AV6" s="4">
        <f>AU10</f>
        <v/>
      </c>
      <c r="AW6" s="4">
        <f>AV10</f>
        <v/>
      </c>
      <c r="AX6" s="4">
        <f>AW10</f>
        <v/>
      </c>
      <c r="AY6" s="4">
        <f>AX10</f>
        <v/>
      </c>
      <c r="AZ6" s="4">
        <f>AY10</f>
        <v/>
      </c>
      <c r="BA6" s="4">
        <f>AZ10</f>
        <v/>
      </c>
      <c r="BB6" s="4">
        <f>BA10</f>
        <v/>
      </c>
      <c r="BC6" s="4">
        <f>BB10</f>
        <v/>
      </c>
      <c r="BD6" s="4">
        <f>BC10</f>
        <v/>
      </c>
      <c r="BE6" s="4">
        <f>BD10</f>
        <v/>
      </c>
      <c r="BF6" s="4">
        <f>BE10</f>
        <v/>
      </c>
      <c r="BG6" s="4">
        <f>BF10</f>
        <v/>
      </c>
      <c r="BH6" s="4">
        <f>BG10</f>
        <v/>
      </c>
      <c r="BI6" s="4">
        <f>BH10</f>
        <v/>
      </c>
      <c r="BJ6" s="4">
        <f>BI10</f>
        <v/>
      </c>
      <c r="BK6" s="4">
        <f>BJ10</f>
        <v/>
      </c>
      <c r="BL6" s="4">
        <f>BK10</f>
        <v/>
      </c>
      <c r="BM6" s="4">
        <f>BL10</f>
        <v/>
      </c>
      <c r="BN6" s="4">
        <f>BM10</f>
        <v/>
      </c>
      <c r="BO6" s="4">
        <f>BN10</f>
        <v/>
      </c>
      <c r="BP6" s="4">
        <f>BO10</f>
        <v/>
      </c>
      <c r="BQ6" s="4">
        <f>BP10</f>
        <v/>
      </c>
      <c r="BR6" s="4">
        <f>BQ10</f>
        <v/>
      </c>
      <c r="BS6" s="4">
        <f>BR10</f>
        <v/>
      </c>
      <c r="BT6" s="4">
        <f>BS10</f>
        <v/>
      </c>
      <c r="BU6" s="4">
        <f>BT10</f>
        <v/>
      </c>
      <c r="BV6" s="4">
        <f>BU10</f>
        <v/>
      </c>
      <c r="BW6" s="4">
        <f>BV10</f>
        <v/>
      </c>
      <c r="BX6" s="4">
        <f>BW10</f>
        <v/>
      </c>
      <c r="BY6" s="4">
        <f>BX10</f>
        <v/>
      </c>
    </row>
    <row r="7">
      <c r="B7" t="inlineStr">
        <is>
          <t>Списание по себестоимости</t>
        </is>
      </c>
      <c r="C7" t="inlineStr">
        <is>
          <t>₽</t>
        </is>
      </c>
      <c r="D7" s="117" t="inlineStr">
        <is>
          <t>COGS проданного мерча</t>
        </is>
      </c>
      <c r="E7" s="119">
        <f>SUM(L7:W7)</f>
        <v/>
      </c>
      <c r="F7" s="119">
        <f>SUM(X7:AI7)</f>
        <v/>
      </c>
      <c r="G7" s="119">
        <f>SUM(AJ7:AU7)</f>
        <v/>
      </c>
      <c r="H7" s="119">
        <f>SUM(AV7:BG7)</f>
        <v/>
      </c>
      <c r="I7" s="119">
        <f>SUM(BH7:BS7)</f>
        <v/>
      </c>
      <c r="J7" s="5">
        <f>SUM(L7:BS7)</f>
        <v/>
      </c>
      <c r="L7" s="4">
        <f>'04_Доходы'!L132</f>
        <v/>
      </c>
      <c r="M7" s="4">
        <f>'04_Доходы'!M132</f>
        <v/>
      </c>
      <c r="N7" s="4">
        <f>'04_Доходы'!N132</f>
        <v/>
      </c>
      <c r="O7" s="4">
        <f>'04_Доходы'!O132</f>
        <v/>
      </c>
      <c r="P7" s="4">
        <f>'04_Доходы'!P132</f>
        <v/>
      </c>
      <c r="Q7" s="4">
        <f>'04_Доходы'!Q132</f>
        <v/>
      </c>
      <c r="R7" s="4">
        <f>'04_Доходы'!R132</f>
        <v/>
      </c>
      <c r="S7" s="4">
        <f>'04_Доходы'!S132</f>
        <v/>
      </c>
      <c r="T7" s="4">
        <f>'04_Доходы'!T132</f>
        <v/>
      </c>
      <c r="U7" s="4">
        <f>'04_Доходы'!U132</f>
        <v/>
      </c>
      <c r="V7" s="4">
        <f>'04_Доходы'!V132</f>
        <v/>
      </c>
      <c r="W7" s="4">
        <f>'04_Доходы'!W132</f>
        <v/>
      </c>
      <c r="X7" s="4">
        <f>'04_Доходы'!X132</f>
        <v/>
      </c>
      <c r="Y7" s="4">
        <f>'04_Доходы'!Y132</f>
        <v/>
      </c>
      <c r="Z7" s="4">
        <f>'04_Доходы'!Z132</f>
        <v/>
      </c>
      <c r="AA7" s="4">
        <f>'04_Доходы'!AA132</f>
        <v/>
      </c>
      <c r="AB7" s="4">
        <f>'04_Доходы'!AB132</f>
        <v/>
      </c>
      <c r="AC7" s="4">
        <f>'04_Доходы'!AC132</f>
        <v/>
      </c>
      <c r="AD7" s="4">
        <f>'04_Доходы'!AD132</f>
        <v/>
      </c>
      <c r="AE7" s="4">
        <f>'04_Доходы'!AE132</f>
        <v/>
      </c>
      <c r="AF7" s="4">
        <f>'04_Доходы'!AF132</f>
        <v/>
      </c>
      <c r="AG7" s="4">
        <f>'04_Доходы'!AG132</f>
        <v/>
      </c>
      <c r="AH7" s="4">
        <f>'04_Доходы'!AH132</f>
        <v/>
      </c>
      <c r="AI7" s="4">
        <f>'04_Доходы'!AI132</f>
        <v/>
      </c>
      <c r="AJ7" s="4">
        <f>'04_Доходы'!AJ132</f>
        <v/>
      </c>
      <c r="AK7" s="4">
        <f>'04_Доходы'!AK132</f>
        <v/>
      </c>
      <c r="AL7" s="4">
        <f>'04_Доходы'!AL132</f>
        <v/>
      </c>
      <c r="AM7" s="4">
        <f>'04_Доходы'!AM132</f>
        <v/>
      </c>
      <c r="AN7" s="4">
        <f>'04_Доходы'!AN132</f>
        <v/>
      </c>
      <c r="AO7" s="4">
        <f>'04_Доходы'!AO132</f>
        <v/>
      </c>
      <c r="AP7" s="4">
        <f>'04_Доходы'!AP132</f>
        <v/>
      </c>
      <c r="AQ7" s="4">
        <f>'04_Доходы'!AQ132</f>
        <v/>
      </c>
      <c r="AR7" s="4">
        <f>'04_Доходы'!AR132</f>
        <v/>
      </c>
      <c r="AS7" s="4">
        <f>'04_Доходы'!AS132</f>
        <v/>
      </c>
      <c r="AT7" s="4">
        <f>'04_Доходы'!AT132</f>
        <v/>
      </c>
      <c r="AU7" s="4">
        <f>'04_Доходы'!AU132</f>
        <v/>
      </c>
      <c r="AV7" s="4">
        <f>'04_Доходы'!AV132</f>
        <v/>
      </c>
      <c r="AW7" s="4">
        <f>'04_Доходы'!AW132</f>
        <v/>
      </c>
      <c r="AX7" s="4">
        <f>'04_Доходы'!AX132</f>
        <v/>
      </c>
      <c r="AY7" s="4">
        <f>'04_Доходы'!AY132</f>
        <v/>
      </c>
      <c r="AZ7" s="4">
        <f>'04_Доходы'!AZ132</f>
        <v/>
      </c>
      <c r="BA7" s="4">
        <f>'04_Доходы'!BA132</f>
        <v/>
      </c>
      <c r="BB7" s="4">
        <f>'04_Доходы'!BB132</f>
        <v/>
      </c>
      <c r="BC7" s="4">
        <f>'04_Доходы'!BC132</f>
        <v/>
      </c>
      <c r="BD7" s="4">
        <f>'04_Доходы'!BD132</f>
        <v/>
      </c>
      <c r="BE7" s="4">
        <f>'04_Доходы'!BE132</f>
        <v/>
      </c>
      <c r="BF7" s="4">
        <f>'04_Доходы'!BF132</f>
        <v/>
      </c>
      <c r="BG7" s="4">
        <f>'04_Доходы'!BG132</f>
        <v/>
      </c>
      <c r="BH7" s="4">
        <f>'04_Доходы'!BH132</f>
        <v/>
      </c>
      <c r="BI7" s="4">
        <f>'04_Доходы'!BI132</f>
        <v/>
      </c>
      <c r="BJ7" s="4">
        <f>'04_Доходы'!BJ132</f>
        <v/>
      </c>
      <c r="BK7" s="4">
        <f>'04_Доходы'!BK132</f>
        <v/>
      </c>
      <c r="BL7" s="4">
        <f>'04_Доходы'!BL132</f>
        <v/>
      </c>
      <c r="BM7" s="4">
        <f>'04_Доходы'!BM132</f>
        <v/>
      </c>
      <c r="BN7" s="4">
        <f>'04_Доходы'!BN132</f>
        <v/>
      </c>
      <c r="BO7" s="4">
        <f>'04_Доходы'!BO132</f>
        <v/>
      </c>
      <c r="BP7" s="4">
        <f>'04_Доходы'!BP132</f>
        <v/>
      </c>
      <c r="BQ7" s="4">
        <f>'04_Доходы'!BQ132</f>
        <v/>
      </c>
      <c r="BR7" s="4">
        <f>'04_Доходы'!BR132</f>
        <v/>
      </c>
      <c r="BS7" s="4">
        <f>'04_Доходы'!BS132</f>
        <v/>
      </c>
      <c r="BT7" s="4">
        <f>'04_Доходы'!BT132</f>
        <v/>
      </c>
      <c r="BU7" s="4">
        <f>'04_Доходы'!BU132</f>
        <v/>
      </c>
      <c r="BV7" s="4">
        <f>'04_Доходы'!BV132</f>
        <v/>
      </c>
      <c r="BW7" s="4">
        <f>'04_Доходы'!BW132</f>
        <v/>
      </c>
      <c r="BX7" s="4">
        <f>'04_Доходы'!BX132</f>
        <v/>
      </c>
      <c r="BY7" s="4">
        <f>'04_Доходы'!BY132</f>
        <v/>
      </c>
    </row>
    <row r="8">
      <c r="B8" t="inlineStr">
        <is>
          <t>Целевой запас будущих продаж</t>
        </is>
      </c>
      <c r="C8" t="inlineStr">
        <is>
          <t>₽</t>
        </is>
      </c>
      <c r="D8" s="117" t="inlineStr">
        <is>
          <t>Себестоимость продаж на ближайшие месяцы вперёд</t>
        </is>
      </c>
      <c r="E8" s="119">
        <f>W8</f>
        <v/>
      </c>
      <c r="F8" s="119">
        <f>AI8</f>
        <v/>
      </c>
      <c r="G8" s="119">
        <f>AU8</f>
        <v/>
      </c>
      <c r="H8" s="119">
        <f>BG8</f>
        <v/>
      </c>
      <c r="I8" s="119">
        <f>BS8</f>
        <v/>
      </c>
      <c r="J8" s="5">
        <f>BS8</f>
        <v/>
      </c>
      <c r="L8" s="4">
        <f>SUM(IF(ЗапасМес&gt;=1,'04_Доходы'!M132,0),IF(ЗапасМес&gt;=2,'04_Доходы'!N132,0),IF(ЗапасМес&gt;=3,'04_Доходы'!O132,0),IF(ЗапасМес&gt;=4,'04_Доходы'!P132,0),IF(ЗапасМес&gt;=5,'04_Доходы'!Q132,0),IF(ЗапасМес&gt;=6,'04_Доходы'!R132,0))</f>
        <v/>
      </c>
      <c r="M8" s="4">
        <f>SUM(IF(ЗапасМес&gt;=1,'04_Доходы'!N132,0),IF(ЗапасМес&gt;=2,'04_Доходы'!O132,0),IF(ЗапасМес&gt;=3,'04_Доходы'!P132,0),IF(ЗапасМес&gt;=4,'04_Доходы'!Q132,0),IF(ЗапасМес&gt;=5,'04_Доходы'!R132,0),IF(ЗапасМес&gt;=6,'04_Доходы'!S132,0))</f>
        <v/>
      </c>
      <c r="N8" s="4">
        <f>SUM(IF(ЗапасМес&gt;=1,'04_Доходы'!O132,0),IF(ЗапасМес&gt;=2,'04_Доходы'!P132,0),IF(ЗапасМес&gt;=3,'04_Доходы'!Q132,0),IF(ЗапасМес&gt;=4,'04_Доходы'!R132,0),IF(ЗапасМес&gt;=5,'04_Доходы'!S132,0),IF(ЗапасМес&gt;=6,'04_Доходы'!T132,0))</f>
        <v/>
      </c>
      <c r="O8" s="4">
        <f>SUM(IF(ЗапасМес&gt;=1,'04_Доходы'!P132,0),IF(ЗапасМес&gt;=2,'04_Доходы'!Q132,0),IF(ЗапасМес&gt;=3,'04_Доходы'!R132,0),IF(ЗапасМес&gt;=4,'04_Доходы'!S132,0),IF(ЗапасМес&gt;=5,'04_Доходы'!T132,0),IF(ЗапасМес&gt;=6,'04_Доходы'!U132,0))</f>
        <v/>
      </c>
      <c r="P8" s="4">
        <f>SUM(IF(ЗапасМес&gt;=1,'04_Доходы'!Q132,0),IF(ЗапасМес&gt;=2,'04_Доходы'!R132,0),IF(ЗапасМес&gt;=3,'04_Доходы'!S132,0),IF(ЗапасМес&gt;=4,'04_Доходы'!T132,0),IF(ЗапасМес&gt;=5,'04_Доходы'!U132,0),IF(ЗапасМес&gt;=6,'04_Доходы'!V132,0))</f>
        <v/>
      </c>
      <c r="Q8" s="4">
        <f>SUM(IF(ЗапасМес&gt;=1,'04_Доходы'!R132,0),IF(ЗапасМес&gt;=2,'04_Доходы'!S132,0),IF(ЗапасМес&gt;=3,'04_Доходы'!T132,0),IF(ЗапасМес&gt;=4,'04_Доходы'!U132,0),IF(ЗапасМес&gt;=5,'04_Доходы'!V132,0),IF(ЗапасМес&gt;=6,'04_Доходы'!W132,0))</f>
        <v/>
      </c>
      <c r="R8" s="4">
        <f>SUM(IF(ЗапасМес&gt;=1,'04_Доходы'!S132,0),IF(ЗапасМес&gt;=2,'04_Доходы'!T132,0),IF(ЗапасМес&gt;=3,'04_Доходы'!U132,0),IF(ЗапасМес&gt;=4,'04_Доходы'!V132,0),IF(ЗапасМес&gt;=5,'04_Доходы'!W132,0),IF(ЗапасМес&gt;=6,'04_Доходы'!X132,0))</f>
        <v/>
      </c>
      <c r="S8" s="4">
        <f>SUM(IF(ЗапасМес&gt;=1,'04_Доходы'!T132,0),IF(ЗапасМес&gt;=2,'04_Доходы'!U132,0),IF(ЗапасМес&gt;=3,'04_Доходы'!V132,0),IF(ЗапасМес&gt;=4,'04_Доходы'!W132,0),IF(ЗапасМес&gt;=5,'04_Доходы'!X132,0),IF(ЗапасМес&gt;=6,'04_Доходы'!Y132,0))</f>
        <v/>
      </c>
      <c r="T8" s="4">
        <f>SUM(IF(ЗапасМес&gt;=1,'04_Доходы'!U132,0),IF(ЗапасМес&gt;=2,'04_Доходы'!V132,0),IF(ЗапасМес&gt;=3,'04_Доходы'!W132,0),IF(ЗапасМес&gt;=4,'04_Доходы'!X132,0),IF(ЗапасМес&gt;=5,'04_Доходы'!Y132,0),IF(ЗапасМес&gt;=6,'04_Доходы'!Z132,0))</f>
        <v/>
      </c>
      <c r="U8" s="4">
        <f>SUM(IF(ЗапасМес&gt;=1,'04_Доходы'!V132,0),IF(ЗапасМес&gt;=2,'04_Доходы'!W132,0),IF(ЗапасМес&gt;=3,'04_Доходы'!X132,0),IF(ЗапасМес&gt;=4,'04_Доходы'!Y132,0),IF(ЗапасМес&gt;=5,'04_Доходы'!Z132,0),IF(ЗапасМес&gt;=6,'04_Доходы'!AA132,0))</f>
        <v/>
      </c>
      <c r="V8" s="4">
        <f>SUM(IF(ЗапасМес&gt;=1,'04_Доходы'!W132,0),IF(ЗапасМес&gt;=2,'04_Доходы'!X132,0),IF(ЗапасМес&gt;=3,'04_Доходы'!Y132,0),IF(ЗапасМес&gt;=4,'04_Доходы'!Z132,0),IF(ЗапасМес&gt;=5,'04_Доходы'!AA132,0),IF(ЗапасМес&gt;=6,'04_Доходы'!AB132,0))</f>
        <v/>
      </c>
      <c r="W8" s="4">
        <f>SUM(IF(ЗапасМес&gt;=1,'04_Доходы'!X132,0),IF(ЗапасМес&gt;=2,'04_Доходы'!Y132,0),IF(ЗапасМес&gt;=3,'04_Доходы'!Z132,0),IF(ЗапасМес&gt;=4,'04_Доходы'!AA132,0),IF(ЗапасМес&gt;=5,'04_Доходы'!AB132,0),IF(ЗапасМес&gt;=6,'04_Доходы'!AC132,0))</f>
        <v/>
      </c>
      <c r="X8" s="4">
        <f>SUM(IF(ЗапасМес&gt;=1,'04_Доходы'!Y132,0),IF(ЗапасМес&gt;=2,'04_Доходы'!Z132,0),IF(ЗапасМес&gt;=3,'04_Доходы'!AA132,0),IF(ЗапасМес&gt;=4,'04_Доходы'!AB132,0),IF(ЗапасМес&gt;=5,'04_Доходы'!AC132,0),IF(ЗапасМес&gt;=6,'04_Доходы'!AD132,0))</f>
        <v/>
      </c>
      <c r="Y8" s="4">
        <f>SUM(IF(ЗапасМес&gt;=1,'04_Доходы'!Z132,0),IF(ЗапасМес&gt;=2,'04_Доходы'!AA132,0),IF(ЗапасМес&gt;=3,'04_Доходы'!AB132,0),IF(ЗапасМес&gt;=4,'04_Доходы'!AC132,0),IF(ЗапасМес&gt;=5,'04_Доходы'!AD132,0),IF(ЗапасМес&gt;=6,'04_Доходы'!AE132,0))</f>
        <v/>
      </c>
      <c r="Z8" s="4">
        <f>SUM(IF(ЗапасМес&gt;=1,'04_Доходы'!AA132,0),IF(ЗапасМес&gt;=2,'04_Доходы'!AB132,0),IF(ЗапасМес&gt;=3,'04_Доходы'!AC132,0),IF(ЗапасМес&gt;=4,'04_Доходы'!AD132,0),IF(ЗапасМес&gt;=5,'04_Доходы'!AE132,0),IF(ЗапасМес&gt;=6,'04_Доходы'!AF132,0))</f>
        <v/>
      </c>
      <c r="AA8" s="4">
        <f>SUM(IF(ЗапасМес&gt;=1,'04_Доходы'!AB132,0),IF(ЗапасМес&gt;=2,'04_Доходы'!AC132,0),IF(ЗапасМес&gt;=3,'04_Доходы'!AD132,0),IF(ЗапасМес&gt;=4,'04_Доходы'!AE132,0),IF(ЗапасМес&gt;=5,'04_Доходы'!AF132,0),IF(ЗапасМес&gt;=6,'04_Доходы'!AG132,0))</f>
        <v/>
      </c>
      <c r="AB8" s="4">
        <f>SUM(IF(ЗапасМес&gt;=1,'04_Доходы'!AC132,0),IF(ЗапасМес&gt;=2,'04_Доходы'!AD132,0),IF(ЗапасМес&gt;=3,'04_Доходы'!AE132,0),IF(ЗапасМес&gt;=4,'04_Доходы'!AF132,0),IF(ЗапасМес&gt;=5,'04_Доходы'!AG132,0),IF(ЗапасМес&gt;=6,'04_Доходы'!AH132,0))</f>
        <v/>
      </c>
      <c r="AC8" s="4">
        <f>SUM(IF(ЗапасМес&gt;=1,'04_Доходы'!AD132,0),IF(ЗапасМес&gt;=2,'04_Доходы'!AE132,0),IF(ЗапасМес&gt;=3,'04_Доходы'!AF132,0),IF(ЗапасМес&gt;=4,'04_Доходы'!AG132,0),IF(ЗапасМес&gt;=5,'04_Доходы'!AH132,0),IF(ЗапасМес&gt;=6,'04_Доходы'!AI132,0))</f>
        <v/>
      </c>
      <c r="AD8" s="4">
        <f>SUM(IF(ЗапасМес&gt;=1,'04_Доходы'!AE132,0),IF(ЗапасМес&gt;=2,'04_Доходы'!AF132,0),IF(ЗапасМес&gt;=3,'04_Доходы'!AG132,0),IF(ЗапасМес&gt;=4,'04_Доходы'!AH132,0),IF(ЗапасМес&gt;=5,'04_Доходы'!AI132,0),IF(ЗапасМес&gt;=6,'04_Доходы'!AJ132,0))</f>
        <v/>
      </c>
      <c r="AE8" s="4">
        <f>SUM(IF(ЗапасМес&gt;=1,'04_Доходы'!AF132,0),IF(ЗапасМес&gt;=2,'04_Доходы'!AG132,0),IF(ЗапасМес&gt;=3,'04_Доходы'!AH132,0),IF(ЗапасМес&gt;=4,'04_Доходы'!AI132,0),IF(ЗапасМес&gt;=5,'04_Доходы'!AJ132,0),IF(ЗапасМес&gt;=6,'04_Доходы'!AK132,0))</f>
        <v/>
      </c>
      <c r="AF8" s="4">
        <f>SUM(IF(ЗапасМес&gt;=1,'04_Доходы'!AG132,0),IF(ЗапасМес&gt;=2,'04_Доходы'!AH132,0),IF(ЗапасМес&gt;=3,'04_Доходы'!AI132,0),IF(ЗапасМес&gt;=4,'04_Доходы'!AJ132,0),IF(ЗапасМес&gt;=5,'04_Доходы'!AK132,0),IF(ЗапасМес&gt;=6,'04_Доходы'!AL132,0))</f>
        <v/>
      </c>
      <c r="AG8" s="4">
        <f>SUM(IF(ЗапасМес&gt;=1,'04_Доходы'!AH132,0),IF(ЗапасМес&gt;=2,'04_Доходы'!AI132,0),IF(ЗапасМес&gt;=3,'04_Доходы'!AJ132,0),IF(ЗапасМес&gt;=4,'04_Доходы'!AK132,0),IF(ЗапасМес&gt;=5,'04_Доходы'!AL132,0),IF(ЗапасМес&gt;=6,'04_Доходы'!AM132,0))</f>
        <v/>
      </c>
      <c r="AH8" s="4">
        <f>SUM(IF(ЗапасМес&gt;=1,'04_Доходы'!AI132,0),IF(ЗапасМес&gt;=2,'04_Доходы'!AJ132,0),IF(ЗапасМес&gt;=3,'04_Доходы'!AK132,0),IF(ЗапасМес&gt;=4,'04_Доходы'!AL132,0),IF(ЗапасМес&gt;=5,'04_Доходы'!AM132,0),IF(ЗапасМес&gt;=6,'04_Доходы'!AN132,0))</f>
        <v/>
      </c>
      <c r="AI8" s="4">
        <f>SUM(IF(ЗапасМес&gt;=1,'04_Доходы'!AJ132,0),IF(ЗапасМес&gt;=2,'04_Доходы'!AK132,0),IF(ЗапасМес&gt;=3,'04_Доходы'!AL132,0),IF(ЗапасМес&gt;=4,'04_Доходы'!AM132,0),IF(ЗапасМес&gt;=5,'04_Доходы'!AN132,0),IF(ЗапасМес&gt;=6,'04_Доходы'!AO132,0))</f>
        <v/>
      </c>
      <c r="AJ8" s="4">
        <f>SUM(IF(ЗапасМес&gt;=1,'04_Доходы'!AK132,0),IF(ЗапасМес&gt;=2,'04_Доходы'!AL132,0),IF(ЗапасМес&gt;=3,'04_Доходы'!AM132,0),IF(ЗапасМес&gt;=4,'04_Доходы'!AN132,0),IF(ЗапасМес&gt;=5,'04_Доходы'!AO132,0),IF(ЗапасМес&gt;=6,'04_Доходы'!AP132,0))</f>
        <v/>
      </c>
      <c r="AK8" s="4">
        <f>SUM(IF(ЗапасМес&gt;=1,'04_Доходы'!AL132,0),IF(ЗапасМес&gt;=2,'04_Доходы'!AM132,0),IF(ЗапасМес&gt;=3,'04_Доходы'!AN132,0),IF(ЗапасМес&gt;=4,'04_Доходы'!AO132,0),IF(ЗапасМес&gt;=5,'04_Доходы'!AP132,0),IF(ЗапасМес&gt;=6,'04_Доходы'!AQ132,0))</f>
        <v/>
      </c>
      <c r="AL8" s="4">
        <f>SUM(IF(ЗапасМес&gt;=1,'04_Доходы'!AM132,0),IF(ЗапасМес&gt;=2,'04_Доходы'!AN132,0),IF(ЗапасМес&gt;=3,'04_Доходы'!AO132,0),IF(ЗапасМес&gt;=4,'04_Доходы'!AP132,0),IF(ЗапасМес&gt;=5,'04_Доходы'!AQ132,0),IF(ЗапасМес&gt;=6,'04_Доходы'!AR132,0))</f>
        <v/>
      </c>
      <c r="AM8" s="4">
        <f>SUM(IF(ЗапасМес&gt;=1,'04_Доходы'!AN132,0),IF(ЗапасМес&gt;=2,'04_Доходы'!AO132,0),IF(ЗапасМес&gt;=3,'04_Доходы'!AP132,0),IF(ЗапасМес&gt;=4,'04_Доходы'!AQ132,0),IF(ЗапасМес&gt;=5,'04_Доходы'!AR132,0),IF(ЗапасМес&gt;=6,'04_Доходы'!AS132,0))</f>
        <v/>
      </c>
      <c r="AN8" s="4">
        <f>SUM(IF(ЗапасМес&gt;=1,'04_Доходы'!AO132,0),IF(ЗапасМес&gt;=2,'04_Доходы'!AP132,0),IF(ЗапасМес&gt;=3,'04_Доходы'!AQ132,0),IF(ЗапасМес&gt;=4,'04_Доходы'!AR132,0),IF(ЗапасМес&gt;=5,'04_Доходы'!AS132,0),IF(ЗапасМес&gt;=6,'04_Доходы'!AT132,0))</f>
        <v/>
      </c>
      <c r="AO8" s="4">
        <f>SUM(IF(ЗапасМес&gt;=1,'04_Доходы'!AP132,0),IF(ЗапасМес&gt;=2,'04_Доходы'!AQ132,0),IF(ЗапасМес&gt;=3,'04_Доходы'!AR132,0),IF(ЗапасМес&gt;=4,'04_Доходы'!AS132,0),IF(ЗапасМес&gt;=5,'04_Доходы'!AT132,0),IF(ЗапасМес&gt;=6,'04_Доходы'!AU132,0))</f>
        <v/>
      </c>
      <c r="AP8" s="4">
        <f>SUM(IF(ЗапасМес&gt;=1,'04_Доходы'!AQ132,0),IF(ЗапасМес&gt;=2,'04_Доходы'!AR132,0),IF(ЗапасМес&gt;=3,'04_Доходы'!AS132,0),IF(ЗапасМес&gt;=4,'04_Доходы'!AT132,0),IF(ЗапасМес&gt;=5,'04_Доходы'!AU132,0),IF(ЗапасМес&gt;=6,'04_Доходы'!AV132,0))</f>
        <v/>
      </c>
      <c r="AQ8" s="4">
        <f>SUM(IF(ЗапасМес&gt;=1,'04_Доходы'!AR132,0),IF(ЗапасМес&gt;=2,'04_Доходы'!AS132,0),IF(ЗапасМес&gt;=3,'04_Доходы'!AT132,0),IF(ЗапасМес&gt;=4,'04_Доходы'!AU132,0),IF(ЗапасМес&gt;=5,'04_Доходы'!AV132,0),IF(ЗапасМес&gt;=6,'04_Доходы'!AW132,0))</f>
        <v/>
      </c>
      <c r="AR8" s="4">
        <f>SUM(IF(ЗапасМес&gt;=1,'04_Доходы'!AS132,0),IF(ЗапасМес&gt;=2,'04_Доходы'!AT132,0),IF(ЗапасМес&gt;=3,'04_Доходы'!AU132,0),IF(ЗапасМес&gt;=4,'04_Доходы'!AV132,0),IF(ЗапасМес&gt;=5,'04_Доходы'!AW132,0),IF(ЗапасМес&gt;=6,'04_Доходы'!AX132,0))</f>
        <v/>
      </c>
      <c r="AS8" s="4">
        <f>SUM(IF(ЗапасМес&gt;=1,'04_Доходы'!AT132,0),IF(ЗапасМес&gt;=2,'04_Доходы'!AU132,0),IF(ЗапасМес&gt;=3,'04_Доходы'!AV132,0),IF(ЗапасМес&gt;=4,'04_Доходы'!AW132,0),IF(ЗапасМес&gt;=5,'04_Доходы'!AX132,0),IF(ЗапасМес&gt;=6,'04_Доходы'!AY132,0))</f>
        <v/>
      </c>
      <c r="AT8" s="4">
        <f>SUM(IF(ЗапасМес&gt;=1,'04_Доходы'!AU132,0),IF(ЗапасМес&gt;=2,'04_Доходы'!AV132,0),IF(ЗапасМес&gt;=3,'04_Доходы'!AW132,0),IF(ЗапасМес&gt;=4,'04_Доходы'!AX132,0),IF(ЗапасМес&gt;=5,'04_Доходы'!AY132,0),IF(ЗапасМес&gt;=6,'04_Доходы'!AZ132,0))</f>
        <v/>
      </c>
      <c r="AU8" s="4">
        <f>SUM(IF(ЗапасМес&gt;=1,'04_Доходы'!AV132,0),IF(ЗапасМес&gt;=2,'04_Доходы'!AW132,0),IF(ЗапасМес&gt;=3,'04_Доходы'!AX132,0),IF(ЗапасМес&gt;=4,'04_Доходы'!AY132,0),IF(ЗапасМес&gt;=5,'04_Доходы'!AZ132,0),IF(ЗапасМес&gt;=6,'04_Доходы'!BA132,0))</f>
        <v/>
      </c>
      <c r="AV8" s="4">
        <f>SUM(IF(ЗапасМес&gt;=1,'04_Доходы'!AW132,0),IF(ЗапасМес&gt;=2,'04_Доходы'!AX132,0),IF(ЗапасМес&gt;=3,'04_Доходы'!AY132,0),IF(ЗапасМес&gt;=4,'04_Доходы'!AZ132,0),IF(ЗапасМес&gt;=5,'04_Доходы'!BA132,0),IF(ЗапасМес&gt;=6,'04_Доходы'!BB132,0))</f>
        <v/>
      </c>
      <c r="AW8" s="4">
        <f>SUM(IF(ЗапасМес&gt;=1,'04_Доходы'!AX132,0),IF(ЗапасМес&gt;=2,'04_Доходы'!AY132,0),IF(ЗапасМес&gt;=3,'04_Доходы'!AZ132,0),IF(ЗапасМес&gt;=4,'04_Доходы'!BA132,0),IF(ЗапасМес&gt;=5,'04_Доходы'!BB132,0),IF(ЗапасМес&gt;=6,'04_Доходы'!BC132,0))</f>
        <v/>
      </c>
      <c r="AX8" s="4">
        <f>SUM(IF(ЗапасМес&gt;=1,'04_Доходы'!AY132,0),IF(ЗапасМес&gt;=2,'04_Доходы'!AZ132,0),IF(ЗапасМес&gt;=3,'04_Доходы'!BA132,0),IF(ЗапасМес&gt;=4,'04_Доходы'!BB132,0),IF(ЗапасМес&gt;=5,'04_Доходы'!BC132,0),IF(ЗапасМес&gt;=6,'04_Доходы'!BD132,0))</f>
        <v/>
      </c>
      <c r="AY8" s="4">
        <f>SUM(IF(ЗапасМес&gt;=1,'04_Доходы'!AZ132,0),IF(ЗапасМес&gt;=2,'04_Доходы'!BA132,0),IF(ЗапасМес&gt;=3,'04_Доходы'!BB132,0),IF(ЗапасМес&gt;=4,'04_Доходы'!BC132,0),IF(ЗапасМес&gt;=5,'04_Доходы'!BD132,0),IF(ЗапасМес&gt;=6,'04_Доходы'!BE132,0))</f>
        <v/>
      </c>
      <c r="AZ8" s="4">
        <f>SUM(IF(ЗапасМес&gt;=1,'04_Доходы'!BA132,0),IF(ЗапасМес&gt;=2,'04_Доходы'!BB132,0),IF(ЗапасМес&gt;=3,'04_Доходы'!BC132,0),IF(ЗапасМес&gt;=4,'04_Доходы'!BD132,0),IF(ЗапасМес&gt;=5,'04_Доходы'!BE132,0),IF(ЗапасМес&gt;=6,'04_Доходы'!BF132,0))</f>
        <v/>
      </c>
      <c r="BA8" s="4">
        <f>SUM(IF(ЗапасМес&gt;=1,'04_Доходы'!BB132,0),IF(ЗапасМес&gt;=2,'04_Доходы'!BC132,0),IF(ЗапасМес&gt;=3,'04_Доходы'!BD132,0),IF(ЗапасМес&gt;=4,'04_Доходы'!BE132,0),IF(ЗапасМес&gt;=5,'04_Доходы'!BF132,0),IF(ЗапасМес&gt;=6,'04_Доходы'!BG132,0))</f>
        <v/>
      </c>
      <c r="BB8" s="4">
        <f>SUM(IF(ЗапасМес&gt;=1,'04_Доходы'!BC132,0),IF(ЗапасМес&gt;=2,'04_Доходы'!BD132,0),IF(ЗапасМес&gt;=3,'04_Доходы'!BE132,0),IF(ЗапасМес&gt;=4,'04_Доходы'!BF132,0),IF(ЗапасМес&gt;=5,'04_Доходы'!BG132,0),IF(ЗапасМес&gt;=6,'04_Доходы'!BH132,0))</f>
        <v/>
      </c>
      <c r="BC8" s="4">
        <f>SUM(IF(ЗапасМес&gt;=1,'04_Доходы'!BD132,0),IF(ЗапасМес&gt;=2,'04_Доходы'!BE132,0),IF(ЗапасМес&gt;=3,'04_Доходы'!BF132,0),IF(ЗапасМес&gt;=4,'04_Доходы'!BG132,0),IF(ЗапасМес&gt;=5,'04_Доходы'!BH132,0),IF(ЗапасМес&gt;=6,'04_Доходы'!BI132,0))</f>
        <v/>
      </c>
      <c r="BD8" s="4">
        <f>SUM(IF(ЗапасМес&gt;=1,'04_Доходы'!BE132,0),IF(ЗапасМес&gt;=2,'04_Доходы'!BF132,0),IF(ЗапасМес&gt;=3,'04_Доходы'!BG132,0),IF(ЗапасМес&gt;=4,'04_Доходы'!BH132,0),IF(ЗапасМес&gt;=5,'04_Доходы'!BI132,0),IF(ЗапасМес&gt;=6,'04_Доходы'!BJ132,0))</f>
        <v/>
      </c>
      <c r="BE8" s="4">
        <f>SUM(IF(ЗапасМес&gt;=1,'04_Доходы'!BF132,0),IF(ЗапасМес&gt;=2,'04_Доходы'!BG132,0),IF(ЗапасМес&gt;=3,'04_Доходы'!BH132,0),IF(ЗапасМес&gt;=4,'04_Доходы'!BI132,0),IF(ЗапасМес&gt;=5,'04_Доходы'!BJ132,0),IF(ЗапасМес&gt;=6,'04_Доходы'!BK132,0))</f>
        <v/>
      </c>
      <c r="BF8" s="4">
        <f>SUM(IF(ЗапасМес&gt;=1,'04_Доходы'!BG132,0),IF(ЗапасМес&gt;=2,'04_Доходы'!BH132,0),IF(ЗапасМес&gt;=3,'04_Доходы'!BI132,0),IF(ЗапасМес&gt;=4,'04_Доходы'!BJ132,0),IF(ЗапасМес&gt;=5,'04_Доходы'!BK132,0),IF(ЗапасМес&gt;=6,'04_Доходы'!BL132,0))</f>
        <v/>
      </c>
      <c r="BG8" s="4">
        <f>SUM(IF(ЗапасМес&gt;=1,'04_Доходы'!BH132,0),IF(ЗапасМес&gt;=2,'04_Доходы'!BI132,0),IF(ЗапасМес&gt;=3,'04_Доходы'!BJ132,0),IF(ЗапасМес&gt;=4,'04_Доходы'!BK132,0),IF(ЗапасМес&gt;=5,'04_Доходы'!BL132,0),IF(ЗапасМес&gt;=6,'04_Доходы'!BM132,0))</f>
        <v/>
      </c>
      <c r="BH8" s="4">
        <f>SUM(IF(ЗапасМес&gt;=1,'04_Доходы'!BI132,0),IF(ЗапасМес&gt;=2,'04_Доходы'!BJ132,0),IF(ЗапасМес&gt;=3,'04_Доходы'!BK132,0),IF(ЗапасМес&gt;=4,'04_Доходы'!BL132,0),IF(ЗапасМес&gt;=5,'04_Доходы'!BM132,0),IF(ЗапасМес&gt;=6,'04_Доходы'!BN132,0))</f>
        <v/>
      </c>
      <c r="BI8" s="4">
        <f>SUM(IF(ЗапасМес&gt;=1,'04_Доходы'!BJ132,0),IF(ЗапасМес&gt;=2,'04_Доходы'!BK132,0),IF(ЗапасМес&gt;=3,'04_Доходы'!BL132,0),IF(ЗапасМес&gt;=4,'04_Доходы'!BM132,0),IF(ЗапасМес&gt;=5,'04_Доходы'!BN132,0),IF(ЗапасМес&gt;=6,'04_Доходы'!BO132,0))</f>
        <v/>
      </c>
      <c r="BJ8" s="4">
        <f>SUM(IF(ЗапасМес&gt;=1,'04_Доходы'!BK132,0),IF(ЗапасМес&gt;=2,'04_Доходы'!BL132,0),IF(ЗапасМес&gt;=3,'04_Доходы'!BM132,0),IF(ЗапасМес&gt;=4,'04_Доходы'!BN132,0),IF(ЗапасМес&gt;=5,'04_Доходы'!BO132,0),IF(ЗапасМес&gt;=6,'04_Доходы'!BP132,0))</f>
        <v/>
      </c>
      <c r="BK8" s="4">
        <f>SUM(IF(ЗапасМес&gt;=1,'04_Доходы'!BL132,0),IF(ЗапасМес&gt;=2,'04_Доходы'!BM132,0),IF(ЗапасМес&gt;=3,'04_Доходы'!BN132,0),IF(ЗапасМес&gt;=4,'04_Доходы'!BO132,0),IF(ЗапасМес&gt;=5,'04_Доходы'!BP132,0),IF(ЗапасМес&gt;=6,'04_Доходы'!BQ132,0))</f>
        <v/>
      </c>
      <c r="BL8" s="4">
        <f>SUM(IF(ЗапасМес&gt;=1,'04_Доходы'!BM132,0),IF(ЗапасМес&gt;=2,'04_Доходы'!BN132,0),IF(ЗапасМес&gt;=3,'04_Доходы'!BO132,0),IF(ЗапасМес&gt;=4,'04_Доходы'!BP132,0),IF(ЗапасМес&gt;=5,'04_Доходы'!BQ132,0),IF(ЗапасМес&gt;=6,'04_Доходы'!BR132,0))</f>
        <v/>
      </c>
      <c r="BM8" s="4">
        <f>SUM(IF(ЗапасМес&gt;=1,'04_Доходы'!BN132,0),IF(ЗапасМес&gt;=2,'04_Доходы'!BO132,0),IF(ЗапасМес&gt;=3,'04_Доходы'!BP132,0),IF(ЗапасМес&gt;=4,'04_Доходы'!BQ132,0),IF(ЗапасМес&gt;=5,'04_Доходы'!BR132,0),IF(ЗапасМес&gt;=6,'04_Доходы'!BS132,0))</f>
        <v/>
      </c>
      <c r="BN8" s="4">
        <f>SUM(IF(ЗапасМес&gt;=1,'04_Доходы'!BO132,0),IF(ЗапасМес&gt;=2,'04_Доходы'!BP132,0),IF(ЗапасМес&gt;=3,'04_Доходы'!BQ132,0),IF(ЗапасМес&gt;=4,'04_Доходы'!BR132,0),IF(ЗапасМес&gt;=5,'04_Доходы'!BS132,0),IF(ЗапасМес&gt;=6,'04_Доходы'!BT132,0))</f>
        <v/>
      </c>
      <c r="BO8" s="4">
        <f>SUM(IF(ЗапасМес&gt;=1,'04_Доходы'!BP132,0),IF(ЗапасМес&gt;=2,'04_Доходы'!BQ132,0),IF(ЗапасМес&gt;=3,'04_Доходы'!BR132,0),IF(ЗапасМес&gt;=4,'04_Доходы'!BS132,0),IF(ЗапасМес&gt;=5,'04_Доходы'!BT132,0),IF(ЗапасМес&gt;=6,'04_Доходы'!BU132,0))</f>
        <v/>
      </c>
      <c r="BP8" s="4">
        <f>SUM(IF(ЗапасМес&gt;=1,'04_Доходы'!BQ132,0),IF(ЗапасМес&gt;=2,'04_Доходы'!BR132,0),IF(ЗапасМес&gt;=3,'04_Доходы'!BS132,0),IF(ЗапасМес&gt;=4,'04_Доходы'!BT132,0),IF(ЗапасМес&gt;=5,'04_Доходы'!BU132,0),IF(ЗапасМес&gt;=6,'04_Доходы'!BV132,0))</f>
        <v/>
      </c>
      <c r="BQ8" s="4">
        <f>SUM(IF(ЗапасМес&gt;=1,'04_Доходы'!BR132,0),IF(ЗапасМес&gt;=2,'04_Доходы'!BS132,0),IF(ЗапасМес&gt;=3,'04_Доходы'!BT132,0),IF(ЗапасМес&gt;=4,'04_Доходы'!BU132,0),IF(ЗапасМес&gt;=5,'04_Доходы'!BV132,0),IF(ЗапасМес&gt;=6,'04_Доходы'!BW132,0))</f>
        <v/>
      </c>
      <c r="BR8" s="4">
        <f>SUM(IF(ЗапасМес&gt;=1,'04_Доходы'!BS132,0),IF(ЗапасМес&gt;=2,'04_Доходы'!BT132,0),IF(ЗапасМес&gt;=3,'04_Доходы'!BU132,0),IF(ЗапасМес&gt;=4,'04_Доходы'!BV132,0),IF(ЗапасМес&gt;=5,'04_Доходы'!BW132,0),IF(ЗапасМес&gt;=6,'04_Доходы'!BX132,0))</f>
        <v/>
      </c>
      <c r="BS8" s="4">
        <f>SUM(IF(ЗапасМес&gt;=1,'04_Доходы'!BT132,0),IF(ЗапасМес&gt;=2,'04_Доходы'!BU132,0),IF(ЗапасМес&gt;=3,'04_Доходы'!BV132,0),IF(ЗапасМес&gt;=4,'04_Доходы'!BW132,0),IF(ЗапасМес&gt;=5,'04_Доходы'!BX132,0),IF(ЗапасМес&gt;=6,'04_Доходы'!BY132,0))</f>
        <v/>
      </c>
      <c r="BT8" s="4">
        <f>SUM(IF(ЗапасМес&gt;=1,'04_Доходы'!BU132,0),IF(ЗапасМес&gt;=2,'04_Доходы'!BV132,0),IF(ЗапасМес&gt;=3,'04_Доходы'!BW132,0),IF(ЗапасМес&gt;=4,'04_Доходы'!BX132,0),IF(ЗапасМес&gt;=5,'04_Доходы'!BY132,0),IF(ЗапасМес&gt;=6,'04_Доходы'!BY132,0))</f>
        <v/>
      </c>
      <c r="BU8" s="4">
        <f>SUM(IF(ЗапасМес&gt;=1,'04_Доходы'!BV132,0),IF(ЗапасМес&gt;=2,'04_Доходы'!BW132,0),IF(ЗапасМес&gt;=3,'04_Доходы'!BX132,0),IF(ЗапасМес&gt;=4,'04_Доходы'!BY132,0),IF(ЗапасМес&gt;=5,'04_Доходы'!BY132,0),IF(ЗапасМес&gt;=6,'04_Доходы'!BY132,0))</f>
        <v/>
      </c>
      <c r="BV8" s="4">
        <f>SUM(IF(ЗапасМес&gt;=1,'04_Доходы'!BW132,0),IF(ЗапасМес&gt;=2,'04_Доходы'!BX132,0),IF(ЗапасМес&gt;=3,'04_Доходы'!BY132,0),IF(ЗапасМес&gt;=4,'04_Доходы'!BY132,0),IF(ЗапасМес&gt;=5,'04_Доходы'!BY132,0),IF(ЗапасМес&gt;=6,'04_Доходы'!BY132,0))</f>
        <v/>
      </c>
      <c r="BW8" s="4">
        <f>SUM(IF(ЗапасМес&gt;=1,'04_Доходы'!BX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X8" s="4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Y8" s="4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</row>
    <row r="9">
      <c r="B9" t="inlineStr">
        <is>
          <t>Закупка на склад</t>
        </is>
      </c>
      <c r="C9" t="inlineStr">
        <is>
          <t>₽</t>
        </is>
      </c>
      <c r="D9" s="117" t="inlineStr">
        <is>
          <t>Закупаем четыре раза в год, доводя склад до цели</t>
        </is>
      </c>
      <c r="E9" s="119">
        <f>SUM(L9:W9)</f>
        <v/>
      </c>
      <c r="F9" s="119">
        <f>SUM(X9:AI9)</f>
        <v/>
      </c>
      <c r="G9" s="119">
        <f>SUM(AJ9:AU9)</f>
        <v/>
      </c>
      <c r="H9" s="119">
        <f>SUM(AV9:BG9)</f>
        <v/>
      </c>
      <c r="I9" s="119">
        <f>SUM(BH9:BS9)</f>
        <v/>
      </c>
      <c r="J9" s="5">
        <f>SUM(L9:BS9)</f>
        <v/>
      </c>
      <c r="L9" s="4">
        <f>IF(AND('03_Сеть'!L6&gt;=СтартПополнения,OR(MONTH('03_Сеть'!L6)=МесяцЗакупки1,MONTH('03_Сеть'!L6)=МесяцЗакупки2,MONTH('03_Сеть'!L6)=МесяцЗакупки3,MONTH('03_Сеть'!L6)=МесяцЗакупки4)),MAX(0,L8-(L6-L7)),0)</f>
        <v/>
      </c>
      <c r="M9" s="4">
        <f>IF(AND('03_Сеть'!M6&gt;=СтартПополнения,OR(MONTH('03_Сеть'!M6)=МесяцЗакупки1,MONTH('03_Сеть'!M6)=МесяцЗакупки2,MONTH('03_Сеть'!M6)=МесяцЗакупки3,MONTH('03_Сеть'!M6)=МесяцЗакупки4)),MAX(0,M8-(M6-M7)),0)</f>
        <v/>
      </c>
      <c r="N9" s="4">
        <f>IF(AND('03_Сеть'!N6&gt;=СтартПополнения,OR(MONTH('03_Сеть'!N6)=МесяцЗакупки1,MONTH('03_Сеть'!N6)=МесяцЗакупки2,MONTH('03_Сеть'!N6)=МесяцЗакупки3,MONTH('03_Сеть'!N6)=МесяцЗакупки4)),MAX(0,N8-(N6-N7)),0)</f>
        <v/>
      </c>
      <c r="O9" s="4">
        <f>IF(AND('03_Сеть'!O6&gt;=СтартПополнения,OR(MONTH('03_Сеть'!O6)=МесяцЗакупки1,MONTH('03_Сеть'!O6)=МесяцЗакупки2,MONTH('03_Сеть'!O6)=МесяцЗакупки3,MONTH('03_Сеть'!O6)=МесяцЗакупки4)),MAX(0,O8-(O6-O7)),0)</f>
        <v/>
      </c>
      <c r="P9" s="4">
        <f>IF(AND('03_Сеть'!P6&gt;=СтартПополнения,OR(MONTH('03_Сеть'!P6)=МесяцЗакупки1,MONTH('03_Сеть'!P6)=МесяцЗакупки2,MONTH('03_Сеть'!P6)=МесяцЗакупки3,MONTH('03_Сеть'!P6)=МесяцЗакупки4)),MAX(0,P8-(P6-P7)),0)</f>
        <v/>
      </c>
      <c r="Q9" s="4">
        <f>IF(AND('03_Сеть'!Q6&gt;=СтартПополнения,OR(MONTH('03_Сеть'!Q6)=МесяцЗакупки1,MONTH('03_Сеть'!Q6)=МесяцЗакупки2,MONTH('03_Сеть'!Q6)=МесяцЗакупки3,MONTH('03_Сеть'!Q6)=МесяцЗакупки4)),MAX(0,Q8-(Q6-Q7)),0)</f>
        <v/>
      </c>
      <c r="R9" s="4">
        <f>IF(AND('03_Сеть'!R6&gt;=СтартПополнения,OR(MONTH('03_Сеть'!R6)=МесяцЗакупки1,MONTH('03_Сеть'!R6)=МесяцЗакупки2,MONTH('03_Сеть'!R6)=МесяцЗакупки3,MONTH('03_Сеть'!R6)=МесяцЗакупки4)),MAX(0,R8-(R6-R7)),0)</f>
        <v/>
      </c>
      <c r="S9" s="4">
        <f>IF(AND('03_Сеть'!S6&gt;=СтартПополнения,OR(MONTH('03_Сеть'!S6)=МесяцЗакупки1,MONTH('03_Сеть'!S6)=МесяцЗакупки2,MONTH('03_Сеть'!S6)=МесяцЗакупки3,MONTH('03_Сеть'!S6)=МесяцЗакупки4)),MAX(0,S8-(S6-S7)),0)</f>
        <v/>
      </c>
      <c r="T9" s="4">
        <f>IF(AND('03_Сеть'!T6&gt;=СтартПополнения,OR(MONTH('03_Сеть'!T6)=МесяцЗакупки1,MONTH('03_Сеть'!T6)=МесяцЗакупки2,MONTH('03_Сеть'!T6)=МесяцЗакупки3,MONTH('03_Сеть'!T6)=МесяцЗакупки4)),MAX(0,T8-(T6-T7)),0)</f>
        <v/>
      </c>
      <c r="U9" s="4">
        <f>IF(AND('03_Сеть'!U6&gt;=СтартПополнения,OR(MONTH('03_Сеть'!U6)=МесяцЗакупки1,MONTH('03_Сеть'!U6)=МесяцЗакупки2,MONTH('03_Сеть'!U6)=МесяцЗакупки3,MONTH('03_Сеть'!U6)=МесяцЗакупки4)),MAX(0,U8-(U6-U7)),0)</f>
        <v/>
      </c>
      <c r="V9" s="4">
        <f>IF(AND('03_Сеть'!V6&gt;=СтартПополнения,OR(MONTH('03_Сеть'!V6)=МесяцЗакупки1,MONTH('03_Сеть'!V6)=МесяцЗакупки2,MONTH('03_Сеть'!V6)=МесяцЗакупки3,MONTH('03_Сеть'!V6)=МесяцЗакупки4)),MAX(0,V8-(V6-V7)),0)</f>
        <v/>
      </c>
      <c r="W9" s="4">
        <f>IF(AND('03_Сеть'!W6&gt;=СтартПополнения,OR(MONTH('03_Сеть'!W6)=МесяцЗакупки1,MONTH('03_Сеть'!W6)=МесяцЗакупки2,MONTH('03_Сеть'!W6)=МесяцЗакупки3,MONTH('03_Сеть'!W6)=МесяцЗакупки4)),MAX(0,W8-(W6-W7)),0)</f>
        <v/>
      </c>
      <c r="X9" s="4">
        <f>IF(AND('03_Сеть'!X6&gt;=СтартПополнения,OR(MONTH('03_Сеть'!X6)=МесяцЗакупки1,MONTH('03_Сеть'!X6)=МесяцЗакупки2,MONTH('03_Сеть'!X6)=МесяцЗакупки3,MONTH('03_Сеть'!X6)=МесяцЗакупки4)),MAX(0,X8-(X6-X7)),0)</f>
        <v/>
      </c>
      <c r="Y9" s="4">
        <f>IF(AND('03_Сеть'!Y6&gt;=СтартПополнения,OR(MONTH('03_Сеть'!Y6)=МесяцЗакупки1,MONTH('03_Сеть'!Y6)=МесяцЗакупки2,MONTH('03_Сеть'!Y6)=МесяцЗакупки3,MONTH('03_Сеть'!Y6)=МесяцЗакупки4)),MAX(0,Y8-(Y6-Y7)),0)</f>
        <v/>
      </c>
      <c r="Z9" s="4">
        <f>IF(AND('03_Сеть'!Z6&gt;=СтартПополнения,OR(MONTH('03_Сеть'!Z6)=МесяцЗакупки1,MONTH('03_Сеть'!Z6)=МесяцЗакупки2,MONTH('03_Сеть'!Z6)=МесяцЗакупки3,MONTH('03_Сеть'!Z6)=МесяцЗакупки4)),MAX(0,Z8-(Z6-Z7)),0)</f>
        <v/>
      </c>
      <c r="AA9" s="4">
        <f>IF(AND('03_Сеть'!AA6&gt;=СтартПополнения,OR(MONTH('03_Сеть'!AA6)=МесяцЗакупки1,MONTH('03_Сеть'!AA6)=МесяцЗакупки2,MONTH('03_Сеть'!AA6)=МесяцЗакупки3,MONTH('03_Сеть'!AA6)=МесяцЗакупки4)),MAX(0,AA8-(AA6-AA7)),0)</f>
        <v/>
      </c>
      <c r="AB9" s="4">
        <f>IF(AND('03_Сеть'!AB6&gt;=СтартПополнения,OR(MONTH('03_Сеть'!AB6)=МесяцЗакупки1,MONTH('03_Сеть'!AB6)=МесяцЗакупки2,MONTH('03_Сеть'!AB6)=МесяцЗакупки3,MONTH('03_Сеть'!AB6)=МесяцЗакупки4)),MAX(0,AB8-(AB6-AB7)),0)</f>
        <v/>
      </c>
      <c r="AC9" s="4">
        <f>IF(AND('03_Сеть'!AC6&gt;=СтартПополнения,OR(MONTH('03_Сеть'!AC6)=МесяцЗакупки1,MONTH('03_Сеть'!AC6)=МесяцЗакупки2,MONTH('03_Сеть'!AC6)=МесяцЗакупки3,MONTH('03_Сеть'!AC6)=МесяцЗакупки4)),MAX(0,AC8-(AC6-AC7)),0)</f>
        <v/>
      </c>
      <c r="AD9" s="4">
        <f>IF(AND('03_Сеть'!AD6&gt;=СтартПополнения,OR(MONTH('03_Сеть'!AD6)=МесяцЗакупки1,MONTH('03_Сеть'!AD6)=МесяцЗакупки2,MONTH('03_Сеть'!AD6)=МесяцЗакупки3,MONTH('03_Сеть'!AD6)=МесяцЗакупки4)),MAX(0,AD8-(AD6-AD7)),0)</f>
        <v/>
      </c>
      <c r="AE9" s="4">
        <f>IF(AND('03_Сеть'!AE6&gt;=СтартПополнения,OR(MONTH('03_Сеть'!AE6)=МесяцЗакупки1,MONTH('03_Сеть'!AE6)=МесяцЗакупки2,MONTH('03_Сеть'!AE6)=МесяцЗакупки3,MONTH('03_Сеть'!AE6)=МесяцЗакупки4)),MAX(0,AE8-(AE6-AE7)),0)</f>
        <v/>
      </c>
      <c r="AF9" s="4">
        <f>IF(AND('03_Сеть'!AF6&gt;=СтартПополнения,OR(MONTH('03_Сеть'!AF6)=МесяцЗакупки1,MONTH('03_Сеть'!AF6)=МесяцЗакупки2,MONTH('03_Сеть'!AF6)=МесяцЗакупки3,MONTH('03_Сеть'!AF6)=МесяцЗакупки4)),MAX(0,AF8-(AF6-AF7)),0)</f>
        <v/>
      </c>
      <c r="AG9" s="4">
        <f>IF(AND('03_Сеть'!AG6&gt;=СтартПополнения,OR(MONTH('03_Сеть'!AG6)=МесяцЗакупки1,MONTH('03_Сеть'!AG6)=МесяцЗакупки2,MONTH('03_Сеть'!AG6)=МесяцЗакупки3,MONTH('03_Сеть'!AG6)=МесяцЗакупки4)),MAX(0,AG8-(AG6-AG7)),0)</f>
        <v/>
      </c>
      <c r="AH9" s="4">
        <f>IF(AND('03_Сеть'!AH6&gt;=СтартПополнения,OR(MONTH('03_Сеть'!AH6)=МесяцЗакупки1,MONTH('03_Сеть'!AH6)=МесяцЗакупки2,MONTH('03_Сеть'!AH6)=МесяцЗакупки3,MONTH('03_Сеть'!AH6)=МесяцЗакупки4)),MAX(0,AH8-(AH6-AH7)),0)</f>
        <v/>
      </c>
      <c r="AI9" s="4">
        <f>IF(AND('03_Сеть'!AI6&gt;=СтартПополнения,OR(MONTH('03_Сеть'!AI6)=МесяцЗакупки1,MONTH('03_Сеть'!AI6)=МесяцЗакупки2,MONTH('03_Сеть'!AI6)=МесяцЗакупки3,MONTH('03_Сеть'!AI6)=МесяцЗакупки4)),MAX(0,AI8-(AI6-AI7)),0)</f>
        <v/>
      </c>
      <c r="AJ9" s="4">
        <f>IF(AND('03_Сеть'!AJ6&gt;=СтартПополнения,OR(MONTH('03_Сеть'!AJ6)=МесяцЗакупки1,MONTH('03_Сеть'!AJ6)=МесяцЗакупки2,MONTH('03_Сеть'!AJ6)=МесяцЗакупки3,MONTH('03_Сеть'!AJ6)=МесяцЗакупки4)),MAX(0,AJ8-(AJ6-AJ7)),0)</f>
        <v/>
      </c>
      <c r="AK9" s="4">
        <f>IF(AND('03_Сеть'!AK6&gt;=СтартПополнения,OR(MONTH('03_Сеть'!AK6)=МесяцЗакупки1,MONTH('03_Сеть'!AK6)=МесяцЗакупки2,MONTH('03_Сеть'!AK6)=МесяцЗакупки3,MONTH('03_Сеть'!AK6)=МесяцЗакупки4)),MAX(0,AK8-(AK6-AK7)),0)</f>
        <v/>
      </c>
      <c r="AL9" s="4">
        <f>IF(AND('03_Сеть'!AL6&gt;=СтартПополнения,OR(MONTH('03_Сеть'!AL6)=МесяцЗакупки1,MONTH('03_Сеть'!AL6)=МесяцЗакупки2,MONTH('03_Сеть'!AL6)=МесяцЗакупки3,MONTH('03_Сеть'!AL6)=МесяцЗакупки4)),MAX(0,AL8-(AL6-AL7)),0)</f>
        <v/>
      </c>
      <c r="AM9" s="4">
        <f>IF(AND('03_Сеть'!AM6&gt;=СтартПополнения,OR(MONTH('03_Сеть'!AM6)=МесяцЗакупки1,MONTH('03_Сеть'!AM6)=МесяцЗакупки2,MONTH('03_Сеть'!AM6)=МесяцЗакупки3,MONTH('03_Сеть'!AM6)=МесяцЗакупки4)),MAX(0,AM8-(AM6-AM7)),0)</f>
        <v/>
      </c>
      <c r="AN9" s="4">
        <f>IF(AND('03_Сеть'!AN6&gt;=СтартПополнения,OR(MONTH('03_Сеть'!AN6)=МесяцЗакупки1,MONTH('03_Сеть'!AN6)=МесяцЗакупки2,MONTH('03_Сеть'!AN6)=МесяцЗакупки3,MONTH('03_Сеть'!AN6)=МесяцЗакупки4)),MAX(0,AN8-(AN6-AN7)),0)</f>
        <v/>
      </c>
      <c r="AO9" s="4">
        <f>IF(AND('03_Сеть'!AO6&gt;=СтартПополнения,OR(MONTH('03_Сеть'!AO6)=МесяцЗакупки1,MONTH('03_Сеть'!AO6)=МесяцЗакупки2,MONTH('03_Сеть'!AO6)=МесяцЗакупки3,MONTH('03_Сеть'!AO6)=МесяцЗакупки4)),MAX(0,AO8-(AO6-AO7)),0)</f>
        <v/>
      </c>
      <c r="AP9" s="4">
        <f>IF(AND('03_Сеть'!AP6&gt;=СтартПополнения,OR(MONTH('03_Сеть'!AP6)=МесяцЗакупки1,MONTH('03_Сеть'!AP6)=МесяцЗакупки2,MONTH('03_Сеть'!AP6)=МесяцЗакупки3,MONTH('03_Сеть'!AP6)=МесяцЗакупки4)),MAX(0,AP8-(AP6-AP7)),0)</f>
        <v/>
      </c>
      <c r="AQ9" s="4">
        <f>IF(AND('03_Сеть'!AQ6&gt;=СтартПополнения,OR(MONTH('03_Сеть'!AQ6)=МесяцЗакупки1,MONTH('03_Сеть'!AQ6)=МесяцЗакупки2,MONTH('03_Сеть'!AQ6)=МесяцЗакупки3,MONTH('03_Сеть'!AQ6)=МесяцЗакупки4)),MAX(0,AQ8-(AQ6-AQ7)),0)</f>
        <v/>
      </c>
      <c r="AR9" s="4">
        <f>IF(AND('03_Сеть'!AR6&gt;=СтартПополнения,OR(MONTH('03_Сеть'!AR6)=МесяцЗакупки1,MONTH('03_Сеть'!AR6)=МесяцЗакупки2,MONTH('03_Сеть'!AR6)=МесяцЗакупки3,MONTH('03_Сеть'!AR6)=МесяцЗакупки4)),MAX(0,AR8-(AR6-AR7)),0)</f>
        <v/>
      </c>
      <c r="AS9" s="4">
        <f>IF(AND('03_Сеть'!AS6&gt;=СтартПополнения,OR(MONTH('03_Сеть'!AS6)=МесяцЗакупки1,MONTH('03_Сеть'!AS6)=МесяцЗакупки2,MONTH('03_Сеть'!AS6)=МесяцЗакупки3,MONTH('03_Сеть'!AS6)=МесяцЗакупки4)),MAX(0,AS8-(AS6-AS7)),0)</f>
        <v/>
      </c>
      <c r="AT9" s="4">
        <f>IF(AND('03_Сеть'!AT6&gt;=СтартПополнения,OR(MONTH('03_Сеть'!AT6)=МесяцЗакупки1,MONTH('03_Сеть'!AT6)=МесяцЗакупки2,MONTH('03_Сеть'!AT6)=МесяцЗакупки3,MONTH('03_Сеть'!AT6)=МесяцЗакупки4)),MAX(0,AT8-(AT6-AT7)),0)</f>
        <v/>
      </c>
      <c r="AU9" s="4">
        <f>IF(AND('03_Сеть'!AU6&gt;=СтартПополнения,OR(MONTH('03_Сеть'!AU6)=МесяцЗакупки1,MONTH('03_Сеть'!AU6)=МесяцЗакупки2,MONTH('03_Сеть'!AU6)=МесяцЗакупки3,MONTH('03_Сеть'!AU6)=МесяцЗакупки4)),MAX(0,AU8-(AU6-AU7)),0)</f>
        <v/>
      </c>
      <c r="AV9" s="4">
        <f>IF(AND('03_Сеть'!AV6&gt;=СтартПополнения,OR(MONTH('03_Сеть'!AV6)=МесяцЗакупки1,MONTH('03_Сеть'!AV6)=МесяцЗакупки2,MONTH('03_Сеть'!AV6)=МесяцЗакупки3,MONTH('03_Сеть'!AV6)=МесяцЗакупки4)),MAX(0,AV8-(AV6-AV7)),0)</f>
        <v/>
      </c>
      <c r="AW9" s="4">
        <f>IF(AND('03_Сеть'!AW6&gt;=СтартПополнения,OR(MONTH('03_Сеть'!AW6)=МесяцЗакупки1,MONTH('03_Сеть'!AW6)=МесяцЗакупки2,MONTH('03_Сеть'!AW6)=МесяцЗакупки3,MONTH('03_Сеть'!AW6)=МесяцЗакупки4)),MAX(0,AW8-(AW6-AW7)),0)</f>
        <v/>
      </c>
      <c r="AX9" s="4">
        <f>IF(AND('03_Сеть'!AX6&gt;=СтартПополнения,OR(MONTH('03_Сеть'!AX6)=МесяцЗакупки1,MONTH('03_Сеть'!AX6)=МесяцЗакупки2,MONTH('03_Сеть'!AX6)=МесяцЗакупки3,MONTH('03_Сеть'!AX6)=МесяцЗакупки4)),MAX(0,AX8-(AX6-AX7)),0)</f>
        <v/>
      </c>
      <c r="AY9" s="4">
        <f>IF(AND('03_Сеть'!AY6&gt;=СтартПополнения,OR(MONTH('03_Сеть'!AY6)=МесяцЗакупки1,MONTH('03_Сеть'!AY6)=МесяцЗакупки2,MONTH('03_Сеть'!AY6)=МесяцЗакупки3,MONTH('03_Сеть'!AY6)=МесяцЗакупки4)),MAX(0,AY8-(AY6-AY7)),0)</f>
        <v/>
      </c>
      <c r="AZ9" s="4">
        <f>IF(AND('03_Сеть'!AZ6&gt;=СтартПополнения,OR(MONTH('03_Сеть'!AZ6)=МесяцЗакупки1,MONTH('03_Сеть'!AZ6)=МесяцЗакупки2,MONTH('03_Сеть'!AZ6)=МесяцЗакупки3,MONTH('03_Сеть'!AZ6)=МесяцЗакупки4)),MAX(0,AZ8-(AZ6-AZ7)),0)</f>
        <v/>
      </c>
      <c r="BA9" s="4">
        <f>IF(AND('03_Сеть'!BA6&gt;=СтартПополнения,OR(MONTH('03_Сеть'!BA6)=МесяцЗакупки1,MONTH('03_Сеть'!BA6)=МесяцЗакупки2,MONTH('03_Сеть'!BA6)=МесяцЗакупки3,MONTH('03_Сеть'!BA6)=МесяцЗакупки4)),MAX(0,BA8-(BA6-BA7)),0)</f>
        <v/>
      </c>
      <c r="BB9" s="4">
        <f>IF(AND('03_Сеть'!BB6&gt;=СтартПополнения,OR(MONTH('03_Сеть'!BB6)=МесяцЗакупки1,MONTH('03_Сеть'!BB6)=МесяцЗакупки2,MONTH('03_Сеть'!BB6)=МесяцЗакупки3,MONTH('03_Сеть'!BB6)=МесяцЗакупки4)),MAX(0,BB8-(BB6-BB7)),0)</f>
        <v/>
      </c>
      <c r="BC9" s="4">
        <f>IF(AND('03_Сеть'!BC6&gt;=СтартПополнения,OR(MONTH('03_Сеть'!BC6)=МесяцЗакупки1,MONTH('03_Сеть'!BC6)=МесяцЗакупки2,MONTH('03_Сеть'!BC6)=МесяцЗакупки3,MONTH('03_Сеть'!BC6)=МесяцЗакупки4)),MAX(0,BC8-(BC6-BC7)),0)</f>
        <v/>
      </c>
      <c r="BD9" s="4">
        <f>IF(AND('03_Сеть'!BD6&gt;=СтартПополнения,OR(MONTH('03_Сеть'!BD6)=МесяцЗакупки1,MONTH('03_Сеть'!BD6)=МесяцЗакупки2,MONTH('03_Сеть'!BD6)=МесяцЗакупки3,MONTH('03_Сеть'!BD6)=МесяцЗакупки4)),MAX(0,BD8-(BD6-BD7)),0)</f>
        <v/>
      </c>
      <c r="BE9" s="4">
        <f>IF(AND('03_Сеть'!BE6&gt;=СтартПополнения,OR(MONTH('03_Сеть'!BE6)=МесяцЗакупки1,MONTH('03_Сеть'!BE6)=МесяцЗакупки2,MONTH('03_Сеть'!BE6)=МесяцЗакупки3,MONTH('03_Сеть'!BE6)=МесяцЗакупки4)),MAX(0,BE8-(BE6-BE7)),0)</f>
        <v/>
      </c>
      <c r="BF9" s="4">
        <f>IF(AND('03_Сеть'!BF6&gt;=СтартПополнения,OR(MONTH('03_Сеть'!BF6)=МесяцЗакупки1,MONTH('03_Сеть'!BF6)=МесяцЗакупки2,MONTH('03_Сеть'!BF6)=МесяцЗакупки3,MONTH('03_Сеть'!BF6)=МесяцЗакупки4)),MAX(0,BF8-(BF6-BF7)),0)</f>
        <v/>
      </c>
      <c r="BG9" s="4">
        <f>IF(AND('03_Сеть'!BG6&gt;=СтартПополнения,OR(MONTH('03_Сеть'!BG6)=МесяцЗакупки1,MONTH('03_Сеть'!BG6)=МесяцЗакупки2,MONTH('03_Сеть'!BG6)=МесяцЗакупки3,MONTH('03_Сеть'!BG6)=МесяцЗакупки4)),MAX(0,BG8-(BG6-BG7)),0)</f>
        <v/>
      </c>
      <c r="BH9" s="4">
        <f>IF(AND('03_Сеть'!BH6&gt;=СтартПополнения,OR(MONTH('03_Сеть'!BH6)=МесяцЗакупки1,MONTH('03_Сеть'!BH6)=МесяцЗакупки2,MONTH('03_Сеть'!BH6)=МесяцЗакупки3,MONTH('03_Сеть'!BH6)=МесяцЗакупки4)),MAX(0,BH8-(BH6-BH7)),0)</f>
        <v/>
      </c>
      <c r="BI9" s="4">
        <f>IF(AND('03_Сеть'!BI6&gt;=СтартПополнения,OR(MONTH('03_Сеть'!BI6)=МесяцЗакупки1,MONTH('03_Сеть'!BI6)=МесяцЗакупки2,MONTH('03_Сеть'!BI6)=МесяцЗакупки3,MONTH('03_Сеть'!BI6)=МесяцЗакупки4)),MAX(0,BI8-(BI6-BI7)),0)</f>
        <v/>
      </c>
      <c r="BJ9" s="4">
        <f>IF(AND('03_Сеть'!BJ6&gt;=СтартПополнения,OR(MONTH('03_Сеть'!BJ6)=МесяцЗакупки1,MONTH('03_Сеть'!BJ6)=МесяцЗакупки2,MONTH('03_Сеть'!BJ6)=МесяцЗакупки3,MONTH('03_Сеть'!BJ6)=МесяцЗакупки4)),MAX(0,BJ8-(BJ6-BJ7)),0)</f>
        <v/>
      </c>
      <c r="BK9" s="4">
        <f>IF(AND('03_Сеть'!BK6&gt;=СтартПополнения,OR(MONTH('03_Сеть'!BK6)=МесяцЗакупки1,MONTH('03_Сеть'!BK6)=МесяцЗакупки2,MONTH('03_Сеть'!BK6)=МесяцЗакупки3,MONTH('03_Сеть'!BK6)=МесяцЗакупки4)),MAX(0,BK8-(BK6-BK7)),0)</f>
        <v/>
      </c>
      <c r="BL9" s="4">
        <f>IF(AND('03_Сеть'!BL6&gt;=СтартПополнения,OR(MONTH('03_Сеть'!BL6)=МесяцЗакупки1,MONTH('03_Сеть'!BL6)=МесяцЗакупки2,MONTH('03_Сеть'!BL6)=МесяцЗакупки3,MONTH('03_Сеть'!BL6)=МесяцЗакупки4)),MAX(0,BL8-(BL6-BL7)),0)</f>
        <v/>
      </c>
      <c r="BM9" s="4">
        <f>IF(AND('03_Сеть'!BM6&gt;=СтартПополнения,OR(MONTH('03_Сеть'!BM6)=МесяцЗакупки1,MONTH('03_Сеть'!BM6)=МесяцЗакупки2,MONTH('03_Сеть'!BM6)=МесяцЗакупки3,MONTH('03_Сеть'!BM6)=МесяцЗакупки4)),MAX(0,BM8-(BM6-BM7)),0)</f>
        <v/>
      </c>
      <c r="BN9" s="4">
        <f>IF(AND('03_Сеть'!BN6&gt;=СтартПополнения,OR(MONTH('03_Сеть'!BN6)=МесяцЗакупки1,MONTH('03_Сеть'!BN6)=МесяцЗакупки2,MONTH('03_Сеть'!BN6)=МесяцЗакупки3,MONTH('03_Сеть'!BN6)=МесяцЗакупки4)),MAX(0,BN8-(BN6-BN7)),0)</f>
        <v/>
      </c>
      <c r="BO9" s="4">
        <f>IF(AND('03_Сеть'!BO6&gt;=СтартПополнения,OR(MONTH('03_Сеть'!BO6)=МесяцЗакупки1,MONTH('03_Сеть'!BO6)=МесяцЗакупки2,MONTH('03_Сеть'!BO6)=МесяцЗакупки3,MONTH('03_Сеть'!BO6)=МесяцЗакупки4)),MAX(0,BO8-(BO6-BO7)),0)</f>
        <v/>
      </c>
      <c r="BP9" s="4">
        <f>IF(AND('03_Сеть'!BP6&gt;=СтартПополнения,OR(MONTH('03_Сеть'!BP6)=МесяцЗакупки1,MONTH('03_Сеть'!BP6)=МесяцЗакупки2,MONTH('03_Сеть'!BP6)=МесяцЗакупки3,MONTH('03_Сеть'!BP6)=МесяцЗакупки4)),MAX(0,BP8-(BP6-BP7)),0)</f>
        <v/>
      </c>
      <c r="BQ9" s="4">
        <f>IF(AND('03_Сеть'!BQ6&gt;=СтартПополнения,OR(MONTH('03_Сеть'!BQ6)=МесяцЗакупки1,MONTH('03_Сеть'!BQ6)=МесяцЗакупки2,MONTH('03_Сеть'!BQ6)=МесяцЗакупки3,MONTH('03_Сеть'!BQ6)=МесяцЗакупки4)),MAX(0,BQ8-(BQ6-BQ7)),0)</f>
        <v/>
      </c>
      <c r="BR9" s="4">
        <f>IF(AND('03_Сеть'!BR6&gt;=СтартПополнения,OR(MONTH('03_Сеть'!BR6)=МесяцЗакупки1,MONTH('03_Сеть'!BR6)=МесяцЗакупки2,MONTH('03_Сеть'!BR6)=МесяцЗакупки3,MONTH('03_Сеть'!BR6)=МесяцЗакупки4)),MAX(0,BR8-(BR6-BR7)),0)</f>
        <v/>
      </c>
      <c r="BS9" s="4">
        <f>IF(AND('03_Сеть'!BS6&gt;=СтартПополнения,OR(MONTH('03_Сеть'!BS6)=МесяцЗакупки1,MONTH('03_Сеть'!BS6)=МесяцЗакупки2,MONTH('03_Сеть'!BS6)=МесяцЗакупки3,MONTH('03_Сеть'!BS6)=МесяцЗакупки4)),MAX(0,BS8-(BS6-BS7)),0)</f>
        <v/>
      </c>
      <c r="BT9" s="4">
        <f>IF(AND('03_Сеть'!BT6&gt;=СтартПополнения,OR(MONTH('03_Сеть'!BT6)=МесяцЗакупки1,MONTH('03_Сеть'!BT6)=МесяцЗакупки2,MONTH('03_Сеть'!BT6)=МесяцЗакупки3,MONTH('03_Сеть'!BT6)=МесяцЗакупки4)),MAX(0,BT8-(BT6-BT7)),0)</f>
        <v/>
      </c>
      <c r="BU9" s="4">
        <f>IF(AND('03_Сеть'!BU6&gt;=СтартПополнения,OR(MONTH('03_Сеть'!BU6)=МесяцЗакупки1,MONTH('03_Сеть'!BU6)=МесяцЗакупки2,MONTH('03_Сеть'!BU6)=МесяцЗакупки3,MONTH('03_Сеть'!BU6)=МесяцЗакупки4)),MAX(0,BU8-(BU6-BU7)),0)</f>
        <v/>
      </c>
      <c r="BV9" s="4">
        <f>IF(AND('03_Сеть'!BV6&gt;=СтартПополнения,OR(MONTH('03_Сеть'!BV6)=МесяцЗакупки1,MONTH('03_Сеть'!BV6)=МесяцЗакупки2,MONTH('03_Сеть'!BV6)=МесяцЗакупки3,MONTH('03_Сеть'!BV6)=МесяцЗакупки4)),MAX(0,BV8-(BV6-BV7)),0)</f>
        <v/>
      </c>
      <c r="BW9" s="4">
        <f>IF(AND('03_Сеть'!BW6&gt;=СтартПополнения,OR(MONTH('03_Сеть'!BW6)=МесяцЗакупки1,MONTH('03_Сеть'!BW6)=МесяцЗакупки2,MONTH('03_Сеть'!BW6)=МесяцЗакупки3,MONTH('03_Сеть'!BW6)=МесяцЗакупки4)),MAX(0,BW8-(BW6-BW7)),0)</f>
        <v/>
      </c>
      <c r="BX9" s="4">
        <f>IF(AND('03_Сеть'!BX6&gt;=СтартПополнения,OR(MONTH('03_Сеть'!BX6)=МесяцЗакупки1,MONTH('03_Сеть'!BX6)=МесяцЗакупки2,MONTH('03_Сеть'!BX6)=МесяцЗакупки3,MONTH('03_Сеть'!BX6)=МесяцЗакупки4)),MAX(0,BX8-(BX6-BX7)),0)</f>
        <v/>
      </c>
      <c r="BY9" s="4">
        <f>IF(AND('03_Сеть'!BY6&gt;=СтартПополнения,OR(MONTH('03_Сеть'!BY6)=МесяцЗакупки1,MONTH('03_Сеть'!BY6)=МесяцЗакупки2,MONTH('03_Сеть'!BY6)=МесяцЗакупки3,MONTH('03_Сеть'!BY6)=МесяцЗакупки4)),MAX(0,BY8-(BY6-BY7)),0)</f>
        <v/>
      </c>
    </row>
    <row r="10">
      <c r="B10" s="6" t="inlineStr">
        <is>
          <t>Склад на конец</t>
        </is>
      </c>
      <c r="C10" s="6" t="inlineStr">
        <is>
          <t>₽</t>
        </is>
      </c>
      <c r="D10" s="120" t="inlineStr">
        <is>
          <t>Минус означает необеспеченный спрос</t>
        </is>
      </c>
      <c r="E10" s="121">
        <f>W10</f>
        <v/>
      </c>
      <c r="F10" s="121">
        <f>AI10</f>
        <v/>
      </c>
      <c r="G10" s="121">
        <f>AU10</f>
        <v/>
      </c>
      <c r="H10" s="121">
        <f>BG10</f>
        <v/>
      </c>
      <c r="I10" s="121">
        <f>BS10</f>
        <v/>
      </c>
      <c r="J10" s="8">
        <f>BS10</f>
        <v/>
      </c>
      <c r="L10" s="7">
        <f>L6+L9-L7</f>
        <v/>
      </c>
      <c r="M10" s="7">
        <f>M6+M9-M7</f>
        <v/>
      </c>
      <c r="N10" s="7">
        <f>N6+N9-N7</f>
        <v/>
      </c>
      <c r="O10" s="7">
        <f>O6+O9-O7</f>
        <v/>
      </c>
      <c r="P10" s="7">
        <f>P6+P9-P7</f>
        <v/>
      </c>
      <c r="Q10" s="7">
        <f>Q6+Q9-Q7</f>
        <v/>
      </c>
      <c r="R10" s="7">
        <f>R6+R9-R7</f>
        <v/>
      </c>
      <c r="S10" s="7">
        <f>S6+S9-S7</f>
        <v/>
      </c>
      <c r="T10" s="7">
        <f>T6+T9-T7</f>
        <v/>
      </c>
      <c r="U10" s="7">
        <f>U6+U9-U7</f>
        <v/>
      </c>
      <c r="V10" s="7">
        <f>V6+V9-V7</f>
        <v/>
      </c>
      <c r="W10" s="7">
        <f>W6+W9-W7</f>
        <v/>
      </c>
      <c r="X10" s="7">
        <f>X6+X9-X7</f>
        <v/>
      </c>
      <c r="Y10" s="7">
        <f>Y6+Y9-Y7</f>
        <v/>
      </c>
      <c r="Z10" s="7">
        <f>Z6+Z9-Z7</f>
        <v/>
      </c>
      <c r="AA10" s="7">
        <f>AA6+AA9-AA7</f>
        <v/>
      </c>
      <c r="AB10" s="7">
        <f>AB6+AB9-AB7</f>
        <v/>
      </c>
      <c r="AC10" s="7">
        <f>AC6+AC9-AC7</f>
        <v/>
      </c>
      <c r="AD10" s="7">
        <f>AD6+AD9-AD7</f>
        <v/>
      </c>
      <c r="AE10" s="7">
        <f>AE6+AE9-AE7</f>
        <v/>
      </c>
      <c r="AF10" s="7">
        <f>AF6+AF9-AF7</f>
        <v/>
      </c>
      <c r="AG10" s="7">
        <f>AG6+AG9-AG7</f>
        <v/>
      </c>
      <c r="AH10" s="7">
        <f>AH6+AH9-AH7</f>
        <v/>
      </c>
      <c r="AI10" s="7">
        <f>AI6+AI9-AI7</f>
        <v/>
      </c>
      <c r="AJ10" s="7">
        <f>AJ6+AJ9-AJ7</f>
        <v/>
      </c>
      <c r="AK10" s="7">
        <f>AK6+AK9-AK7</f>
        <v/>
      </c>
      <c r="AL10" s="7">
        <f>AL6+AL9-AL7</f>
        <v/>
      </c>
      <c r="AM10" s="7">
        <f>AM6+AM9-AM7</f>
        <v/>
      </c>
      <c r="AN10" s="7">
        <f>AN6+AN9-AN7</f>
        <v/>
      </c>
      <c r="AO10" s="7">
        <f>AO6+AO9-AO7</f>
        <v/>
      </c>
      <c r="AP10" s="7">
        <f>AP6+AP9-AP7</f>
        <v/>
      </c>
      <c r="AQ10" s="7">
        <f>AQ6+AQ9-AQ7</f>
        <v/>
      </c>
      <c r="AR10" s="7">
        <f>AR6+AR9-AR7</f>
        <v/>
      </c>
      <c r="AS10" s="7">
        <f>AS6+AS9-AS7</f>
        <v/>
      </c>
      <c r="AT10" s="7">
        <f>AT6+AT9-AT7</f>
        <v/>
      </c>
      <c r="AU10" s="7">
        <f>AU6+AU9-AU7</f>
        <v/>
      </c>
      <c r="AV10" s="7">
        <f>AV6+AV9-AV7</f>
        <v/>
      </c>
      <c r="AW10" s="7">
        <f>AW6+AW9-AW7</f>
        <v/>
      </c>
      <c r="AX10" s="7">
        <f>AX6+AX9-AX7</f>
        <v/>
      </c>
      <c r="AY10" s="7">
        <f>AY6+AY9-AY7</f>
        <v/>
      </c>
      <c r="AZ10" s="7">
        <f>AZ6+AZ9-AZ7</f>
        <v/>
      </c>
      <c r="BA10" s="7">
        <f>BA6+BA9-BA7</f>
        <v/>
      </c>
      <c r="BB10" s="7">
        <f>BB6+BB9-BB7</f>
        <v/>
      </c>
      <c r="BC10" s="7">
        <f>BC6+BC9-BC7</f>
        <v/>
      </c>
      <c r="BD10" s="7">
        <f>BD6+BD9-BD7</f>
        <v/>
      </c>
      <c r="BE10" s="7">
        <f>BE6+BE9-BE7</f>
        <v/>
      </c>
      <c r="BF10" s="7">
        <f>BF6+BF9-BF7</f>
        <v/>
      </c>
      <c r="BG10" s="7">
        <f>BG6+BG9-BG7</f>
        <v/>
      </c>
      <c r="BH10" s="7">
        <f>BH6+BH9-BH7</f>
        <v/>
      </c>
      <c r="BI10" s="7">
        <f>BI6+BI9-BI7</f>
        <v/>
      </c>
      <c r="BJ10" s="7">
        <f>BJ6+BJ9-BJ7</f>
        <v/>
      </c>
      <c r="BK10" s="7">
        <f>BK6+BK9-BK7</f>
        <v/>
      </c>
      <c r="BL10" s="7">
        <f>BL6+BL9-BL7</f>
        <v/>
      </c>
      <c r="BM10" s="7">
        <f>BM6+BM9-BM7</f>
        <v/>
      </c>
      <c r="BN10" s="7">
        <f>BN6+BN9-BN7</f>
        <v/>
      </c>
      <c r="BO10" s="7">
        <f>BO6+BO9-BO7</f>
        <v/>
      </c>
      <c r="BP10" s="7">
        <f>BP6+BP9-BP7</f>
        <v/>
      </c>
      <c r="BQ10" s="7">
        <f>BQ6+BQ9-BQ7</f>
        <v/>
      </c>
      <c r="BR10" s="7">
        <f>BR6+BR9-BR7</f>
        <v/>
      </c>
      <c r="BS10" s="7">
        <f>BS6+BS9-BS7</f>
        <v/>
      </c>
      <c r="BT10" s="7">
        <f>BT6+BT9-BT7</f>
        <v/>
      </c>
      <c r="BU10" s="7">
        <f>BU6+BU9-BU7</f>
        <v/>
      </c>
      <c r="BV10" s="7">
        <f>BV6+BV9-BV7</f>
        <v/>
      </c>
      <c r="BW10" s="7">
        <f>BW6+BW9-BW7</f>
        <v/>
      </c>
      <c r="BX10" s="7">
        <f>BX6+BX9-BX7</f>
        <v/>
      </c>
      <c r="BY10" s="7">
        <f>BY6+BY9-BY7</f>
        <v/>
      </c>
    </row>
    <row r="11"/>
    <row r="12">
      <c r="B12" s="115" t="inlineStr">
        <is>
          <t>Займ на мерч</t>
        </is>
      </c>
      <c r="C12" s="116" t="n"/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116" t="n"/>
      <c r="AS12" s="116" t="n"/>
      <c r="AT12" s="116" t="n"/>
      <c r="AU12" s="116" t="n"/>
      <c r="AV12" s="116" t="n"/>
      <c r="AW12" s="116" t="n"/>
      <c r="AX12" s="116" t="n"/>
      <c r="AY12" s="116" t="n"/>
      <c r="AZ12" s="116" t="n"/>
      <c r="BA12" s="116" t="n"/>
      <c r="BB12" s="116" t="n"/>
      <c r="BC12" s="116" t="n"/>
      <c r="BD12" s="116" t="n"/>
      <c r="BE12" s="116" t="n"/>
      <c r="BF12" s="116" t="n"/>
      <c r="BG12" s="116" t="n"/>
      <c r="BH12" s="116" t="n"/>
      <c r="BI12" s="116" t="n"/>
      <c r="BJ12" s="116" t="n"/>
      <c r="BK12" s="116" t="n"/>
      <c r="BL12" s="116" t="n"/>
      <c r="BM12" s="116" t="n"/>
      <c r="BN12" s="116" t="n"/>
      <c r="BO12" s="116" t="n"/>
      <c r="BP12" s="116" t="n"/>
      <c r="BQ12" s="116" t="n"/>
      <c r="BR12" s="116" t="n"/>
      <c r="BS12" s="116" t="n"/>
      <c r="BT12" s="116" t="n"/>
      <c r="BU12" s="116" t="n"/>
      <c r="BV12" s="116" t="n"/>
      <c r="BW12" s="116" t="n"/>
      <c r="BX12" s="116" t="n"/>
      <c r="BY12" s="116" t="n"/>
    </row>
    <row r="13">
      <c r="B13" t="inlineStr">
        <is>
          <t>Займ на начало</t>
        </is>
      </c>
      <c r="C13" t="inlineStr">
        <is>
          <t>₽</t>
        </is>
      </c>
      <c r="D13" s="117" t="inlineStr"/>
      <c r="E13" s="119">
        <f>W13</f>
        <v/>
      </c>
      <c r="F13" s="119">
        <f>AI13</f>
        <v/>
      </c>
      <c r="G13" s="119">
        <f>AU13</f>
        <v/>
      </c>
      <c r="H13" s="119">
        <f>BG13</f>
        <v/>
      </c>
      <c r="I13" s="119">
        <f>BS13</f>
        <v/>
      </c>
      <c r="J13" s="5">
        <f>BS13</f>
        <v/>
      </c>
      <c r="L13" s="4">
        <f>ЗаймСтарт</f>
        <v/>
      </c>
      <c r="M13" s="4">
        <f>L16</f>
        <v/>
      </c>
      <c r="N13" s="4">
        <f>M16</f>
        <v/>
      </c>
      <c r="O13" s="4">
        <f>N16</f>
        <v/>
      </c>
      <c r="P13" s="4">
        <f>O16</f>
        <v/>
      </c>
      <c r="Q13" s="4">
        <f>P16</f>
        <v/>
      </c>
      <c r="R13" s="4">
        <f>Q16</f>
        <v/>
      </c>
      <c r="S13" s="4">
        <f>R16</f>
        <v/>
      </c>
      <c r="T13" s="4">
        <f>S16</f>
        <v/>
      </c>
      <c r="U13" s="4">
        <f>T16</f>
        <v/>
      </c>
      <c r="V13" s="4">
        <f>U16</f>
        <v/>
      </c>
      <c r="W13" s="4">
        <f>V16</f>
        <v/>
      </c>
      <c r="X13" s="4">
        <f>W16</f>
        <v/>
      </c>
      <c r="Y13" s="4">
        <f>X16</f>
        <v/>
      </c>
      <c r="Z13" s="4">
        <f>Y16</f>
        <v/>
      </c>
      <c r="AA13" s="4">
        <f>Z16</f>
        <v/>
      </c>
      <c r="AB13" s="4">
        <f>AA16</f>
        <v/>
      </c>
      <c r="AC13" s="4">
        <f>AB16</f>
        <v/>
      </c>
      <c r="AD13" s="4">
        <f>AC16</f>
        <v/>
      </c>
      <c r="AE13" s="4">
        <f>AD16</f>
        <v/>
      </c>
      <c r="AF13" s="4">
        <f>AE16</f>
        <v/>
      </c>
      <c r="AG13" s="4">
        <f>AF16</f>
        <v/>
      </c>
      <c r="AH13" s="4">
        <f>AG16</f>
        <v/>
      </c>
      <c r="AI13" s="4">
        <f>AH16</f>
        <v/>
      </c>
      <c r="AJ13" s="4">
        <f>AI16</f>
        <v/>
      </c>
      <c r="AK13" s="4">
        <f>AJ16</f>
        <v/>
      </c>
      <c r="AL13" s="4">
        <f>AK16</f>
        <v/>
      </c>
      <c r="AM13" s="4">
        <f>AL16</f>
        <v/>
      </c>
      <c r="AN13" s="4">
        <f>AM16</f>
        <v/>
      </c>
      <c r="AO13" s="4">
        <f>AN16</f>
        <v/>
      </c>
      <c r="AP13" s="4">
        <f>AO16</f>
        <v/>
      </c>
      <c r="AQ13" s="4">
        <f>AP16</f>
        <v/>
      </c>
      <c r="AR13" s="4">
        <f>AQ16</f>
        <v/>
      </c>
      <c r="AS13" s="4">
        <f>AR16</f>
        <v/>
      </c>
      <c r="AT13" s="4">
        <f>AS16</f>
        <v/>
      </c>
      <c r="AU13" s="4">
        <f>AT16</f>
        <v/>
      </c>
      <c r="AV13" s="4">
        <f>AU16</f>
        <v/>
      </c>
      <c r="AW13" s="4">
        <f>AV16</f>
        <v/>
      </c>
      <c r="AX13" s="4">
        <f>AW16</f>
        <v/>
      </c>
      <c r="AY13" s="4">
        <f>AX16</f>
        <v/>
      </c>
      <c r="AZ13" s="4">
        <f>AY16</f>
        <v/>
      </c>
      <c r="BA13" s="4">
        <f>AZ16</f>
        <v/>
      </c>
      <c r="BB13" s="4">
        <f>BA16</f>
        <v/>
      </c>
      <c r="BC13" s="4">
        <f>BB16</f>
        <v/>
      </c>
      <c r="BD13" s="4">
        <f>BC16</f>
        <v/>
      </c>
      <c r="BE13" s="4">
        <f>BD16</f>
        <v/>
      </c>
      <c r="BF13" s="4">
        <f>BE16</f>
        <v/>
      </c>
      <c r="BG13" s="4">
        <f>BF16</f>
        <v/>
      </c>
      <c r="BH13" s="4">
        <f>BG16</f>
        <v/>
      </c>
      <c r="BI13" s="4">
        <f>BH16</f>
        <v/>
      </c>
      <c r="BJ13" s="4">
        <f>BI16</f>
        <v/>
      </c>
      <c r="BK13" s="4">
        <f>BJ16</f>
        <v/>
      </c>
      <c r="BL13" s="4">
        <f>BK16</f>
        <v/>
      </c>
      <c r="BM13" s="4">
        <f>BL16</f>
        <v/>
      </c>
      <c r="BN13" s="4">
        <f>BM16</f>
        <v/>
      </c>
      <c r="BO13" s="4">
        <f>BN16</f>
        <v/>
      </c>
      <c r="BP13" s="4">
        <f>BO16</f>
        <v/>
      </c>
      <c r="BQ13" s="4">
        <f>BP16</f>
        <v/>
      </c>
      <c r="BR13" s="4">
        <f>BQ16</f>
        <v/>
      </c>
      <c r="BS13" s="4">
        <f>BR16</f>
        <v/>
      </c>
      <c r="BT13" s="4">
        <f>BS16</f>
        <v/>
      </c>
      <c r="BU13" s="4">
        <f>BT16</f>
        <v/>
      </c>
      <c r="BV13" s="4">
        <f>BU16</f>
        <v/>
      </c>
      <c r="BW13" s="4">
        <f>BV16</f>
        <v/>
      </c>
      <c r="BX13" s="4">
        <f>BW16</f>
        <v/>
      </c>
      <c r="BY13" s="4">
        <f>BX16</f>
        <v/>
      </c>
    </row>
    <row r="14">
      <c r="B14" t="inlineStr">
        <is>
          <t>Базовое погашение</t>
        </is>
      </c>
      <c r="C14" t="inlineStr">
        <is>
          <t>₽</t>
        </is>
      </c>
      <c r="D14" s="117" t="inlineStr">
        <is>
          <t>60% себестоимости проданного мерча</t>
        </is>
      </c>
      <c r="E14" s="119">
        <f>SUM(L14:W14)</f>
        <v/>
      </c>
      <c r="F14" s="119">
        <f>SUM(X14:AI14)</f>
        <v/>
      </c>
      <c r="G14" s="119">
        <f>SUM(AJ14:AU14)</f>
        <v/>
      </c>
      <c r="H14" s="119">
        <f>SUM(AV14:BG14)</f>
        <v/>
      </c>
      <c r="I14" s="119">
        <f>SUM(BH14:BS14)</f>
        <v/>
      </c>
      <c r="J14" s="5">
        <f>SUM(L14:BS14)</f>
        <v/>
      </c>
      <c r="L14" s="4">
        <f>MIN(L13,'04_Доходы'!L132*ДоляCOGSНаЗайм)</f>
        <v/>
      </c>
      <c r="M14" s="4">
        <f>MIN(M13,'04_Доходы'!M132*ДоляCOGSНаЗайм)</f>
        <v/>
      </c>
      <c r="N14" s="4">
        <f>MIN(N13,'04_Доходы'!N132*ДоляCOGSНаЗайм)</f>
        <v/>
      </c>
      <c r="O14" s="4">
        <f>MIN(O13,'04_Доходы'!O132*ДоляCOGSНаЗайм)</f>
        <v/>
      </c>
      <c r="P14" s="4">
        <f>MIN(P13,'04_Доходы'!P132*ДоляCOGSНаЗайм)</f>
        <v/>
      </c>
      <c r="Q14" s="4">
        <f>MIN(Q13,'04_Доходы'!Q132*ДоляCOGSНаЗайм)</f>
        <v/>
      </c>
      <c r="R14" s="4">
        <f>MIN(R13,'04_Доходы'!R132*ДоляCOGSНаЗайм)</f>
        <v/>
      </c>
      <c r="S14" s="4">
        <f>MIN(S13,'04_Доходы'!S132*ДоляCOGSНаЗайм)</f>
        <v/>
      </c>
      <c r="T14" s="4">
        <f>MIN(T13,'04_Доходы'!T132*ДоляCOGSНаЗайм)</f>
        <v/>
      </c>
      <c r="U14" s="4">
        <f>MIN(U13,'04_Доходы'!U132*ДоляCOGSНаЗайм)</f>
        <v/>
      </c>
      <c r="V14" s="4">
        <f>MIN(V13,'04_Доходы'!V132*ДоляCOGSНаЗайм)</f>
        <v/>
      </c>
      <c r="W14" s="4">
        <f>MIN(W13,'04_Доходы'!W132*ДоляCOGSНаЗайм)</f>
        <v/>
      </c>
      <c r="X14" s="4">
        <f>MIN(X13,'04_Доходы'!X132*ДоляCOGSНаЗайм)</f>
        <v/>
      </c>
      <c r="Y14" s="4">
        <f>MIN(Y13,'04_Доходы'!Y132*ДоляCOGSНаЗайм)</f>
        <v/>
      </c>
      <c r="Z14" s="4">
        <f>MIN(Z13,'04_Доходы'!Z132*ДоляCOGSНаЗайм)</f>
        <v/>
      </c>
      <c r="AA14" s="4">
        <f>MIN(AA13,'04_Доходы'!AA132*ДоляCOGSНаЗайм)</f>
        <v/>
      </c>
      <c r="AB14" s="4">
        <f>MIN(AB13,'04_Доходы'!AB132*ДоляCOGSНаЗайм)</f>
        <v/>
      </c>
      <c r="AC14" s="4">
        <f>MIN(AC13,'04_Доходы'!AC132*ДоляCOGSНаЗайм)</f>
        <v/>
      </c>
      <c r="AD14" s="4">
        <f>MIN(AD13,'04_Доходы'!AD132*ДоляCOGSНаЗайм)</f>
        <v/>
      </c>
      <c r="AE14" s="4">
        <f>MIN(AE13,'04_Доходы'!AE132*ДоляCOGSНаЗайм)</f>
        <v/>
      </c>
      <c r="AF14" s="4">
        <f>MIN(AF13,'04_Доходы'!AF132*ДоляCOGSНаЗайм)</f>
        <v/>
      </c>
      <c r="AG14" s="4">
        <f>MIN(AG13,'04_Доходы'!AG132*ДоляCOGSНаЗайм)</f>
        <v/>
      </c>
      <c r="AH14" s="4">
        <f>MIN(AH13,'04_Доходы'!AH132*ДоляCOGSНаЗайм)</f>
        <v/>
      </c>
      <c r="AI14" s="4">
        <f>MIN(AI13,'04_Доходы'!AI132*ДоляCOGSНаЗайм)</f>
        <v/>
      </c>
      <c r="AJ14" s="4">
        <f>MIN(AJ13,'04_Доходы'!AJ132*ДоляCOGSНаЗайм)</f>
        <v/>
      </c>
      <c r="AK14" s="4">
        <f>MIN(AK13,'04_Доходы'!AK132*ДоляCOGSНаЗайм)</f>
        <v/>
      </c>
      <c r="AL14" s="4">
        <f>MIN(AL13,'04_Доходы'!AL132*ДоляCOGSНаЗайм)</f>
        <v/>
      </c>
      <c r="AM14" s="4">
        <f>MIN(AM13,'04_Доходы'!AM132*ДоляCOGSНаЗайм)</f>
        <v/>
      </c>
      <c r="AN14" s="4">
        <f>MIN(AN13,'04_Доходы'!AN132*ДоляCOGSНаЗайм)</f>
        <v/>
      </c>
      <c r="AO14" s="4">
        <f>MIN(AO13,'04_Доходы'!AO132*ДоляCOGSНаЗайм)</f>
        <v/>
      </c>
      <c r="AP14" s="4">
        <f>MIN(AP13,'04_Доходы'!AP132*ДоляCOGSНаЗайм)</f>
        <v/>
      </c>
      <c r="AQ14" s="4">
        <f>MIN(AQ13,'04_Доходы'!AQ132*ДоляCOGSНаЗайм)</f>
        <v/>
      </c>
      <c r="AR14" s="4">
        <f>MIN(AR13,'04_Доходы'!AR132*ДоляCOGSНаЗайм)</f>
        <v/>
      </c>
      <c r="AS14" s="4">
        <f>MIN(AS13,'04_Доходы'!AS132*ДоляCOGSНаЗайм)</f>
        <v/>
      </c>
      <c r="AT14" s="4">
        <f>MIN(AT13,'04_Доходы'!AT132*ДоляCOGSНаЗайм)</f>
        <v/>
      </c>
      <c r="AU14" s="4">
        <f>MIN(AU13,'04_Доходы'!AU132*ДоляCOGSНаЗайм)</f>
        <v/>
      </c>
      <c r="AV14" s="4">
        <f>MIN(AV13,'04_Доходы'!AV132*ДоляCOGSНаЗайм)</f>
        <v/>
      </c>
      <c r="AW14" s="4">
        <f>MIN(AW13,'04_Доходы'!AW132*ДоляCOGSНаЗайм)</f>
        <v/>
      </c>
      <c r="AX14" s="4">
        <f>MIN(AX13,'04_Доходы'!AX132*ДоляCOGSНаЗайм)</f>
        <v/>
      </c>
      <c r="AY14" s="4">
        <f>MIN(AY13,'04_Доходы'!AY132*ДоляCOGSНаЗайм)</f>
        <v/>
      </c>
      <c r="AZ14" s="4">
        <f>MIN(AZ13,'04_Доходы'!AZ132*ДоляCOGSНаЗайм)</f>
        <v/>
      </c>
      <c r="BA14" s="4">
        <f>MIN(BA13,'04_Доходы'!BA132*ДоляCOGSНаЗайм)</f>
        <v/>
      </c>
      <c r="BB14" s="4">
        <f>MIN(BB13,'04_Доходы'!BB132*ДоляCOGSНаЗайм)</f>
        <v/>
      </c>
      <c r="BC14" s="4">
        <f>MIN(BC13,'04_Доходы'!BC132*ДоляCOGSНаЗайм)</f>
        <v/>
      </c>
      <c r="BD14" s="4">
        <f>MIN(BD13,'04_Доходы'!BD132*ДоляCOGSНаЗайм)</f>
        <v/>
      </c>
      <c r="BE14" s="4">
        <f>MIN(BE13,'04_Доходы'!BE132*ДоляCOGSНаЗайм)</f>
        <v/>
      </c>
      <c r="BF14" s="4">
        <f>MIN(BF13,'04_Доходы'!BF132*ДоляCOGSНаЗайм)</f>
        <v/>
      </c>
      <c r="BG14" s="4">
        <f>MIN(BG13,'04_Доходы'!BG132*ДоляCOGSНаЗайм)</f>
        <v/>
      </c>
      <c r="BH14" s="4">
        <f>MIN(BH13,'04_Доходы'!BH132*ДоляCOGSНаЗайм)</f>
        <v/>
      </c>
      <c r="BI14" s="4">
        <f>MIN(BI13,'04_Доходы'!BI132*ДоляCOGSНаЗайм)</f>
        <v/>
      </c>
      <c r="BJ14" s="4">
        <f>MIN(BJ13,'04_Доходы'!BJ132*ДоляCOGSНаЗайм)</f>
        <v/>
      </c>
      <c r="BK14" s="4">
        <f>MIN(BK13,'04_Доходы'!BK132*ДоляCOGSНаЗайм)</f>
        <v/>
      </c>
      <c r="BL14" s="4">
        <f>MIN(BL13,'04_Доходы'!BL132*ДоляCOGSНаЗайм)</f>
        <v/>
      </c>
      <c r="BM14" s="4">
        <f>MIN(BM13,'04_Доходы'!BM132*ДоляCOGSНаЗайм)</f>
        <v/>
      </c>
      <c r="BN14" s="4">
        <f>MIN(BN13,'04_Доходы'!BN132*ДоляCOGSНаЗайм)</f>
        <v/>
      </c>
      <c r="BO14" s="4">
        <f>MIN(BO13,'04_Доходы'!BO132*ДоляCOGSНаЗайм)</f>
        <v/>
      </c>
      <c r="BP14" s="4">
        <f>MIN(BP13,'04_Доходы'!BP132*ДоляCOGSНаЗайм)</f>
        <v/>
      </c>
      <c r="BQ14" s="4">
        <f>MIN(BQ13,'04_Доходы'!BQ132*ДоляCOGSНаЗайм)</f>
        <v/>
      </c>
      <c r="BR14" s="4">
        <f>MIN(BR13,'04_Доходы'!BR132*ДоляCOGSНаЗайм)</f>
        <v/>
      </c>
      <c r="BS14" s="4">
        <f>MIN(BS13,'04_Доходы'!BS132*ДоляCOGSНаЗайм)</f>
        <v/>
      </c>
      <c r="BT14" s="4">
        <f>MIN(BT13,'04_Доходы'!BT132*ДоляCOGSНаЗайм)</f>
        <v/>
      </c>
      <c r="BU14" s="4">
        <f>MIN(BU13,'04_Доходы'!BU132*ДоляCOGSНаЗайм)</f>
        <v/>
      </c>
      <c r="BV14" s="4">
        <f>MIN(BV13,'04_Доходы'!BV132*ДоляCOGSНаЗайм)</f>
        <v/>
      </c>
      <c r="BW14" s="4">
        <f>MIN(BW13,'04_Доходы'!BW132*ДоляCOGSНаЗайм)</f>
        <v/>
      </c>
      <c r="BX14" s="4">
        <f>MIN(BX13,'04_Доходы'!BX132*ДоляCOGSНаЗайм)</f>
        <v/>
      </c>
      <c r="BY14" s="4">
        <f>MIN(BY13,'04_Доходы'!BY132*ДоляCOGSНаЗайм)</f>
        <v/>
      </c>
    </row>
    <row r="15">
      <c r="B15" t="inlineStr">
        <is>
          <t>Погашение с учётом денег и склада</t>
        </is>
      </c>
      <c r="C15" t="inlineStr">
        <is>
          <t>₽</t>
        </is>
      </c>
      <c r="D15" s="117" t="inlineStr">
        <is>
          <t>Платим, только если склад не ниже цели и деньги есть</t>
        </is>
      </c>
      <c r="E15" s="119">
        <f>SUM(L15:W15)</f>
        <v/>
      </c>
      <c r="F15" s="119">
        <f>SUM(X15:AI15)</f>
        <v/>
      </c>
      <c r="G15" s="119">
        <f>SUM(AJ15:AU15)</f>
        <v/>
      </c>
      <c r="H15" s="119">
        <f>SUM(AV15:BG15)</f>
        <v/>
      </c>
      <c r="I15" s="119">
        <f>SUM(BH15:BS15)</f>
        <v/>
      </c>
      <c r="J15" s="5">
        <f>SUM(L15:BS15)</f>
        <v/>
      </c>
      <c r="L15" s="4">
        <f>IF(OR(ОграничитьЗайм="Нет",L10&gt;=L8-0.01),MIN(L14,MAX(0,'02_Результат'!L54)),0)</f>
        <v/>
      </c>
      <c r="M15" s="4">
        <f>IF(OR(ОграничитьЗайм="Нет",M10&gt;=M8-0.01),MIN(M14,MAX(0,'02_Результат'!M54)),0)</f>
        <v/>
      </c>
      <c r="N15" s="4">
        <f>IF(OR(ОграничитьЗайм="Нет",N10&gt;=N8-0.01),MIN(N14,MAX(0,'02_Результат'!N54)),0)</f>
        <v/>
      </c>
      <c r="O15" s="4">
        <f>IF(OR(ОграничитьЗайм="Нет",O10&gt;=O8-0.01),MIN(O14,MAX(0,'02_Результат'!O54)),0)</f>
        <v/>
      </c>
      <c r="P15" s="4">
        <f>IF(OR(ОграничитьЗайм="Нет",P10&gt;=P8-0.01),MIN(P14,MAX(0,'02_Результат'!P54)),0)</f>
        <v/>
      </c>
      <c r="Q15" s="4">
        <f>IF(OR(ОграничитьЗайм="Нет",Q10&gt;=Q8-0.01),MIN(Q14,MAX(0,'02_Результат'!Q54)),0)</f>
        <v/>
      </c>
      <c r="R15" s="4">
        <f>IF(OR(ОграничитьЗайм="Нет",R10&gt;=R8-0.01),MIN(R14,MAX(0,'02_Результат'!R54)),0)</f>
        <v/>
      </c>
      <c r="S15" s="4">
        <f>IF(OR(ОграничитьЗайм="Нет",S10&gt;=S8-0.01),MIN(S14,MAX(0,'02_Результат'!S54)),0)</f>
        <v/>
      </c>
      <c r="T15" s="4">
        <f>IF(OR(ОграничитьЗайм="Нет",T10&gt;=T8-0.01),MIN(T14,MAX(0,'02_Результат'!T54)),0)</f>
        <v/>
      </c>
      <c r="U15" s="4">
        <f>IF(OR(ОграничитьЗайм="Нет",U10&gt;=U8-0.01),MIN(U14,MAX(0,'02_Результат'!U54)),0)</f>
        <v/>
      </c>
      <c r="V15" s="4">
        <f>IF(OR(ОграничитьЗайм="Нет",V10&gt;=V8-0.01),MIN(V14,MAX(0,'02_Результат'!V54)),0)</f>
        <v/>
      </c>
      <c r="W15" s="4">
        <f>IF(OR(ОграничитьЗайм="Нет",W10&gt;=W8-0.01),MIN(W14,MAX(0,'02_Результат'!W54)),0)</f>
        <v/>
      </c>
      <c r="X15" s="4">
        <f>IF(OR(ОграничитьЗайм="Нет",X10&gt;=X8-0.01),MIN(X14,MAX(0,'02_Результат'!X54)),0)</f>
        <v/>
      </c>
      <c r="Y15" s="4">
        <f>IF(OR(ОграничитьЗайм="Нет",Y10&gt;=Y8-0.01),MIN(Y14,MAX(0,'02_Результат'!Y54)),0)</f>
        <v/>
      </c>
      <c r="Z15" s="4">
        <f>IF(OR(ОграничитьЗайм="Нет",Z10&gt;=Z8-0.01),MIN(Z14,MAX(0,'02_Результат'!Z54)),0)</f>
        <v/>
      </c>
      <c r="AA15" s="4">
        <f>IF(OR(ОграничитьЗайм="Нет",AA10&gt;=AA8-0.01),MIN(AA14,MAX(0,'02_Результат'!AA54)),0)</f>
        <v/>
      </c>
      <c r="AB15" s="4">
        <f>IF(OR(ОграничитьЗайм="Нет",AB10&gt;=AB8-0.01),MIN(AB14,MAX(0,'02_Результат'!AB54)),0)</f>
        <v/>
      </c>
      <c r="AC15" s="4">
        <f>IF(OR(ОграничитьЗайм="Нет",AC10&gt;=AC8-0.01),MIN(AC14,MAX(0,'02_Результат'!AC54)),0)</f>
        <v/>
      </c>
      <c r="AD15" s="4">
        <f>IF(OR(ОграничитьЗайм="Нет",AD10&gt;=AD8-0.01),MIN(AD14,MAX(0,'02_Результат'!AD54)),0)</f>
        <v/>
      </c>
      <c r="AE15" s="4">
        <f>IF(OR(ОграничитьЗайм="Нет",AE10&gt;=AE8-0.01),MIN(AE14,MAX(0,'02_Результат'!AE54)),0)</f>
        <v/>
      </c>
      <c r="AF15" s="4">
        <f>IF(OR(ОграничитьЗайм="Нет",AF10&gt;=AF8-0.01),MIN(AF14,MAX(0,'02_Результат'!AF54)),0)</f>
        <v/>
      </c>
      <c r="AG15" s="4">
        <f>IF(OR(ОграничитьЗайм="Нет",AG10&gt;=AG8-0.01),MIN(AG14,MAX(0,'02_Результат'!AG54)),0)</f>
        <v/>
      </c>
      <c r="AH15" s="4">
        <f>IF(OR(ОграничитьЗайм="Нет",AH10&gt;=AH8-0.01),MIN(AH14,MAX(0,'02_Результат'!AH54)),0)</f>
        <v/>
      </c>
      <c r="AI15" s="4">
        <f>IF(OR(ОграничитьЗайм="Нет",AI10&gt;=AI8-0.01),MIN(AI14,MAX(0,'02_Результат'!AI54)),0)</f>
        <v/>
      </c>
      <c r="AJ15" s="4">
        <f>IF(OR(ОграничитьЗайм="Нет",AJ10&gt;=AJ8-0.01),MIN(AJ14,MAX(0,'02_Результат'!AJ54)),0)</f>
        <v/>
      </c>
      <c r="AK15" s="4">
        <f>IF(OR(ОграничитьЗайм="Нет",AK10&gt;=AK8-0.01),MIN(AK14,MAX(0,'02_Результат'!AK54)),0)</f>
        <v/>
      </c>
      <c r="AL15" s="4">
        <f>IF(OR(ОграничитьЗайм="Нет",AL10&gt;=AL8-0.01),MIN(AL14,MAX(0,'02_Результат'!AL54)),0)</f>
        <v/>
      </c>
      <c r="AM15" s="4">
        <f>IF(OR(ОграничитьЗайм="Нет",AM10&gt;=AM8-0.01),MIN(AM14,MAX(0,'02_Результат'!AM54)),0)</f>
        <v/>
      </c>
      <c r="AN15" s="4">
        <f>IF(OR(ОграничитьЗайм="Нет",AN10&gt;=AN8-0.01),MIN(AN14,MAX(0,'02_Результат'!AN54)),0)</f>
        <v/>
      </c>
      <c r="AO15" s="4">
        <f>IF(OR(ОграничитьЗайм="Нет",AO10&gt;=AO8-0.01),MIN(AO14,MAX(0,'02_Результат'!AO54)),0)</f>
        <v/>
      </c>
      <c r="AP15" s="4">
        <f>IF(OR(ОграничитьЗайм="Нет",AP10&gt;=AP8-0.01),MIN(AP14,MAX(0,'02_Результат'!AP54)),0)</f>
        <v/>
      </c>
      <c r="AQ15" s="4">
        <f>IF(OR(ОграничитьЗайм="Нет",AQ10&gt;=AQ8-0.01),MIN(AQ14,MAX(0,'02_Результат'!AQ54)),0)</f>
        <v/>
      </c>
      <c r="AR15" s="4">
        <f>IF(OR(ОграничитьЗайм="Нет",AR10&gt;=AR8-0.01),MIN(AR14,MAX(0,'02_Результат'!AR54)),0)</f>
        <v/>
      </c>
      <c r="AS15" s="4">
        <f>IF(OR(ОграничитьЗайм="Нет",AS10&gt;=AS8-0.01),MIN(AS14,MAX(0,'02_Результат'!AS54)),0)</f>
        <v/>
      </c>
      <c r="AT15" s="4">
        <f>IF(OR(ОграничитьЗайм="Нет",AT10&gt;=AT8-0.01),MIN(AT14,MAX(0,'02_Результат'!AT54)),0)</f>
        <v/>
      </c>
      <c r="AU15" s="4">
        <f>IF(OR(ОграничитьЗайм="Нет",AU10&gt;=AU8-0.01),MIN(AU14,MAX(0,'02_Результат'!AU54)),0)</f>
        <v/>
      </c>
      <c r="AV15" s="4">
        <f>IF(OR(ОграничитьЗайм="Нет",AV10&gt;=AV8-0.01),MIN(AV14,MAX(0,'02_Результат'!AV54)),0)</f>
        <v/>
      </c>
      <c r="AW15" s="4">
        <f>IF(OR(ОграничитьЗайм="Нет",AW10&gt;=AW8-0.01),MIN(AW14,MAX(0,'02_Результат'!AW54)),0)</f>
        <v/>
      </c>
      <c r="AX15" s="4">
        <f>IF(OR(ОграничитьЗайм="Нет",AX10&gt;=AX8-0.01),MIN(AX14,MAX(0,'02_Результат'!AX54)),0)</f>
        <v/>
      </c>
      <c r="AY15" s="4">
        <f>IF(OR(ОграничитьЗайм="Нет",AY10&gt;=AY8-0.01),MIN(AY14,MAX(0,'02_Результат'!AY54)),0)</f>
        <v/>
      </c>
      <c r="AZ15" s="4">
        <f>IF(OR(ОграничитьЗайм="Нет",AZ10&gt;=AZ8-0.01),MIN(AZ14,MAX(0,'02_Результат'!AZ54)),0)</f>
        <v/>
      </c>
      <c r="BA15" s="4">
        <f>IF(OR(ОграничитьЗайм="Нет",BA10&gt;=BA8-0.01),MIN(BA14,MAX(0,'02_Результат'!BA54)),0)</f>
        <v/>
      </c>
      <c r="BB15" s="4">
        <f>IF(OR(ОграничитьЗайм="Нет",BB10&gt;=BB8-0.01),MIN(BB14,MAX(0,'02_Результат'!BB54)),0)</f>
        <v/>
      </c>
      <c r="BC15" s="4">
        <f>IF(OR(ОграничитьЗайм="Нет",BC10&gt;=BC8-0.01),MIN(BC14,MAX(0,'02_Результат'!BC54)),0)</f>
        <v/>
      </c>
      <c r="BD15" s="4">
        <f>IF(OR(ОграничитьЗайм="Нет",BD10&gt;=BD8-0.01),MIN(BD14,MAX(0,'02_Результат'!BD54)),0)</f>
        <v/>
      </c>
      <c r="BE15" s="4">
        <f>IF(OR(ОграничитьЗайм="Нет",BE10&gt;=BE8-0.01),MIN(BE14,MAX(0,'02_Результат'!BE54)),0)</f>
        <v/>
      </c>
      <c r="BF15" s="4">
        <f>IF(OR(ОграничитьЗайм="Нет",BF10&gt;=BF8-0.01),MIN(BF14,MAX(0,'02_Результат'!BF54)),0)</f>
        <v/>
      </c>
      <c r="BG15" s="4">
        <f>IF(OR(ОграничитьЗайм="Нет",BG10&gt;=BG8-0.01),MIN(BG14,MAX(0,'02_Результат'!BG54)),0)</f>
        <v/>
      </c>
      <c r="BH15" s="4">
        <f>IF(OR(ОграничитьЗайм="Нет",BH10&gt;=BH8-0.01),MIN(BH14,MAX(0,'02_Результат'!BH54)),0)</f>
        <v/>
      </c>
      <c r="BI15" s="4">
        <f>IF(OR(ОграничитьЗайм="Нет",BI10&gt;=BI8-0.01),MIN(BI14,MAX(0,'02_Результат'!BI54)),0)</f>
        <v/>
      </c>
      <c r="BJ15" s="4">
        <f>IF(OR(ОграничитьЗайм="Нет",BJ10&gt;=BJ8-0.01),MIN(BJ14,MAX(0,'02_Результат'!BJ54)),0)</f>
        <v/>
      </c>
      <c r="BK15" s="4">
        <f>IF(OR(ОграничитьЗайм="Нет",BK10&gt;=BK8-0.01),MIN(BK14,MAX(0,'02_Результат'!BK54)),0)</f>
        <v/>
      </c>
      <c r="BL15" s="4">
        <f>IF(OR(ОграничитьЗайм="Нет",BL10&gt;=BL8-0.01),MIN(BL14,MAX(0,'02_Результат'!BL54)),0)</f>
        <v/>
      </c>
      <c r="BM15" s="4">
        <f>IF(OR(ОграничитьЗайм="Нет",BM10&gt;=BM8-0.01),MIN(BM14,MAX(0,'02_Результат'!BM54)),0)</f>
        <v/>
      </c>
      <c r="BN15" s="4">
        <f>IF(OR(ОграничитьЗайм="Нет",BN10&gt;=BN8-0.01),MIN(BN14,MAX(0,'02_Результат'!BN54)),0)</f>
        <v/>
      </c>
      <c r="BO15" s="4">
        <f>IF(OR(ОграничитьЗайм="Нет",BO10&gt;=BO8-0.01),MIN(BO14,MAX(0,'02_Результат'!BO54)),0)</f>
        <v/>
      </c>
      <c r="BP15" s="4">
        <f>IF(OR(ОграничитьЗайм="Нет",BP10&gt;=BP8-0.01),MIN(BP14,MAX(0,'02_Результат'!BP54)),0)</f>
        <v/>
      </c>
      <c r="BQ15" s="4">
        <f>IF(OR(ОграничитьЗайм="Нет",BQ10&gt;=BQ8-0.01),MIN(BQ14,MAX(0,'02_Результат'!BQ54)),0)</f>
        <v/>
      </c>
      <c r="BR15" s="4">
        <f>IF(OR(ОграничитьЗайм="Нет",BR10&gt;=BR8-0.01),MIN(BR14,MAX(0,'02_Результат'!BR54)),0)</f>
        <v/>
      </c>
      <c r="BS15" s="4">
        <f>IF(OR(ОграничитьЗайм="Нет",BS10&gt;=BS8-0.01),MIN(BS14,MAX(0,'02_Результат'!BS54)),0)</f>
        <v/>
      </c>
      <c r="BT15" s="4">
        <f>IF(OR(ОграничитьЗайм="Нет",BT10&gt;=BT8-0.01),MIN(BT14,MAX(0,'02_Результат'!BT54)),0)</f>
        <v/>
      </c>
      <c r="BU15" s="4">
        <f>IF(OR(ОграничитьЗайм="Нет",BU10&gt;=BU8-0.01),MIN(BU14,MAX(0,'02_Результат'!BU54)),0)</f>
        <v/>
      </c>
      <c r="BV15" s="4">
        <f>IF(OR(ОграничитьЗайм="Нет",BV10&gt;=BV8-0.01),MIN(BV14,MAX(0,'02_Результат'!BV54)),0)</f>
        <v/>
      </c>
      <c r="BW15" s="4">
        <f>IF(OR(ОграничитьЗайм="Нет",BW10&gt;=BW8-0.01),MIN(BW14,MAX(0,'02_Результат'!BW54)),0)</f>
        <v/>
      </c>
      <c r="BX15" s="4">
        <f>IF(OR(ОграничитьЗайм="Нет",BX10&gt;=BX8-0.01),MIN(BX14,MAX(0,'02_Результат'!BX54)),0)</f>
        <v/>
      </c>
      <c r="BY15" s="4">
        <f>IF(OR(ОграничитьЗайм="Нет",BY10&gt;=BY8-0.01),MIN(BY14,MAX(0,'02_Результат'!BY54)),0)</f>
        <v/>
      </c>
    </row>
    <row r="16">
      <c r="B16" s="6" t="inlineStr">
        <is>
          <t>Займ на конец</t>
        </is>
      </c>
      <c r="C16" s="6" t="inlineStr">
        <is>
          <t>₽</t>
        </is>
      </c>
      <c r="D16" s="120" t="inlineStr"/>
      <c r="E16" s="121">
        <f>W16</f>
        <v/>
      </c>
      <c r="F16" s="121">
        <f>AI16</f>
        <v/>
      </c>
      <c r="G16" s="121">
        <f>AU16</f>
        <v/>
      </c>
      <c r="H16" s="121">
        <f>BG16</f>
        <v/>
      </c>
      <c r="I16" s="121">
        <f>BS16</f>
        <v/>
      </c>
      <c r="J16" s="8">
        <f>BS16</f>
        <v/>
      </c>
      <c r="L16" s="7">
        <f>L13-L15</f>
        <v/>
      </c>
      <c r="M16" s="7">
        <f>M13-M15</f>
        <v/>
      </c>
      <c r="N16" s="7">
        <f>N13-N15</f>
        <v/>
      </c>
      <c r="O16" s="7">
        <f>O13-O15</f>
        <v/>
      </c>
      <c r="P16" s="7">
        <f>P13-P15</f>
        <v/>
      </c>
      <c r="Q16" s="7">
        <f>Q13-Q15</f>
        <v/>
      </c>
      <c r="R16" s="7">
        <f>R13-R15</f>
        <v/>
      </c>
      <c r="S16" s="7">
        <f>S13-S15</f>
        <v/>
      </c>
      <c r="T16" s="7">
        <f>T13-T15</f>
        <v/>
      </c>
      <c r="U16" s="7">
        <f>U13-U15</f>
        <v/>
      </c>
      <c r="V16" s="7">
        <f>V13-V15</f>
        <v/>
      </c>
      <c r="W16" s="7">
        <f>W13-W15</f>
        <v/>
      </c>
      <c r="X16" s="7">
        <f>X13-X15</f>
        <v/>
      </c>
      <c r="Y16" s="7">
        <f>Y13-Y15</f>
        <v/>
      </c>
      <c r="Z16" s="7">
        <f>Z13-Z15</f>
        <v/>
      </c>
      <c r="AA16" s="7">
        <f>AA13-AA15</f>
        <v/>
      </c>
      <c r="AB16" s="7">
        <f>AB13-AB15</f>
        <v/>
      </c>
      <c r="AC16" s="7">
        <f>AC13-AC15</f>
        <v/>
      </c>
      <c r="AD16" s="7">
        <f>AD13-AD15</f>
        <v/>
      </c>
      <c r="AE16" s="7">
        <f>AE13-AE15</f>
        <v/>
      </c>
      <c r="AF16" s="7">
        <f>AF13-AF15</f>
        <v/>
      </c>
      <c r="AG16" s="7">
        <f>AG13-AG15</f>
        <v/>
      </c>
      <c r="AH16" s="7">
        <f>AH13-AH15</f>
        <v/>
      </c>
      <c r="AI16" s="7">
        <f>AI13-AI15</f>
        <v/>
      </c>
      <c r="AJ16" s="7">
        <f>AJ13-AJ15</f>
        <v/>
      </c>
      <c r="AK16" s="7">
        <f>AK13-AK15</f>
        <v/>
      </c>
      <c r="AL16" s="7">
        <f>AL13-AL15</f>
        <v/>
      </c>
      <c r="AM16" s="7">
        <f>AM13-AM15</f>
        <v/>
      </c>
      <c r="AN16" s="7">
        <f>AN13-AN15</f>
        <v/>
      </c>
      <c r="AO16" s="7">
        <f>AO13-AO15</f>
        <v/>
      </c>
      <c r="AP16" s="7">
        <f>AP13-AP15</f>
        <v/>
      </c>
      <c r="AQ16" s="7">
        <f>AQ13-AQ15</f>
        <v/>
      </c>
      <c r="AR16" s="7">
        <f>AR13-AR15</f>
        <v/>
      </c>
      <c r="AS16" s="7">
        <f>AS13-AS15</f>
        <v/>
      </c>
      <c r="AT16" s="7">
        <f>AT13-AT15</f>
        <v/>
      </c>
      <c r="AU16" s="7">
        <f>AU13-AU15</f>
        <v/>
      </c>
      <c r="AV16" s="7">
        <f>AV13-AV15</f>
        <v/>
      </c>
      <c r="AW16" s="7">
        <f>AW13-AW15</f>
        <v/>
      </c>
      <c r="AX16" s="7">
        <f>AX13-AX15</f>
        <v/>
      </c>
      <c r="AY16" s="7">
        <f>AY13-AY15</f>
        <v/>
      </c>
      <c r="AZ16" s="7">
        <f>AZ13-AZ15</f>
        <v/>
      </c>
      <c r="BA16" s="7">
        <f>BA13-BA15</f>
        <v/>
      </c>
      <c r="BB16" s="7">
        <f>BB13-BB15</f>
        <v/>
      </c>
      <c r="BC16" s="7">
        <f>BC13-BC15</f>
        <v/>
      </c>
      <c r="BD16" s="7">
        <f>BD13-BD15</f>
        <v/>
      </c>
      <c r="BE16" s="7">
        <f>BE13-BE15</f>
        <v/>
      </c>
      <c r="BF16" s="7">
        <f>BF13-BF15</f>
        <v/>
      </c>
      <c r="BG16" s="7">
        <f>BG13-BG15</f>
        <v/>
      </c>
      <c r="BH16" s="7">
        <f>BH13-BH15</f>
        <v/>
      </c>
      <c r="BI16" s="7">
        <f>BI13-BI15</f>
        <v/>
      </c>
      <c r="BJ16" s="7">
        <f>BJ13-BJ15</f>
        <v/>
      </c>
      <c r="BK16" s="7">
        <f>BK13-BK15</f>
        <v/>
      </c>
      <c r="BL16" s="7">
        <f>BL13-BL15</f>
        <v/>
      </c>
      <c r="BM16" s="7">
        <f>BM13-BM15</f>
        <v/>
      </c>
      <c r="BN16" s="7">
        <f>BN13-BN15</f>
        <v/>
      </c>
      <c r="BO16" s="7">
        <f>BO13-BO15</f>
        <v/>
      </c>
      <c r="BP16" s="7">
        <f>BP13-BP15</f>
        <v/>
      </c>
      <c r="BQ16" s="7">
        <f>BQ13-BQ15</f>
        <v/>
      </c>
      <c r="BR16" s="7">
        <f>BR13-BR15</f>
        <v/>
      </c>
      <c r="BS16" s="7">
        <f>BS13-BS15</f>
        <v/>
      </c>
      <c r="BT16" s="7">
        <f>BT13-BT15</f>
        <v/>
      </c>
      <c r="BU16" s="7">
        <f>BU13-BU15</f>
        <v/>
      </c>
      <c r="BV16" s="7">
        <f>BV13-BV15</f>
        <v/>
      </c>
      <c r="BW16" s="7">
        <f>BW13-BW15</f>
        <v/>
      </c>
      <c r="BX16" s="7">
        <f>BX13-BX15</f>
        <v/>
      </c>
      <c r="BY16" s="7">
        <f>BY13-BY15</f>
        <v/>
      </c>
    </row>
    <row r="17"/>
    <row r="18">
      <c r="B18" s="115" t="inlineStr">
        <is>
          <t>CAPEX и налоги</t>
        </is>
      </c>
      <c r="C18" s="116" t="n"/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W18" s="116" t="n"/>
      <c r="AX18" s="116" t="n"/>
      <c r="AY18" s="116" t="n"/>
      <c r="AZ18" s="116" t="n"/>
      <c r="BA18" s="116" t="n"/>
      <c r="BB18" s="116" t="n"/>
      <c r="BC18" s="116" t="n"/>
      <c r="BD18" s="116" t="n"/>
      <c r="BE18" s="116" t="n"/>
      <c r="BF18" s="116" t="n"/>
      <c r="BG18" s="116" t="n"/>
      <c r="BH18" s="116" t="n"/>
      <c r="BI18" s="116" t="n"/>
      <c r="BJ18" s="116" t="n"/>
      <c r="BK18" s="116" t="n"/>
      <c r="BL18" s="116" t="n"/>
      <c r="BM18" s="116" t="n"/>
      <c r="BN18" s="116" t="n"/>
      <c r="BO18" s="116" t="n"/>
      <c r="BP18" s="116" t="n"/>
      <c r="BQ18" s="116" t="n"/>
      <c r="BR18" s="116" t="n"/>
      <c r="BS18" s="116" t="n"/>
      <c r="BT18" s="116" t="n"/>
      <c r="BU18" s="116" t="n"/>
      <c r="BV18" s="116" t="n"/>
      <c r="BW18" s="116" t="n"/>
      <c r="BX18" s="116" t="n"/>
      <c r="BY18" s="116" t="n"/>
    </row>
    <row r="19">
      <c r="B19" t="inlineStr">
        <is>
          <t>База CAPEX</t>
        </is>
      </c>
      <c r="C19" t="inlineStr">
        <is>
          <t>₽</t>
        </is>
      </c>
      <c r="D19" s="117" t="inlineStr">
        <is>
          <t>Выручка, от которой считается поддерживающий CAPEX</t>
        </is>
      </c>
      <c r="E19" s="119">
        <f>SUM(L19:W19)</f>
        <v/>
      </c>
      <c r="F19" s="119">
        <f>SUM(X19:AI19)</f>
        <v/>
      </c>
      <c r="G19" s="119">
        <f>SUM(AJ19:AU19)</f>
        <v/>
      </c>
      <c r="H19" s="119">
        <f>SUM(AV19:BG19)</f>
        <v/>
      </c>
      <c r="I19" s="119">
        <f>SUM(BH19:BS19)</f>
        <v/>
      </c>
      <c r="J19" s="5">
        <f>SUM(L19:BS19)</f>
        <v/>
      </c>
      <c r="L19" s="4">
        <f>IF(CAPEXБаза="С НДС",('04_Доходы'!L13+'04_Доходы'!L102/(1+НДС)+'04_Доходы'!L131)*(1+НДС),'04_Доходы'!L13+'04_Доходы'!L102/(1+НДС)+'04_Доходы'!L131)</f>
        <v/>
      </c>
      <c r="M19" s="4">
        <f>IF(CAPEXБаза="С НДС",('04_Доходы'!M13+'04_Доходы'!M102/(1+НДС)+'04_Доходы'!M131)*(1+НДС),'04_Доходы'!M13+'04_Доходы'!M102/(1+НДС)+'04_Доходы'!M131)</f>
        <v/>
      </c>
      <c r="N19" s="4">
        <f>IF(CAPEXБаза="С НДС",('04_Доходы'!N13+'04_Доходы'!N102/(1+НДС)+'04_Доходы'!N131)*(1+НДС),'04_Доходы'!N13+'04_Доходы'!N102/(1+НДС)+'04_Доходы'!N131)</f>
        <v/>
      </c>
      <c r="O19" s="4">
        <f>IF(CAPEXБаза="С НДС",('04_Доходы'!O13+'04_Доходы'!O102/(1+НДС)+'04_Доходы'!O131)*(1+НДС),'04_Доходы'!O13+'04_Доходы'!O102/(1+НДС)+'04_Доходы'!O131)</f>
        <v/>
      </c>
      <c r="P19" s="4">
        <f>IF(CAPEXБаза="С НДС",('04_Доходы'!P13+'04_Доходы'!P102/(1+НДС)+'04_Доходы'!P131)*(1+НДС),'04_Доходы'!P13+'04_Доходы'!P102/(1+НДС)+'04_Доходы'!P131)</f>
        <v/>
      </c>
      <c r="Q19" s="4">
        <f>IF(CAPEXБаза="С НДС",('04_Доходы'!Q13+'04_Доходы'!Q102/(1+НДС)+'04_Доходы'!Q131)*(1+НДС),'04_Доходы'!Q13+'04_Доходы'!Q102/(1+НДС)+'04_Доходы'!Q131)</f>
        <v/>
      </c>
      <c r="R19" s="4">
        <f>IF(CAPEXБаза="С НДС",('04_Доходы'!R13+'04_Доходы'!R102/(1+НДС)+'04_Доходы'!R131)*(1+НДС),'04_Доходы'!R13+'04_Доходы'!R102/(1+НДС)+'04_Доходы'!R131)</f>
        <v/>
      </c>
      <c r="S19" s="4">
        <f>IF(CAPEXБаза="С НДС",('04_Доходы'!S13+'04_Доходы'!S102/(1+НДС)+'04_Доходы'!S131)*(1+НДС),'04_Доходы'!S13+'04_Доходы'!S102/(1+НДС)+'04_Доходы'!S131)</f>
        <v/>
      </c>
      <c r="T19" s="4">
        <f>IF(CAPEXБаза="С НДС",('04_Доходы'!T13+'04_Доходы'!T102/(1+НДС)+'04_Доходы'!T131)*(1+НДС),'04_Доходы'!T13+'04_Доходы'!T102/(1+НДС)+'04_Доходы'!T131)</f>
        <v/>
      </c>
      <c r="U19" s="4">
        <f>IF(CAPEXБаза="С НДС",('04_Доходы'!U13+'04_Доходы'!U102/(1+НДС)+'04_Доходы'!U131)*(1+НДС),'04_Доходы'!U13+'04_Доходы'!U102/(1+НДС)+'04_Доходы'!U131)</f>
        <v/>
      </c>
      <c r="V19" s="4">
        <f>IF(CAPEXБаза="С НДС",('04_Доходы'!V13+'04_Доходы'!V102/(1+НДС)+'04_Доходы'!V131)*(1+НДС),'04_Доходы'!V13+'04_Доходы'!V102/(1+НДС)+'04_Доходы'!V131)</f>
        <v/>
      </c>
      <c r="W19" s="4">
        <f>IF(CAPEXБаза="С НДС",('04_Доходы'!W13+'04_Доходы'!W102/(1+НДС)+'04_Доходы'!W131)*(1+НДС),'04_Доходы'!W13+'04_Доходы'!W102/(1+НДС)+'04_Доходы'!W131)</f>
        <v/>
      </c>
      <c r="X19" s="4">
        <f>IF(CAPEXБаза="С НДС",('04_Доходы'!X13+'04_Доходы'!X102/(1+НДС)+'04_Доходы'!X131)*(1+НДС),'04_Доходы'!X13+'04_Доходы'!X102/(1+НДС)+'04_Доходы'!X131)</f>
        <v/>
      </c>
      <c r="Y19" s="4">
        <f>IF(CAPEXБаза="С НДС",('04_Доходы'!Y13+'04_Доходы'!Y102/(1+НДС)+'04_Доходы'!Y131)*(1+НДС),'04_Доходы'!Y13+'04_Доходы'!Y102/(1+НДС)+'04_Доходы'!Y131)</f>
        <v/>
      </c>
      <c r="Z19" s="4">
        <f>IF(CAPEXБаза="С НДС",('04_Доходы'!Z13+'04_Доходы'!Z102/(1+НДС)+'04_Доходы'!Z131)*(1+НДС),'04_Доходы'!Z13+'04_Доходы'!Z102/(1+НДС)+'04_Доходы'!Z131)</f>
        <v/>
      </c>
      <c r="AA19" s="4">
        <f>IF(CAPEXБаза="С НДС",('04_Доходы'!AA13+'04_Доходы'!AA102/(1+НДС)+'04_Доходы'!AA131)*(1+НДС),'04_Доходы'!AA13+'04_Доходы'!AA102/(1+НДС)+'04_Доходы'!AA131)</f>
        <v/>
      </c>
      <c r="AB19" s="4">
        <f>IF(CAPEXБаза="С НДС",('04_Доходы'!AB13+'04_Доходы'!AB102/(1+НДС)+'04_Доходы'!AB131)*(1+НДС),'04_Доходы'!AB13+'04_Доходы'!AB102/(1+НДС)+'04_Доходы'!AB131)</f>
        <v/>
      </c>
      <c r="AC19" s="4">
        <f>IF(CAPEXБаза="С НДС",('04_Доходы'!AC13+'04_Доходы'!AC102/(1+НДС)+'04_Доходы'!AC131)*(1+НДС),'04_Доходы'!AC13+'04_Доходы'!AC102/(1+НДС)+'04_Доходы'!AC131)</f>
        <v/>
      </c>
      <c r="AD19" s="4">
        <f>IF(CAPEXБаза="С НДС",('04_Доходы'!AD13+'04_Доходы'!AD102/(1+НДС)+'04_Доходы'!AD131)*(1+НДС),'04_Доходы'!AD13+'04_Доходы'!AD102/(1+НДС)+'04_Доходы'!AD131)</f>
        <v/>
      </c>
      <c r="AE19" s="4">
        <f>IF(CAPEXБаза="С НДС",('04_Доходы'!AE13+'04_Доходы'!AE102/(1+НДС)+'04_Доходы'!AE131)*(1+НДС),'04_Доходы'!AE13+'04_Доходы'!AE102/(1+НДС)+'04_Доходы'!AE131)</f>
        <v/>
      </c>
      <c r="AF19" s="4">
        <f>IF(CAPEXБаза="С НДС",('04_Доходы'!AF13+'04_Доходы'!AF102/(1+НДС)+'04_Доходы'!AF131)*(1+НДС),'04_Доходы'!AF13+'04_Доходы'!AF102/(1+НДС)+'04_Доходы'!AF131)</f>
        <v/>
      </c>
      <c r="AG19" s="4">
        <f>IF(CAPEXБаза="С НДС",('04_Доходы'!AG13+'04_Доходы'!AG102/(1+НДС)+'04_Доходы'!AG131)*(1+НДС),'04_Доходы'!AG13+'04_Доходы'!AG102/(1+НДС)+'04_Доходы'!AG131)</f>
        <v/>
      </c>
      <c r="AH19" s="4">
        <f>IF(CAPEXБаза="С НДС",('04_Доходы'!AH13+'04_Доходы'!AH102/(1+НДС)+'04_Доходы'!AH131)*(1+НДС),'04_Доходы'!AH13+'04_Доходы'!AH102/(1+НДС)+'04_Доходы'!AH131)</f>
        <v/>
      </c>
      <c r="AI19" s="4">
        <f>IF(CAPEXБаза="С НДС",('04_Доходы'!AI13+'04_Доходы'!AI102/(1+НДС)+'04_Доходы'!AI131)*(1+НДС),'04_Доходы'!AI13+'04_Доходы'!AI102/(1+НДС)+'04_Доходы'!AI131)</f>
        <v/>
      </c>
      <c r="AJ19" s="4">
        <f>IF(CAPEXБаза="С НДС",('04_Доходы'!AJ13+'04_Доходы'!AJ102/(1+НДС)+'04_Доходы'!AJ131)*(1+НДС),'04_Доходы'!AJ13+'04_Доходы'!AJ102/(1+НДС)+'04_Доходы'!AJ131)</f>
        <v/>
      </c>
      <c r="AK19" s="4">
        <f>IF(CAPEXБаза="С НДС",('04_Доходы'!AK13+'04_Доходы'!AK102/(1+НДС)+'04_Доходы'!AK131)*(1+НДС),'04_Доходы'!AK13+'04_Доходы'!AK102/(1+НДС)+'04_Доходы'!AK131)</f>
        <v/>
      </c>
      <c r="AL19" s="4">
        <f>IF(CAPEXБаза="С НДС",('04_Доходы'!AL13+'04_Доходы'!AL102/(1+НДС)+'04_Доходы'!AL131)*(1+НДС),'04_Доходы'!AL13+'04_Доходы'!AL102/(1+НДС)+'04_Доходы'!AL131)</f>
        <v/>
      </c>
      <c r="AM19" s="4">
        <f>IF(CAPEXБаза="С НДС",('04_Доходы'!AM13+'04_Доходы'!AM102/(1+НДС)+'04_Доходы'!AM131)*(1+НДС),'04_Доходы'!AM13+'04_Доходы'!AM102/(1+НДС)+'04_Доходы'!AM131)</f>
        <v/>
      </c>
      <c r="AN19" s="4">
        <f>IF(CAPEXБаза="С НДС",('04_Доходы'!AN13+'04_Доходы'!AN102/(1+НДС)+'04_Доходы'!AN131)*(1+НДС),'04_Доходы'!AN13+'04_Доходы'!AN102/(1+НДС)+'04_Доходы'!AN131)</f>
        <v/>
      </c>
      <c r="AO19" s="4">
        <f>IF(CAPEXБаза="С НДС",('04_Доходы'!AO13+'04_Доходы'!AO102/(1+НДС)+'04_Доходы'!AO131)*(1+НДС),'04_Доходы'!AO13+'04_Доходы'!AO102/(1+НДС)+'04_Доходы'!AO131)</f>
        <v/>
      </c>
      <c r="AP19" s="4">
        <f>IF(CAPEXБаза="С НДС",('04_Доходы'!AP13+'04_Доходы'!AP102/(1+НДС)+'04_Доходы'!AP131)*(1+НДС),'04_Доходы'!AP13+'04_Доходы'!AP102/(1+НДС)+'04_Доходы'!AP131)</f>
        <v/>
      </c>
      <c r="AQ19" s="4">
        <f>IF(CAPEXБаза="С НДС",('04_Доходы'!AQ13+'04_Доходы'!AQ102/(1+НДС)+'04_Доходы'!AQ131)*(1+НДС),'04_Доходы'!AQ13+'04_Доходы'!AQ102/(1+НДС)+'04_Доходы'!AQ131)</f>
        <v/>
      </c>
      <c r="AR19" s="4">
        <f>IF(CAPEXБаза="С НДС",('04_Доходы'!AR13+'04_Доходы'!AR102/(1+НДС)+'04_Доходы'!AR131)*(1+НДС),'04_Доходы'!AR13+'04_Доходы'!AR102/(1+НДС)+'04_Доходы'!AR131)</f>
        <v/>
      </c>
      <c r="AS19" s="4">
        <f>IF(CAPEXБаза="С НДС",('04_Доходы'!AS13+'04_Доходы'!AS102/(1+НДС)+'04_Доходы'!AS131)*(1+НДС),'04_Доходы'!AS13+'04_Доходы'!AS102/(1+НДС)+'04_Доходы'!AS131)</f>
        <v/>
      </c>
      <c r="AT19" s="4">
        <f>IF(CAPEXБаза="С НДС",('04_Доходы'!AT13+'04_Доходы'!AT102/(1+НДС)+'04_Доходы'!AT131)*(1+НДС),'04_Доходы'!AT13+'04_Доходы'!AT102/(1+НДС)+'04_Доходы'!AT131)</f>
        <v/>
      </c>
      <c r="AU19" s="4">
        <f>IF(CAPEXБаза="С НДС",('04_Доходы'!AU13+'04_Доходы'!AU102/(1+НДС)+'04_Доходы'!AU131)*(1+НДС),'04_Доходы'!AU13+'04_Доходы'!AU102/(1+НДС)+'04_Доходы'!AU131)</f>
        <v/>
      </c>
      <c r="AV19" s="4">
        <f>IF(CAPEXБаза="С НДС",('04_Доходы'!AV13+'04_Доходы'!AV102/(1+НДС)+'04_Доходы'!AV131)*(1+НДС),'04_Доходы'!AV13+'04_Доходы'!AV102/(1+НДС)+'04_Доходы'!AV131)</f>
        <v/>
      </c>
      <c r="AW19" s="4">
        <f>IF(CAPEXБаза="С НДС",('04_Доходы'!AW13+'04_Доходы'!AW102/(1+НДС)+'04_Доходы'!AW131)*(1+НДС),'04_Доходы'!AW13+'04_Доходы'!AW102/(1+НДС)+'04_Доходы'!AW131)</f>
        <v/>
      </c>
      <c r="AX19" s="4">
        <f>IF(CAPEXБаза="С НДС",('04_Доходы'!AX13+'04_Доходы'!AX102/(1+НДС)+'04_Доходы'!AX131)*(1+НДС),'04_Доходы'!AX13+'04_Доходы'!AX102/(1+НДС)+'04_Доходы'!AX131)</f>
        <v/>
      </c>
      <c r="AY19" s="4">
        <f>IF(CAPEXБаза="С НДС",('04_Доходы'!AY13+'04_Доходы'!AY102/(1+НДС)+'04_Доходы'!AY131)*(1+НДС),'04_Доходы'!AY13+'04_Доходы'!AY102/(1+НДС)+'04_Доходы'!AY131)</f>
        <v/>
      </c>
      <c r="AZ19" s="4">
        <f>IF(CAPEXБаза="С НДС",('04_Доходы'!AZ13+'04_Доходы'!AZ102/(1+НДС)+'04_Доходы'!AZ131)*(1+НДС),'04_Доходы'!AZ13+'04_Доходы'!AZ102/(1+НДС)+'04_Доходы'!AZ131)</f>
        <v/>
      </c>
      <c r="BA19" s="4">
        <f>IF(CAPEXБаза="С НДС",('04_Доходы'!BA13+'04_Доходы'!BA102/(1+НДС)+'04_Доходы'!BA131)*(1+НДС),'04_Доходы'!BA13+'04_Доходы'!BA102/(1+НДС)+'04_Доходы'!BA131)</f>
        <v/>
      </c>
      <c r="BB19" s="4">
        <f>IF(CAPEXБаза="С НДС",('04_Доходы'!BB13+'04_Доходы'!BB102/(1+НДС)+'04_Доходы'!BB131)*(1+НДС),'04_Доходы'!BB13+'04_Доходы'!BB102/(1+НДС)+'04_Доходы'!BB131)</f>
        <v/>
      </c>
      <c r="BC19" s="4">
        <f>IF(CAPEXБаза="С НДС",('04_Доходы'!BC13+'04_Доходы'!BC102/(1+НДС)+'04_Доходы'!BC131)*(1+НДС),'04_Доходы'!BC13+'04_Доходы'!BC102/(1+НДС)+'04_Доходы'!BC131)</f>
        <v/>
      </c>
      <c r="BD19" s="4">
        <f>IF(CAPEXБаза="С НДС",('04_Доходы'!BD13+'04_Доходы'!BD102/(1+НДС)+'04_Доходы'!BD131)*(1+НДС),'04_Доходы'!BD13+'04_Доходы'!BD102/(1+НДС)+'04_Доходы'!BD131)</f>
        <v/>
      </c>
      <c r="BE19" s="4">
        <f>IF(CAPEXБаза="С НДС",('04_Доходы'!BE13+'04_Доходы'!BE102/(1+НДС)+'04_Доходы'!BE131)*(1+НДС),'04_Доходы'!BE13+'04_Доходы'!BE102/(1+НДС)+'04_Доходы'!BE131)</f>
        <v/>
      </c>
      <c r="BF19" s="4">
        <f>IF(CAPEXБаза="С НДС",('04_Доходы'!BF13+'04_Доходы'!BF102/(1+НДС)+'04_Доходы'!BF131)*(1+НДС),'04_Доходы'!BF13+'04_Доходы'!BF102/(1+НДС)+'04_Доходы'!BF131)</f>
        <v/>
      </c>
      <c r="BG19" s="4">
        <f>IF(CAPEXБаза="С НДС",('04_Доходы'!BG13+'04_Доходы'!BG102/(1+НДС)+'04_Доходы'!BG131)*(1+НДС),'04_Доходы'!BG13+'04_Доходы'!BG102/(1+НДС)+'04_Доходы'!BG131)</f>
        <v/>
      </c>
      <c r="BH19" s="4">
        <f>IF(CAPEXБаза="С НДС",('04_Доходы'!BH13+'04_Доходы'!BH102/(1+НДС)+'04_Доходы'!BH131)*(1+НДС),'04_Доходы'!BH13+'04_Доходы'!BH102/(1+НДС)+'04_Доходы'!BH131)</f>
        <v/>
      </c>
      <c r="BI19" s="4">
        <f>IF(CAPEXБаза="С НДС",('04_Доходы'!BI13+'04_Доходы'!BI102/(1+НДС)+'04_Доходы'!BI131)*(1+НДС),'04_Доходы'!BI13+'04_Доходы'!BI102/(1+НДС)+'04_Доходы'!BI131)</f>
        <v/>
      </c>
      <c r="BJ19" s="4">
        <f>IF(CAPEXБаза="С НДС",('04_Доходы'!BJ13+'04_Доходы'!BJ102/(1+НДС)+'04_Доходы'!BJ131)*(1+НДС),'04_Доходы'!BJ13+'04_Доходы'!BJ102/(1+НДС)+'04_Доходы'!BJ131)</f>
        <v/>
      </c>
      <c r="BK19" s="4">
        <f>IF(CAPEXБаза="С НДС",('04_Доходы'!BK13+'04_Доходы'!BK102/(1+НДС)+'04_Доходы'!BK131)*(1+НДС),'04_Доходы'!BK13+'04_Доходы'!BK102/(1+НДС)+'04_Доходы'!BK131)</f>
        <v/>
      </c>
      <c r="BL19" s="4">
        <f>IF(CAPEXБаза="С НДС",('04_Доходы'!BL13+'04_Доходы'!BL102/(1+НДС)+'04_Доходы'!BL131)*(1+НДС),'04_Доходы'!BL13+'04_Доходы'!BL102/(1+НДС)+'04_Доходы'!BL131)</f>
        <v/>
      </c>
      <c r="BM19" s="4">
        <f>IF(CAPEXБаза="С НДС",('04_Доходы'!BM13+'04_Доходы'!BM102/(1+НДС)+'04_Доходы'!BM131)*(1+НДС),'04_Доходы'!BM13+'04_Доходы'!BM102/(1+НДС)+'04_Доходы'!BM131)</f>
        <v/>
      </c>
      <c r="BN19" s="4">
        <f>IF(CAPEXБаза="С НДС",('04_Доходы'!BN13+'04_Доходы'!BN102/(1+НДС)+'04_Доходы'!BN131)*(1+НДС),'04_Доходы'!BN13+'04_Доходы'!BN102/(1+НДС)+'04_Доходы'!BN131)</f>
        <v/>
      </c>
      <c r="BO19" s="4">
        <f>IF(CAPEXБаза="С НДС",('04_Доходы'!BO13+'04_Доходы'!BO102/(1+НДС)+'04_Доходы'!BO131)*(1+НДС),'04_Доходы'!BO13+'04_Доходы'!BO102/(1+НДС)+'04_Доходы'!BO131)</f>
        <v/>
      </c>
      <c r="BP19" s="4">
        <f>IF(CAPEXБаза="С НДС",('04_Доходы'!BP13+'04_Доходы'!BP102/(1+НДС)+'04_Доходы'!BP131)*(1+НДС),'04_Доходы'!BP13+'04_Доходы'!BP102/(1+НДС)+'04_Доходы'!BP131)</f>
        <v/>
      </c>
      <c r="BQ19" s="4">
        <f>IF(CAPEXБаза="С НДС",('04_Доходы'!BQ13+'04_Доходы'!BQ102/(1+НДС)+'04_Доходы'!BQ131)*(1+НДС),'04_Доходы'!BQ13+'04_Доходы'!BQ102/(1+НДС)+'04_Доходы'!BQ131)</f>
        <v/>
      </c>
      <c r="BR19" s="4">
        <f>IF(CAPEXБаза="С НДС",('04_Доходы'!BR13+'04_Доходы'!BR102/(1+НДС)+'04_Доходы'!BR131)*(1+НДС),'04_Доходы'!BR13+'04_Доходы'!BR102/(1+НДС)+'04_Доходы'!BR131)</f>
        <v/>
      </c>
      <c r="BS19" s="4">
        <f>IF(CAPEXБаза="С НДС",('04_Доходы'!BS13+'04_Доходы'!BS102/(1+НДС)+'04_Доходы'!BS131)*(1+НДС),'04_Доходы'!BS13+'04_Доходы'!BS102/(1+НДС)+'04_Доходы'!BS131)</f>
        <v/>
      </c>
      <c r="BT19" s="4">
        <f>IF(CAPEXБаза="С НДС",('04_Доходы'!BT13+'04_Доходы'!BT102/(1+НДС)+'04_Доходы'!BT131)*(1+НДС),'04_Доходы'!BT13+'04_Доходы'!BT102/(1+НДС)+'04_Доходы'!BT131)</f>
        <v/>
      </c>
      <c r="BU19" s="4">
        <f>IF(CAPEXБаза="С НДС",('04_Доходы'!BU13+'04_Доходы'!BU102/(1+НДС)+'04_Доходы'!BU131)*(1+НДС),'04_Доходы'!BU13+'04_Доходы'!BU102/(1+НДС)+'04_Доходы'!BU131)</f>
        <v/>
      </c>
      <c r="BV19" s="4">
        <f>IF(CAPEXБаза="С НДС",('04_Доходы'!BV13+'04_Доходы'!BV102/(1+НДС)+'04_Доходы'!BV131)*(1+НДС),'04_Доходы'!BV13+'04_Доходы'!BV102/(1+НДС)+'04_Доходы'!BV131)</f>
        <v/>
      </c>
      <c r="BW19" s="4">
        <f>IF(CAPEXБаза="С НДС",('04_Доходы'!BW13+'04_Доходы'!BW102/(1+НДС)+'04_Доходы'!BW131)*(1+НДС),'04_Доходы'!BW13+'04_Доходы'!BW102/(1+НДС)+'04_Доходы'!BW131)</f>
        <v/>
      </c>
      <c r="BX19" s="4">
        <f>IF(CAPEXБаза="С НДС",('04_Доходы'!BX13+'04_Доходы'!BX102/(1+НДС)+'04_Доходы'!BX131)*(1+НДС),'04_Доходы'!BX13+'04_Доходы'!BX102/(1+НДС)+'04_Доходы'!BX131)</f>
        <v/>
      </c>
      <c r="BY19" s="4">
        <f>IF(CAPEXБаза="С НДС",('04_Доходы'!BY13+'04_Доходы'!BY102/(1+НДС)+'04_Доходы'!BY131)*(1+НДС),'04_Доходы'!BY13+'04_Доходы'!BY102/(1+НДС)+'04_Доходы'!BY131)</f>
        <v/>
      </c>
    </row>
    <row r="20">
      <c r="B20" t="inlineStr">
        <is>
          <t>CAPEX — всего</t>
        </is>
      </c>
      <c r="C20" t="inlineStr">
        <is>
          <t>₽</t>
        </is>
      </c>
      <c r="D20" s="117" t="inlineStr"/>
      <c r="E20" s="119">
        <f>SUM(L20:W20)</f>
        <v/>
      </c>
      <c r="F20" s="119">
        <f>SUM(X20:AI20)</f>
        <v/>
      </c>
      <c r="G20" s="119">
        <f>SUM(AJ20:AU20)</f>
        <v/>
      </c>
      <c r="H20" s="119">
        <f>SUM(AV20:BG20)</f>
        <v/>
      </c>
      <c r="I20" s="119">
        <f>SUM(BH20:BS20)</f>
        <v/>
      </c>
      <c r="J20" s="5">
        <f>SUM(L20:BS20)</f>
        <v/>
      </c>
      <c r="L20" s="4">
        <f>IF(CAPEXВключён="Да",L19*CAPEXДоля,0)+IF(AND(CAPEXВключён="Да",'03_Сеть'!L6=CAPEXДата),CAPEXРазовый,0)</f>
        <v/>
      </c>
      <c r="M20" s="4">
        <f>IF(CAPEXВключён="Да",M19*CAPEXДоля,0)+IF(AND(CAPEXВключён="Да",'03_Сеть'!M6=CAPEXДата),CAPEXРазовый,0)</f>
        <v/>
      </c>
      <c r="N20" s="4">
        <f>IF(CAPEXВключён="Да",N19*CAPEXДоля,0)+IF(AND(CAPEXВключён="Да",'03_Сеть'!N6=CAPEXДата),CAPEXРазовый,0)</f>
        <v/>
      </c>
      <c r="O20" s="4">
        <f>IF(CAPEXВключён="Да",O19*CAPEXДоля,0)+IF(AND(CAPEXВключён="Да",'03_Сеть'!O6=CAPEXДата),CAPEXРазовый,0)</f>
        <v/>
      </c>
      <c r="P20" s="4">
        <f>IF(CAPEXВключён="Да",P19*CAPEXДоля,0)+IF(AND(CAPEXВключён="Да",'03_Сеть'!P6=CAPEXДата),CAPEXРазовый,0)</f>
        <v/>
      </c>
      <c r="Q20" s="4">
        <f>IF(CAPEXВключён="Да",Q19*CAPEXДоля,0)+IF(AND(CAPEXВключён="Да",'03_Сеть'!Q6=CAPEXДата),CAPEXРазовый,0)</f>
        <v/>
      </c>
      <c r="R20" s="4">
        <f>IF(CAPEXВключён="Да",R19*CAPEXДоля,0)+IF(AND(CAPEXВключён="Да",'03_Сеть'!R6=CAPEXДата),CAPEXРазовый,0)</f>
        <v/>
      </c>
      <c r="S20" s="4">
        <f>IF(CAPEXВключён="Да",S19*CAPEXДоля,0)+IF(AND(CAPEXВключён="Да",'03_Сеть'!S6=CAPEXДата),CAPEXРазовый,0)</f>
        <v/>
      </c>
      <c r="T20" s="4">
        <f>IF(CAPEXВключён="Да",T19*CAPEXДоля,0)+IF(AND(CAPEXВключён="Да",'03_Сеть'!T6=CAPEXДата),CAPEXРазовый,0)</f>
        <v/>
      </c>
      <c r="U20" s="4">
        <f>IF(CAPEXВключён="Да",U19*CAPEXДоля,0)+IF(AND(CAPEXВключён="Да",'03_Сеть'!U6=CAPEXДата),CAPEXРазовый,0)</f>
        <v/>
      </c>
      <c r="V20" s="4">
        <f>IF(CAPEXВключён="Да",V19*CAPEXДоля,0)+IF(AND(CAPEXВключён="Да",'03_Сеть'!V6=CAPEXДата),CAPEXРазовый,0)</f>
        <v/>
      </c>
      <c r="W20" s="4">
        <f>IF(CAPEXВключён="Да",W19*CAPEXДоля,0)+IF(AND(CAPEXВключён="Да",'03_Сеть'!W6=CAPEXДата),CAPEXРазовый,0)</f>
        <v/>
      </c>
      <c r="X20" s="4">
        <f>IF(CAPEXВключён="Да",X19*CAPEXДоля,0)+IF(AND(CAPEXВключён="Да",'03_Сеть'!X6=CAPEXДата),CAPEXРазовый,0)</f>
        <v/>
      </c>
      <c r="Y20" s="4">
        <f>IF(CAPEXВключён="Да",Y19*CAPEXДоля,0)+IF(AND(CAPEXВключён="Да",'03_Сеть'!Y6=CAPEXДата),CAPEXРазовый,0)</f>
        <v/>
      </c>
      <c r="Z20" s="4">
        <f>IF(CAPEXВключён="Да",Z19*CAPEXДоля,0)+IF(AND(CAPEXВключён="Да",'03_Сеть'!Z6=CAPEXДата),CAPEXРазовый,0)</f>
        <v/>
      </c>
      <c r="AA20" s="4">
        <f>IF(CAPEXВключён="Да",AA19*CAPEXДоля,0)+IF(AND(CAPEXВключён="Да",'03_Сеть'!AA6=CAPEXДата),CAPEXРазовый,0)</f>
        <v/>
      </c>
      <c r="AB20" s="4">
        <f>IF(CAPEXВключён="Да",AB19*CAPEXДоля,0)+IF(AND(CAPEXВключён="Да",'03_Сеть'!AB6=CAPEXДата),CAPEXРазовый,0)</f>
        <v/>
      </c>
      <c r="AC20" s="4">
        <f>IF(CAPEXВключён="Да",AC19*CAPEXДоля,0)+IF(AND(CAPEXВключён="Да",'03_Сеть'!AC6=CAPEXДата),CAPEXРазовый,0)</f>
        <v/>
      </c>
      <c r="AD20" s="4">
        <f>IF(CAPEXВключён="Да",AD19*CAPEXДоля,0)+IF(AND(CAPEXВключён="Да",'03_Сеть'!AD6=CAPEXДата),CAPEXРазовый,0)</f>
        <v/>
      </c>
      <c r="AE20" s="4">
        <f>IF(CAPEXВключён="Да",AE19*CAPEXДоля,0)+IF(AND(CAPEXВключён="Да",'03_Сеть'!AE6=CAPEXДата),CAPEXРазовый,0)</f>
        <v/>
      </c>
      <c r="AF20" s="4">
        <f>IF(CAPEXВключён="Да",AF19*CAPEXДоля,0)+IF(AND(CAPEXВключён="Да",'03_Сеть'!AF6=CAPEXДата),CAPEXРазовый,0)</f>
        <v/>
      </c>
      <c r="AG20" s="4">
        <f>IF(CAPEXВключён="Да",AG19*CAPEXДоля,0)+IF(AND(CAPEXВключён="Да",'03_Сеть'!AG6=CAPEXДата),CAPEXРазовый,0)</f>
        <v/>
      </c>
      <c r="AH20" s="4">
        <f>IF(CAPEXВключён="Да",AH19*CAPEXДоля,0)+IF(AND(CAPEXВключён="Да",'03_Сеть'!AH6=CAPEXДата),CAPEXРазовый,0)</f>
        <v/>
      </c>
      <c r="AI20" s="4">
        <f>IF(CAPEXВключён="Да",AI19*CAPEXДоля,0)+IF(AND(CAPEXВключён="Да",'03_Сеть'!AI6=CAPEXДата),CAPEXРазовый,0)</f>
        <v/>
      </c>
      <c r="AJ20" s="4">
        <f>IF(CAPEXВключён="Да",AJ19*CAPEXДоля,0)+IF(AND(CAPEXВключён="Да",'03_Сеть'!AJ6=CAPEXДата),CAPEXРазовый,0)</f>
        <v/>
      </c>
      <c r="AK20" s="4">
        <f>IF(CAPEXВключён="Да",AK19*CAPEXДоля,0)+IF(AND(CAPEXВключён="Да",'03_Сеть'!AK6=CAPEXДата),CAPEXРазовый,0)</f>
        <v/>
      </c>
      <c r="AL20" s="4">
        <f>IF(CAPEXВключён="Да",AL19*CAPEXДоля,0)+IF(AND(CAPEXВключён="Да",'03_Сеть'!AL6=CAPEXДата),CAPEXРазовый,0)</f>
        <v/>
      </c>
      <c r="AM20" s="4">
        <f>IF(CAPEXВключён="Да",AM19*CAPEXДоля,0)+IF(AND(CAPEXВключён="Да",'03_Сеть'!AM6=CAPEXДата),CAPEXРазовый,0)</f>
        <v/>
      </c>
      <c r="AN20" s="4">
        <f>IF(CAPEXВключён="Да",AN19*CAPEXДоля,0)+IF(AND(CAPEXВключён="Да",'03_Сеть'!AN6=CAPEXДата),CAPEXРазовый,0)</f>
        <v/>
      </c>
      <c r="AO20" s="4">
        <f>IF(CAPEXВключён="Да",AO19*CAPEXДоля,0)+IF(AND(CAPEXВключён="Да",'03_Сеть'!AO6=CAPEXДата),CAPEXРазовый,0)</f>
        <v/>
      </c>
      <c r="AP20" s="4">
        <f>IF(CAPEXВключён="Да",AP19*CAPEXДоля,0)+IF(AND(CAPEXВключён="Да",'03_Сеть'!AP6=CAPEXДата),CAPEXРазовый,0)</f>
        <v/>
      </c>
      <c r="AQ20" s="4">
        <f>IF(CAPEXВключён="Да",AQ19*CAPEXДоля,0)+IF(AND(CAPEXВключён="Да",'03_Сеть'!AQ6=CAPEXДата),CAPEXРазовый,0)</f>
        <v/>
      </c>
      <c r="AR20" s="4">
        <f>IF(CAPEXВключён="Да",AR19*CAPEXДоля,0)+IF(AND(CAPEXВключён="Да",'03_Сеть'!AR6=CAPEXДата),CAPEXРазовый,0)</f>
        <v/>
      </c>
      <c r="AS20" s="4">
        <f>IF(CAPEXВключён="Да",AS19*CAPEXДоля,0)+IF(AND(CAPEXВключён="Да",'03_Сеть'!AS6=CAPEXДата),CAPEXРазовый,0)</f>
        <v/>
      </c>
      <c r="AT20" s="4">
        <f>IF(CAPEXВключён="Да",AT19*CAPEXДоля,0)+IF(AND(CAPEXВключён="Да",'03_Сеть'!AT6=CAPEXДата),CAPEXРазовый,0)</f>
        <v/>
      </c>
      <c r="AU20" s="4">
        <f>IF(CAPEXВключён="Да",AU19*CAPEXДоля,0)+IF(AND(CAPEXВключён="Да",'03_Сеть'!AU6=CAPEXДата),CAPEXРазовый,0)</f>
        <v/>
      </c>
      <c r="AV20" s="4">
        <f>IF(CAPEXВключён="Да",AV19*CAPEXДоля,0)+IF(AND(CAPEXВключён="Да",'03_Сеть'!AV6=CAPEXДата),CAPEXРазовый,0)</f>
        <v/>
      </c>
      <c r="AW20" s="4">
        <f>IF(CAPEXВключён="Да",AW19*CAPEXДоля,0)+IF(AND(CAPEXВключён="Да",'03_Сеть'!AW6=CAPEXДата),CAPEXРазовый,0)</f>
        <v/>
      </c>
      <c r="AX20" s="4">
        <f>IF(CAPEXВключён="Да",AX19*CAPEXДоля,0)+IF(AND(CAPEXВключён="Да",'03_Сеть'!AX6=CAPEXДата),CAPEXРазовый,0)</f>
        <v/>
      </c>
      <c r="AY20" s="4">
        <f>IF(CAPEXВключён="Да",AY19*CAPEXДоля,0)+IF(AND(CAPEXВключён="Да",'03_Сеть'!AY6=CAPEXДата),CAPEXРазовый,0)</f>
        <v/>
      </c>
      <c r="AZ20" s="4">
        <f>IF(CAPEXВключён="Да",AZ19*CAPEXДоля,0)+IF(AND(CAPEXВключён="Да",'03_Сеть'!AZ6=CAPEXДата),CAPEXРазовый,0)</f>
        <v/>
      </c>
      <c r="BA20" s="4">
        <f>IF(CAPEXВключён="Да",BA19*CAPEXДоля,0)+IF(AND(CAPEXВключён="Да",'03_Сеть'!BA6=CAPEXДата),CAPEXРазовый,0)</f>
        <v/>
      </c>
      <c r="BB20" s="4">
        <f>IF(CAPEXВключён="Да",BB19*CAPEXДоля,0)+IF(AND(CAPEXВключён="Да",'03_Сеть'!BB6=CAPEXДата),CAPEXРазовый,0)</f>
        <v/>
      </c>
      <c r="BC20" s="4">
        <f>IF(CAPEXВключён="Да",BC19*CAPEXДоля,0)+IF(AND(CAPEXВключён="Да",'03_Сеть'!BC6=CAPEXДата),CAPEXРазовый,0)</f>
        <v/>
      </c>
      <c r="BD20" s="4">
        <f>IF(CAPEXВключён="Да",BD19*CAPEXДоля,0)+IF(AND(CAPEXВключён="Да",'03_Сеть'!BD6=CAPEXДата),CAPEXРазовый,0)</f>
        <v/>
      </c>
      <c r="BE20" s="4">
        <f>IF(CAPEXВключён="Да",BE19*CAPEXДоля,0)+IF(AND(CAPEXВключён="Да",'03_Сеть'!BE6=CAPEXДата),CAPEXРазовый,0)</f>
        <v/>
      </c>
      <c r="BF20" s="4">
        <f>IF(CAPEXВключён="Да",BF19*CAPEXДоля,0)+IF(AND(CAPEXВключён="Да",'03_Сеть'!BF6=CAPEXДата),CAPEXРазовый,0)</f>
        <v/>
      </c>
      <c r="BG20" s="4">
        <f>IF(CAPEXВключён="Да",BG19*CAPEXДоля,0)+IF(AND(CAPEXВключён="Да",'03_Сеть'!BG6=CAPEXДата),CAPEXРазовый,0)</f>
        <v/>
      </c>
      <c r="BH20" s="4">
        <f>IF(CAPEXВключён="Да",BH19*CAPEXДоля,0)+IF(AND(CAPEXВключён="Да",'03_Сеть'!BH6=CAPEXДата),CAPEXРазовый,0)</f>
        <v/>
      </c>
      <c r="BI20" s="4">
        <f>IF(CAPEXВключён="Да",BI19*CAPEXДоля,0)+IF(AND(CAPEXВключён="Да",'03_Сеть'!BI6=CAPEXДата),CAPEXРазовый,0)</f>
        <v/>
      </c>
      <c r="BJ20" s="4">
        <f>IF(CAPEXВключён="Да",BJ19*CAPEXДоля,0)+IF(AND(CAPEXВключён="Да",'03_Сеть'!BJ6=CAPEXДата),CAPEXРазовый,0)</f>
        <v/>
      </c>
      <c r="BK20" s="4">
        <f>IF(CAPEXВключён="Да",BK19*CAPEXДоля,0)+IF(AND(CAPEXВключён="Да",'03_Сеть'!BK6=CAPEXДата),CAPEXРазовый,0)</f>
        <v/>
      </c>
      <c r="BL20" s="4">
        <f>IF(CAPEXВключён="Да",BL19*CAPEXДоля,0)+IF(AND(CAPEXВключён="Да",'03_Сеть'!BL6=CAPEXДата),CAPEXРазовый,0)</f>
        <v/>
      </c>
      <c r="BM20" s="4">
        <f>IF(CAPEXВключён="Да",BM19*CAPEXДоля,0)+IF(AND(CAPEXВключён="Да",'03_Сеть'!BM6=CAPEXДата),CAPEXРазовый,0)</f>
        <v/>
      </c>
      <c r="BN20" s="4">
        <f>IF(CAPEXВключён="Да",BN19*CAPEXДоля,0)+IF(AND(CAPEXВключён="Да",'03_Сеть'!BN6=CAPEXДата),CAPEXРазовый,0)</f>
        <v/>
      </c>
      <c r="BO20" s="4">
        <f>IF(CAPEXВключён="Да",BO19*CAPEXДоля,0)+IF(AND(CAPEXВключён="Да",'03_Сеть'!BO6=CAPEXДата),CAPEXРазовый,0)</f>
        <v/>
      </c>
      <c r="BP20" s="4">
        <f>IF(CAPEXВключён="Да",BP19*CAPEXДоля,0)+IF(AND(CAPEXВключён="Да",'03_Сеть'!BP6=CAPEXДата),CAPEXРазовый,0)</f>
        <v/>
      </c>
      <c r="BQ20" s="4">
        <f>IF(CAPEXВключён="Да",BQ19*CAPEXДоля,0)+IF(AND(CAPEXВключён="Да",'03_Сеть'!BQ6=CAPEXДата),CAPEXРазовый,0)</f>
        <v/>
      </c>
      <c r="BR20" s="4">
        <f>IF(CAPEXВключён="Да",BR19*CAPEXДоля,0)+IF(AND(CAPEXВключён="Да",'03_Сеть'!BR6=CAPEXДата),CAPEXРазовый,0)</f>
        <v/>
      </c>
      <c r="BS20" s="4">
        <f>IF(CAPEXВключён="Да",BS19*CAPEXДоля,0)+IF(AND(CAPEXВключён="Да",'03_Сеть'!BS6=CAPEXДата),CAPEXРазовый,0)</f>
        <v/>
      </c>
      <c r="BT20" s="4">
        <f>IF(CAPEXВключён="Да",BT19*CAPEXДоля,0)+IF(AND(CAPEXВключён="Да",'03_Сеть'!BT6=CAPEXДата),CAPEXРазовый,0)</f>
        <v/>
      </c>
      <c r="BU20" s="4">
        <f>IF(CAPEXВключён="Да",BU19*CAPEXДоля,0)+IF(AND(CAPEXВключён="Да",'03_Сеть'!BU6=CAPEXДата),CAPEXРазовый,0)</f>
        <v/>
      </c>
      <c r="BV20" s="4">
        <f>IF(CAPEXВключён="Да",BV19*CAPEXДоля,0)+IF(AND(CAPEXВключён="Да",'03_Сеть'!BV6=CAPEXДата),CAPEXРазовый,0)</f>
        <v/>
      </c>
      <c r="BW20" s="4">
        <f>IF(CAPEXВключён="Да",BW19*CAPEXДоля,0)+IF(AND(CAPEXВключён="Да",'03_Сеть'!BW6=CAPEXДата),CAPEXРазовый,0)</f>
        <v/>
      </c>
      <c r="BX20" s="4">
        <f>IF(CAPEXВключён="Да",BX19*CAPEXДоля,0)+IF(AND(CAPEXВключён="Да",'03_Сеть'!BX6=CAPEXДата),CAPEXРазовый,0)</f>
        <v/>
      </c>
      <c r="BY20" s="4">
        <f>IF(CAPEXВключён="Да",BY19*CAPEXДоля,0)+IF(AND(CAPEXВключён="Да",'03_Сеть'!BY6=CAPEXДата),CAPEXРазовый,0)</f>
        <v/>
      </c>
    </row>
    <row r="21">
      <c r="B21" t="inlineStr">
        <is>
          <t>УСН / минимальный налог</t>
        </is>
      </c>
      <c r="C21" t="inlineStr">
        <is>
          <t>₽</t>
        </is>
      </c>
      <c r="D21" s="117" t="inlineStr">
        <is>
          <t>Что больше: минимальный налог с выручки или УСН с прибыли</t>
        </is>
      </c>
      <c r="E21" s="119">
        <f>SUM(L21:W21)</f>
        <v/>
      </c>
      <c r="F21" s="119">
        <f>SUM(X21:AI21)</f>
        <v/>
      </c>
      <c r="G21" s="119">
        <f>SUM(AJ21:AU21)</f>
        <v/>
      </c>
      <c r="H21" s="119">
        <f>SUM(AV21:BG21)</f>
        <v/>
      </c>
      <c r="I21" s="119">
        <f>SUM(BH21:BS21)</f>
        <v/>
      </c>
      <c r="J21" s="5">
        <f>SUM(L21:BS21)</f>
        <v/>
      </c>
      <c r="L21" s="4">
        <f>MAX(МинНалог*'02_Результат'!L15,СтавкаУСН*MAX(0,'02_Результат'!L31))</f>
        <v/>
      </c>
      <c r="M21" s="4">
        <f>MAX(МинНалог*'02_Результат'!M15,СтавкаУСН*MAX(0,'02_Результат'!M31))</f>
        <v/>
      </c>
      <c r="N21" s="4">
        <f>MAX(МинНалог*'02_Результат'!N15,СтавкаУСН*MAX(0,'02_Результат'!N31))</f>
        <v/>
      </c>
      <c r="O21" s="4">
        <f>MAX(МинНалог*'02_Результат'!O15,СтавкаУСН*MAX(0,'02_Результат'!O31))</f>
        <v/>
      </c>
      <c r="P21" s="4">
        <f>MAX(МинНалог*'02_Результат'!P15,СтавкаУСН*MAX(0,'02_Результат'!P31))</f>
        <v/>
      </c>
      <c r="Q21" s="4">
        <f>MAX(МинНалог*'02_Результат'!Q15,СтавкаУСН*MAX(0,'02_Результат'!Q31))</f>
        <v/>
      </c>
      <c r="R21" s="4">
        <f>MAX(МинНалог*'02_Результат'!R15,СтавкаУСН*MAX(0,'02_Результат'!R31))</f>
        <v/>
      </c>
      <c r="S21" s="4">
        <f>MAX(МинНалог*'02_Результат'!S15,СтавкаУСН*MAX(0,'02_Результат'!S31))</f>
        <v/>
      </c>
      <c r="T21" s="4">
        <f>MAX(МинНалог*'02_Результат'!T15,СтавкаУСН*MAX(0,'02_Результат'!T31))</f>
        <v/>
      </c>
      <c r="U21" s="4">
        <f>MAX(МинНалог*'02_Результат'!U15,СтавкаУСН*MAX(0,'02_Результат'!U31))</f>
        <v/>
      </c>
      <c r="V21" s="4">
        <f>MAX(МинНалог*'02_Результат'!V15,СтавкаУСН*MAX(0,'02_Результат'!V31))</f>
        <v/>
      </c>
      <c r="W21" s="4">
        <f>MAX(МинНалог*'02_Результат'!W15,СтавкаУСН*MAX(0,'02_Результат'!W31))</f>
        <v/>
      </c>
      <c r="X21" s="4">
        <f>MAX(МинНалог*'02_Результат'!X15,СтавкаУСН*MAX(0,'02_Результат'!X31))</f>
        <v/>
      </c>
      <c r="Y21" s="4">
        <f>MAX(МинНалог*'02_Результат'!Y15,СтавкаУСН*MAX(0,'02_Результат'!Y31))</f>
        <v/>
      </c>
      <c r="Z21" s="4">
        <f>MAX(МинНалог*'02_Результат'!Z15,СтавкаУСН*MAX(0,'02_Результат'!Z31))</f>
        <v/>
      </c>
      <c r="AA21" s="4">
        <f>MAX(МинНалог*'02_Результат'!AA15,СтавкаУСН*MAX(0,'02_Результат'!AA31))</f>
        <v/>
      </c>
      <c r="AB21" s="4">
        <f>MAX(МинНалог*'02_Результат'!AB15,СтавкаУСН*MAX(0,'02_Результат'!AB31))</f>
        <v/>
      </c>
      <c r="AC21" s="4">
        <f>MAX(МинНалог*'02_Результат'!AC15,СтавкаУСН*MAX(0,'02_Результат'!AC31))</f>
        <v/>
      </c>
      <c r="AD21" s="4">
        <f>MAX(МинНалог*'02_Результат'!AD15,СтавкаУСН*MAX(0,'02_Результат'!AD31))</f>
        <v/>
      </c>
      <c r="AE21" s="4">
        <f>MAX(МинНалог*'02_Результат'!AE15,СтавкаУСН*MAX(0,'02_Результат'!AE31))</f>
        <v/>
      </c>
      <c r="AF21" s="4">
        <f>MAX(МинНалог*'02_Результат'!AF15,СтавкаУСН*MAX(0,'02_Результат'!AF31))</f>
        <v/>
      </c>
      <c r="AG21" s="4">
        <f>MAX(МинНалог*'02_Результат'!AG15,СтавкаУСН*MAX(0,'02_Результат'!AG31))</f>
        <v/>
      </c>
      <c r="AH21" s="4">
        <f>MAX(МинНалог*'02_Результат'!AH15,СтавкаУСН*MAX(0,'02_Результат'!AH31))</f>
        <v/>
      </c>
      <c r="AI21" s="4">
        <f>MAX(МинНалог*'02_Результат'!AI15,СтавкаУСН*MAX(0,'02_Результат'!AI31))</f>
        <v/>
      </c>
      <c r="AJ21" s="4">
        <f>MAX(МинНалог*'02_Результат'!AJ15,СтавкаУСН*MAX(0,'02_Результат'!AJ31))</f>
        <v/>
      </c>
      <c r="AK21" s="4">
        <f>MAX(МинНалог*'02_Результат'!AK15,СтавкаУСН*MAX(0,'02_Результат'!AK31))</f>
        <v/>
      </c>
      <c r="AL21" s="4">
        <f>MAX(МинНалог*'02_Результат'!AL15,СтавкаУСН*MAX(0,'02_Результат'!AL31))</f>
        <v/>
      </c>
      <c r="AM21" s="4">
        <f>MAX(МинНалог*'02_Результат'!AM15,СтавкаУСН*MAX(0,'02_Результат'!AM31))</f>
        <v/>
      </c>
      <c r="AN21" s="4">
        <f>MAX(МинНалог*'02_Результат'!AN15,СтавкаУСН*MAX(0,'02_Результат'!AN31))</f>
        <v/>
      </c>
      <c r="AO21" s="4">
        <f>MAX(МинНалог*'02_Результат'!AO15,СтавкаУСН*MAX(0,'02_Результат'!AO31))</f>
        <v/>
      </c>
      <c r="AP21" s="4">
        <f>MAX(МинНалог*'02_Результат'!AP15,СтавкаУСН*MAX(0,'02_Результат'!AP31))</f>
        <v/>
      </c>
      <c r="AQ21" s="4">
        <f>MAX(МинНалог*'02_Результат'!AQ15,СтавкаУСН*MAX(0,'02_Результат'!AQ31))</f>
        <v/>
      </c>
      <c r="AR21" s="4">
        <f>MAX(МинНалог*'02_Результат'!AR15,СтавкаУСН*MAX(0,'02_Результат'!AR31))</f>
        <v/>
      </c>
      <c r="AS21" s="4">
        <f>MAX(МинНалог*'02_Результат'!AS15,СтавкаУСН*MAX(0,'02_Результат'!AS31))</f>
        <v/>
      </c>
      <c r="AT21" s="4">
        <f>MAX(МинНалог*'02_Результат'!AT15,СтавкаУСН*MAX(0,'02_Результат'!AT31))</f>
        <v/>
      </c>
      <c r="AU21" s="4">
        <f>MAX(МинНалог*'02_Результат'!AU15,СтавкаУСН*MAX(0,'02_Результат'!AU31))</f>
        <v/>
      </c>
      <c r="AV21" s="4">
        <f>MAX(МинНалог*'02_Результат'!AV15,СтавкаУСН*MAX(0,'02_Результат'!AV31))</f>
        <v/>
      </c>
      <c r="AW21" s="4">
        <f>MAX(МинНалог*'02_Результат'!AW15,СтавкаУСН*MAX(0,'02_Результат'!AW31))</f>
        <v/>
      </c>
      <c r="AX21" s="4">
        <f>MAX(МинНалог*'02_Результат'!AX15,СтавкаУСН*MAX(0,'02_Результат'!AX31))</f>
        <v/>
      </c>
      <c r="AY21" s="4">
        <f>MAX(МинНалог*'02_Результат'!AY15,СтавкаУСН*MAX(0,'02_Результат'!AY31))</f>
        <v/>
      </c>
      <c r="AZ21" s="4">
        <f>MAX(МинНалог*'02_Результат'!AZ15,СтавкаУСН*MAX(0,'02_Результат'!AZ31))</f>
        <v/>
      </c>
      <c r="BA21" s="4">
        <f>MAX(МинНалог*'02_Результат'!BA15,СтавкаУСН*MAX(0,'02_Результат'!BA31))</f>
        <v/>
      </c>
      <c r="BB21" s="4">
        <f>MAX(МинНалог*'02_Результат'!BB15,СтавкаУСН*MAX(0,'02_Результат'!BB31))</f>
        <v/>
      </c>
      <c r="BC21" s="4">
        <f>MAX(МинНалог*'02_Результат'!BC15,СтавкаУСН*MAX(0,'02_Результат'!BC31))</f>
        <v/>
      </c>
      <c r="BD21" s="4">
        <f>MAX(МинНалог*'02_Результат'!BD15,СтавкаУСН*MAX(0,'02_Результат'!BD31))</f>
        <v/>
      </c>
      <c r="BE21" s="4">
        <f>MAX(МинНалог*'02_Результат'!BE15,СтавкаУСН*MAX(0,'02_Результат'!BE31))</f>
        <v/>
      </c>
      <c r="BF21" s="4">
        <f>MAX(МинНалог*'02_Результат'!BF15,СтавкаУСН*MAX(0,'02_Результат'!BF31))</f>
        <v/>
      </c>
      <c r="BG21" s="4">
        <f>MAX(МинНалог*'02_Результат'!BG15,СтавкаУСН*MAX(0,'02_Результат'!BG31))</f>
        <v/>
      </c>
      <c r="BH21" s="4">
        <f>MAX(МинНалог*'02_Результат'!BH15,СтавкаУСН*MAX(0,'02_Результат'!BH31))</f>
        <v/>
      </c>
      <c r="BI21" s="4">
        <f>MAX(МинНалог*'02_Результат'!BI15,СтавкаУСН*MAX(0,'02_Результат'!BI31))</f>
        <v/>
      </c>
      <c r="BJ21" s="4">
        <f>MAX(МинНалог*'02_Результат'!BJ15,СтавкаУСН*MAX(0,'02_Результат'!BJ31))</f>
        <v/>
      </c>
      <c r="BK21" s="4">
        <f>MAX(МинНалог*'02_Результат'!BK15,СтавкаУСН*MAX(0,'02_Результат'!BK31))</f>
        <v/>
      </c>
      <c r="BL21" s="4">
        <f>MAX(МинНалог*'02_Результат'!BL15,СтавкаУСН*MAX(0,'02_Результат'!BL31))</f>
        <v/>
      </c>
      <c r="BM21" s="4">
        <f>MAX(МинНалог*'02_Результат'!BM15,СтавкаУСН*MAX(0,'02_Результат'!BM31))</f>
        <v/>
      </c>
      <c r="BN21" s="4">
        <f>MAX(МинНалог*'02_Результат'!BN15,СтавкаУСН*MAX(0,'02_Результат'!BN31))</f>
        <v/>
      </c>
      <c r="BO21" s="4">
        <f>MAX(МинНалог*'02_Результат'!BO15,СтавкаУСН*MAX(0,'02_Результат'!BO31))</f>
        <v/>
      </c>
      <c r="BP21" s="4">
        <f>MAX(МинНалог*'02_Результат'!BP15,СтавкаУСН*MAX(0,'02_Результат'!BP31))</f>
        <v/>
      </c>
      <c r="BQ21" s="4">
        <f>MAX(МинНалог*'02_Результат'!BQ15,СтавкаУСН*MAX(0,'02_Результат'!BQ31))</f>
        <v/>
      </c>
      <c r="BR21" s="4">
        <f>MAX(МинНалог*'02_Результат'!BR15,СтавкаУСН*MAX(0,'02_Результат'!BR31))</f>
        <v/>
      </c>
      <c r="BS21" s="4">
        <f>MAX(МинНалог*'02_Результат'!BS15,СтавкаУСН*MAX(0,'02_Результат'!BS31))</f>
        <v/>
      </c>
      <c r="BT21" s="4">
        <f>MAX(МинНалог*'02_Результат'!BT15,СтавкаУСН*MAX(0,'02_Результат'!BT31))</f>
        <v/>
      </c>
      <c r="BU21" s="4">
        <f>MAX(МинНалог*'02_Результат'!BU15,СтавкаУСН*MAX(0,'02_Результат'!BU31))</f>
        <v/>
      </c>
      <c r="BV21" s="4">
        <f>MAX(МинНалог*'02_Результат'!BV15,СтавкаУСН*MAX(0,'02_Результат'!BV31))</f>
        <v/>
      </c>
      <c r="BW21" s="4">
        <f>MAX(МинНалог*'02_Результат'!BW15,СтавкаУСН*MAX(0,'02_Результат'!BW31))</f>
        <v/>
      </c>
      <c r="BX21" s="4">
        <f>MAX(МинНалог*'02_Результат'!BX15,СтавкаУСН*MAX(0,'02_Результат'!BX31))</f>
        <v/>
      </c>
      <c r="BY21" s="4">
        <f>MAX(МинНалог*'02_Результат'!BY15,СтавкаУСН*MAX(0,'02_Результат'!BY31))</f>
        <v/>
      </c>
    </row>
    <row r="22">
      <c r="B22" t="inlineStr">
        <is>
          <t>НДС основной деятельности</t>
        </is>
      </c>
      <c r="C22" t="inlineStr">
        <is>
          <t>₽</t>
        </is>
      </c>
      <c r="D22" s="117" t="inlineStr"/>
      <c r="E22" s="119">
        <f>SUM(L22:W22)</f>
        <v/>
      </c>
      <c r="F22" s="119">
        <f>SUM(X22:AI22)</f>
        <v/>
      </c>
      <c r="G22" s="119">
        <f>SUM(AJ22:AU22)</f>
        <v/>
      </c>
      <c r="H22" s="119">
        <f>SUM(AV22:BG22)</f>
        <v/>
      </c>
      <c r="I22" s="119">
        <f>SUM(BH22:BS22)</f>
        <v/>
      </c>
      <c r="J22" s="5">
        <f>SUM(L22:BS22)</f>
        <v/>
      </c>
      <c r="L22" s="4">
        <f>('02_Результат'!L38+'02_Результат'!L39+'02_Результат'!L40)-('02_Результат'!L38+'02_Результат'!L39+'02_Результат'!L40)/(1+НДС)</f>
        <v/>
      </c>
      <c r="M22" s="4">
        <f>('02_Результат'!M38+'02_Результат'!M39+'02_Результат'!M40)-('02_Результат'!M38+'02_Результат'!M39+'02_Результат'!M40)/(1+НДС)</f>
        <v/>
      </c>
      <c r="N22" s="4">
        <f>('02_Результат'!N38+'02_Результат'!N39+'02_Результат'!N40)-('02_Результат'!N38+'02_Результат'!N39+'02_Результат'!N40)/(1+НДС)</f>
        <v/>
      </c>
      <c r="O22" s="4">
        <f>('02_Результат'!O38+'02_Результат'!O39+'02_Результат'!O40)-('02_Результат'!O38+'02_Результат'!O39+'02_Результат'!O40)/(1+НДС)</f>
        <v/>
      </c>
      <c r="P22" s="4">
        <f>('02_Результат'!P38+'02_Результат'!P39+'02_Результат'!P40)-('02_Результат'!P38+'02_Результат'!P39+'02_Результат'!P40)/(1+НДС)</f>
        <v/>
      </c>
      <c r="Q22" s="4">
        <f>('02_Результат'!Q38+'02_Результат'!Q39+'02_Результат'!Q40)-('02_Результат'!Q38+'02_Результат'!Q39+'02_Результат'!Q40)/(1+НДС)</f>
        <v/>
      </c>
      <c r="R22" s="4">
        <f>('02_Результат'!R38+'02_Результат'!R39+'02_Результат'!R40)-('02_Результат'!R38+'02_Результат'!R39+'02_Результат'!R40)/(1+НДС)</f>
        <v/>
      </c>
      <c r="S22" s="4">
        <f>('02_Результат'!S38+'02_Результат'!S39+'02_Результат'!S40)-('02_Результат'!S38+'02_Результат'!S39+'02_Результат'!S40)/(1+НДС)</f>
        <v/>
      </c>
      <c r="T22" s="4">
        <f>('02_Результат'!T38+'02_Результат'!T39+'02_Результат'!T40)-('02_Результат'!T38+'02_Результат'!T39+'02_Результат'!T40)/(1+НДС)</f>
        <v/>
      </c>
      <c r="U22" s="4">
        <f>('02_Результат'!U38+'02_Результат'!U39+'02_Результат'!U40)-('02_Результат'!U38+'02_Результат'!U39+'02_Результат'!U40)/(1+НДС)</f>
        <v/>
      </c>
      <c r="V22" s="4">
        <f>('02_Результат'!V38+'02_Результат'!V39+'02_Результат'!V40)-('02_Результат'!V38+'02_Результат'!V39+'02_Результат'!V40)/(1+НДС)</f>
        <v/>
      </c>
      <c r="W22" s="4">
        <f>('02_Результат'!W38+'02_Результат'!W39+'02_Результат'!W40)-('02_Результат'!W38+'02_Результат'!W39+'02_Результат'!W40)/(1+НДС)</f>
        <v/>
      </c>
      <c r="X22" s="4">
        <f>('02_Результат'!X38+'02_Результат'!X39+'02_Результат'!X40)-('02_Результат'!X38+'02_Результат'!X39+'02_Результат'!X40)/(1+НДС)</f>
        <v/>
      </c>
      <c r="Y22" s="4">
        <f>('02_Результат'!Y38+'02_Результат'!Y39+'02_Результат'!Y40)-('02_Результат'!Y38+'02_Результат'!Y39+'02_Результат'!Y40)/(1+НДС)</f>
        <v/>
      </c>
      <c r="Z22" s="4">
        <f>('02_Результат'!Z38+'02_Результат'!Z39+'02_Результат'!Z40)-('02_Результат'!Z38+'02_Результат'!Z39+'02_Результат'!Z40)/(1+НДС)</f>
        <v/>
      </c>
      <c r="AA22" s="4">
        <f>('02_Результат'!AA38+'02_Результат'!AA39+'02_Результат'!AA40)-('02_Результат'!AA38+'02_Результат'!AA39+'02_Результат'!AA40)/(1+НДС)</f>
        <v/>
      </c>
      <c r="AB22" s="4">
        <f>('02_Результат'!AB38+'02_Результат'!AB39+'02_Результат'!AB40)-('02_Результат'!AB38+'02_Результат'!AB39+'02_Результат'!AB40)/(1+НДС)</f>
        <v/>
      </c>
      <c r="AC22" s="4">
        <f>('02_Результат'!AC38+'02_Результат'!AC39+'02_Результат'!AC40)-('02_Результат'!AC38+'02_Результат'!AC39+'02_Результат'!AC40)/(1+НДС)</f>
        <v/>
      </c>
      <c r="AD22" s="4">
        <f>('02_Результат'!AD38+'02_Результат'!AD39+'02_Результат'!AD40)-('02_Результат'!AD38+'02_Результат'!AD39+'02_Результат'!AD40)/(1+НДС)</f>
        <v/>
      </c>
      <c r="AE22" s="4">
        <f>('02_Результат'!AE38+'02_Результат'!AE39+'02_Результат'!AE40)-('02_Результат'!AE38+'02_Результат'!AE39+'02_Результат'!AE40)/(1+НДС)</f>
        <v/>
      </c>
      <c r="AF22" s="4">
        <f>('02_Результат'!AF38+'02_Результат'!AF39+'02_Результат'!AF40)-('02_Результат'!AF38+'02_Результат'!AF39+'02_Результат'!AF40)/(1+НДС)</f>
        <v/>
      </c>
      <c r="AG22" s="4">
        <f>('02_Результат'!AG38+'02_Результат'!AG39+'02_Результат'!AG40)-('02_Результат'!AG38+'02_Результат'!AG39+'02_Результат'!AG40)/(1+НДС)</f>
        <v/>
      </c>
      <c r="AH22" s="4">
        <f>('02_Результат'!AH38+'02_Результат'!AH39+'02_Результат'!AH40)-('02_Результат'!AH38+'02_Результат'!AH39+'02_Результат'!AH40)/(1+НДС)</f>
        <v/>
      </c>
      <c r="AI22" s="4">
        <f>('02_Результат'!AI38+'02_Результат'!AI39+'02_Результат'!AI40)-('02_Результат'!AI38+'02_Результат'!AI39+'02_Результат'!AI40)/(1+НДС)</f>
        <v/>
      </c>
      <c r="AJ22" s="4">
        <f>('02_Результат'!AJ38+'02_Результат'!AJ39+'02_Результат'!AJ40)-('02_Результат'!AJ38+'02_Результат'!AJ39+'02_Результат'!AJ40)/(1+НДС)</f>
        <v/>
      </c>
      <c r="AK22" s="4">
        <f>('02_Результат'!AK38+'02_Результат'!AK39+'02_Результат'!AK40)-('02_Результат'!AK38+'02_Результат'!AK39+'02_Результат'!AK40)/(1+НДС)</f>
        <v/>
      </c>
      <c r="AL22" s="4">
        <f>('02_Результат'!AL38+'02_Результат'!AL39+'02_Результат'!AL40)-('02_Результат'!AL38+'02_Результат'!AL39+'02_Результат'!AL40)/(1+НДС)</f>
        <v/>
      </c>
      <c r="AM22" s="4">
        <f>('02_Результат'!AM38+'02_Результат'!AM39+'02_Результат'!AM40)-('02_Результат'!AM38+'02_Результат'!AM39+'02_Результат'!AM40)/(1+НДС)</f>
        <v/>
      </c>
      <c r="AN22" s="4">
        <f>('02_Результат'!AN38+'02_Результат'!AN39+'02_Результат'!AN40)-('02_Результат'!AN38+'02_Результат'!AN39+'02_Результат'!AN40)/(1+НДС)</f>
        <v/>
      </c>
      <c r="AO22" s="4">
        <f>('02_Результат'!AO38+'02_Результат'!AO39+'02_Результат'!AO40)-('02_Результат'!AO38+'02_Результат'!AO39+'02_Результат'!AO40)/(1+НДС)</f>
        <v/>
      </c>
      <c r="AP22" s="4">
        <f>('02_Результат'!AP38+'02_Результат'!AP39+'02_Результат'!AP40)-('02_Результат'!AP38+'02_Результат'!AP39+'02_Результат'!AP40)/(1+НДС)</f>
        <v/>
      </c>
      <c r="AQ22" s="4">
        <f>('02_Результат'!AQ38+'02_Результат'!AQ39+'02_Результат'!AQ40)-('02_Результат'!AQ38+'02_Результат'!AQ39+'02_Результат'!AQ40)/(1+НДС)</f>
        <v/>
      </c>
      <c r="AR22" s="4">
        <f>('02_Результат'!AR38+'02_Результат'!AR39+'02_Результат'!AR40)-('02_Результат'!AR38+'02_Результат'!AR39+'02_Результат'!AR40)/(1+НДС)</f>
        <v/>
      </c>
      <c r="AS22" s="4">
        <f>('02_Результат'!AS38+'02_Результат'!AS39+'02_Результат'!AS40)-('02_Результат'!AS38+'02_Результат'!AS39+'02_Результат'!AS40)/(1+НДС)</f>
        <v/>
      </c>
      <c r="AT22" s="4">
        <f>('02_Результат'!AT38+'02_Результат'!AT39+'02_Результат'!AT40)-('02_Результат'!AT38+'02_Результат'!AT39+'02_Результат'!AT40)/(1+НДС)</f>
        <v/>
      </c>
      <c r="AU22" s="4">
        <f>('02_Результат'!AU38+'02_Результат'!AU39+'02_Результат'!AU40)-('02_Результат'!AU38+'02_Результат'!AU39+'02_Результат'!AU40)/(1+НДС)</f>
        <v/>
      </c>
      <c r="AV22" s="4">
        <f>('02_Результат'!AV38+'02_Результат'!AV39+'02_Результат'!AV40)-('02_Результат'!AV38+'02_Результат'!AV39+'02_Результат'!AV40)/(1+НДС)</f>
        <v/>
      </c>
      <c r="AW22" s="4">
        <f>('02_Результат'!AW38+'02_Результат'!AW39+'02_Результат'!AW40)-('02_Результат'!AW38+'02_Результат'!AW39+'02_Результат'!AW40)/(1+НДС)</f>
        <v/>
      </c>
      <c r="AX22" s="4">
        <f>('02_Результат'!AX38+'02_Результат'!AX39+'02_Результат'!AX40)-('02_Результат'!AX38+'02_Результат'!AX39+'02_Результат'!AX40)/(1+НДС)</f>
        <v/>
      </c>
      <c r="AY22" s="4">
        <f>('02_Результат'!AY38+'02_Результат'!AY39+'02_Результат'!AY40)-('02_Результат'!AY38+'02_Результат'!AY39+'02_Результат'!AY40)/(1+НДС)</f>
        <v/>
      </c>
      <c r="AZ22" s="4">
        <f>('02_Результат'!AZ38+'02_Результат'!AZ39+'02_Результат'!AZ40)-('02_Результат'!AZ38+'02_Результат'!AZ39+'02_Результат'!AZ40)/(1+НДС)</f>
        <v/>
      </c>
      <c r="BA22" s="4">
        <f>('02_Результат'!BA38+'02_Результат'!BA39+'02_Результат'!BA40)-('02_Результат'!BA38+'02_Результат'!BA39+'02_Результат'!BA40)/(1+НДС)</f>
        <v/>
      </c>
      <c r="BB22" s="4">
        <f>('02_Результат'!BB38+'02_Результат'!BB39+'02_Результат'!BB40)-('02_Результат'!BB38+'02_Результат'!BB39+'02_Результат'!BB40)/(1+НДС)</f>
        <v/>
      </c>
      <c r="BC22" s="4">
        <f>('02_Результат'!BC38+'02_Результат'!BC39+'02_Результат'!BC40)-('02_Результат'!BC38+'02_Результат'!BC39+'02_Результат'!BC40)/(1+НДС)</f>
        <v/>
      </c>
      <c r="BD22" s="4">
        <f>('02_Результат'!BD38+'02_Результат'!BD39+'02_Результат'!BD40)-('02_Результат'!BD38+'02_Результат'!BD39+'02_Результат'!BD40)/(1+НДС)</f>
        <v/>
      </c>
      <c r="BE22" s="4">
        <f>('02_Результат'!BE38+'02_Результат'!BE39+'02_Результат'!BE40)-('02_Результат'!BE38+'02_Результат'!BE39+'02_Результат'!BE40)/(1+НДС)</f>
        <v/>
      </c>
      <c r="BF22" s="4">
        <f>('02_Результат'!BF38+'02_Результат'!BF39+'02_Результат'!BF40)-('02_Результат'!BF38+'02_Результат'!BF39+'02_Результат'!BF40)/(1+НДС)</f>
        <v/>
      </c>
      <c r="BG22" s="4">
        <f>('02_Результат'!BG38+'02_Результат'!BG39+'02_Результат'!BG40)-('02_Результат'!BG38+'02_Результат'!BG39+'02_Результат'!BG40)/(1+НДС)</f>
        <v/>
      </c>
      <c r="BH22" s="4">
        <f>('02_Результат'!BH38+'02_Результат'!BH39+'02_Результат'!BH40)-('02_Результат'!BH38+'02_Результат'!BH39+'02_Результат'!BH40)/(1+НДС)</f>
        <v/>
      </c>
      <c r="BI22" s="4">
        <f>('02_Результат'!BI38+'02_Результат'!BI39+'02_Результат'!BI40)-('02_Результат'!BI38+'02_Результат'!BI39+'02_Результат'!BI40)/(1+НДС)</f>
        <v/>
      </c>
      <c r="BJ22" s="4">
        <f>('02_Результат'!BJ38+'02_Результат'!BJ39+'02_Результат'!BJ40)-('02_Результат'!BJ38+'02_Результат'!BJ39+'02_Результат'!BJ40)/(1+НДС)</f>
        <v/>
      </c>
      <c r="BK22" s="4">
        <f>('02_Результат'!BK38+'02_Результат'!BK39+'02_Результат'!BK40)-('02_Результат'!BK38+'02_Результат'!BK39+'02_Результат'!BK40)/(1+НДС)</f>
        <v/>
      </c>
      <c r="BL22" s="4">
        <f>('02_Результат'!BL38+'02_Результат'!BL39+'02_Результат'!BL40)-('02_Результат'!BL38+'02_Результат'!BL39+'02_Результат'!BL40)/(1+НДС)</f>
        <v/>
      </c>
      <c r="BM22" s="4">
        <f>('02_Результат'!BM38+'02_Результат'!BM39+'02_Результат'!BM40)-('02_Результат'!BM38+'02_Результат'!BM39+'02_Результат'!BM40)/(1+НДС)</f>
        <v/>
      </c>
      <c r="BN22" s="4">
        <f>('02_Результат'!BN38+'02_Результат'!BN39+'02_Результат'!BN40)-('02_Результат'!BN38+'02_Результат'!BN39+'02_Результат'!BN40)/(1+НДС)</f>
        <v/>
      </c>
      <c r="BO22" s="4">
        <f>('02_Результат'!BO38+'02_Результат'!BO39+'02_Результат'!BO40)-('02_Результат'!BO38+'02_Результат'!BO39+'02_Результат'!BO40)/(1+НДС)</f>
        <v/>
      </c>
      <c r="BP22" s="4">
        <f>('02_Результат'!BP38+'02_Результат'!BP39+'02_Результат'!BP40)-('02_Результат'!BP38+'02_Результат'!BP39+'02_Результат'!BP40)/(1+НДС)</f>
        <v/>
      </c>
      <c r="BQ22" s="4">
        <f>('02_Результат'!BQ38+'02_Результат'!BQ39+'02_Результат'!BQ40)-('02_Результат'!BQ38+'02_Результат'!BQ39+'02_Результат'!BQ40)/(1+НДС)</f>
        <v/>
      </c>
      <c r="BR22" s="4">
        <f>('02_Результат'!BR38+'02_Результат'!BR39+'02_Результат'!BR40)-('02_Результат'!BR38+'02_Результат'!BR39+'02_Результат'!BR40)/(1+НДС)</f>
        <v/>
      </c>
      <c r="BS22" s="4">
        <f>('02_Результат'!BS38+'02_Результат'!BS39+'02_Результат'!BS40)-('02_Результат'!BS38+'02_Результат'!BS39+'02_Результат'!BS40)/(1+НДС)</f>
        <v/>
      </c>
      <c r="BT22" s="4">
        <f>('02_Результат'!BT38+'02_Результат'!BT39+'02_Результат'!BT40)-('02_Результат'!BT38+'02_Результат'!BT39+'02_Результат'!BT40)/(1+НДС)</f>
        <v/>
      </c>
      <c r="BU22" s="4">
        <f>('02_Результат'!BU38+'02_Результат'!BU39+'02_Результат'!BU40)-('02_Результат'!BU38+'02_Результат'!BU39+'02_Результат'!BU40)/(1+НДС)</f>
        <v/>
      </c>
      <c r="BV22" s="4">
        <f>('02_Результат'!BV38+'02_Результат'!BV39+'02_Результат'!BV40)-('02_Результат'!BV38+'02_Результат'!BV39+'02_Результат'!BV40)/(1+НДС)</f>
        <v/>
      </c>
      <c r="BW22" s="4">
        <f>('02_Результат'!BW38+'02_Результат'!BW39+'02_Результат'!BW40)-('02_Результат'!BW38+'02_Результат'!BW39+'02_Результат'!BW40)/(1+НДС)</f>
        <v/>
      </c>
      <c r="BX22" s="4">
        <f>('02_Результат'!BX38+'02_Результат'!BX39+'02_Результат'!BX40)-('02_Результат'!BX38+'02_Результат'!BX39+'02_Результат'!BX40)/(1+НДС)</f>
        <v/>
      </c>
      <c r="BY22" s="4">
        <f>('02_Результат'!BY38+'02_Результат'!BY39+'02_Результат'!BY40)-('02_Результат'!BY38+'02_Результат'!BY39+'02_Результат'!BY40)/(1+НДС)</f>
        <v/>
      </c>
    </row>
    <row r="23"/>
    <row r="24">
      <c r="B24" s="115" t="inlineStr">
        <is>
          <t>Оборотный капитал</t>
        </is>
      </c>
      <c r="C24" s="116" t="n"/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  <c r="AO24" s="116" t="n"/>
      <c r="AP24" s="116" t="n"/>
      <c r="AQ24" s="116" t="n"/>
      <c r="AR24" s="116" t="n"/>
      <c r="AS24" s="116" t="n"/>
      <c r="AT24" s="116" t="n"/>
      <c r="AU24" s="116" t="n"/>
      <c r="AV24" s="116" t="n"/>
      <c r="AW24" s="116" t="n"/>
      <c r="AX24" s="116" t="n"/>
      <c r="AY24" s="116" t="n"/>
      <c r="AZ24" s="116" t="n"/>
      <c r="BA24" s="116" t="n"/>
      <c r="BB24" s="116" t="n"/>
      <c r="BC24" s="116" t="n"/>
      <c r="BD24" s="116" t="n"/>
      <c r="BE24" s="116" t="n"/>
      <c r="BF24" s="116" t="n"/>
      <c r="BG24" s="116" t="n"/>
      <c r="BH24" s="116" t="n"/>
      <c r="BI24" s="116" t="n"/>
      <c r="BJ24" s="116" t="n"/>
      <c r="BK24" s="116" t="n"/>
      <c r="BL24" s="116" t="n"/>
      <c r="BM24" s="116" t="n"/>
      <c r="BN24" s="116" t="n"/>
      <c r="BO24" s="116" t="n"/>
      <c r="BP24" s="116" t="n"/>
      <c r="BQ24" s="116" t="n"/>
      <c r="BR24" s="116" t="n"/>
      <c r="BS24" s="116" t="n"/>
      <c r="BT24" s="116" t="n"/>
      <c r="BU24" s="116" t="n"/>
      <c r="BV24" s="116" t="n"/>
      <c r="BW24" s="116" t="n"/>
      <c r="BX24" s="116" t="n"/>
      <c r="BY24" s="116" t="n"/>
    </row>
    <row r="25">
      <c r="B25" t="inlineStr">
        <is>
          <t>Дебиторка роялти на конец</t>
        </is>
      </c>
      <c r="C25" t="inlineStr">
        <is>
          <t>₽</t>
        </is>
      </c>
      <c r="D25" s="117" t="inlineStr">
        <is>
          <t>Начислили минус получили</t>
        </is>
      </c>
      <c r="E25" s="119">
        <f>W25</f>
        <v/>
      </c>
      <c r="F25" s="119">
        <f>AI25</f>
        <v/>
      </c>
      <c r="G25" s="119">
        <f>AU25</f>
        <v/>
      </c>
      <c r="H25" s="119">
        <f>BG25</f>
        <v/>
      </c>
      <c r="I25" s="119">
        <f>BS25</f>
        <v/>
      </c>
      <c r="J25" s="5">
        <f>BS25</f>
        <v/>
      </c>
      <c r="L25" s="4">
        <f>'04_Доходы'!$L102/(1+НДС)-'02_Результат'!L39/(1+НДС)</f>
        <v/>
      </c>
      <c r="M25" s="4">
        <f>L25+'04_Доходы'!M102/(1+НДС)-'02_Результат'!M39/(1+НДС)</f>
        <v/>
      </c>
      <c r="N25" s="4">
        <f>M25+'04_Доходы'!N102/(1+НДС)-'02_Результат'!N39/(1+НДС)</f>
        <v/>
      </c>
      <c r="O25" s="4">
        <f>N25+'04_Доходы'!O102/(1+НДС)-'02_Результат'!O39/(1+НДС)</f>
        <v/>
      </c>
      <c r="P25" s="4">
        <f>O25+'04_Доходы'!P102/(1+НДС)-'02_Результат'!P39/(1+НДС)</f>
        <v/>
      </c>
      <c r="Q25" s="4">
        <f>P25+'04_Доходы'!Q102/(1+НДС)-'02_Результат'!Q39/(1+НДС)</f>
        <v/>
      </c>
      <c r="R25" s="4">
        <f>Q25+'04_Доходы'!R102/(1+НДС)-'02_Результат'!R39/(1+НДС)</f>
        <v/>
      </c>
      <c r="S25" s="4">
        <f>R25+'04_Доходы'!S102/(1+НДС)-'02_Результат'!S39/(1+НДС)</f>
        <v/>
      </c>
      <c r="T25" s="4">
        <f>S25+'04_Доходы'!T102/(1+НДС)-'02_Результат'!T39/(1+НДС)</f>
        <v/>
      </c>
      <c r="U25" s="4">
        <f>T25+'04_Доходы'!U102/(1+НДС)-'02_Результат'!U39/(1+НДС)</f>
        <v/>
      </c>
      <c r="V25" s="4">
        <f>U25+'04_Доходы'!V102/(1+НДС)-'02_Результат'!V39/(1+НДС)</f>
        <v/>
      </c>
      <c r="W25" s="4">
        <f>V25+'04_Доходы'!W102/(1+НДС)-'02_Результат'!W39/(1+НДС)</f>
        <v/>
      </c>
      <c r="X25" s="4">
        <f>W25+'04_Доходы'!X102/(1+НДС)-'02_Результат'!X39/(1+НДС)</f>
        <v/>
      </c>
      <c r="Y25" s="4">
        <f>X25+'04_Доходы'!Y102/(1+НДС)-'02_Результат'!Y39/(1+НДС)</f>
        <v/>
      </c>
      <c r="Z25" s="4">
        <f>Y25+'04_Доходы'!Z102/(1+НДС)-'02_Результат'!Z39/(1+НДС)</f>
        <v/>
      </c>
      <c r="AA25" s="4">
        <f>Z25+'04_Доходы'!AA102/(1+НДС)-'02_Результат'!AA39/(1+НДС)</f>
        <v/>
      </c>
      <c r="AB25" s="4">
        <f>AA25+'04_Доходы'!AB102/(1+НДС)-'02_Результат'!AB39/(1+НДС)</f>
        <v/>
      </c>
      <c r="AC25" s="4">
        <f>AB25+'04_Доходы'!AC102/(1+НДС)-'02_Результат'!AC39/(1+НДС)</f>
        <v/>
      </c>
      <c r="AD25" s="4">
        <f>AC25+'04_Доходы'!AD102/(1+НДС)-'02_Результат'!AD39/(1+НДС)</f>
        <v/>
      </c>
      <c r="AE25" s="4">
        <f>AD25+'04_Доходы'!AE102/(1+НДС)-'02_Результат'!AE39/(1+НДС)</f>
        <v/>
      </c>
      <c r="AF25" s="4">
        <f>AE25+'04_Доходы'!AF102/(1+НДС)-'02_Результат'!AF39/(1+НДС)</f>
        <v/>
      </c>
      <c r="AG25" s="4">
        <f>AF25+'04_Доходы'!AG102/(1+НДС)-'02_Результат'!AG39/(1+НДС)</f>
        <v/>
      </c>
      <c r="AH25" s="4">
        <f>AG25+'04_Доходы'!AH102/(1+НДС)-'02_Результат'!AH39/(1+НДС)</f>
        <v/>
      </c>
      <c r="AI25" s="4">
        <f>AH25+'04_Доходы'!AI102/(1+НДС)-'02_Результат'!AI39/(1+НДС)</f>
        <v/>
      </c>
      <c r="AJ25" s="4">
        <f>AI25+'04_Доходы'!AJ102/(1+НДС)-'02_Результат'!AJ39/(1+НДС)</f>
        <v/>
      </c>
      <c r="AK25" s="4">
        <f>AJ25+'04_Доходы'!AK102/(1+НДС)-'02_Результат'!AK39/(1+НДС)</f>
        <v/>
      </c>
      <c r="AL25" s="4">
        <f>AK25+'04_Доходы'!AL102/(1+НДС)-'02_Результат'!AL39/(1+НДС)</f>
        <v/>
      </c>
      <c r="AM25" s="4">
        <f>AL25+'04_Доходы'!AM102/(1+НДС)-'02_Результат'!AM39/(1+НДС)</f>
        <v/>
      </c>
      <c r="AN25" s="4">
        <f>AM25+'04_Доходы'!AN102/(1+НДС)-'02_Результат'!AN39/(1+НДС)</f>
        <v/>
      </c>
      <c r="AO25" s="4">
        <f>AN25+'04_Доходы'!AO102/(1+НДС)-'02_Результат'!AO39/(1+НДС)</f>
        <v/>
      </c>
      <c r="AP25" s="4">
        <f>AO25+'04_Доходы'!AP102/(1+НДС)-'02_Результат'!AP39/(1+НДС)</f>
        <v/>
      </c>
      <c r="AQ25" s="4">
        <f>AP25+'04_Доходы'!AQ102/(1+НДС)-'02_Результат'!AQ39/(1+НДС)</f>
        <v/>
      </c>
      <c r="AR25" s="4">
        <f>AQ25+'04_Доходы'!AR102/(1+НДС)-'02_Результат'!AR39/(1+НДС)</f>
        <v/>
      </c>
      <c r="AS25" s="4">
        <f>AR25+'04_Доходы'!AS102/(1+НДС)-'02_Результат'!AS39/(1+НДС)</f>
        <v/>
      </c>
      <c r="AT25" s="4">
        <f>AS25+'04_Доходы'!AT102/(1+НДС)-'02_Результат'!AT39/(1+НДС)</f>
        <v/>
      </c>
      <c r="AU25" s="4">
        <f>AT25+'04_Доходы'!AU102/(1+НДС)-'02_Результат'!AU39/(1+НДС)</f>
        <v/>
      </c>
      <c r="AV25" s="4">
        <f>AU25+'04_Доходы'!AV102/(1+НДС)-'02_Результат'!AV39/(1+НДС)</f>
        <v/>
      </c>
      <c r="AW25" s="4">
        <f>AV25+'04_Доходы'!AW102/(1+НДС)-'02_Результат'!AW39/(1+НДС)</f>
        <v/>
      </c>
      <c r="AX25" s="4">
        <f>AW25+'04_Доходы'!AX102/(1+НДС)-'02_Результат'!AX39/(1+НДС)</f>
        <v/>
      </c>
      <c r="AY25" s="4">
        <f>AX25+'04_Доходы'!AY102/(1+НДС)-'02_Результат'!AY39/(1+НДС)</f>
        <v/>
      </c>
      <c r="AZ25" s="4">
        <f>AY25+'04_Доходы'!AZ102/(1+НДС)-'02_Результат'!AZ39/(1+НДС)</f>
        <v/>
      </c>
      <c r="BA25" s="4">
        <f>AZ25+'04_Доходы'!BA102/(1+НДС)-'02_Результат'!BA39/(1+НДС)</f>
        <v/>
      </c>
      <c r="BB25" s="4">
        <f>BA25+'04_Доходы'!BB102/(1+НДС)-'02_Результат'!BB39/(1+НДС)</f>
        <v/>
      </c>
      <c r="BC25" s="4">
        <f>BB25+'04_Доходы'!BC102/(1+НДС)-'02_Результат'!BC39/(1+НДС)</f>
        <v/>
      </c>
      <c r="BD25" s="4">
        <f>BC25+'04_Доходы'!BD102/(1+НДС)-'02_Результат'!BD39/(1+НДС)</f>
        <v/>
      </c>
      <c r="BE25" s="4">
        <f>BD25+'04_Доходы'!BE102/(1+НДС)-'02_Результат'!BE39/(1+НДС)</f>
        <v/>
      </c>
      <c r="BF25" s="4">
        <f>BE25+'04_Доходы'!BF102/(1+НДС)-'02_Результат'!BF39/(1+НДС)</f>
        <v/>
      </c>
      <c r="BG25" s="4">
        <f>BF25+'04_Доходы'!BG102/(1+НДС)-'02_Результат'!BG39/(1+НДС)</f>
        <v/>
      </c>
      <c r="BH25" s="4">
        <f>BG25+'04_Доходы'!BH102/(1+НДС)-'02_Результат'!BH39/(1+НДС)</f>
        <v/>
      </c>
      <c r="BI25" s="4">
        <f>BH25+'04_Доходы'!BI102/(1+НДС)-'02_Результат'!BI39/(1+НДС)</f>
        <v/>
      </c>
      <c r="BJ25" s="4">
        <f>BI25+'04_Доходы'!BJ102/(1+НДС)-'02_Результат'!BJ39/(1+НДС)</f>
        <v/>
      </c>
      <c r="BK25" s="4">
        <f>BJ25+'04_Доходы'!BK102/(1+НДС)-'02_Результат'!BK39/(1+НДС)</f>
        <v/>
      </c>
      <c r="BL25" s="4">
        <f>BK25+'04_Доходы'!BL102/(1+НДС)-'02_Результат'!BL39/(1+НДС)</f>
        <v/>
      </c>
      <c r="BM25" s="4">
        <f>BL25+'04_Доходы'!BM102/(1+НДС)-'02_Результат'!BM39/(1+НДС)</f>
        <v/>
      </c>
      <c r="BN25" s="4">
        <f>BM25+'04_Доходы'!BN102/(1+НДС)-'02_Результат'!BN39/(1+НДС)</f>
        <v/>
      </c>
      <c r="BO25" s="4">
        <f>BN25+'04_Доходы'!BO102/(1+НДС)-'02_Результат'!BO39/(1+НДС)</f>
        <v/>
      </c>
      <c r="BP25" s="4">
        <f>BO25+'04_Доходы'!BP102/(1+НДС)-'02_Результат'!BP39/(1+НДС)</f>
        <v/>
      </c>
      <c r="BQ25" s="4">
        <f>BP25+'04_Доходы'!BQ102/(1+НДС)-'02_Результат'!BQ39/(1+НДС)</f>
        <v/>
      </c>
      <c r="BR25" s="4">
        <f>BQ25+'04_Доходы'!BR102/(1+НДС)-'02_Результат'!BR39/(1+НДС)</f>
        <v/>
      </c>
      <c r="BS25" s="4">
        <f>BR25+'04_Доходы'!BS102/(1+НДС)-'02_Результат'!BS39/(1+НДС)</f>
        <v/>
      </c>
      <c r="BT25" s="4">
        <f>BS25+'04_Доходы'!BT102/(1+НДС)-'02_Результат'!BT39/(1+НДС)</f>
        <v/>
      </c>
      <c r="BU25" s="4">
        <f>BT25+'04_Доходы'!BU102/(1+НДС)-'02_Результат'!BU39/(1+НДС)</f>
        <v/>
      </c>
      <c r="BV25" s="4">
        <f>BU25+'04_Доходы'!BV102/(1+НДС)-'02_Результат'!BV39/(1+НДС)</f>
        <v/>
      </c>
      <c r="BW25" s="4">
        <f>BV25+'04_Доходы'!BW102/(1+НДС)-'02_Результат'!BW39/(1+НДС)</f>
        <v/>
      </c>
      <c r="BX25" s="4">
        <f>BW25+'04_Доходы'!BX102/(1+НДС)-'02_Результат'!BX39/(1+НДС)</f>
        <v/>
      </c>
      <c r="BY25" s="4">
        <f>BX25+'04_Доходы'!BY102/(1+НДС)-'02_Результат'!BY39/(1+НДС)</f>
        <v/>
      </c>
    </row>
    <row r="26">
      <c r="B26" t="inlineStr">
        <is>
          <t>Кредиторка перед поставщиками</t>
        </is>
      </c>
      <c r="C26" t="inlineStr">
        <is>
          <t>₽</t>
        </is>
      </c>
      <c r="D26" s="117" t="inlineStr">
        <is>
          <t>Начислили минус оплатили</t>
        </is>
      </c>
      <c r="E26" s="119">
        <f>W26</f>
        <v/>
      </c>
      <c r="F26" s="119">
        <f>AI26</f>
        <v/>
      </c>
      <c r="G26" s="119">
        <f>AU26</f>
        <v/>
      </c>
      <c r="H26" s="119">
        <f>BG26</f>
        <v/>
      </c>
      <c r="I26" s="119">
        <f>BS26</f>
        <v/>
      </c>
      <c r="J26" s="5">
        <f>BS26</f>
        <v/>
      </c>
      <c r="L26" s="4">
        <f>'05_Расходы'!$L43+$L9-'02_Результат'!L45</f>
        <v/>
      </c>
      <c r="M26" s="4">
        <f>L26+'05_Расходы'!M43+M9-'02_Результат'!M45</f>
        <v/>
      </c>
      <c r="N26" s="4">
        <f>M26+'05_Расходы'!N43+N9-'02_Результат'!N45</f>
        <v/>
      </c>
      <c r="O26" s="4">
        <f>N26+'05_Расходы'!O43+O9-'02_Результат'!O45</f>
        <v/>
      </c>
      <c r="P26" s="4">
        <f>O26+'05_Расходы'!P43+P9-'02_Результат'!P45</f>
        <v/>
      </c>
      <c r="Q26" s="4">
        <f>P26+'05_Расходы'!Q43+Q9-'02_Результат'!Q45</f>
        <v/>
      </c>
      <c r="R26" s="4">
        <f>Q26+'05_Расходы'!R43+R9-'02_Результат'!R45</f>
        <v/>
      </c>
      <c r="S26" s="4">
        <f>R26+'05_Расходы'!S43+S9-'02_Результат'!S45</f>
        <v/>
      </c>
      <c r="T26" s="4">
        <f>S26+'05_Расходы'!T43+T9-'02_Результат'!T45</f>
        <v/>
      </c>
      <c r="U26" s="4">
        <f>T26+'05_Расходы'!U43+U9-'02_Результат'!U45</f>
        <v/>
      </c>
      <c r="V26" s="4">
        <f>U26+'05_Расходы'!V43+V9-'02_Результат'!V45</f>
        <v/>
      </c>
      <c r="W26" s="4">
        <f>V26+'05_Расходы'!W43+W9-'02_Результат'!W45</f>
        <v/>
      </c>
      <c r="X26" s="4">
        <f>W26+'05_Расходы'!X43+X9-'02_Результат'!X45</f>
        <v/>
      </c>
      <c r="Y26" s="4">
        <f>X26+'05_Расходы'!Y43+Y9-'02_Результат'!Y45</f>
        <v/>
      </c>
      <c r="Z26" s="4">
        <f>Y26+'05_Расходы'!Z43+Z9-'02_Результат'!Z45</f>
        <v/>
      </c>
      <c r="AA26" s="4">
        <f>Z26+'05_Расходы'!AA43+AA9-'02_Результат'!AA45</f>
        <v/>
      </c>
      <c r="AB26" s="4">
        <f>AA26+'05_Расходы'!AB43+AB9-'02_Результат'!AB45</f>
        <v/>
      </c>
      <c r="AC26" s="4">
        <f>AB26+'05_Расходы'!AC43+AC9-'02_Результат'!AC45</f>
        <v/>
      </c>
      <c r="AD26" s="4">
        <f>AC26+'05_Расходы'!AD43+AD9-'02_Результат'!AD45</f>
        <v/>
      </c>
      <c r="AE26" s="4">
        <f>AD26+'05_Расходы'!AE43+AE9-'02_Результат'!AE45</f>
        <v/>
      </c>
      <c r="AF26" s="4">
        <f>AE26+'05_Расходы'!AF43+AF9-'02_Результат'!AF45</f>
        <v/>
      </c>
      <c r="AG26" s="4">
        <f>AF26+'05_Расходы'!AG43+AG9-'02_Результат'!AG45</f>
        <v/>
      </c>
      <c r="AH26" s="4">
        <f>AG26+'05_Расходы'!AH43+AH9-'02_Результат'!AH45</f>
        <v/>
      </c>
      <c r="AI26" s="4">
        <f>AH26+'05_Расходы'!AI43+AI9-'02_Результат'!AI45</f>
        <v/>
      </c>
      <c r="AJ26" s="4">
        <f>AI26+'05_Расходы'!AJ43+AJ9-'02_Результат'!AJ45</f>
        <v/>
      </c>
      <c r="AK26" s="4">
        <f>AJ26+'05_Расходы'!AK43+AK9-'02_Результат'!AK45</f>
        <v/>
      </c>
      <c r="AL26" s="4">
        <f>AK26+'05_Расходы'!AL43+AL9-'02_Результат'!AL45</f>
        <v/>
      </c>
      <c r="AM26" s="4">
        <f>AL26+'05_Расходы'!AM43+AM9-'02_Результат'!AM45</f>
        <v/>
      </c>
      <c r="AN26" s="4">
        <f>AM26+'05_Расходы'!AN43+AN9-'02_Результат'!AN45</f>
        <v/>
      </c>
      <c r="AO26" s="4">
        <f>AN26+'05_Расходы'!AO43+AO9-'02_Результат'!AO45</f>
        <v/>
      </c>
      <c r="AP26" s="4">
        <f>AO26+'05_Расходы'!AP43+AP9-'02_Результат'!AP45</f>
        <v/>
      </c>
      <c r="AQ26" s="4">
        <f>AP26+'05_Расходы'!AQ43+AQ9-'02_Результат'!AQ45</f>
        <v/>
      </c>
      <c r="AR26" s="4">
        <f>AQ26+'05_Расходы'!AR43+AR9-'02_Результат'!AR45</f>
        <v/>
      </c>
      <c r="AS26" s="4">
        <f>AR26+'05_Расходы'!AS43+AS9-'02_Результат'!AS45</f>
        <v/>
      </c>
      <c r="AT26" s="4">
        <f>AS26+'05_Расходы'!AT43+AT9-'02_Результат'!AT45</f>
        <v/>
      </c>
      <c r="AU26" s="4">
        <f>AT26+'05_Расходы'!AU43+AU9-'02_Результат'!AU45</f>
        <v/>
      </c>
      <c r="AV26" s="4">
        <f>AU26+'05_Расходы'!AV43+AV9-'02_Результат'!AV45</f>
        <v/>
      </c>
      <c r="AW26" s="4">
        <f>AV26+'05_Расходы'!AW43+AW9-'02_Результат'!AW45</f>
        <v/>
      </c>
      <c r="AX26" s="4">
        <f>AW26+'05_Расходы'!AX43+AX9-'02_Результат'!AX45</f>
        <v/>
      </c>
      <c r="AY26" s="4">
        <f>AX26+'05_Расходы'!AY43+AY9-'02_Результат'!AY45</f>
        <v/>
      </c>
      <c r="AZ26" s="4">
        <f>AY26+'05_Расходы'!AZ43+AZ9-'02_Результат'!AZ45</f>
        <v/>
      </c>
      <c r="BA26" s="4">
        <f>AZ26+'05_Расходы'!BA43+BA9-'02_Результат'!BA45</f>
        <v/>
      </c>
      <c r="BB26" s="4">
        <f>BA26+'05_Расходы'!BB43+BB9-'02_Результат'!BB45</f>
        <v/>
      </c>
      <c r="BC26" s="4">
        <f>BB26+'05_Расходы'!BC43+BC9-'02_Результат'!BC45</f>
        <v/>
      </c>
      <c r="BD26" s="4">
        <f>BC26+'05_Расходы'!BD43+BD9-'02_Результат'!BD45</f>
        <v/>
      </c>
      <c r="BE26" s="4">
        <f>BD26+'05_Расходы'!BE43+BE9-'02_Результат'!BE45</f>
        <v/>
      </c>
      <c r="BF26" s="4">
        <f>BE26+'05_Расходы'!BF43+BF9-'02_Результат'!BF45</f>
        <v/>
      </c>
      <c r="BG26" s="4">
        <f>BF26+'05_Расходы'!BG43+BG9-'02_Результат'!BG45</f>
        <v/>
      </c>
      <c r="BH26" s="4">
        <f>BG26+'05_Расходы'!BH43+BH9-'02_Результат'!BH45</f>
        <v/>
      </c>
      <c r="BI26" s="4">
        <f>BH26+'05_Расходы'!BI43+BI9-'02_Результат'!BI45</f>
        <v/>
      </c>
      <c r="BJ26" s="4">
        <f>BI26+'05_Расходы'!BJ43+BJ9-'02_Результат'!BJ45</f>
        <v/>
      </c>
      <c r="BK26" s="4">
        <f>BJ26+'05_Расходы'!BK43+BK9-'02_Результат'!BK45</f>
        <v/>
      </c>
      <c r="BL26" s="4">
        <f>BK26+'05_Расходы'!BL43+BL9-'02_Результат'!BL45</f>
        <v/>
      </c>
      <c r="BM26" s="4">
        <f>BL26+'05_Расходы'!BM43+BM9-'02_Результат'!BM45</f>
        <v/>
      </c>
      <c r="BN26" s="4">
        <f>BM26+'05_Расходы'!BN43+BN9-'02_Результат'!BN45</f>
        <v/>
      </c>
      <c r="BO26" s="4">
        <f>BN26+'05_Расходы'!BO43+BO9-'02_Результат'!BO45</f>
        <v/>
      </c>
      <c r="BP26" s="4">
        <f>BO26+'05_Расходы'!BP43+BP9-'02_Результат'!BP45</f>
        <v/>
      </c>
      <c r="BQ26" s="4">
        <f>BP26+'05_Расходы'!BQ43+BQ9-'02_Результат'!BQ45</f>
        <v/>
      </c>
      <c r="BR26" s="4">
        <f>BQ26+'05_Расходы'!BR43+BR9-'02_Результат'!BR45</f>
        <v/>
      </c>
      <c r="BS26" s="4">
        <f>BR26+'05_Расходы'!BS43+BS9-'02_Результат'!BS45</f>
        <v/>
      </c>
      <c r="BT26" s="4">
        <f>BS26+'05_Расходы'!BT43+BT9-'02_Результат'!BT45</f>
        <v/>
      </c>
      <c r="BU26" s="4">
        <f>BT26+'05_Расходы'!BU43+BU9-'02_Результат'!BU45</f>
        <v/>
      </c>
      <c r="BV26" s="4">
        <f>BU26+'05_Расходы'!BV43+BV9-'02_Результат'!BV45</f>
        <v/>
      </c>
      <c r="BW26" s="4">
        <f>BV26+'05_Расходы'!BW43+BW9-'02_Результат'!BW45</f>
        <v/>
      </c>
      <c r="BX26" s="4">
        <f>BW26+'05_Расходы'!BX43+BX9-'02_Результат'!BX45</f>
        <v/>
      </c>
      <c r="BY26" s="4">
        <f>BX26+'05_Расходы'!BY43+BY9-'02_Результат'!BY45</f>
        <v/>
      </c>
    </row>
    <row r="27">
      <c r="B27" t="inlineStr">
        <is>
          <t>Долг перед клубом по операционным выплатам</t>
        </is>
      </c>
      <c r="C27" t="inlineStr">
        <is>
          <t>₽</t>
        </is>
      </c>
      <c r="D27" s="117" t="inlineStr"/>
      <c r="E27" s="119">
        <f>W27</f>
        <v/>
      </c>
      <c r="F27" s="119">
        <f>AI27</f>
        <v/>
      </c>
      <c r="G27" s="119">
        <f>AU27</f>
        <v/>
      </c>
      <c r="H27" s="119">
        <f>BG27</f>
        <v/>
      </c>
      <c r="I27" s="119">
        <f>BS27</f>
        <v/>
      </c>
      <c r="J27" s="5">
        <f>BS27</f>
        <v/>
      </c>
      <c r="L27" s="4">
        <f>'05_Расходы'!$L49-'02_Результат'!L47</f>
        <v/>
      </c>
      <c r="M27" s="4">
        <f>L27+'05_Расходы'!M49-'02_Результат'!M47</f>
        <v/>
      </c>
      <c r="N27" s="4">
        <f>M27+'05_Расходы'!N49-'02_Результат'!N47</f>
        <v/>
      </c>
      <c r="O27" s="4">
        <f>N27+'05_Расходы'!O49-'02_Результат'!O47</f>
        <v/>
      </c>
      <c r="P27" s="4">
        <f>O27+'05_Расходы'!P49-'02_Результат'!P47</f>
        <v/>
      </c>
      <c r="Q27" s="4">
        <f>P27+'05_Расходы'!Q49-'02_Результат'!Q47</f>
        <v/>
      </c>
      <c r="R27" s="4">
        <f>Q27+'05_Расходы'!R49-'02_Результат'!R47</f>
        <v/>
      </c>
      <c r="S27" s="4">
        <f>R27+'05_Расходы'!S49-'02_Результат'!S47</f>
        <v/>
      </c>
      <c r="T27" s="4">
        <f>S27+'05_Расходы'!T49-'02_Результат'!T47</f>
        <v/>
      </c>
      <c r="U27" s="4">
        <f>T27+'05_Расходы'!U49-'02_Результат'!U47</f>
        <v/>
      </c>
      <c r="V27" s="4">
        <f>U27+'05_Расходы'!V49-'02_Результат'!V47</f>
        <v/>
      </c>
      <c r="W27" s="4">
        <f>V27+'05_Расходы'!W49-'02_Результат'!W47</f>
        <v/>
      </c>
      <c r="X27" s="4">
        <f>W27+'05_Расходы'!X49-'02_Результат'!X47</f>
        <v/>
      </c>
      <c r="Y27" s="4">
        <f>X27+'05_Расходы'!Y49-'02_Результат'!Y47</f>
        <v/>
      </c>
      <c r="Z27" s="4">
        <f>Y27+'05_Расходы'!Z49-'02_Результат'!Z47</f>
        <v/>
      </c>
      <c r="AA27" s="4">
        <f>Z27+'05_Расходы'!AA49-'02_Результат'!AA47</f>
        <v/>
      </c>
      <c r="AB27" s="4">
        <f>AA27+'05_Расходы'!AB49-'02_Результат'!AB47</f>
        <v/>
      </c>
      <c r="AC27" s="4">
        <f>AB27+'05_Расходы'!AC49-'02_Результат'!AC47</f>
        <v/>
      </c>
      <c r="AD27" s="4">
        <f>AC27+'05_Расходы'!AD49-'02_Результат'!AD47</f>
        <v/>
      </c>
      <c r="AE27" s="4">
        <f>AD27+'05_Расходы'!AE49-'02_Результат'!AE47</f>
        <v/>
      </c>
      <c r="AF27" s="4">
        <f>AE27+'05_Расходы'!AF49-'02_Результат'!AF47</f>
        <v/>
      </c>
      <c r="AG27" s="4">
        <f>AF27+'05_Расходы'!AG49-'02_Результат'!AG47</f>
        <v/>
      </c>
      <c r="AH27" s="4">
        <f>AG27+'05_Расходы'!AH49-'02_Результат'!AH47</f>
        <v/>
      </c>
      <c r="AI27" s="4">
        <f>AH27+'05_Расходы'!AI49-'02_Результат'!AI47</f>
        <v/>
      </c>
      <c r="AJ27" s="4">
        <f>AI27+'05_Расходы'!AJ49-'02_Результат'!AJ47</f>
        <v/>
      </c>
      <c r="AK27" s="4">
        <f>AJ27+'05_Расходы'!AK49-'02_Результат'!AK47</f>
        <v/>
      </c>
      <c r="AL27" s="4">
        <f>AK27+'05_Расходы'!AL49-'02_Результат'!AL47</f>
        <v/>
      </c>
      <c r="AM27" s="4">
        <f>AL27+'05_Расходы'!AM49-'02_Результат'!AM47</f>
        <v/>
      </c>
      <c r="AN27" s="4">
        <f>AM27+'05_Расходы'!AN49-'02_Результат'!AN47</f>
        <v/>
      </c>
      <c r="AO27" s="4">
        <f>AN27+'05_Расходы'!AO49-'02_Результат'!AO47</f>
        <v/>
      </c>
      <c r="AP27" s="4">
        <f>AO27+'05_Расходы'!AP49-'02_Результат'!AP47</f>
        <v/>
      </c>
      <c r="AQ27" s="4">
        <f>AP27+'05_Расходы'!AQ49-'02_Результат'!AQ47</f>
        <v/>
      </c>
      <c r="AR27" s="4">
        <f>AQ27+'05_Расходы'!AR49-'02_Результат'!AR47</f>
        <v/>
      </c>
      <c r="AS27" s="4">
        <f>AR27+'05_Расходы'!AS49-'02_Результат'!AS47</f>
        <v/>
      </c>
      <c r="AT27" s="4">
        <f>AS27+'05_Расходы'!AT49-'02_Результат'!AT47</f>
        <v/>
      </c>
      <c r="AU27" s="4">
        <f>AT27+'05_Расходы'!AU49-'02_Результат'!AU47</f>
        <v/>
      </c>
      <c r="AV27" s="4">
        <f>AU27+'05_Расходы'!AV49-'02_Результат'!AV47</f>
        <v/>
      </c>
      <c r="AW27" s="4">
        <f>AV27+'05_Расходы'!AW49-'02_Результат'!AW47</f>
        <v/>
      </c>
      <c r="AX27" s="4">
        <f>AW27+'05_Расходы'!AX49-'02_Результат'!AX47</f>
        <v/>
      </c>
      <c r="AY27" s="4">
        <f>AX27+'05_Расходы'!AY49-'02_Результат'!AY47</f>
        <v/>
      </c>
      <c r="AZ27" s="4">
        <f>AY27+'05_Расходы'!AZ49-'02_Результат'!AZ47</f>
        <v/>
      </c>
      <c r="BA27" s="4">
        <f>AZ27+'05_Расходы'!BA49-'02_Результат'!BA47</f>
        <v/>
      </c>
      <c r="BB27" s="4">
        <f>BA27+'05_Расходы'!BB49-'02_Результат'!BB47</f>
        <v/>
      </c>
      <c r="BC27" s="4">
        <f>BB27+'05_Расходы'!BC49-'02_Результат'!BC47</f>
        <v/>
      </c>
      <c r="BD27" s="4">
        <f>BC27+'05_Расходы'!BD49-'02_Результат'!BD47</f>
        <v/>
      </c>
      <c r="BE27" s="4">
        <f>BD27+'05_Расходы'!BE49-'02_Результат'!BE47</f>
        <v/>
      </c>
      <c r="BF27" s="4">
        <f>BE27+'05_Расходы'!BF49-'02_Результат'!BF47</f>
        <v/>
      </c>
      <c r="BG27" s="4">
        <f>BF27+'05_Расходы'!BG49-'02_Результат'!BG47</f>
        <v/>
      </c>
      <c r="BH27" s="4">
        <f>BG27+'05_Расходы'!BH49-'02_Результат'!BH47</f>
        <v/>
      </c>
      <c r="BI27" s="4">
        <f>BH27+'05_Расходы'!BI49-'02_Результат'!BI47</f>
        <v/>
      </c>
      <c r="BJ27" s="4">
        <f>BI27+'05_Расходы'!BJ49-'02_Результат'!BJ47</f>
        <v/>
      </c>
      <c r="BK27" s="4">
        <f>BJ27+'05_Расходы'!BK49-'02_Результат'!BK47</f>
        <v/>
      </c>
      <c r="BL27" s="4">
        <f>BK27+'05_Расходы'!BL49-'02_Результат'!BL47</f>
        <v/>
      </c>
      <c r="BM27" s="4">
        <f>BL27+'05_Расходы'!BM49-'02_Результат'!BM47</f>
        <v/>
      </c>
      <c r="BN27" s="4">
        <f>BM27+'05_Расходы'!BN49-'02_Результат'!BN47</f>
        <v/>
      </c>
      <c r="BO27" s="4">
        <f>BN27+'05_Расходы'!BO49-'02_Результат'!BO47</f>
        <v/>
      </c>
      <c r="BP27" s="4">
        <f>BO27+'05_Расходы'!BP49-'02_Результат'!BP47</f>
        <v/>
      </c>
      <c r="BQ27" s="4">
        <f>BP27+'05_Расходы'!BQ49-'02_Результат'!BQ47</f>
        <v/>
      </c>
      <c r="BR27" s="4">
        <f>BQ27+'05_Расходы'!BR49-'02_Результат'!BR47</f>
        <v/>
      </c>
      <c r="BS27" s="4">
        <f>BR27+'05_Расходы'!BS49-'02_Результат'!BS47</f>
        <v/>
      </c>
      <c r="BT27" s="4">
        <f>BS27+'05_Расходы'!BT49-'02_Результат'!BT47</f>
        <v/>
      </c>
      <c r="BU27" s="4">
        <f>BT27+'05_Расходы'!BU49-'02_Результат'!BU47</f>
        <v/>
      </c>
      <c r="BV27" s="4">
        <f>BU27+'05_Расходы'!BV49-'02_Результат'!BV47</f>
        <v/>
      </c>
      <c r="BW27" s="4">
        <f>BV27+'05_Расходы'!BW49-'02_Результат'!BW47</f>
        <v/>
      </c>
      <c r="BX27" s="4">
        <f>BW27+'05_Расходы'!BX49-'02_Результат'!BX47</f>
        <v/>
      </c>
      <c r="BY27" s="4">
        <f>BX27+'05_Расходы'!BY49-'02_Результат'!BY47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37" t="inlineStr">
        <is>
          <t>Календарь и возрастные тарифы - только формулы</t>
        </is>
      </c>
    </row>
    <row r="3">
      <c r="B3" s="138">
        <f>DATE(YEAR('01_Вводные'!$B$7),MONTH('01_Вводные'!$B$7)+0,1)</f>
        <v/>
      </c>
      <c r="C3" s="138">
        <f>DATE(YEAR('01_Вводные'!$B$7),MONTH('01_Вводные'!$B$7)+1,1)</f>
        <v/>
      </c>
      <c r="D3" s="138">
        <f>DATE(YEAR('01_Вводные'!$B$7),MONTH('01_Вводные'!$B$7)+2,1)</f>
        <v/>
      </c>
      <c r="E3" s="138">
        <f>DATE(YEAR('01_Вводные'!$B$7),MONTH('01_Вводные'!$B$7)+3,1)</f>
        <v/>
      </c>
      <c r="F3" s="138">
        <f>DATE(YEAR('01_Вводные'!$B$7),MONTH('01_Вводные'!$B$7)+4,1)</f>
        <v/>
      </c>
      <c r="G3" s="138">
        <f>DATE(YEAR('01_Вводные'!$B$7),MONTH('01_Вводные'!$B$7)+5,1)</f>
        <v/>
      </c>
      <c r="H3" s="138">
        <f>DATE(YEAR('01_Вводные'!$B$7),MONTH('01_Вводные'!$B$7)+6,1)</f>
        <v/>
      </c>
      <c r="I3" s="138">
        <f>DATE(YEAR('01_Вводные'!$B$7),MONTH('01_Вводные'!$B$7)+7,1)</f>
        <v/>
      </c>
      <c r="J3" s="138">
        <f>DATE(YEAR('01_Вводные'!$B$7),MONTH('01_Вводные'!$B$7)+8,1)</f>
        <v/>
      </c>
      <c r="K3" s="138">
        <f>DATE(YEAR('01_Вводные'!$B$7),MONTH('01_Вводные'!$B$7)+9,1)</f>
        <v/>
      </c>
      <c r="L3" s="138">
        <f>DATE(YEAR('01_Вводные'!$B$7),MONTH('01_Вводные'!$B$7)+10,1)</f>
        <v/>
      </c>
      <c r="M3" s="138">
        <f>DATE(YEAR('01_Вводные'!$B$7),MONTH('01_Вводные'!$B$7)+11,1)</f>
        <v/>
      </c>
      <c r="N3" s="138">
        <f>DATE(YEAR('01_Вводные'!$B$7),MONTH('01_Вводные'!$B$7)+12,1)</f>
        <v/>
      </c>
      <c r="O3" s="138">
        <f>DATE(YEAR('01_Вводные'!$B$7),MONTH('01_Вводные'!$B$7)+13,1)</f>
        <v/>
      </c>
      <c r="P3" s="138">
        <f>DATE(YEAR('01_Вводные'!$B$7),MONTH('01_Вводные'!$B$7)+14,1)</f>
        <v/>
      </c>
      <c r="Q3" s="138">
        <f>DATE(YEAR('01_Вводные'!$B$7),MONTH('01_Вводные'!$B$7)+15,1)</f>
        <v/>
      </c>
      <c r="R3" s="138">
        <f>DATE(YEAR('01_Вводные'!$B$7),MONTH('01_Вводные'!$B$7)+16,1)</f>
        <v/>
      </c>
      <c r="S3" s="138">
        <f>DATE(YEAR('01_Вводные'!$B$7),MONTH('01_Вводные'!$B$7)+17,1)</f>
        <v/>
      </c>
      <c r="T3" s="138">
        <f>DATE(YEAR('01_Вводные'!$B$7),MONTH('01_Вводные'!$B$7)+18,1)</f>
        <v/>
      </c>
      <c r="U3" s="138">
        <f>DATE(YEAR('01_Вводные'!$B$7),MONTH('01_Вводные'!$B$7)+19,1)</f>
        <v/>
      </c>
      <c r="V3" s="138">
        <f>DATE(YEAR('01_Вводные'!$B$7),MONTH('01_Вводные'!$B$7)+20,1)</f>
        <v/>
      </c>
      <c r="W3" s="138">
        <f>DATE(YEAR('01_Вводные'!$B$7),MONTH('01_Вводные'!$B$7)+21,1)</f>
        <v/>
      </c>
      <c r="X3" s="138">
        <f>DATE(YEAR('01_Вводные'!$B$7),MONTH('01_Вводные'!$B$7)+22,1)</f>
        <v/>
      </c>
      <c r="Y3" s="138">
        <f>DATE(YEAR('01_Вводные'!$B$7),MONTH('01_Вводные'!$B$7)+23,1)</f>
        <v/>
      </c>
      <c r="Z3" s="138">
        <f>DATE(YEAR('01_Вводные'!$B$7),MONTH('01_Вводные'!$B$7)+24,1)</f>
        <v/>
      </c>
      <c r="AA3" s="138">
        <f>DATE(YEAR('01_Вводные'!$B$7),MONTH('01_Вводные'!$B$7)+25,1)</f>
        <v/>
      </c>
      <c r="AB3" s="138">
        <f>DATE(YEAR('01_Вводные'!$B$7),MONTH('01_Вводные'!$B$7)+26,1)</f>
        <v/>
      </c>
      <c r="AC3" s="138">
        <f>DATE(YEAR('01_Вводные'!$B$7),MONTH('01_Вводные'!$B$7)+27,1)</f>
        <v/>
      </c>
      <c r="AD3" s="138">
        <f>DATE(YEAR('01_Вводные'!$B$7),MONTH('01_Вводные'!$B$7)+28,1)</f>
        <v/>
      </c>
      <c r="AE3" s="138">
        <f>DATE(YEAR('01_Вводные'!$B$7),MONTH('01_Вводные'!$B$7)+29,1)</f>
        <v/>
      </c>
      <c r="AF3" s="138">
        <f>DATE(YEAR('01_Вводные'!$B$7),MONTH('01_Вводные'!$B$7)+30,1)</f>
        <v/>
      </c>
      <c r="AG3" s="138">
        <f>DATE(YEAR('01_Вводные'!$B$7),MONTH('01_Вводные'!$B$7)+31,1)</f>
        <v/>
      </c>
      <c r="AH3" s="138">
        <f>DATE(YEAR('01_Вводные'!$B$7),MONTH('01_Вводные'!$B$7)+32,1)</f>
        <v/>
      </c>
      <c r="AI3" s="138">
        <f>DATE(YEAR('01_Вводные'!$B$7),MONTH('01_Вводные'!$B$7)+33,1)</f>
        <v/>
      </c>
      <c r="AJ3" s="138">
        <f>DATE(YEAR('01_Вводные'!$B$7),MONTH('01_Вводные'!$B$7)+34,1)</f>
        <v/>
      </c>
      <c r="AK3" s="138">
        <f>DATE(YEAR('01_Вводные'!$B$7),MONTH('01_Вводные'!$B$7)+35,1)</f>
        <v/>
      </c>
      <c r="AL3" s="138">
        <f>DATE(YEAR('01_Вводные'!$B$7),MONTH('01_Вводные'!$B$7)+36,1)</f>
        <v/>
      </c>
      <c r="AM3" s="138">
        <f>DATE(YEAR('01_Вводные'!$B$7),MONTH('01_Вводные'!$B$7)+37,1)</f>
        <v/>
      </c>
      <c r="AN3" s="138">
        <f>DATE(YEAR('01_Вводные'!$B$7),MONTH('01_Вводные'!$B$7)+38,1)</f>
        <v/>
      </c>
      <c r="AO3" s="138">
        <f>DATE(YEAR('01_Вводные'!$B$7),MONTH('01_Вводные'!$B$7)+39,1)</f>
        <v/>
      </c>
      <c r="AP3" s="138">
        <f>DATE(YEAR('01_Вводные'!$B$7),MONTH('01_Вводные'!$B$7)+40,1)</f>
        <v/>
      </c>
      <c r="AQ3" s="138">
        <f>DATE(YEAR('01_Вводные'!$B$7),MONTH('01_Вводные'!$B$7)+41,1)</f>
        <v/>
      </c>
      <c r="AR3" s="138">
        <f>DATE(YEAR('01_Вводные'!$B$7),MONTH('01_Вводные'!$B$7)+42,1)</f>
        <v/>
      </c>
      <c r="AS3" s="138">
        <f>DATE(YEAR('01_Вводные'!$B$7),MONTH('01_Вводные'!$B$7)+43,1)</f>
        <v/>
      </c>
      <c r="AT3" s="138">
        <f>DATE(YEAR('01_Вводные'!$B$7),MONTH('01_Вводные'!$B$7)+44,1)</f>
        <v/>
      </c>
      <c r="AU3" s="138">
        <f>DATE(YEAR('01_Вводные'!$B$7),MONTH('01_Вводные'!$B$7)+45,1)</f>
        <v/>
      </c>
      <c r="AV3" s="138">
        <f>DATE(YEAR('01_Вводные'!$B$7),MONTH('01_Вводные'!$B$7)+46,1)</f>
        <v/>
      </c>
      <c r="AW3" s="138">
        <f>DATE(YEAR('01_Вводные'!$B$7),MONTH('01_Вводные'!$B$7)+47,1)</f>
        <v/>
      </c>
      <c r="AX3" s="138">
        <f>DATE(YEAR('01_Вводные'!$B$7),MONTH('01_Вводные'!$B$7)+48,1)</f>
        <v/>
      </c>
      <c r="AY3" s="138">
        <f>DATE(YEAR('01_Вводные'!$B$7),MONTH('01_Вводные'!$B$7)+49,1)</f>
        <v/>
      </c>
      <c r="AZ3" s="138">
        <f>DATE(YEAR('01_Вводные'!$B$7),MONTH('01_Вводные'!$B$7)+50,1)</f>
        <v/>
      </c>
      <c r="BA3" s="138">
        <f>DATE(YEAR('01_Вводные'!$B$7),MONTH('01_Вводные'!$B$7)+51,1)</f>
        <v/>
      </c>
      <c r="BB3" s="138">
        <f>DATE(YEAR('01_Вводные'!$B$7),MONTH('01_Вводные'!$B$7)+52,1)</f>
        <v/>
      </c>
      <c r="BC3" s="138">
        <f>DATE(YEAR('01_Вводные'!$B$7),MONTH('01_Вводные'!$B$7)+53,1)</f>
        <v/>
      </c>
      <c r="BD3" s="138">
        <f>DATE(YEAR('01_Вводные'!$B$7),MONTH('01_Вводные'!$B$7)+54,1)</f>
        <v/>
      </c>
      <c r="BE3" s="138">
        <f>DATE(YEAR('01_Вводные'!$B$7),MONTH('01_Вводные'!$B$7)+55,1)</f>
        <v/>
      </c>
      <c r="BF3" s="138">
        <f>DATE(YEAR('01_Вводные'!$B$7),MONTH('01_Вводные'!$B$7)+56,1)</f>
        <v/>
      </c>
      <c r="BG3" s="138">
        <f>DATE(YEAR('01_Вводные'!$B$7),MONTH('01_Вводные'!$B$7)+57,1)</f>
        <v/>
      </c>
      <c r="BH3" s="138">
        <f>DATE(YEAR('01_Вводные'!$B$7),MONTH('01_Вводные'!$B$7)+58,1)</f>
        <v/>
      </c>
      <c r="BI3" s="138">
        <f>DATE(YEAR('01_Вводные'!$B$7),MONTH('01_Вводные'!$B$7)+59,1)</f>
        <v/>
      </c>
      <c r="BJ3" s="138">
        <f>DATE(YEAR('01_Вводные'!$B$7),MONTH('01_Вводные'!$B$7)+60,1)</f>
        <v/>
      </c>
      <c r="BK3" s="138">
        <f>DATE(YEAR('01_Вводные'!$B$7),MONTH('01_Вводные'!$B$7)+61,1)</f>
        <v/>
      </c>
      <c r="BL3" s="138">
        <f>DATE(YEAR('01_Вводные'!$B$7),MONTH('01_Вводные'!$B$7)+62,1)</f>
        <v/>
      </c>
      <c r="BM3" s="138">
        <f>DATE(YEAR('01_Вводные'!$B$7),MONTH('01_Вводные'!$B$7)+63,1)</f>
        <v/>
      </c>
      <c r="BN3" s="138">
        <f>DATE(YEAR('01_Вводные'!$B$7),MONTH('01_Вводные'!$B$7)+64,1)</f>
        <v/>
      </c>
      <c r="BO3" s="138">
        <f>DATE(YEAR('01_Вводные'!$B$7),MONTH('01_Вводные'!$B$7)+65,1)</f>
        <v/>
      </c>
    </row>
    <row r="4">
      <c r="A4" s="137" t="inlineStr">
        <is>
          <t>Накопленный индекс цен / OPEX</t>
        </is>
      </c>
      <c r="B4" s="139">
        <f>1*IF(AND('01_Вводные'!$B$294="Да",B$3&gt;='01_Вводные'!$B$293,MONTH(B$3)=MONTH('01_Вводные'!$B$293)),1+B5,1)</f>
        <v/>
      </c>
      <c r="C4" s="139">
        <f>B4*IF(AND('01_Вводные'!$B$294="Да",C$3&gt;='01_Вводные'!$B$293,MONTH(C$3)=MONTH('01_Вводные'!$B$293)),1+C5,1)</f>
        <v/>
      </c>
      <c r="D4" s="139">
        <f>C4*IF(AND('01_Вводные'!$B$294="Да",D$3&gt;='01_Вводные'!$B$293,MONTH(D$3)=MONTH('01_Вводные'!$B$293)),1+D5,1)</f>
        <v/>
      </c>
      <c r="E4" s="139">
        <f>D4*IF(AND('01_Вводные'!$B$294="Да",E$3&gt;='01_Вводные'!$B$293,MONTH(E$3)=MONTH('01_Вводные'!$B$293)),1+E5,1)</f>
        <v/>
      </c>
      <c r="F4" s="139">
        <f>E4*IF(AND('01_Вводные'!$B$294="Да",F$3&gt;='01_Вводные'!$B$293,MONTH(F$3)=MONTH('01_Вводные'!$B$293)),1+F5,1)</f>
        <v/>
      </c>
      <c r="G4" s="139">
        <f>F4*IF(AND('01_Вводные'!$B$294="Да",G$3&gt;='01_Вводные'!$B$293,MONTH(G$3)=MONTH('01_Вводные'!$B$293)),1+G5,1)</f>
        <v/>
      </c>
      <c r="H4" s="139">
        <f>G4*IF(AND('01_Вводные'!$B$294="Да",H$3&gt;='01_Вводные'!$B$293,MONTH(H$3)=MONTH('01_Вводные'!$B$293)),1+H5,1)</f>
        <v/>
      </c>
      <c r="I4" s="139">
        <f>H4*IF(AND('01_Вводные'!$B$294="Да",I$3&gt;='01_Вводные'!$B$293,MONTH(I$3)=MONTH('01_Вводные'!$B$293)),1+I5,1)</f>
        <v/>
      </c>
      <c r="J4" s="139">
        <f>I4*IF(AND('01_Вводные'!$B$294="Да",J$3&gt;='01_Вводные'!$B$293,MONTH(J$3)=MONTH('01_Вводные'!$B$293)),1+J5,1)</f>
        <v/>
      </c>
      <c r="K4" s="139">
        <f>J4*IF(AND('01_Вводные'!$B$294="Да",K$3&gt;='01_Вводные'!$B$293,MONTH(K$3)=MONTH('01_Вводные'!$B$293)),1+K5,1)</f>
        <v/>
      </c>
      <c r="L4" s="139">
        <f>K4*IF(AND('01_Вводные'!$B$294="Да",L$3&gt;='01_Вводные'!$B$293,MONTH(L$3)=MONTH('01_Вводные'!$B$293)),1+L5,1)</f>
        <v/>
      </c>
      <c r="M4" s="139">
        <f>L4*IF(AND('01_Вводные'!$B$294="Да",M$3&gt;='01_Вводные'!$B$293,MONTH(M$3)=MONTH('01_Вводные'!$B$293)),1+M5,1)</f>
        <v/>
      </c>
      <c r="N4" s="139">
        <f>M4*IF(AND('01_Вводные'!$B$294="Да",N$3&gt;='01_Вводные'!$B$293,MONTH(N$3)=MONTH('01_Вводные'!$B$293)),1+N5,1)</f>
        <v/>
      </c>
      <c r="O4" s="139">
        <f>N4*IF(AND('01_Вводные'!$B$294="Да",O$3&gt;='01_Вводные'!$B$293,MONTH(O$3)=MONTH('01_Вводные'!$B$293)),1+O5,1)</f>
        <v/>
      </c>
      <c r="P4" s="139">
        <f>O4*IF(AND('01_Вводные'!$B$294="Да",P$3&gt;='01_Вводные'!$B$293,MONTH(P$3)=MONTH('01_Вводные'!$B$293)),1+P5,1)</f>
        <v/>
      </c>
      <c r="Q4" s="139">
        <f>P4*IF(AND('01_Вводные'!$B$294="Да",Q$3&gt;='01_Вводные'!$B$293,MONTH(Q$3)=MONTH('01_Вводные'!$B$293)),1+Q5,1)</f>
        <v/>
      </c>
      <c r="R4" s="139">
        <f>Q4*IF(AND('01_Вводные'!$B$294="Да",R$3&gt;='01_Вводные'!$B$293,MONTH(R$3)=MONTH('01_Вводные'!$B$293)),1+R5,1)</f>
        <v/>
      </c>
      <c r="S4" s="139">
        <f>R4*IF(AND('01_Вводные'!$B$294="Да",S$3&gt;='01_Вводные'!$B$293,MONTH(S$3)=MONTH('01_Вводные'!$B$293)),1+S5,1)</f>
        <v/>
      </c>
      <c r="T4" s="139">
        <f>S4*IF(AND('01_Вводные'!$B$294="Да",T$3&gt;='01_Вводные'!$B$293,MONTH(T$3)=MONTH('01_Вводные'!$B$293)),1+T5,1)</f>
        <v/>
      </c>
      <c r="U4" s="139">
        <f>T4*IF(AND('01_Вводные'!$B$294="Да",U$3&gt;='01_Вводные'!$B$293,MONTH(U$3)=MONTH('01_Вводные'!$B$293)),1+U5,1)</f>
        <v/>
      </c>
      <c r="V4" s="139">
        <f>U4*IF(AND('01_Вводные'!$B$294="Да",V$3&gt;='01_Вводные'!$B$293,MONTH(V$3)=MONTH('01_Вводные'!$B$293)),1+V5,1)</f>
        <v/>
      </c>
      <c r="W4" s="139">
        <f>V4*IF(AND('01_Вводные'!$B$294="Да",W$3&gt;='01_Вводные'!$B$293,MONTH(W$3)=MONTH('01_Вводные'!$B$293)),1+W5,1)</f>
        <v/>
      </c>
      <c r="X4" s="139">
        <f>W4*IF(AND('01_Вводные'!$B$294="Да",X$3&gt;='01_Вводные'!$B$293,MONTH(X$3)=MONTH('01_Вводные'!$B$293)),1+X5,1)</f>
        <v/>
      </c>
      <c r="Y4" s="139">
        <f>X4*IF(AND('01_Вводные'!$B$294="Да",Y$3&gt;='01_Вводные'!$B$293,MONTH(Y$3)=MONTH('01_Вводные'!$B$293)),1+Y5,1)</f>
        <v/>
      </c>
      <c r="Z4" s="139">
        <f>Y4*IF(AND('01_Вводные'!$B$294="Да",Z$3&gt;='01_Вводные'!$B$293,MONTH(Z$3)=MONTH('01_Вводные'!$B$293)),1+Z5,1)</f>
        <v/>
      </c>
      <c r="AA4" s="139">
        <f>Z4*IF(AND('01_Вводные'!$B$294="Да",AA$3&gt;='01_Вводные'!$B$293,MONTH(AA$3)=MONTH('01_Вводные'!$B$293)),1+AA5,1)</f>
        <v/>
      </c>
      <c r="AB4" s="139">
        <f>AA4*IF(AND('01_Вводные'!$B$294="Да",AB$3&gt;='01_Вводные'!$B$293,MONTH(AB$3)=MONTH('01_Вводные'!$B$293)),1+AB5,1)</f>
        <v/>
      </c>
      <c r="AC4" s="139">
        <f>AB4*IF(AND('01_Вводные'!$B$294="Да",AC$3&gt;='01_Вводные'!$B$293,MONTH(AC$3)=MONTH('01_Вводные'!$B$293)),1+AC5,1)</f>
        <v/>
      </c>
      <c r="AD4" s="139">
        <f>AC4*IF(AND('01_Вводные'!$B$294="Да",AD$3&gt;='01_Вводные'!$B$293,MONTH(AD$3)=MONTH('01_Вводные'!$B$293)),1+AD5,1)</f>
        <v/>
      </c>
      <c r="AE4" s="139">
        <f>AD4*IF(AND('01_Вводные'!$B$294="Да",AE$3&gt;='01_Вводные'!$B$293,MONTH(AE$3)=MONTH('01_Вводные'!$B$293)),1+AE5,1)</f>
        <v/>
      </c>
      <c r="AF4" s="139">
        <f>AE4*IF(AND('01_Вводные'!$B$294="Да",AF$3&gt;='01_Вводные'!$B$293,MONTH(AF$3)=MONTH('01_Вводные'!$B$293)),1+AF5,1)</f>
        <v/>
      </c>
      <c r="AG4" s="139">
        <f>AF4*IF(AND('01_Вводные'!$B$294="Да",AG$3&gt;='01_Вводные'!$B$293,MONTH(AG$3)=MONTH('01_Вводные'!$B$293)),1+AG5,1)</f>
        <v/>
      </c>
      <c r="AH4" s="139">
        <f>AG4*IF(AND('01_Вводные'!$B$294="Да",AH$3&gt;='01_Вводные'!$B$293,MONTH(AH$3)=MONTH('01_Вводные'!$B$293)),1+AH5,1)</f>
        <v/>
      </c>
      <c r="AI4" s="139">
        <f>AH4*IF(AND('01_Вводные'!$B$294="Да",AI$3&gt;='01_Вводные'!$B$293,MONTH(AI$3)=MONTH('01_Вводные'!$B$293)),1+AI5,1)</f>
        <v/>
      </c>
      <c r="AJ4" s="139">
        <f>AI4*IF(AND('01_Вводные'!$B$294="Да",AJ$3&gt;='01_Вводные'!$B$293,MONTH(AJ$3)=MONTH('01_Вводные'!$B$293)),1+AJ5,1)</f>
        <v/>
      </c>
      <c r="AK4" s="139">
        <f>AJ4*IF(AND('01_Вводные'!$B$294="Да",AK$3&gt;='01_Вводные'!$B$293,MONTH(AK$3)=MONTH('01_Вводные'!$B$293)),1+AK5,1)</f>
        <v/>
      </c>
      <c r="AL4" s="139">
        <f>AK4*IF(AND('01_Вводные'!$B$294="Да",AL$3&gt;='01_Вводные'!$B$293,MONTH(AL$3)=MONTH('01_Вводные'!$B$293)),1+AL5,1)</f>
        <v/>
      </c>
      <c r="AM4" s="139">
        <f>AL4*IF(AND('01_Вводные'!$B$294="Да",AM$3&gt;='01_Вводные'!$B$293,MONTH(AM$3)=MONTH('01_Вводные'!$B$293)),1+AM5,1)</f>
        <v/>
      </c>
      <c r="AN4" s="139">
        <f>AM4*IF(AND('01_Вводные'!$B$294="Да",AN$3&gt;='01_Вводные'!$B$293,MONTH(AN$3)=MONTH('01_Вводные'!$B$293)),1+AN5,1)</f>
        <v/>
      </c>
      <c r="AO4" s="139">
        <f>AN4*IF(AND('01_Вводные'!$B$294="Да",AO$3&gt;='01_Вводные'!$B$293,MONTH(AO$3)=MONTH('01_Вводные'!$B$293)),1+AO5,1)</f>
        <v/>
      </c>
      <c r="AP4" s="139">
        <f>AO4*IF(AND('01_Вводные'!$B$294="Да",AP$3&gt;='01_Вводные'!$B$293,MONTH(AP$3)=MONTH('01_Вводные'!$B$293)),1+AP5,1)</f>
        <v/>
      </c>
      <c r="AQ4" s="139">
        <f>AP4*IF(AND('01_Вводные'!$B$294="Да",AQ$3&gt;='01_Вводные'!$B$293,MONTH(AQ$3)=MONTH('01_Вводные'!$B$293)),1+AQ5,1)</f>
        <v/>
      </c>
      <c r="AR4" s="139">
        <f>AQ4*IF(AND('01_Вводные'!$B$294="Да",AR$3&gt;='01_Вводные'!$B$293,MONTH(AR$3)=MONTH('01_Вводные'!$B$293)),1+AR5,1)</f>
        <v/>
      </c>
      <c r="AS4" s="139">
        <f>AR4*IF(AND('01_Вводные'!$B$294="Да",AS$3&gt;='01_Вводные'!$B$293,MONTH(AS$3)=MONTH('01_Вводные'!$B$293)),1+AS5,1)</f>
        <v/>
      </c>
      <c r="AT4" s="139">
        <f>AS4*IF(AND('01_Вводные'!$B$294="Да",AT$3&gt;='01_Вводные'!$B$293,MONTH(AT$3)=MONTH('01_Вводные'!$B$293)),1+AT5,1)</f>
        <v/>
      </c>
      <c r="AU4" s="139">
        <f>AT4*IF(AND('01_Вводные'!$B$294="Да",AU$3&gt;='01_Вводные'!$B$293,MONTH(AU$3)=MONTH('01_Вводные'!$B$293)),1+AU5,1)</f>
        <v/>
      </c>
      <c r="AV4" s="139">
        <f>AU4*IF(AND('01_Вводные'!$B$294="Да",AV$3&gt;='01_Вводные'!$B$293,MONTH(AV$3)=MONTH('01_Вводные'!$B$293)),1+AV5,1)</f>
        <v/>
      </c>
      <c r="AW4" s="139">
        <f>AV4*IF(AND('01_Вводные'!$B$294="Да",AW$3&gt;='01_Вводные'!$B$293,MONTH(AW$3)=MONTH('01_Вводные'!$B$293)),1+AW5,1)</f>
        <v/>
      </c>
      <c r="AX4" s="139">
        <f>AW4*IF(AND('01_Вводные'!$B$294="Да",AX$3&gt;='01_Вводные'!$B$293,MONTH(AX$3)=MONTH('01_Вводные'!$B$293)),1+AX5,1)</f>
        <v/>
      </c>
      <c r="AY4" s="139">
        <f>AX4*IF(AND('01_Вводные'!$B$294="Да",AY$3&gt;='01_Вводные'!$B$293,MONTH(AY$3)=MONTH('01_Вводные'!$B$293)),1+AY5,1)</f>
        <v/>
      </c>
      <c r="AZ4" s="139">
        <f>AY4*IF(AND('01_Вводные'!$B$294="Да",AZ$3&gt;='01_Вводные'!$B$293,MONTH(AZ$3)=MONTH('01_Вводные'!$B$293)),1+AZ5,1)</f>
        <v/>
      </c>
      <c r="BA4" s="139">
        <f>AZ4*IF(AND('01_Вводные'!$B$294="Да",BA$3&gt;='01_Вводные'!$B$293,MONTH(BA$3)=MONTH('01_Вводные'!$B$293)),1+BA5,1)</f>
        <v/>
      </c>
      <c r="BB4" s="139">
        <f>BA4*IF(AND('01_Вводные'!$B$294="Да",BB$3&gt;='01_Вводные'!$B$293,MONTH(BB$3)=MONTH('01_Вводные'!$B$293)),1+BB5,1)</f>
        <v/>
      </c>
      <c r="BC4" s="139">
        <f>BB4*IF(AND('01_Вводные'!$B$294="Да",BC$3&gt;='01_Вводные'!$B$293,MONTH(BC$3)=MONTH('01_Вводные'!$B$293)),1+BC5,1)</f>
        <v/>
      </c>
      <c r="BD4" s="139">
        <f>BC4*IF(AND('01_Вводные'!$B$294="Да",BD$3&gt;='01_Вводные'!$B$293,MONTH(BD$3)=MONTH('01_Вводные'!$B$293)),1+BD5,1)</f>
        <v/>
      </c>
      <c r="BE4" s="139">
        <f>BD4*IF(AND('01_Вводные'!$B$294="Да",BE$3&gt;='01_Вводные'!$B$293,MONTH(BE$3)=MONTH('01_Вводные'!$B$293)),1+BE5,1)</f>
        <v/>
      </c>
      <c r="BF4" s="139">
        <f>BE4*IF(AND('01_Вводные'!$B$294="Да",BF$3&gt;='01_Вводные'!$B$293,MONTH(BF$3)=MONTH('01_Вводные'!$B$293)),1+BF5,1)</f>
        <v/>
      </c>
      <c r="BG4" s="139">
        <f>BF4*IF(AND('01_Вводные'!$B$294="Да",BG$3&gt;='01_Вводные'!$B$293,MONTH(BG$3)=MONTH('01_Вводные'!$B$293)),1+BG5,1)</f>
        <v/>
      </c>
      <c r="BH4" s="139">
        <f>BG4*IF(AND('01_Вводные'!$B$294="Да",BH$3&gt;='01_Вводные'!$B$293,MONTH(BH$3)=MONTH('01_Вводные'!$B$293)),1+BH5,1)</f>
        <v/>
      </c>
      <c r="BI4" s="139">
        <f>BH4*IF(AND('01_Вводные'!$B$294="Да",BI$3&gt;='01_Вводные'!$B$293,MONTH(BI$3)=MONTH('01_Вводные'!$B$293)),1+BI5,1)</f>
        <v/>
      </c>
      <c r="BJ4" s="139">
        <f>BI4*IF(AND('01_Вводные'!$B$294="Да",BJ$3&gt;='01_Вводные'!$B$293,MONTH(BJ$3)=MONTH('01_Вводные'!$B$293)),1+BJ5,1)</f>
        <v/>
      </c>
      <c r="BK4" s="139">
        <f>BJ4*IF(AND('01_Вводные'!$B$294="Да",BK$3&gt;='01_Вводные'!$B$293,MONTH(BK$3)=MONTH('01_Вводные'!$B$293)),1+BK5,1)</f>
        <v/>
      </c>
      <c r="BL4" s="139">
        <f>BK4*IF(AND('01_Вводные'!$B$294="Да",BL$3&gt;='01_Вводные'!$B$293,MONTH(BL$3)=MONTH('01_Вводные'!$B$293)),1+BL5,1)</f>
        <v/>
      </c>
      <c r="BM4" s="139">
        <f>BL4*IF(AND('01_Вводные'!$B$294="Да",BM$3&gt;='01_Вводные'!$B$293,MONTH(BM$3)=MONTH('01_Вводные'!$B$293)),1+BM5,1)</f>
        <v/>
      </c>
      <c r="BN4" s="139">
        <f>BM4*IF(AND('01_Вводные'!$B$294="Да",BN$3&gt;='01_Вводные'!$B$293,MONTH(BN$3)=MONTH('01_Вводные'!$B$293)),1+BN5,1)</f>
        <v/>
      </c>
      <c r="BO4" s="139">
        <f>BN4*IF(AND('01_Вводные'!$B$294="Да",BO$3&gt;='01_Вводные'!$B$293,MONTH(BO$3)=MONTH('01_Вводные'!$B$293)),1+BO5,1)</f>
        <v/>
      </c>
    </row>
    <row r="5">
      <c r="A5" s="137" t="inlineStr">
        <is>
          <t>Инфляция года</t>
        </is>
      </c>
      <c r="B5" s="139">
        <f>SUMIF('01_Вводные'!$A$301:$A$307,YEAR(B$3),'01_Вводные'!$B$301:$B$307)</f>
        <v/>
      </c>
      <c r="C5" s="139">
        <f>SUMIF('01_Вводные'!$A$301:$A$307,YEAR(C$3),'01_Вводные'!$B$301:$B$307)</f>
        <v/>
      </c>
      <c r="D5" s="139">
        <f>SUMIF('01_Вводные'!$A$301:$A$307,YEAR(D$3),'01_Вводные'!$B$301:$B$307)</f>
        <v/>
      </c>
      <c r="E5" s="139">
        <f>SUMIF('01_Вводные'!$A$301:$A$307,YEAR(E$3),'01_Вводные'!$B$301:$B$307)</f>
        <v/>
      </c>
      <c r="F5" s="139">
        <f>SUMIF('01_Вводные'!$A$301:$A$307,YEAR(F$3),'01_Вводные'!$B$301:$B$307)</f>
        <v/>
      </c>
      <c r="G5" s="139">
        <f>SUMIF('01_Вводные'!$A$301:$A$307,YEAR(G$3),'01_Вводные'!$B$301:$B$307)</f>
        <v/>
      </c>
      <c r="H5" s="139">
        <f>SUMIF('01_Вводные'!$A$301:$A$307,YEAR(H$3),'01_Вводные'!$B$301:$B$307)</f>
        <v/>
      </c>
      <c r="I5" s="139">
        <f>SUMIF('01_Вводные'!$A$301:$A$307,YEAR(I$3),'01_Вводные'!$B$301:$B$307)</f>
        <v/>
      </c>
      <c r="J5" s="139">
        <f>SUMIF('01_Вводные'!$A$301:$A$307,YEAR(J$3),'01_Вводные'!$B$301:$B$307)</f>
        <v/>
      </c>
      <c r="K5" s="139">
        <f>SUMIF('01_Вводные'!$A$301:$A$307,YEAR(K$3),'01_Вводные'!$B$301:$B$307)</f>
        <v/>
      </c>
      <c r="L5" s="139">
        <f>SUMIF('01_Вводные'!$A$301:$A$307,YEAR(L$3),'01_Вводные'!$B$301:$B$307)</f>
        <v/>
      </c>
      <c r="M5" s="139">
        <f>SUMIF('01_Вводные'!$A$301:$A$307,YEAR(M$3),'01_Вводные'!$B$301:$B$307)</f>
        <v/>
      </c>
      <c r="N5" s="139">
        <f>SUMIF('01_Вводные'!$A$301:$A$307,YEAR(N$3),'01_Вводные'!$B$301:$B$307)</f>
        <v/>
      </c>
      <c r="O5" s="139">
        <f>SUMIF('01_Вводные'!$A$301:$A$307,YEAR(O$3),'01_Вводные'!$B$301:$B$307)</f>
        <v/>
      </c>
      <c r="P5" s="139">
        <f>SUMIF('01_Вводные'!$A$301:$A$307,YEAR(P$3),'01_Вводные'!$B$301:$B$307)</f>
        <v/>
      </c>
      <c r="Q5" s="139">
        <f>SUMIF('01_Вводные'!$A$301:$A$307,YEAR(Q$3),'01_Вводные'!$B$301:$B$307)</f>
        <v/>
      </c>
      <c r="R5" s="139">
        <f>SUMIF('01_Вводные'!$A$301:$A$307,YEAR(R$3),'01_Вводные'!$B$301:$B$307)</f>
        <v/>
      </c>
      <c r="S5" s="139">
        <f>SUMIF('01_Вводные'!$A$301:$A$307,YEAR(S$3),'01_Вводные'!$B$301:$B$307)</f>
        <v/>
      </c>
      <c r="T5" s="139">
        <f>SUMIF('01_Вводные'!$A$301:$A$307,YEAR(T$3),'01_Вводные'!$B$301:$B$307)</f>
        <v/>
      </c>
      <c r="U5" s="139">
        <f>SUMIF('01_Вводные'!$A$301:$A$307,YEAR(U$3),'01_Вводные'!$B$301:$B$307)</f>
        <v/>
      </c>
      <c r="V5" s="139">
        <f>SUMIF('01_Вводные'!$A$301:$A$307,YEAR(V$3),'01_Вводные'!$B$301:$B$307)</f>
        <v/>
      </c>
      <c r="W5" s="139">
        <f>SUMIF('01_Вводные'!$A$301:$A$307,YEAR(W$3),'01_Вводные'!$B$301:$B$307)</f>
        <v/>
      </c>
      <c r="X5" s="139">
        <f>SUMIF('01_Вводные'!$A$301:$A$307,YEAR(X$3),'01_Вводные'!$B$301:$B$307)</f>
        <v/>
      </c>
      <c r="Y5" s="139">
        <f>SUMIF('01_Вводные'!$A$301:$A$307,YEAR(Y$3),'01_Вводные'!$B$301:$B$307)</f>
        <v/>
      </c>
      <c r="Z5" s="139">
        <f>SUMIF('01_Вводные'!$A$301:$A$307,YEAR(Z$3),'01_Вводные'!$B$301:$B$307)</f>
        <v/>
      </c>
      <c r="AA5" s="139">
        <f>SUMIF('01_Вводные'!$A$301:$A$307,YEAR(AA$3),'01_Вводные'!$B$301:$B$307)</f>
        <v/>
      </c>
      <c r="AB5" s="139">
        <f>SUMIF('01_Вводные'!$A$301:$A$307,YEAR(AB$3),'01_Вводные'!$B$301:$B$307)</f>
        <v/>
      </c>
      <c r="AC5" s="139">
        <f>SUMIF('01_Вводные'!$A$301:$A$307,YEAR(AC$3),'01_Вводные'!$B$301:$B$307)</f>
        <v/>
      </c>
      <c r="AD5" s="139">
        <f>SUMIF('01_Вводные'!$A$301:$A$307,YEAR(AD$3),'01_Вводные'!$B$301:$B$307)</f>
        <v/>
      </c>
      <c r="AE5" s="139">
        <f>SUMIF('01_Вводные'!$A$301:$A$307,YEAR(AE$3),'01_Вводные'!$B$301:$B$307)</f>
        <v/>
      </c>
      <c r="AF5" s="139">
        <f>SUMIF('01_Вводные'!$A$301:$A$307,YEAR(AF$3),'01_Вводные'!$B$301:$B$307)</f>
        <v/>
      </c>
      <c r="AG5" s="139">
        <f>SUMIF('01_Вводные'!$A$301:$A$307,YEAR(AG$3),'01_Вводные'!$B$301:$B$307)</f>
        <v/>
      </c>
      <c r="AH5" s="139">
        <f>SUMIF('01_Вводные'!$A$301:$A$307,YEAR(AH$3),'01_Вводные'!$B$301:$B$307)</f>
        <v/>
      </c>
      <c r="AI5" s="139">
        <f>SUMIF('01_Вводные'!$A$301:$A$307,YEAR(AI$3),'01_Вводные'!$B$301:$B$307)</f>
        <v/>
      </c>
      <c r="AJ5" s="139">
        <f>SUMIF('01_Вводные'!$A$301:$A$307,YEAR(AJ$3),'01_Вводные'!$B$301:$B$307)</f>
        <v/>
      </c>
      <c r="AK5" s="139">
        <f>SUMIF('01_Вводные'!$A$301:$A$307,YEAR(AK$3),'01_Вводные'!$B$301:$B$307)</f>
        <v/>
      </c>
      <c r="AL5" s="139">
        <f>SUMIF('01_Вводные'!$A$301:$A$307,YEAR(AL$3),'01_Вводные'!$B$301:$B$307)</f>
        <v/>
      </c>
      <c r="AM5" s="139">
        <f>SUMIF('01_Вводные'!$A$301:$A$307,YEAR(AM$3),'01_Вводные'!$B$301:$B$307)</f>
        <v/>
      </c>
      <c r="AN5" s="139">
        <f>SUMIF('01_Вводные'!$A$301:$A$307,YEAR(AN$3),'01_Вводные'!$B$301:$B$307)</f>
        <v/>
      </c>
      <c r="AO5" s="139">
        <f>SUMIF('01_Вводные'!$A$301:$A$307,YEAR(AO$3),'01_Вводные'!$B$301:$B$307)</f>
        <v/>
      </c>
      <c r="AP5" s="139">
        <f>SUMIF('01_Вводные'!$A$301:$A$307,YEAR(AP$3),'01_Вводные'!$B$301:$B$307)</f>
        <v/>
      </c>
      <c r="AQ5" s="139">
        <f>SUMIF('01_Вводные'!$A$301:$A$307,YEAR(AQ$3),'01_Вводные'!$B$301:$B$307)</f>
        <v/>
      </c>
      <c r="AR5" s="139">
        <f>SUMIF('01_Вводные'!$A$301:$A$307,YEAR(AR$3),'01_Вводные'!$B$301:$B$307)</f>
        <v/>
      </c>
      <c r="AS5" s="139">
        <f>SUMIF('01_Вводные'!$A$301:$A$307,YEAR(AS$3),'01_Вводные'!$B$301:$B$307)</f>
        <v/>
      </c>
      <c r="AT5" s="139">
        <f>SUMIF('01_Вводные'!$A$301:$A$307,YEAR(AT$3),'01_Вводные'!$B$301:$B$307)</f>
        <v/>
      </c>
      <c r="AU5" s="139">
        <f>SUMIF('01_Вводные'!$A$301:$A$307,YEAR(AU$3),'01_Вводные'!$B$301:$B$307)</f>
        <v/>
      </c>
      <c r="AV5" s="139">
        <f>SUMIF('01_Вводные'!$A$301:$A$307,YEAR(AV$3),'01_Вводные'!$B$301:$B$307)</f>
        <v/>
      </c>
      <c r="AW5" s="139">
        <f>SUMIF('01_Вводные'!$A$301:$A$307,YEAR(AW$3),'01_Вводные'!$B$301:$B$307)</f>
        <v/>
      </c>
      <c r="AX5" s="139">
        <f>SUMIF('01_Вводные'!$A$301:$A$307,YEAR(AX$3),'01_Вводные'!$B$301:$B$307)</f>
        <v/>
      </c>
      <c r="AY5" s="139">
        <f>SUMIF('01_Вводные'!$A$301:$A$307,YEAR(AY$3),'01_Вводные'!$B$301:$B$307)</f>
        <v/>
      </c>
      <c r="AZ5" s="139">
        <f>SUMIF('01_Вводные'!$A$301:$A$307,YEAR(AZ$3),'01_Вводные'!$B$301:$B$307)</f>
        <v/>
      </c>
      <c r="BA5" s="139">
        <f>SUMIF('01_Вводные'!$A$301:$A$307,YEAR(BA$3),'01_Вводные'!$B$301:$B$307)</f>
        <v/>
      </c>
      <c r="BB5" s="139">
        <f>SUMIF('01_Вводные'!$A$301:$A$307,YEAR(BB$3),'01_Вводные'!$B$301:$B$307)</f>
        <v/>
      </c>
      <c r="BC5" s="139">
        <f>SUMIF('01_Вводные'!$A$301:$A$307,YEAR(BC$3),'01_Вводные'!$B$301:$B$307)</f>
        <v/>
      </c>
      <c r="BD5" s="139">
        <f>SUMIF('01_Вводные'!$A$301:$A$307,YEAR(BD$3),'01_Вводные'!$B$301:$B$307)</f>
        <v/>
      </c>
      <c r="BE5" s="139">
        <f>SUMIF('01_Вводные'!$A$301:$A$307,YEAR(BE$3),'01_Вводные'!$B$301:$B$307)</f>
        <v/>
      </c>
      <c r="BF5" s="139">
        <f>SUMIF('01_Вводные'!$A$301:$A$307,YEAR(BF$3),'01_Вводные'!$B$301:$B$307)</f>
        <v/>
      </c>
      <c r="BG5" s="139">
        <f>SUMIF('01_Вводные'!$A$301:$A$307,YEAR(BG$3),'01_Вводные'!$B$301:$B$307)</f>
        <v/>
      </c>
      <c r="BH5" s="139">
        <f>SUMIF('01_Вводные'!$A$301:$A$307,YEAR(BH$3),'01_Вводные'!$B$301:$B$307)</f>
        <v/>
      </c>
      <c r="BI5" s="139">
        <f>SUMIF('01_Вводные'!$A$301:$A$307,YEAR(BI$3),'01_Вводные'!$B$301:$B$307)</f>
        <v/>
      </c>
      <c r="BJ5" s="139">
        <f>SUMIF('01_Вводные'!$A$301:$A$307,YEAR(BJ$3),'01_Вводные'!$B$301:$B$307)</f>
        <v/>
      </c>
      <c r="BK5" s="139">
        <f>SUMIF('01_Вводные'!$A$301:$A$307,YEAR(BK$3),'01_Вводные'!$B$301:$B$307)</f>
        <v/>
      </c>
      <c r="BL5" s="139">
        <f>SUMIF('01_Вводные'!$A$301:$A$307,YEAR(BL$3),'01_Вводные'!$B$301:$B$307)</f>
        <v/>
      </c>
      <c r="BM5" s="139">
        <f>SUMIF('01_Вводные'!$A$301:$A$307,YEAR(BM$3),'01_Вводные'!$B$301:$B$307)</f>
        <v/>
      </c>
      <c r="BN5" s="139">
        <f>SUMIF('01_Вводные'!$A$301:$A$307,YEAR(BN$3),'01_Вводные'!$B$301:$B$307)</f>
        <v/>
      </c>
      <c r="BO5" s="139">
        <f>SUMIF('01_Вводные'!$A$301:$A$307,YEAR(BO$3),'01_Вводные'!$B$301:$B$307)</f>
        <v/>
      </c>
    </row>
    <row r="6">
      <c r="A6" s="137" t="inlineStr">
        <is>
          <t>Паушальный, с НДС</t>
        </is>
      </c>
      <c r="B6" s="139">
        <f>INDEX('01_Вводные'!$B$63:$B$67,MIN(5,INT(0/12)+1),1)*B4</f>
        <v/>
      </c>
      <c r="C6" s="139">
        <f>INDEX('01_Вводные'!$B$63:$B$67,MIN(5,INT(1/12)+1),1)*C4</f>
        <v/>
      </c>
      <c r="D6" s="139">
        <f>INDEX('01_Вводные'!$B$63:$B$67,MIN(5,INT(2/12)+1),1)*D4</f>
        <v/>
      </c>
      <c r="E6" s="139">
        <f>INDEX('01_Вводные'!$B$63:$B$67,MIN(5,INT(3/12)+1),1)*E4</f>
        <v/>
      </c>
      <c r="F6" s="139">
        <f>INDEX('01_Вводные'!$B$63:$B$67,MIN(5,INT(4/12)+1),1)*F4</f>
        <v/>
      </c>
      <c r="G6" s="139">
        <f>INDEX('01_Вводные'!$B$63:$B$67,MIN(5,INT(5/12)+1),1)*G4</f>
        <v/>
      </c>
      <c r="H6" s="139">
        <f>INDEX('01_Вводные'!$B$63:$B$67,MIN(5,INT(6/12)+1),1)*H4</f>
        <v/>
      </c>
      <c r="I6" s="139">
        <f>INDEX('01_Вводные'!$B$63:$B$67,MIN(5,INT(7/12)+1),1)*I4</f>
        <v/>
      </c>
      <c r="J6" s="139">
        <f>INDEX('01_Вводные'!$B$63:$B$67,MIN(5,INT(8/12)+1),1)*J4</f>
        <v/>
      </c>
      <c r="K6" s="139">
        <f>INDEX('01_Вводные'!$B$63:$B$67,MIN(5,INT(9/12)+1),1)*K4</f>
        <v/>
      </c>
      <c r="L6" s="139">
        <f>INDEX('01_Вводные'!$B$63:$B$67,MIN(5,INT(10/12)+1),1)*L4</f>
        <v/>
      </c>
      <c r="M6" s="139">
        <f>INDEX('01_Вводные'!$B$63:$B$67,MIN(5,INT(11/12)+1),1)*M4</f>
        <v/>
      </c>
      <c r="N6" s="139">
        <f>INDEX('01_Вводные'!$B$63:$B$67,MIN(5,INT(12/12)+1),1)*N4</f>
        <v/>
      </c>
      <c r="O6" s="139">
        <f>INDEX('01_Вводные'!$B$63:$B$67,MIN(5,INT(13/12)+1),1)*O4</f>
        <v/>
      </c>
      <c r="P6" s="139">
        <f>INDEX('01_Вводные'!$B$63:$B$67,MIN(5,INT(14/12)+1),1)*P4</f>
        <v/>
      </c>
      <c r="Q6" s="139">
        <f>INDEX('01_Вводные'!$B$63:$B$67,MIN(5,INT(15/12)+1),1)*Q4</f>
        <v/>
      </c>
      <c r="R6" s="139">
        <f>INDEX('01_Вводные'!$B$63:$B$67,MIN(5,INT(16/12)+1),1)*R4</f>
        <v/>
      </c>
      <c r="S6" s="139">
        <f>INDEX('01_Вводные'!$B$63:$B$67,MIN(5,INT(17/12)+1),1)*S4</f>
        <v/>
      </c>
      <c r="T6" s="139">
        <f>INDEX('01_Вводные'!$B$63:$B$67,MIN(5,INT(18/12)+1),1)*T4</f>
        <v/>
      </c>
      <c r="U6" s="139">
        <f>INDEX('01_Вводные'!$B$63:$B$67,MIN(5,INT(19/12)+1),1)*U4</f>
        <v/>
      </c>
      <c r="V6" s="139">
        <f>INDEX('01_Вводные'!$B$63:$B$67,MIN(5,INT(20/12)+1),1)*V4</f>
        <v/>
      </c>
      <c r="W6" s="139">
        <f>INDEX('01_Вводные'!$B$63:$B$67,MIN(5,INT(21/12)+1),1)*W4</f>
        <v/>
      </c>
      <c r="X6" s="139">
        <f>INDEX('01_Вводные'!$B$63:$B$67,MIN(5,INT(22/12)+1),1)*X4</f>
        <v/>
      </c>
      <c r="Y6" s="139">
        <f>INDEX('01_Вводные'!$B$63:$B$67,MIN(5,INT(23/12)+1),1)*Y4</f>
        <v/>
      </c>
      <c r="Z6" s="139">
        <f>INDEX('01_Вводные'!$B$63:$B$67,MIN(5,INT(24/12)+1),1)*Z4</f>
        <v/>
      </c>
      <c r="AA6" s="139">
        <f>INDEX('01_Вводные'!$B$63:$B$67,MIN(5,INT(25/12)+1),1)*AA4</f>
        <v/>
      </c>
      <c r="AB6" s="139">
        <f>INDEX('01_Вводные'!$B$63:$B$67,MIN(5,INT(26/12)+1),1)*AB4</f>
        <v/>
      </c>
      <c r="AC6" s="139">
        <f>INDEX('01_Вводные'!$B$63:$B$67,MIN(5,INT(27/12)+1),1)*AC4</f>
        <v/>
      </c>
      <c r="AD6" s="139">
        <f>INDEX('01_Вводные'!$B$63:$B$67,MIN(5,INT(28/12)+1),1)*AD4</f>
        <v/>
      </c>
      <c r="AE6" s="139">
        <f>INDEX('01_Вводные'!$B$63:$B$67,MIN(5,INT(29/12)+1),1)*AE4</f>
        <v/>
      </c>
      <c r="AF6" s="139">
        <f>INDEX('01_Вводные'!$B$63:$B$67,MIN(5,INT(30/12)+1),1)*AF4</f>
        <v/>
      </c>
      <c r="AG6" s="139">
        <f>INDEX('01_Вводные'!$B$63:$B$67,MIN(5,INT(31/12)+1),1)*AG4</f>
        <v/>
      </c>
      <c r="AH6" s="139">
        <f>INDEX('01_Вводные'!$B$63:$B$67,MIN(5,INT(32/12)+1),1)*AH4</f>
        <v/>
      </c>
      <c r="AI6" s="139">
        <f>INDEX('01_Вводные'!$B$63:$B$67,MIN(5,INT(33/12)+1),1)*AI4</f>
        <v/>
      </c>
      <c r="AJ6" s="139">
        <f>INDEX('01_Вводные'!$B$63:$B$67,MIN(5,INT(34/12)+1),1)*AJ4</f>
        <v/>
      </c>
      <c r="AK6" s="139">
        <f>INDEX('01_Вводные'!$B$63:$B$67,MIN(5,INT(35/12)+1),1)*AK4</f>
        <v/>
      </c>
      <c r="AL6" s="139">
        <f>INDEX('01_Вводные'!$B$63:$B$67,MIN(5,INT(36/12)+1),1)*AL4</f>
        <v/>
      </c>
      <c r="AM6" s="139">
        <f>INDEX('01_Вводные'!$B$63:$B$67,MIN(5,INT(37/12)+1),1)*AM4</f>
        <v/>
      </c>
      <c r="AN6" s="139">
        <f>INDEX('01_Вводные'!$B$63:$B$67,MIN(5,INT(38/12)+1),1)*AN4</f>
        <v/>
      </c>
      <c r="AO6" s="139">
        <f>INDEX('01_Вводные'!$B$63:$B$67,MIN(5,INT(39/12)+1),1)*AO4</f>
        <v/>
      </c>
      <c r="AP6" s="139">
        <f>INDEX('01_Вводные'!$B$63:$B$67,MIN(5,INT(40/12)+1),1)*AP4</f>
        <v/>
      </c>
      <c r="AQ6" s="139">
        <f>INDEX('01_Вводные'!$B$63:$B$67,MIN(5,INT(41/12)+1),1)*AQ4</f>
        <v/>
      </c>
      <c r="AR6" s="139">
        <f>INDEX('01_Вводные'!$B$63:$B$67,MIN(5,INT(42/12)+1),1)*AR4</f>
        <v/>
      </c>
      <c r="AS6" s="139">
        <f>INDEX('01_Вводные'!$B$63:$B$67,MIN(5,INT(43/12)+1),1)*AS4</f>
        <v/>
      </c>
      <c r="AT6" s="139">
        <f>INDEX('01_Вводные'!$B$63:$B$67,MIN(5,INT(44/12)+1),1)*AT4</f>
        <v/>
      </c>
      <c r="AU6" s="139">
        <f>INDEX('01_Вводные'!$B$63:$B$67,MIN(5,INT(45/12)+1),1)*AU4</f>
        <v/>
      </c>
      <c r="AV6" s="139">
        <f>INDEX('01_Вводные'!$B$63:$B$67,MIN(5,INT(46/12)+1),1)*AV4</f>
        <v/>
      </c>
      <c r="AW6" s="139">
        <f>INDEX('01_Вводные'!$B$63:$B$67,MIN(5,INT(47/12)+1),1)*AW4</f>
        <v/>
      </c>
      <c r="AX6" s="139">
        <f>INDEX('01_Вводные'!$B$63:$B$67,MIN(5,INT(48/12)+1),1)*AX4</f>
        <v/>
      </c>
      <c r="AY6" s="139">
        <f>INDEX('01_Вводные'!$B$63:$B$67,MIN(5,INT(49/12)+1),1)*AY4</f>
        <v/>
      </c>
      <c r="AZ6" s="139">
        <f>INDEX('01_Вводные'!$B$63:$B$67,MIN(5,INT(50/12)+1),1)*AZ4</f>
        <v/>
      </c>
      <c r="BA6" s="139">
        <f>INDEX('01_Вводные'!$B$63:$B$67,MIN(5,INT(51/12)+1),1)*BA4</f>
        <v/>
      </c>
      <c r="BB6" s="139">
        <f>INDEX('01_Вводные'!$B$63:$B$67,MIN(5,INT(52/12)+1),1)*BB4</f>
        <v/>
      </c>
      <c r="BC6" s="139">
        <f>INDEX('01_Вводные'!$B$63:$B$67,MIN(5,INT(53/12)+1),1)*BC4</f>
        <v/>
      </c>
      <c r="BD6" s="139">
        <f>INDEX('01_Вводные'!$B$63:$B$67,MIN(5,INT(54/12)+1),1)*BD4</f>
        <v/>
      </c>
      <c r="BE6" s="139">
        <f>INDEX('01_Вводные'!$B$63:$B$67,MIN(5,INT(55/12)+1),1)*BE4</f>
        <v/>
      </c>
      <c r="BF6" s="139">
        <f>INDEX('01_Вводные'!$B$63:$B$67,MIN(5,INT(56/12)+1),1)*BF4</f>
        <v/>
      </c>
      <c r="BG6" s="139">
        <f>INDEX('01_Вводные'!$B$63:$B$67,MIN(5,INT(57/12)+1),1)*BG4</f>
        <v/>
      </c>
      <c r="BH6" s="139">
        <f>INDEX('01_Вводные'!$B$63:$B$67,MIN(5,INT(58/12)+1),1)*BH4</f>
        <v/>
      </c>
      <c r="BI6" s="139">
        <f>INDEX('01_Вводные'!$B$63:$B$67,MIN(5,INT(59/12)+1),1)*BI4</f>
        <v/>
      </c>
      <c r="BJ6" s="139">
        <f>INDEX('01_Вводные'!$B$63:$B$67,MIN(5,INT(60/12)+1),1)*BJ4</f>
        <v/>
      </c>
      <c r="BK6" s="139">
        <f>INDEX('01_Вводные'!$B$63:$B$67,MIN(5,INT(61/12)+1),1)*BK4</f>
        <v/>
      </c>
      <c r="BL6" s="139">
        <f>INDEX('01_Вводные'!$B$63:$B$67,MIN(5,INT(62/12)+1),1)*BL4</f>
        <v/>
      </c>
      <c r="BM6" s="139">
        <f>INDEX('01_Вводные'!$B$63:$B$67,MIN(5,INT(63/12)+1),1)*BM4</f>
        <v/>
      </c>
      <c r="BN6" s="139">
        <f>INDEX('01_Вводные'!$B$63:$B$67,MIN(5,INT(64/12)+1),1)*BN4</f>
        <v/>
      </c>
      <c r="BO6" s="139">
        <f>INDEX('01_Вводные'!$B$63:$B$67,MIN(5,INT(65/12)+1),1)*BO4</f>
        <v/>
      </c>
    </row>
    <row r="7">
      <c r="A7" s="137" t="inlineStr">
        <is>
          <t>Абонемент новой школы</t>
        </is>
      </c>
      <c r="B7" s="139">
        <f>INDEX('01_Вводные'!$C$63:$C$67,MIN(5,INT(0/12)+1),1)*B4</f>
        <v/>
      </c>
      <c r="C7" s="139">
        <f>INDEX('01_Вводные'!$C$63:$C$67,MIN(5,INT(1/12)+1),1)*C4</f>
        <v/>
      </c>
      <c r="D7" s="139">
        <f>INDEX('01_Вводные'!$C$63:$C$67,MIN(5,INT(2/12)+1),1)*D4</f>
        <v/>
      </c>
      <c r="E7" s="139">
        <f>INDEX('01_Вводные'!$C$63:$C$67,MIN(5,INT(3/12)+1),1)*E4</f>
        <v/>
      </c>
      <c r="F7" s="139">
        <f>INDEX('01_Вводные'!$C$63:$C$67,MIN(5,INT(4/12)+1),1)*F4</f>
        <v/>
      </c>
      <c r="G7" s="139">
        <f>INDEX('01_Вводные'!$C$63:$C$67,MIN(5,INT(5/12)+1),1)*G4</f>
        <v/>
      </c>
      <c r="H7" s="139">
        <f>INDEX('01_Вводные'!$C$63:$C$67,MIN(5,INT(6/12)+1),1)*H4</f>
        <v/>
      </c>
      <c r="I7" s="139">
        <f>INDEX('01_Вводные'!$C$63:$C$67,MIN(5,INT(7/12)+1),1)*I4</f>
        <v/>
      </c>
      <c r="J7" s="139">
        <f>INDEX('01_Вводные'!$C$63:$C$67,MIN(5,INT(8/12)+1),1)*J4</f>
        <v/>
      </c>
      <c r="K7" s="139">
        <f>INDEX('01_Вводные'!$C$63:$C$67,MIN(5,INT(9/12)+1),1)*K4</f>
        <v/>
      </c>
      <c r="L7" s="139">
        <f>INDEX('01_Вводные'!$C$63:$C$67,MIN(5,INT(10/12)+1),1)*L4</f>
        <v/>
      </c>
      <c r="M7" s="139">
        <f>INDEX('01_Вводные'!$C$63:$C$67,MIN(5,INT(11/12)+1),1)*M4</f>
        <v/>
      </c>
      <c r="N7" s="139">
        <f>INDEX('01_Вводные'!$C$63:$C$67,MIN(5,INT(12/12)+1),1)*N4</f>
        <v/>
      </c>
      <c r="O7" s="139">
        <f>INDEX('01_Вводные'!$C$63:$C$67,MIN(5,INT(13/12)+1),1)*O4</f>
        <v/>
      </c>
      <c r="P7" s="139">
        <f>INDEX('01_Вводные'!$C$63:$C$67,MIN(5,INT(14/12)+1),1)*P4</f>
        <v/>
      </c>
      <c r="Q7" s="139">
        <f>INDEX('01_Вводные'!$C$63:$C$67,MIN(5,INT(15/12)+1),1)*Q4</f>
        <v/>
      </c>
      <c r="R7" s="139">
        <f>INDEX('01_Вводные'!$C$63:$C$67,MIN(5,INT(16/12)+1),1)*R4</f>
        <v/>
      </c>
      <c r="S7" s="139">
        <f>INDEX('01_Вводные'!$C$63:$C$67,MIN(5,INT(17/12)+1),1)*S4</f>
        <v/>
      </c>
      <c r="T7" s="139">
        <f>INDEX('01_Вводные'!$C$63:$C$67,MIN(5,INT(18/12)+1),1)*T4</f>
        <v/>
      </c>
      <c r="U7" s="139">
        <f>INDEX('01_Вводные'!$C$63:$C$67,MIN(5,INT(19/12)+1),1)*U4</f>
        <v/>
      </c>
      <c r="V7" s="139">
        <f>INDEX('01_Вводные'!$C$63:$C$67,MIN(5,INT(20/12)+1),1)*V4</f>
        <v/>
      </c>
      <c r="W7" s="139">
        <f>INDEX('01_Вводные'!$C$63:$C$67,MIN(5,INT(21/12)+1),1)*W4</f>
        <v/>
      </c>
      <c r="X7" s="139">
        <f>INDEX('01_Вводные'!$C$63:$C$67,MIN(5,INT(22/12)+1),1)*X4</f>
        <v/>
      </c>
      <c r="Y7" s="139">
        <f>INDEX('01_Вводные'!$C$63:$C$67,MIN(5,INT(23/12)+1),1)*Y4</f>
        <v/>
      </c>
      <c r="Z7" s="139">
        <f>INDEX('01_Вводные'!$C$63:$C$67,MIN(5,INT(24/12)+1),1)*Z4</f>
        <v/>
      </c>
      <c r="AA7" s="139">
        <f>INDEX('01_Вводные'!$C$63:$C$67,MIN(5,INT(25/12)+1),1)*AA4</f>
        <v/>
      </c>
      <c r="AB7" s="139">
        <f>INDEX('01_Вводные'!$C$63:$C$67,MIN(5,INT(26/12)+1),1)*AB4</f>
        <v/>
      </c>
      <c r="AC7" s="139">
        <f>INDEX('01_Вводные'!$C$63:$C$67,MIN(5,INT(27/12)+1),1)*AC4</f>
        <v/>
      </c>
      <c r="AD7" s="139">
        <f>INDEX('01_Вводные'!$C$63:$C$67,MIN(5,INT(28/12)+1),1)*AD4</f>
        <v/>
      </c>
      <c r="AE7" s="139">
        <f>INDEX('01_Вводные'!$C$63:$C$67,MIN(5,INT(29/12)+1),1)*AE4</f>
        <v/>
      </c>
      <c r="AF7" s="139">
        <f>INDEX('01_Вводные'!$C$63:$C$67,MIN(5,INT(30/12)+1),1)*AF4</f>
        <v/>
      </c>
      <c r="AG7" s="139">
        <f>INDEX('01_Вводные'!$C$63:$C$67,MIN(5,INT(31/12)+1),1)*AG4</f>
        <v/>
      </c>
      <c r="AH7" s="139">
        <f>INDEX('01_Вводные'!$C$63:$C$67,MIN(5,INT(32/12)+1),1)*AH4</f>
        <v/>
      </c>
      <c r="AI7" s="139">
        <f>INDEX('01_Вводные'!$C$63:$C$67,MIN(5,INT(33/12)+1),1)*AI4</f>
        <v/>
      </c>
      <c r="AJ7" s="139">
        <f>INDEX('01_Вводные'!$C$63:$C$67,MIN(5,INT(34/12)+1),1)*AJ4</f>
        <v/>
      </c>
      <c r="AK7" s="139">
        <f>INDEX('01_Вводные'!$C$63:$C$67,MIN(5,INT(35/12)+1),1)*AK4</f>
        <v/>
      </c>
      <c r="AL7" s="139">
        <f>INDEX('01_Вводные'!$C$63:$C$67,MIN(5,INT(36/12)+1),1)*AL4</f>
        <v/>
      </c>
      <c r="AM7" s="139">
        <f>INDEX('01_Вводные'!$C$63:$C$67,MIN(5,INT(37/12)+1),1)*AM4</f>
        <v/>
      </c>
      <c r="AN7" s="139">
        <f>INDEX('01_Вводные'!$C$63:$C$67,MIN(5,INT(38/12)+1),1)*AN4</f>
        <v/>
      </c>
      <c r="AO7" s="139">
        <f>INDEX('01_Вводные'!$C$63:$C$67,MIN(5,INT(39/12)+1),1)*AO4</f>
        <v/>
      </c>
      <c r="AP7" s="139">
        <f>INDEX('01_Вводные'!$C$63:$C$67,MIN(5,INT(40/12)+1),1)*AP4</f>
        <v/>
      </c>
      <c r="AQ7" s="139">
        <f>INDEX('01_Вводные'!$C$63:$C$67,MIN(5,INT(41/12)+1),1)*AQ4</f>
        <v/>
      </c>
      <c r="AR7" s="139">
        <f>INDEX('01_Вводные'!$C$63:$C$67,MIN(5,INT(42/12)+1),1)*AR4</f>
        <v/>
      </c>
      <c r="AS7" s="139">
        <f>INDEX('01_Вводные'!$C$63:$C$67,MIN(5,INT(43/12)+1),1)*AS4</f>
        <v/>
      </c>
      <c r="AT7" s="139">
        <f>INDEX('01_Вводные'!$C$63:$C$67,MIN(5,INT(44/12)+1),1)*AT4</f>
        <v/>
      </c>
      <c r="AU7" s="139">
        <f>INDEX('01_Вводные'!$C$63:$C$67,MIN(5,INT(45/12)+1),1)*AU4</f>
        <v/>
      </c>
      <c r="AV7" s="139">
        <f>INDEX('01_Вводные'!$C$63:$C$67,MIN(5,INT(46/12)+1),1)*AV4</f>
        <v/>
      </c>
      <c r="AW7" s="139">
        <f>INDEX('01_Вводные'!$C$63:$C$67,MIN(5,INT(47/12)+1),1)*AW4</f>
        <v/>
      </c>
      <c r="AX7" s="139">
        <f>INDEX('01_Вводные'!$C$63:$C$67,MIN(5,INT(48/12)+1),1)*AX4</f>
        <v/>
      </c>
      <c r="AY7" s="139">
        <f>INDEX('01_Вводные'!$C$63:$C$67,MIN(5,INT(49/12)+1),1)*AY4</f>
        <v/>
      </c>
      <c r="AZ7" s="139">
        <f>INDEX('01_Вводные'!$C$63:$C$67,MIN(5,INT(50/12)+1),1)*AZ4</f>
        <v/>
      </c>
      <c r="BA7" s="139">
        <f>INDEX('01_Вводные'!$C$63:$C$67,MIN(5,INT(51/12)+1),1)*BA4</f>
        <v/>
      </c>
      <c r="BB7" s="139">
        <f>INDEX('01_Вводные'!$C$63:$C$67,MIN(5,INT(52/12)+1),1)*BB4</f>
        <v/>
      </c>
      <c r="BC7" s="139">
        <f>INDEX('01_Вводные'!$C$63:$C$67,MIN(5,INT(53/12)+1),1)*BC4</f>
        <v/>
      </c>
      <c r="BD7" s="139">
        <f>INDEX('01_Вводные'!$C$63:$C$67,MIN(5,INT(54/12)+1),1)*BD4</f>
        <v/>
      </c>
      <c r="BE7" s="139">
        <f>INDEX('01_Вводные'!$C$63:$C$67,MIN(5,INT(55/12)+1),1)*BE4</f>
        <v/>
      </c>
      <c r="BF7" s="139">
        <f>INDEX('01_Вводные'!$C$63:$C$67,MIN(5,INT(56/12)+1),1)*BF4</f>
        <v/>
      </c>
      <c r="BG7" s="139">
        <f>INDEX('01_Вводные'!$C$63:$C$67,MIN(5,INT(57/12)+1),1)*BG4</f>
        <v/>
      </c>
      <c r="BH7" s="139">
        <f>INDEX('01_Вводные'!$C$63:$C$67,MIN(5,INT(58/12)+1),1)*BH4</f>
        <v/>
      </c>
      <c r="BI7" s="139">
        <f>INDEX('01_Вводные'!$C$63:$C$67,MIN(5,INT(59/12)+1),1)*BI4</f>
        <v/>
      </c>
      <c r="BJ7" s="139">
        <f>INDEX('01_Вводные'!$C$63:$C$67,MIN(5,INT(60/12)+1),1)*BJ4</f>
        <v/>
      </c>
      <c r="BK7" s="139">
        <f>INDEX('01_Вводные'!$C$63:$C$67,MIN(5,INT(61/12)+1),1)*BK4</f>
        <v/>
      </c>
      <c r="BL7" s="139">
        <f>INDEX('01_Вводные'!$C$63:$C$67,MIN(5,INT(62/12)+1),1)*BL4</f>
        <v/>
      </c>
      <c r="BM7" s="139">
        <f>INDEX('01_Вводные'!$C$63:$C$67,MIN(5,INT(63/12)+1),1)*BM4</f>
        <v/>
      </c>
      <c r="BN7" s="139">
        <f>INDEX('01_Вводные'!$C$63:$C$67,MIN(5,INT(64/12)+1),1)*BN4</f>
        <v/>
      </c>
      <c r="BO7" s="139">
        <f>INDEX('01_Вводные'!$C$63:$C$67,MIN(5,INT(65/12)+1),1)*BO4</f>
        <v/>
      </c>
    </row>
    <row r="8">
      <c r="A8" s="137" t="inlineStr">
        <is>
          <t>Абонемент действующей сети</t>
        </is>
      </c>
      <c r="B8" s="139">
        <f>'01_Вводные'!$B$51*B4</f>
        <v/>
      </c>
      <c r="C8" s="139">
        <f>'01_Вводные'!$B$51*C4</f>
        <v/>
      </c>
      <c r="D8" s="139">
        <f>'01_Вводные'!$B$51*D4</f>
        <v/>
      </c>
      <c r="E8" s="139">
        <f>'01_Вводные'!$B$51*E4</f>
        <v/>
      </c>
      <c r="F8" s="139">
        <f>'01_Вводные'!$B$51*F4</f>
        <v/>
      </c>
      <c r="G8" s="139">
        <f>'01_Вводные'!$B$51*G4</f>
        <v/>
      </c>
      <c r="H8" s="139">
        <f>'01_Вводные'!$B$51*H4</f>
        <v/>
      </c>
      <c r="I8" s="139">
        <f>'01_Вводные'!$B$51*I4</f>
        <v/>
      </c>
      <c r="J8" s="139">
        <f>'01_Вводные'!$B$51*J4</f>
        <v/>
      </c>
      <c r="K8" s="139">
        <f>'01_Вводные'!$B$51*K4</f>
        <v/>
      </c>
      <c r="L8" s="139">
        <f>'01_Вводные'!$B$51*L4</f>
        <v/>
      </c>
      <c r="M8" s="139">
        <f>'01_Вводные'!$B$51*M4</f>
        <v/>
      </c>
      <c r="N8" s="139">
        <f>'01_Вводные'!$B$51*N4</f>
        <v/>
      </c>
      <c r="O8" s="139">
        <f>'01_Вводные'!$B$51*O4</f>
        <v/>
      </c>
      <c r="P8" s="139">
        <f>'01_Вводные'!$B$51*P4</f>
        <v/>
      </c>
      <c r="Q8" s="139">
        <f>'01_Вводные'!$B$51*Q4</f>
        <v/>
      </c>
      <c r="R8" s="139">
        <f>'01_Вводные'!$B$51*R4</f>
        <v/>
      </c>
      <c r="S8" s="139">
        <f>'01_Вводные'!$B$51*S4</f>
        <v/>
      </c>
      <c r="T8" s="139">
        <f>'01_Вводные'!$B$51*T4</f>
        <v/>
      </c>
      <c r="U8" s="139">
        <f>'01_Вводные'!$B$51*U4</f>
        <v/>
      </c>
      <c r="V8" s="139">
        <f>'01_Вводные'!$B$51*V4</f>
        <v/>
      </c>
      <c r="W8" s="139">
        <f>'01_Вводные'!$B$51*W4</f>
        <v/>
      </c>
      <c r="X8" s="139">
        <f>'01_Вводные'!$B$51*X4</f>
        <v/>
      </c>
      <c r="Y8" s="139">
        <f>'01_Вводные'!$B$51*Y4</f>
        <v/>
      </c>
      <c r="Z8" s="139">
        <f>'01_Вводные'!$B$51*Z4</f>
        <v/>
      </c>
      <c r="AA8" s="139">
        <f>'01_Вводные'!$B$51*AA4</f>
        <v/>
      </c>
      <c r="AB8" s="139">
        <f>'01_Вводные'!$B$51*AB4</f>
        <v/>
      </c>
      <c r="AC8" s="139">
        <f>'01_Вводные'!$B$51*AC4</f>
        <v/>
      </c>
      <c r="AD8" s="139">
        <f>'01_Вводные'!$B$51*AD4</f>
        <v/>
      </c>
      <c r="AE8" s="139">
        <f>'01_Вводные'!$B$51*AE4</f>
        <v/>
      </c>
      <c r="AF8" s="139">
        <f>'01_Вводные'!$B$51*AF4</f>
        <v/>
      </c>
      <c r="AG8" s="139">
        <f>'01_Вводные'!$B$51*AG4</f>
        <v/>
      </c>
      <c r="AH8" s="139">
        <f>'01_Вводные'!$B$51*AH4</f>
        <v/>
      </c>
      <c r="AI8" s="139">
        <f>'01_Вводные'!$B$51*AI4</f>
        <v/>
      </c>
      <c r="AJ8" s="139">
        <f>'01_Вводные'!$B$51*AJ4</f>
        <v/>
      </c>
      <c r="AK8" s="139">
        <f>'01_Вводные'!$B$51*AK4</f>
        <v/>
      </c>
      <c r="AL8" s="139">
        <f>'01_Вводные'!$B$51*AL4</f>
        <v/>
      </c>
      <c r="AM8" s="139">
        <f>'01_Вводные'!$B$51*AM4</f>
        <v/>
      </c>
      <c r="AN8" s="139">
        <f>'01_Вводные'!$B$51*AN4</f>
        <v/>
      </c>
      <c r="AO8" s="139">
        <f>'01_Вводные'!$B$51*AO4</f>
        <v/>
      </c>
      <c r="AP8" s="139">
        <f>'01_Вводные'!$B$51*AP4</f>
        <v/>
      </c>
      <c r="AQ8" s="139">
        <f>'01_Вводные'!$B$51*AQ4</f>
        <v/>
      </c>
      <c r="AR8" s="139">
        <f>'01_Вводные'!$B$51*AR4</f>
        <v/>
      </c>
      <c r="AS8" s="139">
        <f>'01_Вводные'!$B$51*AS4</f>
        <v/>
      </c>
      <c r="AT8" s="139">
        <f>'01_Вводные'!$B$51*AT4</f>
        <v/>
      </c>
      <c r="AU8" s="139">
        <f>'01_Вводные'!$B$51*AU4</f>
        <v/>
      </c>
      <c r="AV8" s="139">
        <f>'01_Вводные'!$B$51*AV4</f>
        <v/>
      </c>
      <c r="AW8" s="139">
        <f>'01_Вводные'!$B$51*AW4</f>
        <v/>
      </c>
      <c r="AX8" s="139">
        <f>'01_Вводные'!$B$51*AX4</f>
        <v/>
      </c>
      <c r="AY8" s="139">
        <f>'01_Вводные'!$B$51*AY4</f>
        <v/>
      </c>
      <c r="AZ8" s="139">
        <f>'01_Вводные'!$B$51*AZ4</f>
        <v/>
      </c>
      <c r="BA8" s="139">
        <f>'01_Вводные'!$B$51*BA4</f>
        <v/>
      </c>
      <c r="BB8" s="139">
        <f>'01_Вводные'!$B$51*BB4</f>
        <v/>
      </c>
      <c r="BC8" s="139">
        <f>'01_Вводные'!$B$51*BC4</f>
        <v/>
      </c>
      <c r="BD8" s="139">
        <f>'01_Вводные'!$B$51*BD4</f>
        <v/>
      </c>
      <c r="BE8" s="139">
        <f>'01_Вводные'!$B$51*BE4</f>
        <v/>
      </c>
      <c r="BF8" s="139">
        <f>'01_Вводные'!$B$51*BF4</f>
        <v/>
      </c>
      <c r="BG8" s="139">
        <f>'01_Вводные'!$B$51*BG4</f>
        <v/>
      </c>
      <c r="BH8" s="139">
        <f>'01_Вводные'!$B$51*BH4</f>
        <v/>
      </c>
      <c r="BI8" s="139">
        <f>'01_Вводные'!$B$51*BI4</f>
        <v/>
      </c>
      <c r="BJ8" s="139">
        <f>'01_Вводные'!$B$51*BJ4</f>
        <v/>
      </c>
      <c r="BK8" s="139">
        <f>'01_Вводные'!$B$51*BK4</f>
        <v/>
      </c>
      <c r="BL8" s="139">
        <f>'01_Вводные'!$B$51*BL4</f>
        <v/>
      </c>
      <c r="BM8" s="139">
        <f>'01_Вводные'!$B$51*BM4</f>
        <v/>
      </c>
      <c r="BN8" s="139">
        <f>'01_Вводные'!$B$51*BN4</f>
        <v/>
      </c>
      <c r="BO8" s="139">
        <f>'01_Вводные'!$B$51*BO4</f>
        <v/>
      </c>
    </row>
    <row r="9">
      <c r="A9" s="137" t="inlineStr">
        <is>
          <t>Себестоимость комплекта</t>
        </is>
      </c>
      <c r="B9" s="139">
        <f>'01_Вводные'!$B$71*B4</f>
        <v/>
      </c>
      <c r="C9" s="139">
        <f>'01_Вводные'!$B$71*C4</f>
        <v/>
      </c>
      <c r="D9" s="139">
        <f>'01_Вводные'!$B$71*D4</f>
        <v/>
      </c>
      <c r="E9" s="139">
        <f>'01_Вводные'!$B$71*E4</f>
        <v/>
      </c>
      <c r="F9" s="139">
        <f>'01_Вводные'!$B$71*F4</f>
        <v/>
      </c>
      <c r="G9" s="139">
        <f>'01_Вводные'!$B$71*G4</f>
        <v/>
      </c>
      <c r="H9" s="139">
        <f>'01_Вводные'!$B$71*H4</f>
        <v/>
      </c>
      <c r="I9" s="139">
        <f>'01_Вводные'!$B$71*I4</f>
        <v/>
      </c>
      <c r="J9" s="139">
        <f>'01_Вводные'!$B$71*J4</f>
        <v/>
      </c>
      <c r="K9" s="139">
        <f>'01_Вводные'!$B$71*K4</f>
        <v/>
      </c>
      <c r="L9" s="139">
        <f>'01_Вводные'!$B$71*L4</f>
        <v/>
      </c>
      <c r="M9" s="139">
        <f>'01_Вводные'!$B$71*M4</f>
        <v/>
      </c>
      <c r="N9" s="139">
        <f>'01_Вводные'!$B$71*N4</f>
        <v/>
      </c>
      <c r="O9" s="139">
        <f>'01_Вводные'!$B$71*O4</f>
        <v/>
      </c>
      <c r="P9" s="139">
        <f>'01_Вводные'!$B$71*P4</f>
        <v/>
      </c>
      <c r="Q9" s="139">
        <f>'01_Вводные'!$B$71*Q4</f>
        <v/>
      </c>
      <c r="R9" s="139">
        <f>'01_Вводные'!$B$71*R4</f>
        <v/>
      </c>
      <c r="S9" s="139">
        <f>'01_Вводные'!$B$71*S4</f>
        <v/>
      </c>
      <c r="T9" s="139">
        <f>'01_Вводные'!$B$71*T4</f>
        <v/>
      </c>
      <c r="U9" s="139">
        <f>'01_Вводные'!$B$71*U4</f>
        <v/>
      </c>
      <c r="V9" s="139">
        <f>'01_Вводные'!$B$71*V4</f>
        <v/>
      </c>
      <c r="W9" s="139">
        <f>'01_Вводные'!$B$71*W4</f>
        <v/>
      </c>
      <c r="X9" s="139">
        <f>'01_Вводные'!$B$71*X4</f>
        <v/>
      </c>
      <c r="Y9" s="139">
        <f>'01_Вводные'!$B$71*Y4</f>
        <v/>
      </c>
      <c r="Z9" s="139">
        <f>'01_Вводные'!$B$71*Z4</f>
        <v/>
      </c>
      <c r="AA9" s="139">
        <f>'01_Вводные'!$B$71*AA4</f>
        <v/>
      </c>
      <c r="AB9" s="139">
        <f>'01_Вводные'!$B$71*AB4</f>
        <v/>
      </c>
      <c r="AC9" s="139">
        <f>'01_Вводные'!$B$71*AC4</f>
        <v/>
      </c>
      <c r="AD9" s="139">
        <f>'01_Вводные'!$B$71*AD4</f>
        <v/>
      </c>
      <c r="AE9" s="139">
        <f>'01_Вводные'!$B$71*AE4</f>
        <v/>
      </c>
      <c r="AF9" s="139">
        <f>'01_Вводные'!$B$71*AF4</f>
        <v/>
      </c>
      <c r="AG9" s="139">
        <f>'01_Вводные'!$B$71*AG4</f>
        <v/>
      </c>
      <c r="AH9" s="139">
        <f>'01_Вводные'!$B$71*AH4</f>
        <v/>
      </c>
      <c r="AI9" s="139">
        <f>'01_Вводные'!$B$71*AI4</f>
        <v/>
      </c>
      <c r="AJ9" s="139">
        <f>'01_Вводные'!$B$71*AJ4</f>
        <v/>
      </c>
      <c r="AK9" s="139">
        <f>'01_Вводные'!$B$71*AK4</f>
        <v/>
      </c>
      <c r="AL9" s="139">
        <f>'01_Вводные'!$B$71*AL4</f>
        <v/>
      </c>
      <c r="AM9" s="139">
        <f>'01_Вводные'!$B$71*AM4</f>
        <v/>
      </c>
      <c r="AN9" s="139">
        <f>'01_Вводные'!$B$71*AN4</f>
        <v/>
      </c>
      <c r="AO9" s="139">
        <f>'01_Вводные'!$B$71*AO4</f>
        <v/>
      </c>
      <c r="AP9" s="139">
        <f>'01_Вводные'!$B$71*AP4</f>
        <v/>
      </c>
      <c r="AQ9" s="139">
        <f>'01_Вводные'!$B$71*AQ4</f>
        <v/>
      </c>
      <c r="AR9" s="139">
        <f>'01_Вводные'!$B$71*AR4</f>
        <v/>
      </c>
      <c r="AS9" s="139">
        <f>'01_Вводные'!$B$71*AS4</f>
        <v/>
      </c>
      <c r="AT9" s="139">
        <f>'01_Вводные'!$B$71*AT4</f>
        <v/>
      </c>
      <c r="AU9" s="139">
        <f>'01_Вводные'!$B$71*AU4</f>
        <v/>
      </c>
      <c r="AV9" s="139">
        <f>'01_Вводные'!$B$71*AV4</f>
        <v/>
      </c>
      <c r="AW9" s="139">
        <f>'01_Вводные'!$B$71*AW4</f>
        <v/>
      </c>
      <c r="AX9" s="139">
        <f>'01_Вводные'!$B$71*AX4</f>
        <v/>
      </c>
      <c r="AY9" s="139">
        <f>'01_Вводные'!$B$71*AY4</f>
        <v/>
      </c>
      <c r="AZ9" s="139">
        <f>'01_Вводные'!$B$71*AZ4</f>
        <v/>
      </c>
      <c r="BA9" s="139">
        <f>'01_Вводные'!$B$71*BA4</f>
        <v/>
      </c>
      <c r="BB9" s="139">
        <f>'01_Вводные'!$B$71*BB4</f>
        <v/>
      </c>
      <c r="BC9" s="139">
        <f>'01_Вводные'!$B$71*BC4</f>
        <v/>
      </c>
      <c r="BD9" s="139">
        <f>'01_Вводные'!$B$71*BD4</f>
        <v/>
      </c>
      <c r="BE9" s="139">
        <f>'01_Вводные'!$B$71*BE4</f>
        <v/>
      </c>
      <c r="BF9" s="139">
        <f>'01_Вводные'!$B$71*BF4</f>
        <v/>
      </c>
      <c r="BG9" s="139">
        <f>'01_Вводные'!$B$71*BG4</f>
        <v/>
      </c>
      <c r="BH9" s="139">
        <f>'01_Вводные'!$B$71*BH4</f>
        <v/>
      </c>
      <c r="BI9" s="139">
        <f>'01_Вводные'!$B$71*BI4</f>
        <v/>
      </c>
      <c r="BJ9" s="139">
        <f>'01_Вводные'!$B$71*BJ4</f>
        <v/>
      </c>
      <c r="BK9" s="139">
        <f>'01_Вводные'!$B$71*BK4</f>
        <v/>
      </c>
      <c r="BL9" s="139">
        <f>'01_Вводные'!$B$71*BL4</f>
        <v/>
      </c>
      <c r="BM9" s="139">
        <f>'01_Вводные'!$B$71*BM4</f>
        <v/>
      </c>
      <c r="BN9" s="139">
        <f>'01_Вводные'!$B$71*BN4</f>
        <v/>
      </c>
      <c r="BO9" s="139">
        <f>'01_Вводные'!$B$71*BO4</f>
        <v/>
      </c>
    </row>
    <row r="10">
      <c r="A10" s="137" t="inlineStr">
        <is>
          <t>Цена комплекта</t>
        </is>
      </c>
      <c r="B10" s="139">
        <f>'01_Вводные'!$B$73*B4</f>
        <v/>
      </c>
      <c r="C10" s="139">
        <f>'01_Вводные'!$B$73*C4</f>
        <v/>
      </c>
      <c r="D10" s="139">
        <f>'01_Вводные'!$B$73*D4</f>
        <v/>
      </c>
      <c r="E10" s="139">
        <f>'01_Вводные'!$B$73*E4</f>
        <v/>
      </c>
      <c r="F10" s="139">
        <f>'01_Вводные'!$B$73*F4</f>
        <v/>
      </c>
      <c r="G10" s="139">
        <f>'01_Вводные'!$B$73*G4</f>
        <v/>
      </c>
      <c r="H10" s="139">
        <f>'01_Вводные'!$B$73*H4</f>
        <v/>
      </c>
      <c r="I10" s="139">
        <f>'01_Вводные'!$B$73*I4</f>
        <v/>
      </c>
      <c r="J10" s="139">
        <f>'01_Вводные'!$B$73*J4</f>
        <v/>
      </c>
      <c r="K10" s="139">
        <f>'01_Вводные'!$B$73*K4</f>
        <v/>
      </c>
      <c r="L10" s="139">
        <f>'01_Вводные'!$B$73*L4</f>
        <v/>
      </c>
      <c r="M10" s="139">
        <f>'01_Вводные'!$B$73*M4</f>
        <v/>
      </c>
      <c r="N10" s="139">
        <f>'01_Вводные'!$B$73*N4</f>
        <v/>
      </c>
      <c r="O10" s="139">
        <f>'01_Вводные'!$B$73*O4</f>
        <v/>
      </c>
      <c r="P10" s="139">
        <f>'01_Вводные'!$B$73*P4</f>
        <v/>
      </c>
      <c r="Q10" s="139">
        <f>'01_Вводные'!$B$73*Q4</f>
        <v/>
      </c>
      <c r="R10" s="139">
        <f>'01_Вводные'!$B$73*R4</f>
        <v/>
      </c>
      <c r="S10" s="139">
        <f>'01_Вводные'!$B$73*S4</f>
        <v/>
      </c>
      <c r="T10" s="139">
        <f>'01_Вводные'!$B$73*T4</f>
        <v/>
      </c>
      <c r="U10" s="139">
        <f>'01_Вводные'!$B$73*U4</f>
        <v/>
      </c>
      <c r="V10" s="139">
        <f>'01_Вводные'!$B$73*V4</f>
        <v/>
      </c>
      <c r="W10" s="139">
        <f>'01_Вводные'!$B$73*W4</f>
        <v/>
      </c>
      <c r="X10" s="139">
        <f>'01_Вводные'!$B$73*X4</f>
        <v/>
      </c>
      <c r="Y10" s="139">
        <f>'01_Вводные'!$B$73*Y4</f>
        <v/>
      </c>
      <c r="Z10" s="139">
        <f>'01_Вводные'!$B$73*Z4</f>
        <v/>
      </c>
      <c r="AA10" s="139">
        <f>'01_Вводные'!$B$73*AA4</f>
        <v/>
      </c>
      <c r="AB10" s="139">
        <f>'01_Вводные'!$B$73*AB4</f>
        <v/>
      </c>
      <c r="AC10" s="139">
        <f>'01_Вводные'!$B$73*AC4</f>
        <v/>
      </c>
      <c r="AD10" s="139">
        <f>'01_Вводные'!$B$73*AD4</f>
        <v/>
      </c>
      <c r="AE10" s="139">
        <f>'01_Вводные'!$B$73*AE4</f>
        <v/>
      </c>
      <c r="AF10" s="139">
        <f>'01_Вводные'!$B$73*AF4</f>
        <v/>
      </c>
      <c r="AG10" s="139">
        <f>'01_Вводные'!$B$73*AG4</f>
        <v/>
      </c>
      <c r="AH10" s="139">
        <f>'01_Вводные'!$B$73*AH4</f>
        <v/>
      </c>
      <c r="AI10" s="139">
        <f>'01_Вводные'!$B$73*AI4</f>
        <v/>
      </c>
      <c r="AJ10" s="139">
        <f>'01_Вводные'!$B$73*AJ4</f>
        <v/>
      </c>
      <c r="AK10" s="139">
        <f>'01_Вводные'!$B$73*AK4</f>
        <v/>
      </c>
      <c r="AL10" s="139">
        <f>'01_Вводные'!$B$73*AL4</f>
        <v/>
      </c>
      <c r="AM10" s="139">
        <f>'01_Вводные'!$B$73*AM4</f>
        <v/>
      </c>
      <c r="AN10" s="139">
        <f>'01_Вводные'!$B$73*AN4</f>
        <v/>
      </c>
      <c r="AO10" s="139">
        <f>'01_Вводные'!$B$73*AO4</f>
        <v/>
      </c>
      <c r="AP10" s="139">
        <f>'01_Вводные'!$B$73*AP4</f>
        <v/>
      </c>
      <c r="AQ10" s="139">
        <f>'01_Вводные'!$B$73*AQ4</f>
        <v/>
      </c>
      <c r="AR10" s="139">
        <f>'01_Вводные'!$B$73*AR4</f>
        <v/>
      </c>
      <c r="AS10" s="139">
        <f>'01_Вводные'!$B$73*AS4</f>
        <v/>
      </c>
      <c r="AT10" s="139">
        <f>'01_Вводные'!$B$73*AT4</f>
        <v/>
      </c>
      <c r="AU10" s="139">
        <f>'01_Вводные'!$B$73*AU4</f>
        <v/>
      </c>
      <c r="AV10" s="139">
        <f>'01_Вводные'!$B$73*AV4</f>
        <v/>
      </c>
      <c r="AW10" s="139">
        <f>'01_Вводные'!$B$73*AW4</f>
        <v/>
      </c>
      <c r="AX10" s="139">
        <f>'01_Вводные'!$B$73*AX4</f>
        <v/>
      </c>
      <c r="AY10" s="139">
        <f>'01_Вводные'!$B$73*AY4</f>
        <v/>
      </c>
      <c r="AZ10" s="139">
        <f>'01_Вводные'!$B$73*AZ4</f>
        <v/>
      </c>
      <c r="BA10" s="139">
        <f>'01_Вводные'!$B$73*BA4</f>
        <v/>
      </c>
      <c r="BB10" s="139">
        <f>'01_Вводные'!$B$73*BB4</f>
        <v/>
      </c>
      <c r="BC10" s="139">
        <f>'01_Вводные'!$B$73*BC4</f>
        <v/>
      </c>
      <c r="BD10" s="139">
        <f>'01_Вводные'!$B$73*BD4</f>
        <v/>
      </c>
      <c r="BE10" s="139">
        <f>'01_Вводные'!$B$73*BE4</f>
        <v/>
      </c>
      <c r="BF10" s="139">
        <f>'01_Вводные'!$B$73*BF4</f>
        <v/>
      </c>
      <c r="BG10" s="139">
        <f>'01_Вводные'!$B$73*BG4</f>
        <v/>
      </c>
      <c r="BH10" s="139">
        <f>'01_Вводные'!$B$73*BH4</f>
        <v/>
      </c>
      <c r="BI10" s="139">
        <f>'01_Вводные'!$B$73*BI4</f>
        <v/>
      </c>
      <c r="BJ10" s="139">
        <f>'01_Вводные'!$B$73*BJ4</f>
        <v/>
      </c>
      <c r="BK10" s="139">
        <f>'01_Вводные'!$B$73*BK4</f>
        <v/>
      </c>
      <c r="BL10" s="139">
        <f>'01_Вводные'!$B$73*BL4</f>
        <v/>
      </c>
      <c r="BM10" s="139">
        <f>'01_Вводные'!$B$73*BM4</f>
        <v/>
      </c>
      <c r="BN10" s="139">
        <f>'01_Вводные'!$B$73*BN4</f>
        <v/>
      </c>
      <c r="BO10" s="139">
        <f>'01_Вводные'!$B$73*BO4</f>
        <v/>
      </c>
    </row>
    <row r="11">
      <c r="A11" s="137" t="inlineStr">
        <is>
          <t>Таргет на продажу</t>
        </is>
      </c>
      <c r="B11" s="139">
        <f>'01_Вводные'!$B$26*B4</f>
        <v/>
      </c>
      <c r="C11" s="139">
        <f>'01_Вводные'!$B$26*C4</f>
        <v/>
      </c>
      <c r="D11" s="139">
        <f>'01_Вводные'!$B$26*D4</f>
        <v/>
      </c>
      <c r="E11" s="139">
        <f>'01_Вводные'!$B$26*E4</f>
        <v/>
      </c>
      <c r="F11" s="139">
        <f>'01_Вводные'!$B$26*F4</f>
        <v/>
      </c>
      <c r="G11" s="139">
        <f>'01_Вводные'!$B$26*G4</f>
        <v/>
      </c>
      <c r="H11" s="139">
        <f>'01_Вводные'!$B$26*H4</f>
        <v/>
      </c>
      <c r="I11" s="139">
        <f>'01_Вводные'!$B$26*I4</f>
        <v/>
      </c>
      <c r="J11" s="139">
        <f>'01_Вводные'!$B$26*J4</f>
        <v/>
      </c>
      <c r="K11" s="139">
        <f>'01_Вводные'!$B$26*K4</f>
        <v/>
      </c>
      <c r="L11" s="139">
        <f>'01_Вводные'!$B$26*L4</f>
        <v/>
      </c>
      <c r="M11" s="139">
        <f>'01_Вводные'!$B$26*M4</f>
        <v/>
      </c>
      <c r="N11" s="139">
        <f>'01_Вводные'!$B$26*N4</f>
        <v/>
      </c>
      <c r="O11" s="139">
        <f>'01_Вводные'!$B$26*O4</f>
        <v/>
      </c>
      <c r="P11" s="139">
        <f>'01_Вводные'!$B$26*P4</f>
        <v/>
      </c>
      <c r="Q11" s="139">
        <f>'01_Вводные'!$B$26*Q4</f>
        <v/>
      </c>
      <c r="R11" s="139">
        <f>'01_Вводные'!$B$26*R4</f>
        <v/>
      </c>
      <c r="S11" s="139">
        <f>'01_Вводные'!$B$26*S4</f>
        <v/>
      </c>
      <c r="T11" s="139">
        <f>'01_Вводные'!$B$26*T4</f>
        <v/>
      </c>
      <c r="U11" s="139">
        <f>'01_Вводные'!$B$26*U4</f>
        <v/>
      </c>
      <c r="V11" s="139">
        <f>'01_Вводные'!$B$26*V4</f>
        <v/>
      </c>
      <c r="W11" s="139">
        <f>'01_Вводные'!$B$26*W4</f>
        <v/>
      </c>
      <c r="X11" s="139">
        <f>'01_Вводные'!$B$26*X4</f>
        <v/>
      </c>
      <c r="Y11" s="139">
        <f>'01_Вводные'!$B$26*Y4</f>
        <v/>
      </c>
      <c r="Z11" s="139">
        <f>'01_Вводные'!$B$26*Z4</f>
        <v/>
      </c>
      <c r="AA11" s="139">
        <f>'01_Вводные'!$B$26*AA4</f>
        <v/>
      </c>
      <c r="AB11" s="139">
        <f>'01_Вводные'!$B$26*AB4</f>
        <v/>
      </c>
      <c r="AC11" s="139">
        <f>'01_Вводные'!$B$26*AC4</f>
        <v/>
      </c>
      <c r="AD11" s="139">
        <f>'01_Вводные'!$B$26*AD4</f>
        <v/>
      </c>
      <c r="AE11" s="139">
        <f>'01_Вводные'!$B$26*AE4</f>
        <v/>
      </c>
      <c r="AF11" s="139">
        <f>'01_Вводные'!$B$26*AF4</f>
        <v/>
      </c>
      <c r="AG11" s="139">
        <f>'01_Вводные'!$B$26*AG4</f>
        <v/>
      </c>
      <c r="AH11" s="139">
        <f>'01_Вводные'!$B$26*AH4</f>
        <v/>
      </c>
      <c r="AI11" s="139">
        <f>'01_Вводные'!$B$26*AI4</f>
        <v/>
      </c>
      <c r="AJ11" s="139">
        <f>'01_Вводные'!$B$26*AJ4</f>
        <v/>
      </c>
      <c r="AK11" s="139">
        <f>'01_Вводные'!$B$26*AK4</f>
        <v/>
      </c>
      <c r="AL11" s="139">
        <f>'01_Вводные'!$B$26*AL4</f>
        <v/>
      </c>
      <c r="AM11" s="139">
        <f>'01_Вводные'!$B$26*AM4</f>
        <v/>
      </c>
      <c r="AN11" s="139">
        <f>'01_Вводные'!$B$26*AN4</f>
        <v/>
      </c>
      <c r="AO11" s="139">
        <f>'01_Вводные'!$B$26*AO4</f>
        <v/>
      </c>
      <c r="AP11" s="139">
        <f>'01_Вводные'!$B$26*AP4</f>
        <v/>
      </c>
      <c r="AQ11" s="139">
        <f>'01_Вводные'!$B$26*AQ4</f>
        <v/>
      </c>
      <c r="AR11" s="139">
        <f>'01_Вводные'!$B$26*AR4</f>
        <v/>
      </c>
      <c r="AS11" s="139">
        <f>'01_Вводные'!$B$26*AS4</f>
        <v/>
      </c>
      <c r="AT11" s="139">
        <f>'01_Вводные'!$B$26*AT4</f>
        <v/>
      </c>
      <c r="AU11" s="139">
        <f>'01_Вводные'!$B$26*AU4</f>
        <v/>
      </c>
      <c r="AV11" s="139">
        <f>'01_Вводные'!$B$26*AV4</f>
        <v/>
      </c>
      <c r="AW11" s="139">
        <f>'01_Вводные'!$B$26*AW4</f>
        <v/>
      </c>
      <c r="AX11" s="139">
        <f>'01_Вводные'!$B$26*AX4</f>
        <v/>
      </c>
      <c r="AY11" s="139">
        <f>'01_Вводные'!$B$26*AY4</f>
        <v/>
      </c>
      <c r="AZ11" s="139">
        <f>'01_Вводные'!$B$26*AZ4</f>
        <v/>
      </c>
      <c r="BA11" s="139">
        <f>'01_Вводные'!$B$26*BA4</f>
        <v/>
      </c>
      <c r="BB11" s="139">
        <f>'01_Вводные'!$B$26*BB4</f>
        <v/>
      </c>
      <c r="BC11" s="139">
        <f>'01_Вводные'!$B$26*BC4</f>
        <v/>
      </c>
      <c r="BD11" s="139">
        <f>'01_Вводные'!$B$26*BD4</f>
        <v/>
      </c>
      <c r="BE11" s="139">
        <f>'01_Вводные'!$B$26*BE4</f>
        <v/>
      </c>
      <c r="BF11" s="139">
        <f>'01_Вводные'!$B$26*BF4</f>
        <v/>
      </c>
      <c r="BG11" s="139">
        <f>'01_Вводные'!$B$26*BG4</f>
        <v/>
      </c>
      <c r="BH11" s="139">
        <f>'01_Вводные'!$B$26*BH4</f>
        <v/>
      </c>
      <c r="BI11" s="139">
        <f>'01_Вводные'!$B$26*BI4</f>
        <v/>
      </c>
      <c r="BJ11" s="139">
        <f>'01_Вводные'!$B$26*BJ4</f>
        <v/>
      </c>
      <c r="BK11" s="139">
        <f>'01_Вводные'!$B$26*BK4</f>
        <v/>
      </c>
      <c r="BL11" s="139">
        <f>'01_Вводные'!$B$26*BL4</f>
        <v/>
      </c>
      <c r="BM11" s="139">
        <f>'01_Вводные'!$B$26*BM4</f>
        <v/>
      </c>
      <c r="BN11" s="139">
        <f>'01_Вводные'!$B$26*BN4</f>
        <v/>
      </c>
      <c r="BO11" s="139">
        <f>'01_Вводные'!$B$26*BO4</f>
        <v/>
      </c>
    </row>
    <row r="12">
      <c r="B12" s="140" t="n"/>
      <c r="C12" s="140" t="n"/>
      <c r="D12" s="140" t="n"/>
      <c r="E12" s="140" t="n"/>
      <c r="F12" s="140" t="n"/>
      <c r="G12" s="140" t="n"/>
      <c r="H12" s="140" t="n"/>
      <c r="I12" s="140" t="n"/>
      <c r="J12" s="140" t="n"/>
      <c r="K12" s="140" t="n"/>
      <c r="L12" s="140" t="n"/>
      <c r="M12" s="140" t="n"/>
      <c r="N12" s="140" t="n"/>
      <c r="O12" s="140" t="n"/>
      <c r="P12" s="140" t="n"/>
      <c r="Q12" s="140" t="n"/>
      <c r="R12" s="140" t="n"/>
      <c r="S12" s="140" t="n"/>
      <c r="T12" s="140" t="n"/>
      <c r="U12" s="140" t="n"/>
      <c r="V12" s="140" t="n"/>
      <c r="W12" s="140" t="n"/>
      <c r="X12" s="140" t="n"/>
      <c r="Y12" s="140" t="n"/>
      <c r="Z12" s="140" t="n"/>
      <c r="AA12" s="140" t="n"/>
      <c r="AB12" s="140" t="n"/>
      <c r="AC12" s="140" t="n"/>
      <c r="AD12" s="140" t="n"/>
      <c r="AE12" s="140" t="n"/>
      <c r="AF12" s="140" t="n"/>
      <c r="AG12" s="140" t="n"/>
      <c r="AH12" s="140" t="n"/>
      <c r="AI12" s="140" t="n"/>
      <c r="AJ12" s="140" t="n"/>
      <c r="AK12" s="140" t="n"/>
      <c r="AL12" s="140" t="n"/>
      <c r="AM12" s="140" t="n"/>
      <c r="AN12" s="140" t="n"/>
      <c r="AO12" s="140" t="n"/>
      <c r="AP12" s="140" t="n"/>
      <c r="AQ12" s="140" t="n"/>
      <c r="AR12" s="140" t="n"/>
      <c r="AS12" s="140" t="n"/>
      <c r="AT12" s="140" t="n"/>
      <c r="AU12" s="140" t="n"/>
      <c r="AV12" s="140" t="n"/>
      <c r="AW12" s="140" t="n"/>
      <c r="AX12" s="140" t="n"/>
      <c r="AY12" s="140" t="n"/>
      <c r="AZ12" s="140" t="n"/>
      <c r="BA12" s="140" t="n"/>
      <c r="BB12" s="140" t="n"/>
      <c r="BC12" s="140" t="n"/>
      <c r="BD12" s="140" t="n"/>
      <c r="BE12" s="140" t="n"/>
      <c r="BF12" s="140" t="n"/>
      <c r="BG12" s="140" t="n"/>
      <c r="BH12" s="140" t="n"/>
      <c r="BI12" s="140" t="n"/>
      <c r="BJ12" s="140" t="n"/>
      <c r="BK12" s="140" t="n"/>
      <c r="BL12" s="140" t="n"/>
      <c r="BM12" s="140" t="n"/>
      <c r="BN12" s="140" t="n"/>
      <c r="BO12" s="140" t="n"/>
    </row>
    <row r="13">
      <c r="A13" s="137" t="inlineStr">
        <is>
          <t>SMM-подрядчики</t>
        </is>
      </c>
      <c r="B13" s="139">
        <f>IF(B$3&lt;'01_Вводные'!$B$248,'01_Вводные'!$B$111*B4,'01_Вводные'!$B$112*B4/$B$16)</f>
        <v/>
      </c>
      <c r="C13" s="139">
        <f>IF(C$3&lt;'01_Вводные'!$B$248,'01_Вводные'!$B$111*C4,'01_Вводные'!$B$112*C4/$B$16)</f>
        <v/>
      </c>
      <c r="D13" s="139">
        <f>IF(D$3&lt;'01_Вводные'!$B$248,'01_Вводные'!$B$111*D4,'01_Вводные'!$B$112*D4/$B$16)</f>
        <v/>
      </c>
      <c r="E13" s="139">
        <f>IF(E$3&lt;'01_Вводные'!$B$248,'01_Вводные'!$B$111*E4,'01_Вводные'!$B$112*E4/$B$16)</f>
        <v/>
      </c>
      <c r="F13" s="139">
        <f>IF(F$3&lt;'01_Вводные'!$B$248,'01_Вводные'!$B$111*F4,'01_Вводные'!$B$112*F4/$B$16)</f>
        <v/>
      </c>
      <c r="G13" s="139">
        <f>IF(G$3&lt;'01_Вводные'!$B$248,'01_Вводные'!$B$111*G4,'01_Вводные'!$B$112*G4/$B$16)</f>
        <v/>
      </c>
      <c r="H13" s="139">
        <f>IF(H$3&lt;'01_Вводные'!$B$248,'01_Вводные'!$B$111*H4,'01_Вводные'!$B$112*H4/$B$16)</f>
        <v/>
      </c>
      <c r="I13" s="139">
        <f>IF(I$3&lt;'01_Вводные'!$B$248,'01_Вводные'!$B$111*I4,'01_Вводные'!$B$112*I4/$B$16)</f>
        <v/>
      </c>
      <c r="J13" s="139">
        <f>IF(J$3&lt;'01_Вводные'!$B$248,'01_Вводные'!$B$111*J4,'01_Вводные'!$B$112*J4/$B$16)</f>
        <v/>
      </c>
      <c r="K13" s="139">
        <f>IF(K$3&lt;'01_Вводные'!$B$248,'01_Вводные'!$B$111*K4,'01_Вводные'!$B$112*K4/$B$16)</f>
        <v/>
      </c>
      <c r="L13" s="139">
        <f>IF(L$3&lt;'01_Вводные'!$B$248,'01_Вводные'!$B$111*L4,'01_Вводные'!$B$112*L4/$B$16)</f>
        <v/>
      </c>
      <c r="M13" s="139">
        <f>IF(M$3&lt;'01_Вводные'!$B$248,'01_Вводные'!$B$111*M4,'01_Вводные'!$B$112*M4/$B$16)</f>
        <v/>
      </c>
      <c r="N13" s="139">
        <f>IF(N$3&lt;'01_Вводные'!$B$248,'01_Вводные'!$B$111*N4,'01_Вводные'!$B$112*N4/$B$16)</f>
        <v/>
      </c>
      <c r="O13" s="139">
        <f>IF(O$3&lt;'01_Вводные'!$B$248,'01_Вводные'!$B$111*O4,'01_Вводные'!$B$112*O4/$B$16)</f>
        <v/>
      </c>
      <c r="P13" s="139">
        <f>IF(P$3&lt;'01_Вводные'!$B$248,'01_Вводные'!$B$111*P4,'01_Вводные'!$B$112*P4/$B$16)</f>
        <v/>
      </c>
      <c r="Q13" s="139">
        <f>IF(Q$3&lt;'01_Вводные'!$B$248,'01_Вводные'!$B$111*Q4,'01_Вводные'!$B$112*Q4/$B$16)</f>
        <v/>
      </c>
      <c r="R13" s="139">
        <f>IF(R$3&lt;'01_Вводные'!$B$248,'01_Вводные'!$B$111*R4,'01_Вводные'!$B$112*R4/$B$16)</f>
        <v/>
      </c>
      <c r="S13" s="139">
        <f>IF(S$3&lt;'01_Вводные'!$B$248,'01_Вводные'!$B$111*S4,'01_Вводные'!$B$112*S4/$B$16)</f>
        <v/>
      </c>
      <c r="T13" s="139">
        <f>IF(T$3&lt;'01_Вводные'!$B$248,'01_Вводные'!$B$111*T4,'01_Вводные'!$B$112*T4/$B$16)</f>
        <v/>
      </c>
      <c r="U13" s="139">
        <f>IF(U$3&lt;'01_Вводные'!$B$248,'01_Вводные'!$B$111*U4,'01_Вводные'!$B$112*U4/$B$16)</f>
        <v/>
      </c>
      <c r="V13" s="139">
        <f>IF(V$3&lt;'01_Вводные'!$B$248,'01_Вводные'!$B$111*V4,'01_Вводные'!$B$112*V4/$B$16)</f>
        <v/>
      </c>
      <c r="W13" s="139">
        <f>IF(W$3&lt;'01_Вводные'!$B$248,'01_Вводные'!$B$111*W4,'01_Вводные'!$B$112*W4/$B$16)</f>
        <v/>
      </c>
      <c r="X13" s="139">
        <f>IF(X$3&lt;'01_Вводные'!$B$248,'01_Вводные'!$B$111*X4,'01_Вводные'!$B$112*X4/$B$16)</f>
        <v/>
      </c>
      <c r="Y13" s="139">
        <f>IF(Y$3&lt;'01_Вводные'!$B$248,'01_Вводные'!$B$111*Y4,'01_Вводные'!$B$112*Y4/$B$16)</f>
        <v/>
      </c>
      <c r="Z13" s="139">
        <f>IF(Z$3&lt;'01_Вводные'!$B$248,'01_Вводные'!$B$111*Z4,'01_Вводные'!$B$112*Z4/$B$16)</f>
        <v/>
      </c>
      <c r="AA13" s="139">
        <f>IF(AA$3&lt;'01_Вводные'!$B$248,'01_Вводные'!$B$111*AA4,'01_Вводные'!$B$112*AA4/$B$16)</f>
        <v/>
      </c>
      <c r="AB13" s="139">
        <f>IF(AB$3&lt;'01_Вводные'!$B$248,'01_Вводные'!$B$111*AB4,'01_Вводные'!$B$112*AB4/$B$16)</f>
        <v/>
      </c>
      <c r="AC13" s="139">
        <f>IF(AC$3&lt;'01_Вводные'!$B$248,'01_Вводные'!$B$111*AC4,'01_Вводные'!$B$112*AC4/$B$16)</f>
        <v/>
      </c>
      <c r="AD13" s="139">
        <f>IF(AD$3&lt;'01_Вводные'!$B$248,'01_Вводные'!$B$111*AD4,'01_Вводные'!$B$112*AD4/$B$16)</f>
        <v/>
      </c>
      <c r="AE13" s="139">
        <f>IF(AE$3&lt;'01_Вводные'!$B$248,'01_Вводные'!$B$111*AE4,'01_Вводные'!$B$112*AE4/$B$16)</f>
        <v/>
      </c>
      <c r="AF13" s="139">
        <f>IF(AF$3&lt;'01_Вводные'!$B$248,'01_Вводные'!$B$111*AF4,'01_Вводные'!$B$112*AF4/$B$16)</f>
        <v/>
      </c>
      <c r="AG13" s="139">
        <f>IF(AG$3&lt;'01_Вводные'!$B$248,'01_Вводные'!$B$111*AG4,'01_Вводные'!$B$112*AG4/$B$16)</f>
        <v/>
      </c>
      <c r="AH13" s="139">
        <f>IF(AH$3&lt;'01_Вводные'!$B$248,'01_Вводные'!$B$111*AH4,'01_Вводные'!$B$112*AH4/$B$16)</f>
        <v/>
      </c>
      <c r="AI13" s="139">
        <f>IF(AI$3&lt;'01_Вводные'!$B$248,'01_Вводные'!$B$111*AI4,'01_Вводные'!$B$112*AI4/$B$16)</f>
        <v/>
      </c>
      <c r="AJ13" s="139">
        <f>IF(AJ$3&lt;'01_Вводные'!$B$248,'01_Вводные'!$B$111*AJ4,'01_Вводные'!$B$112*AJ4/$B$16)</f>
        <v/>
      </c>
      <c r="AK13" s="139">
        <f>IF(AK$3&lt;'01_Вводные'!$B$248,'01_Вводные'!$B$111*AK4,'01_Вводные'!$B$112*AK4/$B$16)</f>
        <v/>
      </c>
      <c r="AL13" s="139">
        <f>IF(AL$3&lt;'01_Вводные'!$B$248,'01_Вводные'!$B$111*AL4,'01_Вводные'!$B$112*AL4/$B$16)</f>
        <v/>
      </c>
      <c r="AM13" s="139">
        <f>IF(AM$3&lt;'01_Вводные'!$B$248,'01_Вводные'!$B$111*AM4,'01_Вводные'!$B$112*AM4/$B$16)</f>
        <v/>
      </c>
      <c r="AN13" s="139">
        <f>IF(AN$3&lt;'01_Вводные'!$B$248,'01_Вводные'!$B$111*AN4,'01_Вводные'!$B$112*AN4/$B$16)</f>
        <v/>
      </c>
      <c r="AO13" s="139">
        <f>IF(AO$3&lt;'01_Вводные'!$B$248,'01_Вводные'!$B$111*AO4,'01_Вводные'!$B$112*AO4/$B$16)</f>
        <v/>
      </c>
      <c r="AP13" s="139">
        <f>IF(AP$3&lt;'01_Вводные'!$B$248,'01_Вводные'!$B$111*AP4,'01_Вводные'!$B$112*AP4/$B$16)</f>
        <v/>
      </c>
      <c r="AQ13" s="139">
        <f>IF(AQ$3&lt;'01_Вводные'!$B$248,'01_Вводные'!$B$111*AQ4,'01_Вводные'!$B$112*AQ4/$B$16)</f>
        <v/>
      </c>
      <c r="AR13" s="139">
        <f>IF(AR$3&lt;'01_Вводные'!$B$248,'01_Вводные'!$B$111*AR4,'01_Вводные'!$B$112*AR4/$B$16)</f>
        <v/>
      </c>
      <c r="AS13" s="139">
        <f>IF(AS$3&lt;'01_Вводные'!$B$248,'01_Вводные'!$B$111*AS4,'01_Вводные'!$B$112*AS4/$B$16)</f>
        <v/>
      </c>
      <c r="AT13" s="139">
        <f>IF(AT$3&lt;'01_Вводные'!$B$248,'01_Вводные'!$B$111*AT4,'01_Вводные'!$B$112*AT4/$B$16)</f>
        <v/>
      </c>
      <c r="AU13" s="139">
        <f>IF(AU$3&lt;'01_Вводные'!$B$248,'01_Вводные'!$B$111*AU4,'01_Вводные'!$B$112*AU4/$B$16)</f>
        <v/>
      </c>
      <c r="AV13" s="139">
        <f>IF(AV$3&lt;'01_Вводные'!$B$248,'01_Вводные'!$B$111*AV4,'01_Вводные'!$B$112*AV4/$B$16)</f>
        <v/>
      </c>
      <c r="AW13" s="139">
        <f>IF(AW$3&lt;'01_Вводные'!$B$248,'01_Вводные'!$B$111*AW4,'01_Вводные'!$B$112*AW4/$B$16)</f>
        <v/>
      </c>
      <c r="AX13" s="139">
        <f>IF(AX$3&lt;'01_Вводные'!$B$248,'01_Вводные'!$B$111*AX4,'01_Вводные'!$B$112*AX4/$B$16)</f>
        <v/>
      </c>
      <c r="AY13" s="139">
        <f>IF(AY$3&lt;'01_Вводные'!$B$248,'01_Вводные'!$B$111*AY4,'01_Вводные'!$B$112*AY4/$B$16)</f>
        <v/>
      </c>
      <c r="AZ13" s="139">
        <f>IF(AZ$3&lt;'01_Вводные'!$B$248,'01_Вводные'!$B$111*AZ4,'01_Вводные'!$B$112*AZ4/$B$16)</f>
        <v/>
      </c>
      <c r="BA13" s="139">
        <f>IF(BA$3&lt;'01_Вводные'!$B$248,'01_Вводные'!$B$111*BA4,'01_Вводные'!$B$112*BA4/$B$16)</f>
        <v/>
      </c>
      <c r="BB13" s="139">
        <f>IF(BB$3&lt;'01_Вводные'!$B$248,'01_Вводные'!$B$111*BB4,'01_Вводные'!$B$112*BB4/$B$16)</f>
        <v/>
      </c>
      <c r="BC13" s="139">
        <f>IF(BC$3&lt;'01_Вводные'!$B$248,'01_Вводные'!$B$111*BC4,'01_Вводные'!$B$112*BC4/$B$16)</f>
        <v/>
      </c>
      <c r="BD13" s="139">
        <f>IF(BD$3&lt;'01_Вводные'!$B$248,'01_Вводные'!$B$111*BD4,'01_Вводные'!$B$112*BD4/$B$16)</f>
        <v/>
      </c>
      <c r="BE13" s="139">
        <f>IF(BE$3&lt;'01_Вводные'!$B$248,'01_Вводные'!$B$111*BE4,'01_Вводные'!$B$112*BE4/$B$16)</f>
        <v/>
      </c>
      <c r="BF13" s="139">
        <f>IF(BF$3&lt;'01_Вводные'!$B$248,'01_Вводные'!$B$111*BF4,'01_Вводные'!$B$112*BF4/$B$16)</f>
        <v/>
      </c>
      <c r="BG13" s="139">
        <f>IF(BG$3&lt;'01_Вводные'!$B$248,'01_Вводные'!$B$111*BG4,'01_Вводные'!$B$112*BG4/$B$16)</f>
        <v/>
      </c>
      <c r="BH13" s="139">
        <f>IF(BH$3&lt;'01_Вводные'!$B$248,'01_Вводные'!$B$111*BH4,'01_Вводные'!$B$112*BH4/$B$16)</f>
        <v/>
      </c>
      <c r="BI13" s="139">
        <f>IF(BI$3&lt;'01_Вводные'!$B$248,'01_Вводные'!$B$111*BI4,'01_Вводные'!$B$112*BI4/$B$16)</f>
        <v/>
      </c>
      <c r="BJ13" s="139">
        <f>IF(BJ$3&lt;'01_Вводные'!$B$248,'01_Вводные'!$B$111*BJ4,'01_Вводные'!$B$112*BJ4/$B$16)</f>
        <v/>
      </c>
      <c r="BK13" s="139">
        <f>IF(BK$3&lt;'01_Вводные'!$B$248,'01_Вводные'!$B$111*BK4,'01_Вводные'!$B$112*BK4/$B$16)</f>
        <v/>
      </c>
      <c r="BL13" s="139">
        <f>IF(BL$3&lt;'01_Вводные'!$B$248,'01_Вводные'!$B$111*BL4,'01_Вводные'!$B$112*BL4/$B$16)</f>
        <v/>
      </c>
      <c r="BM13" s="139">
        <f>IF(BM$3&lt;'01_Вводные'!$B$248,'01_Вводные'!$B$111*BM4,'01_Вводные'!$B$112*BM4/$B$16)</f>
        <v/>
      </c>
      <c r="BN13" s="139">
        <f>IF(BN$3&lt;'01_Вводные'!$B$248,'01_Вводные'!$B$111*BN4,'01_Вводные'!$B$112*BN4/$B$16)</f>
        <v/>
      </c>
      <c r="BO13" s="139">
        <f>IF(BO$3&lt;'01_Вводные'!$B$248,'01_Вводные'!$B$111*BO4,'01_Вводные'!$B$112*BO4/$B$16)</f>
        <v/>
      </c>
    </row>
    <row r="14">
      <c r="A14" s="137" t="inlineStr">
        <is>
          <t>Резерв ротации</t>
        </is>
      </c>
      <c r="B14" s="139">
        <f>'01_Вводные'!$B$122*B4</f>
        <v/>
      </c>
      <c r="C14" s="139">
        <f>'01_Вводные'!$B$122*C4</f>
        <v/>
      </c>
      <c r="D14" s="139">
        <f>'01_Вводные'!$B$122*D4</f>
        <v/>
      </c>
      <c r="E14" s="139">
        <f>'01_Вводные'!$B$122*E4</f>
        <v/>
      </c>
      <c r="F14" s="139">
        <f>'01_Вводные'!$B$122*F4</f>
        <v/>
      </c>
      <c r="G14" s="139">
        <f>'01_Вводные'!$B$122*G4</f>
        <v/>
      </c>
      <c r="H14" s="139">
        <f>'01_Вводные'!$B$122*H4</f>
        <v/>
      </c>
      <c r="I14" s="139">
        <f>'01_Вводные'!$B$122*I4</f>
        <v/>
      </c>
      <c r="J14" s="139">
        <f>'01_Вводные'!$B$122*J4</f>
        <v/>
      </c>
      <c r="K14" s="139">
        <f>'01_Вводные'!$B$122*K4</f>
        <v/>
      </c>
      <c r="L14" s="139">
        <f>'01_Вводные'!$B$122*L4</f>
        <v/>
      </c>
      <c r="M14" s="139">
        <f>'01_Вводные'!$B$122*M4</f>
        <v/>
      </c>
      <c r="N14" s="139">
        <f>'01_Вводные'!$B$122*N4</f>
        <v/>
      </c>
      <c r="O14" s="139">
        <f>'01_Вводные'!$B$122*O4</f>
        <v/>
      </c>
      <c r="P14" s="139">
        <f>'01_Вводные'!$B$122*P4</f>
        <v/>
      </c>
      <c r="Q14" s="139">
        <f>'01_Вводные'!$B$122*Q4</f>
        <v/>
      </c>
      <c r="R14" s="139">
        <f>'01_Вводные'!$B$122*R4</f>
        <v/>
      </c>
      <c r="S14" s="139">
        <f>'01_Вводные'!$B$122*S4</f>
        <v/>
      </c>
      <c r="T14" s="139">
        <f>'01_Вводные'!$B$122*T4</f>
        <v/>
      </c>
      <c r="U14" s="139">
        <f>'01_Вводные'!$B$122*U4</f>
        <v/>
      </c>
      <c r="V14" s="139">
        <f>'01_Вводные'!$B$122*V4</f>
        <v/>
      </c>
      <c r="W14" s="139">
        <f>'01_Вводные'!$B$122*W4</f>
        <v/>
      </c>
      <c r="X14" s="139">
        <f>'01_Вводные'!$B$122*X4</f>
        <v/>
      </c>
      <c r="Y14" s="139">
        <f>'01_Вводные'!$B$122*Y4</f>
        <v/>
      </c>
      <c r="Z14" s="139">
        <f>'01_Вводные'!$B$122*Z4</f>
        <v/>
      </c>
      <c r="AA14" s="139">
        <f>'01_Вводные'!$B$122*AA4</f>
        <v/>
      </c>
      <c r="AB14" s="139">
        <f>'01_Вводные'!$B$122*AB4</f>
        <v/>
      </c>
      <c r="AC14" s="139">
        <f>'01_Вводные'!$B$122*AC4</f>
        <v/>
      </c>
      <c r="AD14" s="139">
        <f>'01_Вводные'!$B$122*AD4</f>
        <v/>
      </c>
      <c r="AE14" s="139">
        <f>'01_Вводные'!$B$122*AE4</f>
        <v/>
      </c>
      <c r="AF14" s="139">
        <f>'01_Вводные'!$B$122*AF4</f>
        <v/>
      </c>
      <c r="AG14" s="139">
        <f>'01_Вводные'!$B$122*AG4</f>
        <v/>
      </c>
      <c r="AH14" s="139">
        <f>'01_Вводные'!$B$122*AH4</f>
        <v/>
      </c>
      <c r="AI14" s="139">
        <f>'01_Вводные'!$B$122*AI4</f>
        <v/>
      </c>
      <c r="AJ14" s="139">
        <f>'01_Вводные'!$B$122*AJ4</f>
        <v/>
      </c>
      <c r="AK14" s="139">
        <f>'01_Вводные'!$B$122*AK4</f>
        <v/>
      </c>
      <c r="AL14" s="139">
        <f>'01_Вводные'!$B$122*AL4</f>
        <v/>
      </c>
      <c r="AM14" s="139">
        <f>'01_Вводные'!$B$122*AM4</f>
        <v/>
      </c>
      <c r="AN14" s="139">
        <f>'01_Вводные'!$B$122*AN4</f>
        <v/>
      </c>
      <c r="AO14" s="139">
        <f>'01_Вводные'!$B$122*AO4</f>
        <v/>
      </c>
      <c r="AP14" s="139">
        <f>'01_Вводные'!$B$122*AP4</f>
        <v/>
      </c>
      <c r="AQ14" s="139">
        <f>'01_Вводные'!$B$122*AQ4</f>
        <v/>
      </c>
      <c r="AR14" s="139">
        <f>'01_Вводные'!$B$122*AR4</f>
        <v/>
      </c>
      <c r="AS14" s="139">
        <f>'01_Вводные'!$B$122*AS4</f>
        <v/>
      </c>
      <c r="AT14" s="139">
        <f>'01_Вводные'!$B$122*AT4</f>
        <v/>
      </c>
      <c r="AU14" s="139">
        <f>'01_Вводные'!$B$122*AU4</f>
        <v/>
      </c>
      <c r="AV14" s="139">
        <f>'01_Вводные'!$B$122*AV4</f>
        <v/>
      </c>
      <c r="AW14" s="139">
        <f>'01_Вводные'!$B$122*AW4</f>
        <v/>
      </c>
      <c r="AX14" s="139">
        <f>'01_Вводные'!$B$122*AX4</f>
        <v/>
      </c>
      <c r="AY14" s="139">
        <f>'01_Вводные'!$B$122*AY4</f>
        <v/>
      </c>
      <c r="AZ14" s="139">
        <f>'01_Вводные'!$B$122*AZ4</f>
        <v/>
      </c>
      <c r="BA14" s="139">
        <f>'01_Вводные'!$B$122*BA4</f>
        <v/>
      </c>
      <c r="BB14" s="139">
        <f>'01_Вводные'!$B$122*BB4</f>
        <v/>
      </c>
      <c r="BC14" s="139">
        <f>'01_Вводные'!$B$122*BC4</f>
        <v/>
      </c>
      <c r="BD14" s="139">
        <f>'01_Вводные'!$B$122*BD4</f>
        <v/>
      </c>
      <c r="BE14" s="139">
        <f>'01_Вводные'!$B$122*BE4</f>
        <v/>
      </c>
      <c r="BF14" s="139">
        <f>'01_Вводные'!$B$122*BF4</f>
        <v/>
      </c>
      <c r="BG14" s="139">
        <f>'01_Вводные'!$B$122*BG4</f>
        <v/>
      </c>
      <c r="BH14" s="139">
        <f>'01_Вводные'!$B$122*BH4</f>
        <v/>
      </c>
      <c r="BI14" s="139">
        <f>'01_Вводные'!$B$122*BI4</f>
        <v/>
      </c>
      <c r="BJ14" s="139">
        <f>'01_Вводные'!$B$122*BJ4</f>
        <v/>
      </c>
      <c r="BK14" s="139">
        <f>'01_Вводные'!$B$122*BK4</f>
        <v/>
      </c>
      <c r="BL14" s="139">
        <f>'01_Вводные'!$B$122*BL4</f>
        <v/>
      </c>
      <c r="BM14" s="139">
        <f>'01_Вводные'!$B$122*BM4</f>
        <v/>
      </c>
      <c r="BN14" s="139">
        <f>'01_Вводные'!$B$122*BN4</f>
        <v/>
      </c>
      <c r="BO14" s="139">
        <f>'01_Вводные'!$B$122*BO4</f>
        <v/>
      </c>
    </row>
    <row r="16">
      <c r="A16" s="137" t="inlineStr">
        <is>
          <t>Индекс на дату нового SMM-тарифа</t>
        </is>
      </c>
      <c r="B16" s="139">
        <f>INDEX($B$4:$BO$4,1,MAX(1,MIN(66,(YEAR('01_Вводные'!$B$248)-YEAR('01_Вводные'!$B$7))*12+MONTH('01_Вводные'!$B$248)-MONTH('01_Вводные'!$B$7)+1)))</f>
        <v/>
      </c>
    </row>
    <row r="22">
      <c r="A22" s="137" t="inlineStr">
        <is>
          <t>Веса тарифов</t>
        </is>
      </c>
      <c r="B22" s="139">
        <f>'01_Вводные'!$C$263/'01_Вводные'!$C$283</f>
        <v/>
      </c>
      <c r="C22" s="139">
        <f>'01_Вводные'!$C$264/'01_Вводные'!$C$283</f>
        <v/>
      </c>
      <c r="D22" s="139">
        <f>'01_Вводные'!$C$265/'01_Вводные'!$C$283</f>
        <v/>
      </c>
      <c r="E22" s="139">
        <f>'01_Вводные'!$C$266/'01_Вводные'!$C$283</f>
        <v/>
      </c>
      <c r="F22" s="139">
        <f>'01_Вводные'!$C$267/'01_Вводные'!$C$283</f>
        <v/>
      </c>
      <c r="G22" s="139">
        <f>'01_Вводные'!$C$268/'01_Вводные'!$C$283</f>
        <v/>
      </c>
      <c r="H22" s="139">
        <f>'01_Вводные'!$C$269/'01_Вводные'!$C$283</f>
        <v/>
      </c>
      <c r="I22" s="139">
        <f>'01_Вводные'!$C$270/'01_Вводные'!$C$283</f>
        <v/>
      </c>
      <c r="J22" s="139">
        <f>'01_Вводные'!$C$271/'01_Вводные'!$C$283</f>
        <v/>
      </c>
      <c r="K22" s="139">
        <f>'01_Вводные'!$C$272/'01_Вводные'!$C$283</f>
        <v/>
      </c>
      <c r="L22" s="139">
        <f>'01_Вводные'!$C$273/'01_Вводные'!$C$283</f>
        <v/>
      </c>
      <c r="M22" s="139">
        <f>'01_Вводные'!$C$274/'01_Вводные'!$C$283</f>
        <v/>
      </c>
      <c r="N22" s="139">
        <f>'01_Вводные'!$C$275/'01_Вводные'!$C$283</f>
        <v/>
      </c>
      <c r="O22" s="139">
        <f>'01_Вводные'!$C$276/'01_Вводные'!$C$283</f>
        <v/>
      </c>
      <c r="P22" s="139">
        <f>'01_Вводные'!$C$277/'01_Вводные'!$C$283</f>
        <v/>
      </c>
      <c r="Q22" s="139">
        <f>'01_Вводные'!$C$278/'01_Вводные'!$C$283</f>
        <v/>
      </c>
      <c r="R22" s="139">
        <f>'01_Вводные'!$C$279/'01_Вводные'!$C$283</f>
        <v/>
      </c>
      <c r="S22" s="139">
        <f>'01_Вводные'!$C$280/'01_Вводные'!$C$283</f>
        <v/>
      </c>
      <c r="T22" s="139">
        <f>'01_Вводные'!$C$281/'01_Вводные'!$C$283</f>
        <v/>
      </c>
      <c r="U22" s="139">
        <f>'01_Вводные'!$C$282/'01_Вводные'!$C$283</f>
        <v/>
      </c>
    </row>
    <row r="24">
      <c r="A24" s="137" t="inlineStr">
        <is>
          <t>1</t>
        </is>
      </c>
      <c r="B24" s="139">
        <f>B86*'01_Вводные'!$H$263</f>
        <v/>
      </c>
      <c r="C24" s="139">
        <f>C86*'01_Вводные'!$H$264</f>
        <v/>
      </c>
      <c r="D24" s="139">
        <f>D86*'01_Вводные'!$H$265</f>
        <v/>
      </c>
      <c r="E24" s="139">
        <f>E86*'01_Вводные'!$H$266</f>
        <v/>
      </c>
      <c r="F24" s="139">
        <f>F86*'01_Вводные'!$H$267</f>
        <v/>
      </c>
      <c r="G24" s="139">
        <f>G86*'01_Вводные'!$H$268</f>
        <v/>
      </c>
      <c r="H24" s="139">
        <f>H86*'01_Вводные'!$H$269</f>
        <v/>
      </c>
      <c r="I24" s="139">
        <f>I86*'01_Вводные'!$H$270</f>
        <v/>
      </c>
      <c r="J24" s="139">
        <f>J86*'01_Вводные'!$H$271</f>
        <v/>
      </c>
      <c r="K24" s="139">
        <f>K86*'01_Вводные'!$H$272</f>
        <v/>
      </c>
      <c r="L24" s="139">
        <f>L86*'01_Вводные'!$H$273</f>
        <v/>
      </c>
      <c r="M24" s="139">
        <f>M86*'01_Вводные'!$H$274</f>
        <v/>
      </c>
      <c r="N24" s="139">
        <f>N86*'01_Вводные'!$H$275</f>
        <v/>
      </c>
      <c r="O24" s="139">
        <f>O86*'01_Вводные'!$H$276</f>
        <v/>
      </c>
      <c r="P24" s="139">
        <f>P86*'01_Вводные'!$H$277</f>
        <v/>
      </c>
      <c r="Q24" s="139">
        <f>Q86*'01_Вводные'!$H$278</f>
        <v/>
      </c>
      <c r="R24" s="139">
        <f>R86*'01_Вводные'!$H$279</f>
        <v/>
      </c>
      <c r="S24" s="139">
        <f>S86*'01_Вводные'!$H$280</f>
        <v/>
      </c>
      <c r="T24" s="139">
        <f>T86*'01_Вводные'!$H$281</f>
        <v/>
      </c>
      <c r="U24" s="139">
        <f>U86*'01_Вводные'!$H$282</f>
        <v/>
      </c>
      <c r="W24" s="141">
        <f>SUMPRODUCT($B$22:$U$22,B86:U86)</f>
        <v/>
      </c>
      <c r="X24" s="141">
        <f>SUMPRODUCT($B$22:$U$22,B54:U54)</f>
        <v/>
      </c>
    </row>
    <row r="25">
      <c r="A25" s="137" t="inlineStr">
        <is>
          <t>2</t>
        </is>
      </c>
      <c r="B25" s="139">
        <f>B87*'01_Вводные'!$H$263</f>
        <v/>
      </c>
      <c r="C25" s="139">
        <f>C87*'01_Вводные'!$H$264</f>
        <v/>
      </c>
      <c r="D25" s="139">
        <f>D87*'01_Вводные'!$H$265</f>
        <v/>
      </c>
      <c r="E25" s="139">
        <f>E87*'01_Вводные'!$H$266</f>
        <v/>
      </c>
      <c r="F25" s="139">
        <f>F87*'01_Вводные'!$H$267</f>
        <v/>
      </c>
      <c r="G25" s="139">
        <f>G87*'01_Вводные'!$H$268</f>
        <v/>
      </c>
      <c r="H25" s="139">
        <f>H87*'01_Вводные'!$H$269</f>
        <v/>
      </c>
      <c r="I25" s="139">
        <f>I87*'01_Вводные'!$H$270</f>
        <v/>
      </c>
      <c r="J25" s="139">
        <f>J87*'01_Вводные'!$H$271</f>
        <v/>
      </c>
      <c r="K25" s="139">
        <f>K87*'01_Вводные'!$H$272</f>
        <v/>
      </c>
      <c r="L25" s="139">
        <f>L87*'01_Вводные'!$H$273</f>
        <v/>
      </c>
      <c r="M25" s="139">
        <f>M87*'01_Вводные'!$H$274</f>
        <v/>
      </c>
      <c r="N25" s="139">
        <f>N87*'01_Вводные'!$H$275</f>
        <v/>
      </c>
      <c r="O25" s="139">
        <f>O87*'01_Вводные'!$H$276</f>
        <v/>
      </c>
      <c r="P25" s="139">
        <f>P87*'01_Вводные'!$H$277</f>
        <v/>
      </c>
      <c r="Q25" s="139">
        <f>Q87*'01_Вводные'!$H$278</f>
        <v/>
      </c>
      <c r="R25" s="139">
        <f>R87*'01_Вводные'!$H$279</f>
        <v/>
      </c>
      <c r="S25" s="139">
        <f>S87*'01_Вводные'!$H$280</f>
        <v/>
      </c>
      <c r="T25" s="139">
        <f>T87*'01_Вводные'!$H$281</f>
        <v/>
      </c>
      <c r="U25" s="139">
        <f>U87*'01_Вводные'!$H$282</f>
        <v/>
      </c>
      <c r="W25" s="141">
        <f>SUMPRODUCT($B$22:$U$22,B87:U87)</f>
        <v/>
      </c>
      <c r="X25" s="141">
        <f>SUMPRODUCT($B$22:$U$22,B55:U55)</f>
        <v/>
      </c>
    </row>
    <row r="26">
      <c r="A26" s="137" t="inlineStr">
        <is>
          <t>3</t>
        </is>
      </c>
      <c r="B26" s="139">
        <f>B88*'01_Вводные'!$H$263</f>
        <v/>
      </c>
      <c r="C26" s="139">
        <f>C88*'01_Вводные'!$H$264</f>
        <v/>
      </c>
      <c r="D26" s="139">
        <f>D88*'01_Вводные'!$H$265</f>
        <v/>
      </c>
      <c r="E26" s="139">
        <f>E88*'01_Вводные'!$H$266</f>
        <v/>
      </c>
      <c r="F26" s="139">
        <f>F88*'01_Вводные'!$H$267</f>
        <v/>
      </c>
      <c r="G26" s="139">
        <f>G88*'01_Вводные'!$H$268</f>
        <v/>
      </c>
      <c r="H26" s="139">
        <f>H88*'01_Вводные'!$H$269</f>
        <v/>
      </c>
      <c r="I26" s="139">
        <f>I88*'01_Вводные'!$H$270</f>
        <v/>
      </c>
      <c r="J26" s="139">
        <f>J88*'01_Вводные'!$H$271</f>
        <v/>
      </c>
      <c r="K26" s="139">
        <f>K88*'01_Вводные'!$H$272</f>
        <v/>
      </c>
      <c r="L26" s="139">
        <f>L88*'01_Вводные'!$H$273</f>
        <v/>
      </c>
      <c r="M26" s="139">
        <f>M88*'01_Вводные'!$H$274</f>
        <v/>
      </c>
      <c r="N26" s="139">
        <f>N88*'01_Вводные'!$H$275</f>
        <v/>
      </c>
      <c r="O26" s="139">
        <f>O88*'01_Вводные'!$H$276</f>
        <v/>
      </c>
      <c r="P26" s="139">
        <f>P88*'01_Вводные'!$H$277</f>
        <v/>
      </c>
      <c r="Q26" s="139">
        <f>Q88*'01_Вводные'!$H$278</f>
        <v/>
      </c>
      <c r="R26" s="139">
        <f>R88*'01_Вводные'!$H$279</f>
        <v/>
      </c>
      <c r="S26" s="139">
        <f>S88*'01_Вводные'!$H$280</f>
        <v/>
      </c>
      <c r="T26" s="139">
        <f>T88*'01_Вводные'!$H$281</f>
        <v/>
      </c>
      <c r="U26" s="139">
        <f>U88*'01_Вводные'!$H$282</f>
        <v/>
      </c>
      <c r="W26" s="141">
        <f>SUMPRODUCT($B$22:$U$22,B88:U88)</f>
        <v/>
      </c>
      <c r="X26" s="141">
        <f>SUMPRODUCT($B$22:$U$22,B56:U56)</f>
        <v/>
      </c>
    </row>
    <row r="27">
      <c r="A27" s="137" t="inlineStr">
        <is>
          <t>4</t>
        </is>
      </c>
      <c r="B27" s="139">
        <f>B89*'01_Вводные'!$H$263</f>
        <v/>
      </c>
      <c r="C27" s="139">
        <f>C89*'01_Вводные'!$H$264</f>
        <v/>
      </c>
      <c r="D27" s="139">
        <f>D89*'01_Вводные'!$H$265</f>
        <v/>
      </c>
      <c r="E27" s="139">
        <f>E89*'01_Вводные'!$H$266</f>
        <v/>
      </c>
      <c r="F27" s="139">
        <f>F89*'01_Вводные'!$H$267</f>
        <v/>
      </c>
      <c r="G27" s="139">
        <f>G89*'01_Вводные'!$H$268</f>
        <v/>
      </c>
      <c r="H27" s="139">
        <f>H89*'01_Вводные'!$H$269</f>
        <v/>
      </c>
      <c r="I27" s="139">
        <f>I89*'01_Вводные'!$H$270</f>
        <v/>
      </c>
      <c r="J27" s="139">
        <f>J89*'01_Вводные'!$H$271</f>
        <v/>
      </c>
      <c r="K27" s="139">
        <f>K89*'01_Вводные'!$H$272</f>
        <v/>
      </c>
      <c r="L27" s="139">
        <f>L89*'01_Вводные'!$H$273</f>
        <v/>
      </c>
      <c r="M27" s="139">
        <f>M89*'01_Вводные'!$H$274</f>
        <v/>
      </c>
      <c r="N27" s="139">
        <f>N89*'01_Вводные'!$H$275</f>
        <v/>
      </c>
      <c r="O27" s="139">
        <f>O89*'01_Вводные'!$H$276</f>
        <v/>
      </c>
      <c r="P27" s="139">
        <f>P89*'01_Вводные'!$H$277</f>
        <v/>
      </c>
      <c r="Q27" s="139">
        <f>Q89*'01_Вводные'!$H$278</f>
        <v/>
      </c>
      <c r="R27" s="139">
        <f>R89*'01_Вводные'!$H$279</f>
        <v/>
      </c>
      <c r="S27" s="139">
        <f>S89*'01_Вводные'!$H$280</f>
        <v/>
      </c>
      <c r="T27" s="139">
        <f>T89*'01_Вводные'!$H$281</f>
        <v/>
      </c>
      <c r="U27" s="139">
        <f>U89*'01_Вводные'!$H$282</f>
        <v/>
      </c>
      <c r="W27" s="141">
        <f>SUMPRODUCT($B$22:$U$22,B89:U89)</f>
        <v/>
      </c>
      <c r="X27" s="141">
        <f>SUMPRODUCT($B$22:$U$22,B57:U57)</f>
        <v/>
      </c>
    </row>
    <row r="28">
      <c r="A28" s="137" t="inlineStr">
        <is>
          <t>5</t>
        </is>
      </c>
      <c r="B28" s="139">
        <f>B90*'01_Вводные'!$H$263</f>
        <v/>
      </c>
      <c r="C28" s="139">
        <f>C90*'01_Вводные'!$H$264</f>
        <v/>
      </c>
      <c r="D28" s="139">
        <f>D90*'01_Вводные'!$H$265</f>
        <v/>
      </c>
      <c r="E28" s="139">
        <f>E90*'01_Вводные'!$H$266</f>
        <v/>
      </c>
      <c r="F28" s="139">
        <f>F90*'01_Вводные'!$H$267</f>
        <v/>
      </c>
      <c r="G28" s="139">
        <f>G90*'01_Вводные'!$H$268</f>
        <v/>
      </c>
      <c r="H28" s="139">
        <f>H90*'01_Вводные'!$H$269</f>
        <v/>
      </c>
      <c r="I28" s="139">
        <f>I90*'01_Вводные'!$H$270</f>
        <v/>
      </c>
      <c r="J28" s="139">
        <f>J90*'01_Вводные'!$H$271</f>
        <v/>
      </c>
      <c r="K28" s="139">
        <f>K90*'01_Вводные'!$H$272</f>
        <v/>
      </c>
      <c r="L28" s="139">
        <f>L90*'01_Вводные'!$H$273</f>
        <v/>
      </c>
      <c r="M28" s="139">
        <f>M90*'01_Вводные'!$H$274</f>
        <v/>
      </c>
      <c r="N28" s="139">
        <f>N90*'01_Вводные'!$H$275</f>
        <v/>
      </c>
      <c r="O28" s="139">
        <f>O90*'01_Вводные'!$H$276</f>
        <v/>
      </c>
      <c r="P28" s="139">
        <f>P90*'01_Вводные'!$H$277</f>
        <v/>
      </c>
      <c r="Q28" s="139">
        <f>Q90*'01_Вводные'!$H$278</f>
        <v/>
      </c>
      <c r="R28" s="139">
        <f>R90*'01_Вводные'!$H$279</f>
        <v/>
      </c>
      <c r="S28" s="139">
        <f>S90*'01_Вводные'!$H$280</f>
        <v/>
      </c>
      <c r="T28" s="139">
        <f>T90*'01_Вводные'!$H$281</f>
        <v/>
      </c>
      <c r="U28" s="139">
        <f>U90*'01_Вводные'!$H$282</f>
        <v/>
      </c>
      <c r="W28" s="141">
        <f>SUMPRODUCT($B$22:$U$22,B90:U90)</f>
        <v/>
      </c>
      <c r="X28" s="141">
        <f>SUMPRODUCT($B$22:$U$22,B58:U58)</f>
        <v/>
      </c>
    </row>
    <row r="29">
      <c r="A29" s="137" t="inlineStr">
        <is>
          <t>6</t>
        </is>
      </c>
      <c r="B29" s="139">
        <f>B91*'01_Вводные'!$H$263</f>
        <v/>
      </c>
      <c r="C29" s="139">
        <f>C91*'01_Вводные'!$H$264</f>
        <v/>
      </c>
      <c r="D29" s="139">
        <f>D91*'01_Вводные'!$H$265</f>
        <v/>
      </c>
      <c r="E29" s="139">
        <f>E91*'01_Вводные'!$H$266</f>
        <v/>
      </c>
      <c r="F29" s="139">
        <f>F91*'01_Вводные'!$H$267</f>
        <v/>
      </c>
      <c r="G29" s="139">
        <f>G91*'01_Вводные'!$H$268</f>
        <v/>
      </c>
      <c r="H29" s="139">
        <f>H91*'01_Вводные'!$H$269</f>
        <v/>
      </c>
      <c r="I29" s="139">
        <f>I91*'01_Вводные'!$H$270</f>
        <v/>
      </c>
      <c r="J29" s="139">
        <f>J91*'01_Вводные'!$H$271</f>
        <v/>
      </c>
      <c r="K29" s="139">
        <f>K91*'01_Вводные'!$H$272</f>
        <v/>
      </c>
      <c r="L29" s="139">
        <f>L91*'01_Вводные'!$H$273</f>
        <v/>
      </c>
      <c r="M29" s="139">
        <f>M91*'01_Вводные'!$H$274</f>
        <v/>
      </c>
      <c r="N29" s="139">
        <f>N91*'01_Вводные'!$H$275</f>
        <v/>
      </c>
      <c r="O29" s="139">
        <f>O91*'01_Вводные'!$H$276</f>
        <v/>
      </c>
      <c r="P29" s="139">
        <f>P91*'01_Вводные'!$H$277</f>
        <v/>
      </c>
      <c r="Q29" s="139">
        <f>Q91*'01_Вводные'!$H$278</f>
        <v/>
      </c>
      <c r="R29" s="139">
        <f>R91*'01_Вводные'!$H$279</f>
        <v/>
      </c>
      <c r="S29" s="139">
        <f>S91*'01_Вводные'!$H$280</f>
        <v/>
      </c>
      <c r="T29" s="139">
        <f>T91*'01_Вводные'!$H$281</f>
        <v/>
      </c>
      <c r="U29" s="139">
        <f>U91*'01_Вводные'!$H$282</f>
        <v/>
      </c>
      <c r="W29" s="141">
        <f>SUMPRODUCT($B$22:$U$22,B91:U91)</f>
        <v/>
      </c>
      <c r="X29" s="141">
        <f>SUMPRODUCT($B$22:$U$22,B59:U59)</f>
        <v/>
      </c>
    </row>
    <row r="30">
      <c r="A30" s="137" t="inlineStr">
        <is>
          <t>7</t>
        </is>
      </c>
      <c r="B30" s="139">
        <f>B92*'01_Вводные'!$H$263</f>
        <v/>
      </c>
      <c r="C30" s="139">
        <f>C92*'01_Вводные'!$H$264</f>
        <v/>
      </c>
      <c r="D30" s="139">
        <f>D92*'01_Вводные'!$H$265</f>
        <v/>
      </c>
      <c r="E30" s="139">
        <f>E92*'01_Вводные'!$H$266</f>
        <v/>
      </c>
      <c r="F30" s="139">
        <f>F92*'01_Вводные'!$H$267</f>
        <v/>
      </c>
      <c r="G30" s="139">
        <f>G92*'01_Вводные'!$H$268</f>
        <v/>
      </c>
      <c r="H30" s="139">
        <f>H92*'01_Вводные'!$H$269</f>
        <v/>
      </c>
      <c r="I30" s="139">
        <f>I92*'01_Вводные'!$H$270</f>
        <v/>
      </c>
      <c r="J30" s="139">
        <f>J92*'01_Вводные'!$H$271</f>
        <v/>
      </c>
      <c r="K30" s="139">
        <f>K92*'01_Вводные'!$H$272</f>
        <v/>
      </c>
      <c r="L30" s="139">
        <f>L92*'01_Вводные'!$H$273</f>
        <v/>
      </c>
      <c r="M30" s="139">
        <f>M92*'01_Вводные'!$H$274</f>
        <v/>
      </c>
      <c r="N30" s="139">
        <f>N92*'01_Вводные'!$H$275</f>
        <v/>
      </c>
      <c r="O30" s="139">
        <f>O92*'01_Вводные'!$H$276</f>
        <v/>
      </c>
      <c r="P30" s="139">
        <f>P92*'01_Вводные'!$H$277</f>
        <v/>
      </c>
      <c r="Q30" s="139">
        <f>Q92*'01_Вводные'!$H$278</f>
        <v/>
      </c>
      <c r="R30" s="139">
        <f>R92*'01_Вводные'!$H$279</f>
        <v/>
      </c>
      <c r="S30" s="139">
        <f>S92*'01_Вводные'!$H$280</f>
        <v/>
      </c>
      <c r="T30" s="139">
        <f>T92*'01_Вводные'!$H$281</f>
        <v/>
      </c>
      <c r="U30" s="139">
        <f>U92*'01_Вводные'!$H$282</f>
        <v/>
      </c>
      <c r="W30" s="141">
        <f>SUMPRODUCT($B$22:$U$22,B92:U92)</f>
        <v/>
      </c>
      <c r="X30" s="141">
        <f>SUMPRODUCT($B$22:$U$22,B60:U60)</f>
        <v/>
      </c>
    </row>
    <row r="31">
      <c r="A31" s="137" t="inlineStr">
        <is>
          <t>8</t>
        </is>
      </c>
      <c r="B31" s="139">
        <f>B93*'01_Вводные'!$H$263</f>
        <v/>
      </c>
      <c r="C31" s="139">
        <f>C93*'01_Вводные'!$H$264</f>
        <v/>
      </c>
      <c r="D31" s="139">
        <f>D93*'01_Вводные'!$H$265</f>
        <v/>
      </c>
      <c r="E31" s="139">
        <f>E93*'01_Вводные'!$H$266</f>
        <v/>
      </c>
      <c r="F31" s="139">
        <f>F93*'01_Вводные'!$H$267</f>
        <v/>
      </c>
      <c r="G31" s="139">
        <f>G93*'01_Вводные'!$H$268</f>
        <v/>
      </c>
      <c r="H31" s="139">
        <f>H93*'01_Вводные'!$H$269</f>
        <v/>
      </c>
      <c r="I31" s="139">
        <f>I93*'01_Вводные'!$H$270</f>
        <v/>
      </c>
      <c r="J31" s="139">
        <f>J93*'01_Вводные'!$H$271</f>
        <v/>
      </c>
      <c r="K31" s="139">
        <f>K93*'01_Вводные'!$H$272</f>
        <v/>
      </c>
      <c r="L31" s="139">
        <f>L93*'01_Вводные'!$H$273</f>
        <v/>
      </c>
      <c r="M31" s="139">
        <f>M93*'01_Вводные'!$H$274</f>
        <v/>
      </c>
      <c r="N31" s="139">
        <f>N93*'01_Вводные'!$H$275</f>
        <v/>
      </c>
      <c r="O31" s="139">
        <f>O93*'01_Вводные'!$H$276</f>
        <v/>
      </c>
      <c r="P31" s="139">
        <f>P93*'01_Вводные'!$H$277</f>
        <v/>
      </c>
      <c r="Q31" s="139">
        <f>Q93*'01_Вводные'!$H$278</f>
        <v/>
      </c>
      <c r="R31" s="139">
        <f>R93*'01_Вводные'!$H$279</f>
        <v/>
      </c>
      <c r="S31" s="139">
        <f>S93*'01_Вводные'!$H$280</f>
        <v/>
      </c>
      <c r="T31" s="139">
        <f>T93*'01_Вводные'!$H$281</f>
        <v/>
      </c>
      <c r="U31" s="139">
        <f>U93*'01_Вводные'!$H$282</f>
        <v/>
      </c>
      <c r="W31" s="141">
        <f>SUMPRODUCT($B$22:$U$22,B93:U93)</f>
        <v/>
      </c>
      <c r="X31" s="141">
        <f>SUMPRODUCT($B$22:$U$22,B61:U61)</f>
        <v/>
      </c>
    </row>
    <row r="32">
      <c r="A32" s="137" t="inlineStr">
        <is>
          <t>9</t>
        </is>
      </c>
      <c r="B32" s="139">
        <f>B94*'01_Вводные'!$H$263</f>
        <v/>
      </c>
      <c r="C32" s="139">
        <f>C94*'01_Вводные'!$H$264</f>
        <v/>
      </c>
      <c r="D32" s="139">
        <f>D94*'01_Вводные'!$H$265</f>
        <v/>
      </c>
      <c r="E32" s="139">
        <f>E94*'01_Вводные'!$H$266</f>
        <v/>
      </c>
      <c r="F32" s="139">
        <f>F94*'01_Вводные'!$H$267</f>
        <v/>
      </c>
      <c r="G32" s="139">
        <f>G94*'01_Вводные'!$H$268</f>
        <v/>
      </c>
      <c r="H32" s="139">
        <f>H94*'01_Вводные'!$H$269</f>
        <v/>
      </c>
      <c r="I32" s="139">
        <f>I94*'01_Вводные'!$H$270</f>
        <v/>
      </c>
      <c r="J32" s="139">
        <f>J94*'01_Вводные'!$H$271</f>
        <v/>
      </c>
      <c r="K32" s="139">
        <f>K94*'01_Вводные'!$H$272</f>
        <v/>
      </c>
      <c r="L32" s="139">
        <f>L94*'01_Вводные'!$H$273</f>
        <v/>
      </c>
      <c r="M32" s="139">
        <f>M94*'01_Вводные'!$H$274</f>
        <v/>
      </c>
      <c r="N32" s="139">
        <f>N94*'01_Вводные'!$H$275</f>
        <v/>
      </c>
      <c r="O32" s="139">
        <f>O94*'01_Вводные'!$H$276</f>
        <v/>
      </c>
      <c r="P32" s="139">
        <f>P94*'01_Вводные'!$H$277</f>
        <v/>
      </c>
      <c r="Q32" s="139">
        <f>Q94*'01_Вводные'!$H$278</f>
        <v/>
      </c>
      <c r="R32" s="139">
        <f>R94*'01_Вводные'!$H$279</f>
        <v/>
      </c>
      <c r="S32" s="139">
        <f>S94*'01_Вводные'!$H$280</f>
        <v/>
      </c>
      <c r="T32" s="139">
        <f>T94*'01_Вводные'!$H$281</f>
        <v/>
      </c>
      <c r="U32" s="139">
        <f>U94*'01_Вводные'!$H$282</f>
        <v/>
      </c>
      <c r="W32" s="141">
        <f>SUMPRODUCT($B$22:$U$22,B94:U94)</f>
        <v/>
      </c>
      <c r="X32" s="141">
        <f>SUMPRODUCT($B$22:$U$22,B62:U62)</f>
        <v/>
      </c>
    </row>
    <row r="33">
      <c r="A33" s="137" t="inlineStr">
        <is>
          <t>10</t>
        </is>
      </c>
      <c r="B33" s="139">
        <f>B95*'01_Вводные'!$H$263</f>
        <v/>
      </c>
      <c r="C33" s="139">
        <f>C95*'01_Вводные'!$H$264</f>
        <v/>
      </c>
      <c r="D33" s="139">
        <f>D95*'01_Вводные'!$H$265</f>
        <v/>
      </c>
      <c r="E33" s="139">
        <f>E95*'01_Вводные'!$H$266</f>
        <v/>
      </c>
      <c r="F33" s="139">
        <f>F95*'01_Вводные'!$H$267</f>
        <v/>
      </c>
      <c r="G33" s="139">
        <f>G95*'01_Вводные'!$H$268</f>
        <v/>
      </c>
      <c r="H33" s="139">
        <f>H95*'01_Вводные'!$H$269</f>
        <v/>
      </c>
      <c r="I33" s="139">
        <f>I95*'01_Вводные'!$H$270</f>
        <v/>
      </c>
      <c r="J33" s="139">
        <f>J95*'01_Вводные'!$H$271</f>
        <v/>
      </c>
      <c r="K33" s="139">
        <f>K95*'01_Вводные'!$H$272</f>
        <v/>
      </c>
      <c r="L33" s="139">
        <f>L95*'01_Вводные'!$H$273</f>
        <v/>
      </c>
      <c r="M33" s="139">
        <f>M95*'01_Вводные'!$H$274</f>
        <v/>
      </c>
      <c r="N33" s="139">
        <f>N95*'01_Вводные'!$H$275</f>
        <v/>
      </c>
      <c r="O33" s="139">
        <f>O95*'01_Вводные'!$H$276</f>
        <v/>
      </c>
      <c r="P33" s="139">
        <f>P95*'01_Вводные'!$H$277</f>
        <v/>
      </c>
      <c r="Q33" s="139">
        <f>Q95*'01_Вводные'!$H$278</f>
        <v/>
      </c>
      <c r="R33" s="139">
        <f>R95*'01_Вводные'!$H$279</f>
        <v/>
      </c>
      <c r="S33" s="139">
        <f>S95*'01_Вводные'!$H$280</f>
        <v/>
      </c>
      <c r="T33" s="139">
        <f>T95*'01_Вводные'!$H$281</f>
        <v/>
      </c>
      <c r="U33" s="139">
        <f>U95*'01_Вводные'!$H$282</f>
        <v/>
      </c>
      <c r="W33" s="141">
        <f>SUMPRODUCT($B$22:$U$22,B95:U95)</f>
        <v/>
      </c>
      <c r="X33" s="141">
        <f>SUMPRODUCT($B$22:$U$22,B63:U63)</f>
        <v/>
      </c>
    </row>
    <row r="34">
      <c r="A34" s="137" t="inlineStr">
        <is>
          <t>11</t>
        </is>
      </c>
      <c r="B34" s="139">
        <f>B96*'01_Вводные'!$H$263</f>
        <v/>
      </c>
      <c r="C34" s="139">
        <f>C96*'01_Вводные'!$H$264</f>
        <v/>
      </c>
      <c r="D34" s="139">
        <f>D96*'01_Вводные'!$H$265</f>
        <v/>
      </c>
      <c r="E34" s="139">
        <f>E96*'01_Вводные'!$H$266</f>
        <v/>
      </c>
      <c r="F34" s="139">
        <f>F96*'01_Вводные'!$H$267</f>
        <v/>
      </c>
      <c r="G34" s="139">
        <f>G96*'01_Вводные'!$H$268</f>
        <v/>
      </c>
      <c r="H34" s="139">
        <f>H96*'01_Вводные'!$H$269</f>
        <v/>
      </c>
      <c r="I34" s="139">
        <f>I96*'01_Вводные'!$H$270</f>
        <v/>
      </c>
      <c r="J34" s="139">
        <f>J96*'01_Вводные'!$H$271</f>
        <v/>
      </c>
      <c r="K34" s="139">
        <f>K96*'01_Вводные'!$H$272</f>
        <v/>
      </c>
      <c r="L34" s="139">
        <f>L96*'01_Вводные'!$H$273</f>
        <v/>
      </c>
      <c r="M34" s="139">
        <f>M96*'01_Вводные'!$H$274</f>
        <v/>
      </c>
      <c r="N34" s="139">
        <f>N96*'01_Вводные'!$H$275</f>
        <v/>
      </c>
      <c r="O34" s="139">
        <f>O96*'01_Вводные'!$H$276</f>
        <v/>
      </c>
      <c r="P34" s="139">
        <f>P96*'01_Вводные'!$H$277</f>
        <v/>
      </c>
      <c r="Q34" s="139">
        <f>Q96*'01_Вводные'!$H$278</f>
        <v/>
      </c>
      <c r="R34" s="139">
        <f>R96*'01_Вводные'!$H$279</f>
        <v/>
      </c>
      <c r="S34" s="139">
        <f>S96*'01_Вводные'!$H$280</f>
        <v/>
      </c>
      <c r="T34" s="139">
        <f>T96*'01_Вводные'!$H$281</f>
        <v/>
      </c>
      <c r="U34" s="139">
        <f>U96*'01_Вводные'!$H$282</f>
        <v/>
      </c>
      <c r="W34" s="141">
        <f>SUMPRODUCT($B$22:$U$22,B96:U96)</f>
        <v/>
      </c>
      <c r="X34" s="141">
        <f>SUMPRODUCT($B$22:$U$22,B64:U64)</f>
        <v/>
      </c>
    </row>
    <row r="35">
      <c r="A35" s="137" t="inlineStr">
        <is>
          <t>12</t>
        </is>
      </c>
      <c r="B35" s="139">
        <f>B97*'01_Вводные'!$H$263</f>
        <v/>
      </c>
      <c r="C35" s="139">
        <f>C97*'01_Вводные'!$H$264</f>
        <v/>
      </c>
      <c r="D35" s="139">
        <f>D97*'01_Вводные'!$H$265</f>
        <v/>
      </c>
      <c r="E35" s="139">
        <f>E97*'01_Вводные'!$H$266</f>
        <v/>
      </c>
      <c r="F35" s="139">
        <f>F97*'01_Вводные'!$H$267</f>
        <v/>
      </c>
      <c r="G35" s="139">
        <f>G97*'01_Вводные'!$H$268</f>
        <v/>
      </c>
      <c r="H35" s="139">
        <f>H97*'01_Вводные'!$H$269</f>
        <v/>
      </c>
      <c r="I35" s="139">
        <f>I97*'01_Вводные'!$H$270</f>
        <v/>
      </c>
      <c r="J35" s="139">
        <f>J97*'01_Вводные'!$H$271</f>
        <v/>
      </c>
      <c r="K35" s="139">
        <f>K97*'01_Вводные'!$H$272</f>
        <v/>
      </c>
      <c r="L35" s="139">
        <f>L97*'01_Вводные'!$H$273</f>
        <v/>
      </c>
      <c r="M35" s="139">
        <f>M97*'01_Вводные'!$H$274</f>
        <v/>
      </c>
      <c r="N35" s="139">
        <f>N97*'01_Вводные'!$H$275</f>
        <v/>
      </c>
      <c r="O35" s="139">
        <f>O97*'01_Вводные'!$H$276</f>
        <v/>
      </c>
      <c r="P35" s="139">
        <f>P97*'01_Вводные'!$H$277</f>
        <v/>
      </c>
      <c r="Q35" s="139">
        <f>Q97*'01_Вводные'!$H$278</f>
        <v/>
      </c>
      <c r="R35" s="139">
        <f>R97*'01_Вводные'!$H$279</f>
        <v/>
      </c>
      <c r="S35" s="139">
        <f>S97*'01_Вводные'!$H$280</f>
        <v/>
      </c>
      <c r="T35" s="139">
        <f>T97*'01_Вводные'!$H$281</f>
        <v/>
      </c>
      <c r="U35" s="139">
        <f>U97*'01_Вводные'!$H$282</f>
        <v/>
      </c>
      <c r="W35" s="141">
        <f>SUMPRODUCT($B$22:$U$22,B97:U97)</f>
        <v/>
      </c>
      <c r="X35" s="141">
        <f>SUMPRODUCT($B$22:$U$22,B65:U65)</f>
        <v/>
      </c>
    </row>
    <row r="36">
      <c r="A36" s="137" t="inlineStr">
        <is>
          <t>13</t>
        </is>
      </c>
      <c r="B36" s="139">
        <f>B98*'01_Вводные'!$H$263</f>
        <v/>
      </c>
      <c r="C36" s="139">
        <f>C98*'01_Вводные'!$H$264</f>
        <v/>
      </c>
      <c r="D36" s="139">
        <f>D98*'01_Вводные'!$H$265</f>
        <v/>
      </c>
      <c r="E36" s="139">
        <f>E98*'01_Вводные'!$H$266</f>
        <v/>
      </c>
      <c r="F36" s="139">
        <f>F98*'01_Вводные'!$H$267</f>
        <v/>
      </c>
      <c r="G36" s="139">
        <f>G98*'01_Вводные'!$H$268</f>
        <v/>
      </c>
      <c r="H36" s="139">
        <f>H98*'01_Вводные'!$H$269</f>
        <v/>
      </c>
      <c r="I36" s="139">
        <f>I98*'01_Вводные'!$H$270</f>
        <v/>
      </c>
      <c r="J36" s="139">
        <f>J98*'01_Вводные'!$H$271</f>
        <v/>
      </c>
      <c r="K36" s="139">
        <f>K98*'01_Вводные'!$H$272</f>
        <v/>
      </c>
      <c r="L36" s="139">
        <f>L98*'01_Вводные'!$H$273</f>
        <v/>
      </c>
      <c r="M36" s="139">
        <f>M98*'01_Вводные'!$H$274</f>
        <v/>
      </c>
      <c r="N36" s="139">
        <f>N98*'01_Вводные'!$H$275</f>
        <v/>
      </c>
      <c r="O36" s="139">
        <f>O98*'01_Вводные'!$H$276</f>
        <v/>
      </c>
      <c r="P36" s="139">
        <f>P98*'01_Вводные'!$H$277</f>
        <v/>
      </c>
      <c r="Q36" s="139">
        <f>Q98*'01_Вводные'!$H$278</f>
        <v/>
      </c>
      <c r="R36" s="139">
        <f>R98*'01_Вводные'!$H$279</f>
        <v/>
      </c>
      <c r="S36" s="139">
        <f>S98*'01_Вводные'!$H$280</f>
        <v/>
      </c>
      <c r="T36" s="139">
        <f>T98*'01_Вводные'!$H$281</f>
        <v/>
      </c>
      <c r="U36" s="139">
        <f>U98*'01_Вводные'!$H$282</f>
        <v/>
      </c>
      <c r="W36" s="141">
        <f>SUMPRODUCT($B$22:$U$22,B98:U98)</f>
        <v/>
      </c>
      <c r="X36" s="141">
        <f>SUMPRODUCT($B$22:$U$22,B66:U66)</f>
        <v/>
      </c>
    </row>
    <row r="37">
      <c r="A37" s="137" t="inlineStr">
        <is>
          <t>14</t>
        </is>
      </c>
      <c r="B37" s="139">
        <f>B99*'01_Вводные'!$H$263</f>
        <v/>
      </c>
      <c r="C37" s="139">
        <f>C99*'01_Вводные'!$H$264</f>
        <v/>
      </c>
      <c r="D37" s="139">
        <f>D99*'01_Вводные'!$H$265</f>
        <v/>
      </c>
      <c r="E37" s="139">
        <f>E99*'01_Вводные'!$H$266</f>
        <v/>
      </c>
      <c r="F37" s="139">
        <f>F99*'01_Вводные'!$H$267</f>
        <v/>
      </c>
      <c r="G37" s="139">
        <f>G99*'01_Вводные'!$H$268</f>
        <v/>
      </c>
      <c r="H37" s="139">
        <f>H99*'01_Вводные'!$H$269</f>
        <v/>
      </c>
      <c r="I37" s="139">
        <f>I99*'01_Вводные'!$H$270</f>
        <v/>
      </c>
      <c r="J37" s="139">
        <f>J99*'01_Вводные'!$H$271</f>
        <v/>
      </c>
      <c r="K37" s="139">
        <f>K99*'01_Вводные'!$H$272</f>
        <v/>
      </c>
      <c r="L37" s="139">
        <f>L99*'01_Вводные'!$H$273</f>
        <v/>
      </c>
      <c r="M37" s="139">
        <f>M99*'01_Вводные'!$H$274</f>
        <v/>
      </c>
      <c r="N37" s="139">
        <f>N99*'01_Вводные'!$H$275</f>
        <v/>
      </c>
      <c r="O37" s="139">
        <f>O99*'01_Вводные'!$H$276</f>
        <v/>
      </c>
      <c r="P37" s="139">
        <f>P99*'01_Вводные'!$H$277</f>
        <v/>
      </c>
      <c r="Q37" s="139">
        <f>Q99*'01_Вводные'!$H$278</f>
        <v/>
      </c>
      <c r="R37" s="139">
        <f>R99*'01_Вводные'!$H$279</f>
        <v/>
      </c>
      <c r="S37" s="139">
        <f>S99*'01_Вводные'!$H$280</f>
        <v/>
      </c>
      <c r="T37" s="139">
        <f>T99*'01_Вводные'!$H$281</f>
        <v/>
      </c>
      <c r="U37" s="139">
        <f>U99*'01_Вводные'!$H$282</f>
        <v/>
      </c>
      <c r="W37" s="141">
        <f>SUMPRODUCT($B$22:$U$22,B99:U99)</f>
        <v/>
      </c>
      <c r="X37" s="141">
        <f>SUMPRODUCT($B$22:$U$22,B67:U67)</f>
        <v/>
      </c>
    </row>
    <row r="38">
      <c r="A38" s="137" t="inlineStr">
        <is>
          <t>15</t>
        </is>
      </c>
      <c r="B38" s="139">
        <f>B100*'01_Вводные'!$H$263</f>
        <v/>
      </c>
      <c r="C38" s="139">
        <f>C100*'01_Вводные'!$H$264</f>
        <v/>
      </c>
      <c r="D38" s="139">
        <f>D100*'01_Вводные'!$H$265</f>
        <v/>
      </c>
      <c r="E38" s="139">
        <f>E100*'01_Вводные'!$H$266</f>
        <v/>
      </c>
      <c r="F38" s="139">
        <f>F100*'01_Вводные'!$H$267</f>
        <v/>
      </c>
      <c r="G38" s="139">
        <f>G100*'01_Вводные'!$H$268</f>
        <v/>
      </c>
      <c r="H38" s="139">
        <f>H100*'01_Вводные'!$H$269</f>
        <v/>
      </c>
      <c r="I38" s="139">
        <f>I100*'01_Вводные'!$H$270</f>
        <v/>
      </c>
      <c r="J38" s="139">
        <f>J100*'01_Вводные'!$H$271</f>
        <v/>
      </c>
      <c r="K38" s="139">
        <f>K100*'01_Вводные'!$H$272</f>
        <v/>
      </c>
      <c r="L38" s="139">
        <f>L100*'01_Вводные'!$H$273</f>
        <v/>
      </c>
      <c r="M38" s="139">
        <f>M100*'01_Вводные'!$H$274</f>
        <v/>
      </c>
      <c r="N38" s="139">
        <f>N100*'01_Вводные'!$H$275</f>
        <v/>
      </c>
      <c r="O38" s="139">
        <f>O100*'01_Вводные'!$H$276</f>
        <v/>
      </c>
      <c r="P38" s="139">
        <f>P100*'01_Вводные'!$H$277</f>
        <v/>
      </c>
      <c r="Q38" s="139">
        <f>Q100*'01_Вводные'!$H$278</f>
        <v/>
      </c>
      <c r="R38" s="139">
        <f>R100*'01_Вводные'!$H$279</f>
        <v/>
      </c>
      <c r="S38" s="139">
        <f>S100*'01_Вводные'!$H$280</f>
        <v/>
      </c>
      <c r="T38" s="139">
        <f>T100*'01_Вводные'!$H$281</f>
        <v/>
      </c>
      <c r="U38" s="139">
        <f>U100*'01_Вводные'!$H$282</f>
        <v/>
      </c>
      <c r="W38" s="141">
        <f>SUMPRODUCT($B$22:$U$22,B100:U100)</f>
        <v/>
      </c>
      <c r="X38" s="141">
        <f>SUMPRODUCT($B$22:$U$22,B68:U68)</f>
        <v/>
      </c>
    </row>
    <row r="39">
      <c r="A39" s="137" t="inlineStr">
        <is>
          <t>16</t>
        </is>
      </c>
      <c r="B39" s="139">
        <f>B101*'01_Вводные'!$H$263</f>
        <v/>
      </c>
      <c r="C39" s="139">
        <f>C101*'01_Вводные'!$H$264</f>
        <v/>
      </c>
      <c r="D39" s="139">
        <f>D101*'01_Вводные'!$H$265</f>
        <v/>
      </c>
      <c r="E39" s="139">
        <f>E101*'01_Вводные'!$H$266</f>
        <v/>
      </c>
      <c r="F39" s="139">
        <f>F101*'01_Вводные'!$H$267</f>
        <v/>
      </c>
      <c r="G39" s="139">
        <f>G101*'01_Вводные'!$H$268</f>
        <v/>
      </c>
      <c r="H39" s="139">
        <f>H101*'01_Вводные'!$H$269</f>
        <v/>
      </c>
      <c r="I39" s="139">
        <f>I101*'01_Вводные'!$H$270</f>
        <v/>
      </c>
      <c r="J39" s="139">
        <f>J101*'01_Вводные'!$H$271</f>
        <v/>
      </c>
      <c r="K39" s="139">
        <f>K101*'01_Вводные'!$H$272</f>
        <v/>
      </c>
      <c r="L39" s="139">
        <f>L101*'01_Вводные'!$H$273</f>
        <v/>
      </c>
      <c r="M39" s="139">
        <f>M101*'01_Вводные'!$H$274</f>
        <v/>
      </c>
      <c r="N39" s="139">
        <f>N101*'01_Вводные'!$H$275</f>
        <v/>
      </c>
      <c r="O39" s="139">
        <f>O101*'01_Вводные'!$H$276</f>
        <v/>
      </c>
      <c r="P39" s="139">
        <f>P101*'01_Вводные'!$H$277</f>
        <v/>
      </c>
      <c r="Q39" s="139">
        <f>Q101*'01_Вводные'!$H$278</f>
        <v/>
      </c>
      <c r="R39" s="139">
        <f>R101*'01_Вводные'!$H$279</f>
        <v/>
      </c>
      <c r="S39" s="139">
        <f>S101*'01_Вводные'!$H$280</f>
        <v/>
      </c>
      <c r="T39" s="139">
        <f>T101*'01_Вводные'!$H$281</f>
        <v/>
      </c>
      <c r="U39" s="139">
        <f>U101*'01_Вводные'!$H$282</f>
        <v/>
      </c>
      <c r="W39" s="141">
        <f>SUMPRODUCT($B$22:$U$22,B101:U101)</f>
        <v/>
      </c>
      <c r="X39" s="141">
        <f>SUMPRODUCT($B$22:$U$22,B69:U69)</f>
        <v/>
      </c>
    </row>
    <row r="40">
      <c r="A40" s="137" t="inlineStr">
        <is>
          <t>17</t>
        </is>
      </c>
      <c r="B40" s="139">
        <f>B102*'01_Вводные'!$H$263</f>
        <v/>
      </c>
      <c r="C40" s="139">
        <f>C102*'01_Вводные'!$H$264</f>
        <v/>
      </c>
      <c r="D40" s="139">
        <f>D102*'01_Вводные'!$H$265</f>
        <v/>
      </c>
      <c r="E40" s="139">
        <f>E102*'01_Вводные'!$H$266</f>
        <v/>
      </c>
      <c r="F40" s="139">
        <f>F102*'01_Вводные'!$H$267</f>
        <v/>
      </c>
      <c r="G40" s="139">
        <f>G102*'01_Вводные'!$H$268</f>
        <v/>
      </c>
      <c r="H40" s="139">
        <f>H102*'01_Вводные'!$H$269</f>
        <v/>
      </c>
      <c r="I40" s="139">
        <f>I102*'01_Вводные'!$H$270</f>
        <v/>
      </c>
      <c r="J40" s="139">
        <f>J102*'01_Вводные'!$H$271</f>
        <v/>
      </c>
      <c r="K40" s="139">
        <f>K102*'01_Вводные'!$H$272</f>
        <v/>
      </c>
      <c r="L40" s="139">
        <f>L102*'01_Вводные'!$H$273</f>
        <v/>
      </c>
      <c r="M40" s="139">
        <f>M102*'01_Вводные'!$H$274</f>
        <v/>
      </c>
      <c r="N40" s="139">
        <f>N102*'01_Вводные'!$H$275</f>
        <v/>
      </c>
      <c r="O40" s="139">
        <f>O102*'01_Вводные'!$H$276</f>
        <v/>
      </c>
      <c r="P40" s="139">
        <f>P102*'01_Вводные'!$H$277</f>
        <v/>
      </c>
      <c r="Q40" s="139">
        <f>Q102*'01_Вводные'!$H$278</f>
        <v/>
      </c>
      <c r="R40" s="139">
        <f>R102*'01_Вводные'!$H$279</f>
        <v/>
      </c>
      <c r="S40" s="139">
        <f>S102*'01_Вводные'!$H$280</f>
        <v/>
      </c>
      <c r="T40" s="139">
        <f>T102*'01_Вводные'!$H$281</f>
        <v/>
      </c>
      <c r="U40" s="139">
        <f>U102*'01_Вводные'!$H$282</f>
        <v/>
      </c>
      <c r="W40" s="141">
        <f>SUMPRODUCT($B$22:$U$22,B102:U102)</f>
        <v/>
      </c>
      <c r="X40" s="141">
        <f>SUMPRODUCT($B$22:$U$22,B70:U70)</f>
        <v/>
      </c>
    </row>
    <row r="41">
      <c r="A41" s="137" t="inlineStr">
        <is>
          <t>18</t>
        </is>
      </c>
      <c r="B41" s="139">
        <f>B103*'01_Вводные'!$H$263</f>
        <v/>
      </c>
      <c r="C41" s="139">
        <f>C103*'01_Вводные'!$H$264</f>
        <v/>
      </c>
      <c r="D41" s="139">
        <f>D103*'01_Вводные'!$H$265</f>
        <v/>
      </c>
      <c r="E41" s="139">
        <f>E103*'01_Вводные'!$H$266</f>
        <v/>
      </c>
      <c r="F41" s="139">
        <f>F103*'01_Вводные'!$H$267</f>
        <v/>
      </c>
      <c r="G41" s="139">
        <f>G103*'01_Вводные'!$H$268</f>
        <v/>
      </c>
      <c r="H41" s="139">
        <f>H103*'01_Вводные'!$H$269</f>
        <v/>
      </c>
      <c r="I41" s="139">
        <f>I103*'01_Вводные'!$H$270</f>
        <v/>
      </c>
      <c r="J41" s="139">
        <f>J103*'01_Вводные'!$H$271</f>
        <v/>
      </c>
      <c r="K41" s="139">
        <f>K103*'01_Вводные'!$H$272</f>
        <v/>
      </c>
      <c r="L41" s="139">
        <f>L103*'01_Вводные'!$H$273</f>
        <v/>
      </c>
      <c r="M41" s="139">
        <f>M103*'01_Вводные'!$H$274</f>
        <v/>
      </c>
      <c r="N41" s="139">
        <f>N103*'01_Вводные'!$H$275</f>
        <v/>
      </c>
      <c r="O41" s="139">
        <f>O103*'01_Вводные'!$H$276</f>
        <v/>
      </c>
      <c r="P41" s="139">
        <f>P103*'01_Вводные'!$H$277</f>
        <v/>
      </c>
      <c r="Q41" s="139">
        <f>Q103*'01_Вводные'!$H$278</f>
        <v/>
      </c>
      <c r="R41" s="139">
        <f>R103*'01_Вводные'!$H$279</f>
        <v/>
      </c>
      <c r="S41" s="139">
        <f>S103*'01_Вводные'!$H$280</f>
        <v/>
      </c>
      <c r="T41" s="139">
        <f>T103*'01_Вводные'!$H$281</f>
        <v/>
      </c>
      <c r="U41" s="139">
        <f>U103*'01_Вводные'!$H$282</f>
        <v/>
      </c>
      <c r="W41" s="141">
        <f>SUMPRODUCT($B$22:$U$22,B103:U103)</f>
        <v/>
      </c>
      <c r="X41" s="141">
        <f>SUMPRODUCT($B$22:$U$22,B71:U71)</f>
        <v/>
      </c>
    </row>
    <row r="42">
      <c r="A42" s="137" t="inlineStr">
        <is>
          <t>19</t>
        </is>
      </c>
      <c r="B42" s="139">
        <f>B104*'01_Вводные'!$H$263</f>
        <v/>
      </c>
      <c r="C42" s="139">
        <f>C104*'01_Вводные'!$H$264</f>
        <v/>
      </c>
      <c r="D42" s="139">
        <f>D104*'01_Вводные'!$H$265</f>
        <v/>
      </c>
      <c r="E42" s="139">
        <f>E104*'01_Вводные'!$H$266</f>
        <v/>
      </c>
      <c r="F42" s="139">
        <f>F104*'01_Вводные'!$H$267</f>
        <v/>
      </c>
      <c r="G42" s="139">
        <f>G104*'01_Вводные'!$H$268</f>
        <v/>
      </c>
      <c r="H42" s="139">
        <f>H104*'01_Вводные'!$H$269</f>
        <v/>
      </c>
      <c r="I42" s="139">
        <f>I104*'01_Вводные'!$H$270</f>
        <v/>
      </c>
      <c r="J42" s="139">
        <f>J104*'01_Вводные'!$H$271</f>
        <v/>
      </c>
      <c r="K42" s="139">
        <f>K104*'01_Вводные'!$H$272</f>
        <v/>
      </c>
      <c r="L42" s="139">
        <f>L104*'01_Вводные'!$H$273</f>
        <v/>
      </c>
      <c r="M42" s="139">
        <f>M104*'01_Вводные'!$H$274</f>
        <v/>
      </c>
      <c r="N42" s="139">
        <f>N104*'01_Вводные'!$H$275</f>
        <v/>
      </c>
      <c r="O42" s="139">
        <f>O104*'01_Вводные'!$H$276</f>
        <v/>
      </c>
      <c r="P42" s="139">
        <f>P104*'01_Вводные'!$H$277</f>
        <v/>
      </c>
      <c r="Q42" s="139">
        <f>Q104*'01_Вводные'!$H$278</f>
        <v/>
      </c>
      <c r="R42" s="139">
        <f>R104*'01_Вводные'!$H$279</f>
        <v/>
      </c>
      <c r="S42" s="139">
        <f>S104*'01_Вводные'!$H$280</f>
        <v/>
      </c>
      <c r="T42" s="139">
        <f>T104*'01_Вводные'!$H$281</f>
        <v/>
      </c>
      <c r="U42" s="139">
        <f>U104*'01_Вводные'!$H$282</f>
        <v/>
      </c>
      <c r="W42" s="141">
        <f>SUMPRODUCT($B$22:$U$22,B104:U104)</f>
        <v/>
      </c>
      <c r="X42" s="141">
        <f>SUMPRODUCT($B$22:$U$22,B72:U72)</f>
        <v/>
      </c>
    </row>
    <row r="43">
      <c r="A43" s="137" t="inlineStr">
        <is>
          <t>20</t>
        </is>
      </c>
      <c r="B43" s="139">
        <f>B105*'01_Вводные'!$H$263</f>
        <v/>
      </c>
      <c r="C43" s="139">
        <f>C105*'01_Вводные'!$H$264</f>
        <v/>
      </c>
      <c r="D43" s="139">
        <f>D105*'01_Вводные'!$H$265</f>
        <v/>
      </c>
      <c r="E43" s="139">
        <f>E105*'01_Вводные'!$H$266</f>
        <v/>
      </c>
      <c r="F43" s="139">
        <f>F105*'01_Вводные'!$H$267</f>
        <v/>
      </c>
      <c r="G43" s="139">
        <f>G105*'01_Вводные'!$H$268</f>
        <v/>
      </c>
      <c r="H43" s="139">
        <f>H105*'01_Вводные'!$H$269</f>
        <v/>
      </c>
      <c r="I43" s="139">
        <f>I105*'01_Вводные'!$H$270</f>
        <v/>
      </c>
      <c r="J43" s="139">
        <f>J105*'01_Вводные'!$H$271</f>
        <v/>
      </c>
      <c r="K43" s="139">
        <f>K105*'01_Вводные'!$H$272</f>
        <v/>
      </c>
      <c r="L43" s="139">
        <f>L105*'01_Вводные'!$H$273</f>
        <v/>
      </c>
      <c r="M43" s="139">
        <f>M105*'01_Вводные'!$H$274</f>
        <v/>
      </c>
      <c r="N43" s="139">
        <f>N105*'01_Вводные'!$H$275</f>
        <v/>
      </c>
      <c r="O43" s="139">
        <f>O105*'01_Вводные'!$H$276</f>
        <v/>
      </c>
      <c r="P43" s="139">
        <f>P105*'01_Вводные'!$H$277</f>
        <v/>
      </c>
      <c r="Q43" s="139">
        <f>Q105*'01_Вводные'!$H$278</f>
        <v/>
      </c>
      <c r="R43" s="139">
        <f>R105*'01_Вводные'!$H$279</f>
        <v/>
      </c>
      <c r="S43" s="139">
        <f>S105*'01_Вводные'!$H$280</f>
        <v/>
      </c>
      <c r="T43" s="139">
        <f>T105*'01_Вводные'!$H$281</f>
        <v/>
      </c>
      <c r="U43" s="139">
        <f>U105*'01_Вводные'!$H$282</f>
        <v/>
      </c>
      <c r="W43" s="141">
        <f>SUMPRODUCT($B$22:$U$22,B105:U105)</f>
        <v/>
      </c>
      <c r="X43" s="141">
        <f>SUMPRODUCT($B$22:$U$22,B73:U73)</f>
        <v/>
      </c>
    </row>
    <row r="44">
      <c r="A44" s="137" t="inlineStr">
        <is>
          <t>21</t>
        </is>
      </c>
      <c r="B44" s="139">
        <f>B106*'01_Вводные'!$H$263</f>
        <v/>
      </c>
      <c r="C44" s="139">
        <f>C106*'01_Вводные'!$H$264</f>
        <v/>
      </c>
      <c r="D44" s="139">
        <f>D106*'01_Вводные'!$H$265</f>
        <v/>
      </c>
      <c r="E44" s="139">
        <f>E106*'01_Вводные'!$H$266</f>
        <v/>
      </c>
      <c r="F44" s="139">
        <f>F106*'01_Вводные'!$H$267</f>
        <v/>
      </c>
      <c r="G44" s="139">
        <f>G106*'01_Вводные'!$H$268</f>
        <v/>
      </c>
      <c r="H44" s="139">
        <f>H106*'01_Вводные'!$H$269</f>
        <v/>
      </c>
      <c r="I44" s="139">
        <f>I106*'01_Вводные'!$H$270</f>
        <v/>
      </c>
      <c r="J44" s="139">
        <f>J106*'01_Вводные'!$H$271</f>
        <v/>
      </c>
      <c r="K44" s="139">
        <f>K106*'01_Вводные'!$H$272</f>
        <v/>
      </c>
      <c r="L44" s="139">
        <f>L106*'01_Вводные'!$H$273</f>
        <v/>
      </c>
      <c r="M44" s="139">
        <f>M106*'01_Вводные'!$H$274</f>
        <v/>
      </c>
      <c r="N44" s="139">
        <f>N106*'01_Вводные'!$H$275</f>
        <v/>
      </c>
      <c r="O44" s="139">
        <f>O106*'01_Вводные'!$H$276</f>
        <v/>
      </c>
      <c r="P44" s="139">
        <f>P106*'01_Вводные'!$H$277</f>
        <v/>
      </c>
      <c r="Q44" s="139">
        <f>Q106*'01_Вводные'!$H$278</f>
        <v/>
      </c>
      <c r="R44" s="139">
        <f>R106*'01_Вводные'!$H$279</f>
        <v/>
      </c>
      <c r="S44" s="139">
        <f>S106*'01_Вводные'!$H$280</f>
        <v/>
      </c>
      <c r="T44" s="139">
        <f>T106*'01_Вводные'!$H$281</f>
        <v/>
      </c>
      <c r="U44" s="139">
        <f>U106*'01_Вводные'!$H$282</f>
        <v/>
      </c>
      <c r="W44" s="141">
        <f>SUMPRODUCT($B$22:$U$22,B106:U106)</f>
        <v/>
      </c>
      <c r="X44" s="141">
        <f>SUMPRODUCT($B$22:$U$22,B74:U74)</f>
        <v/>
      </c>
    </row>
    <row r="45">
      <c r="A45" s="137" t="inlineStr">
        <is>
          <t>22</t>
        </is>
      </c>
      <c r="B45" s="139">
        <f>B107*'01_Вводные'!$H$263</f>
        <v/>
      </c>
      <c r="C45" s="139">
        <f>C107*'01_Вводные'!$H$264</f>
        <v/>
      </c>
      <c r="D45" s="139">
        <f>D107*'01_Вводные'!$H$265</f>
        <v/>
      </c>
      <c r="E45" s="139">
        <f>E107*'01_Вводные'!$H$266</f>
        <v/>
      </c>
      <c r="F45" s="139">
        <f>F107*'01_Вводные'!$H$267</f>
        <v/>
      </c>
      <c r="G45" s="139">
        <f>G107*'01_Вводные'!$H$268</f>
        <v/>
      </c>
      <c r="H45" s="139">
        <f>H107*'01_Вводные'!$H$269</f>
        <v/>
      </c>
      <c r="I45" s="139">
        <f>I107*'01_Вводные'!$H$270</f>
        <v/>
      </c>
      <c r="J45" s="139">
        <f>J107*'01_Вводные'!$H$271</f>
        <v/>
      </c>
      <c r="K45" s="139">
        <f>K107*'01_Вводные'!$H$272</f>
        <v/>
      </c>
      <c r="L45" s="139">
        <f>L107*'01_Вводные'!$H$273</f>
        <v/>
      </c>
      <c r="M45" s="139">
        <f>M107*'01_Вводные'!$H$274</f>
        <v/>
      </c>
      <c r="N45" s="139">
        <f>N107*'01_Вводные'!$H$275</f>
        <v/>
      </c>
      <c r="O45" s="139">
        <f>O107*'01_Вводные'!$H$276</f>
        <v/>
      </c>
      <c r="P45" s="139">
        <f>P107*'01_Вводные'!$H$277</f>
        <v/>
      </c>
      <c r="Q45" s="139">
        <f>Q107*'01_Вводные'!$H$278</f>
        <v/>
      </c>
      <c r="R45" s="139">
        <f>R107*'01_Вводные'!$H$279</f>
        <v/>
      </c>
      <c r="S45" s="139">
        <f>S107*'01_Вводные'!$H$280</f>
        <v/>
      </c>
      <c r="T45" s="139">
        <f>T107*'01_Вводные'!$H$281</f>
        <v/>
      </c>
      <c r="U45" s="139">
        <f>U107*'01_Вводные'!$H$282</f>
        <v/>
      </c>
      <c r="W45" s="141">
        <f>SUMPRODUCT($B$22:$U$22,B107:U107)</f>
        <v/>
      </c>
      <c r="X45" s="141">
        <f>SUMPRODUCT($B$22:$U$22,B75:U75)</f>
        <v/>
      </c>
    </row>
    <row r="46">
      <c r="A46" s="137" t="inlineStr">
        <is>
          <t>23</t>
        </is>
      </c>
      <c r="B46" s="139">
        <f>B108*'01_Вводные'!$H$263</f>
        <v/>
      </c>
      <c r="C46" s="139">
        <f>C108*'01_Вводные'!$H$264</f>
        <v/>
      </c>
      <c r="D46" s="139">
        <f>D108*'01_Вводные'!$H$265</f>
        <v/>
      </c>
      <c r="E46" s="139">
        <f>E108*'01_Вводные'!$H$266</f>
        <v/>
      </c>
      <c r="F46" s="139">
        <f>F108*'01_Вводные'!$H$267</f>
        <v/>
      </c>
      <c r="G46" s="139">
        <f>G108*'01_Вводные'!$H$268</f>
        <v/>
      </c>
      <c r="H46" s="139">
        <f>H108*'01_Вводные'!$H$269</f>
        <v/>
      </c>
      <c r="I46" s="139">
        <f>I108*'01_Вводные'!$H$270</f>
        <v/>
      </c>
      <c r="J46" s="139">
        <f>J108*'01_Вводные'!$H$271</f>
        <v/>
      </c>
      <c r="K46" s="139">
        <f>K108*'01_Вводные'!$H$272</f>
        <v/>
      </c>
      <c r="L46" s="139">
        <f>L108*'01_Вводные'!$H$273</f>
        <v/>
      </c>
      <c r="M46" s="139">
        <f>M108*'01_Вводные'!$H$274</f>
        <v/>
      </c>
      <c r="N46" s="139">
        <f>N108*'01_Вводные'!$H$275</f>
        <v/>
      </c>
      <c r="O46" s="139">
        <f>O108*'01_Вводные'!$H$276</f>
        <v/>
      </c>
      <c r="P46" s="139">
        <f>P108*'01_Вводные'!$H$277</f>
        <v/>
      </c>
      <c r="Q46" s="139">
        <f>Q108*'01_Вводные'!$H$278</f>
        <v/>
      </c>
      <c r="R46" s="139">
        <f>R108*'01_Вводные'!$H$279</f>
        <v/>
      </c>
      <c r="S46" s="139">
        <f>S108*'01_Вводные'!$H$280</f>
        <v/>
      </c>
      <c r="T46" s="139">
        <f>T108*'01_Вводные'!$H$281</f>
        <v/>
      </c>
      <c r="U46" s="139">
        <f>U108*'01_Вводные'!$H$282</f>
        <v/>
      </c>
      <c r="W46" s="141">
        <f>SUMPRODUCT($B$22:$U$22,B108:U108)</f>
        <v/>
      </c>
      <c r="X46" s="141">
        <f>SUMPRODUCT($B$22:$U$22,B76:U76)</f>
        <v/>
      </c>
    </row>
    <row r="47">
      <c r="A47" s="137" t="inlineStr">
        <is>
          <t>24</t>
        </is>
      </c>
      <c r="B47" s="139">
        <f>B109*'01_Вводные'!$H$263</f>
        <v/>
      </c>
      <c r="C47" s="139">
        <f>C109*'01_Вводные'!$H$264</f>
        <v/>
      </c>
      <c r="D47" s="139">
        <f>D109*'01_Вводные'!$H$265</f>
        <v/>
      </c>
      <c r="E47" s="139">
        <f>E109*'01_Вводные'!$H$266</f>
        <v/>
      </c>
      <c r="F47" s="139">
        <f>F109*'01_Вводные'!$H$267</f>
        <v/>
      </c>
      <c r="G47" s="139">
        <f>G109*'01_Вводные'!$H$268</f>
        <v/>
      </c>
      <c r="H47" s="139">
        <f>H109*'01_Вводные'!$H$269</f>
        <v/>
      </c>
      <c r="I47" s="139">
        <f>I109*'01_Вводные'!$H$270</f>
        <v/>
      </c>
      <c r="J47" s="139">
        <f>J109*'01_Вводные'!$H$271</f>
        <v/>
      </c>
      <c r="K47" s="139">
        <f>K109*'01_Вводные'!$H$272</f>
        <v/>
      </c>
      <c r="L47" s="139">
        <f>L109*'01_Вводные'!$H$273</f>
        <v/>
      </c>
      <c r="M47" s="139">
        <f>M109*'01_Вводные'!$H$274</f>
        <v/>
      </c>
      <c r="N47" s="139">
        <f>N109*'01_Вводные'!$H$275</f>
        <v/>
      </c>
      <c r="O47" s="139">
        <f>O109*'01_Вводные'!$H$276</f>
        <v/>
      </c>
      <c r="P47" s="139">
        <f>P109*'01_Вводные'!$H$277</f>
        <v/>
      </c>
      <c r="Q47" s="139">
        <f>Q109*'01_Вводные'!$H$278</f>
        <v/>
      </c>
      <c r="R47" s="139">
        <f>R109*'01_Вводные'!$H$279</f>
        <v/>
      </c>
      <c r="S47" s="139">
        <f>S109*'01_Вводные'!$H$280</f>
        <v/>
      </c>
      <c r="T47" s="139">
        <f>T109*'01_Вводные'!$H$281</f>
        <v/>
      </c>
      <c r="U47" s="139">
        <f>U109*'01_Вводные'!$H$282</f>
        <v/>
      </c>
      <c r="W47" s="141">
        <f>SUMPRODUCT($B$22:$U$22,B109:U109)</f>
        <v/>
      </c>
      <c r="X47" s="141">
        <f>SUMPRODUCT($B$22:$U$22,B77:U77)</f>
        <v/>
      </c>
    </row>
    <row r="48">
      <c r="A48" s="137" t="inlineStr">
        <is>
          <t>25+</t>
        </is>
      </c>
      <c r="B48" s="139">
        <f>B110*'01_Вводные'!$H$263</f>
        <v/>
      </c>
      <c r="C48" s="139">
        <f>C110*'01_Вводные'!$H$264</f>
        <v/>
      </c>
      <c r="D48" s="139">
        <f>D110*'01_Вводные'!$H$265</f>
        <v/>
      </c>
      <c r="E48" s="139">
        <f>E110*'01_Вводные'!$H$266</f>
        <v/>
      </c>
      <c r="F48" s="139">
        <f>F110*'01_Вводные'!$H$267</f>
        <v/>
      </c>
      <c r="G48" s="139">
        <f>G110*'01_Вводные'!$H$268</f>
        <v/>
      </c>
      <c r="H48" s="139">
        <f>H110*'01_Вводные'!$H$269</f>
        <v/>
      </c>
      <c r="I48" s="139">
        <f>I110*'01_Вводные'!$H$270</f>
        <v/>
      </c>
      <c r="J48" s="139">
        <f>J110*'01_Вводные'!$H$271</f>
        <v/>
      </c>
      <c r="K48" s="139">
        <f>K110*'01_Вводные'!$H$272</f>
        <v/>
      </c>
      <c r="L48" s="139">
        <f>L110*'01_Вводные'!$H$273</f>
        <v/>
      </c>
      <c r="M48" s="139">
        <f>M110*'01_Вводные'!$H$274</f>
        <v/>
      </c>
      <c r="N48" s="139">
        <f>N110*'01_Вводные'!$H$275</f>
        <v/>
      </c>
      <c r="O48" s="139">
        <f>O110*'01_Вводные'!$H$276</f>
        <v/>
      </c>
      <c r="P48" s="139">
        <f>P110*'01_Вводные'!$H$277</f>
        <v/>
      </c>
      <c r="Q48" s="139">
        <f>Q110*'01_Вводные'!$H$278</f>
        <v/>
      </c>
      <c r="R48" s="139">
        <f>R110*'01_Вводные'!$H$279</f>
        <v/>
      </c>
      <c r="S48" s="139">
        <f>S110*'01_Вводные'!$H$280</f>
        <v/>
      </c>
      <c r="T48" s="139">
        <f>T110*'01_Вводные'!$H$281</f>
        <v/>
      </c>
      <c r="U48" s="139">
        <f>U110*'01_Вводные'!$H$282</f>
        <v/>
      </c>
      <c r="W48" s="141">
        <f>SUMPRODUCT($B$22:$U$22,B110:U110)</f>
        <v/>
      </c>
      <c r="X48" s="141">
        <f>SUMPRODUCT($B$22:$U$22,B78:U78)</f>
        <v/>
      </c>
    </row>
    <row r="54">
      <c r="A54" s="137" t="inlineStr">
        <is>
          <t>1</t>
        </is>
      </c>
      <c r="B54" s="139">
        <f>'01_Вводные'!$I$263</f>
        <v/>
      </c>
      <c r="C54" s="139">
        <f>'01_Вводные'!$I$264</f>
        <v/>
      </c>
      <c r="D54" s="139">
        <f>'01_Вводные'!$I$265</f>
        <v/>
      </c>
      <c r="E54" s="139">
        <f>'01_Вводные'!$I$266</f>
        <v/>
      </c>
      <c r="F54" s="139">
        <f>'01_Вводные'!$I$267</f>
        <v/>
      </c>
      <c r="G54" s="139">
        <f>'01_Вводные'!$I$268</f>
        <v/>
      </c>
      <c r="H54" s="139">
        <f>'01_Вводные'!$I$269</f>
        <v/>
      </c>
      <c r="I54" s="139">
        <f>'01_Вводные'!$I$270</f>
        <v/>
      </c>
      <c r="J54" s="139">
        <f>'01_Вводные'!$I$271</f>
        <v/>
      </c>
      <c r="K54" s="139">
        <f>'01_Вводные'!$I$272</f>
        <v/>
      </c>
      <c r="L54" s="139">
        <f>'01_Вводные'!$I$273</f>
        <v/>
      </c>
      <c r="M54" s="139">
        <f>'01_Вводные'!$I$274</f>
        <v/>
      </c>
      <c r="N54" s="139">
        <f>'01_Вводные'!$I$275</f>
        <v/>
      </c>
      <c r="O54" s="139">
        <f>'01_Вводные'!$I$276</f>
        <v/>
      </c>
      <c r="P54" s="139">
        <f>'01_Вводные'!$I$277</f>
        <v/>
      </c>
      <c r="Q54" s="139">
        <f>'01_Вводные'!$I$278</f>
        <v/>
      </c>
      <c r="R54" s="139">
        <f>'01_Вводные'!$I$279</f>
        <v/>
      </c>
      <c r="S54" s="139">
        <f>'01_Вводные'!$I$280</f>
        <v/>
      </c>
      <c r="T54" s="139">
        <f>'01_Вводные'!$I$281</f>
        <v/>
      </c>
      <c r="U54" s="139">
        <f>'01_Вводные'!$I$282</f>
        <v/>
      </c>
    </row>
    <row r="55">
      <c r="A55" s="137" t="inlineStr">
        <is>
          <t>2</t>
        </is>
      </c>
      <c r="B55" s="139">
        <f>'01_Вводные'!$I$263</f>
        <v/>
      </c>
      <c r="C55" s="139">
        <f>'01_Вводные'!$I$264</f>
        <v/>
      </c>
      <c r="D55" s="139">
        <f>'01_Вводные'!$I$265</f>
        <v/>
      </c>
      <c r="E55" s="139">
        <f>'01_Вводные'!$I$266</f>
        <v/>
      </c>
      <c r="F55" s="139">
        <f>'01_Вводные'!$I$267</f>
        <v/>
      </c>
      <c r="G55" s="139">
        <f>'01_Вводные'!$I$268</f>
        <v/>
      </c>
      <c r="H55" s="139">
        <f>'01_Вводные'!$I$269</f>
        <v/>
      </c>
      <c r="I55" s="139">
        <f>'01_Вводные'!$I$270</f>
        <v/>
      </c>
      <c r="J55" s="139">
        <f>'01_Вводные'!$I$271</f>
        <v/>
      </c>
      <c r="K55" s="139">
        <f>'01_Вводные'!$I$272</f>
        <v/>
      </c>
      <c r="L55" s="139">
        <f>'01_Вводные'!$I$273</f>
        <v/>
      </c>
      <c r="M55" s="139">
        <f>'01_Вводные'!$I$274</f>
        <v/>
      </c>
      <c r="N55" s="139">
        <f>'01_Вводные'!$I$275</f>
        <v/>
      </c>
      <c r="O55" s="139">
        <f>'01_Вводные'!$I$276</f>
        <v/>
      </c>
      <c r="P55" s="139">
        <f>'01_Вводные'!$I$277</f>
        <v/>
      </c>
      <c r="Q55" s="139">
        <f>'01_Вводные'!$I$278</f>
        <v/>
      </c>
      <c r="R55" s="139">
        <f>'01_Вводные'!$I$279</f>
        <v/>
      </c>
      <c r="S55" s="139">
        <f>'01_Вводные'!$I$280</f>
        <v/>
      </c>
      <c r="T55" s="139">
        <f>'01_Вводные'!$I$281</f>
        <v/>
      </c>
      <c r="U55" s="139">
        <f>'01_Вводные'!$I$282</f>
        <v/>
      </c>
    </row>
    <row r="56">
      <c r="A56" s="137" t="inlineStr">
        <is>
          <t>3</t>
        </is>
      </c>
      <c r="B56" s="139">
        <f>'01_Вводные'!$I$263</f>
        <v/>
      </c>
      <c r="C56" s="139">
        <f>'01_Вводные'!$I$264</f>
        <v/>
      </c>
      <c r="D56" s="139">
        <f>'01_Вводные'!$I$265</f>
        <v/>
      </c>
      <c r="E56" s="139">
        <f>'01_Вводные'!$I$266</f>
        <v/>
      </c>
      <c r="F56" s="139">
        <f>'01_Вводные'!$I$267</f>
        <v/>
      </c>
      <c r="G56" s="139">
        <f>'01_Вводные'!$I$268</f>
        <v/>
      </c>
      <c r="H56" s="139">
        <f>'01_Вводные'!$I$269</f>
        <v/>
      </c>
      <c r="I56" s="139">
        <f>'01_Вводные'!$I$270</f>
        <v/>
      </c>
      <c r="J56" s="139">
        <f>'01_Вводные'!$I$271</f>
        <v/>
      </c>
      <c r="K56" s="139">
        <f>'01_Вводные'!$I$272</f>
        <v/>
      </c>
      <c r="L56" s="139">
        <f>'01_Вводные'!$I$273</f>
        <v/>
      </c>
      <c r="M56" s="139">
        <f>'01_Вводные'!$I$274</f>
        <v/>
      </c>
      <c r="N56" s="139">
        <f>'01_Вводные'!$I$275</f>
        <v/>
      </c>
      <c r="O56" s="139">
        <f>'01_Вводные'!$I$276</f>
        <v/>
      </c>
      <c r="P56" s="139">
        <f>'01_Вводные'!$I$277</f>
        <v/>
      </c>
      <c r="Q56" s="139">
        <f>'01_Вводные'!$I$278</f>
        <v/>
      </c>
      <c r="R56" s="139">
        <f>'01_Вводные'!$I$279</f>
        <v/>
      </c>
      <c r="S56" s="139">
        <f>'01_Вводные'!$I$280</f>
        <v/>
      </c>
      <c r="T56" s="139">
        <f>'01_Вводные'!$I$281</f>
        <v/>
      </c>
      <c r="U56" s="139">
        <f>'01_Вводные'!$I$282</f>
        <v/>
      </c>
    </row>
    <row r="57">
      <c r="A57" s="137" t="inlineStr">
        <is>
          <t>4</t>
        </is>
      </c>
      <c r="B57" s="139">
        <f>'01_Вводные'!$I$263</f>
        <v/>
      </c>
      <c r="C57" s="139">
        <f>'01_Вводные'!$I$264</f>
        <v/>
      </c>
      <c r="D57" s="139">
        <f>'01_Вводные'!$I$265</f>
        <v/>
      </c>
      <c r="E57" s="139">
        <f>'01_Вводные'!$I$266</f>
        <v/>
      </c>
      <c r="F57" s="139">
        <f>'01_Вводные'!$I$267</f>
        <v/>
      </c>
      <c r="G57" s="139">
        <f>'01_Вводные'!$I$268</f>
        <v/>
      </c>
      <c r="H57" s="139">
        <f>'01_Вводные'!$I$269</f>
        <v/>
      </c>
      <c r="I57" s="139">
        <f>'01_Вводные'!$I$270</f>
        <v/>
      </c>
      <c r="J57" s="139">
        <f>'01_Вводные'!$I$271</f>
        <v/>
      </c>
      <c r="K57" s="139">
        <f>'01_Вводные'!$I$272</f>
        <v/>
      </c>
      <c r="L57" s="139">
        <f>'01_Вводные'!$I$273</f>
        <v/>
      </c>
      <c r="M57" s="139">
        <f>'01_Вводные'!$I$274</f>
        <v/>
      </c>
      <c r="N57" s="139">
        <f>'01_Вводные'!$I$275</f>
        <v/>
      </c>
      <c r="O57" s="139">
        <f>'01_Вводные'!$I$276</f>
        <v/>
      </c>
      <c r="P57" s="139">
        <f>'01_Вводные'!$I$277</f>
        <v/>
      </c>
      <c r="Q57" s="139">
        <f>'01_Вводные'!$I$278</f>
        <v/>
      </c>
      <c r="R57" s="139">
        <f>'01_Вводные'!$I$279</f>
        <v/>
      </c>
      <c r="S57" s="139">
        <f>'01_Вводные'!$I$280</f>
        <v/>
      </c>
      <c r="T57" s="139">
        <f>'01_Вводные'!$I$281</f>
        <v/>
      </c>
      <c r="U57" s="139">
        <f>'01_Вводные'!$I$282</f>
        <v/>
      </c>
    </row>
    <row r="58">
      <c r="A58" s="137" t="inlineStr">
        <is>
          <t>5</t>
        </is>
      </c>
      <c r="B58" s="139">
        <f>'01_Вводные'!$I$263</f>
        <v/>
      </c>
      <c r="C58" s="139">
        <f>'01_Вводные'!$I$264</f>
        <v/>
      </c>
      <c r="D58" s="139">
        <f>'01_Вводные'!$I$265</f>
        <v/>
      </c>
      <c r="E58" s="139">
        <f>'01_Вводные'!$I$266</f>
        <v/>
      </c>
      <c r="F58" s="139">
        <f>'01_Вводные'!$I$267</f>
        <v/>
      </c>
      <c r="G58" s="139">
        <f>'01_Вводные'!$I$268</f>
        <v/>
      </c>
      <c r="H58" s="139">
        <f>'01_Вводные'!$I$269</f>
        <v/>
      </c>
      <c r="I58" s="139">
        <f>'01_Вводные'!$I$270</f>
        <v/>
      </c>
      <c r="J58" s="139">
        <f>'01_Вводные'!$I$271</f>
        <v/>
      </c>
      <c r="K58" s="139">
        <f>'01_Вводные'!$I$272</f>
        <v/>
      </c>
      <c r="L58" s="139">
        <f>'01_Вводные'!$I$273</f>
        <v/>
      </c>
      <c r="M58" s="139">
        <f>'01_Вводные'!$I$274</f>
        <v/>
      </c>
      <c r="N58" s="139">
        <f>'01_Вводные'!$I$275</f>
        <v/>
      </c>
      <c r="O58" s="139">
        <f>'01_Вводные'!$I$276</f>
        <v/>
      </c>
      <c r="P58" s="139">
        <f>'01_Вводные'!$I$277</f>
        <v/>
      </c>
      <c r="Q58" s="139">
        <f>'01_Вводные'!$I$278</f>
        <v/>
      </c>
      <c r="R58" s="139">
        <f>'01_Вводные'!$I$279</f>
        <v/>
      </c>
      <c r="S58" s="139">
        <f>'01_Вводные'!$I$280</f>
        <v/>
      </c>
      <c r="T58" s="139">
        <f>'01_Вводные'!$I$281</f>
        <v/>
      </c>
      <c r="U58" s="139">
        <f>'01_Вводные'!$I$282</f>
        <v/>
      </c>
    </row>
    <row r="59">
      <c r="A59" s="137" t="inlineStr">
        <is>
          <t>6</t>
        </is>
      </c>
      <c r="B59" s="139">
        <f>'01_Вводные'!$I$263</f>
        <v/>
      </c>
      <c r="C59" s="139">
        <f>'01_Вводные'!$I$264</f>
        <v/>
      </c>
      <c r="D59" s="139">
        <f>'01_Вводные'!$I$265</f>
        <v/>
      </c>
      <c r="E59" s="139">
        <f>'01_Вводные'!$I$266</f>
        <v/>
      </c>
      <c r="F59" s="139">
        <f>'01_Вводные'!$I$267</f>
        <v/>
      </c>
      <c r="G59" s="139">
        <f>'01_Вводные'!$I$268</f>
        <v/>
      </c>
      <c r="H59" s="139">
        <f>'01_Вводные'!$I$269</f>
        <v/>
      </c>
      <c r="I59" s="139">
        <f>'01_Вводные'!$I$270</f>
        <v/>
      </c>
      <c r="J59" s="139">
        <f>'01_Вводные'!$I$271</f>
        <v/>
      </c>
      <c r="K59" s="139">
        <f>'01_Вводные'!$I$272</f>
        <v/>
      </c>
      <c r="L59" s="139">
        <f>'01_Вводные'!$I$273</f>
        <v/>
      </c>
      <c r="M59" s="139">
        <f>'01_Вводные'!$I$274</f>
        <v/>
      </c>
      <c r="N59" s="139">
        <f>'01_Вводные'!$I$275</f>
        <v/>
      </c>
      <c r="O59" s="139">
        <f>'01_Вводные'!$I$276</f>
        <v/>
      </c>
      <c r="P59" s="139">
        <f>'01_Вводные'!$I$277</f>
        <v/>
      </c>
      <c r="Q59" s="139">
        <f>'01_Вводные'!$I$278</f>
        <v/>
      </c>
      <c r="R59" s="139">
        <f>'01_Вводные'!$I$279</f>
        <v/>
      </c>
      <c r="S59" s="139">
        <f>'01_Вводные'!$I$280</f>
        <v/>
      </c>
      <c r="T59" s="139">
        <f>'01_Вводные'!$I$281</f>
        <v/>
      </c>
      <c r="U59" s="139">
        <f>'01_Вводные'!$I$282</f>
        <v/>
      </c>
    </row>
    <row r="60">
      <c r="A60" s="137" t="inlineStr">
        <is>
          <t>7</t>
        </is>
      </c>
      <c r="B60" s="139">
        <f>'01_Вводные'!$I$263</f>
        <v/>
      </c>
      <c r="C60" s="139">
        <f>'01_Вводные'!$I$264</f>
        <v/>
      </c>
      <c r="D60" s="139">
        <f>'01_Вводные'!$I$265</f>
        <v/>
      </c>
      <c r="E60" s="139">
        <f>'01_Вводные'!$I$266</f>
        <v/>
      </c>
      <c r="F60" s="139">
        <f>'01_Вводные'!$I$267</f>
        <v/>
      </c>
      <c r="G60" s="139">
        <f>'01_Вводные'!$I$268</f>
        <v/>
      </c>
      <c r="H60" s="139">
        <f>'01_Вводные'!$I$269</f>
        <v/>
      </c>
      <c r="I60" s="139">
        <f>'01_Вводные'!$I$270</f>
        <v/>
      </c>
      <c r="J60" s="139">
        <f>'01_Вводные'!$I$271</f>
        <v/>
      </c>
      <c r="K60" s="139">
        <f>'01_Вводные'!$I$272</f>
        <v/>
      </c>
      <c r="L60" s="139">
        <f>'01_Вводные'!$I$273</f>
        <v/>
      </c>
      <c r="M60" s="139">
        <f>'01_Вводные'!$I$274</f>
        <v/>
      </c>
      <c r="N60" s="139">
        <f>'01_Вводные'!$I$275</f>
        <v/>
      </c>
      <c r="O60" s="139">
        <f>'01_Вводные'!$I$276</f>
        <v/>
      </c>
      <c r="P60" s="139">
        <f>'01_Вводные'!$I$277</f>
        <v/>
      </c>
      <c r="Q60" s="139">
        <f>'01_Вводные'!$I$278</f>
        <v/>
      </c>
      <c r="R60" s="139">
        <f>'01_Вводные'!$I$279</f>
        <v/>
      </c>
      <c r="S60" s="139">
        <f>'01_Вводные'!$I$280</f>
        <v/>
      </c>
      <c r="T60" s="139">
        <f>'01_Вводные'!$I$281</f>
        <v/>
      </c>
      <c r="U60" s="139">
        <f>'01_Вводные'!$I$282</f>
        <v/>
      </c>
    </row>
    <row r="61">
      <c r="A61" s="137" t="inlineStr">
        <is>
          <t>8</t>
        </is>
      </c>
      <c r="B61" s="139">
        <f>'01_Вводные'!$I$263</f>
        <v/>
      </c>
      <c r="C61" s="139">
        <f>'01_Вводные'!$I$264</f>
        <v/>
      </c>
      <c r="D61" s="139">
        <f>'01_Вводные'!$I$265</f>
        <v/>
      </c>
      <c r="E61" s="139">
        <f>'01_Вводные'!$I$266</f>
        <v/>
      </c>
      <c r="F61" s="139">
        <f>'01_Вводные'!$I$267</f>
        <v/>
      </c>
      <c r="G61" s="139">
        <f>'01_Вводные'!$I$268</f>
        <v/>
      </c>
      <c r="H61" s="139">
        <f>'01_Вводные'!$I$269</f>
        <v/>
      </c>
      <c r="I61" s="139">
        <f>'01_Вводные'!$I$270</f>
        <v/>
      </c>
      <c r="J61" s="139">
        <f>'01_Вводные'!$I$271</f>
        <v/>
      </c>
      <c r="K61" s="139">
        <f>'01_Вводные'!$I$272</f>
        <v/>
      </c>
      <c r="L61" s="139">
        <f>'01_Вводные'!$I$273</f>
        <v/>
      </c>
      <c r="M61" s="139">
        <f>'01_Вводные'!$I$274</f>
        <v/>
      </c>
      <c r="N61" s="139">
        <f>'01_Вводные'!$I$275</f>
        <v/>
      </c>
      <c r="O61" s="139">
        <f>'01_Вводные'!$I$276</f>
        <v/>
      </c>
      <c r="P61" s="139">
        <f>'01_Вводные'!$I$277</f>
        <v/>
      </c>
      <c r="Q61" s="139">
        <f>'01_Вводные'!$I$278</f>
        <v/>
      </c>
      <c r="R61" s="139">
        <f>'01_Вводные'!$I$279</f>
        <v/>
      </c>
      <c r="S61" s="139">
        <f>'01_Вводные'!$I$280</f>
        <v/>
      </c>
      <c r="T61" s="139">
        <f>'01_Вводные'!$I$281</f>
        <v/>
      </c>
      <c r="U61" s="139">
        <f>'01_Вводные'!$I$282</f>
        <v/>
      </c>
    </row>
    <row r="62">
      <c r="A62" s="137" t="inlineStr">
        <is>
          <t>9</t>
        </is>
      </c>
      <c r="B62" s="139">
        <f>'01_Вводные'!$I$263</f>
        <v/>
      </c>
      <c r="C62" s="139">
        <f>'01_Вводные'!$I$264</f>
        <v/>
      </c>
      <c r="D62" s="139">
        <f>'01_Вводные'!$I$265</f>
        <v/>
      </c>
      <c r="E62" s="139">
        <f>'01_Вводные'!$I$266</f>
        <v/>
      </c>
      <c r="F62" s="139">
        <f>'01_Вводные'!$I$267</f>
        <v/>
      </c>
      <c r="G62" s="139">
        <f>'01_Вводные'!$I$268</f>
        <v/>
      </c>
      <c r="H62" s="139">
        <f>'01_Вводные'!$I$269</f>
        <v/>
      </c>
      <c r="I62" s="139">
        <f>'01_Вводные'!$I$270</f>
        <v/>
      </c>
      <c r="J62" s="139">
        <f>'01_Вводные'!$I$271</f>
        <v/>
      </c>
      <c r="K62" s="139">
        <f>'01_Вводные'!$I$272</f>
        <v/>
      </c>
      <c r="L62" s="139">
        <f>'01_Вводные'!$I$273</f>
        <v/>
      </c>
      <c r="M62" s="139">
        <f>'01_Вводные'!$I$274</f>
        <v/>
      </c>
      <c r="N62" s="139">
        <f>'01_Вводные'!$I$275</f>
        <v/>
      </c>
      <c r="O62" s="139">
        <f>'01_Вводные'!$I$276</f>
        <v/>
      </c>
      <c r="P62" s="139">
        <f>'01_Вводные'!$I$277</f>
        <v/>
      </c>
      <c r="Q62" s="139">
        <f>'01_Вводные'!$I$278</f>
        <v/>
      </c>
      <c r="R62" s="139">
        <f>'01_Вводные'!$I$279</f>
        <v/>
      </c>
      <c r="S62" s="139">
        <f>'01_Вводные'!$I$280</f>
        <v/>
      </c>
      <c r="T62" s="139">
        <f>'01_Вводные'!$I$281</f>
        <v/>
      </c>
      <c r="U62" s="139">
        <f>'01_Вводные'!$I$282</f>
        <v/>
      </c>
    </row>
    <row r="63">
      <c r="A63" s="137" t="inlineStr">
        <is>
          <t>10</t>
        </is>
      </c>
      <c r="B63" s="139">
        <f>'01_Вводные'!$I$263</f>
        <v/>
      </c>
      <c r="C63" s="139">
        <f>'01_Вводные'!$I$264</f>
        <v/>
      </c>
      <c r="D63" s="139">
        <f>'01_Вводные'!$I$265</f>
        <v/>
      </c>
      <c r="E63" s="139">
        <f>'01_Вводные'!$I$266</f>
        <v/>
      </c>
      <c r="F63" s="139">
        <f>'01_Вводные'!$I$267</f>
        <v/>
      </c>
      <c r="G63" s="139">
        <f>'01_Вводные'!$I$268</f>
        <v/>
      </c>
      <c r="H63" s="139">
        <f>'01_Вводные'!$I$269</f>
        <v/>
      </c>
      <c r="I63" s="139">
        <f>'01_Вводные'!$I$270</f>
        <v/>
      </c>
      <c r="J63" s="139">
        <f>'01_Вводные'!$I$271</f>
        <v/>
      </c>
      <c r="K63" s="139">
        <f>'01_Вводные'!$I$272</f>
        <v/>
      </c>
      <c r="L63" s="139">
        <f>'01_Вводные'!$I$273</f>
        <v/>
      </c>
      <c r="M63" s="139">
        <f>'01_Вводные'!$I$274</f>
        <v/>
      </c>
      <c r="N63" s="139">
        <f>'01_Вводные'!$I$275</f>
        <v/>
      </c>
      <c r="O63" s="139">
        <f>'01_Вводные'!$I$276</f>
        <v/>
      </c>
      <c r="P63" s="139">
        <f>'01_Вводные'!$I$277</f>
        <v/>
      </c>
      <c r="Q63" s="139">
        <f>'01_Вводные'!$I$278</f>
        <v/>
      </c>
      <c r="R63" s="139">
        <f>'01_Вводные'!$I$279</f>
        <v/>
      </c>
      <c r="S63" s="139">
        <f>'01_Вводные'!$I$280</f>
        <v/>
      </c>
      <c r="T63" s="139">
        <f>'01_Вводные'!$I$281</f>
        <v/>
      </c>
      <c r="U63" s="139">
        <f>'01_Вводные'!$I$282</f>
        <v/>
      </c>
    </row>
    <row r="64">
      <c r="A64" s="137" t="inlineStr">
        <is>
          <t>11</t>
        </is>
      </c>
      <c r="B64" s="139">
        <f>'01_Вводные'!$I$263</f>
        <v/>
      </c>
      <c r="C64" s="139">
        <f>'01_Вводные'!$I$264</f>
        <v/>
      </c>
      <c r="D64" s="139">
        <f>'01_Вводные'!$I$265</f>
        <v/>
      </c>
      <c r="E64" s="139">
        <f>'01_Вводные'!$I$266</f>
        <v/>
      </c>
      <c r="F64" s="139">
        <f>'01_Вводные'!$I$267</f>
        <v/>
      </c>
      <c r="G64" s="139">
        <f>'01_Вводные'!$I$268</f>
        <v/>
      </c>
      <c r="H64" s="139">
        <f>'01_Вводные'!$I$269</f>
        <v/>
      </c>
      <c r="I64" s="139">
        <f>'01_Вводные'!$I$270</f>
        <v/>
      </c>
      <c r="J64" s="139">
        <f>'01_Вводные'!$I$271</f>
        <v/>
      </c>
      <c r="K64" s="139">
        <f>'01_Вводные'!$I$272</f>
        <v/>
      </c>
      <c r="L64" s="139">
        <f>'01_Вводные'!$I$273</f>
        <v/>
      </c>
      <c r="M64" s="139">
        <f>'01_Вводные'!$I$274</f>
        <v/>
      </c>
      <c r="N64" s="139">
        <f>'01_Вводные'!$I$275</f>
        <v/>
      </c>
      <c r="O64" s="139">
        <f>'01_Вводные'!$I$276</f>
        <v/>
      </c>
      <c r="P64" s="139">
        <f>'01_Вводные'!$I$277</f>
        <v/>
      </c>
      <c r="Q64" s="139">
        <f>'01_Вводные'!$I$278</f>
        <v/>
      </c>
      <c r="R64" s="139">
        <f>'01_Вводные'!$I$279</f>
        <v/>
      </c>
      <c r="S64" s="139">
        <f>'01_Вводные'!$I$280</f>
        <v/>
      </c>
      <c r="T64" s="139">
        <f>'01_Вводные'!$I$281</f>
        <v/>
      </c>
      <c r="U64" s="139">
        <f>'01_Вводные'!$I$282</f>
        <v/>
      </c>
    </row>
    <row r="65">
      <c r="A65" s="137" t="inlineStr">
        <is>
          <t>12</t>
        </is>
      </c>
      <c r="B65" s="139">
        <f>'01_Вводные'!$I$263</f>
        <v/>
      </c>
      <c r="C65" s="139">
        <f>'01_Вводные'!$I$264</f>
        <v/>
      </c>
      <c r="D65" s="139">
        <f>'01_Вводные'!$I$265</f>
        <v/>
      </c>
      <c r="E65" s="139">
        <f>'01_Вводные'!$I$266</f>
        <v/>
      </c>
      <c r="F65" s="139">
        <f>'01_Вводные'!$I$267</f>
        <v/>
      </c>
      <c r="G65" s="139">
        <f>'01_Вводные'!$I$268</f>
        <v/>
      </c>
      <c r="H65" s="139">
        <f>'01_Вводные'!$I$269</f>
        <v/>
      </c>
      <c r="I65" s="139">
        <f>'01_Вводные'!$I$270</f>
        <v/>
      </c>
      <c r="J65" s="139">
        <f>'01_Вводные'!$I$271</f>
        <v/>
      </c>
      <c r="K65" s="139">
        <f>'01_Вводные'!$I$272</f>
        <v/>
      </c>
      <c r="L65" s="139">
        <f>'01_Вводные'!$I$273</f>
        <v/>
      </c>
      <c r="M65" s="139">
        <f>'01_Вводные'!$I$274</f>
        <v/>
      </c>
      <c r="N65" s="139">
        <f>'01_Вводные'!$I$275</f>
        <v/>
      </c>
      <c r="O65" s="139">
        <f>'01_Вводные'!$I$276</f>
        <v/>
      </c>
      <c r="P65" s="139">
        <f>'01_Вводные'!$I$277</f>
        <v/>
      </c>
      <c r="Q65" s="139">
        <f>'01_Вводные'!$I$278</f>
        <v/>
      </c>
      <c r="R65" s="139">
        <f>'01_Вводные'!$I$279</f>
        <v/>
      </c>
      <c r="S65" s="139">
        <f>'01_Вводные'!$I$280</f>
        <v/>
      </c>
      <c r="T65" s="139">
        <f>'01_Вводные'!$I$281</f>
        <v/>
      </c>
      <c r="U65" s="139">
        <f>'01_Вводные'!$I$282</f>
        <v/>
      </c>
    </row>
    <row r="66">
      <c r="A66" s="137" t="inlineStr">
        <is>
          <t>13</t>
        </is>
      </c>
      <c r="B66" s="139">
        <f>'01_Вводные'!$J$263</f>
        <v/>
      </c>
      <c r="C66" s="139">
        <f>'01_Вводные'!$J$264</f>
        <v/>
      </c>
      <c r="D66" s="139">
        <f>'01_Вводные'!$J$265</f>
        <v/>
      </c>
      <c r="E66" s="139">
        <f>'01_Вводные'!$J$266</f>
        <v/>
      </c>
      <c r="F66" s="139">
        <f>'01_Вводные'!$J$267</f>
        <v/>
      </c>
      <c r="G66" s="139">
        <f>'01_Вводные'!$J$268</f>
        <v/>
      </c>
      <c r="H66" s="139">
        <f>'01_Вводные'!$J$269</f>
        <v/>
      </c>
      <c r="I66" s="139">
        <f>'01_Вводные'!$J$270</f>
        <v/>
      </c>
      <c r="J66" s="139">
        <f>'01_Вводные'!$J$271</f>
        <v/>
      </c>
      <c r="K66" s="139">
        <f>'01_Вводные'!$J$272</f>
        <v/>
      </c>
      <c r="L66" s="139">
        <f>'01_Вводные'!$J$273</f>
        <v/>
      </c>
      <c r="M66" s="139">
        <f>'01_Вводные'!$J$274</f>
        <v/>
      </c>
      <c r="N66" s="139">
        <f>'01_Вводные'!$J$275</f>
        <v/>
      </c>
      <c r="O66" s="139">
        <f>'01_Вводные'!$J$276</f>
        <v/>
      </c>
      <c r="P66" s="139">
        <f>'01_Вводные'!$J$277</f>
        <v/>
      </c>
      <c r="Q66" s="139">
        <f>'01_Вводные'!$J$278</f>
        <v/>
      </c>
      <c r="R66" s="139">
        <f>'01_Вводные'!$J$279</f>
        <v/>
      </c>
      <c r="S66" s="139">
        <f>'01_Вводные'!$J$280</f>
        <v/>
      </c>
      <c r="T66" s="139">
        <f>'01_Вводные'!$J$281</f>
        <v/>
      </c>
      <c r="U66" s="139">
        <f>'01_Вводные'!$J$282</f>
        <v/>
      </c>
    </row>
    <row r="67">
      <c r="A67" s="137" t="inlineStr">
        <is>
          <t>14</t>
        </is>
      </c>
      <c r="B67" s="139">
        <f>'01_Вводные'!$J$263</f>
        <v/>
      </c>
      <c r="C67" s="139">
        <f>'01_Вводные'!$J$264</f>
        <v/>
      </c>
      <c r="D67" s="139">
        <f>'01_Вводные'!$J$265</f>
        <v/>
      </c>
      <c r="E67" s="139">
        <f>'01_Вводные'!$J$266</f>
        <v/>
      </c>
      <c r="F67" s="139">
        <f>'01_Вводные'!$J$267</f>
        <v/>
      </c>
      <c r="G67" s="139">
        <f>'01_Вводные'!$J$268</f>
        <v/>
      </c>
      <c r="H67" s="139">
        <f>'01_Вводные'!$J$269</f>
        <v/>
      </c>
      <c r="I67" s="139">
        <f>'01_Вводные'!$J$270</f>
        <v/>
      </c>
      <c r="J67" s="139">
        <f>'01_Вводные'!$J$271</f>
        <v/>
      </c>
      <c r="K67" s="139">
        <f>'01_Вводные'!$J$272</f>
        <v/>
      </c>
      <c r="L67" s="139">
        <f>'01_Вводные'!$J$273</f>
        <v/>
      </c>
      <c r="M67" s="139">
        <f>'01_Вводные'!$J$274</f>
        <v/>
      </c>
      <c r="N67" s="139">
        <f>'01_Вводные'!$J$275</f>
        <v/>
      </c>
      <c r="O67" s="139">
        <f>'01_Вводные'!$J$276</f>
        <v/>
      </c>
      <c r="P67" s="139">
        <f>'01_Вводные'!$J$277</f>
        <v/>
      </c>
      <c r="Q67" s="139">
        <f>'01_Вводные'!$J$278</f>
        <v/>
      </c>
      <c r="R67" s="139">
        <f>'01_Вводные'!$J$279</f>
        <v/>
      </c>
      <c r="S67" s="139">
        <f>'01_Вводные'!$J$280</f>
        <v/>
      </c>
      <c r="T67" s="139">
        <f>'01_Вводные'!$J$281</f>
        <v/>
      </c>
      <c r="U67" s="139">
        <f>'01_Вводные'!$J$282</f>
        <v/>
      </c>
    </row>
    <row r="68">
      <c r="A68" s="137" t="inlineStr">
        <is>
          <t>15</t>
        </is>
      </c>
      <c r="B68" s="139">
        <f>'01_Вводные'!$J$263</f>
        <v/>
      </c>
      <c r="C68" s="139">
        <f>'01_Вводные'!$J$264</f>
        <v/>
      </c>
      <c r="D68" s="139">
        <f>'01_Вводные'!$J$265</f>
        <v/>
      </c>
      <c r="E68" s="139">
        <f>'01_Вводные'!$J$266</f>
        <v/>
      </c>
      <c r="F68" s="139">
        <f>'01_Вводные'!$J$267</f>
        <v/>
      </c>
      <c r="G68" s="139">
        <f>'01_Вводные'!$J$268</f>
        <v/>
      </c>
      <c r="H68" s="139">
        <f>'01_Вводные'!$J$269</f>
        <v/>
      </c>
      <c r="I68" s="139">
        <f>'01_Вводные'!$J$270</f>
        <v/>
      </c>
      <c r="J68" s="139">
        <f>'01_Вводные'!$J$271</f>
        <v/>
      </c>
      <c r="K68" s="139">
        <f>'01_Вводные'!$J$272</f>
        <v/>
      </c>
      <c r="L68" s="139">
        <f>'01_Вводные'!$J$273</f>
        <v/>
      </c>
      <c r="M68" s="139">
        <f>'01_Вводные'!$J$274</f>
        <v/>
      </c>
      <c r="N68" s="139">
        <f>'01_Вводные'!$J$275</f>
        <v/>
      </c>
      <c r="O68" s="139">
        <f>'01_Вводные'!$J$276</f>
        <v/>
      </c>
      <c r="P68" s="139">
        <f>'01_Вводные'!$J$277</f>
        <v/>
      </c>
      <c r="Q68" s="139">
        <f>'01_Вводные'!$J$278</f>
        <v/>
      </c>
      <c r="R68" s="139">
        <f>'01_Вводные'!$J$279</f>
        <v/>
      </c>
      <c r="S68" s="139">
        <f>'01_Вводные'!$J$280</f>
        <v/>
      </c>
      <c r="T68" s="139">
        <f>'01_Вводные'!$J$281</f>
        <v/>
      </c>
      <c r="U68" s="139">
        <f>'01_Вводные'!$J$282</f>
        <v/>
      </c>
    </row>
    <row r="69">
      <c r="A69" s="137" t="inlineStr">
        <is>
          <t>16</t>
        </is>
      </c>
      <c r="B69" s="139">
        <f>'01_Вводные'!$J$263</f>
        <v/>
      </c>
      <c r="C69" s="139">
        <f>'01_Вводные'!$J$264</f>
        <v/>
      </c>
      <c r="D69" s="139">
        <f>'01_Вводные'!$J$265</f>
        <v/>
      </c>
      <c r="E69" s="139">
        <f>'01_Вводные'!$J$266</f>
        <v/>
      </c>
      <c r="F69" s="139">
        <f>'01_Вводные'!$J$267</f>
        <v/>
      </c>
      <c r="G69" s="139">
        <f>'01_Вводные'!$J$268</f>
        <v/>
      </c>
      <c r="H69" s="139">
        <f>'01_Вводные'!$J$269</f>
        <v/>
      </c>
      <c r="I69" s="139">
        <f>'01_Вводные'!$J$270</f>
        <v/>
      </c>
      <c r="J69" s="139">
        <f>'01_Вводные'!$J$271</f>
        <v/>
      </c>
      <c r="K69" s="139">
        <f>'01_Вводные'!$J$272</f>
        <v/>
      </c>
      <c r="L69" s="139">
        <f>'01_Вводные'!$J$273</f>
        <v/>
      </c>
      <c r="M69" s="139">
        <f>'01_Вводные'!$J$274</f>
        <v/>
      </c>
      <c r="N69" s="139">
        <f>'01_Вводные'!$J$275</f>
        <v/>
      </c>
      <c r="O69" s="139">
        <f>'01_Вводные'!$J$276</f>
        <v/>
      </c>
      <c r="P69" s="139">
        <f>'01_Вводные'!$J$277</f>
        <v/>
      </c>
      <c r="Q69" s="139">
        <f>'01_Вводные'!$J$278</f>
        <v/>
      </c>
      <c r="R69" s="139">
        <f>'01_Вводные'!$J$279</f>
        <v/>
      </c>
      <c r="S69" s="139">
        <f>'01_Вводные'!$J$280</f>
        <v/>
      </c>
      <c r="T69" s="139">
        <f>'01_Вводные'!$J$281</f>
        <v/>
      </c>
      <c r="U69" s="139">
        <f>'01_Вводные'!$J$282</f>
        <v/>
      </c>
    </row>
    <row r="70">
      <c r="A70" s="137" t="inlineStr">
        <is>
          <t>17</t>
        </is>
      </c>
      <c r="B70" s="139">
        <f>'01_Вводные'!$J$263</f>
        <v/>
      </c>
      <c r="C70" s="139">
        <f>'01_Вводные'!$J$264</f>
        <v/>
      </c>
      <c r="D70" s="139">
        <f>'01_Вводные'!$J$265</f>
        <v/>
      </c>
      <c r="E70" s="139">
        <f>'01_Вводные'!$J$266</f>
        <v/>
      </c>
      <c r="F70" s="139">
        <f>'01_Вводные'!$J$267</f>
        <v/>
      </c>
      <c r="G70" s="139">
        <f>'01_Вводные'!$J$268</f>
        <v/>
      </c>
      <c r="H70" s="139">
        <f>'01_Вводные'!$J$269</f>
        <v/>
      </c>
      <c r="I70" s="139">
        <f>'01_Вводные'!$J$270</f>
        <v/>
      </c>
      <c r="J70" s="139">
        <f>'01_Вводные'!$J$271</f>
        <v/>
      </c>
      <c r="K70" s="139">
        <f>'01_Вводные'!$J$272</f>
        <v/>
      </c>
      <c r="L70" s="139">
        <f>'01_Вводные'!$J$273</f>
        <v/>
      </c>
      <c r="M70" s="139">
        <f>'01_Вводные'!$J$274</f>
        <v/>
      </c>
      <c r="N70" s="139">
        <f>'01_Вводные'!$J$275</f>
        <v/>
      </c>
      <c r="O70" s="139">
        <f>'01_Вводные'!$J$276</f>
        <v/>
      </c>
      <c r="P70" s="139">
        <f>'01_Вводные'!$J$277</f>
        <v/>
      </c>
      <c r="Q70" s="139">
        <f>'01_Вводные'!$J$278</f>
        <v/>
      </c>
      <c r="R70" s="139">
        <f>'01_Вводные'!$J$279</f>
        <v/>
      </c>
      <c r="S70" s="139">
        <f>'01_Вводные'!$J$280</f>
        <v/>
      </c>
      <c r="T70" s="139">
        <f>'01_Вводные'!$J$281</f>
        <v/>
      </c>
      <c r="U70" s="139">
        <f>'01_Вводные'!$J$282</f>
        <v/>
      </c>
    </row>
    <row r="71">
      <c r="A71" s="137" t="inlineStr">
        <is>
          <t>18</t>
        </is>
      </c>
      <c r="B71" s="139">
        <f>'01_Вводные'!$J$263</f>
        <v/>
      </c>
      <c r="C71" s="139">
        <f>'01_Вводные'!$J$264</f>
        <v/>
      </c>
      <c r="D71" s="139">
        <f>'01_Вводные'!$J$265</f>
        <v/>
      </c>
      <c r="E71" s="139">
        <f>'01_Вводные'!$J$266</f>
        <v/>
      </c>
      <c r="F71" s="139">
        <f>'01_Вводные'!$J$267</f>
        <v/>
      </c>
      <c r="G71" s="139">
        <f>'01_Вводные'!$J$268</f>
        <v/>
      </c>
      <c r="H71" s="139">
        <f>'01_Вводные'!$J$269</f>
        <v/>
      </c>
      <c r="I71" s="139">
        <f>'01_Вводные'!$J$270</f>
        <v/>
      </c>
      <c r="J71" s="139">
        <f>'01_Вводные'!$J$271</f>
        <v/>
      </c>
      <c r="K71" s="139">
        <f>'01_Вводные'!$J$272</f>
        <v/>
      </c>
      <c r="L71" s="139">
        <f>'01_Вводные'!$J$273</f>
        <v/>
      </c>
      <c r="M71" s="139">
        <f>'01_Вводные'!$J$274</f>
        <v/>
      </c>
      <c r="N71" s="139">
        <f>'01_Вводные'!$J$275</f>
        <v/>
      </c>
      <c r="O71" s="139">
        <f>'01_Вводные'!$J$276</f>
        <v/>
      </c>
      <c r="P71" s="139">
        <f>'01_Вводные'!$J$277</f>
        <v/>
      </c>
      <c r="Q71" s="139">
        <f>'01_Вводные'!$J$278</f>
        <v/>
      </c>
      <c r="R71" s="139">
        <f>'01_Вводные'!$J$279</f>
        <v/>
      </c>
      <c r="S71" s="139">
        <f>'01_Вводные'!$J$280</f>
        <v/>
      </c>
      <c r="T71" s="139">
        <f>'01_Вводные'!$J$281</f>
        <v/>
      </c>
      <c r="U71" s="139">
        <f>'01_Вводные'!$J$282</f>
        <v/>
      </c>
    </row>
    <row r="72">
      <c r="A72" s="137" t="inlineStr">
        <is>
          <t>19</t>
        </is>
      </c>
      <c r="B72" s="139">
        <f>'01_Вводные'!$J$263</f>
        <v/>
      </c>
      <c r="C72" s="139">
        <f>'01_Вводные'!$J$264</f>
        <v/>
      </c>
      <c r="D72" s="139">
        <f>'01_Вводные'!$J$265</f>
        <v/>
      </c>
      <c r="E72" s="139">
        <f>'01_Вводные'!$J$266</f>
        <v/>
      </c>
      <c r="F72" s="139">
        <f>'01_Вводные'!$J$267</f>
        <v/>
      </c>
      <c r="G72" s="139">
        <f>'01_Вводные'!$J$268</f>
        <v/>
      </c>
      <c r="H72" s="139">
        <f>'01_Вводные'!$J$269</f>
        <v/>
      </c>
      <c r="I72" s="139">
        <f>'01_Вводные'!$J$270</f>
        <v/>
      </c>
      <c r="J72" s="139">
        <f>'01_Вводные'!$J$271</f>
        <v/>
      </c>
      <c r="K72" s="139">
        <f>'01_Вводные'!$J$272</f>
        <v/>
      </c>
      <c r="L72" s="139">
        <f>'01_Вводные'!$J$273</f>
        <v/>
      </c>
      <c r="M72" s="139">
        <f>'01_Вводные'!$J$274</f>
        <v/>
      </c>
      <c r="N72" s="139">
        <f>'01_Вводные'!$J$275</f>
        <v/>
      </c>
      <c r="O72" s="139">
        <f>'01_Вводные'!$J$276</f>
        <v/>
      </c>
      <c r="P72" s="139">
        <f>'01_Вводные'!$J$277</f>
        <v/>
      </c>
      <c r="Q72" s="139">
        <f>'01_Вводные'!$J$278</f>
        <v/>
      </c>
      <c r="R72" s="139">
        <f>'01_Вводные'!$J$279</f>
        <v/>
      </c>
      <c r="S72" s="139">
        <f>'01_Вводные'!$J$280</f>
        <v/>
      </c>
      <c r="T72" s="139">
        <f>'01_Вводные'!$J$281</f>
        <v/>
      </c>
      <c r="U72" s="139">
        <f>'01_Вводные'!$J$282</f>
        <v/>
      </c>
    </row>
    <row r="73">
      <c r="A73" s="137" t="inlineStr">
        <is>
          <t>20</t>
        </is>
      </c>
      <c r="B73" s="139">
        <f>'01_Вводные'!$J$263</f>
        <v/>
      </c>
      <c r="C73" s="139">
        <f>'01_Вводные'!$J$264</f>
        <v/>
      </c>
      <c r="D73" s="139">
        <f>'01_Вводные'!$J$265</f>
        <v/>
      </c>
      <c r="E73" s="139">
        <f>'01_Вводные'!$J$266</f>
        <v/>
      </c>
      <c r="F73" s="139">
        <f>'01_Вводные'!$J$267</f>
        <v/>
      </c>
      <c r="G73" s="139">
        <f>'01_Вводные'!$J$268</f>
        <v/>
      </c>
      <c r="H73" s="139">
        <f>'01_Вводные'!$J$269</f>
        <v/>
      </c>
      <c r="I73" s="139">
        <f>'01_Вводные'!$J$270</f>
        <v/>
      </c>
      <c r="J73" s="139">
        <f>'01_Вводные'!$J$271</f>
        <v/>
      </c>
      <c r="K73" s="139">
        <f>'01_Вводные'!$J$272</f>
        <v/>
      </c>
      <c r="L73" s="139">
        <f>'01_Вводные'!$J$273</f>
        <v/>
      </c>
      <c r="M73" s="139">
        <f>'01_Вводные'!$J$274</f>
        <v/>
      </c>
      <c r="N73" s="139">
        <f>'01_Вводные'!$J$275</f>
        <v/>
      </c>
      <c r="O73" s="139">
        <f>'01_Вводные'!$J$276</f>
        <v/>
      </c>
      <c r="P73" s="139">
        <f>'01_Вводные'!$J$277</f>
        <v/>
      </c>
      <c r="Q73" s="139">
        <f>'01_Вводные'!$J$278</f>
        <v/>
      </c>
      <c r="R73" s="139">
        <f>'01_Вводные'!$J$279</f>
        <v/>
      </c>
      <c r="S73" s="139">
        <f>'01_Вводные'!$J$280</f>
        <v/>
      </c>
      <c r="T73" s="139">
        <f>'01_Вводные'!$J$281</f>
        <v/>
      </c>
      <c r="U73" s="139">
        <f>'01_Вводные'!$J$282</f>
        <v/>
      </c>
    </row>
    <row r="74">
      <c r="A74" s="137" t="inlineStr">
        <is>
          <t>21</t>
        </is>
      </c>
      <c r="B74" s="139">
        <f>'01_Вводные'!$J$263</f>
        <v/>
      </c>
      <c r="C74" s="139">
        <f>'01_Вводные'!$J$264</f>
        <v/>
      </c>
      <c r="D74" s="139">
        <f>'01_Вводные'!$J$265</f>
        <v/>
      </c>
      <c r="E74" s="139">
        <f>'01_Вводные'!$J$266</f>
        <v/>
      </c>
      <c r="F74" s="139">
        <f>'01_Вводные'!$J$267</f>
        <v/>
      </c>
      <c r="G74" s="139">
        <f>'01_Вводные'!$J$268</f>
        <v/>
      </c>
      <c r="H74" s="139">
        <f>'01_Вводные'!$J$269</f>
        <v/>
      </c>
      <c r="I74" s="139">
        <f>'01_Вводные'!$J$270</f>
        <v/>
      </c>
      <c r="J74" s="139">
        <f>'01_Вводные'!$J$271</f>
        <v/>
      </c>
      <c r="K74" s="139">
        <f>'01_Вводные'!$J$272</f>
        <v/>
      </c>
      <c r="L74" s="139">
        <f>'01_Вводные'!$J$273</f>
        <v/>
      </c>
      <c r="M74" s="139">
        <f>'01_Вводные'!$J$274</f>
        <v/>
      </c>
      <c r="N74" s="139">
        <f>'01_Вводные'!$J$275</f>
        <v/>
      </c>
      <c r="O74" s="139">
        <f>'01_Вводные'!$J$276</f>
        <v/>
      </c>
      <c r="P74" s="139">
        <f>'01_Вводные'!$J$277</f>
        <v/>
      </c>
      <c r="Q74" s="139">
        <f>'01_Вводные'!$J$278</f>
        <v/>
      </c>
      <c r="R74" s="139">
        <f>'01_Вводные'!$J$279</f>
        <v/>
      </c>
      <c r="S74" s="139">
        <f>'01_Вводные'!$J$280</f>
        <v/>
      </c>
      <c r="T74" s="139">
        <f>'01_Вводные'!$J$281</f>
        <v/>
      </c>
      <c r="U74" s="139">
        <f>'01_Вводные'!$J$282</f>
        <v/>
      </c>
    </row>
    <row r="75">
      <c r="A75" s="137" t="inlineStr">
        <is>
          <t>22</t>
        </is>
      </c>
      <c r="B75" s="139">
        <f>'01_Вводные'!$J$263</f>
        <v/>
      </c>
      <c r="C75" s="139">
        <f>'01_Вводные'!$J$264</f>
        <v/>
      </c>
      <c r="D75" s="139">
        <f>'01_Вводные'!$J$265</f>
        <v/>
      </c>
      <c r="E75" s="139">
        <f>'01_Вводные'!$J$266</f>
        <v/>
      </c>
      <c r="F75" s="139">
        <f>'01_Вводные'!$J$267</f>
        <v/>
      </c>
      <c r="G75" s="139">
        <f>'01_Вводные'!$J$268</f>
        <v/>
      </c>
      <c r="H75" s="139">
        <f>'01_Вводные'!$J$269</f>
        <v/>
      </c>
      <c r="I75" s="139">
        <f>'01_Вводные'!$J$270</f>
        <v/>
      </c>
      <c r="J75" s="139">
        <f>'01_Вводные'!$J$271</f>
        <v/>
      </c>
      <c r="K75" s="139">
        <f>'01_Вводные'!$J$272</f>
        <v/>
      </c>
      <c r="L75" s="139">
        <f>'01_Вводные'!$J$273</f>
        <v/>
      </c>
      <c r="M75" s="139">
        <f>'01_Вводные'!$J$274</f>
        <v/>
      </c>
      <c r="N75" s="139">
        <f>'01_Вводные'!$J$275</f>
        <v/>
      </c>
      <c r="O75" s="139">
        <f>'01_Вводные'!$J$276</f>
        <v/>
      </c>
      <c r="P75" s="139">
        <f>'01_Вводные'!$J$277</f>
        <v/>
      </c>
      <c r="Q75" s="139">
        <f>'01_Вводные'!$J$278</f>
        <v/>
      </c>
      <c r="R75" s="139">
        <f>'01_Вводные'!$J$279</f>
        <v/>
      </c>
      <c r="S75" s="139">
        <f>'01_Вводные'!$J$280</f>
        <v/>
      </c>
      <c r="T75" s="139">
        <f>'01_Вводные'!$J$281</f>
        <v/>
      </c>
      <c r="U75" s="139">
        <f>'01_Вводные'!$J$282</f>
        <v/>
      </c>
    </row>
    <row r="76">
      <c r="A76" s="137" t="inlineStr">
        <is>
          <t>23</t>
        </is>
      </c>
      <c r="B76" s="139">
        <f>'01_Вводные'!$J$263</f>
        <v/>
      </c>
      <c r="C76" s="139">
        <f>'01_Вводные'!$J$264</f>
        <v/>
      </c>
      <c r="D76" s="139">
        <f>'01_Вводные'!$J$265</f>
        <v/>
      </c>
      <c r="E76" s="139">
        <f>'01_Вводные'!$J$266</f>
        <v/>
      </c>
      <c r="F76" s="139">
        <f>'01_Вводные'!$J$267</f>
        <v/>
      </c>
      <c r="G76" s="139">
        <f>'01_Вводные'!$J$268</f>
        <v/>
      </c>
      <c r="H76" s="139">
        <f>'01_Вводные'!$J$269</f>
        <v/>
      </c>
      <c r="I76" s="139">
        <f>'01_Вводные'!$J$270</f>
        <v/>
      </c>
      <c r="J76" s="139">
        <f>'01_Вводные'!$J$271</f>
        <v/>
      </c>
      <c r="K76" s="139">
        <f>'01_Вводные'!$J$272</f>
        <v/>
      </c>
      <c r="L76" s="139">
        <f>'01_Вводные'!$J$273</f>
        <v/>
      </c>
      <c r="M76" s="139">
        <f>'01_Вводные'!$J$274</f>
        <v/>
      </c>
      <c r="N76" s="139">
        <f>'01_Вводные'!$J$275</f>
        <v/>
      </c>
      <c r="O76" s="139">
        <f>'01_Вводные'!$J$276</f>
        <v/>
      </c>
      <c r="P76" s="139">
        <f>'01_Вводные'!$J$277</f>
        <v/>
      </c>
      <c r="Q76" s="139">
        <f>'01_Вводные'!$J$278</f>
        <v/>
      </c>
      <c r="R76" s="139">
        <f>'01_Вводные'!$J$279</f>
        <v/>
      </c>
      <c r="S76" s="139">
        <f>'01_Вводные'!$J$280</f>
        <v/>
      </c>
      <c r="T76" s="139">
        <f>'01_Вводные'!$J$281</f>
        <v/>
      </c>
      <c r="U76" s="139">
        <f>'01_Вводные'!$J$282</f>
        <v/>
      </c>
    </row>
    <row r="77">
      <c r="A77" s="137" t="inlineStr">
        <is>
          <t>24</t>
        </is>
      </c>
      <c r="B77" s="139">
        <f>'01_Вводные'!$J$263</f>
        <v/>
      </c>
      <c r="C77" s="139">
        <f>'01_Вводные'!$J$264</f>
        <v/>
      </c>
      <c r="D77" s="139">
        <f>'01_Вводные'!$J$265</f>
        <v/>
      </c>
      <c r="E77" s="139">
        <f>'01_Вводные'!$J$266</f>
        <v/>
      </c>
      <c r="F77" s="139">
        <f>'01_Вводные'!$J$267</f>
        <v/>
      </c>
      <c r="G77" s="139">
        <f>'01_Вводные'!$J$268</f>
        <v/>
      </c>
      <c r="H77" s="139">
        <f>'01_Вводные'!$J$269</f>
        <v/>
      </c>
      <c r="I77" s="139">
        <f>'01_Вводные'!$J$270</f>
        <v/>
      </c>
      <c r="J77" s="139">
        <f>'01_Вводные'!$J$271</f>
        <v/>
      </c>
      <c r="K77" s="139">
        <f>'01_Вводные'!$J$272</f>
        <v/>
      </c>
      <c r="L77" s="139">
        <f>'01_Вводные'!$J$273</f>
        <v/>
      </c>
      <c r="M77" s="139">
        <f>'01_Вводные'!$J$274</f>
        <v/>
      </c>
      <c r="N77" s="139">
        <f>'01_Вводные'!$J$275</f>
        <v/>
      </c>
      <c r="O77" s="139">
        <f>'01_Вводные'!$J$276</f>
        <v/>
      </c>
      <c r="P77" s="139">
        <f>'01_Вводные'!$J$277</f>
        <v/>
      </c>
      <c r="Q77" s="139">
        <f>'01_Вводные'!$J$278</f>
        <v/>
      </c>
      <c r="R77" s="139">
        <f>'01_Вводные'!$J$279</f>
        <v/>
      </c>
      <c r="S77" s="139">
        <f>'01_Вводные'!$J$280</f>
        <v/>
      </c>
      <c r="T77" s="139">
        <f>'01_Вводные'!$J$281</f>
        <v/>
      </c>
      <c r="U77" s="139">
        <f>'01_Вводные'!$J$282</f>
        <v/>
      </c>
    </row>
    <row r="78">
      <c r="A78" s="137" t="inlineStr">
        <is>
          <t>25+</t>
        </is>
      </c>
      <c r="B78" s="139">
        <f>'01_Вводные'!$J$263</f>
        <v/>
      </c>
      <c r="C78" s="139">
        <f>'01_Вводные'!$J$264</f>
        <v/>
      </c>
      <c r="D78" s="139">
        <f>'01_Вводные'!$J$265</f>
        <v/>
      </c>
      <c r="E78" s="139">
        <f>'01_Вводные'!$J$266</f>
        <v/>
      </c>
      <c r="F78" s="139">
        <f>'01_Вводные'!$J$267</f>
        <v/>
      </c>
      <c r="G78" s="139">
        <f>'01_Вводные'!$J$268</f>
        <v/>
      </c>
      <c r="H78" s="139">
        <f>'01_Вводные'!$J$269</f>
        <v/>
      </c>
      <c r="I78" s="139">
        <f>'01_Вводные'!$J$270</f>
        <v/>
      </c>
      <c r="J78" s="139">
        <f>'01_Вводные'!$J$271</f>
        <v/>
      </c>
      <c r="K78" s="139">
        <f>'01_Вводные'!$J$272</f>
        <v/>
      </c>
      <c r="L78" s="139">
        <f>'01_Вводные'!$J$273</f>
        <v/>
      </c>
      <c r="M78" s="139">
        <f>'01_Вводные'!$J$274</f>
        <v/>
      </c>
      <c r="N78" s="139">
        <f>'01_Вводные'!$J$275</f>
        <v/>
      </c>
      <c r="O78" s="139">
        <f>'01_Вводные'!$J$276</f>
        <v/>
      </c>
      <c r="P78" s="139">
        <f>'01_Вводные'!$J$277</f>
        <v/>
      </c>
      <c r="Q78" s="139">
        <f>'01_Вводные'!$J$278</f>
        <v/>
      </c>
      <c r="R78" s="139">
        <f>'01_Вводные'!$J$279</f>
        <v/>
      </c>
      <c r="S78" s="139">
        <f>'01_Вводные'!$J$280</f>
        <v/>
      </c>
      <c r="T78" s="139">
        <f>'01_Вводные'!$J$281</f>
        <v/>
      </c>
      <c r="U78" s="139">
        <f>'01_Вводные'!$J$282</f>
        <v/>
      </c>
    </row>
    <row r="86">
      <c r="A86" s="137" t="inlineStr">
        <is>
          <t>1</t>
        </is>
      </c>
      <c r="B86" s="139">
        <f>'01_Вводные'!$E$263*IF('01_Вводные'!$B$295="Да",1/12,1)</f>
        <v/>
      </c>
      <c r="C86" s="139">
        <f>'01_Вводные'!$E$264*IF('01_Вводные'!$B$295="Да",1/12,1)</f>
        <v/>
      </c>
      <c r="D86" s="139">
        <f>'01_Вводные'!$E$265*IF('01_Вводные'!$B$295="Да",1/12,1)</f>
        <v/>
      </c>
      <c r="E86" s="139">
        <f>'01_Вводные'!$E$266*IF('01_Вводные'!$B$295="Да",1/12,1)</f>
        <v/>
      </c>
      <c r="F86" s="139">
        <f>'01_Вводные'!$E$267*IF('01_Вводные'!$B$295="Да",1/12,1)</f>
        <v/>
      </c>
      <c r="G86" s="139">
        <f>'01_Вводные'!$E$268*IF('01_Вводные'!$B$295="Да",1/12,1)</f>
        <v/>
      </c>
      <c r="H86" s="139">
        <f>'01_Вводные'!$E$269*IF('01_Вводные'!$B$295="Да",1/12,1)</f>
        <v/>
      </c>
      <c r="I86" s="139">
        <f>'01_Вводные'!$E$270*IF('01_Вводные'!$B$295="Да",1/12,1)</f>
        <v/>
      </c>
      <c r="J86" s="139">
        <f>'01_Вводные'!$E$271*IF('01_Вводные'!$B$295="Да",1/12,1)</f>
        <v/>
      </c>
      <c r="K86" s="139">
        <f>'01_Вводные'!$E$272*IF('01_Вводные'!$B$295="Да",1/12,1)</f>
        <v/>
      </c>
      <c r="L86" s="139">
        <f>'01_Вводные'!$E$273*IF('01_Вводные'!$B$295="Да",1/12,1)</f>
        <v/>
      </c>
      <c r="M86" s="139">
        <f>'01_Вводные'!$E$274*IF('01_Вводные'!$B$295="Да",1/12,1)</f>
        <v/>
      </c>
      <c r="N86" s="139">
        <f>'01_Вводные'!$E$275*IF('01_Вводные'!$B$295="Да",1/12,1)</f>
        <v/>
      </c>
      <c r="O86" s="139">
        <f>'01_Вводные'!$E$276*IF('01_Вводные'!$B$295="Да",1/12,1)</f>
        <v/>
      </c>
      <c r="P86" s="139">
        <f>'01_Вводные'!$E$277*IF('01_Вводные'!$B$295="Да",1/12,1)</f>
        <v/>
      </c>
      <c r="Q86" s="139">
        <f>'01_Вводные'!$E$278*IF('01_Вводные'!$B$295="Да",1/12,1)</f>
        <v/>
      </c>
      <c r="R86" s="139">
        <f>'01_Вводные'!$E$279*IF('01_Вводные'!$B$295="Да",1/12,1)</f>
        <v/>
      </c>
      <c r="S86" s="139">
        <f>'01_Вводные'!$E$280*IF('01_Вводные'!$B$295="Да",1/12,1)</f>
        <v/>
      </c>
      <c r="T86" s="139">
        <f>'01_Вводные'!$E$281*IF('01_Вводные'!$B$295="Да",1/12,1)</f>
        <v/>
      </c>
      <c r="U86" s="139">
        <f>'01_Вводные'!$E$282*IF('01_Вводные'!$B$295="Да",1/12,1)</f>
        <v/>
      </c>
    </row>
    <row r="87">
      <c r="A87" s="137" t="inlineStr">
        <is>
          <t>2</t>
        </is>
      </c>
      <c r="B87" s="139">
        <f>'01_Вводные'!$E$263*IF('01_Вводные'!$B$295="Да",2/12,1)</f>
        <v/>
      </c>
      <c r="C87" s="139">
        <f>'01_Вводные'!$E$264*IF('01_Вводные'!$B$295="Да",2/12,1)</f>
        <v/>
      </c>
      <c r="D87" s="139">
        <f>'01_Вводные'!$E$265*IF('01_Вводные'!$B$295="Да",2/12,1)</f>
        <v/>
      </c>
      <c r="E87" s="139">
        <f>'01_Вводные'!$E$266*IF('01_Вводные'!$B$295="Да",2/12,1)</f>
        <v/>
      </c>
      <c r="F87" s="139">
        <f>'01_Вводные'!$E$267*IF('01_Вводные'!$B$295="Да",2/12,1)</f>
        <v/>
      </c>
      <c r="G87" s="139">
        <f>'01_Вводные'!$E$268*IF('01_Вводные'!$B$295="Да",2/12,1)</f>
        <v/>
      </c>
      <c r="H87" s="139">
        <f>'01_Вводные'!$E$269*IF('01_Вводные'!$B$295="Да",2/12,1)</f>
        <v/>
      </c>
      <c r="I87" s="139">
        <f>'01_Вводные'!$E$270*IF('01_Вводные'!$B$295="Да",2/12,1)</f>
        <v/>
      </c>
      <c r="J87" s="139">
        <f>'01_Вводные'!$E$271*IF('01_Вводные'!$B$295="Да",2/12,1)</f>
        <v/>
      </c>
      <c r="K87" s="139">
        <f>'01_Вводные'!$E$272*IF('01_Вводные'!$B$295="Да",2/12,1)</f>
        <v/>
      </c>
      <c r="L87" s="139">
        <f>'01_Вводные'!$E$273*IF('01_Вводные'!$B$295="Да",2/12,1)</f>
        <v/>
      </c>
      <c r="M87" s="139">
        <f>'01_Вводные'!$E$274*IF('01_Вводные'!$B$295="Да",2/12,1)</f>
        <v/>
      </c>
      <c r="N87" s="139">
        <f>'01_Вводные'!$E$275*IF('01_Вводные'!$B$295="Да",2/12,1)</f>
        <v/>
      </c>
      <c r="O87" s="139">
        <f>'01_Вводные'!$E$276*IF('01_Вводные'!$B$295="Да",2/12,1)</f>
        <v/>
      </c>
      <c r="P87" s="139">
        <f>'01_Вводные'!$E$277*IF('01_Вводные'!$B$295="Да",2/12,1)</f>
        <v/>
      </c>
      <c r="Q87" s="139">
        <f>'01_Вводные'!$E$278*IF('01_Вводные'!$B$295="Да",2/12,1)</f>
        <v/>
      </c>
      <c r="R87" s="139">
        <f>'01_Вводные'!$E$279*IF('01_Вводные'!$B$295="Да",2/12,1)</f>
        <v/>
      </c>
      <c r="S87" s="139">
        <f>'01_Вводные'!$E$280*IF('01_Вводные'!$B$295="Да",2/12,1)</f>
        <v/>
      </c>
      <c r="T87" s="139">
        <f>'01_Вводные'!$E$281*IF('01_Вводные'!$B$295="Да",2/12,1)</f>
        <v/>
      </c>
      <c r="U87" s="139">
        <f>'01_Вводные'!$E$282*IF('01_Вводные'!$B$295="Да",2/12,1)</f>
        <v/>
      </c>
    </row>
    <row r="88">
      <c r="A88" s="137" t="inlineStr">
        <is>
          <t>3</t>
        </is>
      </c>
      <c r="B88" s="139">
        <f>'01_Вводные'!$E$263*IF('01_Вводные'!$B$295="Да",3/12,1)</f>
        <v/>
      </c>
      <c r="C88" s="139">
        <f>'01_Вводные'!$E$264*IF('01_Вводные'!$B$295="Да",3/12,1)</f>
        <v/>
      </c>
      <c r="D88" s="139">
        <f>'01_Вводные'!$E$265*IF('01_Вводные'!$B$295="Да",3/12,1)</f>
        <v/>
      </c>
      <c r="E88" s="139">
        <f>'01_Вводные'!$E$266*IF('01_Вводные'!$B$295="Да",3/12,1)</f>
        <v/>
      </c>
      <c r="F88" s="139">
        <f>'01_Вводные'!$E$267*IF('01_Вводные'!$B$295="Да",3/12,1)</f>
        <v/>
      </c>
      <c r="G88" s="139">
        <f>'01_Вводные'!$E$268*IF('01_Вводные'!$B$295="Да",3/12,1)</f>
        <v/>
      </c>
      <c r="H88" s="139">
        <f>'01_Вводные'!$E$269*IF('01_Вводные'!$B$295="Да",3/12,1)</f>
        <v/>
      </c>
      <c r="I88" s="139">
        <f>'01_Вводные'!$E$270*IF('01_Вводные'!$B$295="Да",3/12,1)</f>
        <v/>
      </c>
      <c r="J88" s="139">
        <f>'01_Вводные'!$E$271*IF('01_Вводные'!$B$295="Да",3/12,1)</f>
        <v/>
      </c>
      <c r="K88" s="139">
        <f>'01_Вводные'!$E$272*IF('01_Вводные'!$B$295="Да",3/12,1)</f>
        <v/>
      </c>
      <c r="L88" s="139">
        <f>'01_Вводные'!$E$273*IF('01_Вводные'!$B$295="Да",3/12,1)</f>
        <v/>
      </c>
      <c r="M88" s="139">
        <f>'01_Вводные'!$E$274*IF('01_Вводные'!$B$295="Да",3/12,1)</f>
        <v/>
      </c>
      <c r="N88" s="139">
        <f>'01_Вводные'!$E$275*IF('01_Вводные'!$B$295="Да",3/12,1)</f>
        <v/>
      </c>
      <c r="O88" s="139">
        <f>'01_Вводные'!$E$276*IF('01_Вводные'!$B$295="Да",3/12,1)</f>
        <v/>
      </c>
      <c r="P88" s="139">
        <f>'01_Вводные'!$E$277*IF('01_Вводные'!$B$295="Да",3/12,1)</f>
        <v/>
      </c>
      <c r="Q88" s="139">
        <f>'01_Вводные'!$E$278*IF('01_Вводные'!$B$295="Да",3/12,1)</f>
        <v/>
      </c>
      <c r="R88" s="139">
        <f>'01_Вводные'!$E$279*IF('01_Вводные'!$B$295="Да",3/12,1)</f>
        <v/>
      </c>
      <c r="S88" s="139">
        <f>'01_Вводные'!$E$280*IF('01_Вводные'!$B$295="Да",3/12,1)</f>
        <v/>
      </c>
      <c r="T88" s="139">
        <f>'01_Вводные'!$E$281*IF('01_Вводные'!$B$295="Да",3/12,1)</f>
        <v/>
      </c>
      <c r="U88" s="139">
        <f>'01_Вводные'!$E$282*IF('01_Вводные'!$B$295="Да",3/12,1)</f>
        <v/>
      </c>
    </row>
    <row r="89">
      <c r="A89" s="137" t="inlineStr">
        <is>
          <t>4</t>
        </is>
      </c>
      <c r="B89" s="139">
        <f>'01_Вводные'!$E$263*IF('01_Вводные'!$B$295="Да",4/12,1)</f>
        <v/>
      </c>
      <c r="C89" s="139">
        <f>'01_Вводные'!$E$264*IF('01_Вводные'!$B$295="Да",4/12,1)</f>
        <v/>
      </c>
      <c r="D89" s="139">
        <f>'01_Вводные'!$E$265*IF('01_Вводные'!$B$295="Да",4/12,1)</f>
        <v/>
      </c>
      <c r="E89" s="139">
        <f>'01_Вводные'!$E$266*IF('01_Вводные'!$B$295="Да",4/12,1)</f>
        <v/>
      </c>
      <c r="F89" s="139">
        <f>'01_Вводные'!$E$267*IF('01_Вводные'!$B$295="Да",4/12,1)</f>
        <v/>
      </c>
      <c r="G89" s="139">
        <f>'01_Вводные'!$E$268*IF('01_Вводные'!$B$295="Да",4/12,1)</f>
        <v/>
      </c>
      <c r="H89" s="139">
        <f>'01_Вводные'!$E$269*IF('01_Вводные'!$B$295="Да",4/12,1)</f>
        <v/>
      </c>
      <c r="I89" s="139">
        <f>'01_Вводные'!$E$270*IF('01_Вводные'!$B$295="Да",4/12,1)</f>
        <v/>
      </c>
      <c r="J89" s="139">
        <f>'01_Вводные'!$E$271*IF('01_Вводные'!$B$295="Да",4/12,1)</f>
        <v/>
      </c>
      <c r="K89" s="139">
        <f>'01_Вводные'!$E$272*IF('01_Вводные'!$B$295="Да",4/12,1)</f>
        <v/>
      </c>
      <c r="L89" s="139">
        <f>'01_Вводные'!$E$273*IF('01_Вводные'!$B$295="Да",4/12,1)</f>
        <v/>
      </c>
      <c r="M89" s="139">
        <f>'01_Вводные'!$E$274*IF('01_Вводные'!$B$295="Да",4/12,1)</f>
        <v/>
      </c>
      <c r="N89" s="139">
        <f>'01_Вводные'!$E$275*IF('01_Вводные'!$B$295="Да",4/12,1)</f>
        <v/>
      </c>
      <c r="O89" s="139">
        <f>'01_Вводные'!$E$276*IF('01_Вводные'!$B$295="Да",4/12,1)</f>
        <v/>
      </c>
      <c r="P89" s="139">
        <f>'01_Вводные'!$E$277*IF('01_Вводные'!$B$295="Да",4/12,1)</f>
        <v/>
      </c>
      <c r="Q89" s="139">
        <f>'01_Вводные'!$E$278*IF('01_Вводные'!$B$295="Да",4/12,1)</f>
        <v/>
      </c>
      <c r="R89" s="139">
        <f>'01_Вводные'!$E$279*IF('01_Вводные'!$B$295="Да",4/12,1)</f>
        <v/>
      </c>
      <c r="S89" s="139">
        <f>'01_Вводные'!$E$280*IF('01_Вводные'!$B$295="Да",4/12,1)</f>
        <v/>
      </c>
      <c r="T89" s="139">
        <f>'01_Вводные'!$E$281*IF('01_Вводные'!$B$295="Да",4/12,1)</f>
        <v/>
      </c>
      <c r="U89" s="139">
        <f>'01_Вводные'!$E$282*IF('01_Вводные'!$B$295="Да",4/12,1)</f>
        <v/>
      </c>
    </row>
    <row r="90">
      <c r="A90" s="137" t="inlineStr">
        <is>
          <t>5</t>
        </is>
      </c>
      <c r="B90" s="139">
        <f>'01_Вводные'!$E$263*IF('01_Вводные'!$B$295="Да",5/12,1)</f>
        <v/>
      </c>
      <c r="C90" s="139">
        <f>'01_Вводные'!$E$264*IF('01_Вводные'!$B$295="Да",5/12,1)</f>
        <v/>
      </c>
      <c r="D90" s="139">
        <f>'01_Вводные'!$E$265*IF('01_Вводные'!$B$295="Да",5/12,1)</f>
        <v/>
      </c>
      <c r="E90" s="139">
        <f>'01_Вводные'!$E$266*IF('01_Вводные'!$B$295="Да",5/12,1)</f>
        <v/>
      </c>
      <c r="F90" s="139">
        <f>'01_Вводные'!$E$267*IF('01_Вводные'!$B$295="Да",5/12,1)</f>
        <v/>
      </c>
      <c r="G90" s="139">
        <f>'01_Вводные'!$E$268*IF('01_Вводные'!$B$295="Да",5/12,1)</f>
        <v/>
      </c>
      <c r="H90" s="139">
        <f>'01_Вводные'!$E$269*IF('01_Вводные'!$B$295="Да",5/12,1)</f>
        <v/>
      </c>
      <c r="I90" s="139">
        <f>'01_Вводные'!$E$270*IF('01_Вводные'!$B$295="Да",5/12,1)</f>
        <v/>
      </c>
      <c r="J90" s="139">
        <f>'01_Вводные'!$E$271*IF('01_Вводные'!$B$295="Да",5/12,1)</f>
        <v/>
      </c>
      <c r="K90" s="139">
        <f>'01_Вводные'!$E$272*IF('01_Вводные'!$B$295="Да",5/12,1)</f>
        <v/>
      </c>
      <c r="L90" s="139">
        <f>'01_Вводные'!$E$273*IF('01_Вводные'!$B$295="Да",5/12,1)</f>
        <v/>
      </c>
      <c r="M90" s="139">
        <f>'01_Вводные'!$E$274*IF('01_Вводные'!$B$295="Да",5/12,1)</f>
        <v/>
      </c>
      <c r="N90" s="139">
        <f>'01_Вводные'!$E$275*IF('01_Вводные'!$B$295="Да",5/12,1)</f>
        <v/>
      </c>
      <c r="O90" s="139">
        <f>'01_Вводные'!$E$276*IF('01_Вводные'!$B$295="Да",5/12,1)</f>
        <v/>
      </c>
      <c r="P90" s="139">
        <f>'01_Вводные'!$E$277*IF('01_Вводные'!$B$295="Да",5/12,1)</f>
        <v/>
      </c>
      <c r="Q90" s="139">
        <f>'01_Вводные'!$E$278*IF('01_Вводные'!$B$295="Да",5/12,1)</f>
        <v/>
      </c>
      <c r="R90" s="139">
        <f>'01_Вводные'!$E$279*IF('01_Вводные'!$B$295="Да",5/12,1)</f>
        <v/>
      </c>
      <c r="S90" s="139">
        <f>'01_Вводные'!$E$280*IF('01_Вводные'!$B$295="Да",5/12,1)</f>
        <v/>
      </c>
      <c r="T90" s="139">
        <f>'01_Вводные'!$E$281*IF('01_Вводные'!$B$295="Да",5/12,1)</f>
        <v/>
      </c>
      <c r="U90" s="139">
        <f>'01_Вводные'!$E$282*IF('01_Вводные'!$B$295="Да",5/12,1)</f>
        <v/>
      </c>
    </row>
    <row r="91">
      <c r="A91" s="137" t="inlineStr">
        <is>
          <t>6</t>
        </is>
      </c>
      <c r="B91" s="139">
        <f>'01_Вводные'!$E$263*IF('01_Вводные'!$B$295="Да",6/12,1)</f>
        <v/>
      </c>
      <c r="C91" s="139">
        <f>'01_Вводные'!$E$264*IF('01_Вводные'!$B$295="Да",6/12,1)</f>
        <v/>
      </c>
      <c r="D91" s="139">
        <f>'01_Вводные'!$E$265*IF('01_Вводные'!$B$295="Да",6/12,1)</f>
        <v/>
      </c>
      <c r="E91" s="139">
        <f>'01_Вводные'!$E$266*IF('01_Вводные'!$B$295="Да",6/12,1)</f>
        <v/>
      </c>
      <c r="F91" s="139">
        <f>'01_Вводные'!$E$267*IF('01_Вводные'!$B$295="Да",6/12,1)</f>
        <v/>
      </c>
      <c r="G91" s="139">
        <f>'01_Вводные'!$E$268*IF('01_Вводные'!$B$295="Да",6/12,1)</f>
        <v/>
      </c>
      <c r="H91" s="139">
        <f>'01_Вводные'!$E$269*IF('01_Вводные'!$B$295="Да",6/12,1)</f>
        <v/>
      </c>
      <c r="I91" s="139">
        <f>'01_Вводные'!$E$270*IF('01_Вводные'!$B$295="Да",6/12,1)</f>
        <v/>
      </c>
      <c r="J91" s="139">
        <f>'01_Вводные'!$E$271*IF('01_Вводные'!$B$295="Да",6/12,1)</f>
        <v/>
      </c>
      <c r="K91" s="139">
        <f>'01_Вводные'!$E$272*IF('01_Вводные'!$B$295="Да",6/12,1)</f>
        <v/>
      </c>
      <c r="L91" s="139">
        <f>'01_Вводные'!$E$273*IF('01_Вводные'!$B$295="Да",6/12,1)</f>
        <v/>
      </c>
      <c r="M91" s="139">
        <f>'01_Вводные'!$E$274*IF('01_Вводные'!$B$295="Да",6/12,1)</f>
        <v/>
      </c>
      <c r="N91" s="139">
        <f>'01_Вводные'!$E$275*IF('01_Вводные'!$B$295="Да",6/12,1)</f>
        <v/>
      </c>
      <c r="O91" s="139">
        <f>'01_Вводные'!$E$276*IF('01_Вводные'!$B$295="Да",6/12,1)</f>
        <v/>
      </c>
      <c r="P91" s="139">
        <f>'01_Вводные'!$E$277*IF('01_Вводные'!$B$295="Да",6/12,1)</f>
        <v/>
      </c>
      <c r="Q91" s="139">
        <f>'01_Вводные'!$E$278*IF('01_Вводные'!$B$295="Да",6/12,1)</f>
        <v/>
      </c>
      <c r="R91" s="139">
        <f>'01_Вводные'!$E$279*IF('01_Вводные'!$B$295="Да",6/12,1)</f>
        <v/>
      </c>
      <c r="S91" s="139">
        <f>'01_Вводные'!$E$280*IF('01_Вводные'!$B$295="Да",6/12,1)</f>
        <v/>
      </c>
      <c r="T91" s="139">
        <f>'01_Вводные'!$E$281*IF('01_Вводные'!$B$295="Да",6/12,1)</f>
        <v/>
      </c>
      <c r="U91" s="139">
        <f>'01_Вводные'!$E$282*IF('01_Вводные'!$B$295="Да",6/12,1)</f>
        <v/>
      </c>
    </row>
    <row r="92">
      <c r="A92" s="137" t="inlineStr">
        <is>
          <t>7</t>
        </is>
      </c>
      <c r="B92" s="139">
        <f>'01_Вводные'!$E$263*IF('01_Вводные'!$B$295="Да",7/12,1)</f>
        <v/>
      </c>
      <c r="C92" s="139">
        <f>'01_Вводные'!$E$264*IF('01_Вводные'!$B$295="Да",7/12,1)</f>
        <v/>
      </c>
      <c r="D92" s="139">
        <f>'01_Вводные'!$E$265*IF('01_Вводные'!$B$295="Да",7/12,1)</f>
        <v/>
      </c>
      <c r="E92" s="139">
        <f>'01_Вводные'!$E$266*IF('01_Вводные'!$B$295="Да",7/12,1)</f>
        <v/>
      </c>
      <c r="F92" s="139">
        <f>'01_Вводные'!$E$267*IF('01_Вводные'!$B$295="Да",7/12,1)</f>
        <v/>
      </c>
      <c r="G92" s="139">
        <f>'01_Вводные'!$E$268*IF('01_Вводные'!$B$295="Да",7/12,1)</f>
        <v/>
      </c>
      <c r="H92" s="139">
        <f>'01_Вводные'!$E$269*IF('01_Вводные'!$B$295="Да",7/12,1)</f>
        <v/>
      </c>
      <c r="I92" s="139">
        <f>'01_Вводные'!$E$270*IF('01_Вводные'!$B$295="Да",7/12,1)</f>
        <v/>
      </c>
      <c r="J92" s="139">
        <f>'01_Вводные'!$E$271*IF('01_Вводные'!$B$295="Да",7/12,1)</f>
        <v/>
      </c>
      <c r="K92" s="139">
        <f>'01_Вводные'!$E$272*IF('01_Вводные'!$B$295="Да",7/12,1)</f>
        <v/>
      </c>
      <c r="L92" s="139">
        <f>'01_Вводные'!$E$273*IF('01_Вводные'!$B$295="Да",7/12,1)</f>
        <v/>
      </c>
      <c r="M92" s="139">
        <f>'01_Вводные'!$E$274*IF('01_Вводные'!$B$295="Да",7/12,1)</f>
        <v/>
      </c>
      <c r="N92" s="139">
        <f>'01_Вводные'!$E$275*IF('01_Вводные'!$B$295="Да",7/12,1)</f>
        <v/>
      </c>
      <c r="O92" s="139">
        <f>'01_Вводные'!$E$276*IF('01_Вводные'!$B$295="Да",7/12,1)</f>
        <v/>
      </c>
      <c r="P92" s="139">
        <f>'01_Вводные'!$E$277*IF('01_Вводные'!$B$295="Да",7/12,1)</f>
        <v/>
      </c>
      <c r="Q92" s="139">
        <f>'01_Вводные'!$E$278*IF('01_Вводные'!$B$295="Да",7/12,1)</f>
        <v/>
      </c>
      <c r="R92" s="139">
        <f>'01_Вводные'!$E$279*IF('01_Вводные'!$B$295="Да",7/12,1)</f>
        <v/>
      </c>
      <c r="S92" s="139">
        <f>'01_Вводные'!$E$280*IF('01_Вводные'!$B$295="Да",7/12,1)</f>
        <v/>
      </c>
      <c r="T92" s="139">
        <f>'01_Вводные'!$E$281*IF('01_Вводные'!$B$295="Да",7/12,1)</f>
        <v/>
      </c>
      <c r="U92" s="139">
        <f>'01_Вводные'!$E$282*IF('01_Вводные'!$B$295="Да",7/12,1)</f>
        <v/>
      </c>
    </row>
    <row r="93">
      <c r="A93" s="137" t="inlineStr">
        <is>
          <t>8</t>
        </is>
      </c>
      <c r="B93" s="139">
        <f>'01_Вводные'!$E$263*IF('01_Вводные'!$B$295="Да",8/12,1)</f>
        <v/>
      </c>
      <c r="C93" s="139">
        <f>'01_Вводные'!$E$264*IF('01_Вводные'!$B$295="Да",8/12,1)</f>
        <v/>
      </c>
      <c r="D93" s="139">
        <f>'01_Вводные'!$E$265*IF('01_Вводные'!$B$295="Да",8/12,1)</f>
        <v/>
      </c>
      <c r="E93" s="139">
        <f>'01_Вводные'!$E$266*IF('01_Вводные'!$B$295="Да",8/12,1)</f>
        <v/>
      </c>
      <c r="F93" s="139">
        <f>'01_Вводные'!$E$267*IF('01_Вводные'!$B$295="Да",8/12,1)</f>
        <v/>
      </c>
      <c r="G93" s="139">
        <f>'01_Вводные'!$E$268*IF('01_Вводные'!$B$295="Да",8/12,1)</f>
        <v/>
      </c>
      <c r="H93" s="139">
        <f>'01_Вводные'!$E$269*IF('01_Вводные'!$B$295="Да",8/12,1)</f>
        <v/>
      </c>
      <c r="I93" s="139">
        <f>'01_Вводные'!$E$270*IF('01_Вводные'!$B$295="Да",8/12,1)</f>
        <v/>
      </c>
      <c r="J93" s="139">
        <f>'01_Вводные'!$E$271*IF('01_Вводные'!$B$295="Да",8/12,1)</f>
        <v/>
      </c>
      <c r="K93" s="139">
        <f>'01_Вводные'!$E$272*IF('01_Вводные'!$B$295="Да",8/12,1)</f>
        <v/>
      </c>
      <c r="L93" s="139">
        <f>'01_Вводные'!$E$273*IF('01_Вводные'!$B$295="Да",8/12,1)</f>
        <v/>
      </c>
      <c r="M93" s="139">
        <f>'01_Вводные'!$E$274*IF('01_Вводные'!$B$295="Да",8/12,1)</f>
        <v/>
      </c>
      <c r="N93" s="139">
        <f>'01_Вводные'!$E$275*IF('01_Вводные'!$B$295="Да",8/12,1)</f>
        <v/>
      </c>
      <c r="O93" s="139">
        <f>'01_Вводные'!$E$276*IF('01_Вводные'!$B$295="Да",8/12,1)</f>
        <v/>
      </c>
      <c r="P93" s="139">
        <f>'01_Вводные'!$E$277*IF('01_Вводные'!$B$295="Да",8/12,1)</f>
        <v/>
      </c>
      <c r="Q93" s="139">
        <f>'01_Вводные'!$E$278*IF('01_Вводные'!$B$295="Да",8/12,1)</f>
        <v/>
      </c>
      <c r="R93" s="139">
        <f>'01_Вводные'!$E$279*IF('01_Вводные'!$B$295="Да",8/12,1)</f>
        <v/>
      </c>
      <c r="S93" s="139">
        <f>'01_Вводные'!$E$280*IF('01_Вводные'!$B$295="Да",8/12,1)</f>
        <v/>
      </c>
      <c r="T93" s="139">
        <f>'01_Вводные'!$E$281*IF('01_Вводные'!$B$295="Да",8/12,1)</f>
        <v/>
      </c>
      <c r="U93" s="139">
        <f>'01_Вводные'!$E$282*IF('01_Вводные'!$B$295="Да",8/12,1)</f>
        <v/>
      </c>
    </row>
    <row r="94">
      <c r="A94" s="137" t="inlineStr">
        <is>
          <t>9</t>
        </is>
      </c>
      <c r="B94" s="139">
        <f>'01_Вводные'!$E$263*IF('01_Вводные'!$B$295="Да",9/12,1)</f>
        <v/>
      </c>
      <c r="C94" s="139">
        <f>'01_Вводные'!$E$264*IF('01_Вводные'!$B$295="Да",9/12,1)</f>
        <v/>
      </c>
      <c r="D94" s="139">
        <f>'01_Вводные'!$E$265*IF('01_Вводные'!$B$295="Да",9/12,1)</f>
        <v/>
      </c>
      <c r="E94" s="139">
        <f>'01_Вводные'!$E$266*IF('01_Вводные'!$B$295="Да",9/12,1)</f>
        <v/>
      </c>
      <c r="F94" s="139">
        <f>'01_Вводные'!$E$267*IF('01_Вводные'!$B$295="Да",9/12,1)</f>
        <v/>
      </c>
      <c r="G94" s="139">
        <f>'01_Вводные'!$E$268*IF('01_Вводные'!$B$295="Да",9/12,1)</f>
        <v/>
      </c>
      <c r="H94" s="139">
        <f>'01_Вводные'!$E$269*IF('01_Вводные'!$B$295="Да",9/12,1)</f>
        <v/>
      </c>
      <c r="I94" s="139">
        <f>'01_Вводные'!$E$270*IF('01_Вводные'!$B$295="Да",9/12,1)</f>
        <v/>
      </c>
      <c r="J94" s="139">
        <f>'01_Вводные'!$E$271*IF('01_Вводные'!$B$295="Да",9/12,1)</f>
        <v/>
      </c>
      <c r="K94" s="139">
        <f>'01_Вводные'!$E$272*IF('01_Вводные'!$B$295="Да",9/12,1)</f>
        <v/>
      </c>
      <c r="L94" s="139">
        <f>'01_Вводные'!$E$273*IF('01_Вводные'!$B$295="Да",9/12,1)</f>
        <v/>
      </c>
      <c r="M94" s="139">
        <f>'01_Вводные'!$E$274*IF('01_Вводные'!$B$295="Да",9/12,1)</f>
        <v/>
      </c>
      <c r="N94" s="139">
        <f>'01_Вводные'!$E$275*IF('01_Вводные'!$B$295="Да",9/12,1)</f>
        <v/>
      </c>
      <c r="O94" s="139">
        <f>'01_Вводные'!$E$276*IF('01_Вводные'!$B$295="Да",9/12,1)</f>
        <v/>
      </c>
      <c r="P94" s="139">
        <f>'01_Вводные'!$E$277*IF('01_Вводные'!$B$295="Да",9/12,1)</f>
        <v/>
      </c>
      <c r="Q94" s="139">
        <f>'01_Вводные'!$E$278*IF('01_Вводные'!$B$295="Да",9/12,1)</f>
        <v/>
      </c>
      <c r="R94" s="139">
        <f>'01_Вводные'!$E$279*IF('01_Вводные'!$B$295="Да",9/12,1)</f>
        <v/>
      </c>
      <c r="S94" s="139">
        <f>'01_Вводные'!$E$280*IF('01_Вводные'!$B$295="Да",9/12,1)</f>
        <v/>
      </c>
      <c r="T94" s="139">
        <f>'01_Вводные'!$E$281*IF('01_Вводные'!$B$295="Да",9/12,1)</f>
        <v/>
      </c>
      <c r="U94" s="139">
        <f>'01_Вводные'!$E$282*IF('01_Вводные'!$B$295="Да",9/12,1)</f>
        <v/>
      </c>
    </row>
    <row r="95">
      <c r="A95" s="137" t="inlineStr">
        <is>
          <t>10</t>
        </is>
      </c>
      <c r="B95" s="139">
        <f>'01_Вводные'!$E$263*IF('01_Вводные'!$B$295="Да",10/12,1)</f>
        <v/>
      </c>
      <c r="C95" s="139">
        <f>'01_Вводные'!$E$264*IF('01_Вводные'!$B$295="Да",10/12,1)</f>
        <v/>
      </c>
      <c r="D95" s="139">
        <f>'01_Вводные'!$E$265*IF('01_Вводные'!$B$295="Да",10/12,1)</f>
        <v/>
      </c>
      <c r="E95" s="139">
        <f>'01_Вводные'!$E$266*IF('01_Вводные'!$B$295="Да",10/12,1)</f>
        <v/>
      </c>
      <c r="F95" s="139">
        <f>'01_Вводные'!$E$267*IF('01_Вводные'!$B$295="Да",10/12,1)</f>
        <v/>
      </c>
      <c r="G95" s="139">
        <f>'01_Вводные'!$E$268*IF('01_Вводные'!$B$295="Да",10/12,1)</f>
        <v/>
      </c>
      <c r="H95" s="139">
        <f>'01_Вводные'!$E$269*IF('01_Вводные'!$B$295="Да",10/12,1)</f>
        <v/>
      </c>
      <c r="I95" s="139">
        <f>'01_Вводные'!$E$270*IF('01_Вводные'!$B$295="Да",10/12,1)</f>
        <v/>
      </c>
      <c r="J95" s="139">
        <f>'01_Вводные'!$E$271*IF('01_Вводные'!$B$295="Да",10/12,1)</f>
        <v/>
      </c>
      <c r="K95" s="139">
        <f>'01_Вводные'!$E$272*IF('01_Вводные'!$B$295="Да",10/12,1)</f>
        <v/>
      </c>
      <c r="L95" s="139">
        <f>'01_Вводные'!$E$273*IF('01_Вводные'!$B$295="Да",10/12,1)</f>
        <v/>
      </c>
      <c r="M95" s="139">
        <f>'01_Вводные'!$E$274*IF('01_Вводные'!$B$295="Да",10/12,1)</f>
        <v/>
      </c>
      <c r="N95" s="139">
        <f>'01_Вводные'!$E$275*IF('01_Вводные'!$B$295="Да",10/12,1)</f>
        <v/>
      </c>
      <c r="O95" s="139">
        <f>'01_Вводные'!$E$276*IF('01_Вводные'!$B$295="Да",10/12,1)</f>
        <v/>
      </c>
      <c r="P95" s="139">
        <f>'01_Вводные'!$E$277*IF('01_Вводные'!$B$295="Да",10/12,1)</f>
        <v/>
      </c>
      <c r="Q95" s="139">
        <f>'01_Вводные'!$E$278*IF('01_Вводные'!$B$295="Да",10/12,1)</f>
        <v/>
      </c>
      <c r="R95" s="139">
        <f>'01_Вводные'!$E$279*IF('01_Вводные'!$B$295="Да",10/12,1)</f>
        <v/>
      </c>
      <c r="S95" s="139">
        <f>'01_Вводные'!$E$280*IF('01_Вводные'!$B$295="Да",10/12,1)</f>
        <v/>
      </c>
      <c r="T95" s="139">
        <f>'01_Вводные'!$E$281*IF('01_Вводные'!$B$295="Да",10/12,1)</f>
        <v/>
      </c>
      <c r="U95" s="139">
        <f>'01_Вводные'!$E$282*IF('01_Вводные'!$B$295="Да",10/12,1)</f>
        <v/>
      </c>
    </row>
    <row r="96">
      <c r="A96" s="137" t="inlineStr">
        <is>
          <t>11</t>
        </is>
      </c>
      <c r="B96" s="139">
        <f>'01_Вводные'!$E$263*IF('01_Вводные'!$B$295="Да",11/12,1)</f>
        <v/>
      </c>
      <c r="C96" s="139">
        <f>'01_Вводные'!$E$264*IF('01_Вводные'!$B$295="Да",11/12,1)</f>
        <v/>
      </c>
      <c r="D96" s="139">
        <f>'01_Вводные'!$E$265*IF('01_Вводные'!$B$295="Да",11/12,1)</f>
        <v/>
      </c>
      <c r="E96" s="139">
        <f>'01_Вводные'!$E$266*IF('01_Вводные'!$B$295="Да",11/12,1)</f>
        <v/>
      </c>
      <c r="F96" s="139">
        <f>'01_Вводные'!$E$267*IF('01_Вводные'!$B$295="Да",11/12,1)</f>
        <v/>
      </c>
      <c r="G96" s="139">
        <f>'01_Вводные'!$E$268*IF('01_Вводные'!$B$295="Да",11/12,1)</f>
        <v/>
      </c>
      <c r="H96" s="139">
        <f>'01_Вводные'!$E$269*IF('01_Вводные'!$B$295="Да",11/12,1)</f>
        <v/>
      </c>
      <c r="I96" s="139">
        <f>'01_Вводные'!$E$270*IF('01_Вводные'!$B$295="Да",11/12,1)</f>
        <v/>
      </c>
      <c r="J96" s="139">
        <f>'01_Вводные'!$E$271*IF('01_Вводные'!$B$295="Да",11/12,1)</f>
        <v/>
      </c>
      <c r="K96" s="139">
        <f>'01_Вводные'!$E$272*IF('01_Вводные'!$B$295="Да",11/12,1)</f>
        <v/>
      </c>
      <c r="L96" s="139">
        <f>'01_Вводные'!$E$273*IF('01_Вводные'!$B$295="Да",11/12,1)</f>
        <v/>
      </c>
      <c r="M96" s="139">
        <f>'01_Вводные'!$E$274*IF('01_Вводные'!$B$295="Да",11/12,1)</f>
        <v/>
      </c>
      <c r="N96" s="139">
        <f>'01_Вводные'!$E$275*IF('01_Вводные'!$B$295="Да",11/12,1)</f>
        <v/>
      </c>
      <c r="O96" s="139">
        <f>'01_Вводные'!$E$276*IF('01_Вводные'!$B$295="Да",11/12,1)</f>
        <v/>
      </c>
      <c r="P96" s="139">
        <f>'01_Вводные'!$E$277*IF('01_Вводные'!$B$295="Да",11/12,1)</f>
        <v/>
      </c>
      <c r="Q96" s="139">
        <f>'01_Вводные'!$E$278*IF('01_Вводные'!$B$295="Да",11/12,1)</f>
        <v/>
      </c>
      <c r="R96" s="139">
        <f>'01_Вводные'!$E$279*IF('01_Вводные'!$B$295="Да",11/12,1)</f>
        <v/>
      </c>
      <c r="S96" s="139">
        <f>'01_Вводные'!$E$280*IF('01_Вводные'!$B$295="Да",11/12,1)</f>
        <v/>
      </c>
      <c r="T96" s="139">
        <f>'01_Вводные'!$E$281*IF('01_Вводные'!$B$295="Да",11/12,1)</f>
        <v/>
      </c>
      <c r="U96" s="139">
        <f>'01_Вводные'!$E$282*IF('01_Вводные'!$B$295="Да",11/12,1)</f>
        <v/>
      </c>
    </row>
    <row r="97">
      <c r="A97" s="137" t="inlineStr">
        <is>
          <t>12</t>
        </is>
      </c>
      <c r="B97" s="139">
        <f>'01_Вводные'!$E$263*IF('01_Вводные'!$B$295="Да",12/12,1)</f>
        <v/>
      </c>
      <c r="C97" s="139">
        <f>'01_Вводные'!$E$264*IF('01_Вводные'!$B$295="Да",12/12,1)</f>
        <v/>
      </c>
      <c r="D97" s="139">
        <f>'01_Вводные'!$E$265*IF('01_Вводные'!$B$295="Да",12/12,1)</f>
        <v/>
      </c>
      <c r="E97" s="139">
        <f>'01_Вводные'!$E$266*IF('01_Вводные'!$B$295="Да",12/12,1)</f>
        <v/>
      </c>
      <c r="F97" s="139">
        <f>'01_Вводные'!$E$267*IF('01_Вводные'!$B$295="Да",12/12,1)</f>
        <v/>
      </c>
      <c r="G97" s="139">
        <f>'01_Вводные'!$E$268*IF('01_Вводные'!$B$295="Да",12/12,1)</f>
        <v/>
      </c>
      <c r="H97" s="139">
        <f>'01_Вводные'!$E$269*IF('01_Вводные'!$B$295="Да",12/12,1)</f>
        <v/>
      </c>
      <c r="I97" s="139">
        <f>'01_Вводные'!$E$270*IF('01_Вводные'!$B$295="Да",12/12,1)</f>
        <v/>
      </c>
      <c r="J97" s="139">
        <f>'01_Вводные'!$E$271*IF('01_Вводные'!$B$295="Да",12/12,1)</f>
        <v/>
      </c>
      <c r="K97" s="139">
        <f>'01_Вводные'!$E$272*IF('01_Вводные'!$B$295="Да",12/12,1)</f>
        <v/>
      </c>
      <c r="L97" s="139">
        <f>'01_Вводные'!$E$273*IF('01_Вводные'!$B$295="Да",12/12,1)</f>
        <v/>
      </c>
      <c r="M97" s="139">
        <f>'01_Вводные'!$E$274*IF('01_Вводные'!$B$295="Да",12/12,1)</f>
        <v/>
      </c>
      <c r="N97" s="139">
        <f>'01_Вводные'!$E$275*IF('01_Вводные'!$B$295="Да",12/12,1)</f>
        <v/>
      </c>
      <c r="O97" s="139">
        <f>'01_Вводные'!$E$276*IF('01_Вводные'!$B$295="Да",12/12,1)</f>
        <v/>
      </c>
      <c r="P97" s="139">
        <f>'01_Вводные'!$E$277*IF('01_Вводные'!$B$295="Да",12/12,1)</f>
        <v/>
      </c>
      <c r="Q97" s="139">
        <f>'01_Вводные'!$E$278*IF('01_Вводные'!$B$295="Да",12/12,1)</f>
        <v/>
      </c>
      <c r="R97" s="139">
        <f>'01_Вводные'!$E$279*IF('01_Вводные'!$B$295="Да",12/12,1)</f>
        <v/>
      </c>
      <c r="S97" s="139">
        <f>'01_Вводные'!$E$280*IF('01_Вводные'!$B$295="Да",12/12,1)</f>
        <v/>
      </c>
      <c r="T97" s="139">
        <f>'01_Вводные'!$E$281*IF('01_Вводные'!$B$295="Да",12/12,1)</f>
        <v/>
      </c>
      <c r="U97" s="139">
        <f>'01_Вводные'!$E$282*IF('01_Вводные'!$B$295="Да",12/12,1)</f>
        <v/>
      </c>
    </row>
    <row r="98">
      <c r="A98" s="137" t="inlineStr">
        <is>
          <t>13</t>
        </is>
      </c>
      <c r="B98" s="139">
        <f>IF('01_Вводные'!$B$295="Да",'01_Вводные'!$E$263+('01_Вводные'!$F$263-'01_Вводные'!$E$263)*1/12,'01_Вводные'!$F$263)</f>
        <v/>
      </c>
      <c r="C98" s="139">
        <f>IF('01_Вводные'!$B$295="Да",'01_Вводные'!$E$264+('01_Вводные'!$F$264-'01_Вводные'!$E$264)*1/12,'01_Вводные'!$F$264)</f>
        <v/>
      </c>
      <c r="D98" s="139">
        <f>IF('01_Вводные'!$B$295="Да",'01_Вводные'!$E$265+('01_Вводные'!$F$265-'01_Вводные'!$E$265)*1/12,'01_Вводные'!$F$265)</f>
        <v/>
      </c>
      <c r="E98" s="139">
        <f>IF('01_Вводные'!$B$295="Да",'01_Вводные'!$E$266+('01_Вводные'!$F$266-'01_Вводные'!$E$266)*1/12,'01_Вводные'!$F$266)</f>
        <v/>
      </c>
      <c r="F98" s="139">
        <f>IF('01_Вводные'!$B$295="Да",'01_Вводные'!$E$267+('01_Вводные'!$F$267-'01_Вводные'!$E$267)*1/12,'01_Вводные'!$F$267)</f>
        <v/>
      </c>
      <c r="G98" s="139">
        <f>IF('01_Вводные'!$B$295="Да",'01_Вводные'!$E$268+('01_Вводные'!$F$268-'01_Вводные'!$E$268)*1/12,'01_Вводные'!$F$268)</f>
        <v/>
      </c>
      <c r="H98" s="139">
        <f>IF('01_Вводные'!$B$295="Да",'01_Вводные'!$E$269+('01_Вводные'!$F$269-'01_Вводные'!$E$269)*1/12,'01_Вводные'!$F$269)</f>
        <v/>
      </c>
      <c r="I98" s="139">
        <f>IF('01_Вводные'!$B$295="Да",'01_Вводные'!$E$270+('01_Вводные'!$F$270-'01_Вводные'!$E$270)*1/12,'01_Вводные'!$F$270)</f>
        <v/>
      </c>
      <c r="J98" s="139">
        <f>IF('01_Вводные'!$B$295="Да",'01_Вводные'!$E$271+('01_Вводные'!$F$271-'01_Вводные'!$E$271)*1/12,'01_Вводные'!$F$271)</f>
        <v/>
      </c>
      <c r="K98" s="139">
        <f>IF('01_Вводные'!$B$295="Да",'01_Вводные'!$E$272+('01_Вводные'!$F$272-'01_Вводные'!$E$272)*1/12,'01_Вводные'!$F$272)</f>
        <v/>
      </c>
      <c r="L98" s="139">
        <f>IF('01_Вводные'!$B$295="Да",'01_Вводные'!$E$273+('01_Вводные'!$F$273-'01_Вводные'!$E$273)*1/12,'01_Вводные'!$F$273)</f>
        <v/>
      </c>
      <c r="M98" s="139">
        <f>IF('01_Вводные'!$B$295="Да",'01_Вводные'!$E$274+('01_Вводные'!$F$274-'01_Вводные'!$E$274)*1/12,'01_Вводные'!$F$274)</f>
        <v/>
      </c>
      <c r="N98" s="139">
        <f>IF('01_Вводные'!$B$295="Да",'01_Вводные'!$E$275+('01_Вводные'!$F$275-'01_Вводные'!$E$275)*1/12,'01_Вводные'!$F$275)</f>
        <v/>
      </c>
      <c r="O98" s="139">
        <f>IF('01_Вводные'!$B$295="Да",'01_Вводные'!$E$276+('01_Вводные'!$F$276-'01_Вводные'!$E$276)*1/12,'01_Вводные'!$F$276)</f>
        <v/>
      </c>
      <c r="P98" s="139">
        <f>IF('01_Вводные'!$B$295="Да",'01_Вводные'!$E$277+('01_Вводные'!$F$277-'01_Вводные'!$E$277)*1/12,'01_Вводные'!$F$277)</f>
        <v/>
      </c>
      <c r="Q98" s="139">
        <f>IF('01_Вводные'!$B$295="Да",'01_Вводные'!$E$278+('01_Вводные'!$F$278-'01_Вводные'!$E$278)*1/12,'01_Вводные'!$F$278)</f>
        <v/>
      </c>
      <c r="R98" s="139">
        <f>IF('01_Вводные'!$B$295="Да",'01_Вводные'!$E$279+('01_Вводные'!$F$279-'01_Вводные'!$E$279)*1/12,'01_Вводные'!$F$279)</f>
        <v/>
      </c>
      <c r="S98" s="139">
        <f>IF('01_Вводные'!$B$295="Да",'01_Вводные'!$E$280+('01_Вводные'!$F$280-'01_Вводные'!$E$280)*1/12,'01_Вводные'!$F$280)</f>
        <v/>
      </c>
      <c r="T98" s="139">
        <f>IF('01_Вводные'!$B$295="Да",'01_Вводные'!$E$281+('01_Вводные'!$F$281-'01_Вводные'!$E$281)*1/12,'01_Вводные'!$F$281)</f>
        <v/>
      </c>
      <c r="U98" s="139">
        <f>IF('01_Вводные'!$B$295="Да",'01_Вводные'!$E$282+('01_Вводные'!$F$282-'01_Вводные'!$E$282)*1/12,'01_Вводные'!$F$282)</f>
        <v/>
      </c>
    </row>
    <row r="99">
      <c r="A99" s="137" t="inlineStr">
        <is>
          <t>14</t>
        </is>
      </c>
      <c r="B99" s="139">
        <f>IF('01_Вводные'!$B$295="Да",'01_Вводные'!$E$263+('01_Вводные'!$F$263-'01_Вводные'!$E$263)*2/12,'01_Вводные'!$F$263)</f>
        <v/>
      </c>
      <c r="C99" s="139">
        <f>IF('01_Вводные'!$B$295="Да",'01_Вводные'!$E$264+('01_Вводные'!$F$264-'01_Вводные'!$E$264)*2/12,'01_Вводные'!$F$264)</f>
        <v/>
      </c>
      <c r="D99" s="139">
        <f>IF('01_Вводные'!$B$295="Да",'01_Вводные'!$E$265+('01_Вводные'!$F$265-'01_Вводные'!$E$265)*2/12,'01_Вводные'!$F$265)</f>
        <v/>
      </c>
      <c r="E99" s="139">
        <f>IF('01_Вводные'!$B$295="Да",'01_Вводные'!$E$266+('01_Вводные'!$F$266-'01_Вводные'!$E$266)*2/12,'01_Вводные'!$F$266)</f>
        <v/>
      </c>
      <c r="F99" s="139">
        <f>IF('01_Вводные'!$B$295="Да",'01_Вводные'!$E$267+('01_Вводные'!$F$267-'01_Вводные'!$E$267)*2/12,'01_Вводные'!$F$267)</f>
        <v/>
      </c>
      <c r="G99" s="139">
        <f>IF('01_Вводные'!$B$295="Да",'01_Вводные'!$E$268+('01_Вводные'!$F$268-'01_Вводные'!$E$268)*2/12,'01_Вводные'!$F$268)</f>
        <v/>
      </c>
      <c r="H99" s="139">
        <f>IF('01_Вводные'!$B$295="Да",'01_Вводные'!$E$269+('01_Вводные'!$F$269-'01_Вводные'!$E$269)*2/12,'01_Вводные'!$F$269)</f>
        <v/>
      </c>
      <c r="I99" s="139">
        <f>IF('01_Вводные'!$B$295="Да",'01_Вводные'!$E$270+('01_Вводные'!$F$270-'01_Вводные'!$E$270)*2/12,'01_Вводные'!$F$270)</f>
        <v/>
      </c>
      <c r="J99" s="139">
        <f>IF('01_Вводные'!$B$295="Да",'01_Вводные'!$E$271+('01_Вводные'!$F$271-'01_Вводные'!$E$271)*2/12,'01_Вводные'!$F$271)</f>
        <v/>
      </c>
      <c r="K99" s="139">
        <f>IF('01_Вводные'!$B$295="Да",'01_Вводные'!$E$272+('01_Вводные'!$F$272-'01_Вводные'!$E$272)*2/12,'01_Вводные'!$F$272)</f>
        <v/>
      </c>
      <c r="L99" s="139">
        <f>IF('01_Вводные'!$B$295="Да",'01_Вводные'!$E$273+('01_Вводные'!$F$273-'01_Вводные'!$E$273)*2/12,'01_Вводные'!$F$273)</f>
        <v/>
      </c>
      <c r="M99" s="139">
        <f>IF('01_Вводные'!$B$295="Да",'01_Вводные'!$E$274+('01_Вводные'!$F$274-'01_Вводные'!$E$274)*2/12,'01_Вводные'!$F$274)</f>
        <v/>
      </c>
      <c r="N99" s="139">
        <f>IF('01_Вводные'!$B$295="Да",'01_Вводные'!$E$275+('01_Вводные'!$F$275-'01_Вводные'!$E$275)*2/12,'01_Вводные'!$F$275)</f>
        <v/>
      </c>
      <c r="O99" s="139">
        <f>IF('01_Вводные'!$B$295="Да",'01_Вводные'!$E$276+('01_Вводные'!$F$276-'01_Вводные'!$E$276)*2/12,'01_Вводные'!$F$276)</f>
        <v/>
      </c>
      <c r="P99" s="139">
        <f>IF('01_Вводные'!$B$295="Да",'01_Вводные'!$E$277+('01_Вводные'!$F$277-'01_Вводные'!$E$277)*2/12,'01_Вводные'!$F$277)</f>
        <v/>
      </c>
      <c r="Q99" s="139">
        <f>IF('01_Вводные'!$B$295="Да",'01_Вводные'!$E$278+('01_Вводные'!$F$278-'01_Вводные'!$E$278)*2/12,'01_Вводные'!$F$278)</f>
        <v/>
      </c>
      <c r="R99" s="139">
        <f>IF('01_Вводные'!$B$295="Да",'01_Вводные'!$E$279+('01_Вводные'!$F$279-'01_Вводные'!$E$279)*2/12,'01_Вводные'!$F$279)</f>
        <v/>
      </c>
      <c r="S99" s="139">
        <f>IF('01_Вводные'!$B$295="Да",'01_Вводные'!$E$280+('01_Вводные'!$F$280-'01_Вводные'!$E$280)*2/12,'01_Вводные'!$F$280)</f>
        <v/>
      </c>
      <c r="T99" s="139">
        <f>IF('01_Вводные'!$B$295="Да",'01_Вводные'!$E$281+('01_Вводные'!$F$281-'01_Вводные'!$E$281)*2/12,'01_Вводные'!$F$281)</f>
        <v/>
      </c>
      <c r="U99" s="139">
        <f>IF('01_Вводные'!$B$295="Да",'01_Вводные'!$E$282+('01_Вводные'!$F$282-'01_Вводные'!$E$282)*2/12,'01_Вводные'!$F$282)</f>
        <v/>
      </c>
    </row>
    <row r="100">
      <c r="A100" s="137" t="inlineStr">
        <is>
          <t>15</t>
        </is>
      </c>
      <c r="B100" s="139">
        <f>IF('01_Вводные'!$B$295="Да",'01_Вводные'!$E$263+('01_Вводные'!$F$263-'01_Вводные'!$E$263)*3/12,'01_Вводные'!$F$263)</f>
        <v/>
      </c>
      <c r="C100" s="139">
        <f>IF('01_Вводные'!$B$295="Да",'01_Вводные'!$E$264+('01_Вводные'!$F$264-'01_Вводные'!$E$264)*3/12,'01_Вводные'!$F$264)</f>
        <v/>
      </c>
      <c r="D100" s="139">
        <f>IF('01_Вводные'!$B$295="Да",'01_Вводные'!$E$265+('01_Вводные'!$F$265-'01_Вводные'!$E$265)*3/12,'01_Вводные'!$F$265)</f>
        <v/>
      </c>
      <c r="E100" s="139">
        <f>IF('01_Вводные'!$B$295="Да",'01_Вводные'!$E$266+('01_Вводные'!$F$266-'01_Вводные'!$E$266)*3/12,'01_Вводные'!$F$266)</f>
        <v/>
      </c>
      <c r="F100" s="139">
        <f>IF('01_Вводные'!$B$295="Да",'01_Вводные'!$E$267+('01_Вводные'!$F$267-'01_Вводные'!$E$267)*3/12,'01_Вводные'!$F$267)</f>
        <v/>
      </c>
      <c r="G100" s="139">
        <f>IF('01_Вводные'!$B$295="Да",'01_Вводные'!$E$268+('01_Вводные'!$F$268-'01_Вводные'!$E$268)*3/12,'01_Вводные'!$F$268)</f>
        <v/>
      </c>
      <c r="H100" s="139">
        <f>IF('01_Вводные'!$B$295="Да",'01_Вводные'!$E$269+('01_Вводные'!$F$269-'01_Вводные'!$E$269)*3/12,'01_Вводные'!$F$269)</f>
        <v/>
      </c>
      <c r="I100" s="139">
        <f>IF('01_Вводные'!$B$295="Да",'01_Вводные'!$E$270+('01_Вводные'!$F$270-'01_Вводные'!$E$270)*3/12,'01_Вводные'!$F$270)</f>
        <v/>
      </c>
      <c r="J100" s="139">
        <f>IF('01_Вводные'!$B$295="Да",'01_Вводные'!$E$271+('01_Вводные'!$F$271-'01_Вводные'!$E$271)*3/12,'01_Вводные'!$F$271)</f>
        <v/>
      </c>
      <c r="K100" s="139">
        <f>IF('01_Вводные'!$B$295="Да",'01_Вводные'!$E$272+('01_Вводные'!$F$272-'01_Вводные'!$E$272)*3/12,'01_Вводные'!$F$272)</f>
        <v/>
      </c>
      <c r="L100" s="139">
        <f>IF('01_Вводные'!$B$295="Да",'01_Вводные'!$E$273+('01_Вводные'!$F$273-'01_Вводные'!$E$273)*3/12,'01_Вводные'!$F$273)</f>
        <v/>
      </c>
      <c r="M100" s="139">
        <f>IF('01_Вводные'!$B$295="Да",'01_Вводные'!$E$274+('01_Вводные'!$F$274-'01_Вводные'!$E$274)*3/12,'01_Вводные'!$F$274)</f>
        <v/>
      </c>
      <c r="N100" s="139">
        <f>IF('01_Вводные'!$B$295="Да",'01_Вводные'!$E$275+('01_Вводные'!$F$275-'01_Вводные'!$E$275)*3/12,'01_Вводные'!$F$275)</f>
        <v/>
      </c>
      <c r="O100" s="139">
        <f>IF('01_Вводные'!$B$295="Да",'01_Вводные'!$E$276+('01_Вводные'!$F$276-'01_Вводные'!$E$276)*3/12,'01_Вводные'!$F$276)</f>
        <v/>
      </c>
      <c r="P100" s="139">
        <f>IF('01_Вводные'!$B$295="Да",'01_Вводные'!$E$277+('01_Вводные'!$F$277-'01_Вводные'!$E$277)*3/12,'01_Вводные'!$F$277)</f>
        <v/>
      </c>
      <c r="Q100" s="139">
        <f>IF('01_Вводные'!$B$295="Да",'01_Вводные'!$E$278+('01_Вводные'!$F$278-'01_Вводные'!$E$278)*3/12,'01_Вводные'!$F$278)</f>
        <v/>
      </c>
      <c r="R100" s="139">
        <f>IF('01_Вводные'!$B$295="Да",'01_Вводные'!$E$279+('01_Вводные'!$F$279-'01_Вводные'!$E$279)*3/12,'01_Вводные'!$F$279)</f>
        <v/>
      </c>
      <c r="S100" s="139">
        <f>IF('01_Вводные'!$B$295="Да",'01_Вводные'!$E$280+('01_Вводные'!$F$280-'01_Вводные'!$E$280)*3/12,'01_Вводные'!$F$280)</f>
        <v/>
      </c>
      <c r="T100" s="139">
        <f>IF('01_Вводные'!$B$295="Да",'01_Вводные'!$E$281+('01_Вводные'!$F$281-'01_Вводные'!$E$281)*3/12,'01_Вводные'!$F$281)</f>
        <v/>
      </c>
      <c r="U100" s="139">
        <f>IF('01_Вводные'!$B$295="Да",'01_Вводные'!$E$282+('01_Вводные'!$F$282-'01_Вводные'!$E$282)*3/12,'01_Вводные'!$F$282)</f>
        <v/>
      </c>
    </row>
    <row r="101">
      <c r="A101" s="137" t="inlineStr">
        <is>
          <t>16</t>
        </is>
      </c>
      <c r="B101" s="139">
        <f>IF('01_Вводные'!$B$295="Да",'01_Вводные'!$E$263+('01_Вводные'!$F$263-'01_Вводные'!$E$263)*4/12,'01_Вводные'!$F$263)</f>
        <v/>
      </c>
      <c r="C101" s="139">
        <f>IF('01_Вводные'!$B$295="Да",'01_Вводные'!$E$264+('01_Вводные'!$F$264-'01_Вводные'!$E$264)*4/12,'01_Вводные'!$F$264)</f>
        <v/>
      </c>
      <c r="D101" s="139">
        <f>IF('01_Вводные'!$B$295="Да",'01_Вводные'!$E$265+('01_Вводные'!$F$265-'01_Вводные'!$E$265)*4/12,'01_Вводные'!$F$265)</f>
        <v/>
      </c>
      <c r="E101" s="139">
        <f>IF('01_Вводные'!$B$295="Да",'01_Вводные'!$E$266+('01_Вводные'!$F$266-'01_Вводные'!$E$266)*4/12,'01_Вводные'!$F$266)</f>
        <v/>
      </c>
      <c r="F101" s="139">
        <f>IF('01_Вводные'!$B$295="Да",'01_Вводные'!$E$267+('01_Вводные'!$F$267-'01_Вводные'!$E$267)*4/12,'01_Вводные'!$F$267)</f>
        <v/>
      </c>
      <c r="G101" s="139">
        <f>IF('01_Вводные'!$B$295="Да",'01_Вводные'!$E$268+('01_Вводные'!$F$268-'01_Вводные'!$E$268)*4/12,'01_Вводные'!$F$268)</f>
        <v/>
      </c>
      <c r="H101" s="139">
        <f>IF('01_Вводные'!$B$295="Да",'01_Вводные'!$E$269+('01_Вводные'!$F$269-'01_Вводные'!$E$269)*4/12,'01_Вводные'!$F$269)</f>
        <v/>
      </c>
      <c r="I101" s="139">
        <f>IF('01_Вводные'!$B$295="Да",'01_Вводные'!$E$270+('01_Вводные'!$F$270-'01_Вводные'!$E$270)*4/12,'01_Вводные'!$F$270)</f>
        <v/>
      </c>
      <c r="J101" s="139">
        <f>IF('01_Вводные'!$B$295="Да",'01_Вводные'!$E$271+('01_Вводные'!$F$271-'01_Вводные'!$E$271)*4/12,'01_Вводные'!$F$271)</f>
        <v/>
      </c>
      <c r="K101" s="139">
        <f>IF('01_Вводные'!$B$295="Да",'01_Вводные'!$E$272+('01_Вводные'!$F$272-'01_Вводные'!$E$272)*4/12,'01_Вводные'!$F$272)</f>
        <v/>
      </c>
      <c r="L101" s="139">
        <f>IF('01_Вводные'!$B$295="Да",'01_Вводные'!$E$273+('01_Вводные'!$F$273-'01_Вводные'!$E$273)*4/12,'01_Вводные'!$F$273)</f>
        <v/>
      </c>
      <c r="M101" s="139">
        <f>IF('01_Вводные'!$B$295="Да",'01_Вводные'!$E$274+('01_Вводные'!$F$274-'01_Вводные'!$E$274)*4/12,'01_Вводные'!$F$274)</f>
        <v/>
      </c>
      <c r="N101" s="139">
        <f>IF('01_Вводные'!$B$295="Да",'01_Вводные'!$E$275+('01_Вводные'!$F$275-'01_Вводные'!$E$275)*4/12,'01_Вводные'!$F$275)</f>
        <v/>
      </c>
      <c r="O101" s="139">
        <f>IF('01_Вводные'!$B$295="Да",'01_Вводные'!$E$276+('01_Вводные'!$F$276-'01_Вводные'!$E$276)*4/12,'01_Вводные'!$F$276)</f>
        <v/>
      </c>
      <c r="P101" s="139">
        <f>IF('01_Вводные'!$B$295="Да",'01_Вводные'!$E$277+('01_Вводные'!$F$277-'01_Вводные'!$E$277)*4/12,'01_Вводные'!$F$277)</f>
        <v/>
      </c>
      <c r="Q101" s="139">
        <f>IF('01_Вводные'!$B$295="Да",'01_Вводные'!$E$278+('01_Вводные'!$F$278-'01_Вводные'!$E$278)*4/12,'01_Вводные'!$F$278)</f>
        <v/>
      </c>
      <c r="R101" s="139">
        <f>IF('01_Вводные'!$B$295="Да",'01_Вводные'!$E$279+('01_Вводные'!$F$279-'01_Вводные'!$E$279)*4/12,'01_Вводные'!$F$279)</f>
        <v/>
      </c>
      <c r="S101" s="139">
        <f>IF('01_Вводные'!$B$295="Да",'01_Вводные'!$E$280+('01_Вводные'!$F$280-'01_Вводные'!$E$280)*4/12,'01_Вводные'!$F$280)</f>
        <v/>
      </c>
      <c r="T101" s="139">
        <f>IF('01_Вводные'!$B$295="Да",'01_Вводные'!$E$281+('01_Вводные'!$F$281-'01_Вводные'!$E$281)*4/12,'01_Вводные'!$F$281)</f>
        <v/>
      </c>
      <c r="U101" s="139">
        <f>IF('01_Вводные'!$B$295="Да",'01_Вводные'!$E$282+('01_Вводные'!$F$282-'01_Вводные'!$E$282)*4/12,'01_Вводные'!$F$282)</f>
        <v/>
      </c>
    </row>
    <row r="102">
      <c r="A102" s="137" t="inlineStr">
        <is>
          <t>17</t>
        </is>
      </c>
      <c r="B102" s="139">
        <f>IF('01_Вводные'!$B$295="Да",'01_Вводные'!$E$263+('01_Вводные'!$F$263-'01_Вводные'!$E$263)*5/12,'01_Вводные'!$F$263)</f>
        <v/>
      </c>
      <c r="C102" s="139">
        <f>IF('01_Вводные'!$B$295="Да",'01_Вводные'!$E$264+('01_Вводные'!$F$264-'01_Вводные'!$E$264)*5/12,'01_Вводные'!$F$264)</f>
        <v/>
      </c>
      <c r="D102" s="139">
        <f>IF('01_Вводные'!$B$295="Да",'01_Вводные'!$E$265+('01_Вводные'!$F$265-'01_Вводные'!$E$265)*5/12,'01_Вводные'!$F$265)</f>
        <v/>
      </c>
      <c r="E102" s="139">
        <f>IF('01_Вводные'!$B$295="Да",'01_Вводные'!$E$266+('01_Вводные'!$F$266-'01_Вводные'!$E$266)*5/12,'01_Вводные'!$F$266)</f>
        <v/>
      </c>
      <c r="F102" s="139">
        <f>IF('01_Вводные'!$B$295="Да",'01_Вводные'!$E$267+('01_Вводные'!$F$267-'01_Вводные'!$E$267)*5/12,'01_Вводные'!$F$267)</f>
        <v/>
      </c>
      <c r="G102" s="139">
        <f>IF('01_Вводные'!$B$295="Да",'01_Вводные'!$E$268+('01_Вводные'!$F$268-'01_Вводные'!$E$268)*5/12,'01_Вводные'!$F$268)</f>
        <v/>
      </c>
      <c r="H102" s="139">
        <f>IF('01_Вводные'!$B$295="Да",'01_Вводные'!$E$269+('01_Вводные'!$F$269-'01_Вводные'!$E$269)*5/12,'01_Вводные'!$F$269)</f>
        <v/>
      </c>
      <c r="I102" s="139">
        <f>IF('01_Вводные'!$B$295="Да",'01_Вводные'!$E$270+('01_Вводные'!$F$270-'01_Вводные'!$E$270)*5/12,'01_Вводные'!$F$270)</f>
        <v/>
      </c>
      <c r="J102" s="139">
        <f>IF('01_Вводные'!$B$295="Да",'01_Вводные'!$E$271+('01_Вводные'!$F$271-'01_Вводные'!$E$271)*5/12,'01_Вводные'!$F$271)</f>
        <v/>
      </c>
      <c r="K102" s="139">
        <f>IF('01_Вводные'!$B$295="Да",'01_Вводные'!$E$272+('01_Вводные'!$F$272-'01_Вводные'!$E$272)*5/12,'01_Вводные'!$F$272)</f>
        <v/>
      </c>
      <c r="L102" s="139">
        <f>IF('01_Вводные'!$B$295="Да",'01_Вводные'!$E$273+('01_Вводные'!$F$273-'01_Вводные'!$E$273)*5/12,'01_Вводные'!$F$273)</f>
        <v/>
      </c>
      <c r="M102" s="139">
        <f>IF('01_Вводные'!$B$295="Да",'01_Вводные'!$E$274+('01_Вводные'!$F$274-'01_Вводные'!$E$274)*5/12,'01_Вводные'!$F$274)</f>
        <v/>
      </c>
      <c r="N102" s="139">
        <f>IF('01_Вводные'!$B$295="Да",'01_Вводные'!$E$275+('01_Вводные'!$F$275-'01_Вводные'!$E$275)*5/12,'01_Вводные'!$F$275)</f>
        <v/>
      </c>
      <c r="O102" s="139">
        <f>IF('01_Вводные'!$B$295="Да",'01_Вводные'!$E$276+('01_Вводные'!$F$276-'01_Вводные'!$E$276)*5/12,'01_Вводные'!$F$276)</f>
        <v/>
      </c>
      <c r="P102" s="139">
        <f>IF('01_Вводные'!$B$295="Да",'01_Вводные'!$E$277+('01_Вводные'!$F$277-'01_Вводные'!$E$277)*5/12,'01_Вводные'!$F$277)</f>
        <v/>
      </c>
      <c r="Q102" s="139">
        <f>IF('01_Вводные'!$B$295="Да",'01_Вводные'!$E$278+('01_Вводные'!$F$278-'01_Вводные'!$E$278)*5/12,'01_Вводные'!$F$278)</f>
        <v/>
      </c>
      <c r="R102" s="139">
        <f>IF('01_Вводные'!$B$295="Да",'01_Вводные'!$E$279+('01_Вводные'!$F$279-'01_Вводные'!$E$279)*5/12,'01_Вводные'!$F$279)</f>
        <v/>
      </c>
      <c r="S102" s="139">
        <f>IF('01_Вводные'!$B$295="Да",'01_Вводные'!$E$280+('01_Вводные'!$F$280-'01_Вводные'!$E$280)*5/12,'01_Вводные'!$F$280)</f>
        <v/>
      </c>
      <c r="T102" s="139">
        <f>IF('01_Вводные'!$B$295="Да",'01_Вводные'!$E$281+('01_Вводные'!$F$281-'01_Вводные'!$E$281)*5/12,'01_Вводные'!$F$281)</f>
        <v/>
      </c>
      <c r="U102" s="139">
        <f>IF('01_Вводные'!$B$295="Да",'01_Вводные'!$E$282+('01_Вводные'!$F$282-'01_Вводные'!$E$282)*5/12,'01_Вводные'!$F$282)</f>
        <v/>
      </c>
    </row>
    <row r="103">
      <c r="A103" s="137" t="inlineStr">
        <is>
          <t>18</t>
        </is>
      </c>
      <c r="B103" s="139">
        <f>IF('01_Вводные'!$B$295="Да",'01_Вводные'!$E$263+('01_Вводные'!$F$263-'01_Вводные'!$E$263)*6/12,'01_Вводные'!$F$263)</f>
        <v/>
      </c>
      <c r="C103" s="139">
        <f>IF('01_Вводные'!$B$295="Да",'01_Вводные'!$E$264+('01_Вводные'!$F$264-'01_Вводные'!$E$264)*6/12,'01_Вводные'!$F$264)</f>
        <v/>
      </c>
      <c r="D103" s="139">
        <f>IF('01_Вводные'!$B$295="Да",'01_Вводные'!$E$265+('01_Вводные'!$F$265-'01_Вводные'!$E$265)*6/12,'01_Вводные'!$F$265)</f>
        <v/>
      </c>
      <c r="E103" s="139">
        <f>IF('01_Вводные'!$B$295="Да",'01_Вводные'!$E$266+('01_Вводные'!$F$266-'01_Вводные'!$E$266)*6/12,'01_Вводные'!$F$266)</f>
        <v/>
      </c>
      <c r="F103" s="139">
        <f>IF('01_Вводные'!$B$295="Да",'01_Вводные'!$E$267+('01_Вводные'!$F$267-'01_Вводные'!$E$267)*6/12,'01_Вводные'!$F$267)</f>
        <v/>
      </c>
      <c r="G103" s="139">
        <f>IF('01_Вводные'!$B$295="Да",'01_Вводные'!$E$268+('01_Вводные'!$F$268-'01_Вводные'!$E$268)*6/12,'01_Вводные'!$F$268)</f>
        <v/>
      </c>
      <c r="H103" s="139">
        <f>IF('01_Вводные'!$B$295="Да",'01_Вводные'!$E$269+('01_Вводные'!$F$269-'01_Вводные'!$E$269)*6/12,'01_Вводные'!$F$269)</f>
        <v/>
      </c>
      <c r="I103" s="139">
        <f>IF('01_Вводные'!$B$295="Да",'01_Вводные'!$E$270+('01_Вводные'!$F$270-'01_Вводные'!$E$270)*6/12,'01_Вводные'!$F$270)</f>
        <v/>
      </c>
      <c r="J103" s="139">
        <f>IF('01_Вводные'!$B$295="Да",'01_Вводные'!$E$271+('01_Вводные'!$F$271-'01_Вводные'!$E$271)*6/12,'01_Вводные'!$F$271)</f>
        <v/>
      </c>
      <c r="K103" s="139">
        <f>IF('01_Вводные'!$B$295="Да",'01_Вводные'!$E$272+('01_Вводные'!$F$272-'01_Вводные'!$E$272)*6/12,'01_Вводные'!$F$272)</f>
        <v/>
      </c>
      <c r="L103" s="139">
        <f>IF('01_Вводные'!$B$295="Да",'01_Вводные'!$E$273+('01_Вводные'!$F$273-'01_Вводные'!$E$273)*6/12,'01_Вводные'!$F$273)</f>
        <v/>
      </c>
      <c r="M103" s="139">
        <f>IF('01_Вводные'!$B$295="Да",'01_Вводные'!$E$274+('01_Вводные'!$F$274-'01_Вводные'!$E$274)*6/12,'01_Вводные'!$F$274)</f>
        <v/>
      </c>
      <c r="N103" s="139">
        <f>IF('01_Вводные'!$B$295="Да",'01_Вводные'!$E$275+('01_Вводные'!$F$275-'01_Вводные'!$E$275)*6/12,'01_Вводные'!$F$275)</f>
        <v/>
      </c>
      <c r="O103" s="139">
        <f>IF('01_Вводные'!$B$295="Да",'01_Вводные'!$E$276+('01_Вводные'!$F$276-'01_Вводные'!$E$276)*6/12,'01_Вводные'!$F$276)</f>
        <v/>
      </c>
      <c r="P103" s="139">
        <f>IF('01_Вводные'!$B$295="Да",'01_Вводные'!$E$277+('01_Вводные'!$F$277-'01_Вводные'!$E$277)*6/12,'01_Вводные'!$F$277)</f>
        <v/>
      </c>
      <c r="Q103" s="139">
        <f>IF('01_Вводные'!$B$295="Да",'01_Вводные'!$E$278+('01_Вводные'!$F$278-'01_Вводные'!$E$278)*6/12,'01_Вводные'!$F$278)</f>
        <v/>
      </c>
      <c r="R103" s="139">
        <f>IF('01_Вводные'!$B$295="Да",'01_Вводные'!$E$279+('01_Вводные'!$F$279-'01_Вводные'!$E$279)*6/12,'01_Вводные'!$F$279)</f>
        <v/>
      </c>
      <c r="S103" s="139">
        <f>IF('01_Вводные'!$B$295="Да",'01_Вводные'!$E$280+('01_Вводные'!$F$280-'01_Вводные'!$E$280)*6/12,'01_Вводные'!$F$280)</f>
        <v/>
      </c>
      <c r="T103" s="139">
        <f>IF('01_Вводные'!$B$295="Да",'01_Вводные'!$E$281+('01_Вводные'!$F$281-'01_Вводные'!$E$281)*6/12,'01_Вводные'!$F$281)</f>
        <v/>
      </c>
      <c r="U103" s="139">
        <f>IF('01_Вводные'!$B$295="Да",'01_Вводные'!$E$282+('01_Вводные'!$F$282-'01_Вводные'!$E$282)*6/12,'01_Вводные'!$F$282)</f>
        <v/>
      </c>
    </row>
    <row r="104">
      <c r="A104" s="137" t="inlineStr">
        <is>
          <t>19</t>
        </is>
      </c>
      <c r="B104" s="139">
        <f>IF('01_Вводные'!$B$295="Да",'01_Вводные'!$E$263+('01_Вводные'!$F$263-'01_Вводные'!$E$263)*7/12,'01_Вводные'!$F$263)</f>
        <v/>
      </c>
      <c r="C104" s="139">
        <f>IF('01_Вводные'!$B$295="Да",'01_Вводные'!$E$264+('01_Вводные'!$F$264-'01_Вводные'!$E$264)*7/12,'01_Вводные'!$F$264)</f>
        <v/>
      </c>
      <c r="D104" s="139">
        <f>IF('01_Вводные'!$B$295="Да",'01_Вводные'!$E$265+('01_Вводные'!$F$265-'01_Вводные'!$E$265)*7/12,'01_Вводные'!$F$265)</f>
        <v/>
      </c>
      <c r="E104" s="139">
        <f>IF('01_Вводные'!$B$295="Да",'01_Вводные'!$E$266+('01_Вводные'!$F$266-'01_Вводные'!$E$266)*7/12,'01_Вводные'!$F$266)</f>
        <v/>
      </c>
      <c r="F104" s="139">
        <f>IF('01_Вводные'!$B$295="Да",'01_Вводные'!$E$267+('01_Вводные'!$F$267-'01_Вводные'!$E$267)*7/12,'01_Вводные'!$F$267)</f>
        <v/>
      </c>
      <c r="G104" s="139">
        <f>IF('01_Вводные'!$B$295="Да",'01_Вводные'!$E$268+('01_Вводные'!$F$268-'01_Вводные'!$E$268)*7/12,'01_Вводные'!$F$268)</f>
        <v/>
      </c>
      <c r="H104" s="139">
        <f>IF('01_Вводные'!$B$295="Да",'01_Вводные'!$E$269+('01_Вводные'!$F$269-'01_Вводные'!$E$269)*7/12,'01_Вводные'!$F$269)</f>
        <v/>
      </c>
      <c r="I104" s="139">
        <f>IF('01_Вводные'!$B$295="Да",'01_Вводные'!$E$270+('01_Вводные'!$F$270-'01_Вводные'!$E$270)*7/12,'01_Вводные'!$F$270)</f>
        <v/>
      </c>
      <c r="J104" s="139">
        <f>IF('01_Вводные'!$B$295="Да",'01_Вводные'!$E$271+('01_Вводные'!$F$271-'01_Вводные'!$E$271)*7/12,'01_Вводные'!$F$271)</f>
        <v/>
      </c>
      <c r="K104" s="139">
        <f>IF('01_Вводные'!$B$295="Да",'01_Вводные'!$E$272+('01_Вводные'!$F$272-'01_Вводные'!$E$272)*7/12,'01_Вводные'!$F$272)</f>
        <v/>
      </c>
      <c r="L104" s="139">
        <f>IF('01_Вводные'!$B$295="Да",'01_Вводные'!$E$273+('01_Вводные'!$F$273-'01_Вводные'!$E$273)*7/12,'01_Вводные'!$F$273)</f>
        <v/>
      </c>
      <c r="M104" s="139">
        <f>IF('01_Вводные'!$B$295="Да",'01_Вводные'!$E$274+('01_Вводные'!$F$274-'01_Вводные'!$E$274)*7/12,'01_Вводные'!$F$274)</f>
        <v/>
      </c>
      <c r="N104" s="139">
        <f>IF('01_Вводные'!$B$295="Да",'01_Вводные'!$E$275+('01_Вводные'!$F$275-'01_Вводные'!$E$275)*7/12,'01_Вводные'!$F$275)</f>
        <v/>
      </c>
      <c r="O104" s="139">
        <f>IF('01_Вводные'!$B$295="Да",'01_Вводные'!$E$276+('01_Вводные'!$F$276-'01_Вводные'!$E$276)*7/12,'01_Вводные'!$F$276)</f>
        <v/>
      </c>
      <c r="P104" s="139">
        <f>IF('01_Вводные'!$B$295="Да",'01_Вводные'!$E$277+('01_Вводные'!$F$277-'01_Вводные'!$E$277)*7/12,'01_Вводные'!$F$277)</f>
        <v/>
      </c>
      <c r="Q104" s="139">
        <f>IF('01_Вводные'!$B$295="Да",'01_Вводные'!$E$278+('01_Вводные'!$F$278-'01_Вводные'!$E$278)*7/12,'01_Вводные'!$F$278)</f>
        <v/>
      </c>
      <c r="R104" s="139">
        <f>IF('01_Вводные'!$B$295="Да",'01_Вводные'!$E$279+('01_Вводные'!$F$279-'01_Вводные'!$E$279)*7/12,'01_Вводные'!$F$279)</f>
        <v/>
      </c>
      <c r="S104" s="139">
        <f>IF('01_Вводные'!$B$295="Да",'01_Вводные'!$E$280+('01_Вводные'!$F$280-'01_Вводные'!$E$280)*7/12,'01_Вводные'!$F$280)</f>
        <v/>
      </c>
      <c r="T104" s="139">
        <f>IF('01_Вводные'!$B$295="Да",'01_Вводные'!$E$281+('01_Вводные'!$F$281-'01_Вводные'!$E$281)*7/12,'01_Вводные'!$F$281)</f>
        <v/>
      </c>
      <c r="U104" s="139">
        <f>IF('01_Вводные'!$B$295="Да",'01_Вводные'!$E$282+('01_Вводные'!$F$282-'01_Вводные'!$E$282)*7/12,'01_Вводные'!$F$282)</f>
        <v/>
      </c>
    </row>
    <row r="105">
      <c r="A105" s="137" t="inlineStr">
        <is>
          <t>20</t>
        </is>
      </c>
      <c r="B105" s="139">
        <f>IF('01_Вводные'!$B$295="Да",'01_Вводные'!$E$263+('01_Вводные'!$F$263-'01_Вводные'!$E$263)*8/12,'01_Вводные'!$F$263)</f>
        <v/>
      </c>
      <c r="C105" s="139">
        <f>IF('01_Вводные'!$B$295="Да",'01_Вводные'!$E$264+('01_Вводные'!$F$264-'01_Вводные'!$E$264)*8/12,'01_Вводные'!$F$264)</f>
        <v/>
      </c>
      <c r="D105" s="139">
        <f>IF('01_Вводные'!$B$295="Да",'01_Вводные'!$E$265+('01_Вводные'!$F$265-'01_Вводные'!$E$265)*8/12,'01_Вводные'!$F$265)</f>
        <v/>
      </c>
      <c r="E105" s="139">
        <f>IF('01_Вводные'!$B$295="Да",'01_Вводные'!$E$266+('01_Вводные'!$F$266-'01_Вводные'!$E$266)*8/12,'01_Вводные'!$F$266)</f>
        <v/>
      </c>
      <c r="F105" s="139">
        <f>IF('01_Вводные'!$B$295="Да",'01_Вводные'!$E$267+('01_Вводные'!$F$267-'01_Вводные'!$E$267)*8/12,'01_Вводные'!$F$267)</f>
        <v/>
      </c>
      <c r="G105" s="139">
        <f>IF('01_Вводные'!$B$295="Да",'01_Вводные'!$E$268+('01_Вводные'!$F$268-'01_Вводные'!$E$268)*8/12,'01_Вводные'!$F$268)</f>
        <v/>
      </c>
      <c r="H105" s="139">
        <f>IF('01_Вводные'!$B$295="Да",'01_Вводные'!$E$269+('01_Вводные'!$F$269-'01_Вводные'!$E$269)*8/12,'01_Вводные'!$F$269)</f>
        <v/>
      </c>
      <c r="I105" s="139">
        <f>IF('01_Вводные'!$B$295="Да",'01_Вводные'!$E$270+('01_Вводные'!$F$270-'01_Вводные'!$E$270)*8/12,'01_Вводные'!$F$270)</f>
        <v/>
      </c>
      <c r="J105" s="139">
        <f>IF('01_Вводные'!$B$295="Да",'01_Вводные'!$E$271+('01_Вводные'!$F$271-'01_Вводные'!$E$271)*8/12,'01_Вводные'!$F$271)</f>
        <v/>
      </c>
      <c r="K105" s="139">
        <f>IF('01_Вводные'!$B$295="Да",'01_Вводные'!$E$272+('01_Вводные'!$F$272-'01_Вводные'!$E$272)*8/12,'01_Вводные'!$F$272)</f>
        <v/>
      </c>
      <c r="L105" s="139">
        <f>IF('01_Вводные'!$B$295="Да",'01_Вводные'!$E$273+('01_Вводные'!$F$273-'01_Вводные'!$E$273)*8/12,'01_Вводные'!$F$273)</f>
        <v/>
      </c>
      <c r="M105" s="139">
        <f>IF('01_Вводные'!$B$295="Да",'01_Вводные'!$E$274+('01_Вводные'!$F$274-'01_Вводные'!$E$274)*8/12,'01_Вводные'!$F$274)</f>
        <v/>
      </c>
      <c r="N105" s="139">
        <f>IF('01_Вводные'!$B$295="Да",'01_Вводные'!$E$275+('01_Вводные'!$F$275-'01_Вводные'!$E$275)*8/12,'01_Вводные'!$F$275)</f>
        <v/>
      </c>
      <c r="O105" s="139">
        <f>IF('01_Вводные'!$B$295="Да",'01_Вводные'!$E$276+('01_Вводные'!$F$276-'01_Вводные'!$E$276)*8/12,'01_Вводные'!$F$276)</f>
        <v/>
      </c>
      <c r="P105" s="139">
        <f>IF('01_Вводные'!$B$295="Да",'01_Вводные'!$E$277+('01_Вводные'!$F$277-'01_Вводные'!$E$277)*8/12,'01_Вводные'!$F$277)</f>
        <v/>
      </c>
      <c r="Q105" s="139">
        <f>IF('01_Вводные'!$B$295="Да",'01_Вводные'!$E$278+('01_Вводные'!$F$278-'01_Вводные'!$E$278)*8/12,'01_Вводные'!$F$278)</f>
        <v/>
      </c>
      <c r="R105" s="139">
        <f>IF('01_Вводные'!$B$295="Да",'01_Вводные'!$E$279+('01_Вводные'!$F$279-'01_Вводные'!$E$279)*8/12,'01_Вводные'!$F$279)</f>
        <v/>
      </c>
      <c r="S105" s="139">
        <f>IF('01_Вводные'!$B$295="Да",'01_Вводные'!$E$280+('01_Вводные'!$F$280-'01_Вводные'!$E$280)*8/12,'01_Вводные'!$F$280)</f>
        <v/>
      </c>
      <c r="T105" s="139">
        <f>IF('01_Вводные'!$B$295="Да",'01_Вводные'!$E$281+('01_Вводные'!$F$281-'01_Вводные'!$E$281)*8/12,'01_Вводные'!$F$281)</f>
        <v/>
      </c>
      <c r="U105" s="139">
        <f>IF('01_Вводные'!$B$295="Да",'01_Вводные'!$E$282+('01_Вводные'!$F$282-'01_Вводные'!$E$282)*8/12,'01_Вводные'!$F$282)</f>
        <v/>
      </c>
    </row>
    <row r="106">
      <c r="A106" s="137" t="inlineStr">
        <is>
          <t>21</t>
        </is>
      </c>
      <c r="B106" s="139">
        <f>IF('01_Вводные'!$B$295="Да",'01_Вводные'!$E$263+('01_Вводные'!$F$263-'01_Вводные'!$E$263)*9/12,'01_Вводные'!$F$263)</f>
        <v/>
      </c>
      <c r="C106" s="139">
        <f>IF('01_Вводные'!$B$295="Да",'01_Вводные'!$E$264+('01_Вводные'!$F$264-'01_Вводные'!$E$264)*9/12,'01_Вводные'!$F$264)</f>
        <v/>
      </c>
      <c r="D106" s="139">
        <f>IF('01_Вводные'!$B$295="Да",'01_Вводные'!$E$265+('01_Вводные'!$F$265-'01_Вводные'!$E$265)*9/12,'01_Вводные'!$F$265)</f>
        <v/>
      </c>
      <c r="E106" s="139">
        <f>IF('01_Вводные'!$B$295="Да",'01_Вводные'!$E$266+('01_Вводные'!$F$266-'01_Вводные'!$E$266)*9/12,'01_Вводные'!$F$266)</f>
        <v/>
      </c>
      <c r="F106" s="139">
        <f>IF('01_Вводные'!$B$295="Да",'01_Вводные'!$E$267+('01_Вводные'!$F$267-'01_Вводные'!$E$267)*9/12,'01_Вводные'!$F$267)</f>
        <v/>
      </c>
      <c r="G106" s="139">
        <f>IF('01_Вводные'!$B$295="Да",'01_Вводные'!$E$268+('01_Вводные'!$F$268-'01_Вводные'!$E$268)*9/12,'01_Вводные'!$F$268)</f>
        <v/>
      </c>
      <c r="H106" s="139">
        <f>IF('01_Вводные'!$B$295="Да",'01_Вводные'!$E$269+('01_Вводные'!$F$269-'01_Вводные'!$E$269)*9/12,'01_Вводные'!$F$269)</f>
        <v/>
      </c>
      <c r="I106" s="139">
        <f>IF('01_Вводные'!$B$295="Да",'01_Вводные'!$E$270+('01_Вводные'!$F$270-'01_Вводные'!$E$270)*9/12,'01_Вводные'!$F$270)</f>
        <v/>
      </c>
      <c r="J106" s="139">
        <f>IF('01_Вводные'!$B$295="Да",'01_Вводные'!$E$271+('01_Вводные'!$F$271-'01_Вводные'!$E$271)*9/12,'01_Вводные'!$F$271)</f>
        <v/>
      </c>
      <c r="K106" s="139">
        <f>IF('01_Вводные'!$B$295="Да",'01_Вводные'!$E$272+('01_Вводные'!$F$272-'01_Вводные'!$E$272)*9/12,'01_Вводные'!$F$272)</f>
        <v/>
      </c>
      <c r="L106" s="139">
        <f>IF('01_Вводные'!$B$295="Да",'01_Вводные'!$E$273+('01_Вводные'!$F$273-'01_Вводные'!$E$273)*9/12,'01_Вводные'!$F$273)</f>
        <v/>
      </c>
      <c r="M106" s="139">
        <f>IF('01_Вводные'!$B$295="Да",'01_Вводные'!$E$274+('01_Вводные'!$F$274-'01_Вводные'!$E$274)*9/12,'01_Вводные'!$F$274)</f>
        <v/>
      </c>
      <c r="N106" s="139">
        <f>IF('01_Вводные'!$B$295="Да",'01_Вводные'!$E$275+('01_Вводные'!$F$275-'01_Вводные'!$E$275)*9/12,'01_Вводные'!$F$275)</f>
        <v/>
      </c>
      <c r="O106" s="139">
        <f>IF('01_Вводные'!$B$295="Да",'01_Вводные'!$E$276+('01_Вводные'!$F$276-'01_Вводные'!$E$276)*9/12,'01_Вводные'!$F$276)</f>
        <v/>
      </c>
      <c r="P106" s="139">
        <f>IF('01_Вводные'!$B$295="Да",'01_Вводные'!$E$277+('01_Вводные'!$F$277-'01_Вводные'!$E$277)*9/12,'01_Вводные'!$F$277)</f>
        <v/>
      </c>
      <c r="Q106" s="139">
        <f>IF('01_Вводные'!$B$295="Да",'01_Вводные'!$E$278+('01_Вводные'!$F$278-'01_Вводные'!$E$278)*9/12,'01_Вводные'!$F$278)</f>
        <v/>
      </c>
      <c r="R106" s="139">
        <f>IF('01_Вводные'!$B$295="Да",'01_Вводные'!$E$279+('01_Вводные'!$F$279-'01_Вводные'!$E$279)*9/12,'01_Вводные'!$F$279)</f>
        <v/>
      </c>
      <c r="S106" s="139">
        <f>IF('01_Вводные'!$B$295="Да",'01_Вводные'!$E$280+('01_Вводные'!$F$280-'01_Вводные'!$E$280)*9/12,'01_Вводные'!$F$280)</f>
        <v/>
      </c>
      <c r="T106" s="139">
        <f>IF('01_Вводные'!$B$295="Да",'01_Вводные'!$E$281+('01_Вводные'!$F$281-'01_Вводные'!$E$281)*9/12,'01_Вводные'!$F$281)</f>
        <v/>
      </c>
      <c r="U106" s="139">
        <f>IF('01_Вводные'!$B$295="Да",'01_Вводные'!$E$282+('01_Вводные'!$F$282-'01_Вводные'!$E$282)*9/12,'01_Вводные'!$F$282)</f>
        <v/>
      </c>
    </row>
    <row r="107">
      <c r="A107" s="137" t="inlineStr">
        <is>
          <t>22</t>
        </is>
      </c>
      <c r="B107" s="139">
        <f>IF('01_Вводные'!$B$295="Да",'01_Вводные'!$E$263+('01_Вводные'!$F$263-'01_Вводные'!$E$263)*10/12,'01_Вводные'!$F$263)</f>
        <v/>
      </c>
      <c r="C107" s="139">
        <f>IF('01_Вводные'!$B$295="Да",'01_Вводные'!$E$264+('01_Вводные'!$F$264-'01_Вводные'!$E$264)*10/12,'01_Вводные'!$F$264)</f>
        <v/>
      </c>
      <c r="D107" s="139">
        <f>IF('01_Вводные'!$B$295="Да",'01_Вводные'!$E$265+('01_Вводные'!$F$265-'01_Вводные'!$E$265)*10/12,'01_Вводные'!$F$265)</f>
        <v/>
      </c>
      <c r="E107" s="139">
        <f>IF('01_Вводные'!$B$295="Да",'01_Вводные'!$E$266+('01_Вводные'!$F$266-'01_Вводные'!$E$266)*10/12,'01_Вводные'!$F$266)</f>
        <v/>
      </c>
      <c r="F107" s="139">
        <f>IF('01_Вводные'!$B$295="Да",'01_Вводные'!$E$267+('01_Вводные'!$F$267-'01_Вводные'!$E$267)*10/12,'01_Вводные'!$F$267)</f>
        <v/>
      </c>
      <c r="G107" s="139">
        <f>IF('01_Вводные'!$B$295="Да",'01_Вводные'!$E$268+('01_Вводные'!$F$268-'01_Вводные'!$E$268)*10/12,'01_Вводные'!$F$268)</f>
        <v/>
      </c>
      <c r="H107" s="139">
        <f>IF('01_Вводные'!$B$295="Да",'01_Вводные'!$E$269+('01_Вводные'!$F$269-'01_Вводные'!$E$269)*10/12,'01_Вводные'!$F$269)</f>
        <v/>
      </c>
      <c r="I107" s="139">
        <f>IF('01_Вводные'!$B$295="Да",'01_Вводные'!$E$270+('01_Вводные'!$F$270-'01_Вводные'!$E$270)*10/12,'01_Вводные'!$F$270)</f>
        <v/>
      </c>
      <c r="J107" s="139">
        <f>IF('01_Вводные'!$B$295="Да",'01_Вводные'!$E$271+('01_Вводные'!$F$271-'01_Вводные'!$E$271)*10/12,'01_Вводные'!$F$271)</f>
        <v/>
      </c>
      <c r="K107" s="139">
        <f>IF('01_Вводные'!$B$295="Да",'01_Вводные'!$E$272+('01_Вводные'!$F$272-'01_Вводные'!$E$272)*10/12,'01_Вводные'!$F$272)</f>
        <v/>
      </c>
      <c r="L107" s="139">
        <f>IF('01_Вводные'!$B$295="Да",'01_Вводные'!$E$273+('01_Вводные'!$F$273-'01_Вводные'!$E$273)*10/12,'01_Вводные'!$F$273)</f>
        <v/>
      </c>
      <c r="M107" s="139">
        <f>IF('01_Вводные'!$B$295="Да",'01_Вводные'!$E$274+('01_Вводные'!$F$274-'01_Вводные'!$E$274)*10/12,'01_Вводные'!$F$274)</f>
        <v/>
      </c>
      <c r="N107" s="139">
        <f>IF('01_Вводные'!$B$295="Да",'01_Вводные'!$E$275+('01_Вводные'!$F$275-'01_Вводные'!$E$275)*10/12,'01_Вводные'!$F$275)</f>
        <v/>
      </c>
      <c r="O107" s="139">
        <f>IF('01_Вводные'!$B$295="Да",'01_Вводные'!$E$276+('01_Вводные'!$F$276-'01_Вводные'!$E$276)*10/12,'01_Вводные'!$F$276)</f>
        <v/>
      </c>
      <c r="P107" s="139">
        <f>IF('01_Вводные'!$B$295="Да",'01_Вводные'!$E$277+('01_Вводные'!$F$277-'01_Вводные'!$E$277)*10/12,'01_Вводные'!$F$277)</f>
        <v/>
      </c>
      <c r="Q107" s="139">
        <f>IF('01_Вводные'!$B$295="Да",'01_Вводные'!$E$278+('01_Вводные'!$F$278-'01_Вводные'!$E$278)*10/12,'01_Вводные'!$F$278)</f>
        <v/>
      </c>
      <c r="R107" s="139">
        <f>IF('01_Вводные'!$B$295="Да",'01_Вводные'!$E$279+('01_Вводные'!$F$279-'01_Вводные'!$E$279)*10/12,'01_Вводные'!$F$279)</f>
        <v/>
      </c>
      <c r="S107" s="139">
        <f>IF('01_Вводные'!$B$295="Да",'01_Вводные'!$E$280+('01_Вводные'!$F$280-'01_Вводные'!$E$280)*10/12,'01_Вводные'!$F$280)</f>
        <v/>
      </c>
      <c r="T107" s="139">
        <f>IF('01_Вводные'!$B$295="Да",'01_Вводные'!$E$281+('01_Вводные'!$F$281-'01_Вводные'!$E$281)*10/12,'01_Вводные'!$F$281)</f>
        <v/>
      </c>
      <c r="U107" s="139">
        <f>IF('01_Вводные'!$B$295="Да",'01_Вводные'!$E$282+('01_Вводные'!$F$282-'01_Вводные'!$E$282)*10/12,'01_Вводные'!$F$282)</f>
        <v/>
      </c>
    </row>
    <row r="108">
      <c r="A108" s="137" t="inlineStr">
        <is>
          <t>23</t>
        </is>
      </c>
      <c r="B108" s="139">
        <f>IF('01_Вводные'!$B$295="Да",'01_Вводные'!$E$263+('01_Вводные'!$F$263-'01_Вводные'!$E$263)*11/12,'01_Вводные'!$F$263)</f>
        <v/>
      </c>
      <c r="C108" s="139">
        <f>IF('01_Вводные'!$B$295="Да",'01_Вводные'!$E$264+('01_Вводные'!$F$264-'01_Вводные'!$E$264)*11/12,'01_Вводные'!$F$264)</f>
        <v/>
      </c>
      <c r="D108" s="139">
        <f>IF('01_Вводные'!$B$295="Да",'01_Вводные'!$E$265+('01_Вводные'!$F$265-'01_Вводные'!$E$265)*11/12,'01_Вводные'!$F$265)</f>
        <v/>
      </c>
      <c r="E108" s="139">
        <f>IF('01_Вводные'!$B$295="Да",'01_Вводные'!$E$266+('01_Вводные'!$F$266-'01_Вводные'!$E$266)*11/12,'01_Вводные'!$F$266)</f>
        <v/>
      </c>
      <c r="F108" s="139">
        <f>IF('01_Вводные'!$B$295="Да",'01_Вводные'!$E$267+('01_Вводные'!$F$267-'01_Вводные'!$E$267)*11/12,'01_Вводные'!$F$267)</f>
        <v/>
      </c>
      <c r="G108" s="139">
        <f>IF('01_Вводные'!$B$295="Да",'01_Вводные'!$E$268+('01_Вводные'!$F$268-'01_Вводные'!$E$268)*11/12,'01_Вводные'!$F$268)</f>
        <v/>
      </c>
      <c r="H108" s="139">
        <f>IF('01_Вводные'!$B$295="Да",'01_Вводные'!$E$269+('01_Вводные'!$F$269-'01_Вводные'!$E$269)*11/12,'01_Вводные'!$F$269)</f>
        <v/>
      </c>
      <c r="I108" s="139">
        <f>IF('01_Вводные'!$B$295="Да",'01_Вводные'!$E$270+('01_Вводные'!$F$270-'01_Вводные'!$E$270)*11/12,'01_Вводные'!$F$270)</f>
        <v/>
      </c>
      <c r="J108" s="139">
        <f>IF('01_Вводные'!$B$295="Да",'01_Вводные'!$E$271+('01_Вводные'!$F$271-'01_Вводные'!$E$271)*11/12,'01_Вводные'!$F$271)</f>
        <v/>
      </c>
      <c r="K108" s="139">
        <f>IF('01_Вводные'!$B$295="Да",'01_Вводные'!$E$272+('01_Вводные'!$F$272-'01_Вводные'!$E$272)*11/12,'01_Вводные'!$F$272)</f>
        <v/>
      </c>
      <c r="L108" s="139">
        <f>IF('01_Вводные'!$B$295="Да",'01_Вводные'!$E$273+('01_Вводные'!$F$273-'01_Вводные'!$E$273)*11/12,'01_Вводные'!$F$273)</f>
        <v/>
      </c>
      <c r="M108" s="139">
        <f>IF('01_Вводные'!$B$295="Да",'01_Вводные'!$E$274+('01_Вводные'!$F$274-'01_Вводные'!$E$274)*11/12,'01_Вводные'!$F$274)</f>
        <v/>
      </c>
      <c r="N108" s="139">
        <f>IF('01_Вводные'!$B$295="Да",'01_Вводные'!$E$275+('01_Вводные'!$F$275-'01_Вводные'!$E$275)*11/12,'01_Вводные'!$F$275)</f>
        <v/>
      </c>
      <c r="O108" s="139">
        <f>IF('01_Вводные'!$B$295="Да",'01_Вводные'!$E$276+('01_Вводные'!$F$276-'01_Вводные'!$E$276)*11/12,'01_Вводные'!$F$276)</f>
        <v/>
      </c>
      <c r="P108" s="139">
        <f>IF('01_Вводные'!$B$295="Да",'01_Вводные'!$E$277+('01_Вводные'!$F$277-'01_Вводные'!$E$277)*11/12,'01_Вводные'!$F$277)</f>
        <v/>
      </c>
      <c r="Q108" s="139">
        <f>IF('01_Вводные'!$B$295="Да",'01_Вводные'!$E$278+('01_Вводные'!$F$278-'01_Вводные'!$E$278)*11/12,'01_Вводные'!$F$278)</f>
        <v/>
      </c>
      <c r="R108" s="139">
        <f>IF('01_Вводные'!$B$295="Да",'01_Вводные'!$E$279+('01_Вводные'!$F$279-'01_Вводные'!$E$279)*11/12,'01_Вводные'!$F$279)</f>
        <v/>
      </c>
      <c r="S108" s="139">
        <f>IF('01_Вводные'!$B$295="Да",'01_Вводные'!$E$280+('01_Вводные'!$F$280-'01_Вводные'!$E$280)*11/12,'01_Вводные'!$F$280)</f>
        <v/>
      </c>
      <c r="T108" s="139">
        <f>IF('01_Вводные'!$B$295="Да",'01_Вводные'!$E$281+('01_Вводные'!$F$281-'01_Вводные'!$E$281)*11/12,'01_Вводные'!$F$281)</f>
        <v/>
      </c>
      <c r="U108" s="139">
        <f>IF('01_Вводные'!$B$295="Да",'01_Вводные'!$E$282+('01_Вводные'!$F$282-'01_Вводные'!$E$282)*11/12,'01_Вводные'!$F$282)</f>
        <v/>
      </c>
    </row>
    <row r="109">
      <c r="A109" s="137" t="inlineStr">
        <is>
          <t>24</t>
        </is>
      </c>
      <c r="B109" s="139">
        <f>IF('01_Вводные'!$B$295="Да",'01_Вводные'!$E$263+('01_Вводные'!$F$263-'01_Вводные'!$E$263)*12/12,'01_Вводные'!$F$263)</f>
        <v/>
      </c>
      <c r="C109" s="139">
        <f>IF('01_Вводные'!$B$295="Да",'01_Вводные'!$E$264+('01_Вводные'!$F$264-'01_Вводные'!$E$264)*12/12,'01_Вводные'!$F$264)</f>
        <v/>
      </c>
      <c r="D109" s="139">
        <f>IF('01_Вводные'!$B$295="Да",'01_Вводные'!$E$265+('01_Вводные'!$F$265-'01_Вводные'!$E$265)*12/12,'01_Вводные'!$F$265)</f>
        <v/>
      </c>
      <c r="E109" s="139">
        <f>IF('01_Вводные'!$B$295="Да",'01_Вводные'!$E$266+('01_Вводные'!$F$266-'01_Вводные'!$E$266)*12/12,'01_Вводные'!$F$266)</f>
        <v/>
      </c>
      <c r="F109" s="139">
        <f>IF('01_Вводные'!$B$295="Да",'01_Вводные'!$E$267+('01_Вводные'!$F$267-'01_Вводные'!$E$267)*12/12,'01_Вводные'!$F$267)</f>
        <v/>
      </c>
      <c r="G109" s="139">
        <f>IF('01_Вводные'!$B$295="Да",'01_Вводные'!$E$268+('01_Вводные'!$F$268-'01_Вводные'!$E$268)*12/12,'01_Вводные'!$F$268)</f>
        <v/>
      </c>
      <c r="H109" s="139">
        <f>IF('01_Вводные'!$B$295="Да",'01_Вводные'!$E$269+('01_Вводные'!$F$269-'01_Вводные'!$E$269)*12/12,'01_Вводные'!$F$269)</f>
        <v/>
      </c>
      <c r="I109" s="139">
        <f>IF('01_Вводные'!$B$295="Да",'01_Вводные'!$E$270+('01_Вводные'!$F$270-'01_Вводные'!$E$270)*12/12,'01_Вводные'!$F$270)</f>
        <v/>
      </c>
      <c r="J109" s="139">
        <f>IF('01_Вводные'!$B$295="Да",'01_Вводные'!$E$271+('01_Вводные'!$F$271-'01_Вводные'!$E$271)*12/12,'01_Вводные'!$F$271)</f>
        <v/>
      </c>
      <c r="K109" s="139">
        <f>IF('01_Вводные'!$B$295="Да",'01_Вводные'!$E$272+('01_Вводные'!$F$272-'01_Вводные'!$E$272)*12/12,'01_Вводные'!$F$272)</f>
        <v/>
      </c>
      <c r="L109" s="139">
        <f>IF('01_Вводные'!$B$295="Да",'01_Вводные'!$E$273+('01_Вводные'!$F$273-'01_Вводные'!$E$273)*12/12,'01_Вводные'!$F$273)</f>
        <v/>
      </c>
      <c r="M109" s="139">
        <f>IF('01_Вводные'!$B$295="Да",'01_Вводные'!$E$274+('01_Вводные'!$F$274-'01_Вводные'!$E$274)*12/12,'01_Вводные'!$F$274)</f>
        <v/>
      </c>
      <c r="N109" s="139">
        <f>IF('01_Вводные'!$B$295="Да",'01_Вводные'!$E$275+('01_Вводные'!$F$275-'01_Вводные'!$E$275)*12/12,'01_Вводные'!$F$275)</f>
        <v/>
      </c>
      <c r="O109" s="139">
        <f>IF('01_Вводные'!$B$295="Да",'01_Вводные'!$E$276+('01_Вводные'!$F$276-'01_Вводные'!$E$276)*12/12,'01_Вводные'!$F$276)</f>
        <v/>
      </c>
      <c r="P109" s="139">
        <f>IF('01_Вводные'!$B$295="Да",'01_Вводные'!$E$277+('01_Вводные'!$F$277-'01_Вводные'!$E$277)*12/12,'01_Вводные'!$F$277)</f>
        <v/>
      </c>
      <c r="Q109" s="139">
        <f>IF('01_Вводные'!$B$295="Да",'01_Вводные'!$E$278+('01_Вводные'!$F$278-'01_Вводные'!$E$278)*12/12,'01_Вводные'!$F$278)</f>
        <v/>
      </c>
      <c r="R109" s="139">
        <f>IF('01_Вводные'!$B$295="Да",'01_Вводные'!$E$279+('01_Вводные'!$F$279-'01_Вводные'!$E$279)*12/12,'01_Вводные'!$F$279)</f>
        <v/>
      </c>
      <c r="S109" s="139">
        <f>IF('01_Вводные'!$B$295="Да",'01_Вводные'!$E$280+('01_Вводные'!$F$280-'01_Вводные'!$E$280)*12/12,'01_Вводные'!$F$280)</f>
        <v/>
      </c>
      <c r="T109" s="139">
        <f>IF('01_Вводные'!$B$295="Да",'01_Вводные'!$E$281+('01_Вводные'!$F$281-'01_Вводные'!$E$281)*12/12,'01_Вводные'!$F$281)</f>
        <v/>
      </c>
      <c r="U109" s="139">
        <f>IF('01_Вводные'!$B$295="Да",'01_Вводные'!$E$282+('01_Вводные'!$F$282-'01_Вводные'!$E$282)*12/12,'01_Вводные'!$F$282)</f>
        <v/>
      </c>
    </row>
    <row r="110">
      <c r="A110" s="137" t="inlineStr">
        <is>
          <t>25+</t>
        </is>
      </c>
      <c r="B110" s="139">
        <f>'01_Вводные'!$G$263</f>
        <v/>
      </c>
      <c r="C110" s="139">
        <f>'01_Вводные'!$G$264</f>
        <v/>
      </c>
      <c r="D110" s="139">
        <f>'01_Вводные'!$G$265</f>
        <v/>
      </c>
      <c r="E110" s="139">
        <f>'01_Вводные'!$G$266</f>
        <v/>
      </c>
      <c r="F110" s="139">
        <f>'01_Вводные'!$G$267</f>
        <v/>
      </c>
      <c r="G110" s="139">
        <f>'01_Вводные'!$G$268</f>
        <v/>
      </c>
      <c r="H110" s="139">
        <f>'01_Вводные'!$G$269</f>
        <v/>
      </c>
      <c r="I110" s="139">
        <f>'01_Вводные'!$G$270</f>
        <v/>
      </c>
      <c r="J110" s="139">
        <f>'01_Вводные'!$G$271</f>
        <v/>
      </c>
      <c r="K110" s="139">
        <f>'01_Вводные'!$G$272</f>
        <v/>
      </c>
      <c r="L110" s="139">
        <f>'01_Вводные'!$G$273</f>
        <v/>
      </c>
      <c r="M110" s="139">
        <f>'01_Вводные'!$G$274</f>
        <v/>
      </c>
      <c r="N110" s="139">
        <f>'01_Вводные'!$G$275</f>
        <v/>
      </c>
      <c r="O110" s="139">
        <f>'01_Вводные'!$G$276</f>
        <v/>
      </c>
      <c r="P110" s="139">
        <f>'01_Вводные'!$G$277</f>
        <v/>
      </c>
      <c r="Q110" s="139">
        <f>'01_Вводные'!$G$278</f>
        <v/>
      </c>
      <c r="R110" s="139">
        <f>'01_Вводные'!$G$279</f>
        <v/>
      </c>
      <c r="S110" s="139">
        <f>'01_Вводные'!$G$280</f>
        <v/>
      </c>
      <c r="T110" s="139">
        <f>'01_Вводные'!$G$281</f>
        <v/>
      </c>
      <c r="U110" s="139">
        <f>'01_Вводные'!$G$282</f>
        <v/>
      </c>
    </row>
    <row r="114">
      <c r="B114" s="141">
        <f>IF(B24&gt;0,B54/B24,1E99)</f>
        <v/>
      </c>
      <c r="C114" s="141">
        <f>IF(C24&gt;0,C54/C24,1E99)</f>
        <v/>
      </c>
      <c r="D114" s="141">
        <f>IF(D24&gt;0,D54/D24,1E99)</f>
        <v/>
      </c>
      <c r="E114" s="141">
        <f>IF(E24&gt;0,E54/E24,1E99)</f>
        <v/>
      </c>
      <c r="F114" s="141">
        <f>IF(F24&gt;0,F54/F24,1E99)</f>
        <v/>
      </c>
      <c r="G114" s="141">
        <f>IF(G24&gt;0,G54/G24,1E99)</f>
        <v/>
      </c>
      <c r="H114" s="141">
        <f>IF(H24&gt;0,H54/H24,1E99)</f>
        <v/>
      </c>
      <c r="I114" s="141">
        <f>IF(I24&gt;0,I54/I24,1E99)</f>
        <v/>
      </c>
      <c r="J114" s="141">
        <f>IF(J24&gt;0,J54/J24,1E99)</f>
        <v/>
      </c>
      <c r="K114" s="141">
        <f>IF(K24&gt;0,K54/K24,1E99)</f>
        <v/>
      </c>
      <c r="L114" s="141">
        <f>IF(L24&gt;0,L54/L24,1E99)</f>
        <v/>
      </c>
      <c r="M114" s="141">
        <f>IF(M24&gt;0,M54/M24,1E99)</f>
        <v/>
      </c>
      <c r="N114" s="141">
        <f>IF(N24&gt;0,N54/N24,1E99)</f>
        <v/>
      </c>
      <c r="O114" s="141">
        <f>IF(O24&gt;0,O54/O24,1E99)</f>
        <v/>
      </c>
      <c r="P114" s="141">
        <f>IF(P24&gt;0,P54/P24,1E99)</f>
        <v/>
      </c>
      <c r="Q114" s="141">
        <f>IF(Q24&gt;0,Q54/Q24,1E99)</f>
        <v/>
      </c>
      <c r="R114" s="141">
        <f>IF(R24&gt;0,R54/R24,1E99)</f>
        <v/>
      </c>
      <c r="S114" s="141">
        <f>IF(S24&gt;0,S54/S24,1E99)</f>
        <v/>
      </c>
      <c r="T114" s="141">
        <f>IF(T24&gt;0,T54/T24,1E99)</f>
        <v/>
      </c>
      <c r="U114" s="141">
        <f>IF(U24&gt;0,U54/U24,1E99)</f>
        <v/>
      </c>
    </row>
    <row r="115">
      <c r="B115" s="141">
        <f>IF(B25&gt;0,B55/B25,1E99)</f>
        <v/>
      </c>
      <c r="C115" s="141">
        <f>IF(C25&gt;0,C55/C25,1E99)</f>
        <v/>
      </c>
      <c r="D115" s="141">
        <f>IF(D25&gt;0,D55/D25,1E99)</f>
        <v/>
      </c>
      <c r="E115" s="141">
        <f>IF(E25&gt;0,E55/E25,1E99)</f>
        <v/>
      </c>
      <c r="F115" s="141">
        <f>IF(F25&gt;0,F55/F25,1E99)</f>
        <v/>
      </c>
      <c r="G115" s="141">
        <f>IF(G25&gt;0,G55/G25,1E99)</f>
        <v/>
      </c>
      <c r="H115" s="141">
        <f>IF(H25&gt;0,H55/H25,1E99)</f>
        <v/>
      </c>
      <c r="I115" s="141">
        <f>IF(I25&gt;0,I55/I25,1E99)</f>
        <v/>
      </c>
      <c r="J115" s="141">
        <f>IF(J25&gt;0,J55/J25,1E99)</f>
        <v/>
      </c>
      <c r="K115" s="141">
        <f>IF(K25&gt;0,K55/K25,1E99)</f>
        <v/>
      </c>
      <c r="L115" s="141">
        <f>IF(L25&gt;0,L55/L25,1E99)</f>
        <v/>
      </c>
      <c r="M115" s="141">
        <f>IF(M25&gt;0,M55/M25,1E99)</f>
        <v/>
      </c>
      <c r="N115" s="141">
        <f>IF(N25&gt;0,N55/N25,1E99)</f>
        <v/>
      </c>
      <c r="O115" s="141">
        <f>IF(O25&gt;0,O55/O25,1E99)</f>
        <v/>
      </c>
      <c r="P115" s="141">
        <f>IF(P25&gt;0,P55/P25,1E99)</f>
        <v/>
      </c>
      <c r="Q115" s="141">
        <f>IF(Q25&gt;0,Q55/Q25,1E99)</f>
        <v/>
      </c>
      <c r="R115" s="141">
        <f>IF(R25&gt;0,R55/R25,1E99)</f>
        <v/>
      </c>
      <c r="S115" s="141">
        <f>IF(S25&gt;0,S55/S25,1E99)</f>
        <v/>
      </c>
      <c r="T115" s="141">
        <f>IF(T25&gt;0,T55/T25,1E99)</f>
        <v/>
      </c>
      <c r="U115" s="141">
        <f>IF(U25&gt;0,U55/U25,1E99)</f>
        <v/>
      </c>
    </row>
    <row r="116">
      <c r="B116" s="141">
        <f>IF(B26&gt;0,B56/B26,1E99)</f>
        <v/>
      </c>
      <c r="C116" s="141">
        <f>IF(C26&gt;0,C56/C26,1E99)</f>
        <v/>
      </c>
      <c r="D116" s="141">
        <f>IF(D26&gt;0,D56/D26,1E99)</f>
        <v/>
      </c>
      <c r="E116" s="141">
        <f>IF(E26&gt;0,E56/E26,1E99)</f>
        <v/>
      </c>
      <c r="F116" s="141">
        <f>IF(F26&gt;0,F56/F26,1E99)</f>
        <v/>
      </c>
      <c r="G116" s="141">
        <f>IF(G26&gt;0,G56/G26,1E99)</f>
        <v/>
      </c>
      <c r="H116" s="141">
        <f>IF(H26&gt;0,H56/H26,1E99)</f>
        <v/>
      </c>
      <c r="I116" s="141">
        <f>IF(I26&gt;0,I56/I26,1E99)</f>
        <v/>
      </c>
      <c r="J116" s="141">
        <f>IF(J26&gt;0,J56/J26,1E99)</f>
        <v/>
      </c>
      <c r="K116" s="141">
        <f>IF(K26&gt;0,K56/K26,1E99)</f>
        <v/>
      </c>
      <c r="L116" s="141">
        <f>IF(L26&gt;0,L56/L26,1E99)</f>
        <v/>
      </c>
      <c r="M116" s="141">
        <f>IF(M26&gt;0,M56/M26,1E99)</f>
        <v/>
      </c>
      <c r="N116" s="141">
        <f>IF(N26&gt;0,N56/N26,1E99)</f>
        <v/>
      </c>
      <c r="O116" s="141">
        <f>IF(O26&gt;0,O56/O26,1E99)</f>
        <v/>
      </c>
      <c r="P116" s="141">
        <f>IF(P26&gt;0,P56/P26,1E99)</f>
        <v/>
      </c>
      <c r="Q116" s="141">
        <f>IF(Q26&gt;0,Q56/Q26,1E99)</f>
        <v/>
      </c>
      <c r="R116" s="141">
        <f>IF(R26&gt;0,R56/R26,1E99)</f>
        <v/>
      </c>
      <c r="S116" s="141">
        <f>IF(S26&gt;0,S56/S26,1E99)</f>
        <v/>
      </c>
      <c r="T116" s="141">
        <f>IF(T26&gt;0,T56/T26,1E99)</f>
        <v/>
      </c>
      <c r="U116" s="141">
        <f>IF(U26&gt;0,U56/U26,1E99)</f>
        <v/>
      </c>
    </row>
    <row r="117">
      <c r="B117" s="141">
        <f>IF(B27&gt;0,B57/B27,1E99)</f>
        <v/>
      </c>
      <c r="C117" s="141">
        <f>IF(C27&gt;0,C57/C27,1E99)</f>
        <v/>
      </c>
      <c r="D117" s="141">
        <f>IF(D27&gt;0,D57/D27,1E99)</f>
        <v/>
      </c>
      <c r="E117" s="141">
        <f>IF(E27&gt;0,E57/E27,1E99)</f>
        <v/>
      </c>
      <c r="F117" s="141">
        <f>IF(F27&gt;0,F57/F27,1E99)</f>
        <v/>
      </c>
      <c r="G117" s="141">
        <f>IF(G27&gt;0,G57/G27,1E99)</f>
        <v/>
      </c>
      <c r="H117" s="141">
        <f>IF(H27&gt;0,H57/H27,1E99)</f>
        <v/>
      </c>
      <c r="I117" s="141">
        <f>IF(I27&gt;0,I57/I27,1E99)</f>
        <v/>
      </c>
      <c r="J117" s="141">
        <f>IF(J27&gt;0,J57/J27,1E99)</f>
        <v/>
      </c>
      <c r="K117" s="141">
        <f>IF(K27&gt;0,K57/K27,1E99)</f>
        <v/>
      </c>
      <c r="L117" s="141">
        <f>IF(L27&gt;0,L57/L27,1E99)</f>
        <v/>
      </c>
      <c r="M117" s="141">
        <f>IF(M27&gt;0,M57/M27,1E99)</f>
        <v/>
      </c>
      <c r="N117" s="141">
        <f>IF(N27&gt;0,N57/N27,1E99)</f>
        <v/>
      </c>
      <c r="O117" s="141">
        <f>IF(O27&gt;0,O57/O27,1E99)</f>
        <v/>
      </c>
      <c r="P117" s="141">
        <f>IF(P27&gt;0,P57/P27,1E99)</f>
        <v/>
      </c>
      <c r="Q117" s="141">
        <f>IF(Q27&gt;0,Q57/Q27,1E99)</f>
        <v/>
      </c>
      <c r="R117" s="141">
        <f>IF(R27&gt;0,R57/R27,1E99)</f>
        <v/>
      </c>
      <c r="S117" s="141">
        <f>IF(S27&gt;0,S57/S27,1E99)</f>
        <v/>
      </c>
      <c r="T117" s="141">
        <f>IF(T27&gt;0,T57/T27,1E99)</f>
        <v/>
      </c>
      <c r="U117" s="141">
        <f>IF(U27&gt;0,U57/U27,1E99)</f>
        <v/>
      </c>
    </row>
    <row r="118">
      <c r="B118" s="141">
        <f>IF(B28&gt;0,B58/B28,1E99)</f>
        <v/>
      </c>
      <c r="C118" s="141">
        <f>IF(C28&gt;0,C58/C28,1E99)</f>
        <v/>
      </c>
      <c r="D118" s="141">
        <f>IF(D28&gt;0,D58/D28,1E99)</f>
        <v/>
      </c>
      <c r="E118" s="141">
        <f>IF(E28&gt;0,E58/E28,1E99)</f>
        <v/>
      </c>
      <c r="F118" s="141">
        <f>IF(F28&gt;0,F58/F28,1E99)</f>
        <v/>
      </c>
      <c r="G118" s="141">
        <f>IF(G28&gt;0,G58/G28,1E99)</f>
        <v/>
      </c>
      <c r="H118" s="141">
        <f>IF(H28&gt;0,H58/H28,1E99)</f>
        <v/>
      </c>
      <c r="I118" s="141">
        <f>IF(I28&gt;0,I58/I28,1E99)</f>
        <v/>
      </c>
      <c r="J118" s="141">
        <f>IF(J28&gt;0,J58/J28,1E99)</f>
        <v/>
      </c>
      <c r="K118" s="141">
        <f>IF(K28&gt;0,K58/K28,1E99)</f>
        <v/>
      </c>
      <c r="L118" s="141">
        <f>IF(L28&gt;0,L58/L28,1E99)</f>
        <v/>
      </c>
      <c r="M118" s="141">
        <f>IF(M28&gt;0,M58/M28,1E99)</f>
        <v/>
      </c>
      <c r="N118" s="141">
        <f>IF(N28&gt;0,N58/N28,1E99)</f>
        <v/>
      </c>
      <c r="O118" s="141">
        <f>IF(O28&gt;0,O58/O28,1E99)</f>
        <v/>
      </c>
      <c r="P118" s="141">
        <f>IF(P28&gt;0,P58/P28,1E99)</f>
        <v/>
      </c>
      <c r="Q118" s="141">
        <f>IF(Q28&gt;0,Q58/Q28,1E99)</f>
        <v/>
      </c>
      <c r="R118" s="141">
        <f>IF(R28&gt;0,R58/R28,1E99)</f>
        <v/>
      </c>
      <c r="S118" s="141">
        <f>IF(S28&gt;0,S58/S28,1E99)</f>
        <v/>
      </c>
      <c r="T118" s="141">
        <f>IF(T28&gt;0,T58/T28,1E99)</f>
        <v/>
      </c>
      <c r="U118" s="141">
        <f>IF(U28&gt;0,U58/U28,1E99)</f>
        <v/>
      </c>
    </row>
    <row r="119">
      <c r="B119" s="141">
        <f>IF(B29&gt;0,B59/B29,1E99)</f>
        <v/>
      </c>
      <c r="C119" s="141">
        <f>IF(C29&gt;0,C59/C29,1E99)</f>
        <v/>
      </c>
      <c r="D119" s="141">
        <f>IF(D29&gt;0,D59/D29,1E99)</f>
        <v/>
      </c>
      <c r="E119" s="141">
        <f>IF(E29&gt;0,E59/E29,1E99)</f>
        <v/>
      </c>
      <c r="F119" s="141">
        <f>IF(F29&gt;0,F59/F29,1E99)</f>
        <v/>
      </c>
      <c r="G119" s="141">
        <f>IF(G29&gt;0,G59/G29,1E99)</f>
        <v/>
      </c>
      <c r="H119" s="141">
        <f>IF(H29&gt;0,H59/H29,1E99)</f>
        <v/>
      </c>
      <c r="I119" s="141">
        <f>IF(I29&gt;0,I59/I29,1E99)</f>
        <v/>
      </c>
      <c r="J119" s="141">
        <f>IF(J29&gt;0,J59/J29,1E99)</f>
        <v/>
      </c>
      <c r="K119" s="141">
        <f>IF(K29&gt;0,K59/K29,1E99)</f>
        <v/>
      </c>
      <c r="L119" s="141">
        <f>IF(L29&gt;0,L59/L29,1E99)</f>
        <v/>
      </c>
      <c r="M119" s="141">
        <f>IF(M29&gt;0,M59/M29,1E99)</f>
        <v/>
      </c>
      <c r="N119" s="141">
        <f>IF(N29&gt;0,N59/N29,1E99)</f>
        <v/>
      </c>
      <c r="O119" s="141">
        <f>IF(O29&gt;0,O59/O29,1E99)</f>
        <v/>
      </c>
      <c r="P119" s="141">
        <f>IF(P29&gt;0,P59/P29,1E99)</f>
        <v/>
      </c>
      <c r="Q119" s="141">
        <f>IF(Q29&gt;0,Q59/Q29,1E99)</f>
        <v/>
      </c>
      <c r="R119" s="141">
        <f>IF(R29&gt;0,R59/R29,1E99)</f>
        <v/>
      </c>
      <c r="S119" s="141">
        <f>IF(S29&gt;0,S59/S29,1E99)</f>
        <v/>
      </c>
      <c r="T119" s="141">
        <f>IF(T29&gt;0,T59/T29,1E99)</f>
        <v/>
      </c>
      <c r="U119" s="141">
        <f>IF(U29&gt;0,U59/U29,1E99)</f>
        <v/>
      </c>
    </row>
    <row r="120">
      <c r="B120" s="141">
        <f>IF(B30&gt;0,B60/B30,1E99)</f>
        <v/>
      </c>
      <c r="C120" s="141">
        <f>IF(C30&gt;0,C60/C30,1E99)</f>
        <v/>
      </c>
      <c r="D120" s="141">
        <f>IF(D30&gt;0,D60/D30,1E99)</f>
        <v/>
      </c>
      <c r="E120" s="141">
        <f>IF(E30&gt;0,E60/E30,1E99)</f>
        <v/>
      </c>
      <c r="F120" s="141">
        <f>IF(F30&gt;0,F60/F30,1E99)</f>
        <v/>
      </c>
      <c r="G120" s="141">
        <f>IF(G30&gt;0,G60/G30,1E99)</f>
        <v/>
      </c>
      <c r="H120" s="141">
        <f>IF(H30&gt;0,H60/H30,1E99)</f>
        <v/>
      </c>
      <c r="I120" s="141">
        <f>IF(I30&gt;0,I60/I30,1E99)</f>
        <v/>
      </c>
      <c r="J120" s="141">
        <f>IF(J30&gt;0,J60/J30,1E99)</f>
        <v/>
      </c>
      <c r="K120" s="141">
        <f>IF(K30&gt;0,K60/K30,1E99)</f>
        <v/>
      </c>
      <c r="L120" s="141">
        <f>IF(L30&gt;0,L60/L30,1E99)</f>
        <v/>
      </c>
      <c r="M120" s="141">
        <f>IF(M30&gt;0,M60/M30,1E99)</f>
        <v/>
      </c>
      <c r="N120" s="141">
        <f>IF(N30&gt;0,N60/N30,1E99)</f>
        <v/>
      </c>
      <c r="O120" s="141">
        <f>IF(O30&gt;0,O60/O30,1E99)</f>
        <v/>
      </c>
      <c r="P120" s="141">
        <f>IF(P30&gt;0,P60/P30,1E99)</f>
        <v/>
      </c>
      <c r="Q120" s="141">
        <f>IF(Q30&gt;0,Q60/Q30,1E99)</f>
        <v/>
      </c>
      <c r="R120" s="141">
        <f>IF(R30&gt;0,R60/R30,1E99)</f>
        <v/>
      </c>
      <c r="S120" s="141">
        <f>IF(S30&gt;0,S60/S30,1E99)</f>
        <v/>
      </c>
      <c r="T120" s="141">
        <f>IF(T30&gt;0,T60/T30,1E99)</f>
        <v/>
      </c>
      <c r="U120" s="141">
        <f>IF(U30&gt;0,U60/U30,1E99)</f>
        <v/>
      </c>
    </row>
    <row r="121">
      <c r="B121" s="141">
        <f>IF(B31&gt;0,B61/B31,1E99)</f>
        <v/>
      </c>
      <c r="C121" s="141">
        <f>IF(C31&gt;0,C61/C31,1E99)</f>
        <v/>
      </c>
      <c r="D121" s="141">
        <f>IF(D31&gt;0,D61/D31,1E99)</f>
        <v/>
      </c>
      <c r="E121" s="141">
        <f>IF(E31&gt;0,E61/E31,1E99)</f>
        <v/>
      </c>
      <c r="F121" s="141">
        <f>IF(F31&gt;0,F61/F31,1E99)</f>
        <v/>
      </c>
      <c r="G121" s="141">
        <f>IF(G31&gt;0,G61/G31,1E99)</f>
        <v/>
      </c>
      <c r="H121" s="141">
        <f>IF(H31&gt;0,H61/H31,1E99)</f>
        <v/>
      </c>
      <c r="I121" s="141">
        <f>IF(I31&gt;0,I61/I31,1E99)</f>
        <v/>
      </c>
      <c r="J121" s="141">
        <f>IF(J31&gt;0,J61/J31,1E99)</f>
        <v/>
      </c>
      <c r="K121" s="141">
        <f>IF(K31&gt;0,K61/K31,1E99)</f>
        <v/>
      </c>
      <c r="L121" s="141">
        <f>IF(L31&gt;0,L61/L31,1E99)</f>
        <v/>
      </c>
      <c r="M121" s="141">
        <f>IF(M31&gt;0,M61/M31,1E99)</f>
        <v/>
      </c>
      <c r="N121" s="141">
        <f>IF(N31&gt;0,N61/N31,1E99)</f>
        <v/>
      </c>
      <c r="O121" s="141">
        <f>IF(O31&gt;0,O61/O31,1E99)</f>
        <v/>
      </c>
      <c r="P121" s="141">
        <f>IF(P31&gt;0,P61/P31,1E99)</f>
        <v/>
      </c>
      <c r="Q121" s="141">
        <f>IF(Q31&gt;0,Q61/Q31,1E99)</f>
        <v/>
      </c>
      <c r="R121" s="141">
        <f>IF(R31&gt;0,R61/R31,1E99)</f>
        <v/>
      </c>
      <c r="S121" s="141">
        <f>IF(S31&gt;0,S61/S31,1E99)</f>
        <v/>
      </c>
      <c r="T121" s="141">
        <f>IF(T31&gt;0,T61/T31,1E99)</f>
        <v/>
      </c>
      <c r="U121" s="141">
        <f>IF(U31&gt;0,U61/U31,1E99)</f>
        <v/>
      </c>
    </row>
    <row r="122">
      <c r="B122" s="141">
        <f>IF(B32&gt;0,B62/B32,1E99)</f>
        <v/>
      </c>
      <c r="C122" s="141">
        <f>IF(C32&gt;0,C62/C32,1E99)</f>
        <v/>
      </c>
      <c r="D122" s="141">
        <f>IF(D32&gt;0,D62/D32,1E99)</f>
        <v/>
      </c>
      <c r="E122" s="141">
        <f>IF(E32&gt;0,E62/E32,1E99)</f>
        <v/>
      </c>
      <c r="F122" s="141">
        <f>IF(F32&gt;0,F62/F32,1E99)</f>
        <v/>
      </c>
      <c r="G122" s="141">
        <f>IF(G32&gt;0,G62/G32,1E99)</f>
        <v/>
      </c>
      <c r="H122" s="141">
        <f>IF(H32&gt;0,H62/H32,1E99)</f>
        <v/>
      </c>
      <c r="I122" s="141">
        <f>IF(I32&gt;0,I62/I32,1E99)</f>
        <v/>
      </c>
      <c r="J122" s="141">
        <f>IF(J32&gt;0,J62/J32,1E99)</f>
        <v/>
      </c>
      <c r="K122" s="141">
        <f>IF(K32&gt;0,K62/K32,1E99)</f>
        <v/>
      </c>
      <c r="L122" s="141">
        <f>IF(L32&gt;0,L62/L32,1E99)</f>
        <v/>
      </c>
      <c r="M122" s="141">
        <f>IF(M32&gt;0,M62/M32,1E99)</f>
        <v/>
      </c>
      <c r="N122" s="141">
        <f>IF(N32&gt;0,N62/N32,1E99)</f>
        <v/>
      </c>
      <c r="O122" s="141">
        <f>IF(O32&gt;0,O62/O32,1E99)</f>
        <v/>
      </c>
      <c r="P122" s="141">
        <f>IF(P32&gt;0,P62/P32,1E99)</f>
        <v/>
      </c>
      <c r="Q122" s="141">
        <f>IF(Q32&gt;0,Q62/Q32,1E99)</f>
        <v/>
      </c>
      <c r="R122" s="141">
        <f>IF(R32&gt;0,R62/R32,1E99)</f>
        <v/>
      </c>
      <c r="S122" s="141">
        <f>IF(S32&gt;0,S62/S32,1E99)</f>
        <v/>
      </c>
      <c r="T122" s="141">
        <f>IF(T32&gt;0,T62/T32,1E99)</f>
        <v/>
      </c>
      <c r="U122" s="141">
        <f>IF(U32&gt;0,U62/U32,1E99)</f>
        <v/>
      </c>
    </row>
    <row r="123">
      <c r="B123" s="141">
        <f>IF(B33&gt;0,B63/B33,1E99)</f>
        <v/>
      </c>
      <c r="C123" s="141">
        <f>IF(C33&gt;0,C63/C33,1E99)</f>
        <v/>
      </c>
      <c r="D123" s="141">
        <f>IF(D33&gt;0,D63/D33,1E99)</f>
        <v/>
      </c>
      <c r="E123" s="141">
        <f>IF(E33&gt;0,E63/E33,1E99)</f>
        <v/>
      </c>
      <c r="F123" s="141">
        <f>IF(F33&gt;0,F63/F33,1E99)</f>
        <v/>
      </c>
      <c r="G123" s="141">
        <f>IF(G33&gt;0,G63/G33,1E99)</f>
        <v/>
      </c>
      <c r="H123" s="141">
        <f>IF(H33&gt;0,H63/H33,1E99)</f>
        <v/>
      </c>
      <c r="I123" s="141">
        <f>IF(I33&gt;0,I63/I33,1E99)</f>
        <v/>
      </c>
      <c r="J123" s="141">
        <f>IF(J33&gt;0,J63/J33,1E99)</f>
        <v/>
      </c>
      <c r="K123" s="141">
        <f>IF(K33&gt;0,K63/K33,1E99)</f>
        <v/>
      </c>
      <c r="L123" s="141">
        <f>IF(L33&gt;0,L63/L33,1E99)</f>
        <v/>
      </c>
      <c r="M123" s="141">
        <f>IF(M33&gt;0,M63/M33,1E99)</f>
        <v/>
      </c>
      <c r="N123" s="141">
        <f>IF(N33&gt;0,N63/N33,1E99)</f>
        <v/>
      </c>
      <c r="O123" s="141">
        <f>IF(O33&gt;0,O63/O33,1E99)</f>
        <v/>
      </c>
      <c r="P123" s="141">
        <f>IF(P33&gt;0,P63/P33,1E99)</f>
        <v/>
      </c>
      <c r="Q123" s="141">
        <f>IF(Q33&gt;0,Q63/Q33,1E99)</f>
        <v/>
      </c>
      <c r="R123" s="141">
        <f>IF(R33&gt;0,R63/R33,1E99)</f>
        <v/>
      </c>
      <c r="S123" s="141">
        <f>IF(S33&gt;0,S63/S33,1E99)</f>
        <v/>
      </c>
      <c r="T123" s="141">
        <f>IF(T33&gt;0,T63/T33,1E99)</f>
        <v/>
      </c>
      <c r="U123" s="141">
        <f>IF(U33&gt;0,U63/U33,1E99)</f>
        <v/>
      </c>
    </row>
    <row r="124">
      <c r="B124" s="141">
        <f>IF(B34&gt;0,B64/B34,1E99)</f>
        <v/>
      </c>
      <c r="C124" s="141">
        <f>IF(C34&gt;0,C64/C34,1E99)</f>
        <v/>
      </c>
      <c r="D124" s="141">
        <f>IF(D34&gt;0,D64/D34,1E99)</f>
        <v/>
      </c>
      <c r="E124" s="141">
        <f>IF(E34&gt;0,E64/E34,1E99)</f>
        <v/>
      </c>
      <c r="F124" s="141">
        <f>IF(F34&gt;0,F64/F34,1E99)</f>
        <v/>
      </c>
      <c r="G124" s="141">
        <f>IF(G34&gt;0,G64/G34,1E99)</f>
        <v/>
      </c>
      <c r="H124" s="141">
        <f>IF(H34&gt;0,H64/H34,1E99)</f>
        <v/>
      </c>
      <c r="I124" s="141">
        <f>IF(I34&gt;0,I64/I34,1E99)</f>
        <v/>
      </c>
      <c r="J124" s="141">
        <f>IF(J34&gt;0,J64/J34,1E99)</f>
        <v/>
      </c>
      <c r="K124" s="141">
        <f>IF(K34&gt;0,K64/K34,1E99)</f>
        <v/>
      </c>
      <c r="L124" s="141">
        <f>IF(L34&gt;0,L64/L34,1E99)</f>
        <v/>
      </c>
      <c r="M124" s="141">
        <f>IF(M34&gt;0,M64/M34,1E99)</f>
        <v/>
      </c>
      <c r="N124" s="141">
        <f>IF(N34&gt;0,N64/N34,1E99)</f>
        <v/>
      </c>
      <c r="O124" s="141">
        <f>IF(O34&gt;0,O64/O34,1E99)</f>
        <v/>
      </c>
      <c r="P124" s="141">
        <f>IF(P34&gt;0,P64/P34,1E99)</f>
        <v/>
      </c>
      <c r="Q124" s="141">
        <f>IF(Q34&gt;0,Q64/Q34,1E99)</f>
        <v/>
      </c>
      <c r="R124" s="141">
        <f>IF(R34&gt;0,R64/R34,1E99)</f>
        <v/>
      </c>
      <c r="S124" s="141">
        <f>IF(S34&gt;0,S64/S34,1E99)</f>
        <v/>
      </c>
      <c r="T124" s="141">
        <f>IF(T34&gt;0,T64/T34,1E99)</f>
        <v/>
      </c>
      <c r="U124" s="141">
        <f>IF(U34&gt;0,U64/U34,1E99)</f>
        <v/>
      </c>
    </row>
    <row r="125">
      <c r="B125" s="141">
        <f>IF(B35&gt;0,B65/B35,1E99)</f>
        <v/>
      </c>
      <c r="C125" s="141">
        <f>IF(C35&gt;0,C65/C35,1E99)</f>
        <v/>
      </c>
      <c r="D125" s="141">
        <f>IF(D35&gt;0,D65/D35,1E99)</f>
        <v/>
      </c>
      <c r="E125" s="141">
        <f>IF(E35&gt;0,E65/E35,1E99)</f>
        <v/>
      </c>
      <c r="F125" s="141">
        <f>IF(F35&gt;0,F65/F35,1E99)</f>
        <v/>
      </c>
      <c r="G125" s="141">
        <f>IF(G35&gt;0,G65/G35,1E99)</f>
        <v/>
      </c>
      <c r="H125" s="141">
        <f>IF(H35&gt;0,H65/H35,1E99)</f>
        <v/>
      </c>
      <c r="I125" s="141">
        <f>IF(I35&gt;0,I65/I35,1E99)</f>
        <v/>
      </c>
      <c r="J125" s="141">
        <f>IF(J35&gt;0,J65/J35,1E99)</f>
        <v/>
      </c>
      <c r="K125" s="141">
        <f>IF(K35&gt;0,K65/K35,1E99)</f>
        <v/>
      </c>
      <c r="L125" s="141">
        <f>IF(L35&gt;0,L65/L35,1E99)</f>
        <v/>
      </c>
      <c r="M125" s="141">
        <f>IF(M35&gt;0,M65/M35,1E99)</f>
        <v/>
      </c>
      <c r="N125" s="141">
        <f>IF(N35&gt;0,N65/N35,1E99)</f>
        <v/>
      </c>
      <c r="O125" s="141">
        <f>IF(O35&gt;0,O65/O35,1E99)</f>
        <v/>
      </c>
      <c r="P125" s="141">
        <f>IF(P35&gt;0,P65/P35,1E99)</f>
        <v/>
      </c>
      <c r="Q125" s="141">
        <f>IF(Q35&gt;0,Q65/Q35,1E99)</f>
        <v/>
      </c>
      <c r="R125" s="141">
        <f>IF(R35&gt;0,R65/R35,1E99)</f>
        <v/>
      </c>
      <c r="S125" s="141">
        <f>IF(S35&gt;0,S65/S35,1E99)</f>
        <v/>
      </c>
      <c r="T125" s="141">
        <f>IF(T35&gt;0,T65/T35,1E99)</f>
        <v/>
      </c>
      <c r="U125" s="141">
        <f>IF(U35&gt;0,U65/U35,1E99)</f>
        <v/>
      </c>
    </row>
    <row r="126">
      <c r="B126" s="141">
        <f>IF(B36&gt;0,B66/B36,1E99)</f>
        <v/>
      </c>
      <c r="C126" s="141">
        <f>IF(C36&gt;0,C66/C36,1E99)</f>
        <v/>
      </c>
      <c r="D126" s="141">
        <f>IF(D36&gt;0,D66/D36,1E99)</f>
        <v/>
      </c>
      <c r="E126" s="141">
        <f>IF(E36&gt;0,E66/E36,1E99)</f>
        <v/>
      </c>
      <c r="F126" s="141">
        <f>IF(F36&gt;0,F66/F36,1E99)</f>
        <v/>
      </c>
      <c r="G126" s="141">
        <f>IF(G36&gt;0,G66/G36,1E99)</f>
        <v/>
      </c>
      <c r="H126" s="141">
        <f>IF(H36&gt;0,H66/H36,1E99)</f>
        <v/>
      </c>
      <c r="I126" s="141">
        <f>IF(I36&gt;0,I66/I36,1E99)</f>
        <v/>
      </c>
      <c r="J126" s="141">
        <f>IF(J36&gt;0,J66/J36,1E99)</f>
        <v/>
      </c>
      <c r="K126" s="141">
        <f>IF(K36&gt;0,K66/K36,1E99)</f>
        <v/>
      </c>
      <c r="L126" s="141">
        <f>IF(L36&gt;0,L66/L36,1E99)</f>
        <v/>
      </c>
      <c r="M126" s="141">
        <f>IF(M36&gt;0,M66/M36,1E99)</f>
        <v/>
      </c>
      <c r="N126" s="141">
        <f>IF(N36&gt;0,N66/N36,1E99)</f>
        <v/>
      </c>
      <c r="O126" s="141">
        <f>IF(O36&gt;0,O66/O36,1E99)</f>
        <v/>
      </c>
      <c r="P126" s="141">
        <f>IF(P36&gt;0,P66/P36,1E99)</f>
        <v/>
      </c>
      <c r="Q126" s="141">
        <f>IF(Q36&gt;0,Q66/Q36,1E99)</f>
        <v/>
      </c>
      <c r="R126" s="141">
        <f>IF(R36&gt;0,R66/R36,1E99)</f>
        <v/>
      </c>
      <c r="S126" s="141">
        <f>IF(S36&gt;0,S66/S36,1E99)</f>
        <v/>
      </c>
      <c r="T126" s="141">
        <f>IF(T36&gt;0,T66/T36,1E99)</f>
        <v/>
      </c>
      <c r="U126" s="141">
        <f>IF(U36&gt;0,U66/U36,1E99)</f>
        <v/>
      </c>
    </row>
    <row r="127">
      <c r="B127" s="141">
        <f>IF(B37&gt;0,B67/B37,1E99)</f>
        <v/>
      </c>
      <c r="C127" s="141">
        <f>IF(C37&gt;0,C67/C37,1E99)</f>
        <v/>
      </c>
      <c r="D127" s="141">
        <f>IF(D37&gt;0,D67/D37,1E99)</f>
        <v/>
      </c>
      <c r="E127" s="141">
        <f>IF(E37&gt;0,E67/E37,1E99)</f>
        <v/>
      </c>
      <c r="F127" s="141">
        <f>IF(F37&gt;0,F67/F37,1E99)</f>
        <v/>
      </c>
      <c r="G127" s="141">
        <f>IF(G37&gt;0,G67/G37,1E99)</f>
        <v/>
      </c>
      <c r="H127" s="141">
        <f>IF(H37&gt;0,H67/H37,1E99)</f>
        <v/>
      </c>
      <c r="I127" s="141">
        <f>IF(I37&gt;0,I67/I37,1E99)</f>
        <v/>
      </c>
      <c r="J127" s="141">
        <f>IF(J37&gt;0,J67/J37,1E99)</f>
        <v/>
      </c>
      <c r="K127" s="141">
        <f>IF(K37&gt;0,K67/K37,1E99)</f>
        <v/>
      </c>
      <c r="L127" s="141">
        <f>IF(L37&gt;0,L67/L37,1E99)</f>
        <v/>
      </c>
      <c r="M127" s="141">
        <f>IF(M37&gt;0,M67/M37,1E99)</f>
        <v/>
      </c>
      <c r="N127" s="141">
        <f>IF(N37&gt;0,N67/N37,1E99)</f>
        <v/>
      </c>
      <c r="O127" s="141">
        <f>IF(O37&gt;0,O67/O37,1E99)</f>
        <v/>
      </c>
      <c r="P127" s="141">
        <f>IF(P37&gt;0,P67/P37,1E99)</f>
        <v/>
      </c>
      <c r="Q127" s="141">
        <f>IF(Q37&gt;0,Q67/Q37,1E99)</f>
        <v/>
      </c>
      <c r="R127" s="141">
        <f>IF(R37&gt;0,R67/R37,1E99)</f>
        <v/>
      </c>
      <c r="S127" s="141">
        <f>IF(S37&gt;0,S67/S37,1E99)</f>
        <v/>
      </c>
      <c r="T127" s="141">
        <f>IF(T37&gt;0,T67/T37,1E99)</f>
        <v/>
      </c>
      <c r="U127" s="141">
        <f>IF(U37&gt;0,U67/U37,1E99)</f>
        <v/>
      </c>
    </row>
    <row r="128">
      <c r="B128" s="141">
        <f>IF(B38&gt;0,B68/B38,1E99)</f>
        <v/>
      </c>
      <c r="C128" s="141">
        <f>IF(C38&gt;0,C68/C38,1E99)</f>
        <v/>
      </c>
      <c r="D128" s="141">
        <f>IF(D38&gt;0,D68/D38,1E99)</f>
        <v/>
      </c>
      <c r="E128" s="141">
        <f>IF(E38&gt;0,E68/E38,1E99)</f>
        <v/>
      </c>
      <c r="F128" s="141">
        <f>IF(F38&gt;0,F68/F38,1E99)</f>
        <v/>
      </c>
      <c r="G128" s="141">
        <f>IF(G38&gt;0,G68/G38,1E99)</f>
        <v/>
      </c>
      <c r="H128" s="141">
        <f>IF(H38&gt;0,H68/H38,1E99)</f>
        <v/>
      </c>
      <c r="I128" s="141">
        <f>IF(I38&gt;0,I68/I38,1E99)</f>
        <v/>
      </c>
      <c r="J128" s="141">
        <f>IF(J38&gt;0,J68/J38,1E99)</f>
        <v/>
      </c>
      <c r="K128" s="141">
        <f>IF(K38&gt;0,K68/K38,1E99)</f>
        <v/>
      </c>
      <c r="L128" s="141">
        <f>IF(L38&gt;0,L68/L38,1E99)</f>
        <v/>
      </c>
      <c r="M128" s="141">
        <f>IF(M38&gt;0,M68/M38,1E99)</f>
        <v/>
      </c>
      <c r="N128" s="141">
        <f>IF(N38&gt;0,N68/N38,1E99)</f>
        <v/>
      </c>
      <c r="O128" s="141">
        <f>IF(O38&gt;0,O68/O38,1E99)</f>
        <v/>
      </c>
      <c r="P128" s="141">
        <f>IF(P38&gt;0,P68/P38,1E99)</f>
        <v/>
      </c>
      <c r="Q128" s="141">
        <f>IF(Q38&gt;0,Q68/Q38,1E99)</f>
        <v/>
      </c>
      <c r="R128" s="141">
        <f>IF(R38&gt;0,R68/R38,1E99)</f>
        <v/>
      </c>
      <c r="S128" s="141">
        <f>IF(S38&gt;0,S68/S38,1E99)</f>
        <v/>
      </c>
      <c r="T128" s="141">
        <f>IF(T38&gt;0,T68/T38,1E99)</f>
        <v/>
      </c>
      <c r="U128" s="141">
        <f>IF(U38&gt;0,U68/U38,1E99)</f>
        <v/>
      </c>
    </row>
    <row r="129">
      <c r="B129" s="141">
        <f>IF(B39&gt;0,B69/B39,1E99)</f>
        <v/>
      </c>
      <c r="C129" s="141">
        <f>IF(C39&gt;0,C69/C39,1E99)</f>
        <v/>
      </c>
      <c r="D129" s="141">
        <f>IF(D39&gt;0,D69/D39,1E99)</f>
        <v/>
      </c>
      <c r="E129" s="141">
        <f>IF(E39&gt;0,E69/E39,1E99)</f>
        <v/>
      </c>
      <c r="F129" s="141">
        <f>IF(F39&gt;0,F69/F39,1E99)</f>
        <v/>
      </c>
      <c r="G129" s="141">
        <f>IF(G39&gt;0,G69/G39,1E99)</f>
        <v/>
      </c>
      <c r="H129" s="141">
        <f>IF(H39&gt;0,H69/H39,1E99)</f>
        <v/>
      </c>
      <c r="I129" s="141">
        <f>IF(I39&gt;0,I69/I39,1E99)</f>
        <v/>
      </c>
      <c r="J129" s="141">
        <f>IF(J39&gt;0,J69/J39,1E99)</f>
        <v/>
      </c>
      <c r="K129" s="141">
        <f>IF(K39&gt;0,K69/K39,1E99)</f>
        <v/>
      </c>
      <c r="L129" s="141">
        <f>IF(L39&gt;0,L69/L39,1E99)</f>
        <v/>
      </c>
      <c r="M129" s="141">
        <f>IF(M39&gt;0,M69/M39,1E99)</f>
        <v/>
      </c>
      <c r="N129" s="141">
        <f>IF(N39&gt;0,N69/N39,1E99)</f>
        <v/>
      </c>
      <c r="O129" s="141">
        <f>IF(O39&gt;0,O69/O39,1E99)</f>
        <v/>
      </c>
      <c r="P129" s="141">
        <f>IF(P39&gt;0,P69/P39,1E99)</f>
        <v/>
      </c>
      <c r="Q129" s="141">
        <f>IF(Q39&gt;0,Q69/Q39,1E99)</f>
        <v/>
      </c>
      <c r="R129" s="141">
        <f>IF(R39&gt;0,R69/R39,1E99)</f>
        <v/>
      </c>
      <c r="S129" s="141">
        <f>IF(S39&gt;0,S69/S39,1E99)</f>
        <v/>
      </c>
      <c r="T129" s="141">
        <f>IF(T39&gt;0,T69/T39,1E99)</f>
        <v/>
      </c>
      <c r="U129" s="141">
        <f>IF(U39&gt;0,U69/U39,1E99)</f>
        <v/>
      </c>
    </row>
    <row r="130">
      <c r="B130" s="141">
        <f>IF(B40&gt;0,B70/B40,1E99)</f>
        <v/>
      </c>
      <c r="C130" s="141">
        <f>IF(C40&gt;0,C70/C40,1E99)</f>
        <v/>
      </c>
      <c r="D130" s="141">
        <f>IF(D40&gt;0,D70/D40,1E99)</f>
        <v/>
      </c>
      <c r="E130" s="141">
        <f>IF(E40&gt;0,E70/E40,1E99)</f>
        <v/>
      </c>
      <c r="F130" s="141">
        <f>IF(F40&gt;0,F70/F40,1E99)</f>
        <v/>
      </c>
      <c r="G130" s="141">
        <f>IF(G40&gt;0,G70/G40,1E99)</f>
        <v/>
      </c>
      <c r="H130" s="141">
        <f>IF(H40&gt;0,H70/H40,1E99)</f>
        <v/>
      </c>
      <c r="I130" s="141">
        <f>IF(I40&gt;0,I70/I40,1E99)</f>
        <v/>
      </c>
      <c r="J130" s="141">
        <f>IF(J40&gt;0,J70/J40,1E99)</f>
        <v/>
      </c>
      <c r="K130" s="141">
        <f>IF(K40&gt;0,K70/K40,1E99)</f>
        <v/>
      </c>
      <c r="L130" s="141">
        <f>IF(L40&gt;0,L70/L40,1E99)</f>
        <v/>
      </c>
      <c r="M130" s="141">
        <f>IF(M40&gt;0,M70/M40,1E99)</f>
        <v/>
      </c>
      <c r="N130" s="141">
        <f>IF(N40&gt;0,N70/N40,1E99)</f>
        <v/>
      </c>
      <c r="O130" s="141">
        <f>IF(O40&gt;0,O70/O40,1E99)</f>
        <v/>
      </c>
      <c r="P130" s="141">
        <f>IF(P40&gt;0,P70/P40,1E99)</f>
        <v/>
      </c>
      <c r="Q130" s="141">
        <f>IF(Q40&gt;0,Q70/Q40,1E99)</f>
        <v/>
      </c>
      <c r="R130" s="141">
        <f>IF(R40&gt;0,R70/R40,1E99)</f>
        <v/>
      </c>
      <c r="S130" s="141">
        <f>IF(S40&gt;0,S70/S40,1E99)</f>
        <v/>
      </c>
      <c r="T130" s="141">
        <f>IF(T40&gt;0,T70/T40,1E99)</f>
        <v/>
      </c>
      <c r="U130" s="141">
        <f>IF(U40&gt;0,U70/U40,1E99)</f>
        <v/>
      </c>
    </row>
    <row r="131">
      <c r="B131" s="141">
        <f>IF(B41&gt;0,B71/B41,1E99)</f>
        <v/>
      </c>
      <c r="C131" s="141">
        <f>IF(C41&gt;0,C71/C41,1E99)</f>
        <v/>
      </c>
      <c r="D131" s="141">
        <f>IF(D41&gt;0,D71/D41,1E99)</f>
        <v/>
      </c>
      <c r="E131" s="141">
        <f>IF(E41&gt;0,E71/E41,1E99)</f>
        <v/>
      </c>
      <c r="F131" s="141">
        <f>IF(F41&gt;0,F71/F41,1E99)</f>
        <v/>
      </c>
      <c r="G131" s="141">
        <f>IF(G41&gt;0,G71/G41,1E99)</f>
        <v/>
      </c>
      <c r="H131" s="141">
        <f>IF(H41&gt;0,H71/H41,1E99)</f>
        <v/>
      </c>
      <c r="I131" s="141">
        <f>IF(I41&gt;0,I71/I41,1E99)</f>
        <v/>
      </c>
      <c r="J131" s="141">
        <f>IF(J41&gt;0,J71/J41,1E99)</f>
        <v/>
      </c>
      <c r="K131" s="141">
        <f>IF(K41&gt;0,K71/K41,1E99)</f>
        <v/>
      </c>
      <c r="L131" s="141">
        <f>IF(L41&gt;0,L71/L41,1E99)</f>
        <v/>
      </c>
      <c r="M131" s="141">
        <f>IF(M41&gt;0,M71/M41,1E99)</f>
        <v/>
      </c>
      <c r="N131" s="141">
        <f>IF(N41&gt;0,N71/N41,1E99)</f>
        <v/>
      </c>
      <c r="O131" s="141">
        <f>IF(O41&gt;0,O71/O41,1E99)</f>
        <v/>
      </c>
      <c r="P131" s="141">
        <f>IF(P41&gt;0,P71/P41,1E99)</f>
        <v/>
      </c>
      <c r="Q131" s="141">
        <f>IF(Q41&gt;0,Q71/Q41,1E99)</f>
        <v/>
      </c>
      <c r="R131" s="141">
        <f>IF(R41&gt;0,R71/R41,1E99)</f>
        <v/>
      </c>
      <c r="S131" s="141">
        <f>IF(S41&gt;0,S71/S41,1E99)</f>
        <v/>
      </c>
      <c r="T131" s="141">
        <f>IF(T41&gt;0,T71/T41,1E99)</f>
        <v/>
      </c>
      <c r="U131" s="141">
        <f>IF(U41&gt;0,U71/U41,1E99)</f>
        <v/>
      </c>
    </row>
    <row r="132">
      <c r="B132" s="141">
        <f>IF(B42&gt;0,B72/B42,1E99)</f>
        <v/>
      </c>
      <c r="C132" s="141">
        <f>IF(C42&gt;0,C72/C42,1E99)</f>
        <v/>
      </c>
      <c r="D132" s="141">
        <f>IF(D42&gt;0,D72/D42,1E99)</f>
        <v/>
      </c>
      <c r="E132" s="141">
        <f>IF(E42&gt;0,E72/E42,1E99)</f>
        <v/>
      </c>
      <c r="F132" s="141">
        <f>IF(F42&gt;0,F72/F42,1E99)</f>
        <v/>
      </c>
      <c r="G132" s="141">
        <f>IF(G42&gt;0,G72/G42,1E99)</f>
        <v/>
      </c>
      <c r="H132" s="141">
        <f>IF(H42&gt;0,H72/H42,1E99)</f>
        <v/>
      </c>
      <c r="I132" s="141">
        <f>IF(I42&gt;0,I72/I42,1E99)</f>
        <v/>
      </c>
      <c r="J132" s="141">
        <f>IF(J42&gt;0,J72/J42,1E99)</f>
        <v/>
      </c>
      <c r="K132" s="141">
        <f>IF(K42&gt;0,K72/K42,1E99)</f>
        <v/>
      </c>
      <c r="L132" s="141">
        <f>IF(L42&gt;0,L72/L42,1E99)</f>
        <v/>
      </c>
      <c r="M132" s="141">
        <f>IF(M42&gt;0,M72/M42,1E99)</f>
        <v/>
      </c>
      <c r="N132" s="141">
        <f>IF(N42&gt;0,N72/N42,1E99)</f>
        <v/>
      </c>
      <c r="O132" s="141">
        <f>IF(O42&gt;0,O72/O42,1E99)</f>
        <v/>
      </c>
      <c r="P132" s="141">
        <f>IF(P42&gt;0,P72/P42,1E99)</f>
        <v/>
      </c>
      <c r="Q132" s="141">
        <f>IF(Q42&gt;0,Q72/Q42,1E99)</f>
        <v/>
      </c>
      <c r="R132" s="141">
        <f>IF(R42&gt;0,R72/R42,1E99)</f>
        <v/>
      </c>
      <c r="S132" s="141">
        <f>IF(S42&gt;0,S72/S42,1E99)</f>
        <v/>
      </c>
      <c r="T132" s="141">
        <f>IF(T42&gt;0,T72/T42,1E99)</f>
        <v/>
      </c>
      <c r="U132" s="141">
        <f>IF(U42&gt;0,U72/U42,1E99)</f>
        <v/>
      </c>
    </row>
    <row r="133">
      <c r="B133" s="141">
        <f>IF(B43&gt;0,B73/B43,1E99)</f>
        <v/>
      </c>
      <c r="C133" s="141">
        <f>IF(C43&gt;0,C73/C43,1E99)</f>
        <v/>
      </c>
      <c r="D133" s="141">
        <f>IF(D43&gt;0,D73/D43,1E99)</f>
        <v/>
      </c>
      <c r="E133" s="141">
        <f>IF(E43&gt;0,E73/E43,1E99)</f>
        <v/>
      </c>
      <c r="F133" s="141">
        <f>IF(F43&gt;0,F73/F43,1E99)</f>
        <v/>
      </c>
      <c r="G133" s="141">
        <f>IF(G43&gt;0,G73/G43,1E99)</f>
        <v/>
      </c>
      <c r="H133" s="141">
        <f>IF(H43&gt;0,H73/H43,1E99)</f>
        <v/>
      </c>
      <c r="I133" s="141">
        <f>IF(I43&gt;0,I73/I43,1E99)</f>
        <v/>
      </c>
      <c r="J133" s="141">
        <f>IF(J43&gt;0,J73/J43,1E99)</f>
        <v/>
      </c>
      <c r="K133" s="141">
        <f>IF(K43&gt;0,K73/K43,1E99)</f>
        <v/>
      </c>
      <c r="L133" s="141">
        <f>IF(L43&gt;0,L73/L43,1E99)</f>
        <v/>
      </c>
      <c r="M133" s="141">
        <f>IF(M43&gt;0,M73/M43,1E99)</f>
        <v/>
      </c>
      <c r="N133" s="141">
        <f>IF(N43&gt;0,N73/N43,1E99)</f>
        <v/>
      </c>
      <c r="O133" s="141">
        <f>IF(O43&gt;0,O73/O43,1E99)</f>
        <v/>
      </c>
      <c r="P133" s="141">
        <f>IF(P43&gt;0,P73/P43,1E99)</f>
        <v/>
      </c>
      <c r="Q133" s="141">
        <f>IF(Q43&gt;0,Q73/Q43,1E99)</f>
        <v/>
      </c>
      <c r="R133" s="141">
        <f>IF(R43&gt;0,R73/R43,1E99)</f>
        <v/>
      </c>
      <c r="S133" s="141">
        <f>IF(S43&gt;0,S73/S43,1E99)</f>
        <v/>
      </c>
      <c r="T133" s="141">
        <f>IF(T43&gt;0,T73/T43,1E99)</f>
        <v/>
      </c>
      <c r="U133" s="141">
        <f>IF(U43&gt;0,U73/U43,1E99)</f>
        <v/>
      </c>
    </row>
    <row r="134">
      <c r="B134" s="141">
        <f>IF(B44&gt;0,B74/B44,1E99)</f>
        <v/>
      </c>
      <c r="C134" s="141">
        <f>IF(C44&gt;0,C74/C44,1E99)</f>
        <v/>
      </c>
      <c r="D134" s="141">
        <f>IF(D44&gt;0,D74/D44,1E99)</f>
        <v/>
      </c>
      <c r="E134" s="141">
        <f>IF(E44&gt;0,E74/E44,1E99)</f>
        <v/>
      </c>
      <c r="F134" s="141">
        <f>IF(F44&gt;0,F74/F44,1E99)</f>
        <v/>
      </c>
      <c r="G134" s="141">
        <f>IF(G44&gt;0,G74/G44,1E99)</f>
        <v/>
      </c>
      <c r="H134" s="141">
        <f>IF(H44&gt;0,H74/H44,1E99)</f>
        <v/>
      </c>
      <c r="I134" s="141">
        <f>IF(I44&gt;0,I74/I44,1E99)</f>
        <v/>
      </c>
      <c r="J134" s="141">
        <f>IF(J44&gt;0,J74/J44,1E99)</f>
        <v/>
      </c>
      <c r="K134" s="141">
        <f>IF(K44&gt;0,K74/K44,1E99)</f>
        <v/>
      </c>
      <c r="L134" s="141">
        <f>IF(L44&gt;0,L74/L44,1E99)</f>
        <v/>
      </c>
      <c r="M134" s="141">
        <f>IF(M44&gt;0,M74/M44,1E99)</f>
        <v/>
      </c>
      <c r="N134" s="141">
        <f>IF(N44&gt;0,N74/N44,1E99)</f>
        <v/>
      </c>
      <c r="O134" s="141">
        <f>IF(O44&gt;0,O74/O44,1E99)</f>
        <v/>
      </c>
      <c r="P134" s="141">
        <f>IF(P44&gt;0,P74/P44,1E99)</f>
        <v/>
      </c>
      <c r="Q134" s="141">
        <f>IF(Q44&gt;0,Q74/Q44,1E99)</f>
        <v/>
      </c>
      <c r="R134" s="141">
        <f>IF(R44&gt;0,R74/R44,1E99)</f>
        <v/>
      </c>
      <c r="S134" s="141">
        <f>IF(S44&gt;0,S74/S44,1E99)</f>
        <v/>
      </c>
      <c r="T134" s="141">
        <f>IF(T44&gt;0,T74/T44,1E99)</f>
        <v/>
      </c>
      <c r="U134" s="141">
        <f>IF(U44&gt;0,U74/U44,1E99)</f>
        <v/>
      </c>
    </row>
    <row r="135">
      <c r="B135" s="141">
        <f>IF(B45&gt;0,B75/B45,1E99)</f>
        <v/>
      </c>
      <c r="C135" s="141">
        <f>IF(C45&gt;0,C75/C45,1E99)</f>
        <v/>
      </c>
      <c r="D135" s="141">
        <f>IF(D45&gt;0,D75/D45,1E99)</f>
        <v/>
      </c>
      <c r="E135" s="141">
        <f>IF(E45&gt;0,E75/E45,1E99)</f>
        <v/>
      </c>
      <c r="F135" s="141">
        <f>IF(F45&gt;0,F75/F45,1E99)</f>
        <v/>
      </c>
      <c r="G135" s="141">
        <f>IF(G45&gt;0,G75/G45,1E99)</f>
        <v/>
      </c>
      <c r="H135" s="141">
        <f>IF(H45&gt;0,H75/H45,1E99)</f>
        <v/>
      </c>
      <c r="I135" s="141">
        <f>IF(I45&gt;0,I75/I45,1E99)</f>
        <v/>
      </c>
      <c r="J135" s="141">
        <f>IF(J45&gt;0,J75/J45,1E99)</f>
        <v/>
      </c>
      <c r="K135" s="141">
        <f>IF(K45&gt;0,K75/K45,1E99)</f>
        <v/>
      </c>
      <c r="L135" s="141">
        <f>IF(L45&gt;0,L75/L45,1E99)</f>
        <v/>
      </c>
      <c r="M135" s="141">
        <f>IF(M45&gt;0,M75/M45,1E99)</f>
        <v/>
      </c>
      <c r="N135" s="141">
        <f>IF(N45&gt;0,N75/N45,1E99)</f>
        <v/>
      </c>
      <c r="O135" s="141">
        <f>IF(O45&gt;0,O75/O45,1E99)</f>
        <v/>
      </c>
      <c r="P135" s="141">
        <f>IF(P45&gt;0,P75/P45,1E99)</f>
        <v/>
      </c>
      <c r="Q135" s="141">
        <f>IF(Q45&gt;0,Q75/Q45,1E99)</f>
        <v/>
      </c>
      <c r="R135" s="141">
        <f>IF(R45&gt;0,R75/R45,1E99)</f>
        <v/>
      </c>
      <c r="S135" s="141">
        <f>IF(S45&gt;0,S75/S45,1E99)</f>
        <v/>
      </c>
      <c r="T135" s="141">
        <f>IF(T45&gt;0,T75/T45,1E99)</f>
        <v/>
      </c>
      <c r="U135" s="141">
        <f>IF(U45&gt;0,U75/U45,1E99)</f>
        <v/>
      </c>
    </row>
    <row r="136">
      <c r="B136" s="141">
        <f>IF(B46&gt;0,B76/B46,1E99)</f>
        <v/>
      </c>
      <c r="C136" s="141">
        <f>IF(C46&gt;0,C76/C46,1E99)</f>
        <v/>
      </c>
      <c r="D136" s="141">
        <f>IF(D46&gt;0,D76/D46,1E99)</f>
        <v/>
      </c>
      <c r="E136" s="141">
        <f>IF(E46&gt;0,E76/E46,1E99)</f>
        <v/>
      </c>
      <c r="F136" s="141">
        <f>IF(F46&gt;0,F76/F46,1E99)</f>
        <v/>
      </c>
      <c r="G136" s="141">
        <f>IF(G46&gt;0,G76/G46,1E99)</f>
        <v/>
      </c>
      <c r="H136" s="141">
        <f>IF(H46&gt;0,H76/H46,1E99)</f>
        <v/>
      </c>
      <c r="I136" s="141">
        <f>IF(I46&gt;0,I76/I46,1E99)</f>
        <v/>
      </c>
      <c r="J136" s="141">
        <f>IF(J46&gt;0,J76/J46,1E99)</f>
        <v/>
      </c>
      <c r="K136" s="141">
        <f>IF(K46&gt;0,K76/K46,1E99)</f>
        <v/>
      </c>
      <c r="L136" s="141">
        <f>IF(L46&gt;0,L76/L46,1E99)</f>
        <v/>
      </c>
      <c r="M136" s="141">
        <f>IF(M46&gt;0,M76/M46,1E99)</f>
        <v/>
      </c>
      <c r="N136" s="141">
        <f>IF(N46&gt;0,N76/N46,1E99)</f>
        <v/>
      </c>
      <c r="O136" s="141">
        <f>IF(O46&gt;0,O76/O46,1E99)</f>
        <v/>
      </c>
      <c r="P136" s="141">
        <f>IF(P46&gt;0,P76/P46,1E99)</f>
        <v/>
      </c>
      <c r="Q136" s="141">
        <f>IF(Q46&gt;0,Q76/Q46,1E99)</f>
        <v/>
      </c>
      <c r="R136" s="141">
        <f>IF(R46&gt;0,R76/R46,1E99)</f>
        <v/>
      </c>
      <c r="S136" s="141">
        <f>IF(S46&gt;0,S76/S46,1E99)</f>
        <v/>
      </c>
      <c r="T136" s="141">
        <f>IF(T46&gt;0,T76/T46,1E99)</f>
        <v/>
      </c>
      <c r="U136" s="141">
        <f>IF(U46&gt;0,U76/U46,1E99)</f>
        <v/>
      </c>
    </row>
    <row r="137">
      <c r="B137" s="141">
        <f>IF(B47&gt;0,B77/B47,1E99)</f>
        <v/>
      </c>
      <c r="C137" s="141">
        <f>IF(C47&gt;0,C77/C47,1E99)</f>
        <v/>
      </c>
      <c r="D137" s="141">
        <f>IF(D47&gt;0,D77/D47,1E99)</f>
        <v/>
      </c>
      <c r="E137" s="141">
        <f>IF(E47&gt;0,E77/E47,1E99)</f>
        <v/>
      </c>
      <c r="F137" s="141">
        <f>IF(F47&gt;0,F77/F47,1E99)</f>
        <v/>
      </c>
      <c r="G137" s="141">
        <f>IF(G47&gt;0,G77/G47,1E99)</f>
        <v/>
      </c>
      <c r="H137" s="141">
        <f>IF(H47&gt;0,H77/H47,1E99)</f>
        <v/>
      </c>
      <c r="I137" s="141">
        <f>IF(I47&gt;0,I77/I47,1E99)</f>
        <v/>
      </c>
      <c r="J137" s="141">
        <f>IF(J47&gt;0,J77/J47,1E99)</f>
        <v/>
      </c>
      <c r="K137" s="141">
        <f>IF(K47&gt;0,K77/K47,1E99)</f>
        <v/>
      </c>
      <c r="L137" s="141">
        <f>IF(L47&gt;0,L77/L47,1E99)</f>
        <v/>
      </c>
      <c r="M137" s="141">
        <f>IF(M47&gt;0,M77/M47,1E99)</f>
        <v/>
      </c>
      <c r="N137" s="141">
        <f>IF(N47&gt;0,N77/N47,1E99)</f>
        <v/>
      </c>
      <c r="O137" s="141">
        <f>IF(O47&gt;0,O77/O47,1E99)</f>
        <v/>
      </c>
      <c r="P137" s="141">
        <f>IF(P47&gt;0,P77/P47,1E99)</f>
        <v/>
      </c>
      <c r="Q137" s="141">
        <f>IF(Q47&gt;0,Q77/Q47,1E99)</f>
        <v/>
      </c>
      <c r="R137" s="141">
        <f>IF(R47&gt;0,R77/R47,1E99)</f>
        <v/>
      </c>
      <c r="S137" s="141">
        <f>IF(S47&gt;0,S77/S47,1E99)</f>
        <v/>
      </c>
      <c r="T137" s="141">
        <f>IF(T47&gt;0,T77/T47,1E99)</f>
        <v/>
      </c>
      <c r="U137" s="141">
        <f>IF(U47&gt;0,U77/U47,1E99)</f>
        <v/>
      </c>
    </row>
    <row r="138">
      <c r="B138" s="141">
        <f>IF(B48&gt;0,B78/B48,1E99)</f>
        <v/>
      </c>
      <c r="C138" s="141">
        <f>IF(C48&gt;0,C78/C48,1E99)</f>
        <v/>
      </c>
      <c r="D138" s="141">
        <f>IF(D48&gt;0,D78/D48,1E99)</f>
        <v/>
      </c>
      <c r="E138" s="141">
        <f>IF(E48&gt;0,E78/E48,1E99)</f>
        <v/>
      </c>
      <c r="F138" s="141">
        <f>IF(F48&gt;0,F78/F48,1E99)</f>
        <v/>
      </c>
      <c r="G138" s="141">
        <f>IF(G48&gt;0,G78/G48,1E99)</f>
        <v/>
      </c>
      <c r="H138" s="141">
        <f>IF(H48&gt;0,H78/H48,1E99)</f>
        <v/>
      </c>
      <c r="I138" s="141">
        <f>IF(I48&gt;0,I78/I48,1E99)</f>
        <v/>
      </c>
      <c r="J138" s="141">
        <f>IF(J48&gt;0,J78/J48,1E99)</f>
        <v/>
      </c>
      <c r="K138" s="141">
        <f>IF(K48&gt;0,K78/K48,1E99)</f>
        <v/>
      </c>
      <c r="L138" s="141">
        <f>IF(L48&gt;0,L78/L48,1E99)</f>
        <v/>
      </c>
      <c r="M138" s="141">
        <f>IF(M48&gt;0,M78/M48,1E99)</f>
        <v/>
      </c>
      <c r="N138" s="141">
        <f>IF(N48&gt;0,N78/N48,1E99)</f>
        <v/>
      </c>
      <c r="O138" s="141">
        <f>IF(O48&gt;0,O78/O48,1E99)</f>
        <v/>
      </c>
      <c r="P138" s="141">
        <f>IF(P48&gt;0,P78/P48,1E99)</f>
        <v/>
      </c>
      <c r="Q138" s="141">
        <f>IF(Q48&gt;0,Q78/Q48,1E99)</f>
        <v/>
      </c>
      <c r="R138" s="141">
        <f>IF(R48&gt;0,R78/R48,1E99)</f>
        <v/>
      </c>
      <c r="S138" s="141">
        <f>IF(S48&gt;0,S78/S48,1E99)</f>
        <v/>
      </c>
      <c r="T138" s="141">
        <f>IF(T48&gt;0,T78/T48,1E99)</f>
        <v/>
      </c>
      <c r="U138" s="141">
        <f>IF(U48&gt;0,U78/U48,1E99)</f>
        <v/>
      </c>
    </row>
    <row r="144">
      <c r="B144" s="141">
        <f>B24*B$22</f>
        <v/>
      </c>
      <c r="C144" s="141">
        <f>C24*C$22</f>
        <v/>
      </c>
      <c r="D144" s="141">
        <f>D24*D$22</f>
        <v/>
      </c>
      <c r="E144" s="141">
        <f>E24*E$22</f>
        <v/>
      </c>
      <c r="F144" s="141">
        <f>F24*F$22</f>
        <v/>
      </c>
      <c r="G144" s="141">
        <f>G24*G$22</f>
        <v/>
      </c>
      <c r="H144" s="141">
        <f>H24*H$22</f>
        <v/>
      </c>
      <c r="I144" s="141">
        <f>I24*I$22</f>
        <v/>
      </c>
      <c r="J144" s="141">
        <f>J24*J$22</f>
        <v/>
      </c>
      <c r="K144" s="141">
        <f>K24*K$22</f>
        <v/>
      </c>
      <c r="L144" s="141">
        <f>L24*L$22</f>
        <v/>
      </c>
      <c r="M144" s="141">
        <f>M24*M$22</f>
        <v/>
      </c>
      <c r="N144" s="141">
        <f>N24*N$22</f>
        <v/>
      </c>
      <c r="O144" s="141">
        <f>O24*O$22</f>
        <v/>
      </c>
      <c r="P144" s="141">
        <f>P24*P$22</f>
        <v/>
      </c>
      <c r="Q144" s="141">
        <f>Q24*Q$22</f>
        <v/>
      </c>
      <c r="R144" s="141">
        <f>R24*R$22</f>
        <v/>
      </c>
      <c r="S144" s="141">
        <f>S24*S$22</f>
        <v/>
      </c>
      <c r="T144" s="141">
        <f>T24*T$22</f>
        <v/>
      </c>
      <c r="U144" s="141">
        <f>U24*U$22</f>
        <v/>
      </c>
    </row>
    <row r="145">
      <c r="B145" s="141">
        <f>B25*B$22</f>
        <v/>
      </c>
      <c r="C145" s="141">
        <f>C25*C$22</f>
        <v/>
      </c>
      <c r="D145" s="141">
        <f>D25*D$22</f>
        <v/>
      </c>
      <c r="E145" s="141">
        <f>E25*E$22</f>
        <v/>
      </c>
      <c r="F145" s="141">
        <f>F25*F$22</f>
        <v/>
      </c>
      <c r="G145" s="141">
        <f>G25*G$22</f>
        <v/>
      </c>
      <c r="H145" s="141">
        <f>H25*H$22</f>
        <v/>
      </c>
      <c r="I145" s="141">
        <f>I25*I$22</f>
        <v/>
      </c>
      <c r="J145" s="141">
        <f>J25*J$22</f>
        <v/>
      </c>
      <c r="K145" s="141">
        <f>K25*K$22</f>
        <v/>
      </c>
      <c r="L145" s="141">
        <f>L25*L$22</f>
        <v/>
      </c>
      <c r="M145" s="141">
        <f>M25*M$22</f>
        <v/>
      </c>
      <c r="N145" s="141">
        <f>N25*N$22</f>
        <v/>
      </c>
      <c r="O145" s="141">
        <f>O25*O$22</f>
        <v/>
      </c>
      <c r="P145" s="141">
        <f>P25*P$22</f>
        <v/>
      </c>
      <c r="Q145" s="141">
        <f>Q25*Q$22</f>
        <v/>
      </c>
      <c r="R145" s="141">
        <f>R25*R$22</f>
        <v/>
      </c>
      <c r="S145" s="141">
        <f>S25*S$22</f>
        <v/>
      </c>
      <c r="T145" s="141">
        <f>T25*T$22</f>
        <v/>
      </c>
      <c r="U145" s="141">
        <f>U25*U$22</f>
        <v/>
      </c>
    </row>
    <row r="146">
      <c r="B146" s="141">
        <f>B26*B$22</f>
        <v/>
      </c>
      <c r="C146" s="141">
        <f>C26*C$22</f>
        <v/>
      </c>
      <c r="D146" s="141">
        <f>D26*D$22</f>
        <v/>
      </c>
      <c r="E146" s="141">
        <f>E26*E$22</f>
        <v/>
      </c>
      <c r="F146" s="141">
        <f>F26*F$22</f>
        <v/>
      </c>
      <c r="G146" s="141">
        <f>G26*G$22</f>
        <v/>
      </c>
      <c r="H146" s="141">
        <f>H26*H$22</f>
        <v/>
      </c>
      <c r="I146" s="141">
        <f>I26*I$22</f>
        <v/>
      </c>
      <c r="J146" s="141">
        <f>J26*J$22</f>
        <v/>
      </c>
      <c r="K146" s="141">
        <f>K26*K$22</f>
        <v/>
      </c>
      <c r="L146" s="141">
        <f>L26*L$22</f>
        <v/>
      </c>
      <c r="M146" s="141">
        <f>M26*M$22</f>
        <v/>
      </c>
      <c r="N146" s="141">
        <f>N26*N$22</f>
        <v/>
      </c>
      <c r="O146" s="141">
        <f>O26*O$22</f>
        <v/>
      </c>
      <c r="P146" s="141">
        <f>P26*P$22</f>
        <v/>
      </c>
      <c r="Q146" s="141">
        <f>Q26*Q$22</f>
        <v/>
      </c>
      <c r="R146" s="141">
        <f>R26*R$22</f>
        <v/>
      </c>
      <c r="S146" s="141">
        <f>S26*S$22</f>
        <v/>
      </c>
      <c r="T146" s="141">
        <f>T26*T$22</f>
        <v/>
      </c>
      <c r="U146" s="141">
        <f>U26*U$22</f>
        <v/>
      </c>
    </row>
    <row r="147">
      <c r="B147" s="141">
        <f>B27*B$22</f>
        <v/>
      </c>
      <c r="C147" s="141">
        <f>C27*C$22</f>
        <v/>
      </c>
      <c r="D147" s="141">
        <f>D27*D$22</f>
        <v/>
      </c>
      <c r="E147" s="141">
        <f>E27*E$22</f>
        <v/>
      </c>
      <c r="F147" s="141">
        <f>F27*F$22</f>
        <v/>
      </c>
      <c r="G147" s="141">
        <f>G27*G$22</f>
        <v/>
      </c>
      <c r="H147" s="141">
        <f>H27*H$22</f>
        <v/>
      </c>
      <c r="I147" s="141">
        <f>I27*I$22</f>
        <v/>
      </c>
      <c r="J147" s="141">
        <f>J27*J$22</f>
        <v/>
      </c>
      <c r="K147" s="141">
        <f>K27*K$22</f>
        <v/>
      </c>
      <c r="L147" s="141">
        <f>L27*L$22</f>
        <v/>
      </c>
      <c r="M147" s="141">
        <f>M27*M$22</f>
        <v/>
      </c>
      <c r="N147" s="141">
        <f>N27*N$22</f>
        <v/>
      </c>
      <c r="O147" s="141">
        <f>O27*O$22</f>
        <v/>
      </c>
      <c r="P147" s="141">
        <f>P27*P$22</f>
        <v/>
      </c>
      <c r="Q147" s="141">
        <f>Q27*Q$22</f>
        <v/>
      </c>
      <c r="R147" s="141">
        <f>R27*R$22</f>
        <v/>
      </c>
      <c r="S147" s="141">
        <f>S27*S$22</f>
        <v/>
      </c>
      <c r="T147" s="141">
        <f>T27*T$22</f>
        <v/>
      </c>
      <c r="U147" s="141">
        <f>U27*U$22</f>
        <v/>
      </c>
    </row>
    <row r="148">
      <c r="B148" s="141">
        <f>B28*B$22</f>
        <v/>
      </c>
      <c r="C148" s="141">
        <f>C28*C$22</f>
        <v/>
      </c>
      <c r="D148" s="141">
        <f>D28*D$22</f>
        <v/>
      </c>
      <c r="E148" s="141">
        <f>E28*E$22</f>
        <v/>
      </c>
      <c r="F148" s="141">
        <f>F28*F$22</f>
        <v/>
      </c>
      <c r="G148" s="141">
        <f>G28*G$22</f>
        <v/>
      </c>
      <c r="H148" s="141">
        <f>H28*H$22</f>
        <v/>
      </c>
      <c r="I148" s="141">
        <f>I28*I$22</f>
        <v/>
      </c>
      <c r="J148" s="141">
        <f>J28*J$22</f>
        <v/>
      </c>
      <c r="K148" s="141">
        <f>K28*K$22</f>
        <v/>
      </c>
      <c r="L148" s="141">
        <f>L28*L$22</f>
        <v/>
      </c>
      <c r="M148" s="141">
        <f>M28*M$22</f>
        <v/>
      </c>
      <c r="N148" s="141">
        <f>N28*N$22</f>
        <v/>
      </c>
      <c r="O148" s="141">
        <f>O28*O$22</f>
        <v/>
      </c>
      <c r="P148" s="141">
        <f>P28*P$22</f>
        <v/>
      </c>
      <c r="Q148" s="141">
        <f>Q28*Q$22</f>
        <v/>
      </c>
      <c r="R148" s="141">
        <f>R28*R$22</f>
        <v/>
      </c>
      <c r="S148" s="141">
        <f>S28*S$22</f>
        <v/>
      </c>
      <c r="T148" s="141">
        <f>T28*T$22</f>
        <v/>
      </c>
      <c r="U148" s="141">
        <f>U28*U$22</f>
        <v/>
      </c>
    </row>
    <row r="149">
      <c r="B149" s="141">
        <f>B29*B$22</f>
        <v/>
      </c>
      <c r="C149" s="141">
        <f>C29*C$22</f>
        <v/>
      </c>
      <c r="D149" s="141">
        <f>D29*D$22</f>
        <v/>
      </c>
      <c r="E149" s="141">
        <f>E29*E$22</f>
        <v/>
      </c>
      <c r="F149" s="141">
        <f>F29*F$22</f>
        <v/>
      </c>
      <c r="G149" s="141">
        <f>G29*G$22</f>
        <v/>
      </c>
      <c r="H149" s="141">
        <f>H29*H$22</f>
        <v/>
      </c>
      <c r="I149" s="141">
        <f>I29*I$22</f>
        <v/>
      </c>
      <c r="J149" s="141">
        <f>J29*J$22</f>
        <v/>
      </c>
      <c r="K149" s="141">
        <f>K29*K$22</f>
        <v/>
      </c>
      <c r="L149" s="141">
        <f>L29*L$22</f>
        <v/>
      </c>
      <c r="M149" s="141">
        <f>M29*M$22</f>
        <v/>
      </c>
      <c r="N149" s="141">
        <f>N29*N$22</f>
        <v/>
      </c>
      <c r="O149" s="141">
        <f>O29*O$22</f>
        <v/>
      </c>
      <c r="P149" s="141">
        <f>P29*P$22</f>
        <v/>
      </c>
      <c r="Q149" s="141">
        <f>Q29*Q$22</f>
        <v/>
      </c>
      <c r="R149" s="141">
        <f>R29*R$22</f>
        <v/>
      </c>
      <c r="S149" s="141">
        <f>S29*S$22</f>
        <v/>
      </c>
      <c r="T149" s="141">
        <f>T29*T$22</f>
        <v/>
      </c>
      <c r="U149" s="141">
        <f>U29*U$22</f>
        <v/>
      </c>
    </row>
    <row r="150">
      <c r="B150" s="141">
        <f>B30*B$22</f>
        <v/>
      </c>
      <c r="C150" s="141">
        <f>C30*C$22</f>
        <v/>
      </c>
      <c r="D150" s="141">
        <f>D30*D$22</f>
        <v/>
      </c>
      <c r="E150" s="141">
        <f>E30*E$22</f>
        <v/>
      </c>
      <c r="F150" s="141">
        <f>F30*F$22</f>
        <v/>
      </c>
      <c r="G150" s="141">
        <f>G30*G$22</f>
        <v/>
      </c>
      <c r="H150" s="141">
        <f>H30*H$22</f>
        <v/>
      </c>
      <c r="I150" s="141">
        <f>I30*I$22</f>
        <v/>
      </c>
      <c r="J150" s="141">
        <f>J30*J$22</f>
        <v/>
      </c>
      <c r="K150" s="141">
        <f>K30*K$22</f>
        <v/>
      </c>
      <c r="L150" s="141">
        <f>L30*L$22</f>
        <v/>
      </c>
      <c r="M150" s="141">
        <f>M30*M$22</f>
        <v/>
      </c>
      <c r="N150" s="141">
        <f>N30*N$22</f>
        <v/>
      </c>
      <c r="O150" s="141">
        <f>O30*O$22</f>
        <v/>
      </c>
      <c r="P150" s="141">
        <f>P30*P$22</f>
        <v/>
      </c>
      <c r="Q150" s="141">
        <f>Q30*Q$22</f>
        <v/>
      </c>
      <c r="R150" s="141">
        <f>R30*R$22</f>
        <v/>
      </c>
      <c r="S150" s="141">
        <f>S30*S$22</f>
        <v/>
      </c>
      <c r="T150" s="141">
        <f>T30*T$22</f>
        <v/>
      </c>
      <c r="U150" s="141">
        <f>U30*U$22</f>
        <v/>
      </c>
    </row>
    <row r="151">
      <c r="B151" s="141">
        <f>B31*B$22</f>
        <v/>
      </c>
      <c r="C151" s="141">
        <f>C31*C$22</f>
        <v/>
      </c>
      <c r="D151" s="141">
        <f>D31*D$22</f>
        <v/>
      </c>
      <c r="E151" s="141">
        <f>E31*E$22</f>
        <v/>
      </c>
      <c r="F151" s="141">
        <f>F31*F$22</f>
        <v/>
      </c>
      <c r="G151" s="141">
        <f>G31*G$22</f>
        <v/>
      </c>
      <c r="H151" s="141">
        <f>H31*H$22</f>
        <v/>
      </c>
      <c r="I151" s="141">
        <f>I31*I$22</f>
        <v/>
      </c>
      <c r="J151" s="141">
        <f>J31*J$22</f>
        <v/>
      </c>
      <c r="K151" s="141">
        <f>K31*K$22</f>
        <v/>
      </c>
      <c r="L151" s="141">
        <f>L31*L$22</f>
        <v/>
      </c>
      <c r="M151" s="141">
        <f>M31*M$22</f>
        <v/>
      </c>
      <c r="N151" s="141">
        <f>N31*N$22</f>
        <v/>
      </c>
      <c r="O151" s="141">
        <f>O31*O$22</f>
        <v/>
      </c>
      <c r="P151" s="141">
        <f>P31*P$22</f>
        <v/>
      </c>
      <c r="Q151" s="141">
        <f>Q31*Q$22</f>
        <v/>
      </c>
      <c r="R151" s="141">
        <f>R31*R$22</f>
        <v/>
      </c>
      <c r="S151" s="141">
        <f>S31*S$22</f>
        <v/>
      </c>
      <c r="T151" s="141">
        <f>T31*T$22</f>
        <v/>
      </c>
      <c r="U151" s="141">
        <f>U31*U$22</f>
        <v/>
      </c>
    </row>
    <row r="152">
      <c r="B152" s="141">
        <f>B32*B$22</f>
        <v/>
      </c>
      <c r="C152" s="141">
        <f>C32*C$22</f>
        <v/>
      </c>
      <c r="D152" s="141">
        <f>D32*D$22</f>
        <v/>
      </c>
      <c r="E152" s="141">
        <f>E32*E$22</f>
        <v/>
      </c>
      <c r="F152" s="141">
        <f>F32*F$22</f>
        <v/>
      </c>
      <c r="G152" s="141">
        <f>G32*G$22</f>
        <v/>
      </c>
      <c r="H152" s="141">
        <f>H32*H$22</f>
        <v/>
      </c>
      <c r="I152" s="141">
        <f>I32*I$22</f>
        <v/>
      </c>
      <c r="J152" s="141">
        <f>J32*J$22</f>
        <v/>
      </c>
      <c r="K152" s="141">
        <f>K32*K$22</f>
        <v/>
      </c>
      <c r="L152" s="141">
        <f>L32*L$22</f>
        <v/>
      </c>
      <c r="M152" s="141">
        <f>M32*M$22</f>
        <v/>
      </c>
      <c r="N152" s="141">
        <f>N32*N$22</f>
        <v/>
      </c>
      <c r="O152" s="141">
        <f>O32*O$22</f>
        <v/>
      </c>
      <c r="P152" s="141">
        <f>P32*P$22</f>
        <v/>
      </c>
      <c r="Q152" s="141">
        <f>Q32*Q$22</f>
        <v/>
      </c>
      <c r="R152" s="141">
        <f>R32*R$22</f>
        <v/>
      </c>
      <c r="S152" s="141">
        <f>S32*S$22</f>
        <v/>
      </c>
      <c r="T152" s="141">
        <f>T32*T$22</f>
        <v/>
      </c>
      <c r="U152" s="141">
        <f>U32*U$22</f>
        <v/>
      </c>
    </row>
    <row r="153">
      <c r="B153" s="141">
        <f>B33*B$22</f>
        <v/>
      </c>
      <c r="C153" s="141">
        <f>C33*C$22</f>
        <v/>
      </c>
      <c r="D153" s="141">
        <f>D33*D$22</f>
        <v/>
      </c>
      <c r="E153" s="141">
        <f>E33*E$22</f>
        <v/>
      </c>
      <c r="F153" s="141">
        <f>F33*F$22</f>
        <v/>
      </c>
      <c r="G153" s="141">
        <f>G33*G$22</f>
        <v/>
      </c>
      <c r="H153" s="141">
        <f>H33*H$22</f>
        <v/>
      </c>
      <c r="I153" s="141">
        <f>I33*I$22</f>
        <v/>
      </c>
      <c r="J153" s="141">
        <f>J33*J$22</f>
        <v/>
      </c>
      <c r="K153" s="141">
        <f>K33*K$22</f>
        <v/>
      </c>
      <c r="L153" s="141">
        <f>L33*L$22</f>
        <v/>
      </c>
      <c r="M153" s="141">
        <f>M33*M$22</f>
        <v/>
      </c>
      <c r="N153" s="141">
        <f>N33*N$22</f>
        <v/>
      </c>
      <c r="O153" s="141">
        <f>O33*O$22</f>
        <v/>
      </c>
      <c r="P153" s="141">
        <f>P33*P$22</f>
        <v/>
      </c>
      <c r="Q153" s="141">
        <f>Q33*Q$22</f>
        <v/>
      </c>
      <c r="R153" s="141">
        <f>R33*R$22</f>
        <v/>
      </c>
      <c r="S153" s="141">
        <f>S33*S$22</f>
        <v/>
      </c>
      <c r="T153" s="141">
        <f>T33*T$22</f>
        <v/>
      </c>
      <c r="U153" s="141">
        <f>U33*U$22</f>
        <v/>
      </c>
    </row>
    <row r="154">
      <c r="B154" s="141">
        <f>B34*B$22</f>
        <v/>
      </c>
      <c r="C154" s="141">
        <f>C34*C$22</f>
        <v/>
      </c>
      <c r="D154" s="141">
        <f>D34*D$22</f>
        <v/>
      </c>
      <c r="E154" s="141">
        <f>E34*E$22</f>
        <v/>
      </c>
      <c r="F154" s="141">
        <f>F34*F$22</f>
        <v/>
      </c>
      <c r="G154" s="141">
        <f>G34*G$22</f>
        <v/>
      </c>
      <c r="H154" s="141">
        <f>H34*H$22</f>
        <v/>
      </c>
      <c r="I154" s="141">
        <f>I34*I$22</f>
        <v/>
      </c>
      <c r="J154" s="141">
        <f>J34*J$22</f>
        <v/>
      </c>
      <c r="K154" s="141">
        <f>K34*K$22</f>
        <v/>
      </c>
      <c r="L154" s="141">
        <f>L34*L$22</f>
        <v/>
      </c>
      <c r="M154" s="141">
        <f>M34*M$22</f>
        <v/>
      </c>
      <c r="N154" s="141">
        <f>N34*N$22</f>
        <v/>
      </c>
      <c r="O154" s="141">
        <f>O34*O$22</f>
        <v/>
      </c>
      <c r="P154" s="141">
        <f>P34*P$22</f>
        <v/>
      </c>
      <c r="Q154" s="141">
        <f>Q34*Q$22</f>
        <v/>
      </c>
      <c r="R154" s="141">
        <f>R34*R$22</f>
        <v/>
      </c>
      <c r="S154" s="141">
        <f>S34*S$22</f>
        <v/>
      </c>
      <c r="T154" s="141">
        <f>T34*T$22</f>
        <v/>
      </c>
      <c r="U154" s="141">
        <f>U34*U$22</f>
        <v/>
      </c>
    </row>
    <row r="155">
      <c r="B155" s="141">
        <f>B35*B$22</f>
        <v/>
      </c>
      <c r="C155" s="141">
        <f>C35*C$22</f>
        <v/>
      </c>
      <c r="D155" s="141">
        <f>D35*D$22</f>
        <v/>
      </c>
      <c r="E155" s="141">
        <f>E35*E$22</f>
        <v/>
      </c>
      <c r="F155" s="141">
        <f>F35*F$22</f>
        <v/>
      </c>
      <c r="G155" s="141">
        <f>G35*G$22</f>
        <v/>
      </c>
      <c r="H155" s="141">
        <f>H35*H$22</f>
        <v/>
      </c>
      <c r="I155" s="141">
        <f>I35*I$22</f>
        <v/>
      </c>
      <c r="J155" s="141">
        <f>J35*J$22</f>
        <v/>
      </c>
      <c r="K155" s="141">
        <f>K35*K$22</f>
        <v/>
      </c>
      <c r="L155" s="141">
        <f>L35*L$22</f>
        <v/>
      </c>
      <c r="M155" s="141">
        <f>M35*M$22</f>
        <v/>
      </c>
      <c r="N155" s="141">
        <f>N35*N$22</f>
        <v/>
      </c>
      <c r="O155" s="141">
        <f>O35*O$22</f>
        <v/>
      </c>
      <c r="P155" s="141">
        <f>P35*P$22</f>
        <v/>
      </c>
      <c r="Q155" s="141">
        <f>Q35*Q$22</f>
        <v/>
      </c>
      <c r="R155" s="141">
        <f>R35*R$22</f>
        <v/>
      </c>
      <c r="S155" s="141">
        <f>S35*S$22</f>
        <v/>
      </c>
      <c r="T155" s="141">
        <f>T35*T$22</f>
        <v/>
      </c>
      <c r="U155" s="141">
        <f>U35*U$22</f>
        <v/>
      </c>
    </row>
    <row r="156">
      <c r="B156" s="141">
        <f>B36*B$22</f>
        <v/>
      </c>
      <c r="C156" s="141">
        <f>C36*C$22</f>
        <v/>
      </c>
      <c r="D156" s="141">
        <f>D36*D$22</f>
        <v/>
      </c>
      <c r="E156" s="141">
        <f>E36*E$22</f>
        <v/>
      </c>
      <c r="F156" s="141">
        <f>F36*F$22</f>
        <v/>
      </c>
      <c r="G156" s="141">
        <f>G36*G$22</f>
        <v/>
      </c>
      <c r="H156" s="141">
        <f>H36*H$22</f>
        <v/>
      </c>
      <c r="I156" s="141">
        <f>I36*I$22</f>
        <v/>
      </c>
      <c r="J156" s="141">
        <f>J36*J$22</f>
        <v/>
      </c>
      <c r="K156" s="141">
        <f>K36*K$22</f>
        <v/>
      </c>
      <c r="L156" s="141">
        <f>L36*L$22</f>
        <v/>
      </c>
      <c r="M156" s="141">
        <f>M36*M$22</f>
        <v/>
      </c>
      <c r="N156" s="141">
        <f>N36*N$22</f>
        <v/>
      </c>
      <c r="O156" s="141">
        <f>O36*O$22</f>
        <v/>
      </c>
      <c r="P156" s="141">
        <f>P36*P$22</f>
        <v/>
      </c>
      <c r="Q156" s="141">
        <f>Q36*Q$22</f>
        <v/>
      </c>
      <c r="R156" s="141">
        <f>R36*R$22</f>
        <v/>
      </c>
      <c r="S156" s="141">
        <f>S36*S$22</f>
        <v/>
      </c>
      <c r="T156" s="141">
        <f>T36*T$22</f>
        <v/>
      </c>
      <c r="U156" s="141">
        <f>U36*U$22</f>
        <v/>
      </c>
    </row>
    <row r="157">
      <c r="B157" s="141">
        <f>B37*B$22</f>
        <v/>
      </c>
      <c r="C157" s="141">
        <f>C37*C$22</f>
        <v/>
      </c>
      <c r="D157" s="141">
        <f>D37*D$22</f>
        <v/>
      </c>
      <c r="E157" s="141">
        <f>E37*E$22</f>
        <v/>
      </c>
      <c r="F157" s="141">
        <f>F37*F$22</f>
        <v/>
      </c>
      <c r="G157" s="141">
        <f>G37*G$22</f>
        <v/>
      </c>
      <c r="H157" s="141">
        <f>H37*H$22</f>
        <v/>
      </c>
      <c r="I157" s="141">
        <f>I37*I$22</f>
        <v/>
      </c>
      <c r="J157" s="141">
        <f>J37*J$22</f>
        <v/>
      </c>
      <c r="K157" s="141">
        <f>K37*K$22</f>
        <v/>
      </c>
      <c r="L157" s="141">
        <f>L37*L$22</f>
        <v/>
      </c>
      <c r="M157" s="141">
        <f>M37*M$22</f>
        <v/>
      </c>
      <c r="N157" s="141">
        <f>N37*N$22</f>
        <v/>
      </c>
      <c r="O157" s="141">
        <f>O37*O$22</f>
        <v/>
      </c>
      <c r="P157" s="141">
        <f>P37*P$22</f>
        <v/>
      </c>
      <c r="Q157" s="141">
        <f>Q37*Q$22</f>
        <v/>
      </c>
      <c r="R157" s="141">
        <f>R37*R$22</f>
        <v/>
      </c>
      <c r="S157" s="141">
        <f>S37*S$22</f>
        <v/>
      </c>
      <c r="T157" s="141">
        <f>T37*T$22</f>
        <v/>
      </c>
      <c r="U157" s="141">
        <f>U37*U$22</f>
        <v/>
      </c>
    </row>
    <row r="158">
      <c r="B158" s="141">
        <f>B38*B$22</f>
        <v/>
      </c>
      <c r="C158" s="141">
        <f>C38*C$22</f>
        <v/>
      </c>
      <c r="D158" s="141">
        <f>D38*D$22</f>
        <v/>
      </c>
      <c r="E158" s="141">
        <f>E38*E$22</f>
        <v/>
      </c>
      <c r="F158" s="141">
        <f>F38*F$22</f>
        <v/>
      </c>
      <c r="G158" s="141">
        <f>G38*G$22</f>
        <v/>
      </c>
      <c r="H158" s="141">
        <f>H38*H$22</f>
        <v/>
      </c>
      <c r="I158" s="141">
        <f>I38*I$22</f>
        <v/>
      </c>
      <c r="J158" s="141">
        <f>J38*J$22</f>
        <v/>
      </c>
      <c r="K158" s="141">
        <f>K38*K$22</f>
        <v/>
      </c>
      <c r="L158" s="141">
        <f>L38*L$22</f>
        <v/>
      </c>
      <c r="M158" s="141">
        <f>M38*M$22</f>
        <v/>
      </c>
      <c r="N158" s="141">
        <f>N38*N$22</f>
        <v/>
      </c>
      <c r="O158" s="141">
        <f>O38*O$22</f>
        <v/>
      </c>
      <c r="P158" s="141">
        <f>P38*P$22</f>
        <v/>
      </c>
      <c r="Q158" s="141">
        <f>Q38*Q$22</f>
        <v/>
      </c>
      <c r="R158" s="141">
        <f>R38*R$22</f>
        <v/>
      </c>
      <c r="S158" s="141">
        <f>S38*S$22</f>
        <v/>
      </c>
      <c r="T158" s="141">
        <f>T38*T$22</f>
        <v/>
      </c>
      <c r="U158" s="141">
        <f>U38*U$22</f>
        <v/>
      </c>
    </row>
    <row r="159">
      <c r="B159" s="141">
        <f>B39*B$22</f>
        <v/>
      </c>
      <c r="C159" s="141">
        <f>C39*C$22</f>
        <v/>
      </c>
      <c r="D159" s="141">
        <f>D39*D$22</f>
        <v/>
      </c>
      <c r="E159" s="141">
        <f>E39*E$22</f>
        <v/>
      </c>
      <c r="F159" s="141">
        <f>F39*F$22</f>
        <v/>
      </c>
      <c r="G159" s="141">
        <f>G39*G$22</f>
        <v/>
      </c>
      <c r="H159" s="141">
        <f>H39*H$22</f>
        <v/>
      </c>
      <c r="I159" s="141">
        <f>I39*I$22</f>
        <v/>
      </c>
      <c r="J159" s="141">
        <f>J39*J$22</f>
        <v/>
      </c>
      <c r="K159" s="141">
        <f>K39*K$22</f>
        <v/>
      </c>
      <c r="L159" s="141">
        <f>L39*L$22</f>
        <v/>
      </c>
      <c r="M159" s="141">
        <f>M39*M$22</f>
        <v/>
      </c>
      <c r="N159" s="141">
        <f>N39*N$22</f>
        <v/>
      </c>
      <c r="O159" s="141">
        <f>O39*O$22</f>
        <v/>
      </c>
      <c r="P159" s="141">
        <f>P39*P$22</f>
        <v/>
      </c>
      <c r="Q159" s="141">
        <f>Q39*Q$22</f>
        <v/>
      </c>
      <c r="R159" s="141">
        <f>R39*R$22</f>
        <v/>
      </c>
      <c r="S159" s="141">
        <f>S39*S$22</f>
        <v/>
      </c>
      <c r="T159" s="141">
        <f>T39*T$22</f>
        <v/>
      </c>
      <c r="U159" s="141">
        <f>U39*U$22</f>
        <v/>
      </c>
    </row>
    <row r="160">
      <c r="B160" s="141">
        <f>B40*B$22</f>
        <v/>
      </c>
      <c r="C160" s="141">
        <f>C40*C$22</f>
        <v/>
      </c>
      <c r="D160" s="141">
        <f>D40*D$22</f>
        <v/>
      </c>
      <c r="E160" s="141">
        <f>E40*E$22</f>
        <v/>
      </c>
      <c r="F160" s="141">
        <f>F40*F$22</f>
        <v/>
      </c>
      <c r="G160" s="141">
        <f>G40*G$22</f>
        <v/>
      </c>
      <c r="H160" s="141">
        <f>H40*H$22</f>
        <v/>
      </c>
      <c r="I160" s="141">
        <f>I40*I$22</f>
        <v/>
      </c>
      <c r="J160" s="141">
        <f>J40*J$22</f>
        <v/>
      </c>
      <c r="K160" s="141">
        <f>K40*K$22</f>
        <v/>
      </c>
      <c r="L160" s="141">
        <f>L40*L$22</f>
        <v/>
      </c>
      <c r="M160" s="141">
        <f>M40*M$22</f>
        <v/>
      </c>
      <c r="N160" s="141">
        <f>N40*N$22</f>
        <v/>
      </c>
      <c r="O160" s="141">
        <f>O40*O$22</f>
        <v/>
      </c>
      <c r="P160" s="141">
        <f>P40*P$22</f>
        <v/>
      </c>
      <c r="Q160" s="141">
        <f>Q40*Q$22</f>
        <v/>
      </c>
      <c r="R160" s="141">
        <f>R40*R$22</f>
        <v/>
      </c>
      <c r="S160" s="141">
        <f>S40*S$22</f>
        <v/>
      </c>
      <c r="T160" s="141">
        <f>T40*T$22</f>
        <v/>
      </c>
      <c r="U160" s="141">
        <f>U40*U$22</f>
        <v/>
      </c>
    </row>
    <row r="161">
      <c r="B161" s="141">
        <f>B41*B$22</f>
        <v/>
      </c>
      <c r="C161" s="141">
        <f>C41*C$22</f>
        <v/>
      </c>
      <c r="D161" s="141">
        <f>D41*D$22</f>
        <v/>
      </c>
      <c r="E161" s="141">
        <f>E41*E$22</f>
        <v/>
      </c>
      <c r="F161" s="141">
        <f>F41*F$22</f>
        <v/>
      </c>
      <c r="G161" s="141">
        <f>G41*G$22</f>
        <v/>
      </c>
      <c r="H161" s="141">
        <f>H41*H$22</f>
        <v/>
      </c>
      <c r="I161" s="141">
        <f>I41*I$22</f>
        <v/>
      </c>
      <c r="J161" s="141">
        <f>J41*J$22</f>
        <v/>
      </c>
      <c r="K161" s="141">
        <f>K41*K$22</f>
        <v/>
      </c>
      <c r="L161" s="141">
        <f>L41*L$22</f>
        <v/>
      </c>
      <c r="M161" s="141">
        <f>M41*M$22</f>
        <v/>
      </c>
      <c r="N161" s="141">
        <f>N41*N$22</f>
        <v/>
      </c>
      <c r="O161" s="141">
        <f>O41*O$22</f>
        <v/>
      </c>
      <c r="P161" s="141">
        <f>P41*P$22</f>
        <v/>
      </c>
      <c r="Q161" s="141">
        <f>Q41*Q$22</f>
        <v/>
      </c>
      <c r="R161" s="141">
        <f>R41*R$22</f>
        <v/>
      </c>
      <c r="S161" s="141">
        <f>S41*S$22</f>
        <v/>
      </c>
      <c r="T161" s="141">
        <f>T41*T$22</f>
        <v/>
      </c>
      <c r="U161" s="141">
        <f>U41*U$22</f>
        <v/>
      </c>
    </row>
    <row r="162">
      <c r="B162" s="141">
        <f>B42*B$22</f>
        <v/>
      </c>
      <c r="C162" s="141">
        <f>C42*C$22</f>
        <v/>
      </c>
      <c r="D162" s="141">
        <f>D42*D$22</f>
        <v/>
      </c>
      <c r="E162" s="141">
        <f>E42*E$22</f>
        <v/>
      </c>
      <c r="F162" s="141">
        <f>F42*F$22</f>
        <v/>
      </c>
      <c r="G162" s="141">
        <f>G42*G$22</f>
        <v/>
      </c>
      <c r="H162" s="141">
        <f>H42*H$22</f>
        <v/>
      </c>
      <c r="I162" s="141">
        <f>I42*I$22</f>
        <v/>
      </c>
      <c r="J162" s="141">
        <f>J42*J$22</f>
        <v/>
      </c>
      <c r="K162" s="141">
        <f>K42*K$22</f>
        <v/>
      </c>
      <c r="L162" s="141">
        <f>L42*L$22</f>
        <v/>
      </c>
      <c r="M162" s="141">
        <f>M42*M$22</f>
        <v/>
      </c>
      <c r="N162" s="141">
        <f>N42*N$22</f>
        <v/>
      </c>
      <c r="O162" s="141">
        <f>O42*O$22</f>
        <v/>
      </c>
      <c r="P162" s="141">
        <f>P42*P$22</f>
        <v/>
      </c>
      <c r="Q162" s="141">
        <f>Q42*Q$22</f>
        <v/>
      </c>
      <c r="R162" s="141">
        <f>R42*R$22</f>
        <v/>
      </c>
      <c r="S162" s="141">
        <f>S42*S$22</f>
        <v/>
      </c>
      <c r="T162" s="141">
        <f>T42*T$22</f>
        <v/>
      </c>
      <c r="U162" s="141">
        <f>U42*U$22</f>
        <v/>
      </c>
    </row>
    <row r="163">
      <c r="B163" s="141">
        <f>B43*B$22</f>
        <v/>
      </c>
      <c r="C163" s="141">
        <f>C43*C$22</f>
        <v/>
      </c>
      <c r="D163" s="141">
        <f>D43*D$22</f>
        <v/>
      </c>
      <c r="E163" s="141">
        <f>E43*E$22</f>
        <v/>
      </c>
      <c r="F163" s="141">
        <f>F43*F$22</f>
        <v/>
      </c>
      <c r="G163" s="141">
        <f>G43*G$22</f>
        <v/>
      </c>
      <c r="H163" s="141">
        <f>H43*H$22</f>
        <v/>
      </c>
      <c r="I163" s="141">
        <f>I43*I$22</f>
        <v/>
      </c>
      <c r="J163" s="141">
        <f>J43*J$22</f>
        <v/>
      </c>
      <c r="K163" s="141">
        <f>K43*K$22</f>
        <v/>
      </c>
      <c r="L163" s="141">
        <f>L43*L$22</f>
        <v/>
      </c>
      <c r="M163" s="141">
        <f>M43*M$22</f>
        <v/>
      </c>
      <c r="N163" s="141">
        <f>N43*N$22</f>
        <v/>
      </c>
      <c r="O163" s="141">
        <f>O43*O$22</f>
        <v/>
      </c>
      <c r="P163" s="141">
        <f>P43*P$22</f>
        <v/>
      </c>
      <c r="Q163" s="141">
        <f>Q43*Q$22</f>
        <v/>
      </c>
      <c r="R163" s="141">
        <f>R43*R$22</f>
        <v/>
      </c>
      <c r="S163" s="141">
        <f>S43*S$22</f>
        <v/>
      </c>
      <c r="T163" s="141">
        <f>T43*T$22</f>
        <v/>
      </c>
      <c r="U163" s="141">
        <f>U43*U$22</f>
        <v/>
      </c>
    </row>
    <row r="164">
      <c r="B164" s="141">
        <f>B44*B$22</f>
        <v/>
      </c>
      <c r="C164" s="141">
        <f>C44*C$22</f>
        <v/>
      </c>
      <c r="D164" s="141">
        <f>D44*D$22</f>
        <v/>
      </c>
      <c r="E164" s="141">
        <f>E44*E$22</f>
        <v/>
      </c>
      <c r="F164" s="141">
        <f>F44*F$22</f>
        <v/>
      </c>
      <c r="G164" s="141">
        <f>G44*G$22</f>
        <v/>
      </c>
      <c r="H164" s="141">
        <f>H44*H$22</f>
        <v/>
      </c>
      <c r="I164" s="141">
        <f>I44*I$22</f>
        <v/>
      </c>
      <c r="J164" s="141">
        <f>J44*J$22</f>
        <v/>
      </c>
      <c r="K164" s="141">
        <f>K44*K$22</f>
        <v/>
      </c>
      <c r="L164" s="141">
        <f>L44*L$22</f>
        <v/>
      </c>
      <c r="M164" s="141">
        <f>M44*M$22</f>
        <v/>
      </c>
      <c r="N164" s="141">
        <f>N44*N$22</f>
        <v/>
      </c>
      <c r="O164" s="141">
        <f>O44*O$22</f>
        <v/>
      </c>
      <c r="P164" s="141">
        <f>P44*P$22</f>
        <v/>
      </c>
      <c r="Q164" s="141">
        <f>Q44*Q$22</f>
        <v/>
      </c>
      <c r="R164" s="141">
        <f>R44*R$22</f>
        <v/>
      </c>
      <c r="S164" s="141">
        <f>S44*S$22</f>
        <v/>
      </c>
      <c r="T164" s="141">
        <f>T44*T$22</f>
        <v/>
      </c>
      <c r="U164" s="141">
        <f>U44*U$22</f>
        <v/>
      </c>
    </row>
    <row r="165">
      <c r="B165" s="141">
        <f>B45*B$22</f>
        <v/>
      </c>
      <c r="C165" s="141">
        <f>C45*C$22</f>
        <v/>
      </c>
      <c r="D165" s="141">
        <f>D45*D$22</f>
        <v/>
      </c>
      <c r="E165" s="141">
        <f>E45*E$22</f>
        <v/>
      </c>
      <c r="F165" s="141">
        <f>F45*F$22</f>
        <v/>
      </c>
      <c r="G165" s="141">
        <f>G45*G$22</f>
        <v/>
      </c>
      <c r="H165" s="141">
        <f>H45*H$22</f>
        <v/>
      </c>
      <c r="I165" s="141">
        <f>I45*I$22</f>
        <v/>
      </c>
      <c r="J165" s="141">
        <f>J45*J$22</f>
        <v/>
      </c>
      <c r="K165" s="141">
        <f>K45*K$22</f>
        <v/>
      </c>
      <c r="L165" s="141">
        <f>L45*L$22</f>
        <v/>
      </c>
      <c r="M165" s="141">
        <f>M45*M$22</f>
        <v/>
      </c>
      <c r="N165" s="141">
        <f>N45*N$22</f>
        <v/>
      </c>
      <c r="O165" s="141">
        <f>O45*O$22</f>
        <v/>
      </c>
      <c r="P165" s="141">
        <f>P45*P$22</f>
        <v/>
      </c>
      <c r="Q165" s="141">
        <f>Q45*Q$22</f>
        <v/>
      </c>
      <c r="R165" s="141">
        <f>R45*R$22</f>
        <v/>
      </c>
      <c r="S165" s="141">
        <f>S45*S$22</f>
        <v/>
      </c>
      <c r="T165" s="141">
        <f>T45*T$22</f>
        <v/>
      </c>
      <c r="U165" s="141">
        <f>U45*U$22</f>
        <v/>
      </c>
    </row>
    <row r="166">
      <c r="B166" s="141">
        <f>B46*B$22</f>
        <v/>
      </c>
      <c r="C166" s="141">
        <f>C46*C$22</f>
        <v/>
      </c>
      <c r="D166" s="141">
        <f>D46*D$22</f>
        <v/>
      </c>
      <c r="E166" s="141">
        <f>E46*E$22</f>
        <v/>
      </c>
      <c r="F166" s="141">
        <f>F46*F$22</f>
        <v/>
      </c>
      <c r="G166" s="141">
        <f>G46*G$22</f>
        <v/>
      </c>
      <c r="H166" s="141">
        <f>H46*H$22</f>
        <v/>
      </c>
      <c r="I166" s="141">
        <f>I46*I$22</f>
        <v/>
      </c>
      <c r="J166" s="141">
        <f>J46*J$22</f>
        <v/>
      </c>
      <c r="K166" s="141">
        <f>K46*K$22</f>
        <v/>
      </c>
      <c r="L166" s="141">
        <f>L46*L$22</f>
        <v/>
      </c>
      <c r="M166" s="141">
        <f>M46*M$22</f>
        <v/>
      </c>
      <c r="N166" s="141">
        <f>N46*N$22</f>
        <v/>
      </c>
      <c r="O166" s="141">
        <f>O46*O$22</f>
        <v/>
      </c>
      <c r="P166" s="141">
        <f>P46*P$22</f>
        <v/>
      </c>
      <c r="Q166" s="141">
        <f>Q46*Q$22</f>
        <v/>
      </c>
      <c r="R166" s="141">
        <f>R46*R$22</f>
        <v/>
      </c>
      <c r="S166" s="141">
        <f>S46*S$22</f>
        <v/>
      </c>
      <c r="T166" s="141">
        <f>T46*T$22</f>
        <v/>
      </c>
      <c r="U166" s="141">
        <f>U46*U$22</f>
        <v/>
      </c>
    </row>
    <row r="167">
      <c r="B167" s="141">
        <f>B47*B$22</f>
        <v/>
      </c>
      <c r="C167" s="141">
        <f>C47*C$22</f>
        <v/>
      </c>
      <c r="D167" s="141">
        <f>D47*D$22</f>
        <v/>
      </c>
      <c r="E167" s="141">
        <f>E47*E$22</f>
        <v/>
      </c>
      <c r="F167" s="141">
        <f>F47*F$22</f>
        <v/>
      </c>
      <c r="G167" s="141">
        <f>G47*G$22</f>
        <v/>
      </c>
      <c r="H167" s="141">
        <f>H47*H$22</f>
        <v/>
      </c>
      <c r="I167" s="141">
        <f>I47*I$22</f>
        <v/>
      </c>
      <c r="J167" s="141">
        <f>J47*J$22</f>
        <v/>
      </c>
      <c r="K167" s="141">
        <f>K47*K$22</f>
        <v/>
      </c>
      <c r="L167" s="141">
        <f>L47*L$22</f>
        <v/>
      </c>
      <c r="M167" s="141">
        <f>M47*M$22</f>
        <v/>
      </c>
      <c r="N167" s="141">
        <f>N47*N$22</f>
        <v/>
      </c>
      <c r="O167" s="141">
        <f>O47*O$22</f>
        <v/>
      </c>
      <c r="P167" s="141">
        <f>P47*P$22</f>
        <v/>
      </c>
      <c r="Q167" s="141">
        <f>Q47*Q$22</f>
        <v/>
      </c>
      <c r="R167" s="141">
        <f>R47*R$22</f>
        <v/>
      </c>
      <c r="S167" s="141">
        <f>S47*S$22</f>
        <v/>
      </c>
      <c r="T167" s="141">
        <f>T47*T$22</f>
        <v/>
      </c>
      <c r="U167" s="141">
        <f>U47*U$22</f>
        <v/>
      </c>
    </row>
    <row r="168">
      <c r="B168" s="141">
        <f>B48*B$22</f>
        <v/>
      </c>
      <c r="C168" s="141">
        <f>C48*C$22</f>
        <v/>
      </c>
      <c r="D168" s="141">
        <f>D48*D$22</f>
        <v/>
      </c>
      <c r="E168" s="141">
        <f>E48*E$22</f>
        <v/>
      </c>
      <c r="F168" s="141">
        <f>F48*F$22</f>
        <v/>
      </c>
      <c r="G168" s="141">
        <f>G48*G$22</f>
        <v/>
      </c>
      <c r="H168" s="141">
        <f>H48*H$22</f>
        <v/>
      </c>
      <c r="I168" s="141">
        <f>I48*I$22</f>
        <v/>
      </c>
      <c r="J168" s="141">
        <f>J48*J$22</f>
        <v/>
      </c>
      <c r="K168" s="141">
        <f>K48*K$22</f>
        <v/>
      </c>
      <c r="L168" s="141">
        <f>L48*L$22</f>
        <v/>
      </c>
      <c r="M168" s="141">
        <f>M48*M$22</f>
        <v/>
      </c>
      <c r="N168" s="141">
        <f>N48*N$22</f>
        <v/>
      </c>
      <c r="O168" s="141">
        <f>O48*O$22</f>
        <v/>
      </c>
      <c r="P168" s="141">
        <f>P48*P$22</f>
        <v/>
      </c>
      <c r="Q168" s="141">
        <f>Q48*Q$22</f>
        <v/>
      </c>
      <c r="R168" s="141">
        <f>R48*R$22</f>
        <v/>
      </c>
      <c r="S168" s="141">
        <f>S48*S$22</f>
        <v/>
      </c>
      <c r="T168" s="141">
        <f>T48*T$22</f>
        <v/>
      </c>
      <c r="U168" s="141">
        <f>U48*U$22</f>
        <v/>
      </c>
    </row>
    <row r="174">
      <c r="B174" s="141">
        <f>B54*B$22</f>
        <v/>
      </c>
      <c r="C174" s="141">
        <f>C54*C$22</f>
        <v/>
      </c>
      <c r="D174" s="141">
        <f>D54*D$22</f>
        <v/>
      </c>
      <c r="E174" s="141">
        <f>E54*E$22</f>
        <v/>
      </c>
      <c r="F174" s="141">
        <f>F54*F$22</f>
        <v/>
      </c>
      <c r="G174" s="141">
        <f>G54*G$22</f>
        <v/>
      </c>
      <c r="H174" s="141">
        <f>H54*H$22</f>
        <v/>
      </c>
      <c r="I174" s="141">
        <f>I54*I$22</f>
        <v/>
      </c>
      <c r="J174" s="141">
        <f>J54*J$22</f>
        <v/>
      </c>
      <c r="K174" s="141">
        <f>K54*K$22</f>
        <v/>
      </c>
      <c r="L174" s="141">
        <f>L54*L$22</f>
        <v/>
      </c>
      <c r="M174" s="141">
        <f>M54*M$22</f>
        <v/>
      </c>
      <c r="N174" s="141">
        <f>N54*N$22</f>
        <v/>
      </c>
      <c r="O174" s="141">
        <f>O54*O$22</f>
        <v/>
      </c>
      <c r="P174" s="141">
        <f>P54*P$22</f>
        <v/>
      </c>
      <c r="Q174" s="141">
        <f>Q54*Q$22</f>
        <v/>
      </c>
      <c r="R174" s="141">
        <f>R54*R$22</f>
        <v/>
      </c>
      <c r="S174" s="141">
        <f>S54*S$22</f>
        <v/>
      </c>
      <c r="T174" s="141">
        <f>T54*T$22</f>
        <v/>
      </c>
      <c r="U174" s="141">
        <f>U54*U$22</f>
        <v/>
      </c>
    </row>
    <row r="175">
      <c r="B175" s="141">
        <f>B55*B$22</f>
        <v/>
      </c>
      <c r="C175" s="141">
        <f>C55*C$22</f>
        <v/>
      </c>
      <c r="D175" s="141">
        <f>D55*D$22</f>
        <v/>
      </c>
      <c r="E175" s="141">
        <f>E55*E$22</f>
        <v/>
      </c>
      <c r="F175" s="141">
        <f>F55*F$22</f>
        <v/>
      </c>
      <c r="G175" s="141">
        <f>G55*G$22</f>
        <v/>
      </c>
      <c r="H175" s="141">
        <f>H55*H$22</f>
        <v/>
      </c>
      <c r="I175" s="141">
        <f>I55*I$22</f>
        <v/>
      </c>
      <c r="J175" s="141">
        <f>J55*J$22</f>
        <v/>
      </c>
      <c r="K175" s="141">
        <f>K55*K$22</f>
        <v/>
      </c>
      <c r="L175" s="141">
        <f>L55*L$22</f>
        <v/>
      </c>
      <c r="M175" s="141">
        <f>M55*M$22</f>
        <v/>
      </c>
      <c r="N175" s="141">
        <f>N55*N$22</f>
        <v/>
      </c>
      <c r="O175" s="141">
        <f>O55*O$22</f>
        <v/>
      </c>
      <c r="P175" s="141">
        <f>P55*P$22</f>
        <v/>
      </c>
      <c r="Q175" s="141">
        <f>Q55*Q$22</f>
        <v/>
      </c>
      <c r="R175" s="141">
        <f>R55*R$22</f>
        <v/>
      </c>
      <c r="S175" s="141">
        <f>S55*S$22</f>
        <v/>
      </c>
      <c r="T175" s="141">
        <f>T55*T$22</f>
        <v/>
      </c>
      <c r="U175" s="141">
        <f>U55*U$22</f>
        <v/>
      </c>
    </row>
    <row r="176">
      <c r="B176" s="141">
        <f>B56*B$22</f>
        <v/>
      </c>
      <c r="C176" s="141">
        <f>C56*C$22</f>
        <v/>
      </c>
      <c r="D176" s="141">
        <f>D56*D$22</f>
        <v/>
      </c>
      <c r="E176" s="141">
        <f>E56*E$22</f>
        <v/>
      </c>
      <c r="F176" s="141">
        <f>F56*F$22</f>
        <v/>
      </c>
      <c r="G176" s="141">
        <f>G56*G$22</f>
        <v/>
      </c>
      <c r="H176" s="141">
        <f>H56*H$22</f>
        <v/>
      </c>
      <c r="I176" s="141">
        <f>I56*I$22</f>
        <v/>
      </c>
      <c r="J176" s="141">
        <f>J56*J$22</f>
        <v/>
      </c>
      <c r="K176" s="141">
        <f>K56*K$22</f>
        <v/>
      </c>
      <c r="L176" s="141">
        <f>L56*L$22</f>
        <v/>
      </c>
      <c r="M176" s="141">
        <f>M56*M$22</f>
        <v/>
      </c>
      <c r="N176" s="141">
        <f>N56*N$22</f>
        <v/>
      </c>
      <c r="O176" s="141">
        <f>O56*O$22</f>
        <v/>
      </c>
      <c r="P176" s="141">
        <f>P56*P$22</f>
        <v/>
      </c>
      <c r="Q176" s="141">
        <f>Q56*Q$22</f>
        <v/>
      </c>
      <c r="R176" s="141">
        <f>R56*R$22</f>
        <v/>
      </c>
      <c r="S176" s="141">
        <f>S56*S$22</f>
        <v/>
      </c>
      <c r="T176" s="141">
        <f>T56*T$22</f>
        <v/>
      </c>
      <c r="U176" s="141">
        <f>U56*U$22</f>
        <v/>
      </c>
    </row>
    <row r="177">
      <c r="B177" s="141">
        <f>B57*B$22</f>
        <v/>
      </c>
      <c r="C177" s="141">
        <f>C57*C$22</f>
        <v/>
      </c>
      <c r="D177" s="141">
        <f>D57*D$22</f>
        <v/>
      </c>
      <c r="E177" s="141">
        <f>E57*E$22</f>
        <v/>
      </c>
      <c r="F177" s="141">
        <f>F57*F$22</f>
        <v/>
      </c>
      <c r="G177" s="141">
        <f>G57*G$22</f>
        <v/>
      </c>
      <c r="H177" s="141">
        <f>H57*H$22</f>
        <v/>
      </c>
      <c r="I177" s="141">
        <f>I57*I$22</f>
        <v/>
      </c>
      <c r="J177" s="141">
        <f>J57*J$22</f>
        <v/>
      </c>
      <c r="K177" s="141">
        <f>K57*K$22</f>
        <v/>
      </c>
      <c r="L177" s="141">
        <f>L57*L$22</f>
        <v/>
      </c>
      <c r="M177" s="141">
        <f>M57*M$22</f>
        <v/>
      </c>
      <c r="N177" s="141">
        <f>N57*N$22</f>
        <v/>
      </c>
      <c r="O177" s="141">
        <f>O57*O$22</f>
        <v/>
      </c>
      <c r="P177" s="141">
        <f>P57*P$22</f>
        <v/>
      </c>
      <c r="Q177" s="141">
        <f>Q57*Q$22</f>
        <v/>
      </c>
      <c r="R177" s="141">
        <f>R57*R$22</f>
        <v/>
      </c>
      <c r="S177" s="141">
        <f>S57*S$22</f>
        <v/>
      </c>
      <c r="T177" s="141">
        <f>T57*T$22</f>
        <v/>
      </c>
      <c r="U177" s="141">
        <f>U57*U$22</f>
        <v/>
      </c>
    </row>
    <row r="178">
      <c r="B178" s="141">
        <f>B58*B$22</f>
        <v/>
      </c>
      <c r="C178" s="141">
        <f>C58*C$22</f>
        <v/>
      </c>
      <c r="D178" s="141">
        <f>D58*D$22</f>
        <v/>
      </c>
      <c r="E178" s="141">
        <f>E58*E$22</f>
        <v/>
      </c>
      <c r="F178" s="141">
        <f>F58*F$22</f>
        <v/>
      </c>
      <c r="G178" s="141">
        <f>G58*G$22</f>
        <v/>
      </c>
      <c r="H178" s="141">
        <f>H58*H$22</f>
        <v/>
      </c>
      <c r="I178" s="141">
        <f>I58*I$22</f>
        <v/>
      </c>
      <c r="J178" s="141">
        <f>J58*J$22</f>
        <v/>
      </c>
      <c r="K178" s="141">
        <f>K58*K$22</f>
        <v/>
      </c>
      <c r="L178" s="141">
        <f>L58*L$22</f>
        <v/>
      </c>
      <c r="M178" s="141">
        <f>M58*M$22</f>
        <v/>
      </c>
      <c r="N178" s="141">
        <f>N58*N$22</f>
        <v/>
      </c>
      <c r="O178" s="141">
        <f>O58*O$22</f>
        <v/>
      </c>
      <c r="P178" s="141">
        <f>P58*P$22</f>
        <v/>
      </c>
      <c r="Q178" s="141">
        <f>Q58*Q$22</f>
        <v/>
      </c>
      <c r="R178" s="141">
        <f>R58*R$22</f>
        <v/>
      </c>
      <c r="S178" s="141">
        <f>S58*S$22</f>
        <v/>
      </c>
      <c r="T178" s="141">
        <f>T58*T$22</f>
        <v/>
      </c>
      <c r="U178" s="141">
        <f>U58*U$22</f>
        <v/>
      </c>
    </row>
    <row r="179">
      <c r="B179" s="141">
        <f>B59*B$22</f>
        <v/>
      </c>
      <c r="C179" s="141">
        <f>C59*C$22</f>
        <v/>
      </c>
      <c r="D179" s="141">
        <f>D59*D$22</f>
        <v/>
      </c>
      <c r="E179" s="141">
        <f>E59*E$22</f>
        <v/>
      </c>
      <c r="F179" s="141">
        <f>F59*F$22</f>
        <v/>
      </c>
      <c r="G179" s="141">
        <f>G59*G$22</f>
        <v/>
      </c>
      <c r="H179" s="141">
        <f>H59*H$22</f>
        <v/>
      </c>
      <c r="I179" s="141">
        <f>I59*I$22</f>
        <v/>
      </c>
      <c r="J179" s="141">
        <f>J59*J$22</f>
        <v/>
      </c>
      <c r="K179" s="141">
        <f>K59*K$22</f>
        <v/>
      </c>
      <c r="L179" s="141">
        <f>L59*L$22</f>
        <v/>
      </c>
      <c r="M179" s="141">
        <f>M59*M$22</f>
        <v/>
      </c>
      <c r="N179" s="141">
        <f>N59*N$22</f>
        <v/>
      </c>
      <c r="O179" s="141">
        <f>O59*O$22</f>
        <v/>
      </c>
      <c r="P179" s="141">
        <f>P59*P$22</f>
        <v/>
      </c>
      <c r="Q179" s="141">
        <f>Q59*Q$22</f>
        <v/>
      </c>
      <c r="R179" s="141">
        <f>R59*R$22</f>
        <v/>
      </c>
      <c r="S179" s="141">
        <f>S59*S$22</f>
        <v/>
      </c>
      <c r="T179" s="141">
        <f>T59*T$22</f>
        <v/>
      </c>
      <c r="U179" s="141">
        <f>U59*U$22</f>
        <v/>
      </c>
    </row>
    <row r="180">
      <c r="B180" s="141">
        <f>B60*B$22</f>
        <v/>
      </c>
      <c r="C180" s="141">
        <f>C60*C$22</f>
        <v/>
      </c>
      <c r="D180" s="141">
        <f>D60*D$22</f>
        <v/>
      </c>
      <c r="E180" s="141">
        <f>E60*E$22</f>
        <v/>
      </c>
      <c r="F180" s="141">
        <f>F60*F$22</f>
        <v/>
      </c>
      <c r="G180" s="141">
        <f>G60*G$22</f>
        <v/>
      </c>
      <c r="H180" s="141">
        <f>H60*H$22</f>
        <v/>
      </c>
      <c r="I180" s="141">
        <f>I60*I$22</f>
        <v/>
      </c>
      <c r="J180" s="141">
        <f>J60*J$22</f>
        <v/>
      </c>
      <c r="K180" s="141">
        <f>K60*K$22</f>
        <v/>
      </c>
      <c r="L180" s="141">
        <f>L60*L$22</f>
        <v/>
      </c>
      <c r="M180" s="141">
        <f>M60*M$22</f>
        <v/>
      </c>
      <c r="N180" s="141">
        <f>N60*N$22</f>
        <v/>
      </c>
      <c r="O180" s="141">
        <f>O60*O$22</f>
        <v/>
      </c>
      <c r="P180" s="141">
        <f>P60*P$22</f>
        <v/>
      </c>
      <c r="Q180" s="141">
        <f>Q60*Q$22</f>
        <v/>
      </c>
      <c r="R180" s="141">
        <f>R60*R$22</f>
        <v/>
      </c>
      <c r="S180" s="141">
        <f>S60*S$22</f>
        <v/>
      </c>
      <c r="T180" s="141">
        <f>T60*T$22</f>
        <v/>
      </c>
      <c r="U180" s="141">
        <f>U60*U$22</f>
        <v/>
      </c>
    </row>
    <row r="181">
      <c r="B181" s="141">
        <f>B61*B$22</f>
        <v/>
      </c>
      <c r="C181" s="141">
        <f>C61*C$22</f>
        <v/>
      </c>
      <c r="D181" s="141">
        <f>D61*D$22</f>
        <v/>
      </c>
      <c r="E181" s="141">
        <f>E61*E$22</f>
        <v/>
      </c>
      <c r="F181" s="141">
        <f>F61*F$22</f>
        <v/>
      </c>
      <c r="G181" s="141">
        <f>G61*G$22</f>
        <v/>
      </c>
      <c r="H181" s="141">
        <f>H61*H$22</f>
        <v/>
      </c>
      <c r="I181" s="141">
        <f>I61*I$22</f>
        <v/>
      </c>
      <c r="J181" s="141">
        <f>J61*J$22</f>
        <v/>
      </c>
      <c r="K181" s="141">
        <f>K61*K$22</f>
        <v/>
      </c>
      <c r="L181" s="141">
        <f>L61*L$22</f>
        <v/>
      </c>
      <c r="M181" s="141">
        <f>M61*M$22</f>
        <v/>
      </c>
      <c r="N181" s="141">
        <f>N61*N$22</f>
        <v/>
      </c>
      <c r="O181" s="141">
        <f>O61*O$22</f>
        <v/>
      </c>
      <c r="P181" s="141">
        <f>P61*P$22</f>
        <v/>
      </c>
      <c r="Q181" s="141">
        <f>Q61*Q$22</f>
        <v/>
      </c>
      <c r="R181" s="141">
        <f>R61*R$22</f>
        <v/>
      </c>
      <c r="S181" s="141">
        <f>S61*S$22</f>
        <v/>
      </c>
      <c r="T181" s="141">
        <f>T61*T$22</f>
        <v/>
      </c>
      <c r="U181" s="141">
        <f>U61*U$22</f>
        <v/>
      </c>
    </row>
    <row r="182">
      <c r="B182" s="141">
        <f>B62*B$22</f>
        <v/>
      </c>
      <c r="C182" s="141">
        <f>C62*C$22</f>
        <v/>
      </c>
      <c r="D182" s="141">
        <f>D62*D$22</f>
        <v/>
      </c>
      <c r="E182" s="141">
        <f>E62*E$22</f>
        <v/>
      </c>
      <c r="F182" s="141">
        <f>F62*F$22</f>
        <v/>
      </c>
      <c r="G182" s="141">
        <f>G62*G$22</f>
        <v/>
      </c>
      <c r="H182" s="141">
        <f>H62*H$22</f>
        <v/>
      </c>
      <c r="I182" s="141">
        <f>I62*I$22</f>
        <v/>
      </c>
      <c r="J182" s="141">
        <f>J62*J$22</f>
        <v/>
      </c>
      <c r="K182" s="141">
        <f>K62*K$22</f>
        <v/>
      </c>
      <c r="L182" s="141">
        <f>L62*L$22</f>
        <v/>
      </c>
      <c r="M182" s="141">
        <f>M62*M$22</f>
        <v/>
      </c>
      <c r="N182" s="141">
        <f>N62*N$22</f>
        <v/>
      </c>
      <c r="O182" s="141">
        <f>O62*O$22</f>
        <v/>
      </c>
      <c r="P182" s="141">
        <f>P62*P$22</f>
        <v/>
      </c>
      <c r="Q182" s="141">
        <f>Q62*Q$22</f>
        <v/>
      </c>
      <c r="R182" s="141">
        <f>R62*R$22</f>
        <v/>
      </c>
      <c r="S182" s="141">
        <f>S62*S$22</f>
        <v/>
      </c>
      <c r="T182" s="141">
        <f>T62*T$22</f>
        <v/>
      </c>
      <c r="U182" s="141">
        <f>U62*U$22</f>
        <v/>
      </c>
    </row>
    <row r="183">
      <c r="B183" s="141">
        <f>B63*B$22</f>
        <v/>
      </c>
      <c r="C183" s="141">
        <f>C63*C$22</f>
        <v/>
      </c>
      <c r="D183" s="141">
        <f>D63*D$22</f>
        <v/>
      </c>
      <c r="E183" s="141">
        <f>E63*E$22</f>
        <v/>
      </c>
      <c r="F183" s="141">
        <f>F63*F$22</f>
        <v/>
      </c>
      <c r="G183" s="141">
        <f>G63*G$22</f>
        <v/>
      </c>
      <c r="H183" s="141">
        <f>H63*H$22</f>
        <v/>
      </c>
      <c r="I183" s="141">
        <f>I63*I$22</f>
        <v/>
      </c>
      <c r="J183" s="141">
        <f>J63*J$22</f>
        <v/>
      </c>
      <c r="K183" s="141">
        <f>K63*K$22</f>
        <v/>
      </c>
      <c r="L183" s="141">
        <f>L63*L$22</f>
        <v/>
      </c>
      <c r="M183" s="141">
        <f>M63*M$22</f>
        <v/>
      </c>
      <c r="N183" s="141">
        <f>N63*N$22</f>
        <v/>
      </c>
      <c r="O183" s="141">
        <f>O63*O$22</f>
        <v/>
      </c>
      <c r="P183" s="141">
        <f>P63*P$22</f>
        <v/>
      </c>
      <c r="Q183" s="141">
        <f>Q63*Q$22</f>
        <v/>
      </c>
      <c r="R183" s="141">
        <f>R63*R$22</f>
        <v/>
      </c>
      <c r="S183" s="141">
        <f>S63*S$22</f>
        <v/>
      </c>
      <c r="T183" s="141">
        <f>T63*T$22</f>
        <v/>
      </c>
      <c r="U183" s="141">
        <f>U63*U$22</f>
        <v/>
      </c>
    </row>
    <row r="184">
      <c r="B184" s="141">
        <f>B64*B$22</f>
        <v/>
      </c>
      <c r="C184" s="141">
        <f>C64*C$22</f>
        <v/>
      </c>
      <c r="D184" s="141">
        <f>D64*D$22</f>
        <v/>
      </c>
      <c r="E184" s="141">
        <f>E64*E$22</f>
        <v/>
      </c>
      <c r="F184" s="141">
        <f>F64*F$22</f>
        <v/>
      </c>
      <c r="G184" s="141">
        <f>G64*G$22</f>
        <v/>
      </c>
      <c r="H184" s="141">
        <f>H64*H$22</f>
        <v/>
      </c>
      <c r="I184" s="141">
        <f>I64*I$22</f>
        <v/>
      </c>
      <c r="J184" s="141">
        <f>J64*J$22</f>
        <v/>
      </c>
      <c r="K184" s="141">
        <f>K64*K$22</f>
        <v/>
      </c>
      <c r="L184" s="141">
        <f>L64*L$22</f>
        <v/>
      </c>
      <c r="M184" s="141">
        <f>M64*M$22</f>
        <v/>
      </c>
      <c r="N184" s="141">
        <f>N64*N$22</f>
        <v/>
      </c>
      <c r="O184" s="141">
        <f>O64*O$22</f>
        <v/>
      </c>
      <c r="P184" s="141">
        <f>P64*P$22</f>
        <v/>
      </c>
      <c r="Q184" s="141">
        <f>Q64*Q$22</f>
        <v/>
      </c>
      <c r="R184" s="141">
        <f>R64*R$22</f>
        <v/>
      </c>
      <c r="S184" s="141">
        <f>S64*S$22</f>
        <v/>
      </c>
      <c r="T184" s="141">
        <f>T64*T$22</f>
        <v/>
      </c>
      <c r="U184" s="141">
        <f>U64*U$22</f>
        <v/>
      </c>
    </row>
    <row r="185">
      <c r="B185" s="141">
        <f>B65*B$22</f>
        <v/>
      </c>
      <c r="C185" s="141">
        <f>C65*C$22</f>
        <v/>
      </c>
      <c r="D185" s="141">
        <f>D65*D$22</f>
        <v/>
      </c>
      <c r="E185" s="141">
        <f>E65*E$22</f>
        <v/>
      </c>
      <c r="F185" s="141">
        <f>F65*F$22</f>
        <v/>
      </c>
      <c r="G185" s="141">
        <f>G65*G$22</f>
        <v/>
      </c>
      <c r="H185" s="141">
        <f>H65*H$22</f>
        <v/>
      </c>
      <c r="I185" s="141">
        <f>I65*I$22</f>
        <v/>
      </c>
      <c r="J185" s="141">
        <f>J65*J$22</f>
        <v/>
      </c>
      <c r="K185" s="141">
        <f>K65*K$22</f>
        <v/>
      </c>
      <c r="L185" s="141">
        <f>L65*L$22</f>
        <v/>
      </c>
      <c r="M185" s="141">
        <f>M65*M$22</f>
        <v/>
      </c>
      <c r="N185" s="141">
        <f>N65*N$22</f>
        <v/>
      </c>
      <c r="O185" s="141">
        <f>O65*O$22</f>
        <v/>
      </c>
      <c r="P185" s="141">
        <f>P65*P$22</f>
        <v/>
      </c>
      <c r="Q185" s="141">
        <f>Q65*Q$22</f>
        <v/>
      </c>
      <c r="R185" s="141">
        <f>R65*R$22</f>
        <v/>
      </c>
      <c r="S185" s="141">
        <f>S65*S$22</f>
        <v/>
      </c>
      <c r="T185" s="141">
        <f>T65*T$22</f>
        <v/>
      </c>
      <c r="U185" s="141">
        <f>U65*U$22</f>
        <v/>
      </c>
    </row>
    <row r="186">
      <c r="B186" s="141">
        <f>B66*B$22</f>
        <v/>
      </c>
      <c r="C186" s="141">
        <f>C66*C$22</f>
        <v/>
      </c>
      <c r="D186" s="141">
        <f>D66*D$22</f>
        <v/>
      </c>
      <c r="E186" s="141">
        <f>E66*E$22</f>
        <v/>
      </c>
      <c r="F186" s="141">
        <f>F66*F$22</f>
        <v/>
      </c>
      <c r="G186" s="141">
        <f>G66*G$22</f>
        <v/>
      </c>
      <c r="H186" s="141">
        <f>H66*H$22</f>
        <v/>
      </c>
      <c r="I186" s="141">
        <f>I66*I$22</f>
        <v/>
      </c>
      <c r="J186" s="141">
        <f>J66*J$22</f>
        <v/>
      </c>
      <c r="K186" s="141">
        <f>K66*K$22</f>
        <v/>
      </c>
      <c r="L186" s="141">
        <f>L66*L$22</f>
        <v/>
      </c>
      <c r="M186" s="141">
        <f>M66*M$22</f>
        <v/>
      </c>
      <c r="N186" s="141">
        <f>N66*N$22</f>
        <v/>
      </c>
      <c r="O186" s="141">
        <f>O66*O$22</f>
        <v/>
      </c>
      <c r="P186" s="141">
        <f>P66*P$22</f>
        <v/>
      </c>
      <c r="Q186" s="141">
        <f>Q66*Q$22</f>
        <v/>
      </c>
      <c r="R186" s="141">
        <f>R66*R$22</f>
        <v/>
      </c>
      <c r="S186" s="141">
        <f>S66*S$22</f>
        <v/>
      </c>
      <c r="T186" s="141">
        <f>T66*T$22</f>
        <v/>
      </c>
      <c r="U186" s="141">
        <f>U66*U$22</f>
        <v/>
      </c>
    </row>
    <row r="187">
      <c r="B187" s="141">
        <f>B67*B$22</f>
        <v/>
      </c>
      <c r="C187" s="141">
        <f>C67*C$22</f>
        <v/>
      </c>
      <c r="D187" s="141">
        <f>D67*D$22</f>
        <v/>
      </c>
      <c r="E187" s="141">
        <f>E67*E$22</f>
        <v/>
      </c>
      <c r="F187" s="141">
        <f>F67*F$22</f>
        <v/>
      </c>
      <c r="G187" s="141">
        <f>G67*G$22</f>
        <v/>
      </c>
      <c r="H187" s="141">
        <f>H67*H$22</f>
        <v/>
      </c>
      <c r="I187" s="141">
        <f>I67*I$22</f>
        <v/>
      </c>
      <c r="J187" s="141">
        <f>J67*J$22</f>
        <v/>
      </c>
      <c r="K187" s="141">
        <f>K67*K$22</f>
        <v/>
      </c>
      <c r="L187" s="141">
        <f>L67*L$22</f>
        <v/>
      </c>
      <c r="M187" s="141">
        <f>M67*M$22</f>
        <v/>
      </c>
      <c r="N187" s="141">
        <f>N67*N$22</f>
        <v/>
      </c>
      <c r="O187" s="141">
        <f>O67*O$22</f>
        <v/>
      </c>
      <c r="P187" s="141">
        <f>P67*P$22</f>
        <v/>
      </c>
      <c r="Q187" s="141">
        <f>Q67*Q$22</f>
        <v/>
      </c>
      <c r="R187" s="141">
        <f>R67*R$22</f>
        <v/>
      </c>
      <c r="S187" s="141">
        <f>S67*S$22</f>
        <v/>
      </c>
      <c r="T187" s="141">
        <f>T67*T$22</f>
        <v/>
      </c>
      <c r="U187" s="141">
        <f>U67*U$22</f>
        <v/>
      </c>
    </row>
    <row r="188">
      <c r="B188" s="141">
        <f>B68*B$22</f>
        <v/>
      </c>
      <c r="C188" s="141">
        <f>C68*C$22</f>
        <v/>
      </c>
      <c r="D188" s="141">
        <f>D68*D$22</f>
        <v/>
      </c>
      <c r="E188" s="141">
        <f>E68*E$22</f>
        <v/>
      </c>
      <c r="F188" s="141">
        <f>F68*F$22</f>
        <v/>
      </c>
      <c r="G188" s="141">
        <f>G68*G$22</f>
        <v/>
      </c>
      <c r="H188" s="141">
        <f>H68*H$22</f>
        <v/>
      </c>
      <c r="I188" s="141">
        <f>I68*I$22</f>
        <v/>
      </c>
      <c r="J188" s="141">
        <f>J68*J$22</f>
        <v/>
      </c>
      <c r="K188" s="141">
        <f>K68*K$22</f>
        <v/>
      </c>
      <c r="L188" s="141">
        <f>L68*L$22</f>
        <v/>
      </c>
      <c r="M188" s="141">
        <f>M68*M$22</f>
        <v/>
      </c>
      <c r="N188" s="141">
        <f>N68*N$22</f>
        <v/>
      </c>
      <c r="O188" s="141">
        <f>O68*O$22</f>
        <v/>
      </c>
      <c r="P188" s="141">
        <f>P68*P$22</f>
        <v/>
      </c>
      <c r="Q188" s="141">
        <f>Q68*Q$22</f>
        <v/>
      </c>
      <c r="R188" s="141">
        <f>R68*R$22</f>
        <v/>
      </c>
      <c r="S188" s="141">
        <f>S68*S$22</f>
        <v/>
      </c>
      <c r="T188" s="141">
        <f>T68*T$22</f>
        <v/>
      </c>
      <c r="U188" s="141">
        <f>U68*U$22</f>
        <v/>
      </c>
    </row>
    <row r="189">
      <c r="B189" s="141">
        <f>B69*B$22</f>
        <v/>
      </c>
      <c r="C189" s="141">
        <f>C69*C$22</f>
        <v/>
      </c>
      <c r="D189" s="141">
        <f>D69*D$22</f>
        <v/>
      </c>
      <c r="E189" s="141">
        <f>E69*E$22</f>
        <v/>
      </c>
      <c r="F189" s="141">
        <f>F69*F$22</f>
        <v/>
      </c>
      <c r="G189" s="141">
        <f>G69*G$22</f>
        <v/>
      </c>
      <c r="H189" s="141">
        <f>H69*H$22</f>
        <v/>
      </c>
      <c r="I189" s="141">
        <f>I69*I$22</f>
        <v/>
      </c>
      <c r="J189" s="141">
        <f>J69*J$22</f>
        <v/>
      </c>
      <c r="K189" s="141">
        <f>K69*K$22</f>
        <v/>
      </c>
      <c r="L189" s="141">
        <f>L69*L$22</f>
        <v/>
      </c>
      <c r="M189" s="141">
        <f>M69*M$22</f>
        <v/>
      </c>
      <c r="N189" s="141">
        <f>N69*N$22</f>
        <v/>
      </c>
      <c r="O189" s="141">
        <f>O69*O$22</f>
        <v/>
      </c>
      <c r="P189" s="141">
        <f>P69*P$22</f>
        <v/>
      </c>
      <c r="Q189" s="141">
        <f>Q69*Q$22</f>
        <v/>
      </c>
      <c r="R189" s="141">
        <f>R69*R$22</f>
        <v/>
      </c>
      <c r="S189" s="141">
        <f>S69*S$22</f>
        <v/>
      </c>
      <c r="T189" s="141">
        <f>T69*T$22</f>
        <v/>
      </c>
      <c r="U189" s="141">
        <f>U69*U$22</f>
        <v/>
      </c>
    </row>
    <row r="190">
      <c r="B190" s="141">
        <f>B70*B$22</f>
        <v/>
      </c>
      <c r="C190" s="141">
        <f>C70*C$22</f>
        <v/>
      </c>
      <c r="D190" s="141">
        <f>D70*D$22</f>
        <v/>
      </c>
      <c r="E190" s="141">
        <f>E70*E$22</f>
        <v/>
      </c>
      <c r="F190" s="141">
        <f>F70*F$22</f>
        <v/>
      </c>
      <c r="G190" s="141">
        <f>G70*G$22</f>
        <v/>
      </c>
      <c r="H190" s="141">
        <f>H70*H$22</f>
        <v/>
      </c>
      <c r="I190" s="141">
        <f>I70*I$22</f>
        <v/>
      </c>
      <c r="J190" s="141">
        <f>J70*J$22</f>
        <v/>
      </c>
      <c r="K190" s="141">
        <f>K70*K$22</f>
        <v/>
      </c>
      <c r="L190" s="141">
        <f>L70*L$22</f>
        <v/>
      </c>
      <c r="M190" s="141">
        <f>M70*M$22</f>
        <v/>
      </c>
      <c r="N190" s="141">
        <f>N70*N$22</f>
        <v/>
      </c>
      <c r="O190" s="141">
        <f>O70*O$22</f>
        <v/>
      </c>
      <c r="P190" s="141">
        <f>P70*P$22</f>
        <v/>
      </c>
      <c r="Q190" s="141">
        <f>Q70*Q$22</f>
        <v/>
      </c>
      <c r="R190" s="141">
        <f>R70*R$22</f>
        <v/>
      </c>
      <c r="S190" s="141">
        <f>S70*S$22</f>
        <v/>
      </c>
      <c r="T190" s="141">
        <f>T70*T$22</f>
        <v/>
      </c>
      <c r="U190" s="141">
        <f>U70*U$22</f>
        <v/>
      </c>
    </row>
    <row r="191">
      <c r="B191" s="141">
        <f>B71*B$22</f>
        <v/>
      </c>
      <c r="C191" s="141">
        <f>C71*C$22</f>
        <v/>
      </c>
      <c r="D191" s="141">
        <f>D71*D$22</f>
        <v/>
      </c>
      <c r="E191" s="141">
        <f>E71*E$22</f>
        <v/>
      </c>
      <c r="F191" s="141">
        <f>F71*F$22</f>
        <v/>
      </c>
      <c r="G191" s="141">
        <f>G71*G$22</f>
        <v/>
      </c>
      <c r="H191" s="141">
        <f>H71*H$22</f>
        <v/>
      </c>
      <c r="I191" s="141">
        <f>I71*I$22</f>
        <v/>
      </c>
      <c r="J191" s="141">
        <f>J71*J$22</f>
        <v/>
      </c>
      <c r="K191" s="141">
        <f>K71*K$22</f>
        <v/>
      </c>
      <c r="L191" s="141">
        <f>L71*L$22</f>
        <v/>
      </c>
      <c r="M191" s="141">
        <f>M71*M$22</f>
        <v/>
      </c>
      <c r="N191" s="141">
        <f>N71*N$22</f>
        <v/>
      </c>
      <c r="O191" s="141">
        <f>O71*O$22</f>
        <v/>
      </c>
      <c r="P191" s="141">
        <f>P71*P$22</f>
        <v/>
      </c>
      <c r="Q191" s="141">
        <f>Q71*Q$22</f>
        <v/>
      </c>
      <c r="R191" s="141">
        <f>R71*R$22</f>
        <v/>
      </c>
      <c r="S191" s="141">
        <f>S71*S$22</f>
        <v/>
      </c>
      <c r="T191" s="141">
        <f>T71*T$22</f>
        <v/>
      </c>
      <c r="U191" s="141">
        <f>U71*U$22</f>
        <v/>
      </c>
    </row>
    <row r="192">
      <c r="B192" s="141">
        <f>B72*B$22</f>
        <v/>
      </c>
      <c r="C192" s="141">
        <f>C72*C$22</f>
        <v/>
      </c>
      <c r="D192" s="141">
        <f>D72*D$22</f>
        <v/>
      </c>
      <c r="E192" s="141">
        <f>E72*E$22</f>
        <v/>
      </c>
      <c r="F192" s="141">
        <f>F72*F$22</f>
        <v/>
      </c>
      <c r="G192" s="141">
        <f>G72*G$22</f>
        <v/>
      </c>
      <c r="H192" s="141">
        <f>H72*H$22</f>
        <v/>
      </c>
      <c r="I192" s="141">
        <f>I72*I$22</f>
        <v/>
      </c>
      <c r="J192" s="141">
        <f>J72*J$22</f>
        <v/>
      </c>
      <c r="K192" s="141">
        <f>K72*K$22</f>
        <v/>
      </c>
      <c r="L192" s="141">
        <f>L72*L$22</f>
        <v/>
      </c>
      <c r="M192" s="141">
        <f>M72*M$22</f>
        <v/>
      </c>
      <c r="N192" s="141">
        <f>N72*N$22</f>
        <v/>
      </c>
      <c r="O192" s="141">
        <f>O72*O$22</f>
        <v/>
      </c>
      <c r="P192" s="141">
        <f>P72*P$22</f>
        <v/>
      </c>
      <c r="Q192" s="141">
        <f>Q72*Q$22</f>
        <v/>
      </c>
      <c r="R192" s="141">
        <f>R72*R$22</f>
        <v/>
      </c>
      <c r="S192" s="141">
        <f>S72*S$22</f>
        <v/>
      </c>
      <c r="T192" s="141">
        <f>T72*T$22</f>
        <v/>
      </c>
      <c r="U192" s="141">
        <f>U72*U$22</f>
        <v/>
      </c>
    </row>
    <row r="193">
      <c r="B193" s="141">
        <f>B73*B$22</f>
        <v/>
      </c>
      <c r="C193" s="141">
        <f>C73*C$22</f>
        <v/>
      </c>
      <c r="D193" s="141">
        <f>D73*D$22</f>
        <v/>
      </c>
      <c r="E193" s="141">
        <f>E73*E$22</f>
        <v/>
      </c>
      <c r="F193" s="141">
        <f>F73*F$22</f>
        <v/>
      </c>
      <c r="G193" s="141">
        <f>G73*G$22</f>
        <v/>
      </c>
      <c r="H193" s="141">
        <f>H73*H$22</f>
        <v/>
      </c>
      <c r="I193" s="141">
        <f>I73*I$22</f>
        <v/>
      </c>
      <c r="J193" s="141">
        <f>J73*J$22</f>
        <v/>
      </c>
      <c r="K193" s="141">
        <f>K73*K$22</f>
        <v/>
      </c>
      <c r="L193" s="141">
        <f>L73*L$22</f>
        <v/>
      </c>
      <c r="M193" s="141">
        <f>M73*M$22</f>
        <v/>
      </c>
      <c r="N193" s="141">
        <f>N73*N$22</f>
        <v/>
      </c>
      <c r="O193" s="141">
        <f>O73*O$22</f>
        <v/>
      </c>
      <c r="P193" s="141">
        <f>P73*P$22</f>
        <v/>
      </c>
      <c r="Q193" s="141">
        <f>Q73*Q$22</f>
        <v/>
      </c>
      <c r="R193" s="141">
        <f>R73*R$22</f>
        <v/>
      </c>
      <c r="S193" s="141">
        <f>S73*S$22</f>
        <v/>
      </c>
      <c r="T193" s="141">
        <f>T73*T$22</f>
        <v/>
      </c>
      <c r="U193" s="141">
        <f>U73*U$22</f>
        <v/>
      </c>
    </row>
    <row r="194">
      <c r="B194" s="141">
        <f>B74*B$22</f>
        <v/>
      </c>
      <c r="C194" s="141">
        <f>C74*C$22</f>
        <v/>
      </c>
      <c r="D194" s="141">
        <f>D74*D$22</f>
        <v/>
      </c>
      <c r="E194" s="141">
        <f>E74*E$22</f>
        <v/>
      </c>
      <c r="F194" s="141">
        <f>F74*F$22</f>
        <v/>
      </c>
      <c r="G194" s="141">
        <f>G74*G$22</f>
        <v/>
      </c>
      <c r="H194" s="141">
        <f>H74*H$22</f>
        <v/>
      </c>
      <c r="I194" s="141">
        <f>I74*I$22</f>
        <v/>
      </c>
      <c r="J194" s="141">
        <f>J74*J$22</f>
        <v/>
      </c>
      <c r="K194" s="141">
        <f>K74*K$22</f>
        <v/>
      </c>
      <c r="L194" s="141">
        <f>L74*L$22</f>
        <v/>
      </c>
      <c r="M194" s="141">
        <f>M74*M$22</f>
        <v/>
      </c>
      <c r="N194" s="141">
        <f>N74*N$22</f>
        <v/>
      </c>
      <c r="O194" s="141">
        <f>O74*O$22</f>
        <v/>
      </c>
      <c r="P194" s="141">
        <f>P74*P$22</f>
        <v/>
      </c>
      <c r="Q194" s="141">
        <f>Q74*Q$22</f>
        <v/>
      </c>
      <c r="R194" s="141">
        <f>R74*R$22</f>
        <v/>
      </c>
      <c r="S194" s="141">
        <f>S74*S$22</f>
        <v/>
      </c>
      <c r="T194" s="141">
        <f>T74*T$22</f>
        <v/>
      </c>
      <c r="U194" s="141">
        <f>U74*U$22</f>
        <v/>
      </c>
    </row>
    <row r="195">
      <c r="B195" s="141">
        <f>B75*B$22</f>
        <v/>
      </c>
      <c r="C195" s="141">
        <f>C75*C$22</f>
        <v/>
      </c>
      <c r="D195" s="141">
        <f>D75*D$22</f>
        <v/>
      </c>
      <c r="E195" s="141">
        <f>E75*E$22</f>
        <v/>
      </c>
      <c r="F195" s="141">
        <f>F75*F$22</f>
        <v/>
      </c>
      <c r="G195" s="141">
        <f>G75*G$22</f>
        <v/>
      </c>
      <c r="H195" s="141">
        <f>H75*H$22</f>
        <v/>
      </c>
      <c r="I195" s="141">
        <f>I75*I$22</f>
        <v/>
      </c>
      <c r="J195" s="141">
        <f>J75*J$22</f>
        <v/>
      </c>
      <c r="K195" s="141">
        <f>K75*K$22</f>
        <v/>
      </c>
      <c r="L195" s="141">
        <f>L75*L$22</f>
        <v/>
      </c>
      <c r="M195" s="141">
        <f>M75*M$22</f>
        <v/>
      </c>
      <c r="N195" s="141">
        <f>N75*N$22</f>
        <v/>
      </c>
      <c r="O195" s="141">
        <f>O75*O$22</f>
        <v/>
      </c>
      <c r="P195" s="141">
        <f>P75*P$22</f>
        <v/>
      </c>
      <c r="Q195" s="141">
        <f>Q75*Q$22</f>
        <v/>
      </c>
      <c r="R195" s="141">
        <f>R75*R$22</f>
        <v/>
      </c>
      <c r="S195" s="141">
        <f>S75*S$22</f>
        <v/>
      </c>
      <c r="T195" s="141">
        <f>T75*T$22</f>
        <v/>
      </c>
      <c r="U195" s="141">
        <f>U75*U$22</f>
        <v/>
      </c>
    </row>
    <row r="196">
      <c r="B196" s="141">
        <f>B76*B$22</f>
        <v/>
      </c>
      <c r="C196" s="141">
        <f>C76*C$22</f>
        <v/>
      </c>
      <c r="D196" s="141">
        <f>D76*D$22</f>
        <v/>
      </c>
      <c r="E196" s="141">
        <f>E76*E$22</f>
        <v/>
      </c>
      <c r="F196" s="141">
        <f>F76*F$22</f>
        <v/>
      </c>
      <c r="G196" s="141">
        <f>G76*G$22</f>
        <v/>
      </c>
      <c r="H196" s="141">
        <f>H76*H$22</f>
        <v/>
      </c>
      <c r="I196" s="141">
        <f>I76*I$22</f>
        <v/>
      </c>
      <c r="J196" s="141">
        <f>J76*J$22</f>
        <v/>
      </c>
      <c r="K196" s="141">
        <f>K76*K$22</f>
        <v/>
      </c>
      <c r="L196" s="141">
        <f>L76*L$22</f>
        <v/>
      </c>
      <c r="M196" s="141">
        <f>M76*M$22</f>
        <v/>
      </c>
      <c r="N196" s="141">
        <f>N76*N$22</f>
        <v/>
      </c>
      <c r="O196" s="141">
        <f>O76*O$22</f>
        <v/>
      </c>
      <c r="P196" s="141">
        <f>P76*P$22</f>
        <v/>
      </c>
      <c r="Q196" s="141">
        <f>Q76*Q$22</f>
        <v/>
      </c>
      <c r="R196" s="141">
        <f>R76*R$22</f>
        <v/>
      </c>
      <c r="S196" s="141">
        <f>S76*S$22</f>
        <v/>
      </c>
      <c r="T196" s="141">
        <f>T76*T$22</f>
        <v/>
      </c>
      <c r="U196" s="141">
        <f>U76*U$22</f>
        <v/>
      </c>
    </row>
    <row r="197">
      <c r="B197" s="141">
        <f>B77*B$22</f>
        <v/>
      </c>
      <c r="C197" s="141">
        <f>C77*C$22</f>
        <v/>
      </c>
      <c r="D197" s="141">
        <f>D77*D$22</f>
        <v/>
      </c>
      <c r="E197" s="141">
        <f>E77*E$22</f>
        <v/>
      </c>
      <c r="F197" s="141">
        <f>F77*F$22</f>
        <v/>
      </c>
      <c r="G197" s="141">
        <f>G77*G$22</f>
        <v/>
      </c>
      <c r="H197" s="141">
        <f>H77*H$22</f>
        <v/>
      </c>
      <c r="I197" s="141">
        <f>I77*I$22</f>
        <v/>
      </c>
      <c r="J197" s="141">
        <f>J77*J$22</f>
        <v/>
      </c>
      <c r="K197" s="141">
        <f>K77*K$22</f>
        <v/>
      </c>
      <c r="L197" s="141">
        <f>L77*L$22</f>
        <v/>
      </c>
      <c r="M197" s="141">
        <f>M77*M$22</f>
        <v/>
      </c>
      <c r="N197" s="141">
        <f>N77*N$22</f>
        <v/>
      </c>
      <c r="O197" s="141">
        <f>O77*O$22</f>
        <v/>
      </c>
      <c r="P197" s="141">
        <f>P77*P$22</f>
        <v/>
      </c>
      <c r="Q197" s="141">
        <f>Q77*Q$22</f>
        <v/>
      </c>
      <c r="R197" s="141">
        <f>R77*R$22</f>
        <v/>
      </c>
      <c r="S197" s="141">
        <f>S77*S$22</f>
        <v/>
      </c>
      <c r="T197" s="141">
        <f>T77*T$22</f>
        <v/>
      </c>
      <c r="U197" s="141">
        <f>U77*U$22</f>
        <v/>
      </c>
    </row>
    <row r="198">
      <c r="B198" s="141">
        <f>B78*B$22</f>
        <v/>
      </c>
      <c r="C198" s="141">
        <f>C78*C$22</f>
        <v/>
      </c>
      <c r="D198" s="141">
        <f>D78*D$22</f>
        <v/>
      </c>
      <c r="E198" s="141">
        <f>E78*E$22</f>
        <v/>
      </c>
      <c r="F198" s="141">
        <f>F78*F$22</f>
        <v/>
      </c>
      <c r="G198" s="141">
        <f>G78*G$22</f>
        <v/>
      </c>
      <c r="H198" s="141">
        <f>H78*H$22</f>
        <v/>
      </c>
      <c r="I198" s="141">
        <f>I78*I$22</f>
        <v/>
      </c>
      <c r="J198" s="141">
        <f>J78*J$22</f>
        <v/>
      </c>
      <c r="K198" s="141">
        <f>K78*K$22</f>
        <v/>
      </c>
      <c r="L198" s="141">
        <f>L78*L$22</f>
        <v/>
      </c>
      <c r="M198" s="141">
        <f>M78*M$22</f>
        <v/>
      </c>
      <c r="N198" s="141">
        <f>N78*N$22</f>
        <v/>
      </c>
      <c r="O198" s="141">
        <f>O78*O$22</f>
        <v/>
      </c>
      <c r="P198" s="141">
        <f>P78*P$22</f>
        <v/>
      </c>
      <c r="Q198" s="141">
        <f>Q78*Q$22</f>
        <v/>
      </c>
      <c r="R198" s="141">
        <f>R78*R$22</f>
        <v/>
      </c>
      <c r="S198" s="141">
        <f>S78*S$22</f>
        <v/>
      </c>
      <c r="T198" s="141">
        <f>T78*T$22</f>
        <v/>
      </c>
      <c r="U198" s="141">
        <f>U78*U$22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5">
      <c r="B5" s="142" t="inlineStr">
        <is>
          <t>Что проверяем</t>
        </is>
      </c>
      <c r="C5" s="142" t="inlineStr">
        <is>
          <t>Расхождение</t>
        </is>
      </c>
      <c r="D5" s="142" t="inlineStr">
        <is>
          <t>Статус</t>
        </is>
      </c>
      <c r="E5" s="142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43">
        <f>SUMPRODUCT(ABS('02_Результат'!L57:'02_Результат'!BS57-'02_Результат'!L54:'02_Результат'!BS54+'06_Деньги'!L15:'06_Деньги'!BS15))</f>
        <v/>
      </c>
      <c r="D6" s="6">
        <f>IF(ABS(C6)&lt;0.01,"OK","ПРОВЕРИТЬ")</f>
        <v/>
      </c>
      <c r="E6" s="144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43">
        <f>SUMIF('06_Деньги'!L10:'06_Деньги'!BS10,"&lt;0")</f>
        <v/>
      </c>
      <c r="D7" s="6">
        <f>IF(ABS(C7)&lt;0.01,"OK","ПРОВЕРИТЬ")</f>
        <v/>
      </c>
      <c r="E7" s="144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43">
        <f>SUMIF('06_Деньги'!L16:'06_Деньги'!BS16,"&lt;0")</f>
        <v/>
      </c>
      <c r="D8" s="6">
        <f>IF(ABS(C8)&lt;0.01,"OK","ПРОВЕРИТЬ")</f>
        <v/>
      </c>
      <c r="E8" s="144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43">
        <f>SUMPRODUCT(--('03_Сеть'!L60:'03_Сеть'!BS60&gt;'03_Сеть'!L59:'03_Сеть'!BS59))</f>
        <v/>
      </c>
      <c r="D9" s="6">
        <f>IF(ABS(C9)&lt;0.01,"OK","ПРОВЕРИТЬ")</f>
        <v/>
      </c>
      <c r="E9" s="144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43">
        <f>SUMPRODUCT(ABS('03_Сеть'!L61:'03_Сеть'!BS61-'03_Сеть'!L19:'03_Сеть'!BS19-'03_Сеть'!L56:'03_Сеть'!BS56))</f>
        <v/>
      </c>
      <c r="D10" s="6">
        <f>IF(ABS(C10)&lt;0.01,"OK","ПРОВЕРИТЬ")</f>
        <v/>
      </c>
      <c r="E10" s="144" t="inlineStr">
        <is>
          <t>Сумма частей должна давать целое</t>
        </is>
      </c>
    </row>
    <row r="11">
      <c r="B11" t="inlineStr">
        <is>
          <t>EBITDA не равна денежному потоку</t>
        </is>
      </c>
      <c r="C11" s="143">
        <f>IF(ABS(SUM('02_Результат'!L31:'02_Результат'!BS31)-SUM('02_Результат'!L56:'02_Результат'!BS56))&lt;1,1,0)</f>
        <v/>
      </c>
      <c r="D11" s="6">
        <f>IF(ABS(C11)&lt;0.01,"OK","ПРОВЕРИТЬ")</f>
        <v/>
      </c>
      <c r="E11" s="144" t="inlineStr">
        <is>
          <t>Совпадение означало бы, что БДР подменили БДДС</t>
        </is>
      </c>
    </row>
  </sheetData>
  <conditionalFormatting sqref="D6:D11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C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45" t="inlineStr">
        <is>
          <t>Порядок работы</t>
        </is>
      </c>
      <c r="C4" s="116" t="n"/>
    </row>
    <row r="5">
      <c r="B5" s="146" t="inlineStr">
        <is>
          <t>1. Посмотреть итог</t>
        </is>
      </c>
      <c r="C5" s="147" t="inlineStr">
        <is>
          <t>Лист «00_Дашборд»: пять лет в одном экране — выручка, EBITDA, деньги, сеть.</t>
        </is>
      </c>
    </row>
    <row r="6">
      <c r="B6" s="146" t="inlineStr">
        <is>
          <t>2. Разобраться в цифре</t>
        </is>
      </c>
      <c r="C6" s="147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46" t="inlineStr">
        <is>
          <t>3. Дойти до причины</t>
        </is>
      </c>
      <c r="C7" s="147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46" t="inlineStr">
        <is>
          <t>4. Поменять допущение</t>
        </is>
      </c>
      <c r="C8" s="147" t="inlineStr">
        <is>
          <t>Только на листе «01_Вводные». Больше нигде в книге ничего вводить руками нельзя.</t>
        </is>
      </c>
    </row>
    <row r="9">
      <c r="B9" s="146" t="inlineStr">
        <is>
          <t>5. Убедиться, что цело</t>
        </is>
      </c>
      <c r="C9" s="147" t="inlineStr">
        <is>
          <t>Лист «08_Проверки»: шесть контролей. Если все OK — модели можно верить.</t>
        </is>
      </c>
    </row>
    <row r="11">
      <c r="B11" s="145" t="inlineStr">
        <is>
          <t>Чего делать нельзя</t>
        </is>
      </c>
      <c r="C11" s="116" t="n"/>
    </row>
    <row r="12">
      <c r="B12" s="146" t="inlineStr">
        <is>
          <t>Не вводить числа в расчётных листах</t>
        </is>
      </c>
      <c r="C12" s="147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13">
      <c r="B13" s="146" t="inlineStr">
        <is>
          <t>Не приравнивать партнёров к школам</t>
        </is>
      </c>
      <c r="C13" s="147" t="inlineStr">
        <is>
          <t>Один партнёр держит несколько школ: на старте 51 партнёр и 104 школы.</t>
        </is>
      </c>
    </row>
    <row r="14">
      <c r="B14" s="146" t="inlineStr">
        <is>
          <t>Не заменять постепенный набор полной загрузкой</t>
        </is>
      </c>
      <c r="C14" s="147" t="inlineStr">
        <is>
          <t>Новая школа выходит на мощность за два года: 1–12 мес., 13–24 мес., затем зрелая.</t>
        </is>
      </c>
    </row>
    <row r="15">
      <c r="B15" s="146" t="inlineStr">
        <is>
          <t>Не смешивать БДР и БДДС</t>
        </is>
      </c>
      <c r="C15" s="147" t="inlineStr">
        <is>
          <t>Начисление и деньги расходятся из-за склада, займа и отсрочек. Это нормально и показано в блоке БДДС.</t>
        </is>
      </c>
    </row>
    <row r="17">
      <c r="B17" s="113" t="inlineStr">
        <is>
          <t>На чём стоит модель</t>
        </is>
      </c>
    </row>
    <row r="19">
      <c r="B19" s="145" t="inlineStr">
        <is>
          <t>Главные гипотезы</t>
        </is>
      </c>
      <c r="C19" s="116" t="n"/>
    </row>
    <row r="20">
      <c r="B20" s="146" t="inlineStr">
        <is>
          <t>Продажи франшиз</t>
        </is>
      </c>
      <c r="C20" s="147" t="inlineStr">
        <is>
          <t>Планы по сезонам 66 / 72 / 72 / 60 / 50, разложены по месяцам весами сезонности. Сентябрь 2026 — без продаж.</t>
        </is>
      </c>
    </row>
    <row r="21">
      <c r="B21" s="146" t="inlineStr">
        <is>
          <t>От продажи до школы</t>
        </is>
      </c>
      <c r="C21" s="147" t="inlineStr">
        <is>
          <t>Два месяца лага. Один партнёр открывает 1,5 школы — коэффициент согласован 11.09.2026.</t>
        </is>
      </c>
    </row>
    <row r="22">
      <c r="B22" s="146" t="inlineStr">
        <is>
          <t>Дети</t>
        </is>
      </c>
      <c r="C22" s="147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23">
      <c r="B23" s="146" t="inlineStr">
        <is>
          <t>Закрытие</t>
        </is>
      </c>
      <c r="C23" s="147" t="inlineStr">
        <is>
          <t>3 % школ и партнёров в год, помесячно через коэффициент сохранения. Уменьшает детей, роялти и ERP.</t>
        </is>
      </c>
    </row>
    <row r="24">
      <c r="B24" s="146" t="inlineStr">
        <is>
          <t>Роялти</t>
        </is>
      </c>
      <c r="C24" s="147" t="inlineStr">
        <is>
          <t>6,5 % для договоров до 31.12.2026, 8,5 % для новых, с 01.01.2030 все на 10 %. Не ниже минимального платежа за школу.</t>
        </is>
      </c>
    </row>
    <row r="25">
      <c r="B25" s="146" t="inlineStr">
        <is>
          <t>Мерч</t>
        </is>
      </c>
      <c r="C25" s="147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26">
      <c r="B26" s="146" t="inlineStr">
        <is>
          <t>Склад</t>
        </is>
      </c>
      <c r="C26" s="147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27">
      <c r="B27" s="146" t="inlineStr">
        <is>
          <t>Налоги</t>
        </is>
      </c>
      <c r="C27" s="147" t="inlineStr">
        <is>
          <t>УСН либо минимальный налог с выручки — что больше. Страховые взносы 30 %, льгот нет.</t>
        </is>
      </c>
    </row>
    <row r="28">
      <c r="B28" s="146" t="inlineStr">
        <is>
          <t>Лагеря</t>
        </is>
      </c>
      <c r="C28" s="147" t="inlineStr">
        <is>
          <t>Блок отключён переключателем с 09.09.2026 и в этой версии не считается.</t>
        </is>
      </c>
    </row>
    <row r="30">
      <c r="B30" s="113" t="inlineStr">
        <is>
          <t>Словарь</t>
        </is>
      </c>
    </row>
    <row r="32">
      <c r="B32" s="145" t="inlineStr">
        <is>
          <t>Что значат слова в этой книге</t>
        </is>
      </c>
      <c r="C32" s="116" t="n"/>
    </row>
    <row r="33">
      <c r="B33" s="146" t="inlineStr">
        <is>
          <t>БДР</t>
        </is>
      </c>
      <c r="C33" s="147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34">
      <c r="B34" s="146" t="inlineStr">
        <is>
          <t>БДДС</t>
        </is>
      </c>
      <c r="C34" s="147" t="inlineStr">
        <is>
          <t>Бюджет движения денежных средств: реальные поступления и платежи по датам.</t>
        </is>
      </c>
    </row>
    <row r="35">
      <c r="B35" s="146" t="inlineStr">
        <is>
          <t>EBITDA</t>
        </is>
      </c>
      <c r="C35" s="147" t="inlineStr">
        <is>
          <t>Прибыль до процентов, налогов и амортизации. В этой модели = валовая прибыль минус OPEX.</t>
        </is>
      </c>
    </row>
    <row r="36">
      <c r="B36" s="146" t="inlineStr">
        <is>
          <t>OPEX</t>
        </is>
      </c>
      <c r="C36" s="147" t="inlineStr">
        <is>
          <t>Операционные расходы: ФОТ, ERP, офис, юристы, IT, SMM, маркетинг привлечения.</t>
        </is>
      </c>
    </row>
    <row r="37">
      <c r="B37" s="146" t="inlineStr">
        <is>
          <t>COGS</t>
        </is>
      </c>
      <c r="C37" s="147" t="inlineStr">
        <is>
          <t>Себестоимость проданного мерча.</t>
        </is>
      </c>
    </row>
    <row r="38">
      <c r="B38" s="146" t="inlineStr">
        <is>
          <t>Паушальный взнос</t>
        </is>
      </c>
      <c r="C38" s="147" t="inlineStr">
        <is>
          <t>Разовый платёж партнёра при покупке франшизы.</t>
        </is>
      </c>
    </row>
    <row r="39">
      <c r="B39" s="146" t="inlineStr">
        <is>
          <t>Роялти</t>
        </is>
      </c>
      <c r="C39" s="147" t="inlineStr">
        <is>
          <t>Регулярный платёж партнёра — процент с абонементов, но не ниже минимума за школу.</t>
        </is>
      </c>
    </row>
    <row r="40">
      <c r="B40" s="146" t="inlineStr">
        <is>
          <t>Когорта</t>
        </is>
      </c>
      <c r="C40" s="147" t="inlineStr">
        <is>
          <t>Группа школ одного возраста. Школы 7-го месяца жизни — одна когорта, 20-го — другая.</t>
        </is>
      </c>
    </row>
    <row r="41">
      <c r="B41" s="146" t="inlineStr">
        <is>
          <t>Целевой запас</t>
        </is>
      </c>
      <c r="C41" s="147" t="inlineStr">
        <is>
          <t>Сколько месяцев будущих продаж должно лежать на складе. Задаётся вводной.</t>
        </is>
      </c>
    </row>
    <row r="42">
      <c r="B42" s="146" t="inlineStr">
        <is>
          <t>Оборотный капитал</t>
        </is>
      </c>
      <c r="C42" s="147" t="inlineStr">
        <is>
          <t>Деньги, замороженные в складе и дебиторке. Из-за него EBITDA не равна денежному потоку.</t>
        </is>
      </c>
    </row>
    <row r="43">
      <c r="B43" s="146" t="inlineStr">
        <is>
          <t>Дебиторка</t>
        </is>
      </c>
      <c r="C43" s="147" t="inlineStr">
        <is>
          <t>Начислили, но ещё не получили.</t>
        </is>
      </c>
    </row>
    <row r="44">
      <c r="B44" s="146" t="inlineStr">
        <is>
          <t>Кредиторка</t>
        </is>
      </c>
      <c r="C44" s="147" t="inlineStr">
        <is>
          <t>Начислили, но ещё не заплатили.</t>
        </is>
      </c>
    </row>
    <row r="45">
      <c r="B45" s="146" t="inlineStr">
        <is>
          <t>Технические месяцы</t>
        </is>
      </c>
      <c r="C45" s="147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46">
      <c r="B46" s="146" t="inlineStr">
        <is>
          <t>Сезон</t>
        </is>
      </c>
      <c r="C46" s="147" t="inlineStr">
        <is>
          <t>Год модели: с сентября по август. Сезон 1 — 2026/27.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2026-09-11T10:20:16Z</dcterms:created>
  <dcterms:modified xsi:type="dcterms:W3CDTF">2026-09-11T10:20:18Z</dcterms:modified>
</cp:coreProperties>
</file>