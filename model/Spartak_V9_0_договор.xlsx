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8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50" fillId="0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февральского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13" t="inlineStr">
        <is>
          <t>блок ревизии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67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67" t="inlineStr">
        <is>
          <t>Доля ФК от роялти — 1-я ступень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2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67" t="inlineStr">
        <is>
          <t>Доля ФК от роялти — 2-я ступень</t>
        </is>
      </c>
      <c r="B372" s="203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67" t="inlineStr">
        <is>
          <t>Доля ФК от роялти — 3-я ступень</t>
        </is>
      </c>
      <c r="B373" s="203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67" t="inlineStr">
        <is>
          <t>Дата 2-й ступени роялти ФК</t>
        </is>
      </c>
      <c r="B374" s="204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67" t="inlineStr">
        <is>
          <t>Дата 3-й ступени роялти ФК</t>
        </is>
      </c>
      <c r="B375" s="204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67" t="inlineStr">
        <is>
          <t>Лаг оплаты клубу: 1 — да, 0 — нет</t>
        </is>
      </c>
      <c r="B376" s="30" t="n">
        <v>1</v>
      </c>
      <c r="C376" s="24" t="inlineStr">
        <is>
          <t>1 / 0</t>
        </is>
      </c>
      <c r="D376" s="24" t="inlineStr">
        <is>
          <t>Договор, п. 3.2</t>
        </is>
      </c>
      <c r="E376" s="14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56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IF(ЛагОплатыФК=0,'05_Расходы'!L47+'05_Расходы'!L49+L41/(1+НДС)*IF(L$5&gt;=ДатаФКСтупень3,ДоляФКРоялти3,IF(L$5&gt;=ДатаФКСтупень2,ДоляФКРоялти2,ДоляФКРоялти)),0)</f>
        <v/>
      </c>
      <c r="M49" s="87">
        <f>IF(ЛагОплатыФК=0,'05_Расходы'!M47+'05_Расходы'!M49+M41/(1+НДС)*IF(M$5&gt;=ДатаФКСтупень3,ДоляФКРоялти3,IF(M$5&gt;=ДатаФКСтупень2,ДоляФКРоялти2,ДоляФКРоялти)),'05_Расходы'!L47+'05_Расходы'!L49+L41/(1+НДС)*IF(L$5&gt;=ДатаФКСтупень3,ДоляФКРоялти3,IF(L$5&gt;=ДатаФКСтупень2,ДоляФКРоялти2,ДоляФКРоялти)))</f>
        <v/>
      </c>
      <c r="N49" s="87">
        <f>IF(ЛагОплатыФК=0,'05_Расходы'!N47+'05_Расходы'!N49+N41/(1+НДС)*IF(N$5&gt;=ДатаФКСтупень3,ДоляФКРоялти3,IF(N$5&gt;=ДатаФКСтупень2,ДоляФКРоялти2,ДоляФКРоялти)),'05_Расходы'!M47+'05_Расходы'!M49+M41/(1+НДС)*IF(M$5&gt;=ДатаФКСтупень3,ДоляФКРоялти3,IF(M$5&gt;=ДатаФКСтупень2,ДоляФКРоялти2,ДоляФКРоялти)))</f>
        <v/>
      </c>
      <c r="O49" s="87">
        <f>IF(ЛагОплатыФК=0,'05_Расходы'!O47+'05_Расходы'!O49+O41/(1+НДС)*IF(O$5&gt;=ДатаФКСтупень3,ДоляФКРоялти3,IF(O$5&gt;=ДатаФКСтупень2,ДоляФКРоялти2,ДоляФКРоялти)),'05_Расходы'!N47+'05_Расходы'!N49+N41/(1+НДС)*IF(N$5&gt;=ДатаФКСтупень3,ДоляФКРоялти3,IF(N$5&gt;=ДатаФКСтупень2,ДоляФКРоялти2,ДоляФКРоялти)))</f>
        <v/>
      </c>
      <c r="P49" s="87">
        <f>IF(ЛагОплатыФК=0,'05_Расходы'!P47+'05_Расходы'!P49+P41/(1+НДС)*IF(P$5&gt;=ДатаФКСтупень3,ДоляФКРоялти3,IF(P$5&gt;=ДатаФКСтупень2,ДоляФКРоялти2,ДоляФКРоялти)),'05_Расходы'!O47+'05_Расходы'!O49+O41/(1+НДС)*IF(O$5&gt;=ДатаФКСтупень3,ДоляФКРоялти3,IF(O$5&gt;=ДатаФКСтупень2,ДоляФКРоялти2,ДоляФКРоялти)))</f>
        <v/>
      </c>
      <c r="Q49" s="87">
        <f>IF(ЛагОплатыФК=0,'05_Расходы'!Q47+'05_Расходы'!Q49+Q41/(1+НДС)*IF(Q$5&gt;=ДатаФКСтупень3,ДоляФКРоялти3,IF(Q$5&gt;=ДатаФКСтупень2,ДоляФКРоялти2,ДоляФКРоялти)),'05_Расходы'!P47+'05_Расходы'!P49+P41/(1+НДС)*IF(P$5&gt;=ДатаФКСтупень3,ДоляФКРоялти3,IF(P$5&gt;=ДатаФКСтупень2,ДоляФКРоялти2,ДоляФКРоялти)))</f>
        <v/>
      </c>
      <c r="R49" s="87">
        <f>IF(ЛагОплатыФК=0,'05_Расходы'!R47+'05_Расходы'!R49+R41/(1+НДС)*IF(R$5&gt;=ДатаФКСтупень3,ДоляФКРоялти3,IF(R$5&gt;=ДатаФКСтупень2,ДоляФКРоялти2,ДоляФКРоялти)),'05_Расходы'!Q47+'05_Расходы'!Q49+Q41/(1+НДС)*IF(Q$5&gt;=ДатаФКСтупень3,ДоляФКРоялти3,IF(Q$5&gt;=ДатаФКСтупень2,ДоляФКРоялти2,ДоляФКРоялти)))</f>
        <v/>
      </c>
      <c r="S49" s="87">
        <f>IF(ЛагОплатыФК=0,'05_Расходы'!S47+'05_Расходы'!S49+S41/(1+НДС)*IF(S$5&gt;=ДатаФКСтупень3,ДоляФКРоялти3,IF(S$5&gt;=ДатаФКСтупень2,ДоляФКРоялти2,ДоляФКРоялти)),'05_Расходы'!R47+'05_Расходы'!R49+R41/(1+НДС)*IF(R$5&gt;=ДатаФКСтупень3,ДоляФКРоялти3,IF(R$5&gt;=ДатаФКСтупень2,ДоляФКРоялти2,ДоляФКРоялти)))</f>
        <v/>
      </c>
      <c r="T49" s="87">
        <f>IF(ЛагОплатыФК=0,'05_Расходы'!T47+'05_Расходы'!T49+T41/(1+НДС)*IF(T$5&gt;=ДатаФКСтупень3,ДоляФКРоялти3,IF(T$5&gt;=ДатаФКСтупень2,ДоляФКРоялти2,ДоляФКРоялти)),'05_Расходы'!S47+'05_Расходы'!S49+S41/(1+НДС)*IF(S$5&gt;=ДатаФКСтупень3,ДоляФКРоялти3,IF(S$5&gt;=ДатаФКСтупень2,ДоляФКРоялти2,ДоляФКРоялти)))</f>
        <v/>
      </c>
      <c r="U49" s="87">
        <f>IF(ЛагОплатыФК=0,'05_Расходы'!U47+'05_Расходы'!U49+U41/(1+НДС)*IF(U$5&gt;=ДатаФКСтупень3,ДоляФКРоялти3,IF(U$5&gt;=ДатаФКСтупень2,ДоляФКРоялти2,ДоляФКРоялти)),'05_Расходы'!T47+'05_Расходы'!T49+T41/(1+НДС)*IF(T$5&gt;=ДатаФКСтупень3,ДоляФКРоялти3,IF(T$5&gt;=ДатаФКСтупень2,ДоляФКРоялти2,ДоляФКРоялти)))</f>
        <v/>
      </c>
      <c r="V49" s="87">
        <f>IF(ЛагОплатыФК=0,'05_Расходы'!V47+'05_Расходы'!V49+V41/(1+НДС)*IF(V$5&gt;=ДатаФКСтупень3,ДоляФКРоялти3,IF(V$5&gt;=ДатаФКСтупень2,ДоляФКРоялти2,ДоляФКРоялти)),'05_Расходы'!U47+'05_Расходы'!U49+U41/(1+НДС)*IF(U$5&gt;=ДатаФКСтупень3,ДоляФКРоялти3,IF(U$5&gt;=ДатаФКСтупень2,ДоляФКРоялти2,ДоляФКРоялти)))</f>
        <v/>
      </c>
      <c r="W49" s="87">
        <f>IF(ЛагОплатыФК=0,'05_Расходы'!W47+'05_Расходы'!W49+W41/(1+НДС)*IF(W$5&gt;=ДатаФКСтупень3,ДоляФКРоялти3,IF(W$5&gt;=ДатаФКСтупень2,ДоляФКРоялти2,ДоляФКРоялти)),'05_Расходы'!V47+'05_Расходы'!V49+V41/(1+НДС)*IF(V$5&gt;=ДатаФКСтупень3,ДоляФКРоялти3,IF(V$5&gt;=ДатаФКСтупень2,ДоляФКРоялти2,ДоляФКРоялти)))</f>
        <v/>
      </c>
      <c r="X49" s="87">
        <f>IF(ЛагОплатыФК=0,'05_Расходы'!X47+'05_Расходы'!X49+X41/(1+НДС)*IF(X$5&gt;=ДатаФКСтупень3,ДоляФКРоялти3,IF(X$5&gt;=ДатаФКСтупень2,ДоляФКРоялти2,ДоляФКРоялти)),'05_Расходы'!W47+'05_Расходы'!W49+W41/(1+НДС)*IF(W$5&gt;=ДатаФКСтупень3,ДоляФКРоялти3,IF(W$5&gt;=ДатаФКСтупень2,ДоляФКРоялти2,ДоляФКРоялти)))</f>
        <v/>
      </c>
      <c r="Y49" s="87">
        <f>IF(ЛагОплатыФК=0,'05_Расходы'!Y47+'05_Расходы'!Y49+Y41/(1+НДС)*IF(Y$5&gt;=ДатаФКСтупень3,ДоляФКРоялти3,IF(Y$5&gt;=ДатаФКСтупень2,ДоляФКРоялти2,ДоляФКРоялти)),'05_Расходы'!X47+'05_Расходы'!X49+X41/(1+НДС)*IF(X$5&gt;=ДатаФКСтупень3,ДоляФКРоялти3,IF(X$5&gt;=ДатаФКСтупень2,ДоляФКРоялти2,ДоляФКРоялти)))</f>
        <v/>
      </c>
      <c r="Z49" s="87">
        <f>IF(ЛагОплатыФК=0,'05_Расходы'!Z47+'05_Расходы'!Z49+Z41/(1+НДС)*IF(Z$5&gt;=ДатаФКСтупень3,ДоляФКРоялти3,IF(Z$5&gt;=ДатаФКСтупень2,ДоляФКРоялти2,ДоляФКРоялти)),'05_Расходы'!Y47+'05_Расходы'!Y49+Y41/(1+НДС)*IF(Y$5&gt;=ДатаФКСтупень3,ДоляФКРоялти3,IF(Y$5&gt;=ДатаФКСтупень2,ДоляФКРоялти2,ДоляФКРоялти)))</f>
        <v/>
      </c>
      <c r="AA49" s="87">
        <f>IF(ЛагОплатыФК=0,'05_Расходы'!AA47+'05_Расходы'!AA49+AA41/(1+НДС)*IF(AA$5&gt;=ДатаФКСтупень3,ДоляФКРоялти3,IF(AA$5&gt;=ДатаФКСтупень2,ДоляФКРоялти2,ДоляФКРоялти)),'05_Расходы'!Z47+'05_Расходы'!Z49+Z41/(1+НДС)*IF(Z$5&gt;=ДатаФКСтупень3,ДоляФКРоялти3,IF(Z$5&gt;=ДатаФКСтупень2,ДоляФКРоялти2,ДоляФКРоялти)))</f>
        <v/>
      </c>
      <c r="AB49" s="87">
        <f>IF(ЛагОплатыФК=0,'05_Расходы'!AB47+'05_Расходы'!AB49+AB41/(1+НДС)*IF(AB$5&gt;=ДатаФКСтупень3,ДоляФКРоялти3,IF(AB$5&gt;=ДатаФКСтупень2,ДоляФКРоялти2,ДоляФКРоялти)),'05_Расходы'!AA47+'05_Расходы'!AA49+AA41/(1+НДС)*IF(AA$5&gt;=ДатаФКСтупень3,ДоляФКРоялти3,IF(AA$5&gt;=ДатаФКСтупень2,ДоляФКРоялти2,ДоляФКРоялти)))</f>
        <v/>
      </c>
      <c r="AC49" s="87">
        <f>IF(ЛагОплатыФК=0,'05_Расходы'!AC47+'05_Расходы'!AC49+AC41/(1+НДС)*IF(AC$5&gt;=ДатаФКСтупень3,ДоляФКРоялти3,IF(AC$5&gt;=ДатаФКСтупень2,ДоляФКРоялти2,ДоляФКРоялти)),'05_Расходы'!AB47+'05_Расходы'!AB49+AB41/(1+НДС)*IF(AB$5&gt;=ДатаФКСтупень3,ДоляФКРоялти3,IF(AB$5&gt;=ДатаФКСтупень2,ДоляФКРоялти2,ДоляФКРоялти)))</f>
        <v/>
      </c>
      <c r="AD49" s="87">
        <f>IF(ЛагОплатыФК=0,'05_Расходы'!AD47+'05_Расходы'!AD49+AD41/(1+НДС)*IF(AD$5&gt;=ДатаФКСтупень3,ДоляФКРоялти3,IF(AD$5&gt;=ДатаФКСтупень2,ДоляФКРоялти2,ДоляФКРоялти)),'05_Расходы'!AC47+'05_Расходы'!AC49+AC41/(1+НДС)*IF(AC$5&gt;=ДатаФКСтупень3,ДоляФКРоялти3,IF(AC$5&gt;=ДатаФКСтупень2,ДоляФКРоялти2,ДоляФКРоялти)))</f>
        <v/>
      </c>
      <c r="AE49" s="87">
        <f>IF(ЛагОплатыФК=0,'05_Расходы'!AE47+'05_Расходы'!AE49+AE41/(1+НДС)*IF(AE$5&gt;=ДатаФКСтупень3,ДоляФКРоялти3,IF(AE$5&gt;=ДатаФКСтупень2,ДоляФКРоялти2,ДоляФКРоялти)),'05_Расходы'!AD47+'05_Расходы'!AD49+AD41/(1+НДС)*IF(AD$5&gt;=ДатаФКСтупень3,ДоляФКРоялти3,IF(AD$5&gt;=ДатаФКСтупень2,ДоляФКРоялти2,ДоляФКРоялти)))</f>
        <v/>
      </c>
      <c r="AF49" s="87">
        <f>IF(ЛагОплатыФК=0,'05_Расходы'!AF47+'05_Расходы'!AF49+AF41/(1+НДС)*IF(AF$5&gt;=ДатаФКСтупень3,ДоляФКРоялти3,IF(AF$5&gt;=ДатаФКСтупень2,ДоляФКРоялти2,ДоляФКРоялти)),'05_Расходы'!AE47+'05_Расходы'!AE49+AE41/(1+НДС)*IF(AE$5&gt;=ДатаФКСтупень3,ДоляФКРоялти3,IF(AE$5&gt;=ДатаФКСтупень2,ДоляФКРоялти2,ДоляФКРоялти)))</f>
        <v/>
      </c>
      <c r="AG49" s="87">
        <f>IF(ЛагОплатыФК=0,'05_Расходы'!AG47+'05_Расходы'!AG49+AG41/(1+НДС)*IF(AG$5&gt;=ДатаФКСтупень3,ДоляФКРоялти3,IF(AG$5&gt;=ДатаФКСтупень2,ДоляФКРоялти2,ДоляФКРоялти)),'05_Расходы'!AF47+'05_Расходы'!AF49+AF41/(1+НДС)*IF(AF$5&gt;=ДатаФКСтупень3,ДоляФКРоялти3,IF(AF$5&gt;=ДатаФКСтупень2,ДоляФКРоялти2,ДоляФКРоялти)))</f>
        <v/>
      </c>
      <c r="AH49" s="87">
        <f>IF(ЛагОплатыФК=0,'05_Расходы'!AH47+'05_Расходы'!AH49+AH41/(1+НДС)*IF(AH$5&gt;=ДатаФКСтупень3,ДоляФКРоялти3,IF(AH$5&gt;=ДатаФКСтупень2,ДоляФКРоялти2,ДоляФКРоялти)),'05_Расходы'!AG47+'05_Расходы'!AG49+AG41/(1+НДС)*IF(AG$5&gt;=ДатаФКСтупень3,ДоляФКРоялти3,IF(AG$5&gt;=ДатаФКСтупень2,ДоляФКРоялти2,ДоляФКРоялти)))</f>
        <v/>
      </c>
      <c r="AI49" s="87">
        <f>IF(ЛагОплатыФК=0,'05_Расходы'!AI47+'05_Расходы'!AI49+AI41/(1+НДС)*IF(AI$5&gt;=ДатаФКСтупень3,ДоляФКРоялти3,IF(AI$5&gt;=ДатаФКСтупень2,ДоляФКРоялти2,ДоляФКРоялти)),'05_Расходы'!AH47+'05_Расходы'!AH49+AH41/(1+НДС)*IF(AH$5&gt;=ДатаФКСтупень3,ДоляФКРоялти3,IF(AH$5&gt;=ДатаФКСтупень2,ДоляФКРоялти2,ДоляФКРоялти)))</f>
        <v/>
      </c>
      <c r="AJ49" s="87">
        <f>IF(ЛагОплатыФК=0,'05_Расходы'!AJ47+'05_Расходы'!AJ49+AJ41/(1+НДС)*IF(AJ$5&gt;=ДатаФКСтупень3,ДоляФКРоялти3,IF(AJ$5&gt;=ДатаФКСтупень2,ДоляФКРоялти2,ДоляФКРоялти)),'05_Расходы'!AI47+'05_Расходы'!AI49+AI41/(1+НДС)*IF(AI$5&gt;=ДатаФКСтупень3,ДоляФКРоялти3,IF(AI$5&gt;=ДатаФКСтупень2,ДоляФКРоялти2,ДоляФКРоялти)))</f>
        <v/>
      </c>
      <c r="AK49" s="87">
        <f>IF(ЛагОплатыФК=0,'05_Расходы'!AK47+'05_Расходы'!AK49+AK41/(1+НДС)*IF(AK$5&gt;=ДатаФКСтупень3,ДоляФКРоялти3,IF(AK$5&gt;=ДатаФКСтупень2,ДоляФКРоялти2,ДоляФКРоялти)),'05_Расходы'!AJ47+'05_Расходы'!AJ49+AJ41/(1+НДС)*IF(AJ$5&gt;=ДатаФКСтупень3,ДоляФКРоялти3,IF(AJ$5&gt;=ДатаФКСтупень2,ДоляФКРоялти2,ДоляФКРоялти)))</f>
        <v/>
      </c>
      <c r="AL49" s="87">
        <f>IF(ЛагОплатыФК=0,'05_Расходы'!AL47+'05_Расходы'!AL49+AL41/(1+НДС)*IF(AL$5&gt;=ДатаФКСтупень3,ДоляФКРоялти3,IF(AL$5&gt;=ДатаФКСтупень2,ДоляФКРоялти2,ДоляФКРоялти)),'05_Расходы'!AK47+'05_Расходы'!AK49+AK41/(1+НДС)*IF(AK$5&gt;=ДатаФКСтупень3,ДоляФКРоялти3,IF(AK$5&gt;=ДатаФКСтупень2,ДоляФКРоялти2,ДоляФКРоялти)))</f>
        <v/>
      </c>
      <c r="AM49" s="87">
        <f>IF(ЛагОплатыФК=0,'05_Расходы'!AM47+'05_Расходы'!AM49+AM41/(1+НДС)*IF(AM$5&gt;=ДатаФКСтупень3,ДоляФКРоялти3,IF(AM$5&gt;=ДатаФКСтупень2,ДоляФКРоялти2,ДоляФКРоялти)),'05_Расходы'!AL47+'05_Расходы'!AL49+AL41/(1+НДС)*IF(AL$5&gt;=ДатаФКСтупень3,ДоляФКРоялти3,IF(AL$5&gt;=ДатаФКСтупень2,ДоляФКРоялти2,ДоляФКРоялти)))</f>
        <v/>
      </c>
      <c r="AN49" s="87">
        <f>IF(ЛагОплатыФК=0,'05_Расходы'!AN47+'05_Расходы'!AN49+AN41/(1+НДС)*IF(AN$5&gt;=ДатаФКСтупень3,ДоляФКРоялти3,IF(AN$5&gt;=ДатаФКСтупень2,ДоляФКРоялти2,ДоляФКРоялти)),'05_Расходы'!AM47+'05_Расходы'!AM49+AM41/(1+НДС)*IF(AM$5&gt;=ДатаФКСтупень3,ДоляФКРоялти3,IF(AM$5&gt;=ДатаФКСтупень2,ДоляФКРоялти2,ДоляФКРоялти)))</f>
        <v/>
      </c>
      <c r="AO49" s="87">
        <f>IF(ЛагОплатыФК=0,'05_Расходы'!AO47+'05_Расходы'!AO49+AO41/(1+НДС)*IF(AO$5&gt;=ДатаФКСтупень3,ДоляФКРоялти3,IF(AO$5&gt;=ДатаФКСтупень2,ДоляФКРоялти2,ДоляФКРоялти)),'05_Расходы'!AN47+'05_Расходы'!AN49+AN41/(1+НДС)*IF(AN$5&gt;=ДатаФКСтупень3,ДоляФКРоялти3,IF(AN$5&gt;=ДатаФКСтупень2,ДоляФКРоялти2,ДоляФКРоялти)))</f>
        <v/>
      </c>
      <c r="AP49" s="87">
        <f>IF(ЛагОплатыФК=0,'05_Расходы'!AP47+'05_Расходы'!AP49+AP41/(1+НДС)*IF(AP$5&gt;=ДатаФКСтупень3,ДоляФКРоялти3,IF(AP$5&gt;=ДатаФКСтупень2,ДоляФКРоялти2,ДоляФКРоялти)),'05_Расходы'!AO47+'05_Расходы'!AO49+AO41/(1+НДС)*IF(AO$5&gt;=ДатаФКСтупень3,ДоляФКРоялти3,IF(AO$5&gt;=ДатаФКСтупень2,ДоляФКРоялти2,ДоляФКРоялти)))</f>
        <v/>
      </c>
      <c r="AQ49" s="87">
        <f>IF(ЛагОплатыФК=0,'05_Расходы'!AQ47+'05_Расходы'!AQ49+AQ41/(1+НДС)*IF(AQ$5&gt;=ДатаФКСтупень3,ДоляФКРоялти3,IF(AQ$5&gt;=ДатаФКСтупень2,ДоляФКРоялти2,ДоляФКРоялти)),'05_Расходы'!AP47+'05_Расходы'!AP49+AP41/(1+НДС)*IF(AP$5&gt;=ДатаФКСтупень3,ДоляФКРоялти3,IF(AP$5&gt;=ДатаФКСтупень2,ДоляФКРоялти2,ДоляФКРоялти)))</f>
        <v/>
      </c>
      <c r="AR49" s="87">
        <f>IF(ЛагОплатыФК=0,'05_Расходы'!AR47+'05_Расходы'!AR49+AR41/(1+НДС)*IF(AR$5&gt;=ДатаФКСтупень3,ДоляФКРоялти3,IF(AR$5&gt;=ДатаФКСтупень2,ДоляФКРоялти2,ДоляФКРоялти)),'05_Расходы'!AQ47+'05_Расходы'!AQ49+AQ41/(1+НДС)*IF(AQ$5&gt;=ДатаФКСтупень3,ДоляФКРоялти3,IF(AQ$5&gt;=ДатаФКСтупень2,ДоляФКРоялти2,ДоляФКРоялти)))</f>
        <v/>
      </c>
      <c r="AS49" s="87">
        <f>IF(ЛагОплатыФК=0,'05_Расходы'!AS47+'05_Расходы'!AS49+AS41/(1+НДС)*IF(AS$5&gt;=ДатаФКСтупень3,ДоляФКРоялти3,IF(AS$5&gt;=ДатаФКСтупень2,ДоляФКРоялти2,ДоляФКРоялти)),'05_Расходы'!AR47+'05_Расходы'!AR49+AR41/(1+НДС)*IF(AR$5&gt;=ДатаФКСтупень3,ДоляФКРоялти3,IF(AR$5&gt;=ДатаФКСтупень2,ДоляФКРоялти2,ДоляФКРоялти)))</f>
        <v/>
      </c>
      <c r="AT49" s="87">
        <f>IF(ЛагОплатыФК=0,'05_Расходы'!AT47+'05_Расходы'!AT49+AT41/(1+НДС)*IF(AT$5&gt;=ДатаФКСтупень3,ДоляФКРоялти3,IF(AT$5&gt;=ДатаФКСтупень2,ДоляФКРоялти2,ДоляФКРоялти)),'05_Расходы'!AS47+'05_Расходы'!AS49+AS41/(1+НДС)*IF(AS$5&gt;=ДатаФКСтупень3,ДоляФКРоялти3,IF(AS$5&gt;=ДатаФКСтупень2,ДоляФКРоялти2,ДоляФКРоялти)))</f>
        <v/>
      </c>
      <c r="AU49" s="87">
        <f>IF(ЛагОплатыФК=0,'05_Расходы'!AU47+'05_Расходы'!AU49+AU41/(1+НДС)*IF(AU$5&gt;=ДатаФКСтупень3,ДоляФКРоялти3,IF(AU$5&gt;=ДатаФКСтупень2,ДоляФКРоялти2,ДоляФКРоялти)),'05_Расходы'!AT47+'05_Расходы'!AT49+AT41/(1+НДС)*IF(AT$5&gt;=ДатаФКСтупень3,ДоляФКРоялти3,IF(AT$5&gt;=ДатаФКСтупень2,ДоляФКРоялти2,ДоляФКРоялти)))</f>
        <v/>
      </c>
      <c r="AV49" s="87">
        <f>IF(ЛагОплатыФК=0,'05_Расходы'!AV47+'05_Расходы'!AV49+AV41/(1+НДС)*IF(AV$5&gt;=ДатаФКСтупень3,ДоляФКРоялти3,IF(AV$5&gt;=ДатаФКСтупень2,ДоляФКРоялти2,ДоляФКРоялти)),'05_Расходы'!AU47+'05_Расходы'!AU49+AU41/(1+НДС)*IF(AU$5&gt;=ДатаФКСтупень3,ДоляФКРоялти3,IF(AU$5&gt;=ДатаФКСтупень2,ДоляФКРоялти2,ДоляФКРоялти)))</f>
        <v/>
      </c>
      <c r="AW49" s="87">
        <f>IF(ЛагОплатыФК=0,'05_Расходы'!AW47+'05_Расходы'!AW49+AW41/(1+НДС)*IF(AW$5&gt;=ДатаФКСтупень3,ДоляФКРоялти3,IF(AW$5&gt;=ДатаФКСтупень2,ДоляФКРоялти2,ДоляФКРоялти)),'05_Расходы'!AV47+'05_Расходы'!AV49+AV41/(1+НДС)*IF(AV$5&gt;=ДатаФКСтупень3,ДоляФКРоялти3,IF(AV$5&gt;=ДатаФКСтупень2,ДоляФКРоялти2,ДоляФКРоялти)))</f>
        <v/>
      </c>
      <c r="AX49" s="87">
        <f>IF(ЛагОплатыФК=0,'05_Расходы'!AX47+'05_Расходы'!AX49+AX41/(1+НДС)*IF(AX$5&gt;=ДатаФКСтупень3,ДоляФКРоялти3,IF(AX$5&gt;=ДатаФКСтупень2,ДоляФКРоялти2,ДоляФКРоялти)),'05_Расходы'!AW47+'05_Расходы'!AW49+AW41/(1+НДС)*IF(AW$5&gt;=ДатаФКСтупень3,ДоляФКРоялти3,IF(AW$5&gt;=ДатаФКСтупень2,ДоляФКРоялти2,ДоляФКРоялти)))</f>
        <v/>
      </c>
      <c r="AY49" s="87">
        <f>IF(ЛагОплатыФК=0,'05_Расходы'!AY47+'05_Расходы'!AY49+AY41/(1+НДС)*IF(AY$5&gt;=ДатаФКСтупень3,ДоляФКРоялти3,IF(AY$5&gt;=ДатаФКСтупень2,ДоляФКРоялти2,ДоляФКРоялти)),'05_Расходы'!AX47+'05_Расходы'!AX49+AX41/(1+НДС)*IF(AX$5&gt;=ДатаФКСтупень3,ДоляФКРоялти3,IF(AX$5&gt;=ДатаФКСтупень2,ДоляФКРоялти2,ДоляФКРоялти)))</f>
        <v/>
      </c>
      <c r="AZ49" s="87">
        <f>IF(ЛагОплатыФК=0,'05_Расходы'!AZ47+'05_Расходы'!AZ49+AZ41/(1+НДС)*IF(AZ$5&gt;=ДатаФКСтупень3,ДоляФКРоялти3,IF(AZ$5&gt;=ДатаФКСтупень2,ДоляФКРоялти2,ДоляФКРоялти)),'05_Расходы'!AY47+'05_Расходы'!AY49+AY41/(1+НДС)*IF(AY$5&gt;=ДатаФКСтупень3,ДоляФКРоялти3,IF(AY$5&gt;=ДатаФКСтупень2,ДоляФКРоялти2,ДоляФКРоялти)))</f>
        <v/>
      </c>
      <c r="BA49" s="87">
        <f>IF(ЛагОплатыФК=0,'05_Расходы'!BA47+'05_Расходы'!BA49+BA41/(1+НДС)*IF(BA$5&gt;=ДатаФКСтупень3,ДоляФКРоялти3,IF(BA$5&gt;=ДатаФКСтупень2,ДоляФКРоялти2,ДоляФКРоялти)),'05_Расходы'!AZ47+'05_Расходы'!AZ49+AZ41/(1+НДС)*IF(AZ$5&gt;=ДатаФКСтупень3,ДоляФКРоялти3,IF(AZ$5&gt;=ДатаФКСтупень2,ДоляФКРоялти2,ДоляФКРоялти)))</f>
        <v/>
      </c>
      <c r="BB49" s="87">
        <f>IF(ЛагОплатыФК=0,'05_Расходы'!BB47+'05_Расходы'!BB49+BB41/(1+НДС)*IF(BB$5&gt;=ДатаФКСтупень3,ДоляФКРоялти3,IF(BB$5&gt;=ДатаФКСтупень2,ДоляФКРоялти2,ДоляФКРоялти)),'05_Расходы'!BA47+'05_Расходы'!BA49+BA41/(1+НДС)*IF(BA$5&gt;=ДатаФКСтупень3,ДоляФКРоялти3,IF(BA$5&gt;=ДатаФКСтупень2,ДоляФКРоялти2,ДоляФКРоялти)))</f>
        <v/>
      </c>
      <c r="BC49" s="87">
        <f>IF(ЛагОплатыФК=0,'05_Расходы'!BC47+'05_Расходы'!BC49+BC41/(1+НДС)*IF(BC$5&gt;=ДатаФКСтупень3,ДоляФКРоялти3,IF(BC$5&gt;=ДатаФКСтупень2,ДоляФКРоялти2,ДоляФКРоялти)),'05_Расходы'!BB47+'05_Расходы'!BB49+BB41/(1+НДС)*IF(BB$5&gt;=ДатаФКСтупень3,ДоляФКРоялти3,IF(BB$5&gt;=ДатаФКСтупень2,ДоляФКРоялти2,ДоляФКРоялти)))</f>
        <v/>
      </c>
      <c r="BD49" s="87">
        <f>IF(ЛагОплатыФК=0,'05_Расходы'!BD47+'05_Расходы'!BD49+BD41/(1+НДС)*IF(BD$5&gt;=ДатаФКСтупень3,ДоляФКРоялти3,IF(BD$5&gt;=ДатаФКСтупень2,ДоляФКРоялти2,ДоляФКРоялти)),'05_Расходы'!BC47+'05_Расходы'!BC49+BC41/(1+НДС)*IF(BC$5&gt;=ДатаФКСтупень3,ДоляФКРоялти3,IF(BC$5&gt;=ДатаФКСтупень2,ДоляФКРоялти2,ДоляФКРоялти)))</f>
        <v/>
      </c>
      <c r="BE49" s="87">
        <f>IF(ЛагОплатыФК=0,'05_Расходы'!BE47+'05_Расходы'!BE49+BE41/(1+НДС)*IF(BE$5&gt;=ДатаФКСтупень3,ДоляФКРоялти3,IF(BE$5&gt;=ДатаФКСтупень2,ДоляФКРоялти2,ДоляФКРоялти)),'05_Расходы'!BD47+'05_Расходы'!BD49+BD41/(1+НДС)*IF(BD$5&gt;=ДатаФКСтупень3,ДоляФКРоялти3,IF(BD$5&gt;=ДатаФКСтупень2,ДоляФКРоялти2,ДоляФКРоялти)))</f>
        <v/>
      </c>
      <c r="BF49" s="87">
        <f>IF(ЛагОплатыФК=0,'05_Расходы'!BF47+'05_Расходы'!BF49+BF41/(1+НДС)*IF(BF$5&gt;=ДатаФКСтупень3,ДоляФКРоялти3,IF(BF$5&gt;=ДатаФКСтупень2,ДоляФКРоялти2,ДоляФКРоялти)),'05_Расходы'!BE47+'05_Расходы'!BE49+BE41/(1+НДС)*IF(BE$5&gt;=ДатаФКСтупень3,ДоляФКРоялти3,IF(BE$5&gt;=ДатаФКСтупень2,ДоляФКРоялти2,ДоляФКРоялти)))</f>
        <v/>
      </c>
      <c r="BG49" s="87">
        <f>IF(ЛагОплатыФК=0,'05_Расходы'!BG47+'05_Расходы'!BG49+BG41/(1+НДС)*IF(BG$5&gt;=ДатаФКСтупень3,ДоляФКРоялти3,IF(BG$5&gt;=ДатаФКСтупень2,ДоляФКРоялти2,ДоляФКРоялти)),'05_Расходы'!BF47+'05_Расходы'!BF49+BF41/(1+НДС)*IF(BF$5&gt;=ДатаФКСтупень3,ДоляФКРоялти3,IF(BF$5&gt;=ДатаФКСтупень2,ДоляФКРоялти2,ДоляФКРоялти)))</f>
        <v/>
      </c>
      <c r="BH49" s="87">
        <f>IF(ЛагОплатыФК=0,'05_Расходы'!BH47+'05_Расходы'!BH49+BH41/(1+НДС)*IF(BH$5&gt;=ДатаФКСтупень3,ДоляФКРоялти3,IF(BH$5&gt;=ДатаФКСтупень2,ДоляФКРоялти2,ДоляФКРоялти)),'05_Расходы'!BG47+'05_Расходы'!BG49+BG41/(1+НДС)*IF(BG$5&gt;=ДатаФКСтупень3,ДоляФКРоялти3,IF(BG$5&gt;=ДатаФКСтупень2,ДоляФКРоялти2,ДоляФКРоялти)))</f>
        <v/>
      </c>
      <c r="BI49" s="87">
        <f>IF(ЛагОплатыФК=0,'05_Расходы'!BI47+'05_Расходы'!BI49+BI41/(1+НДС)*IF(BI$5&gt;=ДатаФКСтупень3,ДоляФКРоялти3,IF(BI$5&gt;=ДатаФКСтупень2,ДоляФКРоялти2,ДоляФКРоялти)),'05_Расходы'!BH47+'05_Расходы'!BH49+BH41/(1+НДС)*IF(BH$5&gt;=ДатаФКСтупень3,ДоляФКРоялти3,IF(BH$5&gt;=ДатаФКСтупень2,ДоляФКРоялти2,ДоляФКРоялти)))</f>
        <v/>
      </c>
      <c r="BJ49" s="87">
        <f>IF(ЛагОплатыФК=0,'05_Расходы'!BJ47+'05_Расходы'!BJ49+BJ41/(1+НДС)*IF(BJ$5&gt;=ДатаФКСтупень3,ДоляФКРоялти3,IF(BJ$5&gt;=ДатаФКСтупень2,ДоляФКРоялти2,ДоляФКРоялти)),'05_Расходы'!BI47+'05_Расходы'!BI49+BI41/(1+НДС)*IF(BI$5&gt;=ДатаФКСтупень3,ДоляФКРоялти3,IF(BI$5&gt;=ДатаФКСтупень2,ДоляФКРоялти2,ДоляФКРоялти)))</f>
        <v/>
      </c>
      <c r="BK49" s="87">
        <f>IF(ЛагОплатыФК=0,'05_Расходы'!BK47+'05_Расходы'!BK49+BK41/(1+НДС)*IF(BK$5&gt;=ДатаФКСтупень3,ДоляФКРоялти3,IF(BK$5&gt;=ДатаФКСтупень2,ДоляФКРоялти2,ДоляФКРоялти)),'05_Расходы'!BJ47+'05_Расходы'!BJ49+BJ41/(1+НДС)*IF(BJ$5&gt;=ДатаФКСтупень3,ДоляФКРоялти3,IF(BJ$5&gt;=ДатаФКСтупень2,ДоляФКРоялти2,ДоляФКРоялти)))</f>
        <v/>
      </c>
      <c r="BL49" s="87">
        <f>IF(ЛагОплатыФК=0,'05_Расходы'!BL47+'05_Расходы'!BL49+BL41/(1+НДС)*IF(BL$5&gt;=ДатаФКСтупень3,ДоляФКРоялти3,IF(BL$5&gt;=ДатаФКСтупень2,ДоляФКРоялти2,ДоляФКРоялти)),'05_Расходы'!BK47+'05_Расходы'!BK49+BK41/(1+НДС)*IF(BK$5&gt;=ДатаФКСтупень3,ДоляФКРоялти3,IF(BK$5&gt;=ДатаФКСтупень2,ДоляФКРоялти2,ДоляФКРоялти)))</f>
        <v/>
      </c>
      <c r="BM49" s="87">
        <f>IF(ЛагОплатыФК=0,'05_Расходы'!BM47+'05_Расходы'!BM49+BM41/(1+НДС)*IF(BM$5&gt;=ДатаФКСтупень3,ДоляФКРоялти3,IF(BM$5&gt;=ДатаФКСтупень2,ДоляФКРоялти2,ДоляФКРоялти)),'05_Расходы'!BL47+'05_Расходы'!BL49+BL41/(1+НДС)*IF(BL$5&gt;=ДатаФКСтупень3,ДоляФКРоялти3,IF(BL$5&gt;=ДатаФКСтупень2,ДоляФКРоялти2,ДоляФКРоялти)))</f>
        <v/>
      </c>
      <c r="BN49" s="87">
        <f>IF(ЛагОплатыФК=0,'05_Расходы'!BN47+'05_Расходы'!BN49+BN41/(1+НДС)*IF(BN$5&gt;=ДатаФКСтупень3,ДоляФКРоялти3,IF(BN$5&gt;=ДатаФКСтупень2,ДоляФКРоялти2,ДоляФКРоялти)),'05_Расходы'!BM47+'05_Расходы'!BM49+BM41/(1+НДС)*IF(BM$5&gt;=ДатаФКСтупень3,ДоляФКРоялти3,IF(BM$5&gt;=ДатаФКСтупень2,ДоляФКРоялти2,ДоляФКРоялти)))</f>
        <v/>
      </c>
      <c r="BO49" s="87">
        <f>IF(ЛагОплатыФК=0,'05_Расходы'!BO47+'05_Расходы'!BO49+BO41/(1+НДС)*IF(BO$5&gt;=ДатаФКСтупень3,ДоляФКРоялти3,IF(BO$5&gt;=ДатаФКСтупень2,ДоляФКРоялти2,ДоляФКРоялти)),'05_Расходы'!BN47+'05_Расходы'!BN49+BN41/(1+НДС)*IF(BN$5&gt;=ДатаФКСтупень3,ДоляФКРоялти3,IF(BN$5&gt;=ДатаФКСтупень2,ДоляФКРоялти2,ДоляФКРоялти)))</f>
        <v/>
      </c>
      <c r="BP49" s="87">
        <f>IF(ЛагОплатыФК=0,'05_Расходы'!BP47+'05_Расходы'!BP49+BP41/(1+НДС)*IF(BP$5&gt;=ДатаФКСтупень3,ДоляФКРоялти3,IF(BP$5&gt;=ДатаФКСтупень2,ДоляФКРоялти2,ДоляФКРоялти)),'05_Расходы'!BO47+'05_Расходы'!BO49+BO41/(1+НДС)*IF(BO$5&gt;=ДатаФКСтупень3,ДоляФКРоялти3,IF(BO$5&gt;=ДатаФКСтупень2,ДоляФКРоялти2,ДоляФКРоялти)))</f>
        <v/>
      </c>
      <c r="BQ49" s="87">
        <f>IF(ЛагОплатыФК=0,'05_Расходы'!BQ47+'05_Расходы'!BQ49+BQ41/(1+НДС)*IF(BQ$5&gt;=ДатаФКСтупень3,ДоляФКРоялти3,IF(BQ$5&gt;=ДатаФКСтупень2,ДоляФКРоялти2,ДоляФКРоялти)),'05_Расходы'!BP47+'05_Расходы'!BP49+BP41/(1+НДС)*IF(BP$5&gt;=ДатаФКСтупень3,ДоляФКРоялти3,IF(BP$5&gt;=ДатаФКСтупень2,ДоляФКРоялти2,ДоляФКРоялти)))</f>
        <v/>
      </c>
      <c r="BR49" s="87">
        <f>IF(ЛагОплатыФК=0,'05_Расходы'!BR47+'05_Расходы'!BR49+BR41/(1+НДС)*IF(BR$5&gt;=ДатаФКСтупень3,ДоляФКРоялти3,IF(BR$5&gt;=ДатаФКСтупень2,ДоляФКРоялти2,ДоляФКРоялти)),'05_Расходы'!BQ47+'05_Расходы'!BQ49+BQ41/(1+НДС)*IF(BQ$5&gt;=ДатаФКСтупень3,ДоляФКРоялти3,IF(BQ$5&gt;=ДатаФКСтупень2,ДоляФКРоялти2,ДоляФКРоялти)))</f>
        <v/>
      </c>
      <c r="BS49" s="87">
        <f>IF(ЛагОплатыФК=0,'05_Расходы'!BS47+'05_Расходы'!BS49+BS41/(1+НДС)*IF(BS$5&gt;=ДатаФКСтупень3,ДоляФКРоялти3,IF(BS$5&gt;=ДатаФКСтупень2,ДоляФКРоялти2,ДоляФКРоялти)),'05_Расходы'!BR47+'05_Расходы'!BR49+BR41/(1+НДС)*IF(BR$5&gt;=ДатаФКСтупень3,ДоляФКРоялти3,IF(BR$5&gt;=ДатаФКСтупень2,ДоляФКРоялти2,ДоляФКРоялти)))</f>
        <v/>
      </c>
      <c r="BT49" s="87">
        <f>IF(ЛагОплатыФК=0,'05_Расходы'!BT47+'05_Расходы'!BT49+BT41/(1+НДС)*IF(BT$5&gt;=ДатаФКСтупень3,ДоляФКРоялти3,IF(BT$5&gt;=ДатаФКСтупень2,ДоляФКРоялти2,ДоляФКРоялти)),'05_Расходы'!BS47+'05_Расходы'!BS49+BS41/(1+НДС)*IF(BS$5&gt;=ДатаФКСтупень3,ДоляФКРоялти3,IF(BS$5&gt;=ДатаФКСтупень2,ДоляФКРоялти2,ДоляФКРоялти)))</f>
        <v/>
      </c>
      <c r="BU49" s="87">
        <f>IF(ЛагОплатыФК=0,'05_Расходы'!BU47+'05_Расходы'!BU49+BU41/(1+НДС)*IF(BU$5&gt;=ДатаФКСтупень3,ДоляФКРоялти3,IF(BU$5&gt;=ДатаФКСтупень2,ДоляФКРоялти2,ДоляФКРоялти)),'05_Расходы'!BT47+'05_Расходы'!BT49+BT41/(1+НДС)*IF(BT$5&gt;=ДатаФКСтупень3,ДоляФКРоялти3,IF(BT$5&gt;=ДатаФКСтупень2,ДоляФКРоялти2,ДоляФКРоялти)))</f>
        <v/>
      </c>
      <c r="BV49" s="87">
        <f>IF(ЛагОплатыФК=0,'05_Расходы'!BV47+'05_Расходы'!BV49+BV41/(1+НДС)*IF(BV$5&gt;=ДатаФКСтупень3,ДоляФКРоялти3,IF(BV$5&gt;=ДатаФКСтупень2,ДоляФКРоялти2,ДоляФКРоялти)),'05_Расходы'!BU47+'05_Расходы'!BU49+BU41/(1+НДС)*IF(BU$5&gt;=ДатаФКСтупень3,ДоляФКРоялти3,IF(BU$5&gt;=ДатаФКСтупень2,ДоляФКРоялти2,ДоляФКРоялти)))</f>
        <v/>
      </c>
      <c r="BW49" s="87">
        <f>IF(ЛагОплатыФК=0,'05_Расходы'!BW47+'05_Расходы'!BW49+BW41/(1+НДС)*IF(BW$5&gt;=ДатаФКСтупень3,ДоляФКРоялти3,IF(BW$5&gt;=ДатаФКСтупень2,ДоляФКРоялти2,ДоляФКРоялти)),'05_Расходы'!BV47+'05_Расходы'!BV49+BV41/(1+НДС)*IF(BV$5&gt;=ДатаФКСтупень3,ДоляФКРоялти3,IF(BV$5&gt;=ДатаФКСтупень2,ДоляФКРоялти2,ДоляФКРоялти)))</f>
        <v/>
      </c>
      <c r="BX49" s="87">
        <f>IF(ЛагОплатыФК=0,'05_Расходы'!BX47+'05_Расходы'!BX49+BX41/(1+НДС)*IF(BX$5&gt;=ДатаФКСтупень3,ДоляФКРоялти3,IF(BX$5&gt;=ДатаФКСтупень2,ДоляФКРоялти2,ДоляФКРоялти)),'05_Расходы'!BW47+'05_Расходы'!BW49+BW41/(1+НДС)*IF(BW$5&gt;=ДатаФКСтупень3,ДоляФКРоялти3,IF(BW$5&gt;=ДатаФКСтупень2,ДоляФКРоялти2,ДоляФКРоялти)))</f>
        <v/>
      </c>
      <c r="BY49" s="87">
        <f>IF(ЛагОплатыФК=0,'05_Расходы'!BY47+'05_Расходы'!BY49+BY41/(1+НДС)*IF(BY$5&gt;=ДатаФКСтупень3,ДоляФКРоялти3,IF(BY$5&gt;=ДатаФКСтупень2,ДоляФКРоялти2,ДоляФКРоялти)),'05_Расходы'!BX47+'05_Расходы'!BX49+BX41/(1+НДС)*IF(BX$5&gt;=ДатаФКСтупень3,ДоляФКРоялти3,IF(BX$5&gt;=ДатаФКСтупень2,ДоляФКРоялти2,ДоляФКРоялти))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56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56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56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56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56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2026-09-23T08:49:10Z</dcterms:modified>
</cp:coreProperties>
</file>